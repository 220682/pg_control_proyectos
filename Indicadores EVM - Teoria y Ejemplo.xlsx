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0. Diccionario" sheetId="1" state="visible" r:id="rId1"/>
    <sheet xmlns:r="http://schemas.openxmlformats.org/officeDocument/2006/relationships" name="1. Teoria EVM" sheetId="2" state="visible" r:id="rId2"/>
    <sheet xmlns:r="http://schemas.openxmlformats.org/officeDocument/2006/relationships" name="2. Datos Ficticios" sheetId="3" state="visible" r:id="rId3"/>
    <sheet xmlns:r="http://schemas.openxmlformats.org/officeDocument/2006/relationships" name="3. Ejemplo - Calculo EVM" sheetId="4" state="visible" r:id="rId4"/>
  </sheets>
  <definedNames/>
  <calcPr calcId="191029" fullCalcOnLoad="1"/>
</workbook>
</file>

<file path=xl/styles.xml><?xml version="1.0" encoding="utf-8"?>
<styleSheet xmlns="http://schemas.openxmlformats.org/spreadsheetml/2006/main">
  <numFmts count="4">
    <numFmt numFmtId="164" formatCode="&quot;S/&quot;\ #,##0.00"/>
    <numFmt numFmtId="165" formatCode="0.000"/>
    <numFmt numFmtId="166" formatCode="0.0%"/>
    <numFmt numFmtId="167" formatCode="#,##0.0"/>
  </numFmts>
  <fonts count="17">
    <font>
      <name val="Calibri"/>
      <family val="2"/>
      <color theme="1"/>
      <sz val="11"/>
      <scheme val="minor"/>
    </font>
    <font>
      <name val="Calibri"/>
      <family val="2"/>
      <b val="1"/>
      <color rgb="FFFFFFFF"/>
      <sz val="16"/>
    </font>
    <font>
      <name val="Calibri"/>
      <family val="2"/>
      <i val="1"/>
      <color rgb="FF808080"/>
      <sz val="10"/>
    </font>
    <font>
      <name val="Calibri"/>
      <family val="2"/>
      <b val="1"/>
      <color rgb="FFFFFFFF"/>
      <sz val="11"/>
    </font>
    <font>
      <name val="Calibri"/>
      <family val="2"/>
      <b val="1"/>
      <color rgb="FF1F3864"/>
      <sz val="11"/>
    </font>
    <font>
      <name val="Consolas"/>
      <family val="3"/>
      <b val="1"/>
      <color rgb="FF1F5C1F"/>
      <sz val="10"/>
    </font>
    <font>
      <name val="Calibri"/>
      <family val="2"/>
      <b val="1"/>
      <color rgb="FF1F3864"/>
      <sz val="12"/>
    </font>
    <font>
      <name val="Calibri"/>
      <family val="2"/>
      <color rgb="FF000000"/>
      <sz val="11"/>
    </font>
    <font>
      <name val="Calibri"/>
      <family val="2"/>
      <b val="1"/>
      <color rgb="FFFFFFFF"/>
      <sz val="13"/>
    </font>
    <font>
      <name val="Calibri"/>
      <family val="2"/>
      <b val="1"/>
      <color rgb="FF1F3864"/>
      <sz val="11"/>
    </font>
    <font>
      <name val="Calibri"/>
      <family val="2"/>
      <b val="1"/>
      <color rgb="FF1F3864"/>
      <sz val="12"/>
    </font>
    <font>
      <name val="Calibri"/>
      <family val="2"/>
      <b val="1"/>
      <color rgb="FFFFFFFF"/>
      <sz val="12"/>
    </font>
    <font>
      <name val="Calibri"/>
      <family val="2"/>
      <i val="1"/>
      <color rgb="FF1F3864"/>
      <sz val="11"/>
    </font>
    <font>
      <b val="1"/>
      <color rgb="00FFFFFF"/>
      <sz val="12"/>
    </font>
    <font>
      <i val="1"/>
      <color rgb="00404040"/>
      <sz val="9"/>
    </font>
    <font>
      <b val="1"/>
      <color rgb="00FFFFFF"/>
      <sz val="10"/>
    </font>
    <font>
      <b val="1"/>
    </font>
  </fonts>
  <fills count="11">
    <fill>
      <patternFill/>
    </fill>
    <fill>
      <patternFill patternType="gray125"/>
    </fill>
    <fill>
      <patternFill patternType="solid">
        <fgColor rgb="FF1F3864"/>
      </patternFill>
    </fill>
    <fill>
      <patternFill patternType="solid">
        <fgColor rgb="FF2E5395"/>
      </patternFill>
    </fill>
    <fill>
      <patternFill patternType="solid">
        <fgColor rgb="FFD9E2F3"/>
      </patternFill>
    </fill>
    <fill>
      <patternFill patternType="solid">
        <fgColor rgb="FFFFF2CC"/>
      </patternFill>
    </fill>
    <fill>
      <patternFill patternType="solid">
        <fgColor rgb="FFE2EFDA"/>
      </patternFill>
    </fill>
    <fill>
      <patternFill patternType="solid">
        <fgColor rgb="FFF2F2F2"/>
      </patternFill>
    </fill>
    <fill>
      <patternFill patternType="solid">
        <fgColor rgb="001F4E78"/>
      </patternFill>
    </fill>
    <fill>
      <patternFill patternType="solid">
        <fgColor rgb="00305496"/>
      </patternFill>
    </fill>
    <fill>
      <patternFill patternType="solid">
        <fgColor rgb="00FFF2CC"/>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double">
        <color rgb="FF1F3864"/>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7">
    <xf numFmtId="0" fontId="0" fillId="0" borderId="0" pivotButton="0" quotePrefix="0" xfId="0"/>
    <xf numFmtId="0" fontId="3" fillId="3" borderId="1" applyAlignment="1" pivotButton="0" quotePrefix="0" xfId="0">
      <alignment horizontal="center" vertical="center"/>
    </xf>
    <xf numFmtId="0" fontId="4" fillId="0" borderId="1" applyAlignment="1" pivotButton="0" quotePrefix="0" xfId="0">
      <alignment horizontal="left" vertical="top" wrapText="1"/>
    </xf>
    <xf numFmtId="0" fontId="0"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4" borderId="1" applyAlignment="1" pivotButton="0" quotePrefix="0" xfId="0">
      <alignment horizontal="left" vertical="top" wrapText="1"/>
    </xf>
    <xf numFmtId="0" fontId="0"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xf numFmtId="3"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0" borderId="1" applyAlignment="1" pivotButton="0" quotePrefix="0" xfId="0">
      <alignment horizontal="right" vertical="center"/>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0" fillId="4" borderId="1" applyAlignment="1" pivotButton="0" quotePrefix="0" xfId="0">
      <alignment horizontal="right" vertical="center"/>
    </xf>
    <xf numFmtId="3" fontId="0" fillId="4" borderId="1" applyAlignment="1" pivotButton="0" quotePrefix="0" xfId="0">
      <alignment horizontal="right" vertical="center"/>
    </xf>
    <xf numFmtId="164" fontId="0" fillId="4" borderId="1" applyAlignment="1" pivotButton="0" quotePrefix="0" xfId="0">
      <alignment horizontal="right" vertical="center"/>
    </xf>
    <xf numFmtId="165" fontId="0" fillId="4" borderId="1" applyAlignment="1" pivotButton="0" quotePrefix="0" xfId="0">
      <alignment horizontal="right" vertical="center"/>
    </xf>
    <xf numFmtId="0" fontId="0" fillId="0" borderId="1" applyAlignment="1" pivotButton="0" quotePrefix="0" xfId="0">
      <alignment horizontal="left" vertical="center"/>
    </xf>
    <xf numFmtId="2" fontId="0" fillId="0" borderId="1" applyAlignment="1" pivotButton="0" quotePrefix="0" xfId="0">
      <alignment horizontal="right" vertical="center"/>
    </xf>
    <xf numFmtId="166" fontId="0" fillId="0" borderId="1" applyAlignment="1" pivotButton="0" quotePrefix="0" xfId="0">
      <alignment horizontal="right" vertical="center"/>
    </xf>
    <xf numFmtId="167" fontId="0" fillId="0" borderId="1" applyAlignment="1" pivotButton="0" quotePrefix="0" xfId="0">
      <alignment horizontal="right" vertical="center"/>
    </xf>
    <xf numFmtId="0" fontId="0" fillId="4" borderId="1" applyAlignment="1" pivotButton="0" quotePrefix="0" xfId="0">
      <alignment horizontal="left" vertical="center"/>
    </xf>
    <xf numFmtId="2" fontId="0" fillId="4" borderId="1" applyAlignment="1" pivotButton="0" quotePrefix="0" xfId="0">
      <alignment horizontal="right" vertical="center"/>
    </xf>
    <xf numFmtId="166" fontId="0" fillId="4" borderId="1" applyAlignment="1" pivotButton="0" quotePrefix="0" xfId="0">
      <alignment horizontal="right" vertical="center"/>
    </xf>
    <xf numFmtId="167" fontId="0" fillId="4" borderId="1" applyAlignment="1" pivotButton="0" quotePrefix="0" xfId="0">
      <alignment horizontal="right" vertical="center"/>
    </xf>
    <xf numFmtId="0" fontId="4" fillId="5" borderId="2" pivotButton="0" quotePrefix="0" xfId="0"/>
    <xf numFmtId="164" fontId="4" fillId="5" borderId="2" applyAlignment="1" pivotButton="0" quotePrefix="0" xfId="0">
      <alignment horizontal="right" vertical="center"/>
    </xf>
    <xf numFmtId="2" fontId="4" fillId="5" borderId="2" applyAlignment="1" pivotButton="0" quotePrefix="0" xfId="0">
      <alignment horizontal="right" vertical="center"/>
    </xf>
    <xf numFmtId="166" fontId="4" fillId="5" borderId="2" applyAlignment="1" pivotButton="0" quotePrefix="0" xfId="0">
      <alignment horizontal="right" vertical="center"/>
    </xf>
    <xf numFmtId="167" fontId="4" fillId="5" borderId="2" applyAlignment="1" pivotButton="0" quotePrefix="0" xfId="0">
      <alignment horizontal="right" vertical="center"/>
    </xf>
    <xf numFmtId="164" fontId="10" fillId="6" borderId="1" applyAlignment="1" pivotButton="0" quotePrefix="0" xfId="0">
      <alignment horizontal="right" vertical="center"/>
    </xf>
    <xf numFmtId="2" fontId="10" fillId="6" borderId="1" applyAlignment="1" pivotButton="0" quotePrefix="0" xfId="0">
      <alignment horizontal="right" vertical="center"/>
    </xf>
    <xf numFmtId="166" fontId="10" fillId="6" borderId="1" applyAlignment="1" pivotButton="0" quotePrefix="0" xfId="0">
      <alignment horizontal="right" vertical="center"/>
    </xf>
    <xf numFmtId="0" fontId="1" fillId="2" borderId="0" applyAlignment="1" pivotButton="0" quotePrefix="0" xfId="0">
      <alignment horizontal="left" vertical="center" indent="1"/>
    </xf>
    <xf numFmtId="0" fontId="0" fillId="0" borderId="0" pivotButton="0" quotePrefix="0" xfId="0"/>
    <xf numFmtId="0" fontId="2" fillId="0" borderId="0" applyAlignment="1" pivotButton="0" quotePrefix="0" xfId="0">
      <alignment horizontal="left" vertical="center" indent="1"/>
    </xf>
    <xf numFmtId="0" fontId="7" fillId="5" borderId="1" applyAlignment="1" pivotButton="0" quotePrefix="0" xfId="0">
      <alignment horizontal="left" vertical="top" wrapText="1"/>
    </xf>
    <xf numFmtId="0" fontId="2" fillId="0" borderId="0" applyAlignment="1" pivotButton="0" quotePrefix="0" xfId="0">
      <alignment horizontal="left" vertical="top" wrapText="1"/>
    </xf>
    <xf numFmtId="0" fontId="9" fillId="0" borderId="1" pivotButton="0" quotePrefix="0" xfId="0"/>
    <xf numFmtId="0" fontId="12" fillId="7" borderId="1" applyAlignment="1" pivotButton="0" quotePrefix="0" xfId="0">
      <alignment horizontal="left" vertical="top" wrapText="1"/>
    </xf>
    <xf numFmtId="0" fontId="11" fillId="2" borderId="0" applyAlignment="1" pivotButton="0" quotePrefix="0" xfId="0">
      <alignment horizontal="left" vertical="center" indent="1"/>
    </xf>
    <xf numFmtId="0" fontId="8" fillId="2" borderId="0" applyAlignment="1" pivotButton="0" quotePrefix="0" xfId="0">
      <alignment horizontal="left" vertical="center" indent="1"/>
    </xf>
    <xf numFmtId="0" fontId="13" fillId="8" borderId="0" applyAlignment="1" pivotButton="0" quotePrefix="0" xfId="0">
      <alignment horizontal="center" vertical="center"/>
    </xf>
    <xf numFmtId="0" fontId="14" fillId="0" borderId="0" applyAlignment="1" pivotButton="0" quotePrefix="0" xfId="0">
      <alignment horizontal="left" vertical="center" wrapText="1"/>
    </xf>
    <xf numFmtId="0" fontId="15" fillId="9" borderId="7" applyAlignment="1" pivotButton="0" quotePrefix="0" xfId="0">
      <alignment vertical="center" wrapText="1"/>
    </xf>
    <xf numFmtId="0" fontId="0" fillId="10" borderId="7" applyAlignment="1" pivotButton="0" quotePrefix="0" xfId="0">
      <alignment horizontal="left" vertical="center" wrapText="1"/>
    </xf>
    <xf numFmtId="0" fontId="16" fillId="10" borderId="7" applyAlignment="1" pivotButton="0" quotePrefix="0" xfId="0">
      <alignment horizontal="left" vertical="center" wrapText="1"/>
    </xf>
    <xf numFmtId="0" fontId="0" fillId="0" borderId="7" applyAlignment="1" pivotButton="0" quotePrefix="0" xfId="0">
      <alignment horizontal="left" vertical="center" wrapText="1"/>
    </xf>
    <xf numFmtId="0" fontId="16" fillId="0" borderId="7" applyAlignment="1" pivotButton="0" quotePrefix="0" xfId="0">
      <alignment horizontal="left" vertical="center" wrapText="1"/>
    </xf>
    <xf numFmtId="0" fontId="0" fillId="0" borderId="5" pivotButton="0" quotePrefix="0" xfId="0"/>
    <xf numFmtId="0" fontId="0" fillId="0" borderId="6" pivotButton="0" quotePrefix="0" xfId="0"/>
  </cellXfs>
  <cellStyles count="1">
    <cellStyle name="Normal" xfId="0" builtinId="0"/>
  </cellStyles>
  <dxfs count="6">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42" customWidth="1" style="40" min="1" max="1"/>
    <col width="34" customWidth="1" style="40" min="2" max="2"/>
    <col width="55" customWidth="1" style="40" min="3" max="3"/>
  </cols>
  <sheetData>
    <row r="1" ht="26" customHeight="1" s="40">
      <c r="A1" s="48" t="inlineStr">
        <is>
          <t>DICCIONARIO DE ENCABEZADOS</t>
        </is>
      </c>
    </row>
    <row r="2" ht="40" customHeight="1" s="40">
      <c r="A2" s="49" t="inlineStr">
        <is>
          <t>Columna 1 = encabezado completo tal como queda en este archivo (fuente de la verdad). Columna 2 = forma abreviada (lo que va fuera del parentesis) que se usa en DP, PR, RDT, OT, 3WLA y CS -- pensada para que despues, al crear tablas de base de datos con estos formatos, no haya conflicto de nombres.</t>
        </is>
      </c>
    </row>
    <row r="4" ht="30" customHeight="1" s="40">
      <c r="A4" s="50" t="inlineStr">
        <is>
          <t>Encabezado en Indicadores (completo)</t>
        </is>
      </c>
      <c r="B4" s="50" t="inlineStr">
        <is>
          <t>Encabezado abreviado (DP / PR / RDT / OT / 3WLA / CS)</t>
        </is>
      </c>
      <c r="C4" s="50" t="inlineStr">
        <is>
          <t>Observacion</t>
        </is>
      </c>
    </row>
    <row r="5" ht="30" customHeight="1" s="40">
      <c r="A5" s="51" t="inlineStr">
        <is>
          <t>Item</t>
        </is>
      </c>
      <c r="B5" s="52" t="inlineStr">
        <is>
          <t>WBS</t>
        </is>
      </c>
      <c r="C5" s="51" t="inlineStr">
        <is>
          <t>En Indicadores es un correlativo pedagogico (1,2,3...); en los formatos reales siempre es el codigo WBS (##.##).</t>
        </is>
      </c>
    </row>
    <row r="6" ht="30" customHeight="1" s="40">
      <c r="A6" s="53" t="inlineStr">
        <is>
          <t>Partida</t>
        </is>
      </c>
      <c r="B6" s="54" t="inlineStr">
        <is>
          <t>Partida</t>
        </is>
      </c>
      <c r="C6" s="53" t="inlineStr"/>
    </row>
    <row r="7" ht="30" customHeight="1" s="40">
      <c r="A7" s="53" t="inlineStr">
        <is>
          <t>Unid.</t>
        </is>
      </c>
      <c r="B7" s="54" t="inlineStr">
        <is>
          <t>Unid.</t>
        </is>
      </c>
      <c r="C7" s="53" t="inlineStr"/>
    </row>
    <row r="8" ht="30" customHeight="1" s="40">
      <c r="A8" s="51" t="inlineStr">
        <is>
          <t>Metrado</t>
        </is>
      </c>
      <c r="B8" s="52" t="inlineStr">
        <is>
          <t>Metrado</t>
        </is>
      </c>
      <c r="C8" s="51" t="inlineStr">
        <is>
          <t>Es el metrado contractual (linea base).</t>
        </is>
      </c>
    </row>
    <row r="9" ht="30" customHeight="1" s="40">
      <c r="A9" s="53" t="inlineStr">
        <is>
          <t>Precio Unit. ($/)</t>
        </is>
      </c>
      <c r="B9" s="54" t="inlineStr">
        <is>
          <t>Precio Unit.</t>
        </is>
      </c>
      <c r="C9" s="53" t="inlineStr"/>
    </row>
    <row r="10" ht="30" customHeight="1" s="40">
      <c r="A10" s="53" t="inlineStr">
        <is>
          <t>Metrado Planificado Acumulado (a la fecha)</t>
        </is>
      </c>
      <c r="B10" s="54" t="inlineStr">
        <is>
          <t>Metrado Planificado Acumulado</t>
        </is>
      </c>
      <c r="C10" s="53" t="inlineStr"/>
    </row>
    <row r="11" ht="30" customHeight="1" s="40">
      <c r="A11" s="53" t="inlineStr">
        <is>
          <t>Metrado Ejecutado Acumulado (real)</t>
        </is>
      </c>
      <c r="B11" s="54" t="inlineStr">
        <is>
          <t>Metrado Ejecutado Acumulado</t>
        </is>
      </c>
      <c r="C11" s="53" t="inlineStr"/>
    </row>
    <row r="12" ht="30" customHeight="1" s="40">
      <c r="A12" s="53" t="inlineStr">
        <is>
          <t>Costo Real Acumulado ($/)</t>
        </is>
      </c>
      <c r="B12" s="54" t="inlineStr">
        <is>
          <t>Costo Real Acumulado</t>
        </is>
      </c>
      <c r="C12" s="53" t="inlineStr"/>
    </row>
    <row r="13" ht="30" customHeight="1" s="40">
      <c r="A13" s="51" t="inlineStr">
        <is>
          <t>Rendimiento (HH/Und)</t>
        </is>
      </c>
      <c r="B13" s="52" t="inlineStr">
        <is>
          <t>Rendimiento</t>
        </is>
      </c>
      <c r="C13" s="51" t="inlineStr">
        <is>
          <t>Al abreviar se pierde la unidad (HH/Und). Sugerido si se quiere conservarla: 'Rendimiento HH/Und' en vez de solo 'Rendimiento'.</t>
        </is>
      </c>
    </row>
    <row r="14" ht="30" customHeight="1" s="40">
      <c r="A14" s="53" t="inlineStr">
        <is>
          <t>HH Reales Acumuladas</t>
        </is>
      </c>
      <c r="B14" s="54" t="inlineStr">
        <is>
          <t>HH Reales Acumuladas</t>
        </is>
      </c>
      <c r="C14" s="53" t="inlineStr"/>
    </row>
    <row r="15" ht="30" customHeight="1" s="40">
      <c r="A15" s="51" t="inlineStr">
        <is>
          <t>Monto contractual BAC ($/)</t>
        </is>
      </c>
      <c r="B15" s="52" t="inlineStr">
        <is>
          <t>Monto contractual BAC</t>
        </is>
      </c>
      <c r="C15" s="51" t="inlineStr">
        <is>
          <t>Es el mas largo de la lista. Alternativa mas corta si se prefiere maxima brevedad: 'BAC' (asi ya quedo la columna N de la hoja CS de Trazabilidad.xlsx).</t>
        </is>
      </c>
    </row>
    <row r="16" ht="30" customHeight="1" s="40">
      <c r="A16" s="53" t="inlineStr">
        <is>
          <t>PV ($/) (metr.plan. x P.U.)</t>
        </is>
      </c>
      <c r="B16" s="54" t="inlineStr">
        <is>
          <t>PV</t>
        </is>
      </c>
      <c r="C16" s="53" t="inlineStr"/>
    </row>
    <row r="17" ht="30" customHeight="1" s="40">
      <c r="A17" s="53" t="inlineStr">
        <is>
          <t>EV ($/) (metr.ejec. x P.U.)</t>
        </is>
      </c>
      <c r="B17" s="54" t="inlineStr">
        <is>
          <t>EV</t>
        </is>
      </c>
      <c r="C17" s="53" t="inlineStr"/>
    </row>
    <row r="18" ht="30" customHeight="1" s="40">
      <c r="A18" s="53" t="inlineStr">
        <is>
          <t>AC ($/) (Costo Real)</t>
        </is>
      </c>
      <c r="B18" s="54" t="inlineStr">
        <is>
          <t>AC</t>
        </is>
      </c>
      <c r="C18" s="53" t="inlineStr"/>
    </row>
    <row r="19" ht="30" customHeight="1" s="40">
      <c r="A19" s="53" t="inlineStr">
        <is>
          <t>CPI (EV/AC)</t>
        </is>
      </c>
      <c r="B19" s="54" t="inlineStr">
        <is>
          <t>CPI</t>
        </is>
      </c>
      <c r="C19" s="53" t="inlineStr"/>
    </row>
    <row r="20" ht="30" customHeight="1" s="40">
      <c r="A20" s="53" t="inlineStr">
        <is>
          <t>SPI (EV/PV)</t>
        </is>
      </c>
      <c r="B20" s="54" t="inlineStr">
        <is>
          <t>SPI</t>
        </is>
      </c>
      <c r="C20" s="53" t="inlineStr"/>
    </row>
    <row r="21" ht="30" customHeight="1" s="40">
      <c r="A21" s="53" t="inlineStr">
        <is>
          <t>% Avance Fisico (EV/BAC)</t>
        </is>
      </c>
      <c r="B21" s="54" t="inlineStr">
        <is>
          <t>% Avance Fisico</t>
        </is>
      </c>
      <c r="C21" s="53" t="inlineStr"/>
    </row>
    <row r="22" ht="30" customHeight="1" s="40">
      <c r="A22" s="53" t="inlineStr">
        <is>
          <t>HH Ganadas (metr.ejec. x Rendim.)</t>
        </is>
      </c>
      <c r="B22" s="54" t="inlineStr">
        <is>
          <t>HH Ganadas</t>
        </is>
      </c>
      <c r="C22" s="53" t="inlineStr"/>
    </row>
    <row r="23" ht="30" customHeight="1" s="40">
      <c r="A23" s="53" t="inlineStr">
        <is>
          <t>IP (HH Ganadas/HH Reales acumuladas)</t>
        </is>
      </c>
      <c r="B23" s="54" t="inlineStr">
        <is>
          <t>IP</t>
        </is>
      </c>
      <c r="C23" s="53"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showGridLines="0" workbookViewId="0">
      <selection activeCell="A1" sqref="A1:I1"/>
    </sheetView>
  </sheetViews>
  <sheetFormatPr baseColWidth="10" defaultColWidth="8.88671875" defaultRowHeight="14.4"/>
  <cols>
    <col width="22" customWidth="1" style="40" min="1" max="1"/>
    <col width="46" customWidth="1" style="40" min="2" max="2"/>
    <col width="40" customWidth="1" style="40" min="3" max="3"/>
    <col width="46" customWidth="1" style="40" min="4" max="4"/>
  </cols>
  <sheetData>
    <row r="1" ht="28.05" customHeight="1" s="40">
      <c r="A1" s="39" t="inlineStr">
        <is>
          <t>INDICADORES DE VALOR GANADO (EVM) + AVANCE FISICO</t>
        </is>
      </c>
    </row>
    <row r="2">
      <c r="A2" s="41" t="inlineStr">
        <is>
          <t>Que mide cada indicador, con que formula, y de donde sale el dato en la practica.</t>
        </is>
      </c>
    </row>
    <row r="4" ht="19.95" customHeight="1" s="40">
      <c r="A4" s="1" t="inlineStr">
        <is>
          <t>Indicador</t>
        </is>
      </c>
      <c r="B4" s="1" t="inlineStr">
        <is>
          <t>Que responde / mide</t>
        </is>
      </c>
      <c r="C4" s="1" t="inlineStr">
        <is>
          <t>Formula</t>
        </is>
      </c>
      <c r="D4" s="1" t="inlineStr">
        <is>
          <t>De donde sale el dato</t>
        </is>
      </c>
    </row>
    <row r="5" ht="46.05" customHeight="1" s="40">
      <c r="A5" s="2" t="inlineStr">
        <is>
          <t>PV
(Valor Planificado)</t>
        </is>
      </c>
      <c r="B5" s="3" t="inlineStr">
        <is>
          <t>Cuanto deberia llevar avanzado, a costo de presupuesto, segun la fecha de corte.</t>
        </is>
      </c>
      <c r="C5" s="4" t="inlineStr">
        <is>
          <t>PV = Metrado planificado acumulado x Precio unitario</t>
        </is>
      </c>
      <c r="D5" s="3" t="inlineStr">
        <is>
          <t>Del cronograma / lookahead: que se planifico ejecutar hasta la fecha de corte.</t>
        </is>
      </c>
    </row>
    <row r="6" ht="46.05" customHeight="1" s="40">
      <c r="A6" s="5" t="inlineStr">
        <is>
          <t>EV
(Valor Ganado)</t>
        </is>
      </c>
      <c r="B6" s="6" t="inlineStr">
        <is>
          <t>Cuanto avance real se completo, valorizado a precio de presupuesto (no a costo real).</t>
        </is>
      </c>
      <c r="C6" s="7" t="inlineStr">
        <is>
          <t>EV = Metrado ejecutado acumulado x Precio unitario</t>
        </is>
      </c>
      <c r="D6" s="6" t="inlineStr">
        <is>
          <t>Del RDT validado por Oficina Tecnica -&gt; PR (metrado_acumulado).</t>
        </is>
      </c>
    </row>
    <row r="7" ht="46.05" customHeight="1" s="40">
      <c r="A7" s="2" t="inlineStr">
        <is>
          <t>AC
(Costo Real)</t>
        </is>
      </c>
      <c r="B7" s="3" t="inlineStr">
        <is>
          <t>Cuanto costo realmente ese avance: mano de obra, equipos, materiales y subcontratos.</t>
        </is>
      </c>
      <c r="C7" s="4" t="inlineStr">
        <is>
          <t>AC = suma de costos reales incurridos (HH+HM+materiales+subcontratos)</t>
        </is>
      </c>
      <c r="D7" s="3" t="inlineStr">
        <is>
          <t>De los registros de costo real: PR (mano de obra/equipos) + Registro de costos por servicios (materiales/subcontratos).</t>
        </is>
      </c>
    </row>
    <row r="8" ht="46.05" customHeight="1" s="40">
      <c r="A8" s="5" t="inlineStr">
        <is>
          <t>BAC
(Presupuesto Total)</t>
        </is>
      </c>
      <c r="B8" s="6" t="inlineStr">
        <is>
          <t>Presupuesto total aprobado, a costo contractual (de la partida o del proyecto).</t>
        </is>
      </c>
      <c r="C8" s="7" t="inlineStr">
        <is>
          <t>BAC = Metrado contractual x Precio unitario</t>
        </is>
      </c>
      <c r="D8" s="6" t="inlineStr">
        <is>
          <t>Del presupuesto aprobado -&gt; DP/PR (linea base).</t>
        </is>
      </c>
    </row>
    <row r="9" ht="46.05" customHeight="1" s="40">
      <c r="A9" s="2" t="inlineStr">
        <is>
          <t>CPI
(Indice de Costo)</t>
        </is>
      </c>
      <c r="B9" s="3" t="inlineStr">
        <is>
          <t>Eficiencia del gasto: por cada sol gastado, cuanto valor se genero. &gt;1 bien, &lt;1 mal.</t>
        </is>
      </c>
      <c r="C9" s="4" t="inlineStr">
        <is>
          <t>CPI = EV / AC</t>
        </is>
      </c>
      <c r="D9" s="3" t="inlineStr">
        <is>
          <t>Calculado (no se registra directo, sale de EV y AC ya obtenidos).</t>
        </is>
      </c>
    </row>
    <row r="10" ht="46.05" customHeight="1" s="40">
      <c r="A10" s="5" t="inlineStr">
        <is>
          <t>SPI
(Indice de Cronograma)</t>
        </is>
      </c>
      <c r="B10" s="6" t="inlineStr">
        <is>
          <t>Eficiencia del avance EN VALOR, no en dias. &gt;1 adelantado, &lt;1 atrasado.</t>
        </is>
      </c>
      <c r="C10" s="7" t="inlineStr">
        <is>
          <t>SPI = EV / PV</t>
        </is>
      </c>
      <c r="D10" s="6" t="inlineStr">
        <is>
          <t>Calculado. Para dias reales de atraso hace falta el cronograma CPM (3WLA).</t>
        </is>
      </c>
    </row>
    <row r="11" ht="46.05" customHeight="1" s="40">
      <c r="A11" s="2" t="inlineStr">
        <is>
          <t>EAC
(Estimado a la Conclusion)</t>
        </is>
      </c>
      <c r="B11" s="3" t="inlineStr">
        <is>
          <t>Proyeccion de costo final si el ritmo de gasto actual (CPI) se mantiene igual.</t>
        </is>
      </c>
      <c r="C11" s="4" t="inlineStr">
        <is>
          <t>EAC = AC + (BAC - EV) / CPI</t>
        </is>
      </c>
      <c r="D11" s="3" t="inlineStr">
        <is>
          <t>Calculado sobre AC, BAC, EV y CPI ya obtenidos.</t>
        </is>
      </c>
    </row>
    <row r="12" ht="46.05" customHeight="1" s="40">
      <c r="A12" s="5" t="inlineStr">
        <is>
          <t>VAC
(Variacion a la Conclusion)</t>
        </is>
      </c>
      <c r="B12" s="6" t="inlineStr">
        <is>
          <t>Utilidad o perdida proyectada respecto al presupuesto original.</t>
        </is>
      </c>
      <c r="C12" s="7" t="inlineStr">
        <is>
          <t>VAC = BAC - EAC</t>
        </is>
      </c>
      <c r="D12" s="6" t="inlineStr">
        <is>
          <t>Calculado sobre BAC y EAC ya obtenidos.</t>
        </is>
      </c>
    </row>
    <row r="13" ht="46.05" customHeight="1" s="40">
      <c r="A13" s="2" t="inlineStr">
        <is>
          <t>% Avance Fisico</t>
        </is>
      </c>
      <c r="B13" s="3" t="inlineStr">
        <is>
          <t>Que % del proyecto esta realmente avanzado, ponderado por el costo de cada partida.</t>
        </is>
      </c>
      <c r="C13" s="4" t="inlineStr">
        <is>
          <t>% Avance Fisico = EV / BAC</t>
        </is>
      </c>
      <c r="D13" s="3" t="inlineStr">
        <is>
          <t>Calculado. NUNCA promediar el %s de metrado de cada partida (ver nota abajo).</t>
        </is>
      </c>
    </row>
    <row r="15" ht="15.6" customHeight="1" s="40">
      <c r="A15" s="8" t="inlineStr">
        <is>
          <t>Por que EV / BAC y no un promedio de metrados</t>
        </is>
      </c>
    </row>
    <row r="16" ht="169.95" customHeight="1" s="40">
      <c r="A16" s="42" t="inlineStr">
        <is>
          <t>EV ya es una suma ponderada por costo: EV = Sum(cantidad_ejecutada_i x precio_unitario_i) de cada partida. Cada partida pesa segun SU PROPIO costo, no segun su cantidad cruda. Una partida de 5000 m3 de movimiento de tierras barato no debe pesar lo mismo que 18 valvulas caras solo porque tiene mas unidades.
Lo mismo aplica un nivel arriba, para el Dashboard de Portafolio:
Avance fisico del portafolio = Sum(EV de cada proyecto) / Sum(BAC de cada proyecto)
(pesa cada proyecto por su propio presupuesto -&gt; un proyecto de S/ 10M pesa mas que uno de S/ 100K).
Como leer CPI y SPI: CPI &gt; 1 o SPI &gt; 1 = bien (eficiente / adelantado). CPI &lt; 1 o SPI &lt; 1 = mal (se gasta de mas / esta atrasado). Ambos en 1.00 = exactamente segun lo planificado.</t>
        </is>
      </c>
      <c r="B16" s="55" t="n"/>
      <c r="C16" s="55" t="n"/>
      <c r="D16" s="56" t="n"/>
    </row>
    <row r="18">
      <c r="A18" s="9" t="inlineStr">
        <is>
          <t>Ver hoja 2 (Datos Ficticios) y hoja 3 (Ejemplo - Calculo EVM) para un caso aplicado con formulas reales.</t>
        </is>
      </c>
    </row>
  </sheetData>
  <mergeCells count="3">
    <mergeCell ref="A1:I1"/>
    <mergeCell ref="A2:I2"/>
    <mergeCell ref="A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showGridLines="0" workbookViewId="0">
      <selection activeCell="I5" sqref="I5"/>
    </sheetView>
  </sheetViews>
  <sheetFormatPr baseColWidth="10" defaultColWidth="8.88671875" defaultRowHeight="14.4"/>
  <cols>
    <col width="6" customWidth="1" style="40" min="1" max="1"/>
    <col width="40" customWidth="1" style="40" min="2" max="2"/>
    <col width="8" customWidth="1" style="40" min="3" max="3"/>
    <col width="13" customWidth="1" style="40" min="4" max="5"/>
    <col width="18" customWidth="1" style="40" min="6" max="7"/>
    <col width="15" customWidth="1" style="40" min="8" max="8"/>
    <col width="16" customWidth="1" style="40" min="9" max="9"/>
    <col width="14" customWidth="1" style="40" min="10" max="10"/>
  </cols>
  <sheetData>
    <row r="1" ht="28.05" customHeight="1" s="40">
      <c r="A1" s="39" t="inlineStr">
        <is>
          <t>CONSOLIDADO DE METRADOS - DATOS FICTICIOS</t>
        </is>
      </c>
    </row>
    <row r="2">
      <c r="A2" s="41" t="inlineStr">
        <is>
          <t>Ejemplo pedagogico. Cambia estos numeros y observa como se mueven los indicadores en la hoja 3.</t>
        </is>
      </c>
    </row>
    <row r="4" ht="36" customHeight="1" s="40">
      <c r="A4" s="10" t="inlineStr">
        <is>
          <t>Item</t>
        </is>
      </c>
      <c r="B4" s="10" t="inlineStr">
        <is>
          <t>Partida</t>
        </is>
      </c>
      <c r="C4" s="10" t="inlineStr">
        <is>
          <t>Unid.</t>
        </is>
      </c>
      <c r="D4" s="10" t="inlineStr">
        <is>
          <t>Metrado</t>
        </is>
      </c>
      <c r="E4" s="10" t="inlineStr">
        <is>
          <t>Precio Unit.
($/)</t>
        </is>
      </c>
      <c r="F4" s="10" t="inlineStr">
        <is>
          <t>Metrado Planificado
Acumulado (a la fecha)</t>
        </is>
      </c>
      <c r="G4" s="10" t="inlineStr">
        <is>
          <t>Metrado Ejecutado
Acumulado (real)</t>
        </is>
      </c>
      <c r="H4" s="10" t="inlineStr">
        <is>
          <t>Costo Real
Acumulado ($/)</t>
        </is>
      </c>
      <c r="I4" s="10" t="inlineStr">
        <is>
          <t>Rendimiento
(HH/Und)</t>
        </is>
      </c>
      <c r="J4" s="10" t="inlineStr">
        <is>
          <t>HH Reales
Acumuladas</t>
        </is>
      </c>
    </row>
    <row r="5">
      <c r="A5" s="11" t="n">
        <v>1</v>
      </c>
      <c r="B5" s="12" t="inlineStr">
        <is>
          <t>Movimiento de tierras</t>
        </is>
      </c>
      <c r="C5" s="13" t="inlineStr">
        <is>
          <t>m3</t>
        </is>
      </c>
      <c r="D5" s="14" t="n">
        <v>5000</v>
      </c>
      <c r="E5" s="15" t="n">
        <v>25</v>
      </c>
      <c r="F5" s="14" t="n">
        <v>4000</v>
      </c>
      <c r="G5" s="14" t="n">
        <v>3800</v>
      </c>
      <c r="H5" s="15" t="n">
        <v>99500</v>
      </c>
      <c r="I5" s="16" t="n">
        <v>0.12</v>
      </c>
      <c r="J5" s="14" t="n">
        <v>480</v>
      </c>
    </row>
    <row r="6">
      <c r="A6" s="17" t="n">
        <v>2</v>
      </c>
      <c r="B6" s="18" t="inlineStr">
        <is>
          <t>Encofrado y desencofrado de zapatas</t>
        </is>
      </c>
      <c r="C6" s="19" t="inlineStr">
        <is>
          <t>m2</t>
        </is>
      </c>
      <c r="D6" s="20" t="n">
        <v>800</v>
      </c>
      <c r="E6" s="21" t="n">
        <v>45</v>
      </c>
      <c r="F6" s="20" t="n">
        <v>700</v>
      </c>
      <c r="G6" s="20" t="n">
        <v>720</v>
      </c>
      <c r="H6" s="21" t="n">
        <v>30000</v>
      </c>
      <c r="I6" s="22" t="n">
        <v>0.8</v>
      </c>
      <c r="J6" s="20" t="n">
        <v>540</v>
      </c>
    </row>
    <row r="7">
      <c r="A7" s="11" t="n">
        <v>3</v>
      </c>
      <c r="B7" s="12" t="inlineStr">
        <is>
          <t>Vaciado de concreto f'c=210 kg/cm2</t>
        </is>
      </c>
      <c r="C7" s="13" t="inlineStr">
        <is>
          <t>m3</t>
        </is>
      </c>
      <c r="D7" s="14" t="n">
        <v>350</v>
      </c>
      <c r="E7" s="15" t="n">
        <v>380</v>
      </c>
      <c r="F7" s="14" t="n">
        <v>280</v>
      </c>
      <c r="G7" s="14" t="n">
        <v>260</v>
      </c>
      <c r="H7" s="15" t="n">
        <v>105000</v>
      </c>
      <c r="I7" s="16" t="n">
        <v>1.2</v>
      </c>
      <c r="J7" s="14" t="n">
        <v>350</v>
      </c>
    </row>
    <row r="8">
      <c r="A8" s="17" t="n">
        <v>4</v>
      </c>
      <c r="B8" s="18" t="inlineStr">
        <is>
          <t>Habilitacion y colocacion de acero de refuerzo</t>
        </is>
      </c>
      <c r="C8" s="19" t="inlineStr">
        <is>
          <t>kg</t>
        </is>
      </c>
      <c r="D8" s="20" t="n">
        <v>42000</v>
      </c>
      <c r="E8" s="21" t="n">
        <v>5.2</v>
      </c>
      <c r="F8" s="20" t="n">
        <v>36000</v>
      </c>
      <c r="G8" s="20" t="n">
        <v>37500</v>
      </c>
      <c r="H8" s="21" t="n">
        <v>190000</v>
      </c>
      <c r="I8" s="22" t="n">
        <v>0.035</v>
      </c>
      <c r="J8" s="20" t="n">
        <v>1250</v>
      </c>
    </row>
    <row r="9">
      <c r="A9" s="11" t="n">
        <v>5</v>
      </c>
      <c r="B9" s="12" t="inlineStr">
        <is>
          <t>Tendido de tuberia HDPE 200mm</t>
        </is>
      </c>
      <c r="C9" s="13" t="inlineStr">
        <is>
          <t>m</t>
        </is>
      </c>
      <c r="D9" s="14" t="n">
        <v>1200</v>
      </c>
      <c r="E9" s="15" t="n">
        <v>95</v>
      </c>
      <c r="F9" s="14" t="n">
        <v>900</v>
      </c>
      <c r="G9" s="14" t="n">
        <v>850</v>
      </c>
      <c r="H9" s="15" t="n">
        <v>84000</v>
      </c>
      <c r="I9" s="16" t="n">
        <v>0.25</v>
      </c>
      <c r="J9" s="14" t="n">
        <v>230</v>
      </c>
    </row>
    <row r="10">
      <c r="A10" s="17" t="n">
        <v>6</v>
      </c>
      <c r="B10" s="18" t="inlineStr">
        <is>
          <t>Instalacion y prueba de valvulas</t>
        </is>
      </c>
      <c r="C10" s="19" t="inlineStr">
        <is>
          <t>und</t>
        </is>
      </c>
      <c r="D10" s="20" t="n">
        <v>18</v>
      </c>
      <c r="E10" s="21" t="n">
        <v>850</v>
      </c>
      <c r="F10" s="20" t="n">
        <v>10</v>
      </c>
      <c r="G10" s="20" t="n">
        <v>12</v>
      </c>
      <c r="H10" s="21" t="n">
        <v>9600</v>
      </c>
      <c r="I10" s="22" t="n">
        <v>4</v>
      </c>
      <c r="J10" s="20" t="n">
        <v>45</v>
      </c>
    </row>
    <row r="12" ht="67.95" customHeight="1" s="40">
      <c r="A12" s="43" t="inlineStr">
        <is>
          <t>Metrado Planificado Acumulado = lo que el cronograma/lookahead dice que ya deberia estar ejecutado a la fecha de corte.
Metrado Ejecutado Acumulado = lo que el RDT reporta como realmente ejecutado (validado por Oficina Tecnica).
Costo Real Acumulado = lo que de verdad costo ese avance (no siempre coincide con Metrado Ejecutado x Precio Unitario).
Rendimiento Estandar (HH/Und) y HH Reales Acumuladas = insumos del IP (Indice de Productividad, ver hoja 3, ultimas 2 columnas).</t>
        </is>
      </c>
    </row>
  </sheetData>
  <mergeCells count="3">
    <mergeCell ref="A12:J1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0"/>
  <sheetViews>
    <sheetView showGridLines="0" tabSelected="1" workbookViewId="0">
      <pane xSplit="2" ySplit="4" topLeftCell="J5" activePane="bottomRight" state="frozen"/>
      <selection pane="topRight" activeCell="A1" sqref="A1"/>
      <selection pane="bottomLeft" activeCell="A1" sqref="A1"/>
      <selection pane="bottomRight" activeCell="P12" sqref="P12"/>
    </sheetView>
  </sheetViews>
  <sheetFormatPr baseColWidth="10" defaultColWidth="8.88671875" defaultRowHeight="14.4"/>
  <cols>
    <col width="6" customWidth="1" style="40" min="1" max="1"/>
    <col width="34" customWidth="1" style="40" min="2" max="2"/>
    <col width="14" customWidth="1" style="40" min="3" max="11"/>
    <col width="13.88671875" customWidth="1" style="40" min="13" max="21"/>
  </cols>
  <sheetData>
    <row r="1" ht="28.05" customHeight="1" s="40">
      <c r="A1" s="39" t="inlineStr">
        <is>
          <t>EJEMPLO APLICADO: CALCULO DE INDICADORES EVM</t>
        </is>
      </c>
    </row>
    <row r="2">
      <c r="A2" s="41" t="inlineStr">
        <is>
          <t>Todas las celdas de esta hoja son formulas que leen la hoja '2. Datos Ficticios'. Cambia un dato alla y todo se recalcula aqui.</t>
        </is>
      </c>
    </row>
    <row r="4" ht="40.05" customHeight="1" s="40">
      <c r="A4" s="10" t="inlineStr">
        <is>
          <t>Item</t>
        </is>
      </c>
      <c r="B4" s="10" t="inlineStr">
        <is>
          <t>Partida</t>
        </is>
      </c>
      <c r="C4" s="10" t="inlineStr">
        <is>
          <t>Monto contractual BAC
($/)</t>
        </is>
      </c>
      <c r="D4" s="10" t="inlineStr">
        <is>
          <t>PV ($/)
(metr.plan. x P.U.)</t>
        </is>
      </c>
      <c r="E4" s="10" t="inlineStr">
        <is>
          <t>EV ($/)
(metr.ejec. x P.U.)</t>
        </is>
      </c>
      <c r="F4" s="10" t="inlineStr">
        <is>
          <t>AC ($/)
(Costo Real)</t>
        </is>
      </c>
      <c r="G4" s="10" t="inlineStr">
        <is>
          <t>CPI
(EV/AC)</t>
        </is>
      </c>
      <c r="H4" s="10" t="inlineStr">
        <is>
          <t>SPI
(EV/PV)</t>
        </is>
      </c>
      <c r="I4" s="10" t="inlineStr">
        <is>
          <t>% Avance Fisico
(EV/BAC)</t>
        </is>
      </c>
      <c r="J4" s="10" t="inlineStr">
        <is>
          <t>HH Ganadas
(metr.ejec. x Rendim.)</t>
        </is>
      </c>
      <c r="K4" s="10" t="inlineStr">
        <is>
          <t>IP
(HH Ganadas/HH Reales acumuladas)</t>
        </is>
      </c>
    </row>
    <row r="5">
      <c r="A5" s="11">
        <f>'2. Datos Ficticios'!A5</f>
        <v/>
      </c>
      <c r="B5" s="23">
        <f>'2. Datos Ficticios'!B5</f>
        <v/>
      </c>
      <c r="C5" s="15">
        <f>'2. Datos Ficticios'!D5*'2. Datos Ficticios'!E5</f>
        <v/>
      </c>
      <c r="D5" s="15">
        <f>'2. Datos Ficticios'!F5*'2. Datos Ficticios'!E5</f>
        <v/>
      </c>
      <c r="E5" s="15">
        <f>'2. Datos Ficticios'!G5*'2. Datos Ficticios'!E5</f>
        <v/>
      </c>
      <c r="F5" s="15">
        <f>'2. Datos Ficticios'!H5</f>
        <v/>
      </c>
      <c r="G5" s="24">
        <f>IFERROR(E5/F5,0)</f>
        <v/>
      </c>
      <c r="H5" s="24">
        <f>IFERROR(E5/D5,0)</f>
        <v/>
      </c>
      <c r="I5" s="25">
        <f>IFERROR(E5/C5,0)</f>
        <v/>
      </c>
      <c r="J5" s="26">
        <f>'2. Datos Ficticios'!G5*'2. Datos Ficticios'!I5</f>
        <v/>
      </c>
      <c r="K5" s="24">
        <f>IFERROR(J5/'2. Datos Ficticios'!J5,0)</f>
        <v/>
      </c>
    </row>
    <row r="6">
      <c r="A6" s="17">
        <f>'2. Datos Ficticios'!A6</f>
        <v/>
      </c>
      <c r="B6" s="27">
        <f>'2. Datos Ficticios'!B6</f>
        <v/>
      </c>
      <c r="C6" s="21">
        <f>'2. Datos Ficticios'!D6*'2. Datos Ficticios'!E6</f>
        <v/>
      </c>
      <c r="D6" s="21">
        <f>'2. Datos Ficticios'!F6*'2. Datos Ficticios'!E6</f>
        <v/>
      </c>
      <c r="E6" s="21">
        <f>'2. Datos Ficticios'!G6*'2. Datos Ficticios'!E6</f>
        <v/>
      </c>
      <c r="F6" s="21">
        <f>'2. Datos Ficticios'!H6</f>
        <v/>
      </c>
      <c r="G6" s="28">
        <f>IFERROR(E6/F6,0)</f>
        <v/>
      </c>
      <c r="H6" s="28">
        <f>IFERROR(E6/D6,0)</f>
        <v/>
      </c>
      <c r="I6" s="29">
        <f>IFERROR(E6/C6,0)</f>
        <v/>
      </c>
      <c r="J6" s="30">
        <f>'2. Datos Ficticios'!G6*'2. Datos Ficticios'!I6</f>
        <v/>
      </c>
      <c r="K6" s="28">
        <f>IFERROR(J6/'2. Datos Ficticios'!J6,0)</f>
        <v/>
      </c>
    </row>
    <row r="7">
      <c r="A7" s="11">
        <f>'2. Datos Ficticios'!A7</f>
        <v/>
      </c>
      <c r="B7" s="23">
        <f>'2. Datos Ficticios'!B7</f>
        <v/>
      </c>
      <c r="C7" s="15">
        <f>'2. Datos Ficticios'!D7*'2. Datos Ficticios'!E7</f>
        <v/>
      </c>
      <c r="D7" s="15">
        <f>'2. Datos Ficticios'!F7*'2. Datos Ficticios'!E7</f>
        <v/>
      </c>
      <c r="E7" s="15">
        <f>'2. Datos Ficticios'!G7*'2. Datos Ficticios'!E7</f>
        <v/>
      </c>
      <c r="F7" s="15">
        <f>'2. Datos Ficticios'!H7</f>
        <v/>
      </c>
      <c r="G7" s="24">
        <f>IFERROR(E7/F7,0)</f>
        <v/>
      </c>
      <c r="H7" s="24">
        <f>IFERROR(E7/D7,0)</f>
        <v/>
      </c>
      <c r="I7" s="25">
        <f>IFERROR(E7/C7,0)</f>
        <v/>
      </c>
      <c r="J7" s="26">
        <f>'2. Datos Ficticios'!G7*'2. Datos Ficticios'!I7</f>
        <v/>
      </c>
      <c r="K7" s="24">
        <f>IFERROR(J7/'2. Datos Ficticios'!J7,0)</f>
        <v/>
      </c>
    </row>
    <row r="8" ht="72" customHeight="1" s="40">
      <c r="A8" s="17">
        <f>'2. Datos Ficticios'!A8</f>
        <v/>
      </c>
      <c r="B8" s="27">
        <f>'2. Datos Ficticios'!B8</f>
        <v/>
      </c>
      <c r="C8" s="21">
        <f>'2. Datos Ficticios'!D8*'2. Datos Ficticios'!E8</f>
        <v/>
      </c>
      <c r="D8" s="21">
        <f>'2. Datos Ficticios'!F8*'2. Datos Ficticios'!E8</f>
        <v/>
      </c>
      <c r="E8" s="21">
        <f>'2. Datos Ficticios'!G8*'2. Datos Ficticios'!E8</f>
        <v/>
      </c>
      <c r="F8" s="21">
        <f>'2. Datos Ficticios'!H8</f>
        <v/>
      </c>
      <c r="G8" s="28">
        <f>IFERROR(E8/F8,0)</f>
        <v/>
      </c>
      <c r="H8" s="28">
        <f>IFERROR(E8/D8,0)</f>
        <v/>
      </c>
      <c r="I8" s="29">
        <f>IFERROR(E8/C8,0)</f>
        <v/>
      </c>
      <c r="J8" s="30">
        <f>'2. Datos Ficticios'!G8*'2. Datos Ficticios'!I8</f>
        <v/>
      </c>
      <c r="K8" s="28">
        <f>IFERROR(J8/'2. Datos Ficticios'!J8,0)</f>
        <v/>
      </c>
      <c r="M8" s="10" t="inlineStr">
        <is>
          <t xml:space="preserve">Monto contractual
BAC ($/)
</t>
        </is>
      </c>
      <c r="N8" s="10" t="inlineStr">
        <is>
          <t>PV ($/)
(metr.plan. x P.U.)</t>
        </is>
      </c>
      <c r="O8" s="10" t="inlineStr">
        <is>
          <t>EV ($/)
(metr.ejec. x P.U.)</t>
        </is>
      </c>
      <c r="P8" s="10" t="inlineStr">
        <is>
          <t>AC ($/)
(Costo Real)</t>
        </is>
      </c>
      <c r="Q8" s="10" t="inlineStr">
        <is>
          <t>CPI
(EV/AC)</t>
        </is>
      </c>
      <c r="R8" s="10" t="inlineStr">
        <is>
          <t>SPI
(EV/PV)</t>
        </is>
      </c>
      <c r="S8" s="10" t="inlineStr">
        <is>
          <t>% Avance
Fisico (EV/BAC)</t>
        </is>
      </c>
      <c r="T8" s="10" t="inlineStr">
        <is>
          <t>HH Ganadas
(metr.ejec. x Rendim.)</t>
        </is>
      </c>
      <c r="U8" s="10" t="inlineStr">
        <is>
          <t>IP
(HH Ganadas/HH Reales acumuladas)</t>
        </is>
      </c>
    </row>
    <row r="9">
      <c r="A9" s="11">
        <f>'2. Datos Ficticios'!A9</f>
        <v/>
      </c>
      <c r="B9" s="23">
        <f>'2. Datos Ficticios'!B9</f>
        <v/>
      </c>
      <c r="C9" s="15">
        <f>'2. Datos Ficticios'!D9*'2. Datos Ficticios'!E9</f>
        <v/>
      </c>
      <c r="D9" s="15">
        <f>'2. Datos Ficticios'!F9*'2. Datos Ficticios'!E9</f>
        <v/>
      </c>
      <c r="E9" s="15">
        <f>'2. Datos Ficticios'!G9*'2. Datos Ficticios'!E9</f>
        <v/>
      </c>
      <c r="F9" s="15">
        <f>'2. Datos Ficticios'!H9</f>
        <v/>
      </c>
      <c r="G9" s="24">
        <f>IFERROR(E9/F9,0)</f>
        <v/>
      </c>
      <c r="H9" s="24">
        <f>IFERROR(E9/D9,0)</f>
        <v/>
      </c>
      <c r="I9" s="25">
        <f>IFERROR(E9/C9,0)</f>
        <v/>
      </c>
      <c r="J9" s="26">
        <f>'2. Datos Ficticios'!G9*'2. Datos Ficticios'!I9</f>
        <v/>
      </c>
      <c r="K9" s="24">
        <f>IFERROR(J9/'2. Datos Ficticios'!J9,0)</f>
        <v/>
      </c>
    </row>
    <row r="10">
      <c r="A10" s="17">
        <f>'2. Datos Ficticios'!A10</f>
        <v/>
      </c>
      <c r="B10" s="27">
        <f>'2. Datos Ficticios'!B10</f>
        <v/>
      </c>
      <c r="C10" s="21">
        <f>'2. Datos Ficticios'!D10*'2. Datos Ficticios'!E10</f>
        <v/>
      </c>
      <c r="D10" s="21">
        <f>'2. Datos Ficticios'!F10*'2. Datos Ficticios'!E10</f>
        <v/>
      </c>
      <c r="E10" s="21">
        <f>'2. Datos Ficticios'!G10*'2. Datos Ficticios'!E10</f>
        <v/>
      </c>
      <c r="F10" s="21">
        <f>'2. Datos Ficticios'!H10</f>
        <v/>
      </c>
      <c r="G10" s="28">
        <f>IFERROR(E10/F10,0)</f>
        <v/>
      </c>
      <c r="H10" s="28">
        <f>IFERROR(E10/D10,0)</f>
        <v/>
      </c>
      <c r="I10" s="29">
        <f>IFERROR(E10/C10,0)</f>
        <v/>
      </c>
      <c r="J10" s="30">
        <f>'2. Datos Ficticios'!G10*'2. Datos Ficticios'!I10</f>
        <v/>
      </c>
      <c r="K10" s="28">
        <f>IFERROR(J10/'2. Datos Ficticios'!J10,0)</f>
        <v/>
      </c>
    </row>
    <row r="11" ht="67.8" customHeight="1" s="40">
      <c r="A11" s="31" t="n"/>
      <c r="B11" s="31" t="inlineStr">
        <is>
          <t>TOTAL PROYECTO</t>
        </is>
      </c>
      <c r="C11" s="32">
        <f>SUM(C5:C10)</f>
        <v/>
      </c>
      <c r="D11" s="32">
        <f>SUM(D5:D10)</f>
        <v/>
      </c>
      <c r="E11" s="32">
        <f>SUM(E5:E10)</f>
        <v/>
      </c>
      <c r="F11" s="32">
        <f>SUM(F5:F10)</f>
        <v/>
      </c>
      <c r="G11" s="33">
        <f>IFERROR(E11/F11,0)</f>
        <v/>
      </c>
      <c r="H11" s="33">
        <f>IFERROR(E11/D11,0)</f>
        <v/>
      </c>
      <c r="I11" s="34">
        <f>IFERROR(E11/C11,0)</f>
        <v/>
      </c>
      <c r="J11" s="35">
        <f>SUM(J5:J10)</f>
        <v/>
      </c>
      <c r="K11" s="33">
        <f>IFERROR(J11/SUM('2. Datos Ficticios'!J5:'2. Datos Ficticios'!J10),0)</f>
        <v/>
      </c>
      <c r="M11" s="10" t="inlineStr">
        <is>
          <t>Unid.</t>
        </is>
      </c>
      <c r="N11" s="10" t="inlineStr">
        <is>
          <t>Metrado</t>
        </is>
      </c>
      <c r="O11" s="10" t="inlineStr">
        <is>
          <t>Precio
Unit. ($/)</t>
        </is>
      </c>
      <c r="P11" s="10" t="inlineStr">
        <is>
          <t>Metrado Planificado
Acumulado (a la fecha)</t>
        </is>
      </c>
      <c r="Q11" s="10" t="inlineStr">
        <is>
          <t>Metrado Ejecutado
Acumulado (real)</t>
        </is>
      </c>
      <c r="R11" s="10" t="inlineStr">
        <is>
          <t>Costo Real
Acumulado ($/)</t>
        </is>
      </c>
      <c r="S11" s="10" t="inlineStr">
        <is>
          <t>Rendimiento
(HH/Und)</t>
        </is>
      </c>
      <c r="T11" s="10" t="inlineStr">
        <is>
          <t>HH Reales
Acumuladas</t>
        </is>
      </c>
    </row>
    <row r="12" ht="28.05" customHeight="1" s="40">
      <c r="A12" s="43" t="inlineStr">
        <is>
          <t>El CPI, SPI, % Avance Fisico e IP del proyecto se calculan sobre los TOTALES (fila de arriba), nunca promediando el CPI/SPI/%/IP de cada partida por separado.</t>
        </is>
      </c>
    </row>
    <row r="14" ht="24" customHeight="1" s="40">
      <c r="A14" s="47" t="inlineStr">
        <is>
          <t>RESUMEN - INDICADORES DEL PROYECTO</t>
        </is>
      </c>
    </row>
    <row r="15" ht="15.6" customHeight="1" s="40">
      <c r="A15" s="44" t="inlineStr">
        <is>
          <t>BAC (Presupuesto Total)</t>
        </is>
      </c>
      <c r="B15" s="55" t="n"/>
      <c r="C15" s="55" t="n"/>
      <c r="D15" s="56" t="n"/>
      <c r="E15" s="36">
        <f>C11</f>
        <v/>
      </c>
    </row>
    <row r="16" ht="15.6" customHeight="1" s="40">
      <c r="A16" s="44" t="inlineStr">
        <is>
          <t>PV (Valor Planificado)</t>
        </is>
      </c>
      <c r="B16" s="55" t="n"/>
      <c r="C16" s="55" t="n"/>
      <c r="D16" s="56" t="n"/>
      <c r="E16" s="36">
        <f>D11</f>
        <v/>
      </c>
    </row>
    <row r="17" ht="15.6" customHeight="1" s="40">
      <c r="A17" s="44" t="inlineStr">
        <is>
          <t>EV (Valor Ganado)</t>
        </is>
      </c>
      <c r="B17" s="55" t="n"/>
      <c r="C17" s="55" t="n"/>
      <c r="D17" s="56" t="n"/>
      <c r="E17" s="36">
        <f>E11</f>
        <v/>
      </c>
    </row>
    <row r="18" ht="15.6" customHeight="1" s="40">
      <c r="A18" s="44" t="inlineStr">
        <is>
          <t>AC (Costo Real)</t>
        </is>
      </c>
      <c r="B18" s="55" t="n"/>
      <c r="C18" s="55" t="n"/>
      <c r="D18" s="56" t="n"/>
      <c r="E18" s="36">
        <f>F11</f>
        <v/>
      </c>
    </row>
    <row r="19" ht="15.6" customHeight="1" s="40">
      <c r="A19" s="44" t="inlineStr">
        <is>
          <t>CPI (Indice de Costo)</t>
        </is>
      </c>
      <c r="B19" s="55" t="n"/>
      <c r="C19" s="55" t="n"/>
      <c r="D19" s="56" t="n"/>
      <c r="E19" s="37">
        <f>G11</f>
        <v/>
      </c>
    </row>
    <row r="20" ht="15.6" customHeight="1" s="40">
      <c r="A20" s="44" t="inlineStr">
        <is>
          <t>SPI (Indice de Cronograma)</t>
        </is>
      </c>
      <c r="B20" s="55" t="n"/>
      <c r="C20" s="55" t="n"/>
      <c r="D20" s="56" t="n"/>
      <c r="E20" s="37">
        <f>H11</f>
        <v/>
      </c>
    </row>
    <row r="21" ht="15.6" customHeight="1" s="40">
      <c r="A21" s="44" t="inlineStr">
        <is>
          <t>IP (Indice de Productividad)</t>
        </is>
      </c>
      <c r="B21" s="55" t="n"/>
      <c r="C21" s="55" t="n"/>
      <c r="D21" s="56" t="n"/>
      <c r="E21" s="37">
        <f>K11</f>
        <v/>
      </c>
    </row>
    <row r="22" ht="15.6" customHeight="1" s="40">
      <c r="A22" s="44" t="inlineStr">
        <is>
          <t>EAC = AC + (BAC-EV)/CPI</t>
        </is>
      </c>
      <c r="B22" s="55" t="n"/>
      <c r="C22" s="55" t="n"/>
      <c r="D22" s="56" t="n"/>
      <c r="E22" s="36">
        <f>F11+(C11-E11)/G11</f>
        <v/>
      </c>
    </row>
    <row r="23" ht="15.6" customHeight="1" s="40">
      <c r="A23" s="44" t="inlineStr">
        <is>
          <t>VAC = BAC - EAC</t>
        </is>
      </c>
      <c r="B23" s="55" t="n"/>
      <c r="C23" s="55" t="n"/>
      <c r="D23" s="56" t="n"/>
      <c r="E23" s="36">
        <f>C11-E22</f>
        <v/>
      </c>
    </row>
    <row r="24" ht="15.6" customHeight="1" s="40">
      <c r="A24" s="44" t="inlineStr">
        <is>
          <t>% Avance Fisico = EV / BAC</t>
        </is>
      </c>
      <c r="B24" s="55" t="n"/>
      <c r="C24" s="55" t="n"/>
      <c r="D24" s="56" t="n"/>
      <c r="E24" s="38">
        <f>I11</f>
        <v/>
      </c>
    </row>
    <row r="26" ht="22.05" customHeight="1" s="40">
      <c r="A26" s="46" t="inlineStr">
        <is>
          <t>LECTURA AUTOMATICA (se actualiza sola con los datos)</t>
        </is>
      </c>
    </row>
    <row r="27" ht="30" customHeight="1" s="40">
      <c r="A27" s="45">
        <f>"El CPI del proyecto es "&amp;TEXT(G11,"0.00")&amp;" -&gt; "&amp;IF(G11&gt;=1,"por cada sol gastado se genero "&amp;TEXT(G11,"0.00")&amp;" soles de valor (eficiente).","por cada sol gastado solo se genero "&amp;TEXT(G11,"0.00")&amp;" soles de valor (se esta gastando de mas).")</f>
        <v/>
      </c>
      <c r="B27" s="55" t="n"/>
      <c r="C27" s="55" t="n"/>
      <c r="D27" s="55" t="n"/>
      <c r="E27" s="55" t="n"/>
      <c r="F27" s="55" t="n"/>
      <c r="G27" s="55" t="n"/>
      <c r="H27" s="55" t="n"/>
      <c r="I27" s="55" t="n"/>
      <c r="J27" s="55" t="n"/>
      <c r="K27" s="56" t="n"/>
    </row>
    <row r="28" ht="30" customHeight="1" s="40">
      <c r="A28" s="45">
        <f>"El SPI del proyecto es "&amp;TEXT(H11,"0.00")&amp;" -&gt; "&amp;IF(H11&gt;=1,"el proyecto va adelantado o en linea con lo planificado (en valor).","el proyecto va atrasado respecto a lo planificado (en valor).")</f>
        <v/>
      </c>
      <c r="B28" s="55" t="n"/>
      <c r="C28" s="55" t="n"/>
      <c r="D28" s="55" t="n"/>
      <c r="E28" s="55" t="n"/>
      <c r="F28" s="55" t="n"/>
      <c r="G28" s="55" t="n"/>
      <c r="H28" s="55" t="n"/>
      <c r="I28" s="55" t="n"/>
      <c r="J28" s="55" t="n"/>
      <c r="K28" s="56" t="n"/>
    </row>
    <row r="29" ht="30" customHeight="1" s="40">
      <c r="A29" s="45">
        <f>"El avance fisico real del proyecto es "&amp;TEXT(I11,"0.0%")&amp;", calculado sobre el valor de cada partida (EV/BAC), no como promedio simple de los % de metrado."</f>
        <v/>
      </c>
      <c r="B29" s="55" t="n"/>
      <c r="C29" s="55" t="n"/>
      <c r="D29" s="55" t="n"/>
      <c r="E29" s="55" t="n"/>
      <c r="F29" s="55" t="n"/>
      <c r="G29" s="55" t="n"/>
      <c r="H29" s="55" t="n"/>
      <c r="I29" s="55" t="n"/>
      <c r="J29" s="55" t="n"/>
      <c r="K29" s="56" t="n"/>
    </row>
    <row r="30" ht="30" customHeight="1" s="40">
      <c r="A30" s="45">
        <f>"El IP del proyecto es "&amp;TEXT(K11,"0.00")&amp;" -&gt; "&amp;IF(K11&gt;=1,"la mano de obra rinde igual o mejor que el estandar (HH ganadas &gt;= HH reales).","la mano de obra rinde por debajo del estandar (se usaron mas HH reales que las HH ganadas).")</f>
        <v/>
      </c>
      <c r="B30" s="55" t="n"/>
      <c r="C30" s="55" t="n"/>
      <c r="D30" s="55" t="n"/>
      <c r="E30" s="55" t="n"/>
      <c r="F30" s="55" t="n"/>
      <c r="G30" s="55" t="n"/>
      <c r="H30" s="55" t="n"/>
      <c r="I30" s="55" t="n"/>
      <c r="J30" s="55" t="n"/>
      <c r="K30" s="56" t="n"/>
    </row>
  </sheetData>
  <mergeCells count="19">
    <mergeCell ref="A17:D17"/>
    <mergeCell ref="A23:D23"/>
    <mergeCell ref="A22:D22"/>
    <mergeCell ref="A30:K30"/>
    <mergeCell ref="A20:D20"/>
    <mergeCell ref="A19:D19"/>
    <mergeCell ref="A1:K1"/>
    <mergeCell ref="A15:D15"/>
    <mergeCell ref="A24:D24"/>
    <mergeCell ref="A27:K27"/>
    <mergeCell ref="A12:K12"/>
    <mergeCell ref="A26:K26"/>
    <mergeCell ref="A2:K2"/>
    <mergeCell ref="A16:D16"/>
    <mergeCell ref="A14:K14"/>
    <mergeCell ref="A18:D18"/>
    <mergeCell ref="A29:K29"/>
    <mergeCell ref="A21:D21"/>
    <mergeCell ref="A28:K28"/>
  </mergeCells>
  <conditionalFormatting sqref="G5:G11">
    <cfRule type="cellIs" priority="1" operator="greaterThanOrEqual" dxfId="1">
      <formula>1</formula>
    </cfRule>
    <cfRule type="cellIs" priority="2" operator="lessThan" dxfId="0">
      <formula>1</formula>
    </cfRule>
  </conditionalFormatting>
  <conditionalFormatting sqref="H5:H11">
    <cfRule type="cellIs" priority="3" operator="greaterThanOrEqual" dxfId="1">
      <formula>1</formula>
    </cfRule>
    <cfRule type="cellIs" priority="4" operator="lessThan" dxfId="0">
      <formula>1</formula>
    </cfRule>
  </conditionalFormatting>
  <conditionalFormatting sqref="K5:K11">
    <cfRule type="cellIs" priority="5" operator="greaterThanOrEqual" dxfId="1">
      <formula>1</formula>
    </cfRule>
    <cfRule type="cellIs" priority="6" operator="lessThan" dxfId="0">
      <formula>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2026-08-18T19:19:10Z</dcterms:created>
  <dcterms:modified xmlns:dcterms="http://purl.org/dc/terms/" xmlns:xsi="http://www.w3.org/2001/XMLSchema-instance" xsi:type="dcterms:W3CDTF">2026-08-18T22:16:35Z</dcterms:modified>
  <cp:lastModifiedBy>BRANDY</cp:lastModifiedBy>
</cp:coreProperties>
</file>