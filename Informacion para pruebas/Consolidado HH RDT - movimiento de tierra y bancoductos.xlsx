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H por fech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11">
    <font>
      <name val="Calibri"/>
      <family val="2"/>
      <color theme="1"/>
      <sz val="11"/>
      <scheme val="minor"/>
    </font>
    <font>
      <b val="1"/>
      <sz val="13"/>
    </font>
    <font>
      <i val="1"/>
      <color rgb="00555555"/>
      <sz val="9"/>
    </font>
    <font>
      <b val="1"/>
      <color rgb="00FFFFFF"/>
      <sz val="10"/>
    </font>
    <font>
      <b val="1"/>
    </font>
    <font>
      <color rgb="00C00000"/>
      <sz val="8"/>
    </font>
    <font>
      <b val="1"/>
      <sz val="9"/>
    </font>
    <font>
      <b val="1"/>
      <sz val="10"/>
    </font>
    <font>
      <color rgb="00555555"/>
      <sz val="8"/>
    </font>
    <font>
      <b val="1"/>
      <sz val="11"/>
    </font>
    <font>
      <i val="1"/>
      <color rgb="00C00000"/>
      <sz val="8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DE9D9"/>
      </patternFill>
    </fill>
    <fill>
      <patternFill patternType="solid">
        <fgColor rgb="00E2EFDA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165" fontId="0" fillId="0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4" fontId="0" fillId="0" borderId="1" applyAlignment="1" pivotButton="0" quotePrefix="0" xfId="0">
      <alignment horizontal="right"/>
    </xf>
    <xf numFmtId="0" fontId="0" fillId="3" borderId="1" applyAlignment="1" pivotButton="0" quotePrefix="0" xfId="0">
      <alignment horizontal="right"/>
    </xf>
    <xf numFmtId="4" fontId="0" fillId="3" borderId="1" applyAlignment="1" pivotButton="0" quotePrefix="0" xfId="0">
      <alignment horizontal="right"/>
    </xf>
    <xf numFmtId="4" fontId="4" fillId="4" borderId="1" applyAlignment="1" pivotButton="0" quotePrefix="0" xfId="0">
      <alignment horizontal="right"/>
    </xf>
    <xf numFmtId="0" fontId="5" fillId="0" borderId="1" pivotButton="0" quotePrefix="0" xfId="0"/>
    <xf numFmtId="0" fontId="3" fillId="5" borderId="0" pivotButton="0" quotePrefix="0" xfId="0"/>
    <xf numFmtId="0" fontId="0" fillId="5" borderId="1" pivotButton="0" quotePrefix="0" xfId="0"/>
    <xf numFmtId="4" fontId="3" fillId="5" borderId="1" applyAlignment="1" pivotButton="0" quotePrefix="0" xfId="0">
      <alignment horizontal="right"/>
    </xf>
    <xf numFmtId="0" fontId="6" fillId="0" borderId="0" pivotButton="0" quotePrefix="0" xfId="0"/>
    <xf numFmtId="4" fontId="6" fillId="0" borderId="1" applyAlignment="1" pivotButton="0" quotePrefix="0" xfId="0">
      <alignment horizontal="right"/>
    </xf>
    <xf numFmtId="0" fontId="5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0" fillId="4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8" customWidth="1" min="3" max="3"/>
    <col width="9" customWidth="1" min="4" max="4"/>
    <col width="10" customWidth="1" min="5" max="5"/>
    <col width="12" customWidth="1" min="6" max="6"/>
    <col width="12" customWidth="1" min="7" max="7"/>
    <col width="8" customWidth="1" min="8" max="8"/>
    <col width="9" customWidth="1" min="9" max="9"/>
    <col width="16" customWidth="1" min="10" max="10"/>
    <col width="11" customWidth="1" min="11" max="11"/>
    <col width="13" customWidth="1" min="12" max="12"/>
    <col width="34" customWidth="1" min="13" max="13"/>
  </cols>
  <sheetData>
    <row r="1">
      <c r="A1" s="1" t="inlineStr">
        <is>
          <t>Consolidado de HH — RDT diarios del servicio Movimiento de tierra e instalación de bancoductos</t>
        </is>
      </c>
    </row>
    <row r="2">
      <c r="A2" s="2" t="inlineStr">
        <is>
          <t>Extraído de 51 archivos CONTROL PROMCOSER de la carpeta de RDTs. HH del día = personas con asistencia «A» × hh/día del bloque de cuadrilla del RDO.</t>
        </is>
      </c>
    </row>
    <row r="3">
      <c r="A3" s="2" t="inlineStr">
        <is>
          <t>Para este servicio se cuenta MOD en mina + MDI (esté en mina o en Marcona/cantera). Se excluye únicamente la MOD de cantera/Marcona.</t>
        </is>
      </c>
    </row>
    <row r="5" ht="32" customHeight="1">
      <c r="A5" s="3" t="inlineStr">
        <is>
          <t>Fecha del RDO</t>
        </is>
      </c>
      <c r="B5" s="3" t="inlineStr">
        <is>
          <t>Archivo RDT</t>
        </is>
      </c>
      <c r="C5" s="3" t="inlineStr">
        <is>
          <t>hh/día</t>
        </is>
      </c>
      <c r="D5" s="3" t="inlineStr">
        <is>
          <t>MOD mina
pers.</t>
        </is>
      </c>
      <c r="E5" s="3" t="inlineStr">
        <is>
          <t>MOD mina
HH</t>
        </is>
      </c>
      <c r="F5" s="3" t="inlineStr">
        <is>
          <t>MOD cantera/Marcona
pers.</t>
        </is>
      </c>
      <c r="G5" s="3" t="inlineStr">
        <is>
          <t>MOD cantera/Marcona
HH</t>
        </is>
      </c>
      <c r="H5" s="3" t="inlineStr">
        <is>
          <t>MDI
pers.</t>
        </is>
      </c>
      <c r="I5" s="3" t="inlineStr">
        <is>
          <t>MDI
HH</t>
        </is>
      </c>
      <c r="J5" s="3" t="inlineStr">
        <is>
          <t>HH de este servicio
(MOD mina + MDI)</t>
        </is>
      </c>
      <c r="K5" s="3" t="inlineStr">
        <is>
          <t>HH total
cuadrilla</t>
        </is>
      </c>
      <c r="L5" s="3" t="inlineStr">
        <is>
          <t>Control: HH del
bloque RDO</t>
        </is>
      </c>
      <c r="M5" s="3" t="inlineStr">
        <is>
          <t>Nota</t>
        </is>
      </c>
    </row>
    <row r="6">
      <c r="A6" s="4" t="n">
        <v>46214</v>
      </c>
      <c r="B6" s="5" t="inlineStr">
        <is>
          <t>CONTROL PROMCOSER 07-11.xlsx</t>
        </is>
      </c>
      <c r="C6" s="6" t="n">
        <v>10</v>
      </c>
      <c r="D6" s="6" t="n">
        <v>8</v>
      </c>
      <c r="E6" s="7" t="n">
        <v>80</v>
      </c>
      <c r="F6" s="8" t="n">
        <v>3</v>
      </c>
      <c r="G6" s="9" t="n">
        <v>30</v>
      </c>
      <c r="H6" s="6" t="n">
        <v>3</v>
      </c>
      <c r="I6" s="7" t="n">
        <v>30</v>
      </c>
      <c r="J6" s="10" t="n">
        <v>110</v>
      </c>
      <c r="K6" s="7" t="n">
        <v>140</v>
      </c>
      <c r="L6" s="7" t="n">
        <v>140</v>
      </c>
      <c r="M6" s="5" t="inlineStr"/>
    </row>
    <row r="7">
      <c r="A7" s="4" t="n">
        <v>46216</v>
      </c>
      <c r="B7" s="5" t="inlineStr">
        <is>
          <t>CONTROL PROMCOSER 07-13.xlsx</t>
        </is>
      </c>
      <c r="C7" s="6" t="n">
        <v>10</v>
      </c>
      <c r="D7" s="6" t="n">
        <v>8</v>
      </c>
      <c r="E7" s="7" t="n">
        <v>80</v>
      </c>
      <c r="F7" s="8" t="n">
        <v>3</v>
      </c>
      <c r="G7" s="9" t="n">
        <v>30</v>
      </c>
      <c r="H7" s="6" t="n">
        <v>3</v>
      </c>
      <c r="I7" s="7" t="n">
        <v>30</v>
      </c>
      <c r="J7" s="10" t="n">
        <v>110</v>
      </c>
      <c r="K7" s="7" t="n">
        <v>140</v>
      </c>
      <c r="L7" s="7" t="n">
        <v>140</v>
      </c>
      <c r="M7" s="5" t="inlineStr"/>
    </row>
    <row r="8">
      <c r="A8" s="4" t="n">
        <v>46217</v>
      </c>
      <c r="B8" s="5" t="inlineStr">
        <is>
          <t>CONTROL PROMCOSER 07-14.xlsx</t>
        </is>
      </c>
      <c r="C8" s="6" t="n">
        <v>10</v>
      </c>
      <c r="D8" s="6" t="n">
        <v>8</v>
      </c>
      <c r="E8" s="7" t="n">
        <v>80</v>
      </c>
      <c r="F8" s="8" t="n">
        <v>3</v>
      </c>
      <c r="G8" s="9" t="n">
        <v>30</v>
      </c>
      <c r="H8" s="6" t="n">
        <v>3</v>
      </c>
      <c r="I8" s="7" t="n">
        <v>30</v>
      </c>
      <c r="J8" s="10" t="n">
        <v>110</v>
      </c>
      <c r="K8" s="7" t="n">
        <v>140</v>
      </c>
      <c r="L8" s="7" t="n">
        <v>140</v>
      </c>
      <c r="M8" s="5" t="inlineStr"/>
    </row>
    <row r="9">
      <c r="A9" s="4" t="n">
        <v>46218</v>
      </c>
      <c r="B9" s="5" t="inlineStr">
        <is>
          <t>CONTROL PROMCOSER 07-15.xlsx</t>
        </is>
      </c>
      <c r="C9" s="6" t="n">
        <v>10</v>
      </c>
      <c r="D9" s="6" t="n">
        <v>8</v>
      </c>
      <c r="E9" s="7" t="n">
        <v>80</v>
      </c>
      <c r="F9" s="8" t="n">
        <v>3</v>
      </c>
      <c r="G9" s="9" t="n">
        <v>30</v>
      </c>
      <c r="H9" s="6" t="n">
        <v>3</v>
      </c>
      <c r="I9" s="7" t="n">
        <v>30</v>
      </c>
      <c r="J9" s="10" t="n">
        <v>110</v>
      </c>
      <c r="K9" s="7" t="n">
        <v>140</v>
      </c>
      <c r="L9" s="7" t="n">
        <v>140</v>
      </c>
      <c r="M9" s="5" t="inlineStr"/>
    </row>
    <row r="10">
      <c r="A10" s="4" t="n">
        <v>46219</v>
      </c>
      <c r="B10" s="5" t="inlineStr">
        <is>
          <t>CONTROL PROMCOSER 07-16.xlsx</t>
        </is>
      </c>
      <c r="C10" s="6" t="n">
        <v>10</v>
      </c>
      <c r="D10" s="6" t="n">
        <v>8</v>
      </c>
      <c r="E10" s="7" t="n">
        <v>80</v>
      </c>
      <c r="F10" s="8" t="n">
        <v>3</v>
      </c>
      <c r="G10" s="9" t="n">
        <v>30</v>
      </c>
      <c r="H10" s="6" t="n">
        <v>3</v>
      </c>
      <c r="I10" s="7" t="n">
        <v>30</v>
      </c>
      <c r="J10" s="10" t="n">
        <v>110</v>
      </c>
      <c r="K10" s="7" t="n">
        <v>140</v>
      </c>
      <c r="L10" s="7" t="n">
        <v>140</v>
      </c>
      <c r="M10" s="5" t="inlineStr"/>
    </row>
    <row r="11">
      <c r="A11" s="4" t="n">
        <v>46220</v>
      </c>
      <c r="B11" s="5" t="inlineStr">
        <is>
          <t>CONTROL PROMCOSER 07-17.xlsx</t>
        </is>
      </c>
      <c r="C11" s="6" t="n">
        <v>10</v>
      </c>
      <c r="D11" s="6" t="n">
        <v>8</v>
      </c>
      <c r="E11" s="7" t="n">
        <v>80</v>
      </c>
      <c r="F11" s="8" t="n">
        <v>3</v>
      </c>
      <c r="G11" s="9" t="n">
        <v>30</v>
      </c>
      <c r="H11" s="6" t="n">
        <v>3</v>
      </c>
      <c r="I11" s="7" t="n">
        <v>30</v>
      </c>
      <c r="J11" s="10" t="n">
        <v>110</v>
      </c>
      <c r="K11" s="7" t="n">
        <v>140</v>
      </c>
      <c r="L11" s="7" t="n">
        <v>140</v>
      </c>
      <c r="M11" s="5" t="inlineStr"/>
    </row>
    <row r="12">
      <c r="A12" s="4" t="n">
        <v>46221</v>
      </c>
      <c r="B12" s="5" t="inlineStr">
        <is>
          <t>CONTROL PROMCOSER 07-18.xlsx</t>
        </is>
      </c>
      <c r="C12" s="6" t="n">
        <v>10</v>
      </c>
      <c r="D12" s="6" t="n">
        <v>8</v>
      </c>
      <c r="E12" s="7" t="n">
        <v>80</v>
      </c>
      <c r="F12" s="8" t="n">
        <v>3</v>
      </c>
      <c r="G12" s="9" t="n">
        <v>30</v>
      </c>
      <c r="H12" s="6" t="n">
        <v>3</v>
      </c>
      <c r="I12" s="7" t="n">
        <v>30</v>
      </c>
      <c r="J12" s="10" t="n">
        <v>110</v>
      </c>
      <c r="K12" s="7" t="n">
        <v>140</v>
      </c>
      <c r="L12" s="7" t="n">
        <v>140</v>
      </c>
      <c r="M12" s="5" t="inlineStr"/>
    </row>
    <row r="13">
      <c r="A13" s="4" t="n">
        <v>46223</v>
      </c>
      <c r="B13" s="5" t="inlineStr">
        <is>
          <t>CONTROL PROMCOSER 07-20.xlsx</t>
        </is>
      </c>
      <c r="C13" s="6" t="n">
        <v>10</v>
      </c>
      <c r="D13" s="6" t="n">
        <v>8</v>
      </c>
      <c r="E13" s="7" t="n">
        <v>80</v>
      </c>
      <c r="F13" s="8" t="n">
        <v>3</v>
      </c>
      <c r="G13" s="9" t="n">
        <v>30</v>
      </c>
      <c r="H13" s="6" t="n">
        <v>3</v>
      </c>
      <c r="I13" s="7" t="n">
        <v>30</v>
      </c>
      <c r="J13" s="10" t="n">
        <v>110</v>
      </c>
      <c r="K13" s="7" t="n">
        <v>140</v>
      </c>
      <c r="L13" s="7" t="n">
        <v>140</v>
      </c>
      <c r="M13" s="5" t="inlineStr"/>
    </row>
    <row r="14">
      <c r="A14" s="4" t="n">
        <v>46224</v>
      </c>
      <c r="B14" s="5" t="inlineStr">
        <is>
          <t>CONTROL PROMCOSER 07-21.xlsx</t>
        </is>
      </c>
      <c r="C14" s="6" t="n">
        <v>10</v>
      </c>
      <c r="D14" s="6" t="n">
        <v>8</v>
      </c>
      <c r="E14" s="7" t="n">
        <v>80</v>
      </c>
      <c r="F14" s="8" t="n">
        <v>3</v>
      </c>
      <c r="G14" s="9" t="n">
        <v>30</v>
      </c>
      <c r="H14" s="6" t="n">
        <v>3</v>
      </c>
      <c r="I14" s="7" t="n">
        <v>30</v>
      </c>
      <c r="J14" s="10" t="n">
        <v>110</v>
      </c>
      <c r="K14" s="7" t="n">
        <v>140</v>
      </c>
      <c r="L14" s="7" t="n">
        <v>140</v>
      </c>
      <c r="M14" s="5" t="inlineStr"/>
    </row>
    <row r="15">
      <c r="A15" s="4" t="n">
        <v>46225</v>
      </c>
      <c r="B15" s="5" t="inlineStr">
        <is>
          <t>CONTROL PROMCOSER 07-22.xlsx</t>
        </is>
      </c>
      <c r="C15" s="6" t="n">
        <v>10</v>
      </c>
      <c r="D15" s="6" t="n">
        <v>8</v>
      </c>
      <c r="E15" s="7" t="n">
        <v>80</v>
      </c>
      <c r="F15" s="8" t="n">
        <v>3</v>
      </c>
      <c r="G15" s="9" t="n">
        <v>30</v>
      </c>
      <c r="H15" s="6" t="n">
        <v>3</v>
      </c>
      <c r="I15" s="7" t="n">
        <v>30</v>
      </c>
      <c r="J15" s="10" t="n">
        <v>110</v>
      </c>
      <c r="K15" s="7" t="n">
        <v>140</v>
      </c>
      <c r="L15" s="7" t="n">
        <v>140</v>
      </c>
      <c r="M15" s="11" t="inlineStr">
        <is>
          <t>fecha repetida: hay otro RDT con esta misma fecha</t>
        </is>
      </c>
    </row>
    <row r="16">
      <c r="A16" s="4" t="n">
        <v>46225</v>
      </c>
      <c r="B16" s="5" t="inlineStr">
        <is>
          <t>CONTROL PROMCOSER 07-23.xlsx</t>
        </is>
      </c>
      <c r="C16" s="6" t="n">
        <v>10</v>
      </c>
      <c r="D16" s="6" t="n">
        <v>8</v>
      </c>
      <c r="E16" s="7" t="n">
        <v>80</v>
      </c>
      <c r="F16" s="8" t="n">
        <v>3</v>
      </c>
      <c r="G16" s="9" t="n">
        <v>30</v>
      </c>
      <c r="H16" s="6" t="n">
        <v>3</v>
      </c>
      <c r="I16" s="7" t="n">
        <v>30</v>
      </c>
      <c r="J16" s="10" t="n">
        <v>110</v>
      </c>
      <c r="K16" s="7" t="n">
        <v>140</v>
      </c>
      <c r="L16" s="7" t="n">
        <v>140</v>
      </c>
      <c r="M16" s="11" t="inlineStr">
        <is>
          <t>el nombre del archivo dice 23/07 pero la celda «Fecha de RDO» dice 22/07; fecha repetida: hay otro RDT con esta misma fecha</t>
        </is>
      </c>
    </row>
    <row r="17">
      <c r="A17" s="4" t="n">
        <v>46227</v>
      </c>
      <c r="B17" s="5" t="inlineStr">
        <is>
          <t>CONTROL PROMCOSER 07-24.xlsx</t>
        </is>
      </c>
      <c r="C17" s="6" t="n">
        <v>10</v>
      </c>
      <c r="D17" s="6" t="n">
        <v>8</v>
      </c>
      <c r="E17" s="7" t="n">
        <v>80</v>
      </c>
      <c r="F17" s="8" t="n">
        <v>3</v>
      </c>
      <c r="G17" s="9" t="n">
        <v>30</v>
      </c>
      <c r="H17" s="6" t="n">
        <v>3</v>
      </c>
      <c r="I17" s="7" t="n">
        <v>30</v>
      </c>
      <c r="J17" s="10" t="n">
        <v>110</v>
      </c>
      <c r="K17" s="7" t="n">
        <v>140</v>
      </c>
      <c r="L17" s="7" t="n">
        <v>140</v>
      </c>
      <c r="M17" s="5" t="inlineStr"/>
    </row>
    <row r="18">
      <c r="A18" s="4" t="n">
        <v>46228</v>
      </c>
      <c r="B18" s="5" t="inlineStr">
        <is>
          <t>CONTROL PROMCOSER 07-25.xlsx</t>
        </is>
      </c>
      <c r="C18" s="6" t="n">
        <v>10</v>
      </c>
      <c r="D18" s="6" t="n">
        <v>8</v>
      </c>
      <c r="E18" s="7" t="n">
        <v>80</v>
      </c>
      <c r="F18" s="8" t="n">
        <v>3</v>
      </c>
      <c r="G18" s="9" t="n">
        <v>30</v>
      </c>
      <c r="H18" s="6" t="n">
        <v>3</v>
      </c>
      <c r="I18" s="7" t="n">
        <v>30</v>
      </c>
      <c r="J18" s="10" t="n">
        <v>110</v>
      </c>
      <c r="K18" s="7" t="n">
        <v>140</v>
      </c>
      <c r="L18" s="7" t="n">
        <v>140</v>
      </c>
      <c r="M18" s="5" t="inlineStr"/>
    </row>
    <row r="19">
      <c r="A19" s="4" t="n">
        <v>46230</v>
      </c>
      <c r="B19" s="5" t="inlineStr">
        <is>
          <t>CONTROL PROMCOSER 07-27.xlsx</t>
        </is>
      </c>
      <c r="C19" s="6" t="n">
        <v>10</v>
      </c>
      <c r="D19" s="6" t="n">
        <v>8</v>
      </c>
      <c r="E19" s="7" t="n">
        <v>80</v>
      </c>
      <c r="F19" s="8" t="n">
        <v>3</v>
      </c>
      <c r="G19" s="9" t="n">
        <v>30</v>
      </c>
      <c r="H19" s="6" t="n">
        <v>3</v>
      </c>
      <c r="I19" s="7" t="n">
        <v>30</v>
      </c>
      <c r="J19" s="10" t="n">
        <v>110</v>
      </c>
      <c r="K19" s="7" t="n">
        <v>140</v>
      </c>
      <c r="L19" s="7" t="n">
        <v>140</v>
      </c>
      <c r="M19" s="5" t="inlineStr"/>
    </row>
    <row r="20">
      <c r="A20" s="4" t="n">
        <v>46231</v>
      </c>
      <c r="B20" s="5" t="inlineStr">
        <is>
          <t>CONTROL PROMCOSER 07-28.xlsx</t>
        </is>
      </c>
      <c r="C20" s="6" t="n">
        <v>10</v>
      </c>
      <c r="D20" s="6" t="n">
        <v>8</v>
      </c>
      <c r="E20" s="7" t="n">
        <v>80</v>
      </c>
      <c r="F20" s="8" t="n">
        <v>3</v>
      </c>
      <c r="G20" s="9" t="n">
        <v>30</v>
      </c>
      <c r="H20" s="6" t="n">
        <v>3</v>
      </c>
      <c r="I20" s="7" t="n">
        <v>30</v>
      </c>
      <c r="J20" s="10" t="n">
        <v>110</v>
      </c>
      <c r="K20" s="7" t="n">
        <v>140</v>
      </c>
      <c r="L20" s="7" t="n">
        <v>140</v>
      </c>
      <c r="M20" s="5" t="inlineStr"/>
    </row>
    <row r="21">
      <c r="A21" s="4" t="n">
        <v>46232</v>
      </c>
      <c r="B21" s="5" t="inlineStr">
        <is>
          <t>CONTROL PROMCOSER 07-29.xlsx</t>
        </is>
      </c>
      <c r="C21" s="6" t="n">
        <v>10</v>
      </c>
      <c r="D21" s="6" t="n">
        <v>8</v>
      </c>
      <c r="E21" s="7" t="n">
        <v>80</v>
      </c>
      <c r="F21" s="8" t="n">
        <v>3</v>
      </c>
      <c r="G21" s="9" t="n">
        <v>30</v>
      </c>
      <c r="H21" s="6" t="n">
        <v>3</v>
      </c>
      <c r="I21" s="7" t="n">
        <v>30</v>
      </c>
      <c r="J21" s="10" t="n">
        <v>110</v>
      </c>
      <c r="K21" s="7" t="n">
        <v>140</v>
      </c>
      <c r="L21" s="7" t="n">
        <v>140</v>
      </c>
      <c r="M21" s="5" t="inlineStr"/>
    </row>
    <row r="22">
      <c r="A22" s="4" t="n">
        <v>46233</v>
      </c>
      <c r="B22" s="5" t="inlineStr">
        <is>
          <t>CONTROL PROMCOSER 07-30.xlsx</t>
        </is>
      </c>
      <c r="C22" s="6" t="n">
        <v>10</v>
      </c>
      <c r="D22" s="6" t="n">
        <v>8</v>
      </c>
      <c r="E22" s="7" t="n">
        <v>80</v>
      </c>
      <c r="F22" s="8" t="n">
        <v>3</v>
      </c>
      <c r="G22" s="9" t="n">
        <v>30</v>
      </c>
      <c r="H22" s="6" t="n">
        <v>3</v>
      </c>
      <c r="I22" s="7" t="n">
        <v>30</v>
      </c>
      <c r="J22" s="10" t="n">
        <v>110</v>
      </c>
      <c r="K22" s="7" t="n">
        <v>140</v>
      </c>
      <c r="L22" s="7" t="n">
        <v>140</v>
      </c>
      <c r="M22" s="5" t="inlineStr"/>
    </row>
    <row r="23">
      <c r="A23" s="4" t="n">
        <v>46234</v>
      </c>
      <c r="B23" s="5" t="inlineStr">
        <is>
          <t>CONTROL PROMCOSER 07-31.xlsx</t>
        </is>
      </c>
      <c r="C23" s="6" t="n">
        <v>10</v>
      </c>
      <c r="D23" s="6" t="n">
        <v>8</v>
      </c>
      <c r="E23" s="7" t="n">
        <v>80</v>
      </c>
      <c r="F23" s="8" t="n">
        <v>3</v>
      </c>
      <c r="G23" s="9" t="n">
        <v>30</v>
      </c>
      <c r="H23" s="6" t="n">
        <v>3</v>
      </c>
      <c r="I23" s="7" t="n">
        <v>30</v>
      </c>
      <c r="J23" s="10" t="n">
        <v>110</v>
      </c>
      <c r="K23" s="7" t="n">
        <v>140</v>
      </c>
      <c r="L23" s="7" t="n">
        <v>140</v>
      </c>
      <c r="M23" s="5" t="inlineStr"/>
    </row>
    <row r="24">
      <c r="A24" s="4" t="n">
        <v>46235</v>
      </c>
      <c r="B24" s="5" t="inlineStr">
        <is>
          <t>CONTROL PROMCOSER 08-01.xlsx</t>
        </is>
      </c>
      <c r="C24" s="6" t="n">
        <v>10</v>
      </c>
      <c r="D24" s="6" t="n">
        <v>8</v>
      </c>
      <c r="E24" s="7" t="n">
        <v>80</v>
      </c>
      <c r="F24" s="8" t="n">
        <v>3</v>
      </c>
      <c r="G24" s="9" t="n">
        <v>30</v>
      </c>
      <c r="H24" s="6" t="n">
        <v>3</v>
      </c>
      <c r="I24" s="7" t="n">
        <v>30</v>
      </c>
      <c r="J24" s="10" t="n">
        <v>110</v>
      </c>
      <c r="K24" s="7" t="n">
        <v>140</v>
      </c>
      <c r="L24" s="7" t="n">
        <v>140</v>
      </c>
      <c r="M24" s="5" t="inlineStr"/>
    </row>
    <row r="25">
      <c r="A25" s="4" t="n">
        <v>46237</v>
      </c>
      <c r="B25" s="5" t="inlineStr">
        <is>
          <t>CONTROL PROMCOSER 08-03.xlsx</t>
        </is>
      </c>
      <c r="C25" s="6" t="n">
        <v>10</v>
      </c>
      <c r="D25" s="6" t="n">
        <v>8</v>
      </c>
      <c r="E25" s="7" t="n">
        <v>80</v>
      </c>
      <c r="F25" s="8" t="n">
        <v>3</v>
      </c>
      <c r="G25" s="9" t="n">
        <v>30</v>
      </c>
      <c r="H25" s="6" t="n">
        <v>3</v>
      </c>
      <c r="I25" s="7" t="n">
        <v>30</v>
      </c>
      <c r="J25" s="10" t="n">
        <v>110</v>
      </c>
      <c r="K25" s="7" t="n">
        <v>140</v>
      </c>
      <c r="L25" s="7" t="n">
        <v>140</v>
      </c>
      <c r="M25" s="5" t="inlineStr"/>
    </row>
    <row r="26">
      <c r="A26" s="4" t="n">
        <v>46238</v>
      </c>
      <c r="B26" s="5" t="inlineStr">
        <is>
          <t>CONTROL PROMCOSER 08-04.xlsx</t>
        </is>
      </c>
      <c r="C26" s="6" t="n">
        <v>10</v>
      </c>
      <c r="D26" s="6" t="n">
        <v>8</v>
      </c>
      <c r="E26" s="7" t="n">
        <v>80</v>
      </c>
      <c r="F26" s="8" t="n">
        <v>3</v>
      </c>
      <c r="G26" s="9" t="n">
        <v>30</v>
      </c>
      <c r="H26" s="6" t="n">
        <v>3</v>
      </c>
      <c r="I26" s="7" t="n">
        <v>30</v>
      </c>
      <c r="J26" s="10" t="n">
        <v>110</v>
      </c>
      <c r="K26" s="7" t="n">
        <v>140</v>
      </c>
      <c r="L26" s="7" t="n">
        <v>140</v>
      </c>
      <c r="M26" s="5" t="inlineStr"/>
    </row>
    <row r="27">
      <c r="A27" s="4" t="n">
        <v>46239</v>
      </c>
      <c r="B27" s="5" t="inlineStr">
        <is>
          <t>CONTROL PROMCOSER 08-05.xlsx</t>
        </is>
      </c>
      <c r="C27" s="6" t="n">
        <v>10</v>
      </c>
      <c r="D27" s="6" t="n">
        <v>8</v>
      </c>
      <c r="E27" s="7" t="n">
        <v>80</v>
      </c>
      <c r="F27" s="8" t="n">
        <v>3</v>
      </c>
      <c r="G27" s="9" t="n">
        <v>30</v>
      </c>
      <c r="H27" s="6" t="n">
        <v>3</v>
      </c>
      <c r="I27" s="7" t="n">
        <v>30</v>
      </c>
      <c r="J27" s="10" t="n">
        <v>110</v>
      </c>
      <c r="K27" s="7" t="n">
        <v>140</v>
      </c>
      <c r="L27" s="7" t="n">
        <v>140</v>
      </c>
      <c r="M27" s="5" t="inlineStr"/>
    </row>
    <row r="28">
      <c r="A28" s="4" t="n">
        <v>46240</v>
      </c>
      <c r="B28" s="5" t="inlineStr">
        <is>
          <t>CONTROL PROMCOSER 08-06.xlsx</t>
        </is>
      </c>
      <c r="C28" s="6" t="n">
        <v>10</v>
      </c>
      <c r="D28" s="6" t="n">
        <v>8</v>
      </c>
      <c r="E28" s="7" t="n">
        <v>80</v>
      </c>
      <c r="F28" s="8" t="n">
        <v>3</v>
      </c>
      <c r="G28" s="9" t="n">
        <v>30</v>
      </c>
      <c r="H28" s="6" t="n">
        <v>3</v>
      </c>
      <c r="I28" s="7" t="n">
        <v>30</v>
      </c>
      <c r="J28" s="10" t="n">
        <v>110</v>
      </c>
      <c r="K28" s="7" t="n">
        <v>140</v>
      </c>
      <c r="L28" s="7" t="n">
        <v>10</v>
      </c>
      <c r="M28" s="11" t="inlineStr">
        <is>
          <t>difiere del bloque del RDO en +130.00 hh</t>
        </is>
      </c>
    </row>
    <row r="29">
      <c r="A29" s="4" t="n">
        <v>46241</v>
      </c>
      <c r="B29" s="5" t="inlineStr">
        <is>
          <t>CONTROL PROMCOSER 08-07.xlsx</t>
        </is>
      </c>
      <c r="C29" s="6" t="n">
        <v>9.5</v>
      </c>
      <c r="D29" s="6" t="n">
        <v>8</v>
      </c>
      <c r="E29" s="7" t="n">
        <v>76</v>
      </c>
      <c r="F29" s="8" t="n">
        <v>3</v>
      </c>
      <c r="G29" s="9" t="n">
        <v>28.5</v>
      </c>
      <c r="H29" s="6" t="n">
        <v>3</v>
      </c>
      <c r="I29" s="7" t="n">
        <v>28.5</v>
      </c>
      <c r="J29" s="10" t="n">
        <v>104.5</v>
      </c>
      <c r="K29" s="7" t="n">
        <v>133</v>
      </c>
      <c r="L29" s="7" t="n">
        <v>133</v>
      </c>
      <c r="M29" s="5" t="inlineStr"/>
    </row>
    <row r="30">
      <c r="A30" s="4" t="n">
        <v>46242</v>
      </c>
      <c r="B30" s="5" t="inlineStr">
        <is>
          <t>CONTROL PROMCOSER 08-08.xlsx</t>
        </is>
      </c>
      <c r="C30" s="6" t="n">
        <v>9.5</v>
      </c>
      <c r="D30" s="6" t="n">
        <v>8</v>
      </c>
      <c r="E30" s="7" t="n">
        <v>76</v>
      </c>
      <c r="F30" s="8" t="n">
        <v>3</v>
      </c>
      <c r="G30" s="9" t="n">
        <v>28.5</v>
      </c>
      <c r="H30" s="6" t="n">
        <v>3</v>
      </c>
      <c r="I30" s="7" t="n">
        <v>28.5</v>
      </c>
      <c r="J30" s="10" t="n">
        <v>104.5</v>
      </c>
      <c r="K30" s="7" t="n">
        <v>133</v>
      </c>
      <c r="L30" s="7" t="n">
        <v>133</v>
      </c>
      <c r="M30" s="5" t="inlineStr"/>
    </row>
    <row r="31">
      <c r="A31" s="4" t="n">
        <v>46244</v>
      </c>
      <c r="B31" s="5" t="inlineStr">
        <is>
          <t>CONTROL PROMCOSER 08-10.xlsx</t>
        </is>
      </c>
      <c r="C31" s="6" t="n">
        <v>9</v>
      </c>
      <c r="D31" s="6" t="n">
        <v>8</v>
      </c>
      <c r="E31" s="7" t="n">
        <v>72</v>
      </c>
      <c r="F31" s="8" t="n">
        <v>3</v>
      </c>
      <c r="G31" s="9" t="n">
        <v>27</v>
      </c>
      <c r="H31" s="6" t="n">
        <v>3</v>
      </c>
      <c r="I31" s="7" t="n">
        <v>27</v>
      </c>
      <c r="J31" s="10" t="n">
        <v>99</v>
      </c>
      <c r="K31" s="7" t="n">
        <v>126</v>
      </c>
      <c r="L31" s="7" t="n">
        <v>127</v>
      </c>
      <c r="M31" s="11" t="inlineStr">
        <is>
          <t>difiere del bloque del RDO en -1.00 hh</t>
        </is>
      </c>
    </row>
    <row r="32">
      <c r="A32" s="4" t="n">
        <v>46249</v>
      </c>
      <c r="B32" s="5" t="inlineStr">
        <is>
          <t>CONTROL PROMCOSER 08-15.xlsx</t>
        </is>
      </c>
      <c r="C32" s="6" t="n">
        <v>9.5</v>
      </c>
      <c r="D32" s="6" t="n">
        <v>8</v>
      </c>
      <c r="E32" s="7" t="n">
        <v>76</v>
      </c>
      <c r="F32" s="8" t="n">
        <v>3</v>
      </c>
      <c r="G32" s="9" t="n">
        <v>28.5</v>
      </c>
      <c r="H32" s="6" t="n">
        <v>3</v>
      </c>
      <c r="I32" s="7" t="n">
        <v>28.5</v>
      </c>
      <c r="J32" s="10" t="n">
        <v>104.5</v>
      </c>
      <c r="K32" s="7" t="n">
        <v>133</v>
      </c>
      <c r="L32" s="7" t="n">
        <v>133</v>
      </c>
      <c r="M32" s="5" t="inlineStr"/>
    </row>
    <row r="33">
      <c r="A33" s="4" t="n">
        <v>46251</v>
      </c>
      <c r="B33" s="5" t="inlineStr">
        <is>
          <t>CONTROL PROMCOSER 08-17.xlsx</t>
        </is>
      </c>
      <c r="C33" s="6" t="n">
        <v>9.5</v>
      </c>
      <c r="D33" s="6" t="n">
        <v>8</v>
      </c>
      <c r="E33" s="7" t="n">
        <v>76</v>
      </c>
      <c r="F33" s="8" t="n">
        <v>3</v>
      </c>
      <c r="G33" s="9" t="n">
        <v>28.5</v>
      </c>
      <c r="H33" s="6" t="n">
        <v>3</v>
      </c>
      <c r="I33" s="7" t="n">
        <v>28.5</v>
      </c>
      <c r="J33" s="10" t="n">
        <v>104.5</v>
      </c>
      <c r="K33" s="7" t="n">
        <v>133</v>
      </c>
      <c r="L33" s="7" t="n">
        <v>133</v>
      </c>
      <c r="M33" s="5" t="inlineStr"/>
    </row>
    <row r="34">
      <c r="A34" s="4" t="n">
        <v>46252</v>
      </c>
      <c r="B34" s="5" t="inlineStr">
        <is>
          <t>CONTROL PROMCOSER 08-18.xlsx</t>
        </is>
      </c>
      <c r="C34" s="6" t="n">
        <v>9.5</v>
      </c>
      <c r="D34" s="6" t="n">
        <v>8</v>
      </c>
      <c r="E34" s="7" t="n">
        <v>76</v>
      </c>
      <c r="F34" s="8" t="n">
        <v>3</v>
      </c>
      <c r="G34" s="9" t="n">
        <v>28.5</v>
      </c>
      <c r="H34" s="6" t="n">
        <v>3</v>
      </c>
      <c r="I34" s="7" t="n">
        <v>28.5</v>
      </c>
      <c r="J34" s="10" t="n">
        <v>104.5</v>
      </c>
      <c r="K34" s="7" t="n">
        <v>133</v>
      </c>
      <c r="L34" s="7" t="n">
        <v>133</v>
      </c>
      <c r="M34" s="5" t="inlineStr"/>
    </row>
    <row r="35">
      <c r="A35" s="4" t="n">
        <v>46253</v>
      </c>
      <c r="B35" s="5" t="inlineStr">
        <is>
          <t>CONTROL PROMCOSER 08-19.xlsx</t>
        </is>
      </c>
      <c r="C35" s="6" t="n">
        <v>9.5</v>
      </c>
      <c r="D35" s="6" t="n">
        <v>8</v>
      </c>
      <c r="E35" s="7" t="n">
        <v>76</v>
      </c>
      <c r="F35" s="8" t="n">
        <v>3</v>
      </c>
      <c r="G35" s="9" t="n">
        <v>28.5</v>
      </c>
      <c r="H35" s="6" t="n">
        <v>3</v>
      </c>
      <c r="I35" s="7" t="n">
        <v>28.5</v>
      </c>
      <c r="J35" s="10" t="n">
        <v>104.5</v>
      </c>
      <c r="K35" s="7" t="n">
        <v>133</v>
      </c>
      <c r="L35" s="7" t="n">
        <v>133</v>
      </c>
      <c r="M35" s="5" t="inlineStr"/>
    </row>
    <row r="36">
      <c r="A36" s="4" t="n">
        <v>46254</v>
      </c>
      <c r="B36" s="5" t="inlineStr">
        <is>
          <t>CONTROL PROMCOSER 08-20.xlsx</t>
        </is>
      </c>
      <c r="C36" s="6" t="n">
        <v>9</v>
      </c>
      <c r="D36" s="6" t="n">
        <v>8</v>
      </c>
      <c r="E36" s="7" t="n">
        <v>72</v>
      </c>
      <c r="F36" s="8" t="n">
        <v>3</v>
      </c>
      <c r="G36" s="9" t="n">
        <v>27</v>
      </c>
      <c r="H36" s="6" t="n">
        <v>3</v>
      </c>
      <c r="I36" s="7" t="n">
        <v>27</v>
      </c>
      <c r="J36" s="10" t="n">
        <v>99</v>
      </c>
      <c r="K36" s="7" t="n">
        <v>126</v>
      </c>
      <c r="L36" s="7" t="n">
        <v>126</v>
      </c>
      <c r="M36" s="5" t="inlineStr"/>
    </row>
    <row r="37">
      <c r="A37" s="4" t="n">
        <v>46255</v>
      </c>
      <c r="B37" s="5" t="inlineStr">
        <is>
          <t>CONTROL PROMCOSER 08-21.xlsx</t>
        </is>
      </c>
      <c r="C37" s="6" t="n">
        <v>9.5</v>
      </c>
      <c r="D37" s="6" t="n">
        <v>8</v>
      </c>
      <c r="E37" s="7" t="n">
        <v>76</v>
      </c>
      <c r="F37" s="8" t="n">
        <v>3</v>
      </c>
      <c r="G37" s="9" t="n">
        <v>28.5</v>
      </c>
      <c r="H37" s="6" t="n">
        <v>3</v>
      </c>
      <c r="I37" s="7" t="n">
        <v>28.5</v>
      </c>
      <c r="J37" s="10" t="n">
        <v>104.5</v>
      </c>
      <c r="K37" s="7" t="n">
        <v>133</v>
      </c>
      <c r="L37" s="7" t="n">
        <v>133</v>
      </c>
      <c r="M37" s="5" t="inlineStr"/>
    </row>
    <row r="38">
      <c r="A38" s="4" t="n">
        <v>46256</v>
      </c>
      <c r="B38" s="5" t="inlineStr">
        <is>
          <t>CONTROL PROMCOSER 08-22.xlsx</t>
        </is>
      </c>
      <c r="C38" s="6" t="n">
        <v>9.5</v>
      </c>
      <c r="D38" s="6" t="n">
        <v>8</v>
      </c>
      <c r="E38" s="7" t="n">
        <v>76</v>
      </c>
      <c r="F38" s="8" t="n">
        <v>3</v>
      </c>
      <c r="G38" s="9" t="n">
        <v>28.5</v>
      </c>
      <c r="H38" s="6" t="n">
        <v>3</v>
      </c>
      <c r="I38" s="7" t="n">
        <v>28.5</v>
      </c>
      <c r="J38" s="10" t="n">
        <v>104.5</v>
      </c>
      <c r="K38" s="7" t="n">
        <v>133</v>
      </c>
      <c r="L38" s="7" t="n">
        <v>133</v>
      </c>
      <c r="M38" s="5" t="inlineStr"/>
    </row>
    <row r="39">
      <c r="A39" s="4" t="n">
        <v>46259</v>
      </c>
      <c r="B39" s="5" t="inlineStr">
        <is>
          <t>CONTROL PROMCOSER 08-25.xlsx</t>
        </is>
      </c>
      <c r="C39" s="6" t="n">
        <v>9.5</v>
      </c>
      <c r="D39" s="6" t="n">
        <v>8</v>
      </c>
      <c r="E39" s="7" t="n">
        <v>76</v>
      </c>
      <c r="F39" s="8" t="n">
        <v>3</v>
      </c>
      <c r="G39" s="9" t="n">
        <v>28.5</v>
      </c>
      <c r="H39" s="6" t="n">
        <v>3</v>
      </c>
      <c r="I39" s="7" t="n">
        <v>28.5</v>
      </c>
      <c r="J39" s="10" t="n">
        <v>104.5</v>
      </c>
      <c r="K39" s="7" t="n">
        <v>133</v>
      </c>
      <c r="L39" s="7" t="n">
        <v>133</v>
      </c>
      <c r="M39" s="5" t="inlineStr"/>
    </row>
    <row r="40">
      <c r="A40" s="4" t="n">
        <v>46260</v>
      </c>
      <c r="B40" s="5" t="inlineStr">
        <is>
          <t>CONTROL PROMCOSER 08-26.xlsx</t>
        </is>
      </c>
      <c r="C40" s="6" t="n">
        <v>9.5</v>
      </c>
      <c r="D40" s="6" t="n">
        <v>8</v>
      </c>
      <c r="E40" s="7" t="n">
        <v>76</v>
      </c>
      <c r="F40" s="8" t="n">
        <v>3</v>
      </c>
      <c r="G40" s="9" t="n">
        <v>28.5</v>
      </c>
      <c r="H40" s="6" t="n">
        <v>3</v>
      </c>
      <c r="I40" s="7" t="n">
        <v>28.5</v>
      </c>
      <c r="J40" s="10" t="n">
        <v>104.5</v>
      </c>
      <c r="K40" s="7" t="n">
        <v>133</v>
      </c>
      <c r="L40" s="7" t="n">
        <v>133</v>
      </c>
      <c r="M40" s="5" t="inlineStr"/>
    </row>
    <row r="41">
      <c r="A41" s="4" t="n">
        <v>46261</v>
      </c>
      <c r="B41" s="5" t="inlineStr">
        <is>
          <t>CONTROL PROMCOSER 08-24.xlsx</t>
        </is>
      </c>
      <c r="C41" s="6" t="n">
        <v>9.5</v>
      </c>
      <c r="D41" s="6" t="n">
        <v>8</v>
      </c>
      <c r="E41" s="7" t="n">
        <v>76</v>
      </c>
      <c r="F41" s="8" t="n">
        <v>3</v>
      </c>
      <c r="G41" s="9" t="n">
        <v>28.5</v>
      </c>
      <c r="H41" s="6" t="n">
        <v>3</v>
      </c>
      <c r="I41" s="7" t="n">
        <v>28.5</v>
      </c>
      <c r="J41" s="10" t="n">
        <v>104.5</v>
      </c>
      <c r="K41" s="7" t="n">
        <v>133</v>
      </c>
      <c r="L41" s="7" t="n">
        <v>133</v>
      </c>
      <c r="M41" s="11" t="inlineStr">
        <is>
          <t>el nombre del archivo dice 24/08 pero la celda «Fecha de RDO» dice 27/08; fecha repetida: hay otro RDT con esta misma fecha</t>
        </is>
      </c>
    </row>
    <row r="42">
      <c r="A42" s="4" t="n">
        <v>46261</v>
      </c>
      <c r="B42" s="5" t="inlineStr">
        <is>
          <t>CONTROL PROMCOSER 08-27.xlsx</t>
        </is>
      </c>
      <c r="C42" s="6" t="n">
        <v>9</v>
      </c>
      <c r="D42" s="6" t="n">
        <v>8</v>
      </c>
      <c r="E42" s="7" t="n">
        <v>72</v>
      </c>
      <c r="F42" s="8" t="n">
        <v>3</v>
      </c>
      <c r="G42" s="9" t="n">
        <v>27</v>
      </c>
      <c r="H42" s="6" t="n">
        <v>3</v>
      </c>
      <c r="I42" s="7" t="n">
        <v>27</v>
      </c>
      <c r="J42" s="10" t="n">
        <v>99</v>
      </c>
      <c r="K42" s="7" t="n">
        <v>126</v>
      </c>
      <c r="L42" s="7" t="n">
        <v>126</v>
      </c>
      <c r="M42" s="11" t="inlineStr">
        <is>
          <t>fecha repetida: hay otro RDT con esta misma fecha</t>
        </is>
      </c>
    </row>
    <row r="43">
      <c r="A43" s="4" t="n">
        <v>46262</v>
      </c>
      <c r="B43" s="5" t="inlineStr">
        <is>
          <t>CONTROL PROMCOSER 08-28.xlsx</t>
        </is>
      </c>
      <c r="C43" s="6" t="n">
        <v>9.5</v>
      </c>
      <c r="D43" s="6" t="n">
        <v>8</v>
      </c>
      <c r="E43" s="7" t="n">
        <v>76</v>
      </c>
      <c r="F43" s="8" t="n">
        <v>3</v>
      </c>
      <c r="G43" s="9" t="n">
        <v>28.5</v>
      </c>
      <c r="H43" s="6" t="n">
        <v>3</v>
      </c>
      <c r="I43" s="7" t="n">
        <v>28.5</v>
      </c>
      <c r="J43" s="10" t="n">
        <v>104.5</v>
      </c>
      <c r="K43" s="7" t="n">
        <v>133</v>
      </c>
      <c r="L43" s="7" t="n">
        <v>114</v>
      </c>
      <c r="M43" s="11" t="inlineStr">
        <is>
          <t>difiere del bloque del RDO en +19.00 hh</t>
        </is>
      </c>
    </row>
    <row r="44">
      <c r="A44" s="4" t="n">
        <v>46263</v>
      </c>
      <c r="B44" s="5" t="inlineStr">
        <is>
          <t>CONTROL PROMCOSER 08-29.xlsx</t>
        </is>
      </c>
      <c r="C44" s="6" t="n">
        <v>9.5</v>
      </c>
      <c r="D44" s="6" t="n">
        <v>8</v>
      </c>
      <c r="E44" s="7" t="n">
        <v>76</v>
      </c>
      <c r="F44" s="8" t="n">
        <v>3</v>
      </c>
      <c r="G44" s="9" t="n">
        <v>28.5</v>
      </c>
      <c r="H44" s="6" t="n">
        <v>3</v>
      </c>
      <c r="I44" s="7" t="n">
        <v>28.5</v>
      </c>
      <c r="J44" s="10" t="n">
        <v>104.5</v>
      </c>
      <c r="K44" s="7" t="n">
        <v>133</v>
      </c>
      <c r="L44" s="7" t="n">
        <v>114</v>
      </c>
      <c r="M44" s="11" t="inlineStr">
        <is>
          <t>difiere del bloque del RDO en +19.00 hh</t>
        </is>
      </c>
    </row>
    <row r="45">
      <c r="A45" s="4" t="n">
        <v>46266</v>
      </c>
      <c r="B45" s="5" t="inlineStr">
        <is>
          <t>CONTROL PROMCOSER 08-31.xlsx</t>
        </is>
      </c>
      <c r="C45" s="6" t="n">
        <v>9.5</v>
      </c>
      <c r="D45" s="6" t="n">
        <v>8</v>
      </c>
      <c r="E45" s="7" t="n">
        <v>76</v>
      </c>
      <c r="F45" s="8" t="n">
        <v>3</v>
      </c>
      <c r="G45" s="9" t="n">
        <v>28.5</v>
      </c>
      <c r="H45" s="6" t="n">
        <v>3</v>
      </c>
      <c r="I45" s="7" t="n">
        <v>28.5</v>
      </c>
      <c r="J45" s="10" t="n">
        <v>104.5</v>
      </c>
      <c r="K45" s="7" t="n">
        <v>133</v>
      </c>
      <c r="L45" s="7" t="n">
        <v>114</v>
      </c>
      <c r="M45" s="11" t="inlineStr">
        <is>
          <t>el nombre del archivo dice 31/08 pero la celda «Fecha de RDO» dice 01/09; fecha repetida: hay otro RDT con esta misma fecha; difiere del bloque del RDO en +19.00 hh</t>
        </is>
      </c>
    </row>
    <row r="46">
      <c r="A46" s="4" t="n">
        <v>46266</v>
      </c>
      <c r="B46" s="5" t="inlineStr">
        <is>
          <t>CONTROL PROMCOSER 09-01.xlsx</t>
        </is>
      </c>
      <c r="C46" s="6" t="n">
        <v>9.5</v>
      </c>
      <c r="D46" s="6" t="n">
        <v>8</v>
      </c>
      <c r="E46" s="7" t="n">
        <v>76</v>
      </c>
      <c r="F46" s="8" t="n">
        <v>3</v>
      </c>
      <c r="G46" s="9" t="n">
        <v>28.5</v>
      </c>
      <c r="H46" s="6" t="n">
        <v>3</v>
      </c>
      <c r="I46" s="7" t="n">
        <v>28.5</v>
      </c>
      <c r="J46" s="10" t="n">
        <v>104.5</v>
      </c>
      <c r="K46" s="7" t="n">
        <v>133</v>
      </c>
      <c r="L46" s="7" t="n">
        <v>114</v>
      </c>
      <c r="M46" s="11" t="inlineStr">
        <is>
          <t>fecha repetida: hay otro RDT con esta misma fecha; difiere del bloque del RDO en +19.00 hh</t>
        </is>
      </c>
    </row>
    <row r="47">
      <c r="A47" s="4" t="n">
        <v>46267</v>
      </c>
      <c r="B47" s="5" t="inlineStr">
        <is>
          <t>CONTROL PROMCOSER 09-02.xlsx</t>
        </is>
      </c>
      <c r="C47" s="6" t="n">
        <v>9.5</v>
      </c>
      <c r="D47" s="6" t="n">
        <v>7</v>
      </c>
      <c r="E47" s="7" t="n">
        <v>66.5</v>
      </c>
      <c r="F47" s="8" t="n">
        <v>3</v>
      </c>
      <c r="G47" s="9" t="n">
        <v>28.5</v>
      </c>
      <c r="H47" s="6" t="n">
        <v>3</v>
      </c>
      <c r="I47" s="7" t="n">
        <v>28.5</v>
      </c>
      <c r="J47" s="10" t="n">
        <v>95</v>
      </c>
      <c r="K47" s="7" t="n">
        <v>123.5</v>
      </c>
      <c r="L47" s="7" t="n">
        <v>114</v>
      </c>
      <c r="M47" s="11" t="inlineStr">
        <is>
          <t>difiere del bloque del RDO en +9.50 hh</t>
        </is>
      </c>
    </row>
    <row r="48">
      <c r="A48" s="4" t="n">
        <v>46268</v>
      </c>
      <c r="B48" s="5" t="inlineStr">
        <is>
          <t>CONTROL PROMCOSER 09-03.xlsx</t>
        </is>
      </c>
      <c r="C48" s="6" t="n">
        <v>9.5</v>
      </c>
      <c r="D48" s="6" t="n">
        <v>8</v>
      </c>
      <c r="E48" s="7" t="n">
        <v>76</v>
      </c>
      <c r="F48" s="8" t="n">
        <v>3</v>
      </c>
      <c r="G48" s="9" t="n">
        <v>28.5</v>
      </c>
      <c r="H48" s="6" t="n">
        <v>3</v>
      </c>
      <c r="I48" s="7" t="n">
        <v>28.5</v>
      </c>
      <c r="J48" s="10" t="n">
        <v>104.5</v>
      </c>
      <c r="K48" s="7" t="n">
        <v>133</v>
      </c>
      <c r="L48" s="7" t="n">
        <v>114</v>
      </c>
      <c r="M48" s="11" t="inlineStr">
        <is>
          <t>difiere del bloque del RDO en +19.00 hh</t>
        </is>
      </c>
    </row>
    <row r="49">
      <c r="A49" s="4" t="n">
        <v>46269</v>
      </c>
      <c r="B49" s="5" t="inlineStr">
        <is>
          <t>CONTROL PROMCOSER 09-04.xlsx</t>
        </is>
      </c>
      <c r="C49" s="6" t="n">
        <v>9.5</v>
      </c>
      <c r="D49" s="6" t="n">
        <v>8</v>
      </c>
      <c r="E49" s="7" t="n">
        <v>76</v>
      </c>
      <c r="F49" s="8" t="n">
        <v>3</v>
      </c>
      <c r="G49" s="9" t="n">
        <v>28.5</v>
      </c>
      <c r="H49" s="6" t="n">
        <v>3</v>
      </c>
      <c r="I49" s="7" t="n">
        <v>28.5</v>
      </c>
      <c r="J49" s="10" t="n">
        <v>104.5</v>
      </c>
      <c r="K49" s="7" t="n">
        <v>133</v>
      </c>
      <c r="L49" s="7" t="n">
        <v>114</v>
      </c>
      <c r="M49" s="11" t="inlineStr">
        <is>
          <t>difiere del bloque del RDO en +19.00 hh</t>
        </is>
      </c>
    </row>
    <row r="50">
      <c r="A50" s="4" t="n">
        <v>46270</v>
      </c>
      <c r="B50" s="5" t="inlineStr">
        <is>
          <t>CONTROL PROMCOSER 09-05.xlsx</t>
        </is>
      </c>
      <c r="C50" s="6" t="n">
        <v>9.5</v>
      </c>
      <c r="D50" s="6" t="n">
        <v>8</v>
      </c>
      <c r="E50" s="7" t="n">
        <v>76</v>
      </c>
      <c r="F50" s="8" t="n">
        <v>3</v>
      </c>
      <c r="G50" s="9" t="n">
        <v>28.5</v>
      </c>
      <c r="H50" s="6" t="n">
        <v>3</v>
      </c>
      <c r="I50" s="7" t="n">
        <v>28.5</v>
      </c>
      <c r="J50" s="10" t="n">
        <v>104.5</v>
      </c>
      <c r="K50" s="7" t="n">
        <v>133</v>
      </c>
      <c r="L50" s="7" t="n">
        <v>114</v>
      </c>
      <c r="M50" s="11" t="inlineStr">
        <is>
          <t>difiere del bloque del RDO en +19.00 hh</t>
        </is>
      </c>
    </row>
    <row r="51">
      <c r="A51" s="4" t="n">
        <v>46271</v>
      </c>
      <c r="B51" s="5" t="inlineStr">
        <is>
          <t>CONTROL PROMCOSER 09-06.xlsx</t>
        </is>
      </c>
      <c r="C51" s="6" t="n">
        <v>9.5</v>
      </c>
      <c r="D51" s="6" t="n">
        <v>0</v>
      </c>
      <c r="E51" s="7" t="n">
        <v>0</v>
      </c>
      <c r="F51" s="8" t="n">
        <v>0</v>
      </c>
      <c r="G51" s="9" t="n">
        <v>0</v>
      </c>
      <c r="H51" s="6" t="n">
        <v>0</v>
      </c>
      <c r="I51" s="7" t="n">
        <v>0</v>
      </c>
      <c r="J51" s="10" t="n">
        <v>0</v>
      </c>
      <c r="K51" s="7" t="n">
        <v>0</v>
      </c>
      <c r="L51" s="7" t="n">
        <v>114</v>
      </c>
      <c r="M51" s="11" t="inlineStr">
        <is>
          <t>nadie con asistencia «A» ese día (domingo o sin registrar)</t>
        </is>
      </c>
    </row>
    <row r="52">
      <c r="A52" s="4" t="n">
        <v>46273</v>
      </c>
      <c r="B52" s="5" t="inlineStr">
        <is>
          <t>CONTROLPROMCOSER 08-09.xlsx</t>
        </is>
      </c>
      <c r="C52" s="6" t="n">
        <v>9.5</v>
      </c>
      <c r="D52" s="6" t="n">
        <v>8</v>
      </c>
      <c r="E52" s="7" t="n">
        <v>76</v>
      </c>
      <c r="F52" s="8" t="n">
        <v>3</v>
      </c>
      <c r="G52" s="9" t="n">
        <v>28.5</v>
      </c>
      <c r="H52" s="6" t="n">
        <v>3</v>
      </c>
      <c r="I52" s="7" t="n">
        <v>28.5</v>
      </c>
      <c r="J52" s="10" t="n">
        <v>104.5</v>
      </c>
      <c r="K52" s="7" t="n">
        <v>133</v>
      </c>
      <c r="L52" s="7" t="n">
        <v>114</v>
      </c>
      <c r="M52" s="11" t="inlineStr">
        <is>
          <t>difiere del bloque del RDO en +19.00 hh</t>
        </is>
      </c>
    </row>
    <row r="53">
      <c r="A53" s="4" t="n">
        <v>46274</v>
      </c>
      <c r="B53" s="5" t="inlineStr">
        <is>
          <t>CONTROLPROMCOSER 09-09.xlsx</t>
        </is>
      </c>
      <c r="C53" s="6" t="n">
        <v>9.5</v>
      </c>
      <c r="D53" s="6" t="n">
        <v>8</v>
      </c>
      <c r="E53" s="7" t="n">
        <v>76</v>
      </c>
      <c r="F53" s="8" t="n">
        <v>3</v>
      </c>
      <c r="G53" s="9" t="n">
        <v>28.5</v>
      </c>
      <c r="H53" s="6" t="n">
        <v>3</v>
      </c>
      <c r="I53" s="7" t="n">
        <v>28.5</v>
      </c>
      <c r="J53" s="10" t="n">
        <v>104.5</v>
      </c>
      <c r="K53" s="7" t="n">
        <v>133</v>
      </c>
      <c r="L53" s="7" t="n">
        <v>114</v>
      </c>
      <c r="M53" s="11" t="inlineStr">
        <is>
          <t>difiere del bloque del RDO en +19.00 hh</t>
        </is>
      </c>
    </row>
    <row r="54">
      <c r="A54" s="4" t="n">
        <v>46275</v>
      </c>
      <c r="B54" s="5" t="inlineStr">
        <is>
          <t>CONTROLPROMCOSER 10-09.xlsx</t>
        </is>
      </c>
      <c r="C54" s="6" t="n">
        <v>9.5</v>
      </c>
      <c r="D54" s="6" t="n">
        <v>8</v>
      </c>
      <c r="E54" s="7" t="n">
        <v>76</v>
      </c>
      <c r="F54" s="8" t="n">
        <v>3</v>
      </c>
      <c r="G54" s="9" t="n">
        <v>28.5</v>
      </c>
      <c r="H54" s="6" t="n">
        <v>3</v>
      </c>
      <c r="I54" s="7" t="n">
        <v>28.5</v>
      </c>
      <c r="J54" s="10" t="n">
        <v>104.5</v>
      </c>
      <c r="K54" s="7" t="n">
        <v>133</v>
      </c>
      <c r="L54" s="7" t="n">
        <v>114</v>
      </c>
      <c r="M54" s="11" t="inlineStr">
        <is>
          <t>difiere del bloque del RDO en +19.00 hh</t>
        </is>
      </c>
    </row>
    <row r="55">
      <c r="A55" s="4" t="n">
        <v>46276</v>
      </c>
      <c r="B55" s="5" t="inlineStr">
        <is>
          <t>CONTROLPROMCOSER 11-09.xlsx</t>
        </is>
      </c>
      <c r="C55" s="6" t="n">
        <v>9.5</v>
      </c>
      <c r="D55" s="6" t="n">
        <v>8</v>
      </c>
      <c r="E55" s="7" t="n">
        <v>76</v>
      </c>
      <c r="F55" s="8" t="n">
        <v>3</v>
      </c>
      <c r="G55" s="9" t="n">
        <v>28.5</v>
      </c>
      <c r="H55" s="6" t="n">
        <v>3</v>
      </c>
      <c r="I55" s="7" t="n">
        <v>28.5</v>
      </c>
      <c r="J55" s="10" t="n">
        <v>104.5</v>
      </c>
      <c r="K55" s="7" t="n">
        <v>133</v>
      </c>
      <c r="L55" s="7" t="n">
        <v>114</v>
      </c>
      <c r="M55" s="11" t="inlineStr">
        <is>
          <t>difiere del bloque del RDO en +19.00 hh</t>
        </is>
      </c>
    </row>
    <row r="56">
      <c r="A56" s="4" t="n">
        <v>46277</v>
      </c>
      <c r="B56" s="5" t="inlineStr">
        <is>
          <t>CONTROLPROMCOSER 12-09.xlsx</t>
        </is>
      </c>
      <c r="C56" s="6" t="n">
        <v>9.5</v>
      </c>
      <c r="D56" s="6" t="n">
        <v>6</v>
      </c>
      <c r="E56" s="7" t="n">
        <v>57</v>
      </c>
      <c r="F56" s="8" t="n">
        <v>3</v>
      </c>
      <c r="G56" s="9" t="n">
        <v>28.5</v>
      </c>
      <c r="H56" s="6" t="n">
        <v>3</v>
      </c>
      <c r="I56" s="7" t="n">
        <v>28.5</v>
      </c>
      <c r="J56" s="10" t="n">
        <v>85.5</v>
      </c>
      <c r="K56" s="7" t="n">
        <v>114</v>
      </c>
      <c r="L56" s="7" t="n">
        <v>114</v>
      </c>
      <c r="M56" s="5" t="inlineStr"/>
    </row>
    <row r="57">
      <c r="A57" s="12" t="inlineStr">
        <is>
          <t>TOTAL</t>
        </is>
      </c>
      <c r="B57" s="13" t="n"/>
      <c r="C57" s="13" t="n"/>
      <c r="D57" s="14">
        <f>SUM(D6:D56)</f>
        <v/>
      </c>
      <c r="E57" s="14">
        <f>SUM(E6:E56)</f>
        <v/>
      </c>
      <c r="F57" s="14">
        <f>SUM(F6:F56)</f>
        <v/>
      </c>
      <c r="G57" s="14">
        <f>SUM(G6:G56)</f>
        <v/>
      </c>
      <c r="H57" s="14">
        <f>SUM(H6:H56)</f>
        <v/>
      </c>
      <c r="I57" s="14">
        <f>SUM(I6:I56)</f>
        <v/>
      </c>
      <c r="J57" s="14">
        <f>SUM(J6:J56)</f>
        <v/>
      </c>
      <c r="K57" s="14">
        <f>SUM(K6:K56)</f>
        <v/>
      </c>
      <c r="L57" s="14">
        <f>SUM(L6:L56)</f>
        <v/>
      </c>
      <c r="M57" s="13" t="n"/>
    </row>
    <row r="58">
      <c r="A58" s="15" t="inlineStr">
        <is>
          <t>TOTAL sin fechas repetidas</t>
        </is>
      </c>
      <c r="D58" s="16">
        <f>SUM(D6,D7,D8,D9,D10,D11,D12,D13,D14,D15,D17,D18,D19,D20,D21,D22,D23,D24,D25,D26,D27,D28,D29,D30,D31,D32,D33,D34,D35,D36,D37,D38,D39,D40,D41,D43,D44,D45,D47,D48,D49,D50,D51,D52,D53,D54,D55,D56)</f>
        <v/>
      </c>
      <c r="E58" s="16">
        <f>SUM(E6,E7,E8,E9,E10,E11,E12,E13,E14,E15,E17,E18,E19,E20,E21,E22,E23,E24,E25,E26,E27,E28,E29,E30,E31,E32,E33,E34,E35,E36,E37,E38,E39,E40,E41,E43,E44,E45,E47,E48,E49,E50,E51,E52,E53,E54,E55,E56)</f>
        <v/>
      </c>
      <c r="F58" s="16">
        <f>SUM(F6,F7,F8,F9,F10,F11,F12,F13,F14,F15,F17,F18,F19,F20,F21,F22,F23,F24,F25,F26,F27,F28,F29,F30,F31,F32,F33,F34,F35,F36,F37,F38,F39,F40,F41,F43,F44,F45,F47,F48,F49,F50,F51,F52,F53,F54,F55,F56)</f>
        <v/>
      </c>
      <c r="G58" s="16">
        <f>SUM(G6,G7,G8,G9,G10,G11,G12,G13,G14,G15,G17,G18,G19,G20,G21,G22,G23,G24,G25,G26,G27,G28,G29,G30,G31,G32,G33,G34,G35,G36,G37,G38,G39,G40,G41,G43,G44,G45,G47,G48,G49,G50,G51,G52,G53,G54,G55,G56)</f>
        <v/>
      </c>
      <c r="H58" s="16">
        <f>SUM(H6,H7,H8,H9,H10,H11,H12,H13,H14,H15,H17,H18,H19,H20,H21,H22,H23,H24,H25,H26,H27,H28,H29,H30,H31,H32,H33,H34,H35,H36,H37,H38,H39,H40,H41,H43,H44,H45,H47,H48,H49,H50,H51,H52,H53,H54,H55,H56)</f>
        <v/>
      </c>
      <c r="I58" s="16">
        <f>SUM(I6,I7,I8,I9,I10,I11,I12,I13,I14,I15,I17,I18,I19,I20,I21,I22,I23,I24,I25,I26,I27,I28,I29,I30,I31,I32,I33,I34,I35,I36,I37,I38,I39,I40,I41,I43,I44,I45,I47,I48,I49,I50,I51,I52,I53,I54,I55,I56)</f>
        <v/>
      </c>
      <c r="J58" s="16">
        <f>SUM(J6,J7,J8,J9,J10,J11,J12,J13,J14,J15,J17,J18,J19,J20,J21,J22,J23,J24,J25,J26,J27,J28,J29,J30,J31,J32,J33,J34,J35,J36,J37,J38,J39,J40,J41,J43,J44,J45,J47,J48,J49,J50,J51,J52,J53,J54,J55,J56)</f>
        <v/>
      </c>
      <c r="K58" s="16">
        <f>SUM(K6,K7,K8,K9,K10,K11,K12,K13,K14,K15,K17,K18,K19,K20,K21,K22,K23,K24,K25,K26,K27,K28,K29,K30,K31,K32,K33,K34,K35,K36,K37,K38,K39,K40,K41,K43,K44,K45,K47,K48,K49,K50,K51,K52,K53,K54,K55,K56)</f>
        <v/>
      </c>
      <c r="L58" s="16">
        <f>SUM(L6,L7,L8,L9,L10,L11,L12,L13,L14,L15,L17,L18,L19,L20,L21,L22,L23,L24,L25,L26,L27,L28,L29,L30,L31,L32,L33,L34,L35,L36,L37,L38,L39,L40,L41,L43,L44,L45,L47,L48,L49,L50,L51,L52,L53,L54,L55,L56)</f>
        <v/>
      </c>
      <c r="M58" s="17" t="inlineStr">
        <is>
          <t>3 archivo(s) con fecha duplicada quedan fuera de esta suma</t>
        </is>
      </c>
    </row>
    <row r="60">
      <c r="A60" s="18" t="inlineStr">
        <is>
          <t>Cómo leer la columna «Control: HH del bloque RDO»</t>
        </is>
      </c>
    </row>
    <row r="61">
      <c r="A61" s="19" t="inlineStr">
        <is>
          <t>Es el total de HH que trae escrito el propio bloque de cuadrilla del RDO. Sirve para contrastar, no para reemplazar el cálculo por persona (ese bloque no dice quién trabajó dónde).</t>
        </is>
      </c>
    </row>
    <row r="62">
      <c r="A62" s="19" t="inlineStr">
        <is>
          <t>• Desde el 28-08 el bloque suma 114 hh en vez de 133: su fórmula no multiplica la línea «Ayudante» por las 3 personas. Por eso aparece la diferencia de +19.00 hh.</t>
        </is>
      </c>
    </row>
    <row r="63">
      <c r="A63" s="19" t="inlineStr">
        <is>
          <t>• El 06-08 el bloque solo tiene cargada 1 persona (Sup. Operativo), aunque la asistencia marca a los 14.</t>
        </is>
      </c>
    </row>
    <row r="64">
      <c r="A64" s="19" t="inlineStr">
        <is>
          <t>• El 10-08 el RDO mezcla jornadas (2 personas a 9.5 h y 12 a 9 h): acá se usa 9 h, la jornada de la mayoría, y queda 1 hh de diferencia.</t>
        </is>
      </c>
    </row>
    <row r="65">
      <c r="A65" s="19" t="inlineStr">
        <is>
          <t>• El 06-09 fue domingo: nadie tiene «A», por eso el día queda en 0 aunque exista el archivo.</t>
        </is>
      </c>
    </row>
    <row r="68">
      <c r="A68" s="20" t="inlineStr">
        <is>
          <t>Clasificación del personal usada (tomada del RDT más reciente)</t>
        </is>
      </c>
    </row>
    <row r="69">
      <c r="A69" s="21" t="inlineStr">
        <is>
          <t>En los RDT de julio la columna «lugar de trabajo» decía MARCONA para los 14; la separación aesa/cantera/Marcona aparece recién el 07-08 y se estabiliza el 15-08. Se usa esa clasificación final para todo el periodo.</t>
        </is>
      </c>
    </row>
    <row r="71">
      <c r="A71" s="3" t="inlineStr">
        <is>
          <t>DNI</t>
        </is>
      </c>
      <c r="B71" s="3" t="inlineStr">
        <is>
          <t>Apellidos y nombres</t>
        </is>
      </c>
      <c r="C71" s="3" t="inlineStr">
        <is>
          <t>Cargo</t>
        </is>
      </c>
      <c r="D71" s="3" t="inlineStr">
        <is>
          <t>Lugar de trabajo</t>
        </is>
      </c>
      <c r="E71" s="3" t="inlineStr">
        <is>
          <t>Categoría</t>
        </is>
      </c>
      <c r="F71" s="3" t="inlineStr">
        <is>
          <t>¿Entra al RDT de este servicio?</t>
        </is>
      </c>
    </row>
    <row r="72">
      <c r="A72" s="22" t="inlineStr">
        <is>
          <t>21520749</t>
        </is>
      </c>
      <c r="B72" s="22" t="inlineStr">
        <is>
          <t>BRAULIO HUAMAN DIAZ</t>
        </is>
      </c>
      <c r="C72" s="22" t="inlineStr">
        <is>
          <t>SUPERVISOR OPERATIVO</t>
        </is>
      </c>
      <c r="D72" s="22" t="inlineStr">
        <is>
          <t>aesa</t>
        </is>
      </c>
      <c r="E72" s="22" t="inlineStr">
        <is>
          <t>MDI</t>
        </is>
      </c>
      <c r="F72" s="22" t="inlineStr">
        <is>
          <t>Sí</t>
        </is>
      </c>
    </row>
    <row r="73">
      <c r="A73" s="22" t="inlineStr">
        <is>
          <t>41531893</t>
        </is>
      </c>
      <c r="B73" s="22" t="inlineStr">
        <is>
          <t>PEREZ CONTRERA VICTOR RAUL</t>
        </is>
      </c>
      <c r="C73" s="22" t="inlineStr">
        <is>
          <t>INGENIERO DE CALIDAD</t>
        </is>
      </c>
      <c r="D73" s="22" t="inlineStr">
        <is>
          <t>Marcona</t>
        </is>
      </c>
      <c r="E73" s="22" t="inlineStr">
        <is>
          <t>MDI</t>
        </is>
      </c>
      <c r="F73" s="22" t="inlineStr">
        <is>
          <t>Sí</t>
        </is>
      </c>
    </row>
    <row r="74">
      <c r="A74" s="22" t="inlineStr">
        <is>
          <t>76068227</t>
        </is>
      </c>
      <c r="B74" s="22" t="inlineStr">
        <is>
          <t>ZOILA JEAN PACAYA</t>
        </is>
      </c>
      <c r="C74" s="22" t="inlineStr">
        <is>
          <t>SUPERVISOR SSOMA</t>
        </is>
      </c>
      <c r="D74" s="22" t="inlineStr">
        <is>
          <t>aesa</t>
        </is>
      </c>
      <c r="E74" s="22" t="inlineStr">
        <is>
          <t>MDI</t>
        </is>
      </c>
      <c r="F74" s="22" t="inlineStr">
        <is>
          <t>Sí</t>
        </is>
      </c>
    </row>
    <row r="75">
      <c r="A75" s="23" t="inlineStr">
        <is>
          <t>70521512</t>
        </is>
      </c>
      <c r="B75" s="23" t="inlineStr">
        <is>
          <t>CAYO GUTIERREZ JUAN WILFREDO</t>
        </is>
      </c>
      <c r="C75" s="23" t="inlineStr">
        <is>
          <t>OPERARIO CIVIL</t>
        </is>
      </c>
      <c r="D75" s="23" t="inlineStr">
        <is>
          <t>Marcona</t>
        </is>
      </c>
      <c r="E75" s="23" t="inlineStr">
        <is>
          <t>MOD en cantera/Marcona</t>
        </is>
      </c>
      <c r="F75" s="23" t="inlineStr">
        <is>
          <t>NO — se excluye</t>
        </is>
      </c>
    </row>
    <row r="76">
      <c r="A76" s="23" t="inlineStr">
        <is>
          <t>47665722</t>
        </is>
      </c>
      <c r="B76" s="23" t="inlineStr">
        <is>
          <t>CIRO ALEXANDER CALACHIHUA HUAYCHAY</t>
        </is>
      </c>
      <c r="C76" s="23" t="inlineStr">
        <is>
          <t>CHOFER</t>
        </is>
      </c>
      <c r="D76" s="23" t="inlineStr">
        <is>
          <t>Marcona</t>
        </is>
      </c>
      <c r="E76" s="23" t="inlineStr">
        <is>
          <t>MOD en cantera/Marcona</t>
        </is>
      </c>
      <c r="F76" s="23" t="inlineStr">
        <is>
          <t>NO — se excluye</t>
        </is>
      </c>
    </row>
    <row r="77">
      <c r="A77" s="23" t="inlineStr">
        <is>
          <t>75715613</t>
        </is>
      </c>
      <c r="B77" s="23" t="inlineStr">
        <is>
          <t>MOISES JUAN ALVAREZ  CRESPO</t>
        </is>
      </c>
      <c r="C77" s="23" t="inlineStr">
        <is>
          <t>OFICIAL</t>
        </is>
      </c>
      <c r="D77" s="23" t="inlineStr">
        <is>
          <t>cantera</t>
        </is>
      </c>
      <c r="E77" s="23" t="inlineStr">
        <is>
          <t>MOD en cantera/Marcona</t>
        </is>
      </c>
      <c r="F77" s="23" t="inlineStr">
        <is>
          <t>NO — se excluye</t>
        </is>
      </c>
    </row>
    <row r="78">
      <c r="A78" s="22" t="inlineStr">
        <is>
          <t>73261821</t>
        </is>
      </c>
      <c r="B78" s="22" t="inlineStr">
        <is>
          <t>ABRAN CASTRO LEON</t>
        </is>
      </c>
      <c r="C78" s="22" t="inlineStr">
        <is>
          <t>OFICIAL</t>
        </is>
      </c>
      <c r="D78" s="22" t="inlineStr">
        <is>
          <t>aesa</t>
        </is>
      </c>
      <c r="E78" s="22" t="inlineStr">
        <is>
          <t>MOD en mina</t>
        </is>
      </c>
      <c r="F78" s="22" t="inlineStr">
        <is>
          <t>Sí</t>
        </is>
      </c>
    </row>
    <row r="79">
      <c r="A79" s="22" t="inlineStr">
        <is>
          <t>48380481</t>
        </is>
      </c>
      <c r="B79" s="22" t="inlineStr">
        <is>
          <t>HECTOR GALVEZ RAVINES</t>
        </is>
      </c>
      <c r="C79" s="22" t="inlineStr">
        <is>
          <t>OPERADOR</t>
        </is>
      </c>
      <c r="D79" s="22" t="inlineStr">
        <is>
          <t>aesa</t>
        </is>
      </c>
      <c r="E79" s="22" t="inlineStr">
        <is>
          <t>MOD en mina</t>
        </is>
      </c>
      <c r="F79" s="22" t="inlineStr">
        <is>
          <t>Sí</t>
        </is>
      </c>
    </row>
    <row r="80">
      <c r="A80" s="22" t="inlineStr">
        <is>
          <t>74562849</t>
        </is>
      </c>
      <c r="B80" s="22" t="inlineStr">
        <is>
          <t>JOSE ALFREDO COTRINA ALTAMIRANO</t>
        </is>
      </c>
      <c r="C80" s="22" t="inlineStr">
        <is>
          <t>AYUDANTE</t>
        </is>
      </c>
      <c r="D80" s="22" t="inlineStr">
        <is>
          <t>aesa</t>
        </is>
      </c>
      <c r="E80" s="22" t="inlineStr">
        <is>
          <t>MOD en mina</t>
        </is>
      </c>
      <c r="F80" s="22" t="inlineStr">
        <is>
          <t>Sí</t>
        </is>
      </c>
    </row>
    <row r="81">
      <c r="A81" s="22" t="inlineStr">
        <is>
          <t>76891111</t>
        </is>
      </c>
      <c r="B81" s="22" t="inlineStr">
        <is>
          <t>JOSHUA MANUEL HUMBERTO FARIAS ULFE</t>
        </is>
      </c>
      <c r="C81" s="22" t="inlineStr">
        <is>
          <t>OFICIAL</t>
        </is>
      </c>
      <c r="D81" s="22" t="inlineStr">
        <is>
          <t>aesa</t>
        </is>
      </c>
      <c r="E81" s="22" t="inlineStr">
        <is>
          <t>MOD en mina</t>
        </is>
      </c>
      <c r="F81" s="22" t="inlineStr">
        <is>
          <t>Sí</t>
        </is>
      </c>
    </row>
    <row r="82">
      <c r="A82" s="22" t="inlineStr">
        <is>
          <t>71831041</t>
        </is>
      </c>
      <c r="B82" s="22" t="inlineStr">
        <is>
          <t>PORFIRIO JOSE ROMUCHO HUAMAN</t>
        </is>
      </c>
      <c r="C82" s="22" t="inlineStr">
        <is>
          <t>OPERARIO</t>
        </is>
      </c>
      <c r="D82" s="22" t="inlineStr">
        <is>
          <t>aesa</t>
        </is>
      </c>
      <c r="E82" s="22" t="inlineStr">
        <is>
          <t>MOD en mina</t>
        </is>
      </c>
      <c r="F82" s="22" t="inlineStr">
        <is>
          <t>Sí</t>
        </is>
      </c>
    </row>
    <row r="83">
      <c r="A83" s="22" t="inlineStr">
        <is>
          <t>43141186</t>
        </is>
      </c>
      <c r="B83" s="22" t="inlineStr">
        <is>
          <t>RICHARD FELIX GARRIAZO OSCO</t>
        </is>
      </c>
      <c r="C83" s="22" t="inlineStr">
        <is>
          <t>OPERARIO</t>
        </is>
      </c>
      <c r="D83" s="22" t="inlineStr">
        <is>
          <t>aesa</t>
        </is>
      </c>
      <c r="E83" s="22" t="inlineStr">
        <is>
          <t>MOD en mina</t>
        </is>
      </c>
      <c r="F83" s="22" t="inlineStr">
        <is>
          <t>Sí</t>
        </is>
      </c>
    </row>
    <row r="84">
      <c r="A84" s="22" t="inlineStr">
        <is>
          <t>60741098</t>
        </is>
      </c>
      <c r="B84" s="22" t="inlineStr">
        <is>
          <t>RONALD MARTIN ALVARADO AGREDA</t>
        </is>
      </c>
      <c r="C84" s="22" t="inlineStr">
        <is>
          <t>AYUDANTE</t>
        </is>
      </c>
      <c r="D84" s="22" t="inlineStr">
        <is>
          <t>aesa</t>
        </is>
      </c>
      <c r="E84" s="22" t="inlineStr">
        <is>
          <t>MOD en mina</t>
        </is>
      </c>
      <c r="F84" s="22" t="inlineStr">
        <is>
          <t>Sí</t>
        </is>
      </c>
    </row>
    <row r="85">
      <c r="A85" s="22" t="inlineStr">
        <is>
          <t>73095782</t>
        </is>
      </c>
      <c r="B85" s="22" t="inlineStr">
        <is>
          <t>SANDRO LUIS BARDALES TRUJILLO</t>
        </is>
      </c>
      <c r="C85" s="22" t="inlineStr">
        <is>
          <t>OFICIAL CIVIL</t>
        </is>
      </c>
      <c r="D85" s="22" t="inlineStr">
        <is>
          <t>aesa</t>
        </is>
      </c>
      <c r="E85" s="22" t="inlineStr">
        <is>
          <t>MOD en mina</t>
        </is>
      </c>
      <c r="F85" s="22" t="inlineStr">
        <is>
          <t>Sí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2026-09-14T06:05:06Z</dcterms:created>
  <dcterms:modified xmlns:dcterms="http://purl.org/dc/terms/" xmlns:xsi="http://www.w3.org/2001/XMLSchema-instance" xsi:type="dcterms:W3CDTF">2026-09-14T06:05:06Z</dcterms:modified>
</cp:coreProperties>
</file>