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E6EEB9F1-B28B-4171-BCAD-A3B159566B7D}" xr6:coauthVersionLast="47" xr6:coauthVersionMax="47" xr10:uidLastSave="{00000000-0000-0000-0000-000000000000}"/>
  <bookViews>
    <workbookView xWindow="-120" yWindow="-120" windowWidth="20730" windowHeight="11040" tabRatio="594" activeTab="1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<sst xmlns="http://schemas.openxmlformats.org/spreadsheetml/2006/main" count="4926" uniqueCount="2559">
  <si>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</si>
  <si>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</si>
  <si>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</si>
  <si>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</si>
  <si>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</si>
  <si>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</si>
  <si>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</si>
  <si>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</si>
  <si>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</si>
  <si>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</si>
  <si>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</si>
  <si>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</si>
  <si>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</si>
  <si>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</si>
  <si>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</si>
  <si>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</si>
  <si>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</si>
  <si>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</si>
  <si>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</si>
  <si>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</si>
  <si>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</si>
  <si>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</si>
  <si>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</si>
  <si>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</si>
  <si>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</si>
  <si>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</si>
  <si>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</si>
  <si>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</si>
  <si>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</si>
  <si>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</si>
  <si>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</si>
  <si>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</si>
  <si>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</si>
  <si>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</si>
  <si>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</si>
  <si>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</si>
  <si>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</si>
  <si>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</si>
  <si>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</si>
  <si>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</si>
  <si>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</si>
  <si>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</si>
  <si>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</si>
  <si>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</si>
  <si>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</si>
  <si>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</si>
  <si>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</si>
  <si>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</si>
  <si>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</si>
  <si>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</si>
  <si>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</si>
  <si>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</si>
  <si>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</si>
  <si>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</si>
  <si>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</si>
  <si>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</si>
  <si>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</si>
  <si>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</si>
  <si>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</si>
  <si>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</si>
  <si>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</si>
  <si>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</si>
  <si>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</si>
  <si>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</si>
  <si>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</si>
  <si>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</si>
  <si>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</si>
  <si>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</si>
  <si>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</si>
  <si>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</si>
  <si>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</si>
  <si>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</si>
  <si>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</si>
  <si>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</si>
  <si>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</si>
  <si>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</si>
  <si>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</si>
  <si>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</si>
  <si>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</si>
  <si>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</si>
  <si>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</si>
  <si>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</si>
  <si>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</si>
  <si>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</si>
  <si>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</si>
  <si>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</si>
  <si>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</si>
  <si>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</si>
  <si>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</si>
  <si>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</si>
  <si>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</si>
  <si>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</si>
  <si>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</si>
  <si>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</si>
  <si>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</si>
  <si>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</si>
  <si>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</si>
  <si>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</si>
  <si>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</si>
  <si>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</si>
  <si>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</si>
  <si>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</si>
  <si>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</si>
  <si>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</si>
  <si>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</si>
  <si>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</si>
  <si>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</si>
  <si>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</si>
  <si>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</si>
  <si>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</si>
  <si>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</si>
  <si>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</si>
  <si>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</si>
  <si>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</si>
  <si>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</si>
  <si>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</si>
  <si>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</si>
  <si>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</si>
  <si>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</si>
  <si>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</si>
  <si>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</si>
  <si>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</si>
  <si>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</si>
  <si>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</si>
  <si>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</si>
  <si>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</si>
  <si>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</si>
  <si>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</si>
  <si>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</si>
  <si>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</si>
  <si>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</si>
  <si>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</si>
  <si>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</si>
  <si>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</si>
  <si>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</si>
  <si>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</si>
  <si>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</si>
  <si>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</si>
  <si>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</si>
  <si>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</si>
  <si>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</si>
  <si>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</si>
  <si>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</si>
  <si>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</si>
  <si>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</si>
  <si>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</si>
  <si>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</si>
  <si>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</si>
  <si>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</si>
  <si>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</si>
  <si>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</si>
  <si>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</si>
  <si>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</si>
  <si>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</si>
  <si>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</si>
  <si>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</si>
  <si>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</si>
  <si>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</si>
  <si>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</si>
  <si>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</si>
  <si>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</si>
  <si>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</si>
  <si>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</si>
  <si>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</si>
  <si>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</si>
  <si>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</si>
  <si>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</si>
  <si>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</si>
  <si>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</si>
  <si>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</si>
  <si>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</si>
  <si>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</si>
  <si>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</si>
  <si>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</si>
  <si>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</si>
  <si>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</si>
  <si>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</si>
  <si>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</si>
  <si>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</si>
  <si>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</si>
  <si>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</si>
  <si>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</si>
  <si>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</si>
  <si>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</si>
  <si>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</si>
  <si>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</si>
  <si>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</si>
  <si>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</si>
  <si>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</si>
  <si>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</si>
  <si>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</si>
  <si>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</si>
  <si>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</si>
  <si>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</si>
  <si>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</si>
  <si>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</si>
  <si>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</si>
  <si>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</si>
  <si>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</si>
  <si>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</si>
  <si>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</si>
  <si>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</si>
  <si>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</si>
  <si>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</si>
  <si>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</si>
  <si>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</si>
  <si>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</si>
  <si>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</si>
  <si>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</si>
  <si>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</si>
  <si>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</si>
  <si>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</si>
  <si>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</si>
  <si>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</si>
  <si>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</si>
  <si>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</si>
  <si>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</si>
  <si>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</si>
  <si>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</si>
  <si>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</si>
  <si>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</si>
  <si>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</si>
  <si>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</si>
  <si>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</si>
  <si>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</si>
  <si>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</si>
  <si>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</si>
  <si>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</si>
  <si>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</si>
  <si>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</si>
  <si>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</si>
  <si>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</si>
  <si>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</si>
  <si>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</si>
  <si>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</si>
  <si>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</si>
  <si>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</si>
  <si>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</si>
  <si>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</si>
  <si>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</si>
  <si>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</si>
  <si>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</si>
  <si>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</si>
  <si>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</si>
  <si>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</si>
  <si>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</si>
  <si>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</si>
  <si>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</si>
  <si>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</si>
  <si>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</si>
  <si>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</si>
  <si>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</si>
  <si>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</si>
  <si>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</si>
  <si>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</si>
  <si>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</si>
  <si>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</si>
  <si>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</si>
  <si>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</si>
  <si>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</si>
  <si>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</si>
  <si>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</si>
  <si>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</si>
  <si>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</si>
  <si>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</si>
  <si>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</si>
  <si>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</si>
  <si>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</si>
  <si>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</si>
  <si>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</si>
  <si>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</si>
  <si>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</si>
  <si>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</si>
  <si>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</si>
  <si>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</si>
  <si>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</si>
  <si>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</si>
  <si>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</si>
  <si>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</si>
  <si>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</si>
  <si>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</si>
  <si>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</si>
  <si>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</si>
  <si>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</si>
  <si>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</si>
  <si>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</si>
  <si>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</si>
  <si>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</si>
  <si>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</si>
  <si>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</si>
  <si>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</si>
  <si>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</si>
  <si>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</si>
  <si>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</si>
  <si>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</si>
  <si>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</si>
  <si>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</si>
  <si>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</si>
  <si>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</si>
  <si>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</si>
  <si>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</si>
  <si>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</si>
  <si>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</si>
  <si>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</si>
  <si>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</si>
  <si>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</si>
  <si>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</si>
  <si>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</si>
  <si>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</si>
  <si>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</si>
  <si>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</si>
  <si>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</si>
  <si>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</si>
  <si>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</si>
  <si>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</si>
  <si>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</si>
  <si>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</si>
  <si>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</si>
  <si>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</si>
  <si>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</si>
  <si>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</si>
  <si>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</si>
  <si>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</si>
  <si>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</si>
  <si>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</si>
  <si>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</si>
  <si>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</si>
  <si>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</si>
  <si>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</si>
  <si>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</si>
  <si>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</si>
  <si>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</si>
  <si>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</si>
  <si>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</si>
  <si>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</si>
  <si>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</si>
  <si>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</si>
  <si>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</si>
  <si>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</si>
  <si>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</si>
  <si>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</si>
  <si>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</si>
  <si>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</si>
  <si>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</si>
  <si>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</si>
  <si>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</si>
  <si>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</si>
  <si>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</si>
  <si>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</si>
  <si>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</si>
  <si>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</si>
  <si>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</si>
  <si>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</si>
  <si>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</si>
  <si>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</si>
  <si>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</si>
  <si>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</si>
  <si>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</si>
  <si>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</si>
  <si>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</si>
  <si>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</si>
  <si>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</si>
  <si>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</si>
  <si>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</si>
  <si>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</si>
  <si>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</si>
  <si>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</si>
  <si>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</si>
  <si>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</si>
  <si>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</si>
  <si>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</si>
  <si>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</si>
  <si>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</si>
  <si>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</si>
  <si>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</si>
  <si>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</si>
  <si>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</si>
  <si>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</si>
  <si>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</si>
  <si>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</si>
  <si>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</si>
  <si>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</si>
  <si>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</si>
  <si>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</si>
  <si>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</si>
  <si>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</si>
  <si>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</si>
  <si>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</si>
  <si>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</si>
  <si>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</si>
  <si>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</si>
  <si>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</si>
  <si>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</si>
  <si>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</si>
  <si>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</si>
  <si>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</si>
  <si>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</si>
  <si>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</si>
  <si>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</si>
  <si>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</si>
  <si>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</si>
  <si>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</si>
  <si>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</si>
  <si>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</si>
  <si>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</si>
  <si>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</si>
  <si>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</si>
  <si>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</si>
  <si>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</si>
  <si>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</si>
  <si>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</si>
  <si>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</si>
  <si>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</si>
  <si>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</si>
  <si>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</si>
  <si>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</si>
  <si>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</si>
  <si>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</si>
  <si>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</si>
  <si>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</si>
  <si>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</si>
  <si>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</si>
  <si>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</si>
  <si>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</si>
  <si>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</si>
  <si>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</si>
  <si>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</si>
  <si>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</si>
  <si>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</si>
  <si>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</si>
  <si>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</si>
  <si>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</si>
  <si>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</si>
  <si>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</si>
  <si>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</si>
  <si>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</si>
  <si>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</si>
  <si>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</si>
  <si>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</si>
  <si>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</si>
  <si>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</si>
  <si>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</si>
  <si>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</si>
  <si>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</si>
  <si>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</si>
  <si>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</si>
  <si>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</si>
  <si>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</si>
  <si>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</si>
  <si>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</si>
  <si>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</si>
  <si>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</si>
  <si>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</si>
  <si>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</si>
  <si>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</si>
  <si>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</si>
  <si>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</si>
  <si>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</si>
  <si>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</si>
  <si>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</si>
  <si>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</si>
  <si>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</si>
  <si>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</si>
  <si>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</si>
  <si>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</si>
  <si>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</si>
  <si>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</si>
  <si>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</si>
  <si>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</si>
  <si>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</si>
  <si>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</si>
  <si>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</si>
  <si>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</si>
  <si>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</si>
  <si>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</si>
  <si>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</si>
  <si>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</si>
  <si>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</si>
  <si>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</si>
  <si>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</si>
  <si>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</si>
  <si>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</si>
  <si>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</si>
  <si>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</si>
  <si>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</si>
  <si>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</si>
  <si>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</si>
  <si>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</si>
  <si>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</si>
  <si>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</si>
  <si>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</si>
  <si>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</si>
  <si>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</si>
  <si>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</si>
  <si>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</si>
  <si>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</si>
  <si>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</si>
  <si>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</si>
  <si>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</si>
  <si>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</si>
  <si>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</si>
  <si>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</si>
  <si>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</si>
  <si>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</si>
  <si>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</si>
  <si>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</si>
  <si>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</si>
  <si>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</si>
  <si>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</si>
  <si>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</si>
  <si>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</si>
  <si>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</si>
  <si>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</si>
  <si>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</si>
  <si>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</si>
  <si>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</si>
  <si>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</si>
  <si>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</si>
  <si>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</si>
  <si>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</si>
  <si>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</si>
  <si>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</si>
  <si>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</si>
  <si>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</si>
  <si>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</si>
  <si>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</si>
  <si>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</si>
  <si>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</si>
  <si>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</si>
  <si>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</si>
  <si>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</si>
  <si>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</si>
  <si>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</si>
  <si>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</si>
  <si>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</si>
  <si>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</si>
  <si>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</si>
  <si>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</si>
  <si>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</si>
  <si>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</si>
  <si>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</si>
  <si>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</si>
  <si>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</si>
  <si>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</si>
  <si>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</si>
  <si>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</si>
  <si>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</si>
  <si>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</si>
  <si>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</si>
  <si>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</si>
  <si>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</si>
  <si>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</si>
  <si>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</si>
  <si>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</si>
  <si>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</si>
  <si>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</si>
  <si>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</si>
  <si>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</si>
  <si>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</si>
  <si>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</si>
  <si>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</si>
  <si>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</si>
  <si>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</si>
  <si>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</si>
  <si>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</si>
  <si>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</si>
  <si>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</si>
  <si>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</si>
  <si>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</si>
  <si>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</si>
  <si>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</si>
  <si>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</si>
  <si>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</si>
  <si>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</si>
  <si>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</si>
  <si>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</si>
  <si>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</si>
  <si>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</si>
  <si>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</si>
  <si>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</si>
  <si>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</si>
  <si>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</si>
  <si>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</si>
  <si>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</si>
  <si>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</si>
  <si>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</si>
  <si>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</si>
  <si>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</si>
  <si>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</si>
  <si>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</si>
  <si>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</si>
  <si>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</si>
  <si>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</si>
  <si>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</si>
  <si>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</si>
  <si>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</si>
  <si>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</si>
  <si>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</si>
  <si>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</si>
  <si>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</si>
  <si>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</si>
  <si>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</si>
  <si>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</si>
  <si>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</si>
  <si>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</si>
  <si>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</si>
  <si>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</si>
  <si>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</si>
  <si>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</si>
  <si>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</si>
  <si>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</si>
  <si>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</si>
  <si>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</si>
  <si>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</si>
  <si>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</si>
  <si>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</si>
  <si>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</si>
  <si>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</si>
  <si>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</si>
  <si>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</si>
  <si>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</si>
  <si>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</si>
  <si>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</si>
  <si>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</si>
  <si>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</si>
  <si>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</si>
  <si>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</si>
  <si>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</si>
  <si>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</si>
  <si>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</si>
  <si>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</si>
  <si>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</si>
  <si>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</si>
  <si>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</si>
  <si>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</si>
  <si>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</si>
  <si>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</si>
  <si>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</si>
  <si>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</si>
  <si>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</si>
  <si>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</si>
  <si>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</si>
  <si>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</si>
  <si>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</si>
  <si>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</si>
  <si>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</si>
  <si>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</si>
  <si>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</si>
  <si>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</si>
  <si>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</si>
  <si>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</si>
  <si>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</si>
  <si>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</si>
  <si>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</si>
  <si>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</si>
  <si>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</si>
  <si>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</si>
  <si>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</si>
  <si>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</si>
  <si>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</si>
  <si>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</si>
  <si>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</si>
  <si>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</si>
  <si>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</si>
  <si>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</si>
  <si>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</si>
  <si>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</si>
  <si>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</si>
  <si>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</si>
  <si>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</si>
  <si>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</si>
  <si>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</si>
  <si>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</si>
  <si>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</si>
  <si>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</si>
  <si>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</si>
  <si>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</si>
  <si>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</si>
  <si>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</si>
  <si>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</si>
  <si>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</si>
  <si>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</si>
  <si>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</si>
  <si>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</si>
  <si>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</si>
  <si>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</si>
  <si>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</si>
  <si>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</si>
  <si>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</si>
  <si>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</si>
  <si>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</si>
  <si>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</si>
  <si>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</si>
  <si>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</si>
  <si>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</si>
  <si>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</si>
  <si>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</si>
  <si>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</si>
  <si>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</si>
  <si>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</si>
  <si>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</si>
  <si>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</si>
  <si>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</si>
  <si>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</si>
  <si>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</si>
  <si>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</si>
  <si>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</si>
  <si>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</si>
  <si>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</si>
  <si>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</si>
  <si>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</si>
  <si>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</si>
  <si>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</si>
  <si>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</si>
  <si>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</si>
  <si>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</si>
  <si>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</si>
  <si>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</si>
  <si>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</si>
  <si>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</si>
  <si>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</si>
  <si>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</si>
  <si>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</si>
  <si>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</si>
  <si>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</si>
  <si>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</si>
  <si>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</si>
  <si>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</si>
  <si>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</si>
  <si>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</si>
  <si>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</si>
  <si>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</si>
  <si>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</si>
  <si>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</si>
  <si>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</si>
  <si>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</si>
  <si>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</si>
  <si>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</si>
  <si>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</si>
  <si>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</si>
  <si>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</si>
  <si>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</si>
  <si>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</si>
  <si>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</si>
  <si>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</si>
  <si>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</si>
  <si>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</si>
  <si>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</si>
  <si>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</si>
  <si>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</si>
  <si>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</si>
  <si>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</si>
  <si>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</si>
  <si>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</si>
  <si>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</si>
  <si>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</si>
  <si>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</si>
  <si>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</si>
  <si>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</si>
  <si>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</si>
  <si>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</si>
  <si>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</si>
  <si>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</si>
  <si>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</si>
  <si>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</si>
  <si>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</si>
  <si>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</si>
  <si>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</si>
  <si>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</si>
  <si>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</si>
  <si>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</si>
  <si>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</si>
  <si>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</si>
  <si>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</si>
  <si>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</si>
  <si>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</si>
  <si>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</si>
  <si>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</si>
  <si>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</si>
  <si>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</si>
  <si>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</si>
  <si>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</si>
  <si>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</si>
  <si>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</si>
  <si>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</si>
  <si>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</si>
  <si>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</si>
  <si>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</si>
  <si>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</si>
  <si>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</si>
  <si>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</si>
  <si>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</si>
  <si>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</si>
  <si>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</si>
  <si>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</si>
  <si>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</si>
  <si>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</si>
  <si>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</si>
  <si>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</si>
  <si>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</si>
  <si>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</si>
  <si>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</si>
  <si>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</si>
  <si>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</si>
  <si>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</si>
  <si>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</si>
  <si>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</si>
  <si>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</si>
  <si>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</si>
  <si>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</si>
  <si>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</si>
  <si>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</si>
  <si>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</si>
  <si>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</si>
  <si>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</si>
  <si>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</si>
  <si>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</si>
  <si>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</si>
  <si>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</si>
  <si>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</si>
  <si>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</si>
  <si>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</si>
  <si>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</si>
  <si>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</si>
  <si>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</si>
  <si>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</si>
  <si>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</si>
  <si>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</si>
  <si>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</si>
  <si>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</si>
  <si>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</si>
  <si>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</si>
  <si>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</si>
  <si>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</si>
  <si>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</si>
  <si>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</si>
  <si>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</si>
  <si>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</si>
  <si>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</si>
  <si>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</si>
  <si>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</si>
  <si>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</si>
  <si>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</si>
  <si>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</si>
  <si>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</si>
  <si>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</si>
  <si>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</si>
  <si>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</si>
  <si>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</si>
  <si>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</si>
  <si>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</si>
  <si>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</si>
  <si>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</si>
  <si>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</si>
  <si>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</si>
  <si>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</si>
  <si>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</si>
  <si>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</si>
  <si>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</si>
  <si>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</si>
  <si>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</si>
  <si>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</si>
  <si>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</si>
  <si>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</si>
  <si>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</si>
  <si>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</si>
  <si>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</si>
  <si>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</si>
  <si>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</si>
  <si>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</si>
  <si>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</si>
  <si>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</si>
  <si>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</si>
  <si>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</si>
  <si>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</si>
  <si>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</si>
  <si>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</si>
  <si>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</si>
  <si>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</si>
  <si>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</si>
  <si>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</si>
  <si>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</si>
  <si>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</si>
  <si>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</si>
  <si>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</si>
  <si>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</si>
  <si>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</si>
  <si>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</si>
  <si>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</si>
  <si>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</si>
  <si>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</si>
  <si>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</si>
  <si>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</si>
  <si>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</si>
  <si>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</si>
  <si>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</si>
  <si>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</si>
  <si>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</si>
  <si>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</si>
  <si>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</si>
  <si>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</si>
  <si>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</si>
  <si>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</si>
  <si>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</si>
  <si>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</si>
  <si>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</si>
  <si>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</si>
  <si>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</si>
  <si>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</si>
  <si>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</si>
  <si>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</si>
  <si>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</si>
  <si>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</si>
  <si>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</si>
  <si>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</si>
  <si>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</si>
  <si>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</si>
  <si>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</si>
  <si>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</si>
  <si>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</si>
  <si>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</si>
  <si>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</si>
  <si>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</si>
  <si>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</si>
  <si>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</si>
  <si>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</si>
  <si>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</si>
  <si>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</si>
  <si>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</si>
  <si>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</si>
  <si>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</si>
  <si>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</si>
  <si>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</si>
  <si>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</si>
  <si>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</si>
  <si>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</si>
  <si>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</si>
  <si>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</si>
  <si>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</si>
  <si>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</si>
  <si>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</si>
  <si>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</si>
  <si>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</si>
  <si>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</si>
  <si>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</si>
  <si>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</si>
  <si>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</si>
  <si>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</si>
  <si>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</si>
  <si>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</si>
  <si>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</si>
  <si>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</si>
  <si>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</si>
  <si>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</si>
  <si>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</si>
  <si>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</si>
  <si>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</si>
  <si>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</si>
  <si>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</si>
  <si>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</si>
  <si>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</si>
  <si>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</si>
  <si>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</si>
  <si>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</si>
  <si>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</si>
  <si>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</si>
  <si>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</si>
  <si>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</si>
  <si>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</si>
  <si>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</si>
  <si>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</si>
  <si>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</si>
  <si>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</si>
  <si>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</si>
  <si>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</si>
  <si>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</si>
  <si>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</si>
  <si>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</si>
  <si>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</si>
  <si>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</si>
  <si>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</si>
  <si>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</si>
  <si>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</si>
  <si>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</si>
  <si>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</si>
  <si>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</si>
  <si>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</si>
  <si>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</si>
  <si>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</si>
  <si>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</si>
  <si>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</si>
  <si>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</si>
  <si>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</si>
  <si>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</si>
  <si>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</si>
  <si>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</si>
  <si>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</si>
  <si>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</si>
  <si>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</si>
  <si>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</si>
  <si>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</si>
  <si>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</si>
  <si>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</si>
  <si>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</si>
  <si>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</si>
  <si>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</si>
  <si>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</si>
  <si>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</si>
  <si>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</si>
  <si>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</si>
  <si>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</si>
  <si>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</si>
  <si>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</si>
  <si>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</si>
  <si>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</si>
  <si>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</si>
  <si>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</si>
  <si>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</si>
  <si>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</si>
  <si>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</si>
  <si>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</si>
  <si>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</si>
  <si>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</si>
  <si>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</si>
  <si>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</si>
  <si>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</si>
  <si>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</si>
  <si>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</si>
  <si>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</si>
  <si>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</si>
  <si>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</si>
  <si>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</si>
  <si>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</si>
  <si>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</si>
  <si>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</si>
  <si>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</si>
  <si>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</si>
  <si>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</si>
  <si>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</si>
  <si>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</si>
  <si>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</si>
  <si>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</si>
  <si>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</si>
  <si>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</si>
  <si>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</si>
  <si>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</si>
  <si>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</si>
  <si>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</si>
  <si>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</si>
  <si>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</si>
  <si>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</si>
  <si>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</si>
  <si>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</si>
  <si>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</si>
  <si>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</si>
  <si>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</si>
  <si>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</si>
  <si>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</si>
  <si>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</si>
  <si>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</si>
  <si>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</si>
  <si>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</si>
  <si>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</si>
  <si>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</si>
  <si>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</si>
  <si>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</si>
  <si>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</si>
  <si>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</si>
  <si>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</si>
  <si>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</si>
  <si>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</si>
  <si>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</si>
  <si>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</si>
  <si>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</si>
  <si>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</si>
  <si>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</si>
  <si>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</si>
  <si>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</si>
  <si>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</si>
  <si>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</si>
  <si>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</si>
  <si>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</si>
  <si>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</si>
  <si>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</si>
  <si>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</si>
  <si>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</si>
  <si>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</si>
  <si>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</si>
  <si>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</si>
  <si>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</si>
  <si>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</si>
  <si>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</si>
  <si>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</si>
  <si>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</si>
  <si>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</si>
  <si>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</si>
  <si>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</si>
  <si>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</si>
  <si>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</si>
  <si>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</si>
  <si>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</si>
  <si>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</si>
  <si>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</si>
  <si>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</si>
  <si>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</si>
  <si>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</si>
  <si>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</si>
  <si>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</si>
  <si>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</si>
  <si>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</si>
  <si>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</si>
  <si>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</si>
  <si>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</si>
  <si>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</si>
  <si>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</si>
  <si>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</si>
  <si>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</si>
  <si>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</si>
  <si>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</si>
  <si>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</si>
  <si>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</si>
  <si>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</si>
  <si>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</si>
  <si>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</si>
  <si>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</si>
  <si>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</si>
  <si>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</si>
  <si>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</si>
  <si>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</si>
  <si>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</si>
  <si>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</si>
  <si>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</si>
  <si>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</si>
  <si>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</si>
  <si>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</si>
  <si>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</si>
  <si>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</si>
  <si>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</si>
  <si>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</si>
  <si>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</si>
  <si>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</si>
  <si>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</si>
  <si>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</si>
  <si>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</si>
  <si>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</si>
  <si>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</si>
  <si>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</si>
  <si>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</si>
  <si>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</si>
  <si>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</si>
  <si>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</si>
  <si>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</si>
  <si>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</si>
  <si>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</si>
  <si>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</si>
  <si>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</si>
  <si>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</si>
  <si>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</si>
  <si>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</si>
  <si>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</si>
  <si>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</si>
  <si>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</si>
  <si>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</si>
  <si>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</si>
  <si>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</si>
  <si>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</si>
  <si>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</si>
  <si>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</si>
  <si>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</si>
  <si>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</si>
  <si>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</si>
  <si>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</si>
  <si>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</si>
  <si>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</si>
  <si>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</si>
  <si>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</si>
  <si>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</si>
  <si>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</si>
  <si>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</si>
  <si>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</si>
  <si>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</si>
  <si>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</si>
  <si>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</si>
  <si>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</si>
  <si>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</si>
  <si>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</si>
  <si>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</si>
  <si>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</si>
  <si>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</si>
  <si>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</si>
  <si>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</si>
  <si>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</si>
  <si>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</si>
  <si>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</si>
  <si>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</si>
  <si>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</si>
  <si>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</si>
  <si>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</si>
  <si>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</si>
  <si>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</si>
  <si>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</si>
  <si>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</si>
  <si>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</si>
  <si>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</si>
  <si>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</si>
  <si>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</si>
  <si>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</si>
  <si>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</si>
  <si>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</si>
  <si>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</si>
  <si>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</si>
  <si>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</si>
  <si>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</si>
  <si>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</si>
  <si>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</si>
  <si>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</si>
  <si>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</si>
  <si>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</si>
  <si>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</si>
  <si>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</si>
  <si>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</si>
  <si>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</si>
  <si>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</si>
  <si>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</si>
  <si>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</si>
  <si>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</si>
  <si>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</si>
  <si>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</si>
  <si>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</si>
  <si>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</si>
  <si>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</si>
  <si>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</si>
  <si>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</si>
  <si>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</si>
  <si>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</si>
  <si>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</si>
  <si>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</si>
  <si>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</si>
  <si>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</si>
  <si>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</si>
  <si>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</si>
  <si>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</si>
  <si>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</si>
  <si>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</si>
  <si>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</si>
  <si>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</si>
  <si>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</si>
  <si>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</si>
  <si>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</si>
  <si>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</si>
  <si>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</si>
  <si>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</si>
  <si>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</si>
  <si>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</si>
  <si>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</si>
  <si>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</si>
  <si>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</si>
  <si>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</si>
  <si>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</si>
  <si>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</si>
  <si>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</si>
  <si>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</si>
  <si>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</si>
  <si>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</si>
  <si>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</si>
  <si>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</si>
  <si>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</si>
  <si>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</si>
  <si>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</si>
  <si>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</si>
  <si>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</si>
  <si>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</si>
  <si>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</si>
  <si>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</si>
  <si>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</si>
  <si>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</si>
  <si>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</si>
  <si>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</si>
  <si>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</si>
  <si>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</si>
  <si>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</si>
  <si>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</si>
  <si>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</si>
  <si>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</si>
  <si>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</si>
  <si>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</si>
  <si>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</si>
  <si>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</si>
  <si>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</si>
  <si>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</si>
  <si>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</si>
  <si>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</si>
  <si>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</si>
  <si>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</si>
  <si>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</si>
  <si>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</si>
  <si>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</si>
  <si>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</si>
  <si>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</si>
  <si>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</si>
  <si>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</si>
  <si>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</si>
  <si>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</si>
  <si>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</si>
  <si>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</si>
  <si>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</si>
  <si>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</si>
  <si>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</si>
  <si>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</si>
  <si>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</si>
  <si>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</si>
  <si>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</si>
  <si>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</si>
  <si>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</si>
  <si>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</si>
  <si>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</si>
  <si>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</si>
  <si>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</si>
  <si>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</si>
  <si>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</si>
  <si>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</si>
  <si>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</si>
  <si>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</si>
  <si>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</si>
  <si>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</si>
  <si>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</si>
  <si>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</si>
  <si>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</si>
  <si>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</si>
  <si>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</si>
  <si>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</si>
  <si>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</si>
  <si>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</si>
  <si>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</si>
  <si>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</si>
  <si>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</si>
  <si>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</si>
  <si>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</si>
  <si>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</si>
  <si>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</si>
  <si>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</si>
  <si>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</si>
  <si>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</si>
  <si>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</si>
  <si>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</si>
  <si>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</si>
  <si>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</si>
  <si>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</si>
  <si>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</si>
  <si>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</si>
  <si>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</si>
  <si>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</si>
  <si>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</si>
  <si>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</si>
  <si>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</si>
  <si>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</si>
  <si>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</si>
  <si>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</si>
  <si>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</si>
  <si>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</si>
  <si>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</si>
  <si>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</si>
  <si>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</si>
  <si>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</si>
  <si>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</si>
  <si>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</si>
  <si>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</si>
  <si>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</si>
  <si>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</si>
  <si>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</si>
  <si>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</si>
  <si>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</si>
  <si>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</si>
  <si>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</si>
  <si>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</si>
  <si>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</si>
  <si>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</si>
  <si>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</si>
  <si>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</si>
  <si>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</si>
  <si>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</si>
  <si>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</si>
  <si>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</si>
  <si>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</si>
  <si>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</si>
  <si>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</si>
  <si>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</si>
  <si>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</si>
  <si>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</si>
  <si>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</si>
  <si>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</si>
  <si>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</si>
  <si>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</si>
  <si>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</si>
  <si>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</si>
  <si>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</si>
  <si>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</si>
  <si>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</si>
  <si>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</si>
  <si>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</si>
  <si>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</si>
  <si>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</si>
  <si>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</si>
  <si>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</si>
  <si>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</si>
  <si>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</si>
  <si>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</si>
  <si>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</si>
  <si>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</si>
  <si>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</si>
  <si>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</si>
  <si>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</si>
  <si>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</si>
  <si>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</si>
  <si>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</si>
  <si>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</si>
  <si>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</si>
  <si>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</si>
  <si>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</si>
  <si>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</si>
  <si>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</si>
  <si>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</si>
  <si>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</si>
  <si>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</si>
  <si>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</si>
  <si>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</si>
  <si>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</si>
  <si>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</si>
  <si>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</si>
  <si>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</si>
  <si>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</si>
  <si>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</si>
  <si>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</si>
  <si>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</si>
  <si>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</si>
  <si>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</si>
  <si>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</si>
  <si>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</si>
  <si>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</si>
  <si>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</si>
  <si>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</si>
  <si>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</si>
  <si>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</si>
  <si>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</si>
  <si>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</si>
  <si>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</si>
  <si>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</si>
  <si>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</si>
  <si>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</si>
  <si>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</si>
  <si>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</si>
  <si>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</si>
  <si>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</si>
  <si>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</si>
  <si>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</si>
  <si>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</si>
  <si>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</si>
  <si>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</si>
  <si>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</si>
  <si>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</si>
  <si>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</si>
  <si>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</si>
  <si>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</si>
  <si>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</si>
  <si>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</si>
  <si>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</si>
  <si>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</si>
  <si>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</si>
  <si>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</si>
  <si>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</si>
  <si>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</si>
  <si>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</si>
  <si>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</si>
  <si>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</si>
  <si>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</si>
  <si>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</si>
  <si>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</si>
  <si>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</si>
  <si>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</si>
  <si>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</si>
  <si>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</si>
  <si>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</si>
  <si>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</si>
  <si>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</si>
  <si>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</si>
  <si>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</si>
  <si>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</si>
  <si>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</si>
  <si>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</si>
  <si>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</si>
  <si>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</si>
  <si>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</si>
  <si>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</si>
  <si>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</si>
  <si>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</si>
  <si>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</si>
  <si>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</si>
  <si>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</si>
  <si>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</si>
  <si>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</si>
  <si>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</si>
  <si>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</si>
  <si>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</si>
  <si>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</si>
  <si>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</si>
  <si>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</si>
  <si>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</si>
  <si>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</si>
  <si>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</si>
  <si>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</si>
  <si>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</si>
  <si>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</si>
  <si>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</si>
  <si>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</si>
  <si>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</si>
  <si>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</si>
  <si>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</si>
  <si>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</si>
  <si>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</si>
  <si>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</si>
  <si>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</si>
  <si>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</si>
  <si>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</si>
  <si>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</si>
  <si>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</si>
  <si>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</si>
  <si>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</si>
  <si>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</si>
  <si>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</si>
  <si>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</si>
  <si>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</si>
  <si>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</si>
  <si>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</si>
  <si>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</si>
  <si>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</si>
  <si>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</si>
  <si>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</si>
  <si>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</si>
  <si>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</si>
  <si>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</si>
  <si>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</si>
  <si>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</si>
  <si>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</si>
  <si>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</si>
  <si>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</si>
  <si>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</si>
  <si>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</si>
  <si>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</si>
  <si>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</si>
  <si>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</si>
  <si>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</si>
  <si>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</si>
  <si>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</si>
  <si>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</si>
  <si>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</si>
  <si>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</si>
  <si>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</si>
  <si>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</si>
  <si>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</si>
  <si>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</si>
  <si>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</si>
  <si>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</si>
  <si>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</si>
  <si>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</si>
  <si>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</si>
  <si>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</si>
  <si>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</si>
  <si>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</si>
  <si>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</si>
  <si>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</si>
  <si>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</si>
  <si>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</si>
  <si>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</si>
  <si>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</si>
  <si>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</si>
  <si>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</si>
  <si>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</si>
  <si>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</si>
  <si>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</si>
  <si>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</si>
  <si>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</si>
  <si>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</si>
  <si>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</si>
  <si>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</si>
  <si>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</si>
  <si>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</si>
  <si>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</si>
  <si>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</si>
  <si>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</si>
  <si>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</si>
  <si>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</si>
  <si>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</si>
  <si>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</si>
  <si>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</si>
  <si>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</si>
  <si>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</si>
  <si>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</si>
  <si>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</si>
  <si>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</si>
  <si>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</si>
  <si>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</si>
  <si>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</si>
  <si>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</si>
  <si>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</si>
  <si>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</si>
  <si>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</si>
  <si>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</si>
  <si>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</si>
  <si>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</si>
  <si>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</si>
  <si>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</si>
  <si>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</si>
  <si>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</si>
  <si>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</si>
  <si>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</si>
  <si>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</si>
  <si>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</si>
  <si>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</si>
  <si>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</si>
  <si>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</si>
  <si>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</si>
  <si>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</si>
  <si>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</si>
  <si>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</si>
  <si>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</si>
  <si>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</si>
  <si>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</si>
  <si>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</si>
  <si>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</si>
  <si>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</si>
  <si>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</si>
  <si>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</si>
  <si>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</si>
  <si>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</si>
  <si>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</si>
  <si>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</si>
  <si>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</si>
  <si>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</si>
  <si>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</si>
  <si>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</si>
  <si>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</si>
  <si>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</si>
  <si>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</si>
  <si>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</si>
  <si>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</si>
  <si>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</si>
  <si>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</si>
  <si>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</si>
  <si>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</si>
  <si>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</si>
  <si>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</si>
  <si>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</si>
  <si>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</si>
  <si>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</si>
  <si>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</si>
  <si>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</si>
  <si>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</si>
  <si>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</si>
  <si>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</si>
  <si>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</si>
  <si>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</si>
  <si>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</si>
  <si>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</si>
  <si>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</si>
  <si>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</si>
  <si>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</si>
  <si>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</si>
  <si>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</si>
  <si>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</si>
  <si>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</si>
  <si>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</si>
  <si>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</si>
  <si>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</si>
  <si>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</si>
  <si>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</si>
  <si>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</si>
  <si>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</si>
  <si>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</si>
  <si>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</si>
  <si>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</si>
  <si>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</si>
  <si>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</si>
  <si>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</si>
  <si>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</si>
  <si>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</si>
  <si>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</si>
  <si>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</si>
  <si>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</si>
  <si>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</si>
  <si>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</si>
  <si>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</si>
  <si>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</si>
  <si>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</si>
  <si>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</si>
  <si>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</si>
  <si>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</si>
  <si>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</si>
  <si>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</si>
  <si>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</si>
  <si>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</si>
  <si>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</si>
  <si>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</si>
  <si>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</si>
  <si>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</si>
  <si>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</si>
  <si>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</si>
  <si>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</si>
  <si>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</si>
  <si>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</si>
  <si>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</si>
  <si>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</si>
  <si>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</si>
  <si>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</si>
  <si>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</si>
  <si>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</si>
  <si>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</si>
  <si>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</si>
  <si>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</si>
  <si>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</si>
  <si>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</si>
  <si>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</si>
  <si>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</si>
  <si>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</si>
  <si>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</si>
  <si>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</si>
  <si>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</si>
  <si>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</si>
  <si>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</si>
  <si>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</si>
  <si>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</si>
  <si>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</si>
  <si>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</si>
  <si>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</si>
  <si>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</si>
  <si>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</si>
  <si>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</si>
  <si>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</si>
  <si>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</si>
  <si>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</si>
  <si>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</si>
  <si>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</si>
  <si>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</si>
  <si>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</si>
  <si>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</si>
  <si>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</si>
  <si>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</si>
  <si>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</si>
  <si>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</si>
  <si>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</si>
  <si>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</si>
  <si>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</si>
  <si>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</si>
  <si>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</si>
  <si>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</si>
  <si>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</si>
  <si>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</si>
  <si>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</si>
  <si>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</si>
  <si>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</si>
  <si>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</si>
  <si>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</si>
  <si>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</si>
  <si>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</si>
  <si>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</si>
  <si>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</si>
  <si>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</si>
  <si>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</si>
  <si>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</si>
  <si>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</si>
  <si>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</si>
  <si>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</si>
  <si>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</si>
  <si>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</si>
  <si>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</si>
  <si>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</si>
  <si>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</si>
  <si>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</si>
  <si>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</si>
  <si>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</si>
  <si>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</si>
  <si>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</si>
  <si>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</si>
  <si>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</si>
  <si>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</si>
  <si>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</si>
  <si>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</si>
  <si>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</si>
  <si>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</si>
  <si>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</si>
  <si>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</si>
  <si>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</si>
  <si>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</si>
  <si>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</si>
  <si>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</si>
  <si>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</si>
  <si>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</si>
  <si>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</si>
  <si>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</si>
  <si>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</si>
  <si>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</si>
  <si>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</si>
  <si>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</si>
  <si>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</si>
  <si>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</si>
  <si>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</si>
  <si>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</si>
  <si>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</si>
  <si>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</si>
  <si>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</si>
  <si>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</si>
  <si>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</si>
  <si>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</si>
  <si>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</si>
  <si>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</si>
  <si>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</si>
  <si>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</si>
  <si>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</si>
  <si>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</si>
  <si>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</si>
  <si>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</si>
  <si>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</si>
  <si>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</si>
  <si>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</si>
  <si>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</si>
  <si>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</si>
  <si>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</si>
  <si>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</si>
  <si>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</si>
  <si>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</si>
  <si>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</si>
  <si>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</si>
  <si>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</si>
  <si>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</si>
  <si>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</si>
  <si>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</si>
  <si>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</si>
  <si>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</si>
  <si>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</si>
  <si>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</si>
  <si>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</si>
  <si>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</si>
  <si>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</si>
  <si>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</si>
  <si>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</si>
  <si>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</si>
  <si>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</si>
  <si>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</si>
  <si>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</si>
  <si>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</si>
  <si>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</si>
  <si>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</si>
  <si>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</si>
  <si>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</si>
  <si>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</si>
  <si>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</si>
  <si>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</si>
  <si>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</si>
  <si>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</si>
  <si>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</si>
  <si>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</si>
  <si>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</si>
  <si>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</si>
  <si>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</si>
  <si>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</si>
  <si>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</si>
  <si>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</si>
  <si>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</si>
  <si>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</si>
  <si>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</si>
  <si>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</si>
  <si>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</si>
  <si>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</si>
  <si>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</si>
  <si>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</si>
  <si>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</si>
  <si>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</si>
  <si>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</si>
  <si>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</si>
  <si>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</si>
  <si>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</si>
  <si>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</si>
  <si>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</si>
  <si>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</si>
  <si>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</si>
  <si>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</si>
  <si>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</si>
  <si>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</si>
  <si>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</si>
  <si>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</si>
  <si>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</si>
  <si>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</si>
  <si>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</si>
  <si>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</si>
  <si>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</si>
  <si>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</si>
  <si>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</si>
  <si>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</si>
  <si>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</si>
  <si>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</si>
  <si>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</si>
  <si>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</si>
  <si>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</si>
  <si>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</si>
  <si>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</si>
  <si>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</si>
  <si>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</si>
  <si>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</si>
  <si>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</si>
  <si>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</si>
  <si>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</si>
  <si>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</si>
  <si>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</si>
  <si>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</si>
  <si>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</si>
  <si>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</si>
  <si>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</si>
  <si>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</si>
  <si>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</si>
  <si>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</si>
  <si>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</si>
  <si>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</si>
  <si>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</si>
  <si>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</si>
  <si>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</si>
  <si>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</si>
  <si>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</si>
  <si>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</si>
  <si>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</si>
  <si>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</si>
  <si>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</si>
  <si>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</si>
  <si>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</si>
  <si>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</si>
  <si>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</si>
  <si>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</si>
  <si>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</si>
  <si>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</si>
  <si>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</si>
  <si>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</si>
  <si>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</si>
  <si>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</si>
  <si>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</si>
  <si>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</si>
  <si>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</si>
  <si>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</si>
  <si>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</si>
  <si>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</si>
  <si>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</si>
  <si>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</si>
  <si>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</si>
  <si>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</si>
  <si>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</si>
  <si>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</si>
  <si>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</si>
  <si>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</si>
  <si>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</si>
  <si>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</si>
  <si>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</si>
  <si>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</si>
  <si>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</si>
  <si>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</si>
  <si>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</si>
  <si>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</si>
  <si>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</si>
  <si>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</si>
  <si>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</si>
  <si>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</si>
  <si>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</si>
  <si>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</si>
  <si>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</si>
  <si>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</si>
  <si>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</si>
  <si>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</si>
  <si>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</si>
  <si>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</si>
  <si>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</si>
  <si>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</si>
  <si>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</si>
  <si>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</si>
  <si>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</si>
  <si>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</si>
  <si>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</si>
  <si>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</si>
  <si>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</si>
  <si>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</si>
  <si>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</si>
  <si>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</si>
  <si>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</si>
  <si>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</si>
  <si>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</si>
  <si>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</si>
  <si>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</si>
  <si>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</si>
  <si>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</si>
  <si>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</si>
  <si>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</si>
  <si>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</si>
  <si>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</si>
  <si>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</si>
  <si>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</si>
  <si>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</si>
  <si>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</si>
  <si>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</si>
  <si>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</si>
  <si>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</si>
  <si>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</si>
  <si>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</si>
  <si>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</si>
  <si>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</si>
  <si>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</si>
  <si>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</si>
  <si>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</si>
  <si>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</si>
  <si>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</si>
  <si>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</si>
  <si>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</si>
  <si>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</si>
  <si>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</si>
  <si>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</si>
  <si>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</si>
  <si>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</si>
  <si>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</si>
  <si>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</si>
  <si>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</si>
  <si>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</si>
  <si>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</si>
  <si>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</si>
  <si>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</si>
  <si>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</si>
  <si>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</si>
  <si>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</si>
  <si>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</si>
  <si>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</si>
  <si>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</si>
  <si>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</si>
  <si>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</si>
  <si>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</si>
  <si>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</si>
  <si>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</si>
  <si>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</si>
  <si>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</si>
  <si>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</si>
  <si>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</si>
  <si>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</si>
  <si>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</si>
  <si>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</si>
  <si>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</si>
  <si>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</si>
  <si>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</si>
  <si>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</si>
  <si>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</si>
  <si>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</si>
  <si>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</si>
  <si>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</si>
  <si>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</si>
  <si>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</si>
  <si>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</si>
  <si>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</si>
  <si>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</si>
  <si>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</si>
  <si>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</si>
  <si>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</si>
  <si>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</si>
  <si>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</si>
  <si>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</si>
  <si>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</si>
  <si>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</si>
  <si>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</si>
  <si>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</si>
  <si>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</si>
  <si>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</si>
  <si>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</si>
  <si>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</si>
  <si>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</si>
  <si>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</si>
  <si>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</si>
  <si>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</si>
  <si>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</si>
  <si>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</si>
  <si>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</si>
  <si>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</si>
  <si>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</si>
  <si>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</si>
  <si>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</si>
  <si>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</si>
  <si>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</si>
  <si>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</si>
  <si>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</si>
  <si>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</si>
  <si>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</si>
  <si>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</si>
  <si>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</si>
  <si>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</si>
  <si>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</si>
  <si>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</si>
  <si>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</si>
  <si>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</si>
  <si>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</si>
  <si>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</si>
  <si>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</si>
  <si>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</si>
  <si>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</si>
  <si>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</si>
  <si>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</si>
  <si>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</si>
  <si>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</si>
  <si>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</si>
  <si>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</si>
  <si>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</si>
  <si>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</si>
  <si>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</si>
  <si>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</si>
  <si>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</si>
  <si>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</si>
  <si>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</si>
  <si>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</si>
  <si>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</si>
  <si>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</si>
  <si>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</si>
  <si>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</si>
  <si>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</si>
  <si>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</si>
  <si>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</si>
  <si>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</si>
  <si>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</si>
  <si>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</si>
  <si>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</si>
  <si>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</si>
  <si>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</si>
  <si>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</si>
  <si>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</si>
  <si>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</si>
  <si>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</si>
  <si>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</si>
  <si>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</si>
  <si>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</si>
  <si>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</si>
  <si>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</si>
  <si>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</si>
  <si>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</si>
  <si>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</si>
  <si>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</si>
  <si>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</si>
  <si>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</si>
  <si>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</si>
  <si>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</si>
  <si>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</si>
  <si>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</si>
  <si>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</si>
  <si>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</si>
  <si>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</si>
  <si>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</si>
  <si>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</si>
  <si>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</si>
  <si>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</si>
  <si>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</si>
  <si>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</si>
  <si>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</si>
  <si>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</si>
  <si>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</si>
  <si>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</si>
  <si>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</si>
  <si>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</si>
  <si>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</si>
  <si>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</si>
  <si>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</si>
  <si>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</si>
  <si>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</si>
  <si>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</si>
  <si>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</si>
  <si>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</si>
  <si>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</si>
  <si>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</si>
  <si>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</si>
  <si>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</si>
  <si>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</si>
  <si>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</si>
  <si>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</si>
  <si>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</si>
  <si>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</si>
  <si>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</si>
  <si>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</si>
  <si>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</si>
  <si>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</si>
  <si>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</si>
  <si>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</si>
  <si>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</si>
  <si>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</si>
  <si>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</si>
  <si>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</si>
  <si>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</si>
  <si>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</si>
  <si>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</si>
  <si>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</si>
  <si>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</si>
  <si>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</si>
  <si>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</si>
  <si>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</si>
  <si>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</si>
  <si>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</si>
  <si>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</si>
  <si>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</si>
  <si>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</si>
  <si>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</si>
  <si>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</si>
  <si>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</si>
  <si>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</si>
  <si>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</si>
  <si>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</si>
  <si>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</si>
  <si>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</si>
  <si>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</si>
  <si>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</si>
  <si>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</si>
  <si>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</si>
  <si>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</si>
  <si>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</si>
  <si>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</si>
  <si>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</si>
  <si>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</si>
  <si>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</si>
  <si>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</si>
  <si>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</si>
  <si>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</si>
  <si>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</si>
  <si>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</si>
  <si>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</si>
  <si>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</si>
  <si>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</si>
  <si>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</si>
  <si>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</si>
  <si>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</si>
  <si>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</si>
  <si>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</si>
  <si>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</si>
  <si>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</si>
  <si>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</si>
  <si>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</si>
  <si>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</si>
  <si>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</si>
  <si>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</si>
  <si>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</si>
  <si>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</si>
  <si>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</si>
  <si>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</si>
  <si>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</si>
  <si>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</si>
  <si>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</si>
  <si>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</si>
  <si>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</si>
  <si>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</si>
  <si>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</si>
  <si>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</si>
  <si>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</si>
  <si>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</si>
  <si>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</si>
  <si>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</si>
  <si>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</si>
  <si>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</si>
  <si>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</si>
  <si>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</si>
  <si>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</si>
  <si>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</si>
  <si>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</si>
  <si>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</si>
  <si>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</si>
  <si>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</si>
  <si>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</si>
  <si>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</si>
  <si>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</si>
  <si>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</si>
  <si>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</si>
  <si>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</si>
  <si>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</si>
  <si>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</si>
  <si>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</si>
  <si>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</si>
  <si>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</si>
  <si>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</si>
  <si>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</si>
  <si>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</si>
  <si>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</si>
  <si>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</si>
  <si>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</si>
  <si>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</si>
  <si>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</si>
  <si>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</si>
  <si>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</si>
  <si>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</si>
  <si>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</si>
  <si>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</si>
  <si>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</si>
  <si>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</si>
  <si>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</si>
  <si>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</si>
  <si>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</si>
  <si>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</si>
  <si>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</si>
  <si>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</si>
  <si>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</si>
  <si>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</si>
  <si>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</si>
  <si>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</si>
  <si>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</si>
  <si>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</si>
  <si>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</si>
  <si>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</si>
  <si>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</si>
  <si>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</si>
  <si>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</si>
  <si>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</si>
  <si>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</si>
  <si>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</si>
  <si>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</si>
  <si>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</si>
  <si>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</si>
  <si>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</si>
  <si>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</si>
  <si>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</si>
  <si>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</si>
  <si>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</si>
  <si>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</si>
  <si>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</si>
  <si>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</si>
  <si>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</si>
  <si>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</si>
  <si>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</si>
  <si>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</si>
  <si>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</si>
  <si>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</si>
  <si>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</si>
  <si>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</si>
  <si>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</si>
  <si>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</si>
  <si>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</si>
  <si>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</si>
  <si>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</si>
  <si>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</si>
  <si>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</si>
  <si>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</si>
  <si>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</si>
  <si>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</si>
  <si>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</si>
  <si>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</si>
  <si>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</si>
  <si>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</si>
  <si>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</si>
  <si>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</si>
  <si>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</si>
  <si>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</si>
  <si>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</si>
  <si>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</si>
  <si>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</si>
  <si>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</si>
  <si>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</si>
  <si>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</si>
  <si>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</si>
  <si>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</si>
  <si>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</si>
  <si>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</si>
  <si>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</si>
  <si>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</si>
  <si>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</si>
  <si>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</si>
  <si>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</si>
  <si>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</si>
  <si>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</si>
  <si>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</si>
  <si>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</si>
  <si>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</si>
  <si>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</si>
  <si>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</si>
  <si>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</si>
  <si>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</si>
  <si>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</si>
  <si>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</si>
  <si>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</si>
  <si>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</si>
  <si>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</si>
  <si>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</si>
  <si>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</si>
  <si>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</si>
  <si>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</si>
  <si>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</si>
  <si>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</si>
  <si>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</si>
  <si>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</si>
  <si>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</si>
  <si>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</si>
  <si>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</si>
  <si>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</si>
  <si>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</si>
  <si>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</si>
  <si>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</si>
  <si>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</si>
  <si>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</si>
  <si>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</si>
  <si>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</si>
  <si>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</si>
  <si>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</si>
  <si>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</si>
  <si>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</si>
  <si>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</si>
  <si>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</si>
  <si>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</si>
  <si>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</si>
  <si>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</si>
  <si>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</si>
  <si>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</si>
  <si>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</si>
  <si>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</si>
  <si>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</si>
  <si>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</si>
  <si>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</si>
  <si>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</si>
  <si>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</si>
  <si>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</si>
  <si>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</si>
  <si>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</si>
  <si>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</si>
  <si>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</si>
  <si>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</si>
  <si>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</si>
  <si>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</si>
  <si>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</si>
  <si>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</si>
  <si>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</si>
  <si>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</si>
  <si>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</si>
  <si>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</si>
  <si>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</si>
  <si>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</si>
  <si>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</si>
  <si>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</si>
  <si>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</si>
  <si>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</si>
  <si>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</si>
  <si>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</si>
  <si>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</si>
  <si>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</si>
  <si>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</si>
  <si>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</si>
  <si>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</si>
  <si>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</si>
  <si>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</si>
  <si>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</si>
  <si>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</si>
  <si>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</si>
  <si>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</si>
  <si>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</si>
  <si>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</si>
  <si>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</si>
  <si>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</si>
  <si>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</si>
  <si>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</si>
  <si>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</si>
  <si>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</si>
  <si>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</si>
  <si>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</si>
  <si>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</si>
  <si>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</si>
  <si>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</si>
  <si>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</si>
  <si>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</si>
  <si>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</si>
  <si>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</si>
  <si>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</si>
  <si>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</si>
  <si>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</si>
  <si>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</si>
  <si>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</si>
  <si>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</si>
  <si>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</si>
  <si>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</si>
  <si>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</si>
  <si>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</si>
  <si>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</si>
  <si>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</si>
  <si>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</si>
  <si>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</si>
  <si>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</si>
  <si>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</si>
  <si>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</si>
  <si>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</si>
  <si>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</si>
  <si>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</si>
  <si>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</si>
  <si>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</si>
  <si>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</si>
  <si>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</si>
  <si>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</si>
  <si>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</si>
  <si>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</si>
  <si>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</si>
  <si>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</si>
  <si>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</si>
  <si>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</si>
  <si>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</si>
  <si>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</si>
  <si>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</si>
  <si>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</si>
  <si>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</si>
  <si>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</si>
  <si>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</si>
  <si>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</si>
  <si>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</si>
  <si>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</si>
  <si>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</si>
  <si>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</si>
  <si>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</si>
  <si>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</si>
  <si>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</si>
  <si>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</si>
  <si>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</si>
  <si>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</si>
  <si>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</si>
  <si>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</si>
  <si>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</si>
  <si>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</si>
  <si>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</si>
  <si>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</si>
  <si>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</si>
  <si>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</si>
  <si>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</si>
  <si>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</si>
  <si>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</si>
  <si>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</si>
  <si>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</si>
  <si>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</si>
  <si>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</si>
  <si>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</si>
  <si>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</si>
  <si>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</si>
  <si>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</si>
  <si>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</si>
  <si>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</si>
  <si>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</si>
  <si>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</si>
  <si>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</si>
  <si>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</si>
  <si>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</si>
  <si>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</si>
  <si>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</si>
  <si>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</si>
  <si>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</si>
  <si>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</si>
  <si>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</si>
  <si>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</si>
  <si>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</si>
  <si>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</si>
  <si>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</si>
  <si>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</si>
  <si>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</si>
  <si>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</si>
  <si>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Vaciado de concreto</t>
  </si>
  <si>
    <t>Personal se encuentra realizando habilitación de materiales para encofrado en cantera.
- 04 Personas para habilitado de encofrado (Limpieza y armado de encofrado) 
- 04 Personas para vaciado de concreto
- 02 Operadores para habilitado de agregados para el concreto (Retroexcavadora y Minicargador)</t>
  </si>
  <si>
    <t>Histograma de Equipos 28/07/2026</t>
  </si>
  <si>
    <t>Semana03</t>
  </si>
  <si>
    <t>REPORTE DIARIO DE ACTIVIDADES DE SSOMA
📅 Fecha: 30/07/2026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Estados de Riesgo - Safestart.
🔍 3. Inspecciones y Verificaciones en Campo
🚧 Bancoductos (Fabricación)
💻 4. Actividades Administrativas
📄 Se realizaron levantamineto de observaciones de documentión de SSO del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</si>
</sst>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26278</xdr:colOff>
      <xdr:row>62</xdr:row>
      <xdr:rowOff>39413</xdr:rowOff>
    </xdr:from>
    <xdr:to>
      <xdr:col>20</xdr:col>
      <xdr:colOff>190501</xdr:colOff>
      <xdr:row>74</xdr:row>
      <xdr:rowOff>108666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260CB7-1066-5B8A-9C56-48B9F43E9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2167"/>
        <a:stretch>
          <a:fillRect/>
        </a:stretch>
      </xdr:blipFill>
      <xdr:spPr>
        <a:xfrm>
          <a:off x="610916" y="11489120"/>
          <a:ext cx="3534102" cy="1566977"/>
        </a:xfrm>
        <a:prstGeom prst="rect">
          <a:avLst/>
        </a:prstGeom>
      </xdr:spPr>
    </xdr:pic>
    <xdr:clientData/>
  </xdr:twoCellAnchor>
  <xdr:twoCellAnchor editAs="oneCell">
    <xdr:from>
      <xdr:col>22</xdr:col>
      <xdr:colOff>13139</xdr:colOff>
      <xdr:row>62</xdr:row>
      <xdr:rowOff>19707</xdr:rowOff>
    </xdr:from>
    <xdr:to>
      <xdr:col>40</xdr:col>
      <xdr:colOff>148896</xdr:colOff>
      <xdr:row>74</xdr:row>
      <xdr:rowOff>98535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9F617A-CF8B-0079-5619-C1D2CBE73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33148"/>
        <a:stretch>
          <a:fillRect/>
        </a:stretch>
      </xdr:blipFill>
      <xdr:spPr>
        <a:xfrm>
          <a:off x="4328949" y="11469414"/>
          <a:ext cx="3144344" cy="1576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view="pageBreakPreview" topLeftCell="A283" zoomScale="145" zoomScaleNormal="145" zoomScaleSheetLayoutView="145" zoomScalePageLayoutView="115" workbookViewId="0">
      <selection activeCell="B9" sqref="B9:AJ9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79"/>
      <c r="C1" s="480"/>
      <c r="D1" s="480"/>
      <c r="E1" s="480"/>
      <c r="F1" s="480"/>
      <c r="G1" s="480"/>
      <c r="H1" s="480"/>
      <c r="I1" s="483" t="s">
        <v>0</v>
      </c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0"/>
      <c r="AK1" s="480"/>
      <c r="AL1" s="480"/>
      <c r="AM1" s="480"/>
      <c r="AN1" s="480"/>
      <c r="AO1" s="480"/>
      <c r="AP1" s="485"/>
    </row>
    <row r="2" spans="2:42" ht="9.9499999999999993" customHeight="1" x14ac:dyDescent="0.25">
      <c r="B2" s="481"/>
      <c r="C2" s="482"/>
      <c r="D2" s="482"/>
      <c r="E2" s="482"/>
      <c r="F2" s="482"/>
      <c r="G2" s="482"/>
      <c r="H2" s="482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2"/>
      <c r="AK2" s="482"/>
      <c r="AL2" s="482"/>
      <c r="AM2" s="482"/>
      <c r="AN2" s="482"/>
      <c r="AO2" s="482"/>
      <c r="AP2" s="486"/>
    </row>
    <row r="3" spans="2:42" ht="9.9499999999999993" customHeight="1" x14ac:dyDescent="0.25">
      <c r="B3" s="481"/>
      <c r="C3" s="482"/>
      <c r="D3" s="482"/>
      <c r="E3" s="482"/>
      <c r="F3" s="482"/>
      <c r="G3" s="482"/>
      <c r="H3" s="482"/>
      <c r="I3" s="487" t="s">
        <v>1</v>
      </c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2"/>
      <c r="AK3" s="482"/>
      <c r="AL3" s="482"/>
      <c r="AM3" s="482"/>
      <c r="AN3" s="482"/>
      <c r="AO3" s="482"/>
      <c r="AP3" s="486"/>
    </row>
    <row r="4" spans="2:42" ht="9.9499999999999993" customHeight="1" x14ac:dyDescent="0.25">
      <c r="B4" s="360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427"/>
    </row>
    <row r="5" spans="2:42" ht="9.9499999999999993" customHeight="1" x14ac:dyDescent="0.25">
      <c r="B5" s="466" t="s">
        <v>2</v>
      </c>
      <c r="C5" s="467"/>
      <c r="D5" s="467"/>
      <c r="E5" s="467"/>
      <c r="F5" s="55" t="s">
        <v>3</v>
      </c>
      <c r="G5" s="470"/>
      <c r="H5" s="470"/>
      <c r="I5" s="470"/>
      <c r="J5" s="470"/>
      <c r="K5" s="470"/>
      <c r="L5" s="470"/>
      <c r="M5" s="467" t="s">
        <v>4</v>
      </c>
      <c r="N5" s="467"/>
      <c r="O5" s="467"/>
      <c r="P5" s="467"/>
      <c r="Q5" s="55" t="s">
        <v>3</v>
      </c>
      <c r="R5" s="488">
        <v>46233</v>
      </c>
      <c r="S5" s="467"/>
      <c r="T5" s="467"/>
      <c r="U5" s="467"/>
      <c r="V5" s="467"/>
      <c r="W5" s="467"/>
      <c r="X5" s="489" t="s">
        <v>2557</v>
      </c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90"/>
      <c r="AK5" s="491" t="s">
        <v>5</v>
      </c>
      <c r="AL5" s="491"/>
      <c r="AM5" s="491"/>
      <c r="AN5" s="491"/>
      <c r="AO5" s="491"/>
      <c r="AP5" s="492"/>
    </row>
    <row r="6" spans="2:42" ht="9.9499999999999993" customHeight="1" x14ac:dyDescent="0.25">
      <c r="B6" s="466" t="s">
        <v>6</v>
      </c>
      <c r="C6" s="467"/>
      <c r="D6" s="467"/>
      <c r="E6" s="467"/>
      <c r="F6" s="55" t="s">
        <v>3</v>
      </c>
      <c r="G6" s="470" t="s">
        <v>2474</v>
      </c>
      <c r="H6" s="470"/>
      <c r="I6" s="470"/>
      <c r="J6" s="470"/>
      <c r="K6" s="470"/>
      <c r="L6" s="470"/>
      <c r="M6" s="467" t="s">
        <v>7</v>
      </c>
      <c r="N6" s="467"/>
      <c r="O6" s="467"/>
      <c r="P6" s="467"/>
      <c r="Q6" s="55" t="s">
        <v>3</v>
      </c>
      <c r="R6" s="471">
        <v>17</v>
      </c>
      <c r="S6" s="471"/>
      <c r="T6" s="471"/>
      <c r="U6" s="471"/>
      <c r="V6" s="471"/>
      <c r="W6" s="471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63"/>
      <c r="AK6" s="9" t="s">
        <v>8</v>
      </c>
      <c r="AL6" s="9"/>
      <c r="AM6" s="464" t="s">
        <v>9</v>
      </c>
      <c r="AN6" s="464"/>
      <c r="AO6" s="464"/>
      <c r="AP6" s="465"/>
    </row>
    <row r="7" spans="2:42" ht="9.9499999999999993" customHeight="1" x14ac:dyDescent="0.25">
      <c r="B7" s="466" t="s">
        <v>10</v>
      </c>
      <c r="C7" s="467"/>
      <c r="D7" s="467"/>
      <c r="E7" s="467"/>
      <c r="F7" s="55" t="s">
        <v>3</v>
      </c>
      <c r="G7" s="470" t="s">
        <v>11</v>
      </c>
      <c r="H7" s="470"/>
      <c r="I7" s="470"/>
      <c r="J7" s="470"/>
      <c r="K7" s="470"/>
      <c r="L7" s="470"/>
      <c r="M7" s="467" t="s">
        <v>12</v>
      </c>
      <c r="N7" s="467"/>
      <c r="O7" s="467"/>
      <c r="P7" s="467"/>
      <c r="Q7" s="55" t="s">
        <v>3</v>
      </c>
      <c r="R7" s="471" t="s">
        <v>13</v>
      </c>
      <c r="S7" s="471"/>
      <c r="T7" s="471"/>
      <c r="U7" s="471"/>
      <c r="V7" s="471"/>
      <c r="W7" s="471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63"/>
      <c r="AK7" s="9" t="s">
        <v>14</v>
      </c>
      <c r="AL7" s="9"/>
      <c r="AM7" s="464" t="s">
        <v>15</v>
      </c>
      <c r="AN7" s="464"/>
      <c r="AO7" s="464"/>
      <c r="AP7" s="465"/>
    </row>
    <row r="8" spans="2:42" ht="9.9499999999999993" customHeight="1" x14ac:dyDescent="0.25">
      <c r="B8" s="466" t="s">
        <v>16</v>
      </c>
      <c r="C8" s="467"/>
      <c r="D8" s="467"/>
      <c r="E8" s="467"/>
      <c r="F8" s="55" t="s">
        <v>3</v>
      </c>
      <c r="G8" s="469">
        <v>46214</v>
      </c>
      <c r="H8" s="470"/>
      <c r="I8" s="470"/>
      <c r="J8" s="470"/>
      <c r="K8" s="470"/>
      <c r="L8" s="470"/>
      <c r="M8" s="467" t="s">
        <v>17</v>
      </c>
      <c r="N8" s="467"/>
      <c r="O8" s="467"/>
      <c r="P8" s="467"/>
      <c r="Q8" s="55" t="s">
        <v>3</v>
      </c>
      <c r="R8" s="471" t="s">
        <v>2510</v>
      </c>
      <c r="S8" s="471"/>
      <c r="T8" s="471"/>
      <c r="U8" s="471"/>
      <c r="V8" s="471"/>
      <c r="W8" s="471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63"/>
      <c r="AK8" s="9" t="s">
        <v>18</v>
      </c>
      <c r="AL8" s="9"/>
      <c r="AM8" s="464" t="s">
        <v>19</v>
      </c>
      <c r="AN8" s="464"/>
      <c r="AO8" s="464"/>
      <c r="AP8" s="465"/>
    </row>
    <row r="9" spans="2:42" ht="9.9499999999999993" customHeight="1" x14ac:dyDescent="0.25">
      <c r="B9" s="454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63"/>
      <c r="AK9" s="9" t="s">
        <v>20</v>
      </c>
      <c r="AL9" s="9"/>
      <c r="AM9" s="468" t="s">
        <v>21</v>
      </c>
      <c r="AN9" s="464"/>
      <c r="AO9" s="464"/>
      <c r="AP9" s="465"/>
    </row>
    <row r="10" spans="2:42" ht="3.6" customHeight="1" x14ac:dyDescent="0.25">
      <c r="B10" s="454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72" t="s">
        <v>22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4" t="s">
        <v>23</v>
      </c>
      <c r="Q12" s="391"/>
      <c r="R12" s="391"/>
      <c r="S12" s="391"/>
      <c r="T12" s="391"/>
      <c r="U12" s="392"/>
      <c r="V12" s="139"/>
      <c r="W12" s="472" t="s">
        <v>22</v>
      </c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4" t="s">
        <v>23</v>
      </c>
      <c r="AL12" s="391"/>
      <c r="AM12" s="391"/>
      <c r="AN12" s="391"/>
      <c r="AO12" s="391"/>
      <c r="AP12" s="392"/>
    </row>
    <row r="13" spans="2:42" ht="9.9499999999999993" customHeight="1" x14ac:dyDescent="0.25">
      <c r="B13" s="475" t="s">
        <v>24</v>
      </c>
      <c r="C13" s="462"/>
      <c r="D13" s="462"/>
      <c r="E13" s="462"/>
      <c r="F13" s="462" t="s">
        <v>25</v>
      </c>
      <c r="G13" s="462"/>
      <c r="H13" s="462" t="s">
        <v>26</v>
      </c>
      <c r="I13" s="462"/>
      <c r="J13" s="462" t="s">
        <v>27</v>
      </c>
      <c r="K13" s="462"/>
      <c r="L13" s="462" t="s">
        <v>28</v>
      </c>
      <c r="M13" s="462"/>
      <c r="N13" s="462" t="s">
        <v>29</v>
      </c>
      <c r="O13" s="462"/>
      <c r="P13" s="462" t="s">
        <v>27</v>
      </c>
      <c r="Q13" s="462"/>
      <c r="R13" s="462" t="s">
        <v>28</v>
      </c>
      <c r="S13" s="462"/>
      <c r="T13" s="462" t="s">
        <v>29</v>
      </c>
      <c r="U13" s="503"/>
      <c r="V13" s="252"/>
      <c r="W13" s="475" t="s">
        <v>24</v>
      </c>
      <c r="X13" s="462"/>
      <c r="Y13" s="462"/>
      <c r="Z13" s="462"/>
      <c r="AA13" s="462" t="s">
        <v>25</v>
      </c>
      <c r="AB13" s="462"/>
      <c r="AC13" s="462" t="s">
        <v>26</v>
      </c>
      <c r="AD13" s="462"/>
      <c r="AE13" s="462" t="s">
        <v>27</v>
      </c>
      <c r="AF13" s="462"/>
      <c r="AG13" s="462" t="s">
        <v>28</v>
      </c>
      <c r="AH13" s="462"/>
      <c r="AI13" s="462" t="s">
        <v>29</v>
      </c>
      <c r="AJ13" s="462"/>
      <c r="AK13" s="462" t="s">
        <v>27</v>
      </c>
      <c r="AL13" s="462"/>
      <c r="AM13" s="462" t="s">
        <v>28</v>
      </c>
      <c r="AN13" s="462"/>
      <c r="AO13" s="462" t="s">
        <v>29</v>
      </c>
      <c r="AP13" s="503"/>
    </row>
    <row r="14" spans="2:42" ht="9.9499999999999993" customHeight="1" x14ac:dyDescent="0.25">
      <c r="B14" s="459" t="s">
        <v>2520</v>
      </c>
      <c r="C14" s="460"/>
      <c r="D14" s="460"/>
      <c r="E14" s="461"/>
      <c r="F14" s="493">
        <v>1</v>
      </c>
      <c r="G14" s="493"/>
      <c r="H14" s="476">
        <v>10</v>
      </c>
      <c r="I14" s="476"/>
      <c r="J14" s="496">
        <v>0</v>
      </c>
      <c r="K14" s="497"/>
      <c r="L14" s="476">
        <f t="shared" ref="L14" si="0">F14*H14</f>
        <v>10</v>
      </c>
      <c r="M14" s="476"/>
      <c r="N14" s="476">
        <f>L14+J14</f>
        <v>10</v>
      </c>
      <c r="O14" s="476"/>
      <c r="P14" s="494">
        <v>0</v>
      </c>
      <c r="Q14" s="498"/>
      <c r="R14" s="478"/>
      <c r="S14" s="478"/>
      <c r="T14" s="476">
        <f>P14+R14</f>
        <v>0</v>
      </c>
      <c r="U14" s="477"/>
      <c r="V14" s="252"/>
      <c r="W14" s="459"/>
      <c r="X14" s="460"/>
      <c r="Y14" s="460"/>
      <c r="Z14" s="461"/>
      <c r="AA14" s="493"/>
      <c r="AB14" s="493"/>
      <c r="AC14" s="476">
        <v>10</v>
      </c>
      <c r="AD14" s="476"/>
      <c r="AE14" s="496">
        <v>0</v>
      </c>
      <c r="AF14" s="497"/>
      <c r="AG14" s="476">
        <f t="shared" ref="AG14" si="1">AA14*AC14</f>
        <v>0</v>
      </c>
      <c r="AH14" s="476"/>
      <c r="AI14" s="476">
        <f>AG14+AE14</f>
        <v>0</v>
      </c>
      <c r="AJ14" s="476"/>
      <c r="AK14" s="476">
        <v>0</v>
      </c>
      <c r="AL14" s="477"/>
      <c r="AM14" s="478"/>
      <c r="AN14" s="478"/>
      <c r="AO14" s="476">
        <f>AK14+AM14</f>
        <v>0</v>
      </c>
      <c r="AP14" s="477"/>
    </row>
    <row r="15" spans="2:42" ht="9.9499999999999993" customHeight="1" x14ac:dyDescent="0.25">
      <c r="B15" s="459" t="s">
        <v>2512</v>
      </c>
      <c r="C15" s="460"/>
      <c r="D15" s="460"/>
      <c r="E15" s="461"/>
      <c r="F15" s="501">
        <v>1</v>
      </c>
      <c r="G15" s="502"/>
      <c r="H15" s="476">
        <v>10</v>
      </c>
      <c r="I15" s="476"/>
      <c r="J15" s="496">
        <v>0</v>
      </c>
      <c r="K15" s="497"/>
      <c r="L15" s="494">
        <f t="shared" ref="L15:L16" si="2">F15*H15</f>
        <v>10</v>
      </c>
      <c r="M15" s="495"/>
      <c r="N15" s="494">
        <f t="shared" ref="N15:N19" si="3">L15+J15</f>
        <v>10</v>
      </c>
      <c r="O15" s="495"/>
      <c r="P15" s="494">
        <v>0</v>
      </c>
      <c r="Q15" s="498"/>
      <c r="R15" s="499"/>
      <c r="S15" s="500"/>
      <c r="T15" s="494">
        <f t="shared" ref="T15:T19" si="4">P15+R15</f>
        <v>0</v>
      </c>
      <c r="U15" s="498"/>
      <c r="V15" s="252"/>
      <c r="W15" s="459"/>
      <c r="X15" s="460"/>
      <c r="Y15" s="460"/>
      <c r="Z15" s="461"/>
      <c r="AA15" s="501"/>
      <c r="AB15" s="502"/>
      <c r="AC15" s="494">
        <v>10</v>
      </c>
      <c r="AD15" s="495"/>
      <c r="AE15" s="496">
        <v>0</v>
      </c>
      <c r="AF15" s="497"/>
      <c r="AG15" s="494">
        <f t="shared" ref="AG15" si="5">AA15*AC15</f>
        <v>0</v>
      </c>
      <c r="AH15" s="495"/>
      <c r="AI15" s="494">
        <f t="shared" ref="AI15" si="6">AG15+AE15</f>
        <v>0</v>
      </c>
      <c r="AJ15" s="495"/>
      <c r="AK15" s="494">
        <v>0</v>
      </c>
      <c r="AL15" s="498"/>
      <c r="AM15" s="499"/>
      <c r="AN15" s="500"/>
      <c r="AO15" s="494">
        <f t="shared" ref="AO15" si="7">AK15+AM15</f>
        <v>0</v>
      </c>
      <c r="AP15" s="498"/>
    </row>
    <row r="16" spans="2:42" ht="9.9499999999999993" customHeight="1" x14ac:dyDescent="0.25">
      <c r="B16" s="459" t="s">
        <v>2503</v>
      </c>
      <c r="C16" s="460"/>
      <c r="D16" s="460"/>
      <c r="E16" s="461"/>
      <c r="F16" s="501">
        <v>1</v>
      </c>
      <c r="G16" s="502"/>
      <c r="H16" s="494">
        <v>10</v>
      </c>
      <c r="I16" s="495"/>
      <c r="J16" s="496">
        <v>0</v>
      </c>
      <c r="K16" s="497"/>
      <c r="L16" s="494">
        <f t="shared" si="2"/>
        <v>10</v>
      </c>
      <c r="M16" s="495"/>
      <c r="N16" s="494">
        <f t="shared" si="3"/>
        <v>10</v>
      </c>
      <c r="O16" s="495"/>
      <c r="P16" s="494">
        <v>0</v>
      </c>
      <c r="Q16" s="498"/>
      <c r="R16" s="499"/>
      <c r="S16" s="500"/>
      <c r="T16" s="494">
        <f t="shared" si="4"/>
        <v>0</v>
      </c>
      <c r="U16" s="498"/>
      <c r="V16" s="252"/>
      <c r="W16" s="459"/>
      <c r="X16" s="460"/>
      <c r="Y16" s="460"/>
      <c r="Z16" s="461"/>
      <c r="AA16" s="501"/>
      <c r="AB16" s="502"/>
      <c r="AC16" s="494">
        <v>10</v>
      </c>
      <c r="AD16" s="495"/>
      <c r="AE16" s="496">
        <v>0</v>
      </c>
      <c r="AF16" s="497"/>
      <c r="AG16" s="494">
        <f t="shared" ref="AG16" si="8">AA16*AC16</f>
        <v>0</v>
      </c>
      <c r="AH16" s="495"/>
      <c r="AI16" s="494">
        <f t="shared" ref="AI16" si="9">AG16+AE16</f>
        <v>0</v>
      </c>
      <c r="AJ16" s="495"/>
      <c r="AK16" s="494">
        <v>0</v>
      </c>
      <c r="AL16" s="498"/>
      <c r="AM16" s="499"/>
      <c r="AN16" s="500"/>
      <c r="AO16" s="494">
        <f t="shared" ref="AO16" si="10">AK16+AM16</f>
        <v>0</v>
      </c>
      <c r="AP16" s="498"/>
    </row>
    <row r="17" spans="2:42" ht="9.9499999999999993" customHeight="1" x14ac:dyDescent="0.25">
      <c r="B17" s="459" t="s">
        <v>30</v>
      </c>
      <c r="C17" s="460"/>
      <c r="D17" s="460"/>
      <c r="E17" s="461"/>
      <c r="F17" s="501">
        <v>1</v>
      </c>
      <c r="G17" s="502"/>
      <c r="H17" s="476">
        <v>10</v>
      </c>
      <c r="I17" s="476"/>
      <c r="J17" s="496">
        <v>0</v>
      </c>
      <c r="K17" s="497"/>
      <c r="L17" s="494">
        <f>F17*H17</f>
        <v>10</v>
      </c>
      <c r="M17" s="495"/>
      <c r="N17" s="494">
        <f t="shared" si="3"/>
        <v>10</v>
      </c>
      <c r="O17" s="495"/>
      <c r="P17" s="494">
        <v>0</v>
      </c>
      <c r="Q17" s="498"/>
      <c r="R17" s="499"/>
      <c r="S17" s="500"/>
      <c r="T17" s="494">
        <f t="shared" si="4"/>
        <v>0</v>
      </c>
      <c r="U17" s="498"/>
      <c r="V17" s="252"/>
      <c r="W17" s="459"/>
      <c r="X17" s="460"/>
      <c r="Y17" s="460"/>
      <c r="Z17" s="461"/>
      <c r="AA17" s="501"/>
      <c r="AB17" s="502"/>
      <c r="AC17" s="476">
        <v>10</v>
      </c>
      <c r="AD17" s="476"/>
      <c r="AE17" s="496">
        <v>0</v>
      </c>
      <c r="AF17" s="497"/>
      <c r="AG17" s="494">
        <f>AA17*AC17</f>
        <v>0</v>
      </c>
      <c r="AH17" s="495"/>
      <c r="AI17" s="494">
        <f>AG17+AE17</f>
        <v>0</v>
      </c>
      <c r="AJ17" s="495"/>
      <c r="AK17" s="494">
        <v>0</v>
      </c>
      <c r="AL17" s="498"/>
      <c r="AM17" s="499"/>
      <c r="AN17" s="500"/>
      <c r="AO17" s="494">
        <f>AK17+AM17</f>
        <v>0</v>
      </c>
      <c r="AP17" s="498"/>
    </row>
    <row r="18" spans="2:42" ht="9.9499999999999993" customHeight="1" x14ac:dyDescent="0.25">
      <c r="B18" s="459" t="s">
        <v>2511</v>
      </c>
      <c r="C18" s="460"/>
      <c r="D18" s="460"/>
      <c r="E18" s="461"/>
      <c r="F18" s="501">
        <v>3</v>
      </c>
      <c r="G18" s="502"/>
      <c r="H18" s="494">
        <v>10</v>
      </c>
      <c r="I18" s="495"/>
      <c r="J18" s="496">
        <v>0</v>
      </c>
      <c r="K18" s="497"/>
      <c r="L18" s="494">
        <f t="shared" ref="L18" si="11">F18*H18</f>
        <v>30</v>
      </c>
      <c r="M18" s="495"/>
      <c r="N18" s="494">
        <f t="shared" si="3"/>
        <v>30</v>
      </c>
      <c r="O18" s="495"/>
      <c r="P18" s="494">
        <v>0</v>
      </c>
      <c r="Q18" s="498"/>
      <c r="R18" s="499"/>
      <c r="S18" s="500"/>
      <c r="T18" s="494">
        <f t="shared" si="4"/>
        <v>0</v>
      </c>
      <c r="U18" s="498"/>
      <c r="V18" s="252"/>
      <c r="W18" s="459"/>
      <c r="X18" s="460"/>
      <c r="Y18" s="460"/>
      <c r="Z18" s="461"/>
      <c r="AA18" s="501"/>
      <c r="AB18" s="502"/>
      <c r="AC18" s="494">
        <v>10</v>
      </c>
      <c r="AD18" s="495"/>
      <c r="AE18" s="496">
        <v>0</v>
      </c>
      <c r="AF18" s="497"/>
      <c r="AG18" s="494">
        <f t="shared" ref="AG18" si="12">AA18*AC18</f>
        <v>0</v>
      </c>
      <c r="AH18" s="495"/>
      <c r="AI18" s="494">
        <f t="shared" ref="AI18" si="13">AG18+AE18</f>
        <v>0</v>
      </c>
      <c r="AJ18" s="495"/>
      <c r="AK18" s="494">
        <v>0</v>
      </c>
      <c r="AL18" s="498"/>
      <c r="AM18" s="499"/>
      <c r="AN18" s="500"/>
      <c r="AO18" s="494">
        <f t="shared" ref="AO18" si="14">AK18+AM18</f>
        <v>0</v>
      </c>
      <c r="AP18" s="498"/>
    </row>
    <row r="19" spans="2:42" ht="9.9499999999999993" customHeight="1" x14ac:dyDescent="0.25">
      <c r="B19" s="459" t="s">
        <v>2515</v>
      </c>
      <c r="C19" s="460"/>
      <c r="D19" s="460"/>
      <c r="E19" s="461"/>
      <c r="F19" s="501">
        <v>1</v>
      </c>
      <c r="G19" s="502"/>
      <c r="H19" s="476">
        <v>10</v>
      </c>
      <c r="I19" s="476"/>
      <c r="J19" s="496">
        <v>0</v>
      </c>
      <c r="K19" s="497"/>
      <c r="L19" s="494">
        <f t="shared" ref="L19" si="15">F19*H19</f>
        <v>10</v>
      </c>
      <c r="M19" s="495"/>
      <c r="N19" s="494">
        <f t="shared" si="3"/>
        <v>10</v>
      </c>
      <c r="O19" s="495"/>
      <c r="P19" s="494">
        <v>0</v>
      </c>
      <c r="Q19" s="498"/>
      <c r="R19" s="499"/>
      <c r="S19" s="500"/>
      <c r="T19" s="494">
        <f t="shared" si="4"/>
        <v>0</v>
      </c>
      <c r="U19" s="498"/>
      <c r="V19" s="252"/>
      <c r="W19" s="459"/>
      <c r="X19" s="460"/>
      <c r="Y19" s="460"/>
      <c r="Z19" s="461"/>
      <c r="AA19" s="501"/>
      <c r="AB19" s="502"/>
      <c r="AC19" s="494">
        <v>10</v>
      </c>
      <c r="AD19" s="495"/>
      <c r="AE19" s="496">
        <v>0</v>
      </c>
      <c r="AF19" s="497"/>
      <c r="AG19" s="494">
        <f>AA19*AC19</f>
        <v>0</v>
      </c>
      <c r="AH19" s="495"/>
      <c r="AI19" s="494">
        <f>AG19+AE19</f>
        <v>0</v>
      </c>
      <c r="AJ19" s="495"/>
      <c r="AK19" s="494">
        <v>0</v>
      </c>
      <c r="AL19" s="498"/>
      <c r="AM19" s="499"/>
      <c r="AN19" s="500"/>
      <c r="AO19" s="494">
        <f>AK19+AM19</f>
        <v>0</v>
      </c>
      <c r="AP19" s="498"/>
    </row>
    <row r="20" spans="2:42" ht="9.9499999999999993" customHeight="1" x14ac:dyDescent="0.25">
      <c r="B20" s="302" t="s">
        <v>2513</v>
      </c>
      <c r="C20" s="303"/>
      <c r="D20" s="303"/>
      <c r="E20" s="304"/>
      <c r="F20" s="501">
        <v>1</v>
      </c>
      <c r="G20" s="502"/>
      <c r="H20" s="476">
        <v>10</v>
      </c>
      <c r="I20" s="476"/>
      <c r="J20" s="496">
        <v>0</v>
      </c>
      <c r="K20" s="497"/>
      <c r="L20" s="494">
        <f t="shared" ref="L20:L25" si="16">F20*H20</f>
        <v>10</v>
      </c>
      <c r="M20" s="495"/>
      <c r="N20" s="494">
        <f t="shared" ref="N20:N25" si="17">L20+J20</f>
        <v>10</v>
      </c>
      <c r="O20" s="495"/>
      <c r="P20" s="494">
        <v>0</v>
      </c>
      <c r="Q20" s="498"/>
      <c r="R20" s="305"/>
      <c r="S20" s="306"/>
      <c r="T20" s="494">
        <f t="shared" ref="T20:T25" si="18">P20+R20</f>
        <v>0</v>
      </c>
      <c r="U20" s="498"/>
      <c r="V20" s="252"/>
      <c r="W20" s="459"/>
      <c r="X20" s="460"/>
      <c r="Y20" s="460"/>
      <c r="Z20" s="461"/>
      <c r="AA20" s="501"/>
      <c r="AB20" s="502"/>
      <c r="AC20" s="476">
        <v>10</v>
      </c>
      <c r="AD20" s="476"/>
      <c r="AE20" s="496">
        <v>0</v>
      </c>
      <c r="AF20" s="497"/>
      <c r="AG20" s="494">
        <f t="shared" ref="AG20:AG25" si="19">AA20*AC20</f>
        <v>0</v>
      </c>
      <c r="AH20" s="495"/>
      <c r="AI20" s="494">
        <f t="shared" ref="AI20:AI25" si="20">AG20+AE20</f>
        <v>0</v>
      </c>
      <c r="AJ20" s="495"/>
      <c r="AK20" s="494">
        <v>0</v>
      </c>
      <c r="AL20" s="498"/>
      <c r="AM20" s="499"/>
      <c r="AN20" s="500"/>
      <c r="AO20" s="494">
        <f t="shared" ref="AO20:AO25" si="21">AK20+AM20</f>
        <v>0</v>
      </c>
      <c r="AP20" s="498"/>
    </row>
    <row r="21" spans="2:42" ht="9.9499999999999993" customHeight="1" x14ac:dyDescent="0.25">
      <c r="B21" s="302" t="s">
        <v>2514</v>
      </c>
      <c r="C21" s="303"/>
      <c r="D21" s="303"/>
      <c r="E21" s="304"/>
      <c r="F21" s="501">
        <v>1</v>
      </c>
      <c r="G21" s="502"/>
      <c r="H21" s="476">
        <v>10</v>
      </c>
      <c r="I21" s="476"/>
      <c r="J21" s="496">
        <v>0</v>
      </c>
      <c r="K21" s="497"/>
      <c r="L21" s="494">
        <f t="shared" si="16"/>
        <v>10</v>
      </c>
      <c r="M21" s="495"/>
      <c r="N21" s="494">
        <f t="shared" si="17"/>
        <v>10</v>
      </c>
      <c r="O21" s="495"/>
      <c r="P21" s="494">
        <v>0</v>
      </c>
      <c r="Q21" s="498"/>
      <c r="R21" s="305"/>
      <c r="S21" s="306"/>
      <c r="T21" s="494">
        <f t="shared" si="18"/>
        <v>0</v>
      </c>
      <c r="U21" s="498"/>
      <c r="V21" s="252"/>
      <c r="W21" s="459"/>
      <c r="X21" s="460"/>
      <c r="Y21" s="460"/>
      <c r="Z21" s="461"/>
      <c r="AA21" s="501"/>
      <c r="AB21" s="502"/>
      <c r="AC21" s="494">
        <v>10</v>
      </c>
      <c r="AD21" s="495"/>
      <c r="AE21" s="496">
        <v>0</v>
      </c>
      <c r="AF21" s="497"/>
      <c r="AG21" s="494">
        <f t="shared" si="19"/>
        <v>0</v>
      </c>
      <c r="AH21" s="495"/>
      <c r="AI21" s="494">
        <f t="shared" si="20"/>
        <v>0</v>
      </c>
      <c r="AJ21" s="495"/>
      <c r="AK21" s="494">
        <v>0</v>
      </c>
      <c r="AL21" s="498"/>
      <c r="AM21" s="499"/>
      <c r="AN21" s="500"/>
      <c r="AO21" s="494">
        <f t="shared" si="21"/>
        <v>0</v>
      </c>
      <c r="AP21" s="498"/>
    </row>
    <row r="22" spans="2:42" ht="9.9499999999999993" customHeight="1" x14ac:dyDescent="0.25">
      <c r="B22" s="302" t="s">
        <v>2519</v>
      </c>
      <c r="C22" s="303"/>
      <c r="D22" s="303"/>
      <c r="E22" s="304"/>
      <c r="F22" s="501">
        <v>1</v>
      </c>
      <c r="G22" s="502"/>
      <c r="H22" s="476">
        <v>10</v>
      </c>
      <c r="I22" s="476"/>
      <c r="J22" s="496">
        <v>0</v>
      </c>
      <c r="K22" s="497"/>
      <c r="L22" s="494">
        <f t="shared" ref="L22" si="22">F22*H22</f>
        <v>10</v>
      </c>
      <c r="M22" s="495"/>
      <c r="N22" s="494">
        <f t="shared" ref="N22" si="23">L22+J22</f>
        <v>10</v>
      </c>
      <c r="O22" s="495"/>
      <c r="P22" s="494">
        <v>1</v>
      </c>
      <c r="Q22" s="498"/>
      <c r="R22" s="305"/>
      <c r="S22" s="306"/>
      <c r="T22" s="494">
        <f t="shared" ref="T22" si="24">P22+R22</f>
        <v>1</v>
      </c>
      <c r="U22" s="498"/>
      <c r="V22" s="252"/>
      <c r="W22" s="459"/>
      <c r="X22" s="460"/>
      <c r="Y22" s="460"/>
      <c r="Z22" s="461"/>
      <c r="AA22" s="501"/>
      <c r="AB22" s="502"/>
      <c r="AC22" s="494">
        <v>10</v>
      </c>
      <c r="AD22" s="495"/>
      <c r="AE22" s="496">
        <v>0</v>
      </c>
      <c r="AF22" s="497"/>
      <c r="AG22" s="494">
        <f t="shared" si="19"/>
        <v>0</v>
      </c>
      <c r="AH22" s="495"/>
      <c r="AI22" s="494">
        <f t="shared" si="20"/>
        <v>0</v>
      </c>
      <c r="AJ22" s="495"/>
      <c r="AK22" s="494">
        <v>0</v>
      </c>
      <c r="AL22" s="498"/>
      <c r="AM22" s="499"/>
      <c r="AN22" s="500"/>
      <c r="AO22" s="494">
        <f t="shared" si="21"/>
        <v>0</v>
      </c>
      <c r="AP22" s="498"/>
    </row>
    <row r="23" spans="2:42" ht="9.9499999999999993" customHeight="1" x14ac:dyDescent="0.25">
      <c r="B23" s="302" t="s">
        <v>2516</v>
      </c>
      <c r="C23" s="303"/>
      <c r="D23" s="303"/>
      <c r="E23" s="304"/>
      <c r="F23" s="501">
        <v>1</v>
      </c>
      <c r="G23" s="502"/>
      <c r="H23" s="476">
        <v>10</v>
      </c>
      <c r="I23" s="476"/>
      <c r="J23" s="496">
        <v>0</v>
      </c>
      <c r="K23" s="497"/>
      <c r="L23" s="494">
        <f t="shared" si="16"/>
        <v>10</v>
      </c>
      <c r="M23" s="495"/>
      <c r="N23" s="494">
        <f t="shared" si="17"/>
        <v>10</v>
      </c>
      <c r="O23" s="495"/>
      <c r="P23" s="494">
        <v>0</v>
      </c>
      <c r="Q23" s="498"/>
      <c r="R23" s="305"/>
      <c r="S23" s="306"/>
      <c r="T23" s="494">
        <f t="shared" si="18"/>
        <v>0</v>
      </c>
      <c r="U23" s="498"/>
      <c r="V23" s="252"/>
      <c r="W23" s="459"/>
      <c r="X23" s="460"/>
      <c r="Y23" s="460"/>
      <c r="Z23" s="461"/>
      <c r="AA23" s="501"/>
      <c r="AB23" s="502"/>
      <c r="AC23" s="476">
        <v>10</v>
      </c>
      <c r="AD23" s="476"/>
      <c r="AE23" s="496">
        <v>0</v>
      </c>
      <c r="AF23" s="497"/>
      <c r="AG23" s="494">
        <f t="shared" si="19"/>
        <v>0</v>
      </c>
      <c r="AH23" s="495"/>
      <c r="AI23" s="494">
        <f t="shared" si="20"/>
        <v>0</v>
      </c>
      <c r="AJ23" s="495"/>
      <c r="AK23" s="494">
        <v>0</v>
      </c>
      <c r="AL23" s="498"/>
      <c r="AM23" s="499"/>
      <c r="AN23" s="500"/>
      <c r="AO23" s="494">
        <f t="shared" si="21"/>
        <v>0</v>
      </c>
      <c r="AP23" s="498"/>
    </row>
    <row r="24" spans="2:42" ht="9.9499999999999993" customHeight="1" x14ac:dyDescent="0.25">
      <c r="B24" s="302" t="s">
        <v>2517</v>
      </c>
      <c r="C24" s="303"/>
      <c r="D24" s="303"/>
      <c r="E24" s="304"/>
      <c r="F24" s="501">
        <v>1</v>
      </c>
      <c r="G24" s="502"/>
      <c r="H24" s="476">
        <v>10</v>
      </c>
      <c r="I24" s="476"/>
      <c r="J24" s="496">
        <v>0</v>
      </c>
      <c r="K24" s="497"/>
      <c r="L24" s="494">
        <f t="shared" si="16"/>
        <v>10</v>
      </c>
      <c r="M24" s="495"/>
      <c r="N24" s="494">
        <f t="shared" si="17"/>
        <v>10</v>
      </c>
      <c r="O24" s="495"/>
      <c r="P24" s="494">
        <v>0</v>
      </c>
      <c r="Q24" s="498"/>
      <c r="R24" s="305"/>
      <c r="S24" s="306"/>
      <c r="T24" s="494">
        <f t="shared" si="18"/>
        <v>0</v>
      </c>
      <c r="U24" s="498"/>
      <c r="V24" s="252"/>
      <c r="W24" s="459"/>
      <c r="X24" s="460"/>
      <c r="Y24" s="460"/>
      <c r="Z24" s="461"/>
      <c r="AA24" s="501"/>
      <c r="AB24" s="502"/>
      <c r="AC24" s="494">
        <v>10</v>
      </c>
      <c r="AD24" s="495"/>
      <c r="AE24" s="496">
        <v>0</v>
      </c>
      <c r="AF24" s="497"/>
      <c r="AG24" s="494">
        <f t="shared" si="19"/>
        <v>0</v>
      </c>
      <c r="AH24" s="495"/>
      <c r="AI24" s="494">
        <f t="shared" si="20"/>
        <v>0</v>
      </c>
      <c r="AJ24" s="495"/>
      <c r="AK24" s="494">
        <v>0</v>
      </c>
      <c r="AL24" s="498"/>
      <c r="AM24" s="499"/>
      <c r="AN24" s="500"/>
      <c r="AO24" s="494">
        <f t="shared" si="21"/>
        <v>0</v>
      </c>
      <c r="AP24" s="498"/>
    </row>
    <row r="25" spans="2:42" ht="9.9499999999999993" customHeight="1" x14ac:dyDescent="0.25">
      <c r="B25" s="302" t="s">
        <v>2518</v>
      </c>
      <c r="C25" s="303"/>
      <c r="D25" s="303"/>
      <c r="E25" s="304"/>
      <c r="F25" s="501">
        <v>1</v>
      </c>
      <c r="G25" s="502"/>
      <c r="H25" s="476">
        <v>10</v>
      </c>
      <c r="I25" s="476"/>
      <c r="J25" s="496">
        <v>0</v>
      </c>
      <c r="K25" s="497"/>
      <c r="L25" s="494">
        <f t="shared" si="16"/>
        <v>10</v>
      </c>
      <c r="M25" s="495"/>
      <c r="N25" s="494">
        <f t="shared" si="17"/>
        <v>10</v>
      </c>
      <c r="O25" s="495"/>
      <c r="P25" s="494">
        <v>0</v>
      </c>
      <c r="Q25" s="498"/>
      <c r="R25" s="305"/>
      <c r="S25" s="306"/>
      <c r="T25" s="494">
        <f t="shared" si="18"/>
        <v>0</v>
      </c>
      <c r="U25" s="498"/>
      <c r="V25" s="252"/>
      <c r="W25" s="459"/>
      <c r="X25" s="460"/>
      <c r="Y25" s="460"/>
      <c r="Z25" s="461"/>
      <c r="AA25" s="501"/>
      <c r="AB25" s="502"/>
      <c r="AC25" s="494">
        <v>10</v>
      </c>
      <c r="AD25" s="495"/>
      <c r="AE25" s="496">
        <v>0</v>
      </c>
      <c r="AF25" s="497"/>
      <c r="AG25" s="494">
        <f t="shared" si="19"/>
        <v>0</v>
      </c>
      <c r="AH25" s="495"/>
      <c r="AI25" s="494">
        <f t="shared" si="20"/>
        <v>0</v>
      </c>
      <c r="AJ25" s="495"/>
      <c r="AK25" s="494">
        <v>0</v>
      </c>
      <c r="AL25" s="498"/>
      <c r="AM25" s="499"/>
      <c r="AN25" s="500"/>
      <c r="AO25" s="494">
        <f t="shared" si="21"/>
        <v>0</v>
      </c>
      <c r="AP25" s="498"/>
    </row>
    <row r="26" spans="2:42" ht="9.9499999999999993" customHeight="1" thickBot="1" x14ac:dyDescent="0.3">
      <c r="B26" s="443" t="s">
        <v>31</v>
      </c>
      <c r="C26" s="444"/>
      <c r="D26" s="444"/>
      <c r="E26" s="444"/>
      <c r="F26" s="440">
        <f>SUM(F14:G25)</f>
        <v>14</v>
      </c>
      <c r="G26" s="440"/>
      <c r="H26" s="440"/>
      <c r="I26" s="440"/>
      <c r="J26" s="440">
        <f>SUM(J14:K25)</f>
        <v>0</v>
      </c>
      <c r="K26" s="440"/>
      <c r="L26" s="440">
        <f>SUM(L14:M25)</f>
        <v>140</v>
      </c>
      <c r="M26" s="440"/>
      <c r="N26" s="440">
        <f>SUM(N14:O25)</f>
        <v>140</v>
      </c>
      <c r="O26" s="440"/>
      <c r="P26" s="440">
        <f>SUM(P14:Q25)</f>
        <v>1</v>
      </c>
      <c r="Q26" s="440"/>
      <c r="R26" s="441">
        <f>SUM(R14:S25)</f>
        <v>0</v>
      </c>
      <c r="S26" s="441"/>
      <c r="T26" s="441">
        <f>SUM(T14:U25)</f>
        <v>1</v>
      </c>
      <c r="U26" s="442"/>
      <c r="V26" s="252"/>
      <c r="W26" s="443" t="s">
        <v>31</v>
      </c>
      <c r="X26" s="444"/>
      <c r="Y26" s="444"/>
      <c r="Z26" s="444"/>
      <c r="AA26" s="440">
        <f>SUM(AA14:AB25)</f>
        <v>0</v>
      </c>
      <c r="AB26" s="440"/>
      <c r="AC26" s="440"/>
      <c r="AD26" s="440"/>
      <c r="AE26" s="440">
        <f>SUM(AE14:AF25)</f>
        <v>0</v>
      </c>
      <c r="AF26" s="440"/>
      <c r="AG26" s="440">
        <f>SUM(AG14:AH25)</f>
        <v>0</v>
      </c>
      <c r="AH26" s="440"/>
      <c r="AI26" s="440">
        <f>SUM(AI14:AJ25)</f>
        <v>0</v>
      </c>
      <c r="AJ26" s="440"/>
      <c r="AK26" s="440">
        <f>SUM(AK14:AL25)</f>
        <v>0</v>
      </c>
      <c r="AL26" s="440"/>
      <c r="AM26" s="441">
        <f>SUM(AM14:AN25)</f>
        <v>0</v>
      </c>
      <c r="AN26" s="441"/>
      <c r="AO26" s="441">
        <f>SUM(AO14:AP25)</f>
        <v>0</v>
      </c>
      <c r="AP26" s="442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4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6"/>
    </row>
    <row r="29" spans="2:42" ht="9.9499999999999993" customHeight="1" thickBot="1" x14ac:dyDescent="0.3">
      <c r="B29" s="434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6"/>
    </row>
    <row r="30" spans="2:42" ht="9.9499999999999993" customHeight="1" x14ac:dyDescent="0.25">
      <c r="B30" s="445" t="s">
        <v>32</v>
      </c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7"/>
      <c r="AC30" s="447"/>
      <c r="AD30" s="447"/>
      <c r="AE30" s="447"/>
      <c r="AF30" s="447"/>
      <c r="AG30" s="447"/>
      <c r="AH30" s="446"/>
      <c r="AI30" s="446"/>
      <c r="AJ30" s="446"/>
      <c r="AK30" s="446"/>
      <c r="AL30" s="446"/>
      <c r="AM30" s="446"/>
      <c r="AN30" s="446"/>
      <c r="AO30" s="446"/>
      <c r="AP30" s="448"/>
    </row>
    <row r="31" spans="2:42" ht="9.9499999999999993" customHeight="1" x14ac:dyDescent="0.25">
      <c r="B31" s="457" t="s">
        <v>2475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1"/>
      <c r="V31" s="504" t="s">
        <v>33</v>
      </c>
      <c r="W31" s="451"/>
      <c r="X31" s="504" t="s">
        <v>34</v>
      </c>
      <c r="Y31" s="450"/>
      <c r="Z31" s="449" t="s">
        <v>35</v>
      </c>
      <c r="AA31" s="449"/>
      <c r="AB31" s="449" t="s">
        <v>36</v>
      </c>
      <c r="AC31" s="449"/>
      <c r="AD31" s="449"/>
      <c r="AE31" s="449" t="s">
        <v>37</v>
      </c>
      <c r="AF31" s="449"/>
      <c r="AG31" s="449"/>
      <c r="AH31" s="450" t="s">
        <v>38</v>
      </c>
      <c r="AI31" s="450"/>
      <c r="AJ31" s="451"/>
      <c r="AK31" s="507" t="s">
        <v>39</v>
      </c>
      <c r="AL31" s="508"/>
      <c r="AM31" s="508"/>
      <c r="AN31" s="508"/>
      <c r="AO31" s="508"/>
      <c r="AP31" s="509"/>
    </row>
    <row r="32" spans="2:42" ht="9.9499999999999993" customHeight="1" x14ac:dyDescent="0.25">
      <c r="B32" s="458"/>
      <c r="C32" s="452"/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  <c r="U32" s="453"/>
      <c r="V32" s="505"/>
      <c r="W32" s="453"/>
      <c r="X32" s="505"/>
      <c r="Y32" s="452"/>
      <c r="Z32" s="449"/>
      <c r="AA32" s="449"/>
      <c r="AB32" s="449"/>
      <c r="AC32" s="449"/>
      <c r="AD32" s="449"/>
      <c r="AE32" s="449"/>
      <c r="AF32" s="449"/>
      <c r="AG32" s="449"/>
      <c r="AH32" s="452"/>
      <c r="AI32" s="452"/>
      <c r="AJ32" s="453"/>
      <c r="AK32" s="437" t="s">
        <v>40</v>
      </c>
      <c r="AL32" s="438"/>
      <c r="AM32" s="506"/>
      <c r="AN32" s="437" t="s">
        <v>41</v>
      </c>
      <c r="AO32" s="438"/>
      <c r="AP32" s="439"/>
    </row>
    <row r="33" spans="2:42" ht="9.6" customHeight="1" x14ac:dyDescent="0.25">
      <c r="B33" s="525" t="s">
        <v>2478</v>
      </c>
      <c r="C33" s="526"/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13"/>
      <c r="W33" s="515"/>
      <c r="X33" s="515"/>
      <c r="Y33" s="515"/>
      <c r="Z33" s="515"/>
      <c r="AA33" s="515"/>
      <c r="AB33" s="515"/>
      <c r="AC33" s="515"/>
      <c r="AD33" s="515"/>
      <c r="AE33" s="515"/>
      <c r="AF33" s="515"/>
      <c r="AG33" s="515"/>
      <c r="AH33" s="515"/>
      <c r="AI33" s="515"/>
      <c r="AJ33" s="515"/>
      <c r="AK33" s="515"/>
      <c r="AL33" s="515"/>
      <c r="AM33" s="515"/>
      <c r="AN33" s="515"/>
      <c r="AO33" s="515"/>
      <c r="AP33" s="523"/>
    </row>
    <row r="34" spans="2:42" ht="9.9499999999999993" customHeight="1" outlineLevel="1" x14ac:dyDescent="0.25">
      <c r="B34" s="510" t="s">
        <v>2547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2"/>
      <c r="V34" s="513" t="s">
        <v>33</v>
      </c>
      <c r="W34" s="514"/>
      <c r="X34" s="513">
        <v>400</v>
      </c>
      <c r="Y34" s="515"/>
      <c r="Z34" s="513">
        <v>20</v>
      </c>
      <c r="AA34" s="515"/>
      <c r="AB34" s="516">
        <v>20</v>
      </c>
      <c r="AC34" s="516"/>
      <c r="AD34" s="516"/>
      <c r="AE34" s="513">
        <v>260</v>
      </c>
      <c r="AF34" s="515"/>
      <c r="AG34" s="514"/>
      <c r="AH34" s="513">
        <f>X34-AE34-AB34</f>
        <v>120</v>
      </c>
      <c r="AI34" s="515"/>
      <c r="AJ34" s="514"/>
      <c r="AK34" s="517">
        <f>AB34/Z34</f>
        <v>1</v>
      </c>
      <c r="AL34" s="518"/>
      <c r="AM34" s="519"/>
      <c r="AN34" s="517">
        <f>IF(AE34&gt;X34,100%,IFERROR((AE34+AB34)/X34,"-"))</f>
        <v>0.7</v>
      </c>
      <c r="AO34" s="518"/>
      <c r="AP34" s="524"/>
    </row>
    <row r="35" spans="2:42" ht="9.9499999999999993" customHeight="1" outlineLevel="1" x14ac:dyDescent="0.25">
      <c r="B35" s="520"/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2"/>
      <c r="V35" s="513"/>
      <c r="W35" s="514"/>
      <c r="X35" s="513"/>
      <c r="Y35" s="515"/>
      <c r="Z35" s="513"/>
      <c r="AA35" s="515"/>
      <c r="AB35" s="516"/>
      <c r="AC35" s="516"/>
      <c r="AD35" s="516"/>
      <c r="AE35" s="513"/>
      <c r="AF35" s="515"/>
      <c r="AG35" s="514"/>
      <c r="AH35" s="513"/>
      <c r="AI35" s="515"/>
      <c r="AJ35" s="514"/>
      <c r="AK35" s="517"/>
      <c r="AL35" s="518"/>
      <c r="AM35" s="519"/>
      <c r="AN35" s="517" t="str">
        <f>IF(AE35&gt;X35,100%,IFERROR((AE35+AB35)/X35,"-"))</f>
        <v>-</v>
      </c>
      <c r="AO35" s="518"/>
      <c r="AP35" s="524"/>
    </row>
    <row r="36" spans="2:42" ht="13.15" customHeight="1" x14ac:dyDescent="0.25">
      <c r="B36" s="375" t="s">
        <v>83</v>
      </c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  <c r="AA36" s="376"/>
      <c r="AB36" s="376"/>
      <c r="AC36" s="376"/>
      <c r="AD36" s="376"/>
      <c r="AE36" s="376"/>
      <c r="AF36" s="376"/>
      <c r="AG36" s="376"/>
      <c r="AH36" s="376"/>
      <c r="AI36" s="376"/>
      <c r="AJ36" s="376"/>
      <c r="AK36" s="376"/>
      <c r="AL36" s="376"/>
      <c r="AM36" s="376"/>
      <c r="AN36" s="376"/>
      <c r="AO36" s="376"/>
      <c r="AP36" s="377"/>
    </row>
    <row r="37" spans="2:42" ht="10.9" customHeight="1" x14ac:dyDescent="0.25">
      <c r="B37" s="378" t="s">
        <v>84</v>
      </c>
      <c r="C37" s="379"/>
      <c r="D37" s="379"/>
      <c r="E37" s="379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80"/>
      <c r="W37" s="381" t="s">
        <v>2483</v>
      </c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  <c r="AK37" s="379"/>
      <c r="AL37" s="379"/>
      <c r="AM37" s="379"/>
      <c r="AN37" s="379"/>
      <c r="AO37" s="379"/>
      <c r="AP37" s="382"/>
    </row>
    <row r="38" spans="2:42" ht="27" customHeight="1" x14ac:dyDescent="0.25">
      <c r="B38" s="385"/>
      <c r="C38" s="386"/>
      <c r="D38" s="386"/>
      <c r="E38" s="386"/>
      <c r="F38" s="386"/>
      <c r="G38" s="386"/>
      <c r="H38" s="386"/>
      <c r="I38" s="386"/>
      <c r="J38" s="386"/>
      <c r="K38" s="386"/>
      <c r="L38" s="386"/>
      <c r="M38" s="386"/>
      <c r="N38" s="386"/>
      <c r="O38" s="386"/>
      <c r="P38" s="386"/>
      <c r="Q38" s="386"/>
      <c r="R38" s="386"/>
      <c r="S38" s="386"/>
      <c r="T38" s="386"/>
      <c r="U38" s="386"/>
      <c r="V38" s="387"/>
      <c r="W38" s="388"/>
      <c r="X38" s="386"/>
      <c r="Y38" s="386"/>
      <c r="Z38" s="386"/>
      <c r="AA38" s="386"/>
      <c r="AB38" s="386"/>
      <c r="AC38" s="386"/>
      <c r="AD38" s="386"/>
      <c r="AE38" s="386"/>
      <c r="AF38" s="386"/>
      <c r="AG38" s="386"/>
      <c r="AH38" s="386"/>
      <c r="AI38" s="386"/>
      <c r="AJ38" s="386"/>
      <c r="AK38" s="386"/>
      <c r="AL38" s="386"/>
      <c r="AM38" s="386"/>
      <c r="AN38" s="386"/>
      <c r="AO38" s="386"/>
      <c r="AP38" s="389"/>
    </row>
    <row r="39" spans="2:42" ht="9.9499999999999993" customHeight="1" x14ac:dyDescent="0.25">
      <c r="B39" s="375" t="s">
        <v>85</v>
      </c>
      <c r="C39" s="376"/>
      <c r="D39" s="376"/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  <c r="AA39" s="376"/>
      <c r="AB39" s="376"/>
      <c r="AC39" s="376"/>
      <c r="AD39" s="376"/>
      <c r="AE39" s="376"/>
      <c r="AF39" s="376"/>
      <c r="AG39" s="376"/>
      <c r="AH39" s="376"/>
      <c r="AI39" s="376"/>
      <c r="AJ39" s="376"/>
      <c r="AK39" s="376"/>
      <c r="AL39" s="376"/>
      <c r="AM39" s="376"/>
      <c r="AN39" s="376"/>
      <c r="AO39" s="376"/>
      <c r="AP39" s="377"/>
    </row>
    <row r="40" spans="2:42" ht="9.9499999999999993" customHeight="1" x14ac:dyDescent="0.25">
      <c r="B40" s="415" t="s">
        <v>2555</v>
      </c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7"/>
    </row>
    <row r="41" spans="2:42" ht="9.9499999999999993" customHeight="1" x14ac:dyDescent="0.25">
      <c r="B41" s="418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20"/>
    </row>
    <row r="42" spans="2:42" ht="9.9499999999999993" customHeight="1" x14ac:dyDescent="0.25">
      <c r="B42" s="418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19"/>
      <c r="AL42" s="419"/>
      <c r="AM42" s="419"/>
      <c r="AN42" s="419"/>
      <c r="AO42" s="419"/>
      <c r="AP42" s="420"/>
    </row>
    <row r="43" spans="2:42" ht="9.9499999999999993" customHeight="1" x14ac:dyDescent="0.25">
      <c r="B43" s="418"/>
      <c r="C43" s="419"/>
      <c r="D43" s="419"/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19"/>
      <c r="AL43" s="419"/>
      <c r="AM43" s="419"/>
      <c r="AN43" s="419"/>
      <c r="AO43" s="419"/>
      <c r="AP43" s="420"/>
    </row>
    <row r="44" spans="2:42" ht="9.9499999999999993" customHeight="1" thickBot="1" x14ac:dyDescent="0.3">
      <c r="B44" s="421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2"/>
      <c r="AM44" s="422"/>
      <c r="AN44" s="422"/>
      <c r="AO44" s="422"/>
      <c r="AP44" s="423"/>
    </row>
    <row r="45" spans="2:42" ht="9.9499999999999993" customHeight="1" x14ac:dyDescent="0.25">
      <c r="B45" s="390" t="s">
        <v>86</v>
      </c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2"/>
    </row>
    <row r="46" spans="2:42" ht="9.9499999999999993" customHeight="1" x14ac:dyDescent="0.25">
      <c r="B46" s="396"/>
      <c r="C46" s="397"/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7"/>
      <c r="P46" s="397"/>
      <c r="Q46" s="397"/>
      <c r="R46" s="397"/>
      <c r="S46" s="397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8"/>
    </row>
    <row r="47" spans="2:42" ht="9.9499999999999993" customHeight="1" x14ac:dyDescent="0.25">
      <c r="B47" s="396"/>
      <c r="C47" s="397"/>
      <c r="D47" s="397"/>
      <c r="E47" s="397"/>
      <c r="F47" s="397"/>
      <c r="G47" s="397"/>
      <c r="H47" s="397"/>
      <c r="I47" s="397"/>
      <c r="J47" s="397"/>
      <c r="K47" s="397"/>
      <c r="L47" s="397"/>
      <c r="M47" s="397"/>
      <c r="N47" s="397"/>
      <c r="O47" s="397"/>
      <c r="P47" s="397"/>
      <c r="Q47" s="397"/>
      <c r="R47" s="397"/>
      <c r="S47" s="397"/>
      <c r="T47" s="397"/>
      <c r="U47" s="397"/>
      <c r="V47" s="397"/>
      <c r="W47" s="397"/>
      <c r="X47" s="397"/>
      <c r="Y47" s="397"/>
      <c r="Z47" s="397"/>
      <c r="AA47" s="397"/>
      <c r="AB47" s="397"/>
      <c r="AC47" s="397"/>
      <c r="AD47" s="397"/>
      <c r="AE47" s="397"/>
      <c r="AF47" s="397"/>
      <c r="AG47" s="397"/>
      <c r="AH47" s="397"/>
      <c r="AI47" s="397"/>
      <c r="AJ47" s="397"/>
      <c r="AK47" s="397"/>
      <c r="AL47" s="397"/>
      <c r="AM47" s="397"/>
      <c r="AN47" s="397"/>
      <c r="AO47" s="397"/>
      <c r="AP47" s="398"/>
    </row>
    <row r="48" spans="2:42" ht="9.9499999999999993" customHeight="1" x14ac:dyDescent="0.25">
      <c r="B48" s="396"/>
      <c r="C48" s="397"/>
      <c r="D48" s="397"/>
      <c r="E48" s="397"/>
      <c r="F48" s="397"/>
      <c r="G48" s="397"/>
      <c r="H48" s="397"/>
      <c r="I48" s="397"/>
      <c r="J48" s="397"/>
      <c r="K48" s="397"/>
      <c r="L48" s="397"/>
      <c r="M48" s="397"/>
      <c r="N48" s="397"/>
      <c r="O48" s="397"/>
      <c r="P48" s="397"/>
      <c r="Q48" s="397"/>
      <c r="R48" s="397"/>
      <c r="S48" s="397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  <c r="AD48" s="397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  <c r="AO48" s="397"/>
      <c r="AP48" s="398"/>
    </row>
    <row r="49" spans="2:42" ht="9.9499999999999993" customHeight="1" thickBot="1" x14ac:dyDescent="0.3">
      <c r="B49" s="396"/>
      <c r="C49" s="397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397"/>
      <c r="O49" s="397"/>
      <c r="P49" s="397"/>
      <c r="Q49" s="397"/>
      <c r="R49" s="397"/>
      <c r="S49" s="397"/>
      <c r="T49" s="397"/>
      <c r="U49" s="397"/>
      <c r="V49" s="397"/>
      <c r="W49" s="397"/>
      <c r="X49" s="397"/>
      <c r="Y49" s="397"/>
      <c r="Z49" s="397"/>
      <c r="AA49" s="397"/>
      <c r="AB49" s="397"/>
      <c r="AC49" s="397"/>
      <c r="AD49" s="397"/>
      <c r="AE49" s="397"/>
      <c r="AF49" s="397"/>
      <c r="AG49" s="397"/>
      <c r="AH49" s="397"/>
      <c r="AI49" s="397"/>
      <c r="AJ49" s="397"/>
      <c r="AK49" s="397"/>
      <c r="AL49" s="397"/>
      <c r="AM49" s="397"/>
      <c r="AN49" s="397"/>
      <c r="AO49" s="397"/>
      <c r="AP49" s="398"/>
    </row>
    <row r="50" spans="2:42" ht="9.9499999999999993" customHeight="1" x14ac:dyDescent="0.25">
      <c r="B50" s="390" t="s">
        <v>87</v>
      </c>
      <c r="C50" s="391"/>
      <c r="D50" s="391"/>
      <c r="E50" s="391"/>
      <c r="F50" s="391"/>
      <c r="G50" s="391"/>
      <c r="H50" s="391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391"/>
      <c r="X50" s="391"/>
      <c r="Y50" s="391"/>
      <c r="Z50" s="391"/>
      <c r="AA50" s="391"/>
      <c r="AB50" s="391"/>
      <c r="AC50" s="391"/>
      <c r="AD50" s="391"/>
      <c r="AE50" s="391"/>
      <c r="AF50" s="391"/>
      <c r="AG50" s="391"/>
      <c r="AH50" s="391"/>
      <c r="AI50" s="391"/>
      <c r="AJ50" s="391"/>
      <c r="AK50" s="391"/>
      <c r="AL50" s="391"/>
      <c r="AM50" s="391"/>
      <c r="AN50" s="391"/>
      <c r="AO50" s="391"/>
      <c r="AP50" s="392"/>
    </row>
    <row r="51" spans="2:42" ht="12" customHeight="1" x14ac:dyDescent="0.25">
      <c r="B51" s="411" t="s">
        <v>88</v>
      </c>
      <c r="C51" s="412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/>
      <c r="AK51" s="412"/>
      <c r="AL51" s="412"/>
      <c r="AM51" s="412"/>
      <c r="AN51" s="412"/>
      <c r="AO51" s="412"/>
      <c r="AP51" s="413"/>
    </row>
    <row r="52" spans="2:42" ht="18.600000000000001" customHeight="1" x14ac:dyDescent="0.25">
      <c r="B52" s="428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429"/>
      <c r="AN52" s="429"/>
      <c r="AO52" s="429"/>
      <c r="AP52" s="430"/>
    </row>
    <row r="53" spans="2:42" ht="12" customHeight="1" x14ac:dyDescent="0.25">
      <c r="B53" s="411" t="s">
        <v>89</v>
      </c>
      <c r="C53" s="412"/>
      <c r="D53" s="412"/>
      <c r="E53" s="41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412"/>
      <c r="AD53" s="412"/>
      <c r="AE53" s="412"/>
      <c r="AF53" s="412"/>
      <c r="AG53" s="412"/>
      <c r="AH53" s="412"/>
      <c r="AI53" s="412"/>
      <c r="AJ53" s="412"/>
      <c r="AK53" s="412"/>
      <c r="AL53" s="412"/>
      <c r="AM53" s="412"/>
      <c r="AN53" s="412"/>
      <c r="AO53" s="412"/>
      <c r="AP53" s="413"/>
    </row>
    <row r="54" spans="2:42" ht="12" customHeight="1" thickBot="1" x14ac:dyDescent="0.3">
      <c r="B54" s="393"/>
      <c r="C54" s="394"/>
      <c r="D54" s="394"/>
      <c r="E54" s="394"/>
      <c r="F54" s="394"/>
      <c r="G54" s="394"/>
      <c r="H54" s="394"/>
      <c r="I54" s="394"/>
      <c r="J54" s="394"/>
      <c r="K54" s="394"/>
      <c r="L54" s="394"/>
      <c r="M54" s="394"/>
      <c r="N54" s="394"/>
      <c r="O54" s="394"/>
      <c r="P54" s="394"/>
      <c r="Q54" s="394"/>
      <c r="R54" s="394"/>
      <c r="S54" s="394"/>
      <c r="T54" s="394"/>
      <c r="U54" s="394"/>
      <c r="V54" s="394"/>
      <c r="W54" s="394"/>
      <c r="X54" s="394"/>
      <c r="Y54" s="394"/>
      <c r="Z54" s="394"/>
      <c r="AA54" s="394"/>
      <c r="AB54" s="394"/>
      <c r="AC54" s="394"/>
      <c r="AD54" s="394"/>
      <c r="AE54" s="394"/>
      <c r="AF54" s="394"/>
      <c r="AG54" s="394"/>
      <c r="AH54" s="394"/>
      <c r="AI54" s="394"/>
      <c r="AJ54" s="394"/>
      <c r="AK54" s="394"/>
      <c r="AL54" s="394"/>
      <c r="AM54" s="394"/>
      <c r="AN54" s="394"/>
      <c r="AO54" s="394"/>
      <c r="AP54" s="395"/>
    </row>
    <row r="55" spans="2:42" ht="12.75" customHeight="1" x14ac:dyDescent="0.25">
      <c r="B55" s="445" t="s">
        <v>2460</v>
      </c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8"/>
    </row>
    <row r="56" spans="2:42" ht="25.15" customHeight="1" thickBot="1" x14ac:dyDescent="0.3">
      <c r="B56" s="539"/>
      <c r="C56" s="540"/>
      <c r="D56" s="540"/>
      <c r="E56" s="540"/>
      <c r="F56" s="540"/>
      <c r="G56" s="540"/>
      <c r="H56" s="540"/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  <c r="W56" s="540"/>
      <c r="X56" s="540"/>
      <c r="Y56" s="540"/>
      <c r="Z56" s="540"/>
      <c r="AA56" s="540"/>
      <c r="AB56" s="540"/>
      <c r="AC56" s="540"/>
      <c r="AD56" s="540"/>
      <c r="AE56" s="540"/>
      <c r="AF56" s="540"/>
      <c r="AG56" s="540"/>
      <c r="AH56" s="540"/>
      <c r="AI56" s="540"/>
      <c r="AJ56" s="540"/>
      <c r="AK56" s="540"/>
      <c r="AL56" s="540"/>
      <c r="AM56" s="540"/>
      <c r="AN56" s="540"/>
      <c r="AO56" s="540"/>
      <c r="AP56" s="541"/>
    </row>
    <row r="57" spans="2:42" ht="11.45" customHeight="1" x14ac:dyDescent="0.25">
      <c r="B57" s="527" t="s">
        <v>90</v>
      </c>
      <c r="C57" s="528"/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  <c r="AO57" s="528"/>
      <c r="AP57" s="529"/>
    </row>
    <row r="58" spans="2:42" ht="196.5" customHeight="1" thickBot="1" x14ac:dyDescent="0.3">
      <c r="B58" s="530" t="s">
        <v>2558</v>
      </c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2"/>
    </row>
    <row r="59" spans="2:42" ht="9.6" customHeight="1" x14ac:dyDescent="0.25">
      <c r="B59" s="533" t="s">
        <v>91</v>
      </c>
      <c r="C59" s="534"/>
      <c r="D59" s="534"/>
      <c r="E59" s="534"/>
      <c r="F59" s="534"/>
      <c r="G59" s="534"/>
      <c r="H59" s="534"/>
      <c r="I59" s="534"/>
      <c r="J59" s="534"/>
      <c r="K59" s="534"/>
      <c r="L59" s="534"/>
      <c r="M59" s="534"/>
      <c r="N59" s="534"/>
      <c r="O59" s="534"/>
      <c r="P59" s="534"/>
      <c r="Q59" s="534"/>
      <c r="R59" s="534"/>
      <c r="S59" s="534"/>
      <c r="T59" s="534"/>
      <c r="U59" s="534"/>
      <c r="V59" s="534"/>
      <c r="W59" s="534"/>
      <c r="X59" s="534"/>
      <c r="Y59" s="534"/>
      <c r="Z59" s="534"/>
      <c r="AA59" s="534"/>
      <c r="AB59" s="534"/>
      <c r="AC59" s="534"/>
      <c r="AD59" s="534"/>
      <c r="AE59" s="534"/>
      <c r="AF59" s="534"/>
      <c r="AG59" s="534"/>
      <c r="AH59" s="534"/>
      <c r="AI59" s="534"/>
      <c r="AJ59" s="534"/>
      <c r="AK59" s="534"/>
      <c r="AL59" s="534"/>
      <c r="AM59" s="534"/>
      <c r="AN59" s="534"/>
      <c r="AO59" s="534"/>
      <c r="AP59" s="535"/>
    </row>
    <row r="60" spans="2:42" ht="69" customHeight="1" thickBot="1" x14ac:dyDescent="0.3">
      <c r="B60" s="536"/>
      <c r="C60" s="537"/>
      <c r="D60" s="537"/>
      <c r="E60" s="537"/>
      <c r="F60" s="537"/>
      <c r="G60" s="537"/>
      <c r="H60" s="537"/>
      <c r="I60" s="537"/>
      <c r="J60" s="537"/>
      <c r="K60" s="537"/>
      <c r="L60" s="537"/>
      <c r="M60" s="537"/>
      <c r="N60" s="537"/>
      <c r="O60" s="537"/>
      <c r="P60" s="537"/>
      <c r="Q60" s="537"/>
      <c r="R60" s="537"/>
      <c r="S60" s="537"/>
      <c r="T60" s="537"/>
      <c r="U60" s="537"/>
      <c r="V60" s="537"/>
      <c r="W60" s="537"/>
      <c r="X60" s="537"/>
      <c r="Y60" s="537"/>
      <c r="Z60" s="537"/>
      <c r="AA60" s="537"/>
      <c r="AB60" s="537"/>
      <c r="AC60" s="537"/>
      <c r="AD60" s="537"/>
      <c r="AE60" s="537"/>
      <c r="AF60" s="537"/>
      <c r="AG60" s="537"/>
      <c r="AH60" s="537"/>
      <c r="AI60" s="537"/>
      <c r="AJ60" s="537"/>
      <c r="AK60" s="537"/>
      <c r="AL60" s="537"/>
      <c r="AM60" s="537"/>
      <c r="AN60" s="537"/>
      <c r="AO60" s="537"/>
      <c r="AP60" s="538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408" t="s">
        <v>92</v>
      </c>
      <c r="D62" s="408"/>
      <c r="E62" s="408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260"/>
      <c r="W62" s="317" t="s">
        <v>93</v>
      </c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  <c r="AL62" s="317"/>
      <c r="AM62" s="317"/>
      <c r="AN62" s="317"/>
      <c r="AO62" s="317"/>
      <c r="AP62" s="253"/>
    </row>
    <row r="63" spans="2:42" ht="9.9499999999999993" customHeight="1" x14ac:dyDescent="0.25">
      <c r="B63" s="360"/>
      <c r="C63" s="399"/>
      <c r="D63" s="400"/>
      <c r="E63" s="400"/>
      <c r="F63" s="400"/>
      <c r="G63" s="400"/>
      <c r="H63" s="400"/>
      <c r="I63" s="400"/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401"/>
      <c r="V63" s="366"/>
      <c r="W63" s="318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  <c r="AN63" s="319"/>
      <c r="AO63" s="319"/>
      <c r="AP63" s="427"/>
    </row>
    <row r="64" spans="2:42" ht="9.9499999999999993" customHeight="1" x14ac:dyDescent="0.25">
      <c r="B64" s="360"/>
      <c r="C64" s="402"/>
      <c r="D64" s="403"/>
      <c r="E64" s="403"/>
      <c r="F64" s="403"/>
      <c r="G64" s="403"/>
      <c r="H64" s="403"/>
      <c r="I64" s="403"/>
      <c r="J64" s="403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4"/>
      <c r="V64" s="366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427"/>
    </row>
    <row r="65" spans="2:42" ht="9.9499999999999993" customHeight="1" x14ac:dyDescent="0.25">
      <c r="B65" s="360"/>
      <c r="C65" s="402"/>
      <c r="D65" s="403"/>
      <c r="E65" s="403"/>
      <c r="F65" s="403"/>
      <c r="G65" s="403"/>
      <c r="H65" s="403"/>
      <c r="I65" s="403"/>
      <c r="J65" s="403"/>
      <c r="K65" s="403"/>
      <c r="L65" s="403"/>
      <c r="M65" s="403"/>
      <c r="N65" s="403"/>
      <c r="O65" s="403"/>
      <c r="P65" s="403"/>
      <c r="Q65" s="403"/>
      <c r="R65" s="403"/>
      <c r="S65" s="403"/>
      <c r="T65" s="403"/>
      <c r="U65" s="404"/>
      <c r="V65" s="366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427"/>
    </row>
    <row r="66" spans="2:42" ht="9.9499999999999993" customHeight="1" x14ac:dyDescent="0.25">
      <c r="B66" s="360"/>
      <c r="C66" s="402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3"/>
      <c r="Q66" s="403"/>
      <c r="R66" s="403"/>
      <c r="S66" s="403"/>
      <c r="T66" s="403"/>
      <c r="U66" s="404"/>
      <c r="V66" s="366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427"/>
    </row>
    <row r="67" spans="2:42" ht="9.9499999999999993" customHeight="1" x14ac:dyDescent="0.25">
      <c r="B67" s="360"/>
      <c r="C67" s="402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4"/>
      <c r="V67" s="366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427"/>
    </row>
    <row r="68" spans="2:42" ht="9.9499999999999993" customHeight="1" x14ac:dyDescent="0.25">
      <c r="B68" s="360"/>
      <c r="C68" s="402"/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4"/>
      <c r="V68" s="366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427"/>
    </row>
    <row r="69" spans="2:42" ht="9.9499999999999993" customHeight="1" x14ac:dyDescent="0.25">
      <c r="B69" s="360"/>
      <c r="C69" s="402"/>
      <c r="D69" s="403"/>
      <c r="E69" s="403"/>
      <c r="F69" s="403"/>
      <c r="G69" s="403"/>
      <c r="H69" s="403"/>
      <c r="I69" s="403"/>
      <c r="J69" s="403"/>
      <c r="K69" s="403"/>
      <c r="L69" s="403"/>
      <c r="M69" s="403"/>
      <c r="N69" s="403"/>
      <c r="O69" s="403"/>
      <c r="P69" s="403"/>
      <c r="Q69" s="403"/>
      <c r="R69" s="403"/>
      <c r="S69" s="403"/>
      <c r="T69" s="403"/>
      <c r="U69" s="404"/>
      <c r="V69" s="366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427"/>
    </row>
    <row r="70" spans="2:42" ht="9.9499999999999993" customHeight="1" x14ac:dyDescent="0.25">
      <c r="B70" s="360"/>
      <c r="C70" s="402"/>
      <c r="D70" s="403"/>
      <c r="E70" s="403"/>
      <c r="F70" s="403"/>
      <c r="G70" s="403"/>
      <c r="H70" s="403"/>
      <c r="I70" s="403"/>
      <c r="J70" s="403"/>
      <c r="K70" s="403"/>
      <c r="L70" s="403"/>
      <c r="M70" s="403"/>
      <c r="N70" s="403"/>
      <c r="O70" s="403"/>
      <c r="P70" s="403"/>
      <c r="Q70" s="403"/>
      <c r="R70" s="403"/>
      <c r="S70" s="403"/>
      <c r="T70" s="403"/>
      <c r="U70" s="404"/>
      <c r="V70" s="366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427"/>
    </row>
    <row r="71" spans="2:42" ht="9.9499999999999993" customHeight="1" x14ac:dyDescent="0.25">
      <c r="B71" s="360"/>
      <c r="C71" s="402"/>
      <c r="D71" s="403"/>
      <c r="E71" s="403"/>
      <c r="F71" s="403"/>
      <c r="G71" s="403"/>
      <c r="H71" s="403"/>
      <c r="I71" s="403"/>
      <c r="J71" s="403"/>
      <c r="K71" s="403"/>
      <c r="L71" s="403"/>
      <c r="M71" s="403"/>
      <c r="N71" s="403"/>
      <c r="O71" s="403"/>
      <c r="P71" s="403"/>
      <c r="Q71" s="403"/>
      <c r="R71" s="403"/>
      <c r="S71" s="403"/>
      <c r="T71" s="403"/>
      <c r="U71" s="404"/>
      <c r="V71" s="366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427"/>
    </row>
    <row r="72" spans="2:42" ht="9.9499999999999993" customHeight="1" x14ac:dyDescent="0.25">
      <c r="B72" s="360"/>
      <c r="C72" s="402"/>
      <c r="D72" s="403"/>
      <c r="E72" s="403"/>
      <c r="F72" s="403"/>
      <c r="G72" s="403"/>
      <c r="H72" s="403"/>
      <c r="I72" s="403"/>
      <c r="J72" s="403"/>
      <c r="K72" s="403"/>
      <c r="L72" s="403"/>
      <c r="M72" s="403"/>
      <c r="N72" s="403"/>
      <c r="O72" s="403"/>
      <c r="P72" s="403"/>
      <c r="Q72" s="403"/>
      <c r="R72" s="403"/>
      <c r="S72" s="403"/>
      <c r="T72" s="403"/>
      <c r="U72" s="404"/>
      <c r="V72" s="366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427"/>
    </row>
    <row r="73" spans="2:42" ht="9.9499999999999993" customHeight="1" x14ac:dyDescent="0.25">
      <c r="B73" s="360"/>
      <c r="C73" s="402"/>
      <c r="D73" s="403"/>
      <c r="E73" s="403"/>
      <c r="F73" s="403"/>
      <c r="G73" s="403"/>
      <c r="H73" s="403"/>
      <c r="I73" s="403"/>
      <c r="J73" s="403"/>
      <c r="K73" s="403"/>
      <c r="L73" s="403"/>
      <c r="M73" s="403"/>
      <c r="N73" s="403"/>
      <c r="O73" s="403"/>
      <c r="P73" s="403"/>
      <c r="Q73" s="403"/>
      <c r="R73" s="403"/>
      <c r="S73" s="403"/>
      <c r="T73" s="403"/>
      <c r="U73" s="404"/>
      <c r="V73" s="366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427"/>
    </row>
    <row r="74" spans="2:42" ht="9.9499999999999993" customHeight="1" x14ac:dyDescent="0.25">
      <c r="B74" s="360"/>
      <c r="C74" s="402"/>
      <c r="D74" s="403"/>
      <c r="E74" s="403"/>
      <c r="F74" s="403"/>
      <c r="G74" s="403"/>
      <c r="H74" s="403"/>
      <c r="I74" s="403"/>
      <c r="J74" s="403"/>
      <c r="K74" s="403"/>
      <c r="L74" s="403"/>
      <c r="M74" s="403"/>
      <c r="N74" s="403"/>
      <c r="O74" s="403"/>
      <c r="P74" s="403"/>
      <c r="Q74" s="403"/>
      <c r="R74" s="403"/>
      <c r="S74" s="403"/>
      <c r="T74" s="403"/>
      <c r="U74" s="404"/>
      <c r="V74" s="366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427"/>
    </row>
    <row r="75" spans="2:42" ht="9.9499999999999993" customHeight="1" x14ac:dyDescent="0.25">
      <c r="B75" s="360"/>
      <c r="C75" s="405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7"/>
      <c r="V75" s="366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427"/>
    </row>
    <row r="76" spans="2:42" ht="9.9499999999999993" customHeight="1" x14ac:dyDescent="0.25">
      <c r="B76" s="360"/>
      <c r="C76" s="414" t="s">
        <v>2470</v>
      </c>
      <c r="D76" s="414"/>
      <c r="E76" s="414"/>
      <c r="F76" s="414"/>
      <c r="G76" s="414"/>
      <c r="H76" s="414"/>
      <c r="I76" s="414"/>
      <c r="J76" s="414"/>
      <c r="K76" s="414"/>
      <c r="L76" s="414"/>
      <c r="M76" s="414"/>
      <c r="N76" s="414"/>
      <c r="O76" s="414"/>
      <c r="P76" s="414"/>
      <c r="Q76" s="414"/>
      <c r="R76" s="414"/>
      <c r="S76" s="414"/>
      <c r="T76" s="414"/>
      <c r="U76" s="414"/>
      <c r="V76" s="366"/>
      <c r="W76" s="319" t="s">
        <v>2554</v>
      </c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427"/>
    </row>
    <row r="77" spans="2:42" ht="9.9499999999999993" customHeight="1" thickBot="1" x14ac:dyDescent="0.3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</row>
    <row r="78" spans="2:42" ht="9.9499999999999993" hidden="1" customHeight="1" x14ac:dyDescent="0.3">
      <c r="B78" s="249"/>
      <c r="C78" s="408" t="s">
        <v>2509</v>
      </c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260"/>
      <c r="W78" s="408" t="s">
        <v>94</v>
      </c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  <c r="AL78" s="408"/>
      <c r="AM78" s="408"/>
      <c r="AN78" s="408"/>
      <c r="AO78" s="408"/>
      <c r="AP78" s="253"/>
    </row>
    <row r="79" spans="2:42" ht="9.9499999999999993" hidden="1" customHeight="1" thickBot="1" x14ac:dyDescent="0.3">
      <c r="B79" s="360"/>
      <c r="C79" s="399"/>
      <c r="D79" s="400"/>
      <c r="E79" s="400"/>
      <c r="F79" s="400"/>
      <c r="G79" s="400"/>
      <c r="H79" s="400"/>
      <c r="I79" s="400"/>
      <c r="J79" s="400"/>
      <c r="K79" s="400"/>
      <c r="L79" s="400"/>
      <c r="M79" s="400"/>
      <c r="N79" s="400"/>
      <c r="O79" s="400"/>
      <c r="P79" s="400"/>
      <c r="Q79" s="400"/>
      <c r="R79" s="400"/>
      <c r="S79" s="400"/>
      <c r="T79" s="400"/>
      <c r="U79" s="401"/>
      <c r="V79" s="366"/>
      <c r="W79" s="399"/>
      <c r="X79" s="400"/>
      <c r="Y79" s="400"/>
      <c r="Z79" s="400"/>
      <c r="AA79" s="400"/>
      <c r="AB79" s="400"/>
      <c r="AC79" s="400"/>
      <c r="AD79" s="400"/>
      <c r="AE79" s="400"/>
      <c r="AF79" s="400"/>
      <c r="AG79" s="400"/>
      <c r="AH79" s="400"/>
      <c r="AI79" s="400"/>
      <c r="AJ79" s="400"/>
      <c r="AK79" s="400"/>
      <c r="AL79" s="400"/>
      <c r="AM79" s="400"/>
      <c r="AN79" s="400"/>
      <c r="AO79" s="401"/>
      <c r="AP79" s="427"/>
    </row>
    <row r="80" spans="2:42" ht="9.9499999999999993" hidden="1" customHeight="1" x14ac:dyDescent="0.3">
      <c r="B80" s="360"/>
      <c r="C80" s="402"/>
      <c r="D80" s="403"/>
      <c r="E80" s="403"/>
      <c r="F80" s="403"/>
      <c r="G80" s="403"/>
      <c r="H80" s="403"/>
      <c r="I80" s="403"/>
      <c r="J80" s="403"/>
      <c r="K80" s="403"/>
      <c r="L80" s="403"/>
      <c r="M80" s="403"/>
      <c r="N80" s="403"/>
      <c r="O80" s="403"/>
      <c r="P80" s="403"/>
      <c r="Q80" s="403"/>
      <c r="R80" s="403"/>
      <c r="S80" s="403"/>
      <c r="T80" s="403"/>
      <c r="U80" s="404"/>
      <c r="V80" s="366"/>
      <c r="W80" s="402"/>
      <c r="X80" s="403"/>
      <c r="Y80" s="403"/>
      <c r="Z80" s="403"/>
      <c r="AA80" s="403"/>
      <c r="AB80" s="403"/>
      <c r="AC80" s="403"/>
      <c r="AD80" s="403"/>
      <c r="AE80" s="403"/>
      <c r="AF80" s="403"/>
      <c r="AG80" s="403"/>
      <c r="AH80" s="403"/>
      <c r="AI80" s="403"/>
      <c r="AJ80" s="403"/>
      <c r="AK80" s="403"/>
      <c r="AL80" s="403"/>
      <c r="AM80" s="403"/>
      <c r="AN80" s="403"/>
      <c r="AO80" s="404"/>
      <c r="AP80" s="427"/>
    </row>
    <row r="81" spans="2:42" ht="9.9499999999999993" hidden="1" customHeight="1" thickBot="1" x14ac:dyDescent="0.3">
      <c r="B81" s="360"/>
      <c r="C81" s="402"/>
      <c r="D81" s="403"/>
      <c r="E81" s="403"/>
      <c r="F81" s="403"/>
      <c r="G81" s="403"/>
      <c r="H81" s="403"/>
      <c r="I81" s="403"/>
      <c r="J81" s="403"/>
      <c r="K81" s="403"/>
      <c r="L81" s="403"/>
      <c r="M81" s="403"/>
      <c r="N81" s="403"/>
      <c r="O81" s="403"/>
      <c r="P81" s="403"/>
      <c r="Q81" s="403"/>
      <c r="R81" s="403"/>
      <c r="S81" s="403"/>
      <c r="T81" s="403"/>
      <c r="U81" s="404"/>
      <c r="V81" s="366"/>
      <c r="W81" s="402"/>
      <c r="X81" s="403"/>
      <c r="Y81" s="403"/>
      <c r="Z81" s="403"/>
      <c r="AA81" s="403"/>
      <c r="AB81" s="403"/>
      <c r="AC81" s="403"/>
      <c r="AD81" s="403"/>
      <c r="AE81" s="403"/>
      <c r="AF81" s="403"/>
      <c r="AG81" s="403"/>
      <c r="AH81" s="403"/>
      <c r="AI81" s="403"/>
      <c r="AJ81" s="403"/>
      <c r="AK81" s="403"/>
      <c r="AL81" s="403"/>
      <c r="AM81" s="403"/>
      <c r="AN81" s="403"/>
      <c r="AO81" s="404"/>
      <c r="AP81" s="427"/>
    </row>
    <row r="82" spans="2:42" ht="9.9499999999999993" hidden="1" customHeight="1" x14ac:dyDescent="0.3">
      <c r="B82" s="360"/>
      <c r="C82" s="402"/>
      <c r="D82" s="403"/>
      <c r="E82" s="403"/>
      <c r="F82" s="403"/>
      <c r="G82" s="403"/>
      <c r="H82" s="403"/>
      <c r="I82" s="403"/>
      <c r="J82" s="403"/>
      <c r="K82" s="403"/>
      <c r="L82" s="403"/>
      <c r="M82" s="403"/>
      <c r="N82" s="403"/>
      <c r="O82" s="403"/>
      <c r="P82" s="403"/>
      <c r="Q82" s="403"/>
      <c r="R82" s="403"/>
      <c r="S82" s="403"/>
      <c r="T82" s="403"/>
      <c r="U82" s="404"/>
      <c r="V82" s="366"/>
      <c r="W82" s="402"/>
      <c r="X82" s="403"/>
      <c r="Y82" s="403"/>
      <c r="Z82" s="403"/>
      <c r="AA82" s="403"/>
      <c r="AB82" s="403"/>
      <c r="AC82" s="403"/>
      <c r="AD82" s="403"/>
      <c r="AE82" s="403"/>
      <c r="AF82" s="403"/>
      <c r="AG82" s="403"/>
      <c r="AH82" s="403"/>
      <c r="AI82" s="403"/>
      <c r="AJ82" s="403"/>
      <c r="AK82" s="403"/>
      <c r="AL82" s="403"/>
      <c r="AM82" s="403"/>
      <c r="AN82" s="403"/>
      <c r="AO82" s="404"/>
      <c r="AP82" s="427"/>
    </row>
    <row r="83" spans="2:42" ht="9.9499999999999993" hidden="1" customHeight="1" x14ac:dyDescent="0.3">
      <c r="B83" s="360"/>
      <c r="C83" s="402"/>
      <c r="D83" s="403"/>
      <c r="E83" s="403"/>
      <c r="F83" s="403"/>
      <c r="G83" s="403"/>
      <c r="H83" s="403"/>
      <c r="I83" s="403"/>
      <c r="J83" s="403"/>
      <c r="K83" s="403"/>
      <c r="L83" s="403"/>
      <c r="M83" s="403"/>
      <c r="N83" s="403"/>
      <c r="O83" s="403"/>
      <c r="P83" s="403"/>
      <c r="Q83" s="403"/>
      <c r="R83" s="403"/>
      <c r="S83" s="403"/>
      <c r="T83" s="403"/>
      <c r="U83" s="404"/>
      <c r="V83" s="366"/>
      <c r="W83" s="402"/>
      <c r="X83" s="403"/>
      <c r="Y83" s="403"/>
      <c r="Z83" s="403"/>
      <c r="AA83" s="403"/>
      <c r="AB83" s="403"/>
      <c r="AC83" s="403"/>
      <c r="AD83" s="403"/>
      <c r="AE83" s="403"/>
      <c r="AF83" s="403"/>
      <c r="AG83" s="403"/>
      <c r="AH83" s="403"/>
      <c r="AI83" s="403"/>
      <c r="AJ83" s="403"/>
      <c r="AK83" s="403"/>
      <c r="AL83" s="403"/>
      <c r="AM83" s="403"/>
      <c r="AN83" s="403"/>
      <c r="AO83" s="404"/>
      <c r="AP83" s="427"/>
    </row>
    <row r="84" spans="2:42" ht="9.9499999999999993" hidden="1" customHeight="1" x14ac:dyDescent="0.3">
      <c r="B84" s="360"/>
      <c r="C84" s="402"/>
      <c r="D84" s="403"/>
      <c r="E84" s="403"/>
      <c r="F84" s="403"/>
      <c r="G84" s="403"/>
      <c r="H84" s="403"/>
      <c r="I84" s="403"/>
      <c r="J84" s="403"/>
      <c r="K84" s="403"/>
      <c r="L84" s="403"/>
      <c r="M84" s="403"/>
      <c r="N84" s="403"/>
      <c r="O84" s="403"/>
      <c r="P84" s="403"/>
      <c r="Q84" s="403"/>
      <c r="R84" s="403"/>
      <c r="S84" s="403"/>
      <c r="T84" s="403"/>
      <c r="U84" s="404"/>
      <c r="V84" s="366"/>
      <c r="W84" s="402"/>
      <c r="X84" s="403"/>
      <c r="Y84" s="403"/>
      <c r="Z84" s="403"/>
      <c r="AA84" s="403"/>
      <c r="AB84" s="403"/>
      <c r="AC84" s="403"/>
      <c r="AD84" s="403"/>
      <c r="AE84" s="403"/>
      <c r="AF84" s="403"/>
      <c r="AG84" s="403"/>
      <c r="AH84" s="403"/>
      <c r="AI84" s="403"/>
      <c r="AJ84" s="403"/>
      <c r="AK84" s="403"/>
      <c r="AL84" s="403"/>
      <c r="AM84" s="403"/>
      <c r="AN84" s="403"/>
      <c r="AO84" s="404"/>
      <c r="AP84" s="427"/>
    </row>
    <row r="85" spans="2:42" ht="9.9499999999999993" hidden="1" customHeight="1" x14ac:dyDescent="0.3">
      <c r="B85" s="360"/>
      <c r="C85" s="402"/>
      <c r="D85" s="403"/>
      <c r="E85" s="403"/>
      <c r="F85" s="403"/>
      <c r="G85" s="403"/>
      <c r="H85" s="403"/>
      <c r="I85" s="403"/>
      <c r="J85" s="403"/>
      <c r="K85" s="403"/>
      <c r="L85" s="403"/>
      <c r="M85" s="403"/>
      <c r="N85" s="403"/>
      <c r="O85" s="403"/>
      <c r="P85" s="403"/>
      <c r="Q85" s="403"/>
      <c r="R85" s="403"/>
      <c r="S85" s="403"/>
      <c r="T85" s="403"/>
      <c r="U85" s="404"/>
      <c r="V85" s="366"/>
      <c r="W85" s="402"/>
      <c r="X85" s="403"/>
      <c r="Y85" s="403"/>
      <c r="Z85" s="403"/>
      <c r="AA85" s="403"/>
      <c r="AB85" s="403"/>
      <c r="AC85" s="403"/>
      <c r="AD85" s="403"/>
      <c r="AE85" s="403"/>
      <c r="AF85" s="403"/>
      <c r="AG85" s="403"/>
      <c r="AH85" s="403"/>
      <c r="AI85" s="403"/>
      <c r="AJ85" s="403"/>
      <c r="AK85" s="403"/>
      <c r="AL85" s="403"/>
      <c r="AM85" s="403"/>
      <c r="AN85" s="403"/>
      <c r="AO85" s="404"/>
      <c r="AP85" s="427"/>
    </row>
    <row r="86" spans="2:42" ht="9.9499999999999993" hidden="1" customHeight="1" x14ac:dyDescent="0.3">
      <c r="B86" s="360"/>
      <c r="C86" s="402"/>
      <c r="D86" s="403"/>
      <c r="E86" s="403"/>
      <c r="F86" s="403"/>
      <c r="G86" s="403"/>
      <c r="H86" s="403"/>
      <c r="I86" s="403"/>
      <c r="J86" s="403"/>
      <c r="K86" s="403"/>
      <c r="L86" s="403"/>
      <c r="M86" s="403"/>
      <c r="N86" s="403"/>
      <c r="O86" s="403"/>
      <c r="P86" s="403"/>
      <c r="Q86" s="403"/>
      <c r="R86" s="403"/>
      <c r="S86" s="403"/>
      <c r="T86" s="403"/>
      <c r="U86" s="404"/>
      <c r="V86" s="366"/>
      <c r="W86" s="402"/>
      <c r="X86" s="403"/>
      <c r="Y86" s="403"/>
      <c r="Z86" s="403"/>
      <c r="AA86" s="403"/>
      <c r="AB86" s="403"/>
      <c r="AC86" s="403"/>
      <c r="AD86" s="403"/>
      <c r="AE86" s="403"/>
      <c r="AF86" s="403"/>
      <c r="AG86" s="403"/>
      <c r="AH86" s="403"/>
      <c r="AI86" s="403"/>
      <c r="AJ86" s="403"/>
      <c r="AK86" s="403"/>
      <c r="AL86" s="403"/>
      <c r="AM86" s="403"/>
      <c r="AN86" s="403"/>
      <c r="AO86" s="404"/>
      <c r="AP86" s="427"/>
    </row>
    <row r="87" spans="2:42" ht="9.9499999999999993" hidden="1" customHeight="1" x14ac:dyDescent="0.3">
      <c r="B87" s="360"/>
      <c r="C87" s="402"/>
      <c r="D87" s="403"/>
      <c r="E87" s="403"/>
      <c r="F87" s="403"/>
      <c r="G87" s="403"/>
      <c r="H87" s="403"/>
      <c r="I87" s="403"/>
      <c r="J87" s="403"/>
      <c r="K87" s="403"/>
      <c r="L87" s="403"/>
      <c r="M87" s="403"/>
      <c r="N87" s="403"/>
      <c r="O87" s="403"/>
      <c r="P87" s="403"/>
      <c r="Q87" s="403"/>
      <c r="R87" s="403"/>
      <c r="S87" s="403"/>
      <c r="T87" s="403"/>
      <c r="U87" s="404"/>
      <c r="V87" s="366"/>
      <c r="W87" s="402"/>
      <c r="X87" s="403"/>
      <c r="Y87" s="403"/>
      <c r="Z87" s="403"/>
      <c r="AA87" s="403"/>
      <c r="AB87" s="403"/>
      <c r="AC87" s="403"/>
      <c r="AD87" s="403"/>
      <c r="AE87" s="403"/>
      <c r="AF87" s="403"/>
      <c r="AG87" s="403"/>
      <c r="AH87" s="403"/>
      <c r="AI87" s="403"/>
      <c r="AJ87" s="403"/>
      <c r="AK87" s="403"/>
      <c r="AL87" s="403"/>
      <c r="AM87" s="403"/>
      <c r="AN87" s="403"/>
      <c r="AO87" s="404"/>
      <c r="AP87" s="427"/>
    </row>
    <row r="88" spans="2:42" ht="9.9499999999999993" hidden="1" customHeight="1" x14ac:dyDescent="0.3">
      <c r="B88" s="360"/>
      <c r="C88" s="402"/>
      <c r="D88" s="403"/>
      <c r="E88" s="403"/>
      <c r="F88" s="403"/>
      <c r="G88" s="403"/>
      <c r="H88" s="403"/>
      <c r="I88" s="403"/>
      <c r="J88" s="403"/>
      <c r="K88" s="403"/>
      <c r="L88" s="403"/>
      <c r="M88" s="403"/>
      <c r="N88" s="403"/>
      <c r="O88" s="403"/>
      <c r="P88" s="403"/>
      <c r="Q88" s="403"/>
      <c r="R88" s="403"/>
      <c r="S88" s="403"/>
      <c r="T88" s="403"/>
      <c r="U88" s="404"/>
      <c r="V88" s="366"/>
      <c r="W88" s="402"/>
      <c r="X88" s="403"/>
      <c r="Y88" s="403"/>
      <c r="Z88" s="403"/>
      <c r="AA88" s="403"/>
      <c r="AB88" s="403"/>
      <c r="AC88" s="403"/>
      <c r="AD88" s="403"/>
      <c r="AE88" s="403"/>
      <c r="AF88" s="403"/>
      <c r="AG88" s="403"/>
      <c r="AH88" s="403"/>
      <c r="AI88" s="403"/>
      <c r="AJ88" s="403"/>
      <c r="AK88" s="403"/>
      <c r="AL88" s="403"/>
      <c r="AM88" s="403"/>
      <c r="AN88" s="403"/>
      <c r="AO88" s="404"/>
      <c r="AP88" s="427"/>
    </row>
    <row r="89" spans="2:42" ht="9.9499999999999993" hidden="1" customHeight="1" x14ac:dyDescent="0.3">
      <c r="B89" s="360"/>
      <c r="C89" s="402"/>
      <c r="D89" s="403"/>
      <c r="E89" s="403"/>
      <c r="F89" s="403"/>
      <c r="G89" s="403"/>
      <c r="H89" s="403"/>
      <c r="I89" s="403"/>
      <c r="J89" s="403"/>
      <c r="K89" s="403"/>
      <c r="L89" s="403"/>
      <c r="M89" s="403"/>
      <c r="N89" s="403"/>
      <c r="O89" s="403"/>
      <c r="P89" s="403"/>
      <c r="Q89" s="403"/>
      <c r="R89" s="403"/>
      <c r="S89" s="403"/>
      <c r="T89" s="403"/>
      <c r="U89" s="404"/>
      <c r="V89" s="366"/>
      <c r="W89" s="402"/>
      <c r="X89" s="403"/>
      <c r="Y89" s="403"/>
      <c r="Z89" s="403"/>
      <c r="AA89" s="403"/>
      <c r="AB89" s="403"/>
      <c r="AC89" s="403"/>
      <c r="AD89" s="403"/>
      <c r="AE89" s="403"/>
      <c r="AF89" s="403"/>
      <c r="AG89" s="403"/>
      <c r="AH89" s="403"/>
      <c r="AI89" s="403"/>
      <c r="AJ89" s="403"/>
      <c r="AK89" s="403"/>
      <c r="AL89" s="403"/>
      <c r="AM89" s="403"/>
      <c r="AN89" s="403"/>
      <c r="AO89" s="404"/>
      <c r="AP89" s="427"/>
    </row>
    <row r="90" spans="2:42" ht="9.9499999999999993" hidden="1" customHeight="1" x14ac:dyDescent="0.3">
      <c r="B90" s="360"/>
      <c r="C90" s="402"/>
      <c r="D90" s="403"/>
      <c r="E90" s="403"/>
      <c r="F90" s="403"/>
      <c r="G90" s="403"/>
      <c r="H90" s="403"/>
      <c r="I90" s="403"/>
      <c r="J90" s="403"/>
      <c r="K90" s="403"/>
      <c r="L90" s="403"/>
      <c r="M90" s="403"/>
      <c r="N90" s="403"/>
      <c r="O90" s="403"/>
      <c r="P90" s="403"/>
      <c r="Q90" s="403"/>
      <c r="R90" s="403"/>
      <c r="S90" s="403"/>
      <c r="T90" s="403"/>
      <c r="U90" s="404"/>
      <c r="V90" s="366"/>
      <c r="W90" s="402"/>
      <c r="X90" s="403"/>
      <c r="Y90" s="403"/>
      <c r="Z90" s="403"/>
      <c r="AA90" s="403"/>
      <c r="AB90" s="403"/>
      <c r="AC90" s="403"/>
      <c r="AD90" s="403"/>
      <c r="AE90" s="403"/>
      <c r="AF90" s="403"/>
      <c r="AG90" s="403"/>
      <c r="AH90" s="403"/>
      <c r="AI90" s="403"/>
      <c r="AJ90" s="403"/>
      <c r="AK90" s="403"/>
      <c r="AL90" s="403"/>
      <c r="AM90" s="403"/>
      <c r="AN90" s="403"/>
      <c r="AO90" s="404"/>
      <c r="AP90" s="427"/>
    </row>
    <row r="91" spans="2:42" ht="9.9499999999999993" hidden="1" customHeight="1" x14ac:dyDescent="0.3">
      <c r="B91" s="360"/>
      <c r="C91" s="405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7"/>
      <c r="V91" s="366"/>
      <c r="W91" s="405"/>
      <c r="X91" s="406"/>
      <c r="Y91" s="406"/>
      <c r="Z91" s="406"/>
      <c r="AA91" s="406"/>
      <c r="AB91" s="406"/>
      <c r="AC91" s="406"/>
      <c r="AD91" s="406"/>
      <c r="AE91" s="406"/>
      <c r="AF91" s="406"/>
      <c r="AG91" s="406"/>
      <c r="AH91" s="406"/>
      <c r="AI91" s="406"/>
      <c r="AJ91" s="406"/>
      <c r="AK91" s="406"/>
      <c r="AL91" s="406"/>
      <c r="AM91" s="406"/>
      <c r="AN91" s="406"/>
      <c r="AO91" s="407"/>
      <c r="AP91" s="427"/>
    </row>
    <row r="92" spans="2:42" ht="9.9499999999999993" hidden="1" customHeight="1" x14ac:dyDescent="0.3">
      <c r="B92" s="360"/>
      <c r="C92" s="542" t="s">
        <v>2552</v>
      </c>
      <c r="D92" s="543"/>
      <c r="E92" s="543"/>
      <c r="F92" s="543"/>
      <c r="G92" s="543"/>
      <c r="H92" s="543"/>
      <c r="I92" s="543"/>
      <c r="J92" s="543"/>
      <c r="K92" s="543"/>
      <c r="L92" s="543"/>
      <c r="M92" s="543"/>
      <c r="N92" s="543"/>
      <c r="O92" s="543"/>
      <c r="P92" s="543"/>
      <c r="Q92" s="543"/>
      <c r="R92" s="543"/>
      <c r="S92" s="543"/>
      <c r="T92" s="543"/>
      <c r="U92" s="544"/>
      <c r="V92" s="366"/>
      <c r="W92" s="414" t="s">
        <v>2553</v>
      </c>
      <c r="X92" s="414"/>
      <c r="Y92" s="414"/>
      <c r="Z92" s="414"/>
      <c r="AA92" s="414"/>
      <c r="AB92" s="414"/>
      <c r="AC92" s="414"/>
      <c r="AD92" s="414"/>
      <c r="AE92" s="414"/>
      <c r="AF92" s="414"/>
      <c r="AG92" s="414"/>
      <c r="AH92" s="414"/>
      <c r="AI92" s="414"/>
      <c r="AJ92" s="414"/>
      <c r="AK92" s="414"/>
      <c r="AL92" s="414"/>
      <c r="AM92" s="414"/>
      <c r="AN92" s="414"/>
      <c r="AO92" s="414"/>
      <c r="AP92" s="427"/>
    </row>
    <row r="93" spans="2:42" ht="9.9499999999999993" hidden="1" customHeight="1" x14ac:dyDescent="0.3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3">
      <c r="B94" s="249"/>
      <c r="C94" s="317" t="s">
        <v>95</v>
      </c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260"/>
      <c r="W94" s="317" t="s">
        <v>96</v>
      </c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17"/>
      <c r="AJ94" s="317"/>
      <c r="AK94" s="317"/>
      <c r="AL94" s="317"/>
      <c r="AM94" s="317"/>
      <c r="AN94" s="317"/>
      <c r="AO94" s="317"/>
      <c r="AP94" s="253"/>
    </row>
    <row r="95" spans="2:42" ht="9.9499999999999993" hidden="1" customHeight="1" x14ac:dyDescent="0.3">
      <c r="B95" s="360"/>
      <c r="C95" s="545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46"/>
      <c r="P95" s="546"/>
      <c r="Q95" s="546"/>
      <c r="R95" s="546"/>
      <c r="S95" s="546"/>
      <c r="T95" s="546"/>
      <c r="U95" s="547"/>
      <c r="V95" s="366"/>
      <c r="W95" s="318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  <c r="AN95" s="319"/>
      <c r="AO95" s="319"/>
      <c r="AP95" s="361"/>
    </row>
    <row r="96" spans="2:42" ht="9.9499999999999993" hidden="1" customHeight="1" x14ac:dyDescent="0.3">
      <c r="B96" s="360"/>
      <c r="C96" s="368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  <c r="P96" s="366"/>
      <c r="Q96" s="366"/>
      <c r="R96" s="366"/>
      <c r="S96" s="366"/>
      <c r="T96" s="366"/>
      <c r="U96" s="367"/>
      <c r="V96" s="366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61"/>
    </row>
    <row r="97" spans="2:67" ht="9.9499999999999993" hidden="1" customHeight="1" x14ac:dyDescent="0.3">
      <c r="B97" s="360"/>
      <c r="C97" s="368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7"/>
      <c r="V97" s="366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61"/>
    </row>
    <row r="98" spans="2:67" ht="9.9499999999999993" hidden="1" customHeight="1" x14ac:dyDescent="0.3">
      <c r="B98" s="360"/>
      <c r="C98" s="368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  <c r="T98" s="366"/>
      <c r="U98" s="367"/>
      <c r="V98" s="366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61"/>
    </row>
    <row r="99" spans="2:67" ht="9.9499999999999993" hidden="1" customHeight="1" x14ac:dyDescent="0.3">
      <c r="B99" s="360"/>
      <c r="C99" s="368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7"/>
      <c r="V99" s="366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61"/>
    </row>
    <row r="100" spans="2:67" ht="9.9499999999999993" hidden="1" customHeight="1" x14ac:dyDescent="0.3">
      <c r="B100" s="360"/>
      <c r="C100" s="368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  <c r="T100" s="366"/>
      <c r="U100" s="367"/>
      <c r="V100" s="366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61"/>
    </row>
    <row r="101" spans="2:67" ht="9.9499999999999993" hidden="1" customHeight="1" x14ac:dyDescent="0.3">
      <c r="B101" s="360"/>
      <c r="C101" s="368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  <c r="T101" s="366"/>
      <c r="U101" s="367"/>
      <c r="V101" s="366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61"/>
    </row>
    <row r="102" spans="2:67" ht="9.9499999999999993" hidden="1" customHeight="1" x14ac:dyDescent="0.3">
      <c r="B102" s="360"/>
      <c r="C102" s="368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7"/>
      <c r="V102" s="366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61"/>
    </row>
    <row r="103" spans="2:67" ht="9.9499999999999993" hidden="1" customHeight="1" x14ac:dyDescent="0.3">
      <c r="B103" s="360"/>
      <c r="C103" s="368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7"/>
      <c r="V103" s="366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61"/>
    </row>
    <row r="104" spans="2:67" ht="9.9499999999999993" hidden="1" customHeight="1" x14ac:dyDescent="0.3">
      <c r="B104" s="360"/>
      <c r="C104" s="368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7"/>
      <c r="V104" s="366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61"/>
    </row>
    <row r="105" spans="2:67" ht="9.9499999999999993" hidden="1" customHeight="1" x14ac:dyDescent="0.3">
      <c r="B105" s="360"/>
      <c r="C105" s="368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6"/>
      <c r="R105" s="366"/>
      <c r="S105" s="366"/>
      <c r="T105" s="366"/>
      <c r="U105" s="367"/>
      <c r="V105" s="366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61"/>
    </row>
    <row r="106" spans="2:67" ht="9.9499999999999993" hidden="1" customHeight="1" x14ac:dyDescent="0.3">
      <c r="B106" s="360"/>
      <c r="C106" s="368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6"/>
      <c r="R106" s="366"/>
      <c r="S106" s="366"/>
      <c r="T106" s="366"/>
      <c r="U106" s="367"/>
      <c r="V106" s="366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61"/>
    </row>
    <row r="107" spans="2:67" ht="9.9499999999999993" hidden="1" customHeight="1" x14ac:dyDescent="0.3">
      <c r="B107" s="360"/>
      <c r="C107" s="339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8"/>
      <c r="V107" s="366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61"/>
    </row>
    <row r="108" spans="2:67" ht="9.9499999999999993" hidden="1" customHeight="1" x14ac:dyDescent="0.3">
      <c r="B108" s="360"/>
      <c r="C108" s="320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2"/>
      <c r="V108" s="366"/>
      <c r="W108" s="329"/>
      <c r="X108" s="330"/>
      <c r="Y108" s="330"/>
      <c r="Z108" s="330"/>
      <c r="AA108" s="330"/>
      <c r="AB108" s="330"/>
      <c r="AC108" s="330"/>
      <c r="AD108" s="330"/>
      <c r="AE108" s="330"/>
      <c r="AF108" s="330"/>
      <c r="AG108" s="330"/>
      <c r="AH108" s="330"/>
      <c r="AI108" s="330"/>
      <c r="AJ108" s="330"/>
      <c r="AK108" s="330"/>
      <c r="AL108" s="330"/>
      <c r="AM108" s="330"/>
      <c r="AN108" s="330"/>
      <c r="AO108" s="331"/>
      <c r="AP108" s="361"/>
    </row>
    <row r="109" spans="2:67" ht="9.9499999999999993" hidden="1" customHeight="1" x14ac:dyDescent="0.3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3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3">
      <c r="B111" s="249"/>
      <c r="C111" s="317" t="s">
        <v>97</v>
      </c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261"/>
      <c r="W111" s="323" t="s">
        <v>98</v>
      </c>
      <c r="X111" s="324"/>
      <c r="Y111" s="324"/>
      <c r="Z111" s="324"/>
      <c r="AA111" s="324"/>
      <c r="AB111" s="324"/>
      <c r="AC111" s="324"/>
      <c r="AD111" s="324"/>
      <c r="AE111" s="324"/>
      <c r="AF111" s="324"/>
      <c r="AG111" s="324"/>
      <c r="AH111" s="324"/>
      <c r="AI111" s="324"/>
      <c r="AJ111" s="324"/>
      <c r="AK111" s="324"/>
      <c r="AL111" s="324"/>
      <c r="AM111" s="324"/>
      <c r="AN111" s="324"/>
      <c r="AO111" s="325"/>
      <c r="AP111" s="253"/>
    </row>
    <row r="112" spans="2:67" ht="9.9499999999999993" hidden="1" customHeight="1" x14ac:dyDescent="0.3">
      <c r="B112" s="249"/>
      <c r="C112" s="318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262"/>
      <c r="W112" s="326"/>
      <c r="X112" s="327"/>
      <c r="Y112" s="327"/>
      <c r="Z112" s="327"/>
      <c r="AA112" s="327"/>
      <c r="AB112" s="327"/>
      <c r="AC112" s="327"/>
      <c r="AD112" s="327"/>
      <c r="AE112" s="327"/>
      <c r="AF112" s="327"/>
      <c r="AG112" s="327"/>
      <c r="AH112" s="327"/>
      <c r="AI112" s="327"/>
      <c r="AJ112" s="327"/>
      <c r="AK112" s="327"/>
      <c r="AL112" s="327"/>
      <c r="AM112" s="327"/>
      <c r="AN112" s="327"/>
      <c r="AO112" s="328"/>
      <c r="AP112" s="253"/>
      <c r="BN112" s="258"/>
      <c r="BO112" s="258"/>
    </row>
    <row r="113" spans="2:67" ht="9.9499999999999993" hidden="1" customHeight="1" x14ac:dyDescent="0.3">
      <c r="B113" s="24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263"/>
      <c r="W113" s="326"/>
      <c r="X113" s="327"/>
      <c r="Y113" s="327"/>
      <c r="Z113" s="327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8"/>
      <c r="AP113" s="253"/>
      <c r="BN113" s="259"/>
      <c r="BO113" s="259"/>
    </row>
    <row r="114" spans="2:67" ht="9.9499999999999993" hidden="1" customHeight="1" x14ac:dyDescent="0.3">
      <c r="B114" s="24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263"/>
      <c r="W114" s="326"/>
      <c r="X114" s="327"/>
      <c r="Y114" s="327"/>
      <c r="Z114" s="327"/>
      <c r="AA114" s="327"/>
      <c r="AB114" s="327"/>
      <c r="AC114" s="327"/>
      <c r="AD114" s="327"/>
      <c r="AE114" s="327"/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8"/>
      <c r="AP114" s="253"/>
      <c r="BN114" s="259"/>
      <c r="BO114" s="259"/>
    </row>
    <row r="115" spans="2:67" ht="9.9499999999999993" hidden="1" customHeight="1" x14ac:dyDescent="0.3">
      <c r="B115" s="24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263"/>
      <c r="W115" s="326"/>
      <c r="X115" s="327"/>
      <c r="Y115" s="327"/>
      <c r="Z115" s="327"/>
      <c r="AA115" s="327"/>
      <c r="AB115" s="327"/>
      <c r="AC115" s="327"/>
      <c r="AD115" s="327"/>
      <c r="AE115" s="327"/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8"/>
      <c r="AP115" s="253"/>
      <c r="BN115" s="259"/>
      <c r="BO115" s="259"/>
    </row>
    <row r="116" spans="2:67" ht="9.9499999999999993" hidden="1" customHeight="1" x14ac:dyDescent="0.3">
      <c r="B116" s="24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263"/>
      <c r="W116" s="326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8"/>
      <c r="AP116" s="253"/>
      <c r="BN116" s="259"/>
      <c r="BO116" s="259"/>
    </row>
    <row r="117" spans="2:67" ht="9.9499999999999993" hidden="1" customHeight="1" x14ac:dyDescent="0.3">
      <c r="B117" s="24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263"/>
      <c r="W117" s="326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8"/>
      <c r="AP117" s="253"/>
      <c r="BN117" s="259"/>
      <c r="BO117" s="259"/>
    </row>
    <row r="118" spans="2:67" ht="9.9499999999999993" hidden="1" customHeight="1" x14ac:dyDescent="0.3">
      <c r="B118" s="24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263"/>
      <c r="W118" s="326"/>
      <c r="X118" s="327"/>
      <c r="Y118" s="327"/>
      <c r="Z118" s="327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8"/>
      <c r="AP118" s="253"/>
      <c r="BN118" s="259"/>
      <c r="BO118" s="259"/>
    </row>
    <row r="119" spans="2:67" ht="9.9499999999999993" hidden="1" customHeight="1" x14ac:dyDescent="0.3">
      <c r="B119" s="24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263"/>
      <c r="W119" s="326"/>
      <c r="X119" s="327"/>
      <c r="Y119" s="327"/>
      <c r="Z119" s="327"/>
      <c r="AA119" s="327"/>
      <c r="AB119" s="327"/>
      <c r="AC119" s="327"/>
      <c r="AD119" s="327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8"/>
      <c r="AP119" s="253"/>
      <c r="BN119" s="259"/>
      <c r="BO119" s="259"/>
    </row>
    <row r="120" spans="2:67" ht="9.9499999999999993" hidden="1" customHeight="1" x14ac:dyDescent="0.3">
      <c r="B120" s="24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263"/>
      <c r="W120" s="326"/>
      <c r="X120" s="327"/>
      <c r="Y120" s="327"/>
      <c r="Z120" s="327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8"/>
      <c r="AP120" s="253"/>
      <c r="BN120" s="259"/>
      <c r="BO120" s="259"/>
    </row>
    <row r="121" spans="2:67" ht="9.9499999999999993" hidden="1" customHeight="1" x14ac:dyDescent="0.3">
      <c r="B121" s="24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263"/>
      <c r="W121" s="326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8"/>
      <c r="AP121" s="253"/>
      <c r="BN121" s="259"/>
      <c r="BO121" s="259"/>
    </row>
    <row r="122" spans="2:67" ht="9.9499999999999993" hidden="1" customHeight="1" x14ac:dyDescent="0.3">
      <c r="B122" s="24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263"/>
      <c r="W122" s="326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27"/>
      <c r="AN122" s="327"/>
      <c r="AO122" s="328"/>
      <c r="AP122" s="253"/>
      <c r="BN122" s="259"/>
      <c r="BO122" s="259"/>
    </row>
    <row r="123" spans="2:67" ht="9.9499999999999993" hidden="1" customHeight="1" x14ac:dyDescent="0.3">
      <c r="B123" s="24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263"/>
      <c r="W123" s="326"/>
      <c r="X123" s="327"/>
      <c r="Y123" s="327"/>
      <c r="Z123" s="327"/>
      <c r="AA123" s="327"/>
      <c r="AB123" s="327"/>
      <c r="AC123" s="327"/>
      <c r="AD123" s="327"/>
      <c r="AE123" s="327"/>
      <c r="AF123" s="327"/>
      <c r="AG123" s="327"/>
      <c r="AH123" s="327"/>
      <c r="AI123" s="327"/>
      <c r="AJ123" s="327"/>
      <c r="AK123" s="327"/>
      <c r="AL123" s="327"/>
      <c r="AM123" s="327"/>
      <c r="AN123" s="327"/>
      <c r="AO123" s="328"/>
      <c r="AP123" s="253"/>
      <c r="BN123" s="259"/>
      <c r="BO123" s="259"/>
    </row>
    <row r="124" spans="2:67" ht="9.9499999999999993" hidden="1" customHeight="1" x14ac:dyDescent="0.3">
      <c r="B124" s="24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263"/>
      <c r="W124" s="326"/>
      <c r="X124" s="327"/>
      <c r="Y124" s="327"/>
      <c r="Z124" s="327"/>
      <c r="AA124" s="327"/>
      <c r="AB124" s="327"/>
      <c r="AC124" s="327"/>
      <c r="AD124" s="327"/>
      <c r="AE124" s="327"/>
      <c r="AF124" s="327"/>
      <c r="AG124" s="327"/>
      <c r="AH124" s="327"/>
      <c r="AI124" s="327"/>
      <c r="AJ124" s="327"/>
      <c r="AK124" s="327"/>
      <c r="AL124" s="327"/>
      <c r="AM124" s="327"/>
      <c r="AN124" s="327"/>
      <c r="AO124" s="328"/>
      <c r="AP124" s="253"/>
      <c r="BN124" s="259"/>
      <c r="BO124" s="259"/>
    </row>
    <row r="125" spans="2:67" ht="9.9499999999999993" hidden="1" customHeight="1" x14ac:dyDescent="0.3">
      <c r="B125" s="249"/>
      <c r="C125" s="320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2"/>
      <c r="V125" s="263"/>
      <c r="W125" s="329"/>
      <c r="X125" s="330"/>
      <c r="Y125" s="330"/>
      <c r="Z125" s="330"/>
      <c r="AA125" s="330"/>
      <c r="AB125" s="330"/>
      <c r="AC125" s="330"/>
      <c r="AD125" s="330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1"/>
      <c r="AP125" s="253"/>
      <c r="BN125" s="259"/>
      <c r="BO125" s="259"/>
    </row>
    <row r="126" spans="2:67" ht="9.9499999999999993" hidden="1" customHeight="1" x14ac:dyDescent="0.3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3">
      <c r="B127" s="249"/>
      <c r="C127" s="317" t="s">
        <v>2462</v>
      </c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263"/>
      <c r="W127" s="323" t="s">
        <v>2461</v>
      </c>
      <c r="X127" s="324"/>
      <c r="Y127" s="324"/>
      <c r="Z127" s="324"/>
      <c r="AA127" s="324"/>
      <c r="AB127" s="324"/>
      <c r="AC127" s="324"/>
      <c r="AD127" s="324"/>
      <c r="AE127" s="324"/>
      <c r="AF127" s="324"/>
      <c r="AG127" s="324"/>
      <c r="AH127" s="324"/>
      <c r="AI127" s="324"/>
      <c r="AJ127" s="324"/>
      <c r="AK127" s="324"/>
      <c r="AL127" s="324"/>
      <c r="AM127" s="324"/>
      <c r="AN127" s="324"/>
      <c r="AO127" s="325"/>
      <c r="AP127" s="253"/>
      <c r="BN127" s="259"/>
      <c r="BO127" s="259"/>
    </row>
    <row r="128" spans="2:67" ht="9.9499999999999993" hidden="1" customHeight="1" x14ac:dyDescent="0.3">
      <c r="B128" s="249"/>
      <c r="C128" s="318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263"/>
      <c r="W128" s="326"/>
      <c r="X128" s="327"/>
      <c r="Y128" s="327"/>
      <c r="Z128" s="327"/>
      <c r="AA128" s="327"/>
      <c r="AB128" s="327"/>
      <c r="AC128" s="327"/>
      <c r="AD128" s="327"/>
      <c r="AE128" s="327"/>
      <c r="AF128" s="327"/>
      <c r="AG128" s="327"/>
      <c r="AH128" s="327"/>
      <c r="AI128" s="327"/>
      <c r="AJ128" s="327"/>
      <c r="AK128" s="327"/>
      <c r="AL128" s="327"/>
      <c r="AM128" s="327"/>
      <c r="AN128" s="327"/>
      <c r="AO128" s="328"/>
      <c r="AP128" s="253"/>
      <c r="BN128" s="259"/>
      <c r="BO128" s="259"/>
    </row>
    <row r="129" spans="2:67" ht="9.9499999999999993" hidden="1" customHeight="1" x14ac:dyDescent="0.3">
      <c r="B129" s="24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263"/>
      <c r="W129" s="326"/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8"/>
      <c r="AP129" s="253"/>
      <c r="BN129" s="259"/>
      <c r="BO129" s="259"/>
    </row>
    <row r="130" spans="2:67" ht="9.9499999999999993" hidden="1" customHeight="1" x14ac:dyDescent="0.3">
      <c r="B130" s="24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263"/>
      <c r="W130" s="326"/>
      <c r="X130" s="327"/>
      <c r="Y130" s="32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8"/>
      <c r="AP130" s="253"/>
      <c r="BN130" s="259"/>
      <c r="BO130" s="259"/>
    </row>
    <row r="131" spans="2:67" ht="9.9499999999999993" hidden="1" customHeight="1" x14ac:dyDescent="0.3">
      <c r="B131" s="24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263"/>
      <c r="W131" s="326"/>
      <c r="X131" s="327"/>
      <c r="Y131" s="327"/>
      <c r="Z131" s="327"/>
      <c r="AA131" s="327"/>
      <c r="AB131" s="327"/>
      <c r="AC131" s="327"/>
      <c r="AD131" s="327"/>
      <c r="AE131" s="327"/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8"/>
      <c r="AP131" s="253"/>
      <c r="BN131" s="259"/>
      <c r="BO131" s="259"/>
    </row>
    <row r="132" spans="2:67" ht="9.9499999999999993" hidden="1" customHeight="1" x14ac:dyDescent="0.3">
      <c r="B132" s="24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263"/>
      <c r="W132" s="326"/>
      <c r="X132" s="327"/>
      <c r="Y132" s="327"/>
      <c r="Z132" s="327"/>
      <c r="AA132" s="327"/>
      <c r="AB132" s="327"/>
      <c r="AC132" s="327"/>
      <c r="AD132" s="327"/>
      <c r="AE132" s="327"/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8"/>
      <c r="AP132" s="253"/>
      <c r="BN132" s="259"/>
      <c r="BO132" s="259"/>
    </row>
    <row r="133" spans="2:67" ht="9.9499999999999993" hidden="1" customHeight="1" x14ac:dyDescent="0.3">
      <c r="B133" s="24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263"/>
      <c r="W133" s="326"/>
      <c r="X133" s="327"/>
      <c r="Y133" s="327"/>
      <c r="Z133" s="327"/>
      <c r="AA133" s="327"/>
      <c r="AB133" s="327"/>
      <c r="AC133" s="327"/>
      <c r="AD133" s="327"/>
      <c r="AE133" s="327"/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8"/>
      <c r="AP133" s="253"/>
      <c r="BN133" s="259"/>
      <c r="BO133" s="259"/>
    </row>
    <row r="134" spans="2:67" ht="9.9499999999999993" hidden="1" customHeight="1" x14ac:dyDescent="0.3">
      <c r="B134" s="24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263"/>
      <c r="W134" s="326"/>
      <c r="X134" s="327"/>
      <c r="Y134" s="327"/>
      <c r="Z134" s="327"/>
      <c r="AA134" s="327"/>
      <c r="AB134" s="327"/>
      <c r="AC134" s="327"/>
      <c r="AD134" s="327"/>
      <c r="AE134" s="327"/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8"/>
      <c r="AP134" s="253"/>
      <c r="BN134" s="259"/>
      <c r="BO134" s="259"/>
    </row>
    <row r="135" spans="2:67" ht="9.9499999999999993" hidden="1" customHeight="1" x14ac:dyDescent="0.3">
      <c r="B135" s="24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263"/>
      <c r="W135" s="326"/>
      <c r="X135" s="327"/>
      <c r="Y135" s="327"/>
      <c r="Z135" s="327"/>
      <c r="AA135" s="327"/>
      <c r="AB135" s="327"/>
      <c r="AC135" s="327"/>
      <c r="AD135" s="327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8"/>
      <c r="AP135" s="253"/>
      <c r="BN135" s="259"/>
      <c r="BO135" s="259"/>
    </row>
    <row r="136" spans="2:67" ht="9.9499999999999993" hidden="1" customHeight="1" x14ac:dyDescent="0.3">
      <c r="B136" s="24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263"/>
      <c r="W136" s="326"/>
      <c r="X136" s="327"/>
      <c r="Y136" s="327"/>
      <c r="Z136" s="327"/>
      <c r="AA136" s="327"/>
      <c r="AB136" s="327"/>
      <c r="AC136" s="327"/>
      <c r="AD136" s="327"/>
      <c r="AE136" s="327"/>
      <c r="AF136" s="327"/>
      <c r="AG136" s="327"/>
      <c r="AH136" s="327"/>
      <c r="AI136" s="327"/>
      <c r="AJ136" s="327"/>
      <c r="AK136" s="327"/>
      <c r="AL136" s="327"/>
      <c r="AM136" s="327"/>
      <c r="AN136" s="327"/>
      <c r="AO136" s="328"/>
      <c r="AP136" s="253"/>
      <c r="BN136" s="259"/>
      <c r="BO136" s="259"/>
    </row>
    <row r="137" spans="2:67" ht="9.9499999999999993" hidden="1" customHeight="1" x14ac:dyDescent="0.3">
      <c r="B137" s="24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263"/>
      <c r="W137" s="326"/>
      <c r="X137" s="327"/>
      <c r="Y137" s="327"/>
      <c r="Z137" s="327"/>
      <c r="AA137" s="327"/>
      <c r="AB137" s="327"/>
      <c r="AC137" s="327"/>
      <c r="AD137" s="327"/>
      <c r="AE137" s="327"/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8"/>
      <c r="AP137" s="253"/>
      <c r="BN137" s="259"/>
      <c r="BO137" s="259"/>
    </row>
    <row r="138" spans="2:67" ht="9.9499999999999993" hidden="1" customHeight="1" x14ac:dyDescent="0.3">
      <c r="B138" s="24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263"/>
      <c r="W138" s="326"/>
      <c r="X138" s="327"/>
      <c r="Y138" s="327"/>
      <c r="Z138" s="327"/>
      <c r="AA138" s="327"/>
      <c r="AB138" s="327"/>
      <c r="AC138" s="327"/>
      <c r="AD138" s="327"/>
      <c r="AE138" s="327"/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8"/>
      <c r="AP138" s="253"/>
      <c r="BN138" s="259"/>
      <c r="BO138" s="259"/>
    </row>
    <row r="139" spans="2:67" ht="9.9499999999999993" hidden="1" customHeight="1" x14ac:dyDescent="0.3">
      <c r="B139" s="24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260"/>
      <c r="W139" s="326"/>
      <c r="X139" s="327"/>
      <c r="Y139" s="327"/>
      <c r="Z139" s="327"/>
      <c r="AA139" s="327"/>
      <c r="AB139" s="327"/>
      <c r="AC139" s="327"/>
      <c r="AD139" s="327"/>
      <c r="AE139" s="327"/>
      <c r="AF139" s="327"/>
      <c r="AG139" s="327"/>
      <c r="AH139" s="327"/>
      <c r="AI139" s="327"/>
      <c r="AJ139" s="327"/>
      <c r="AK139" s="327"/>
      <c r="AL139" s="327"/>
      <c r="AM139" s="327"/>
      <c r="AN139" s="327"/>
      <c r="AO139" s="328"/>
      <c r="AP139" s="253"/>
      <c r="BN139" s="259"/>
      <c r="BO139" s="259"/>
    </row>
    <row r="140" spans="2:67" ht="9.9499999999999993" hidden="1" customHeight="1" x14ac:dyDescent="0.3">
      <c r="B140" s="24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260"/>
      <c r="W140" s="326"/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27"/>
      <c r="AH140" s="327"/>
      <c r="AI140" s="327"/>
      <c r="AJ140" s="327"/>
      <c r="AK140" s="327"/>
      <c r="AL140" s="327"/>
      <c r="AM140" s="327"/>
      <c r="AN140" s="327"/>
      <c r="AO140" s="328"/>
      <c r="AP140" s="253"/>
      <c r="BN140" s="259"/>
      <c r="BO140" s="259"/>
    </row>
    <row r="141" spans="2:67" ht="9.9499999999999993" hidden="1" customHeight="1" x14ac:dyDescent="0.3">
      <c r="B141" s="249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260"/>
      <c r="W141" s="329"/>
      <c r="X141" s="330"/>
      <c r="Y141" s="330"/>
      <c r="Z141" s="330"/>
      <c r="AA141" s="330"/>
      <c r="AB141" s="330"/>
      <c r="AC141" s="330"/>
      <c r="AD141" s="330"/>
      <c r="AE141" s="330"/>
      <c r="AF141" s="330"/>
      <c r="AG141" s="330"/>
      <c r="AH141" s="330"/>
      <c r="AI141" s="330"/>
      <c r="AJ141" s="330"/>
      <c r="AK141" s="330"/>
      <c r="AL141" s="330"/>
      <c r="AM141" s="330"/>
      <c r="AN141" s="330"/>
      <c r="AO141" s="331"/>
      <c r="AP141" s="253"/>
    </row>
    <row r="142" spans="2:67" ht="9.9499999999999993" hidden="1" customHeight="1" x14ac:dyDescent="0.3"/>
    <row r="143" spans="2:67" ht="9.9499999999999993" hidden="1" customHeight="1" x14ac:dyDescent="0.3">
      <c r="B143" s="249"/>
      <c r="C143" s="323" t="s">
        <v>100</v>
      </c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5"/>
      <c r="V143" s="260"/>
      <c r="W143" s="323" t="s">
        <v>101</v>
      </c>
      <c r="X143" s="324"/>
      <c r="Y143" s="324"/>
      <c r="Z143" s="324"/>
      <c r="AA143" s="324"/>
      <c r="AB143" s="324"/>
      <c r="AC143" s="324"/>
      <c r="AD143" s="324"/>
      <c r="AE143" s="324"/>
      <c r="AF143" s="324"/>
      <c r="AG143" s="324"/>
      <c r="AH143" s="324"/>
      <c r="AI143" s="324"/>
      <c r="AJ143" s="324"/>
      <c r="AK143" s="324"/>
      <c r="AL143" s="324"/>
      <c r="AM143" s="324"/>
      <c r="AN143" s="324"/>
      <c r="AO143" s="325"/>
      <c r="AP143" s="253"/>
    </row>
    <row r="144" spans="2:67" ht="9.9499999999999993" hidden="1" customHeight="1" x14ac:dyDescent="0.3">
      <c r="B144" s="360"/>
      <c r="C144" s="353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5"/>
      <c r="V144" s="359"/>
      <c r="W144" s="353"/>
      <c r="X144" s="354"/>
      <c r="Y144" s="354"/>
      <c r="Z144" s="354"/>
      <c r="AA144" s="354"/>
      <c r="AB144" s="354"/>
      <c r="AC144" s="354"/>
      <c r="AD144" s="354"/>
      <c r="AE144" s="354"/>
      <c r="AF144" s="354"/>
      <c r="AG144" s="354"/>
      <c r="AH144" s="354"/>
      <c r="AI144" s="354"/>
      <c r="AJ144" s="354"/>
      <c r="AK144" s="354"/>
      <c r="AL144" s="354"/>
      <c r="AM144" s="354"/>
      <c r="AN144" s="354"/>
      <c r="AO144" s="355"/>
      <c r="AP144" s="361"/>
    </row>
    <row r="145" spans="2:42" ht="9.9499999999999993" hidden="1" customHeight="1" x14ac:dyDescent="0.3">
      <c r="B145" s="360"/>
      <c r="C145" s="326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8"/>
      <c r="V145" s="359"/>
      <c r="W145" s="326"/>
      <c r="X145" s="327"/>
      <c r="Y145" s="327"/>
      <c r="Z145" s="327"/>
      <c r="AA145" s="327"/>
      <c r="AB145" s="327"/>
      <c r="AC145" s="327"/>
      <c r="AD145" s="327"/>
      <c r="AE145" s="327"/>
      <c r="AF145" s="327"/>
      <c r="AG145" s="327"/>
      <c r="AH145" s="327"/>
      <c r="AI145" s="327"/>
      <c r="AJ145" s="327"/>
      <c r="AK145" s="327"/>
      <c r="AL145" s="327"/>
      <c r="AM145" s="327"/>
      <c r="AN145" s="327"/>
      <c r="AO145" s="328"/>
      <c r="AP145" s="361"/>
    </row>
    <row r="146" spans="2:42" ht="9.9499999999999993" hidden="1" customHeight="1" x14ac:dyDescent="0.3">
      <c r="B146" s="360"/>
      <c r="C146" s="326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8"/>
      <c r="V146" s="359"/>
      <c r="W146" s="326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8"/>
      <c r="AP146" s="361"/>
    </row>
    <row r="147" spans="2:42" ht="9.9499999999999993" hidden="1" customHeight="1" x14ac:dyDescent="0.3">
      <c r="B147" s="360"/>
      <c r="C147" s="326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59"/>
      <c r="W147" s="326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8"/>
      <c r="AP147" s="361"/>
    </row>
    <row r="148" spans="2:42" ht="9.9499999999999993" hidden="1" customHeight="1" x14ac:dyDescent="0.3">
      <c r="B148" s="360"/>
      <c r="C148" s="326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8"/>
      <c r="V148" s="359"/>
      <c r="W148" s="326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8"/>
      <c r="AP148" s="361"/>
    </row>
    <row r="149" spans="2:42" ht="9.9499999999999993" hidden="1" customHeight="1" x14ac:dyDescent="0.3">
      <c r="B149" s="360"/>
      <c r="C149" s="326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8"/>
      <c r="V149" s="359"/>
      <c r="W149" s="326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8"/>
      <c r="AP149" s="361"/>
    </row>
    <row r="150" spans="2:42" ht="9.9499999999999993" hidden="1" customHeight="1" x14ac:dyDescent="0.3">
      <c r="B150" s="360"/>
      <c r="C150" s="326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8"/>
      <c r="V150" s="359"/>
      <c r="W150" s="326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8"/>
      <c r="AP150" s="361"/>
    </row>
    <row r="151" spans="2:42" ht="9.9499999999999993" hidden="1" customHeight="1" x14ac:dyDescent="0.3">
      <c r="B151" s="360"/>
      <c r="C151" s="326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8"/>
      <c r="V151" s="359"/>
      <c r="W151" s="326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8"/>
      <c r="AP151" s="361"/>
    </row>
    <row r="152" spans="2:42" ht="9.9499999999999993" hidden="1" customHeight="1" x14ac:dyDescent="0.3">
      <c r="B152" s="360"/>
      <c r="C152" s="326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8"/>
      <c r="V152" s="359"/>
      <c r="W152" s="326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8"/>
      <c r="AP152" s="361"/>
    </row>
    <row r="153" spans="2:42" ht="9.9499999999999993" hidden="1" customHeight="1" x14ac:dyDescent="0.3">
      <c r="B153" s="360"/>
      <c r="C153" s="326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8"/>
      <c r="V153" s="359"/>
      <c r="W153" s="326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8"/>
      <c r="AP153" s="361"/>
    </row>
    <row r="154" spans="2:42" ht="9.9499999999999993" hidden="1" customHeight="1" x14ac:dyDescent="0.3">
      <c r="B154" s="360"/>
      <c r="C154" s="326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8"/>
      <c r="V154" s="359"/>
      <c r="W154" s="326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8"/>
      <c r="AP154" s="361"/>
    </row>
    <row r="155" spans="2:42" ht="9.9499999999999993" hidden="1" customHeight="1" x14ac:dyDescent="0.3">
      <c r="B155" s="360"/>
      <c r="C155" s="326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8"/>
      <c r="V155" s="359"/>
      <c r="W155" s="326"/>
      <c r="X155" s="327"/>
      <c r="Y155" s="327"/>
      <c r="Z155" s="327"/>
      <c r="AA155" s="327"/>
      <c r="AB155" s="327"/>
      <c r="AC155" s="327"/>
      <c r="AD155" s="327"/>
      <c r="AE155" s="327"/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8"/>
      <c r="AP155" s="361"/>
    </row>
    <row r="156" spans="2:42" ht="9.9499999999999993" hidden="1" customHeight="1" x14ac:dyDescent="0.3">
      <c r="B156" s="360"/>
      <c r="C156" s="356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8"/>
      <c r="V156" s="359"/>
      <c r="W156" s="356"/>
      <c r="X156" s="357"/>
      <c r="Y156" s="357"/>
      <c r="Z156" s="357"/>
      <c r="AA156" s="357"/>
      <c r="AB156" s="357"/>
      <c r="AC156" s="357"/>
      <c r="AD156" s="357"/>
      <c r="AE156" s="357"/>
      <c r="AF156" s="357"/>
      <c r="AG156" s="357"/>
      <c r="AH156" s="357"/>
      <c r="AI156" s="357"/>
      <c r="AJ156" s="357"/>
      <c r="AK156" s="357"/>
      <c r="AL156" s="357"/>
      <c r="AM156" s="357"/>
      <c r="AN156" s="357"/>
      <c r="AO156" s="358"/>
      <c r="AP156" s="361"/>
    </row>
    <row r="157" spans="2:42" ht="9.9499999999999993" hidden="1" customHeight="1" x14ac:dyDescent="0.3">
      <c r="B157" s="360"/>
      <c r="C157" s="320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2"/>
      <c r="V157" s="359"/>
      <c r="W157" s="320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  <c r="AN157" s="321"/>
      <c r="AO157" s="322"/>
      <c r="AP157" s="361"/>
    </row>
    <row r="158" spans="2:42" ht="9.9499999999999993" hidden="1" customHeight="1" x14ac:dyDescent="0.3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3">
      <c r="B159" s="360"/>
      <c r="C159" s="353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5"/>
      <c r="V159" s="359"/>
      <c r="W159" s="353"/>
      <c r="X159" s="354"/>
      <c r="Y159" s="354"/>
      <c r="Z159" s="354"/>
      <c r="AA159" s="354"/>
      <c r="AB159" s="354"/>
      <c r="AC159" s="354"/>
      <c r="AD159" s="354"/>
      <c r="AE159" s="354"/>
      <c r="AF159" s="354"/>
      <c r="AG159" s="354"/>
      <c r="AH159" s="354"/>
      <c r="AI159" s="354"/>
      <c r="AJ159" s="354"/>
      <c r="AK159" s="354"/>
      <c r="AL159" s="354"/>
      <c r="AM159" s="354"/>
      <c r="AN159" s="354"/>
      <c r="AO159" s="355"/>
      <c r="AP159" s="361"/>
    </row>
    <row r="160" spans="2:42" ht="9.9499999999999993" hidden="1" customHeight="1" x14ac:dyDescent="0.3">
      <c r="B160" s="360"/>
      <c r="C160" s="326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8"/>
      <c r="V160" s="359"/>
      <c r="W160" s="326"/>
      <c r="X160" s="327"/>
      <c r="Y160" s="327"/>
      <c r="Z160" s="327"/>
      <c r="AA160" s="327"/>
      <c r="AB160" s="327"/>
      <c r="AC160" s="327"/>
      <c r="AD160" s="327"/>
      <c r="AE160" s="327"/>
      <c r="AF160" s="327"/>
      <c r="AG160" s="327"/>
      <c r="AH160" s="327"/>
      <c r="AI160" s="327"/>
      <c r="AJ160" s="327"/>
      <c r="AK160" s="327"/>
      <c r="AL160" s="327"/>
      <c r="AM160" s="327"/>
      <c r="AN160" s="327"/>
      <c r="AO160" s="328"/>
      <c r="AP160" s="361"/>
    </row>
    <row r="161" spans="2:42" ht="9.9499999999999993" hidden="1" customHeight="1" x14ac:dyDescent="0.3">
      <c r="B161" s="360"/>
      <c r="C161" s="326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8"/>
      <c r="V161" s="359"/>
      <c r="W161" s="326"/>
      <c r="X161" s="327"/>
      <c r="Y161" s="327"/>
      <c r="Z161" s="327"/>
      <c r="AA161" s="327"/>
      <c r="AB161" s="327"/>
      <c r="AC161" s="327"/>
      <c r="AD161" s="327"/>
      <c r="AE161" s="327"/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8"/>
      <c r="AP161" s="361"/>
    </row>
    <row r="162" spans="2:42" ht="9.9499999999999993" hidden="1" customHeight="1" x14ac:dyDescent="0.3">
      <c r="B162" s="360"/>
      <c r="C162" s="326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8"/>
      <c r="V162" s="359"/>
      <c r="W162" s="326"/>
      <c r="X162" s="327"/>
      <c r="Y162" s="327"/>
      <c r="Z162" s="327"/>
      <c r="AA162" s="327"/>
      <c r="AB162" s="327"/>
      <c r="AC162" s="327"/>
      <c r="AD162" s="327"/>
      <c r="AE162" s="327"/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8"/>
      <c r="AP162" s="361"/>
    </row>
    <row r="163" spans="2:42" ht="9.9499999999999993" hidden="1" customHeight="1" x14ac:dyDescent="0.3">
      <c r="B163" s="360"/>
      <c r="C163" s="326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8"/>
      <c r="V163" s="359"/>
      <c r="W163" s="326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8"/>
      <c r="AP163" s="361"/>
    </row>
    <row r="164" spans="2:42" ht="9.9499999999999993" hidden="1" customHeight="1" x14ac:dyDescent="0.3">
      <c r="B164" s="360"/>
      <c r="C164" s="326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8"/>
      <c r="V164" s="359"/>
      <c r="W164" s="326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8"/>
      <c r="AP164" s="361"/>
    </row>
    <row r="165" spans="2:42" ht="9.9499999999999993" hidden="1" customHeight="1" x14ac:dyDescent="0.3">
      <c r="B165" s="360"/>
      <c r="C165" s="326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8"/>
      <c r="V165" s="359"/>
      <c r="W165" s="326"/>
      <c r="X165" s="327"/>
      <c r="Y165" s="327"/>
      <c r="Z165" s="327"/>
      <c r="AA165" s="327"/>
      <c r="AB165" s="327"/>
      <c r="AC165" s="327"/>
      <c r="AD165" s="327"/>
      <c r="AE165" s="327"/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8"/>
      <c r="AP165" s="361"/>
    </row>
    <row r="166" spans="2:42" ht="9.9499999999999993" hidden="1" customHeight="1" x14ac:dyDescent="0.3">
      <c r="B166" s="360"/>
      <c r="C166" s="326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8"/>
      <c r="V166" s="359"/>
      <c r="W166" s="326"/>
      <c r="X166" s="327"/>
      <c r="Y166" s="327"/>
      <c r="Z166" s="327"/>
      <c r="AA166" s="327"/>
      <c r="AB166" s="327"/>
      <c r="AC166" s="327"/>
      <c r="AD166" s="327"/>
      <c r="AE166" s="327"/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8"/>
      <c r="AP166" s="361"/>
    </row>
    <row r="167" spans="2:42" ht="9.9499999999999993" hidden="1" customHeight="1" x14ac:dyDescent="0.3">
      <c r="B167" s="360"/>
      <c r="C167" s="326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8"/>
      <c r="V167" s="359"/>
      <c r="W167" s="326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8"/>
      <c r="AP167" s="361"/>
    </row>
    <row r="168" spans="2:42" ht="9.9499999999999993" hidden="1" customHeight="1" x14ac:dyDescent="0.3">
      <c r="B168" s="360"/>
      <c r="C168" s="326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8"/>
      <c r="V168" s="359"/>
      <c r="W168" s="326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8"/>
      <c r="AP168" s="361"/>
    </row>
    <row r="169" spans="2:42" ht="9.9499999999999993" hidden="1" customHeight="1" x14ac:dyDescent="0.3">
      <c r="B169" s="360"/>
      <c r="C169" s="326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8"/>
      <c r="V169" s="359"/>
      <c r="W169" s="326"/>
      <c r="X169" s="327"/>
      <c r="Y169" s="327"/>
      <c r="Z169" s="327"/>
      <c r="AA169" s="327"/>
      <c r="AB169" s="327"/>
      <c r="AC169" s="327"/>
      <c r="AD169" s="327"/>
      <c r="AE169" s="327"/>
      <c r="AF169" s="327"/>
      <c r="AG169" s="327"/>
      <c r="AH169" s="327"/>
      <c r="AI169" s="327"/>
      <c r="AJ169" s="327"/>
      <c r="AK169" s="327"/>
      <c r="AL169" s="327"/>
      <c r="AM169" s="327"/>
      <c r="AN169" s="327"/>
      <c r="AO169" s="328"/>
      <c r="AP169" s="361"/>
    </row>
    <row r="170" spans="2:42" ht="9.9499999999999993" hidden="1" customHeight="1" x14ac:dyDescent="0.3">
      <c r="B170" s="360"/>
      <c r="C170" s="326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8"/>
      <c r="V170" s="359"/>
      <c r="W170" s="326"/>
      <c r="X170" s="327"/>
      <c r="Y170" s="327"/>
      <c r="Z170" s="327"/>
      <c r="AA170" s="327"/>
      <c r="AB170" s="327"/>
      <c r="AC170" s="327"/>
      <c r="AD170" s="327"/>
      <c r="AE170" s="327"/>
      <c r="AF170" s="327"/>
      <c r="AG170" s="327"/>
      <c r="AH170" s="327"/>
      <c r="AI170" s="327"/>
      <c r="AJ170" s="327"/>
      <c r="AK170" s="327"/>
      <c r="AL170" s="327"/>
      <c r="AM170" s="327"/>
      <c r="AN170" s="327"/>
      <c r="AO170" s="328"/>
      <c r="AP170" s="361"/>
    </row>
    <row r="171" spans="2:42" ht="9.9499999999999993" hidden="1" customHeight="1" x14ac:dyDescent="0.3">
      <c r="B171" s="360"/>
      <c r="C171" s="356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8"/>
      <c r="V171" s="359"/>
      <c r="W171" s="356"/>
      <c r="X171" s="357"/>
      <c r="Y171" s="357"/>
      <c r="Z171" s="357"/>
      <c r="AA171" s="357"/>
      <c r="AB171" s="357"/>
      <c r="AC171" s="357"/>
      <c r="AD171" s="357"/>
      <c r="AE171" s="357"/>
      <c r="AF171" s="357"/>
      <c r="AG171" s="357"/>
      <c r="AH171" s="357"/>
      <c r="AI171" s="357"/>
      <c r="AJ171" s="357"/>
      <c r="AK171" s="357"/>
      <c r="AL171" s="357"/>
      <c r="AM171" s="357"/>
      <c r="AN171" s="357"/>
      <c r="AO171" s="358"/>
      <c r="AP171" s="361"/>
    </row>
    <row r="172" spans="2:42" ht="9.9499999999999993" hidden="1" customHeight="1" x14ac:dyDescent="0.3">
      <c r="B172" s="360"/>
      <c r="C172" s="320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2"/>
      <c r="V172" s="359"/>
      <c r="W172" s="372"/>
      <c r="X172" s="373"/>
      <c r="Y172" s="373"/>
      <c r="Z172" s="373"/>
      <c r="AA172" s="373"/>
      <c r="AB172" s="373"/>
      <c r="AC172" s="373"/>
      <c r="AD172" s="373"/>
      <c r="AE172" s="373"/>
      <c r="AF172" s="373"/>
      <c r="AG172" s="373"/>
      <c r="AH172" s="373"/>
      <c r="AI172" s="373"/>
      <c r="AJ172" s="373"/>
      <c r="AK172" s="373"/>
      <c r="AL172" s="373"/>
      <c r="AM172" s="373"/>
      <c r="AN172" s="373"/>
      <c r="AO172" s="374"/>
      <c r="AP172" s="361"/>
    </row>
    <row r="173" spans="2:42" ht="9.9499999999999993" hidden="1" customHeight="1" x14ac:dyDescent="0.3">
      <c r="B173" s="249"/>
      <c r="C173" s="323" t="s">
        <v>101</v>
      </c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5"/>
      <c r="V173" s="260"/>
      <c r="W173" s="323" t="s">
        <v>102</v>
      </c>
      <c r="X173" s="324"/>
      <c r="Y173" s="324"/>
      <c r="Z173" s="324"/>
      <c r="AA173" s="324"/>
      <c r="AB173" s="324"/>
      <c r="AC173" s="324"/>
      <c r="AD173" s="324"/>
      <c r="AE173" s="324"/>
      <c r="AF173" s="324"/>
      <c r="AG173" s="324"/>
      <c r="AH173" s="324"/>
      <c r="AI173" s="324"/>
      <c r="AJ173" s="324"/>
      <c r="AK173" s="324"/>
      <c r="AL173" s="324"/>
      <c r="AM173" s="324"/>
      <c r="AN173" s="324"/>
      <c r="AO173" s="325"/>
      <c r="AP173" s="253"/>
    </row>
    <row r="174" spans="2:42" ht="9.9499999999999993" hidden="1" customHeight="1" x14ac:dyDescent="0.3">
      <c r="B174" s="249"/>
      <c r="C174" s="341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3"/>
      <c r="V174" s="366"/>
      <c r="W174" s="341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  <c r="AJ174" s="342"/>
      <c r="AK174" s="342"/>
      <c r="AL174" s="342"/>
      <c r="AM174" s="342"/>
      <c r="AN174" s="342"/>
      <c r="AO174" s="343"/>
      <c r="AP174" s="253"/>
    </row>
    <row r="175" spans="2:42" ht="9.9499999999999993" hidden="1" customHeight="1" x14ac:dyDescent="0.3">
      <c r="B175" s="249"/>
      <c r="C175" s="344"/>
      <c r="D175" s="345"/>
      <c r="E175" s="345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6"/>
      <c r="V175" s="366"/>
      <c r="W175" s="344"/>
      <c r="X175" s="345"/>
      <c r="Y175" s="345"/>
      <c r="Z175" s="345"/>
      <c r="AA175" s="345"/>
      <c r="AB175" s="345"/>
      <c r="AC175" s="345"/>
      <c r="AD175" s="345"/>
      <c r="AE175" s="345"/>
      <c r="AF175" s="345"/>
      <c r="AG175" s="345"/>
      <c r="AH175" s="345"/>
      <c r="AI175" s="345"/>
      <c r="AJ175" s="345"/>
      <c r="AK175" s="345"/>
      <c r="AL175" s="345"/>
      <c r="AM175" s="345"/>
      <c r="AN175" s="345"/>
      <c r="AO175" s="346"/>
      <c r="AP175" s="253"/>
    </row>
    <row r="176" spans="2:42" ht="9.9499999999999993" hidden="1" customHeight="1" x14ac:dyDescent="0.3">
      <c r="B176" s="249"/>
      <c r="C176" s="344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6"/>
      <c r="V176" s="366"/>
      <c r="W176" s="344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5"/>
      <c r="AH176" s="345"/>
      <c r="AI176" s="345"/>
      <c r="AJ176" s="345"/>
      <c r="AK176" s="345"/>
      <c r="AL176" s="345"/>
      <c r="AM176" s="345"/>
      <c r="AN176" s="345"/>
      <c r="AO176" s="346"/>
      <c r="AP176" s="253"/>
    </row>
    <row r="177" spans="2:42" ht="9.9499999999999993" hidden="1" customHeight="1" x14ac:dyDescent="0.3">
      <c r="B177" s="249"/>
      <c r="C177" s="344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6"/>
      <c r="V177" s="366"/>
      <c r="W177" s="344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5"/>
      <c r="AH177" s="345"/>
      <c r="AI177" s="345"/>
      <c r="AJ177" s="345"/>
      <c r="AK177" s="345"/>
      <c r="AL177" s="345"/>
      <c r="AM177" s="345"/>
      <c r="AN177" s="345"/>
      <c r="AO177" s="346"/>
      <c r="AP177" s="253"/>
    </row>
    <row r="178" spans="2:42" ht="9.9499999999999993" hidden="1" customHeight="1" x14ac:dyDescent="0.3">
      <c r="B178" s="249"/>
      <c r="C178" s="344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6"/>
      <c r="V178" s="366"/>
      <c r="W178" s="344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6"/>
      <c r="AP178" s="253"/>
    </row>
    <row r="179" spans="2:42" ht="9.9499999999999993" hidden="1" customHeight="1" x14ac:dyDescent="0.3">
      <c r="B179" s="249"/>
      <c r="C179" s="344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6"/>
      <c r="V179" s="366"/>
      <c r="W179" s="344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5"/>
      <c r="AH179" s="345"/>
      <c r="AI179" s="345"/>
      <c r="AJ179" s="345"/>
      <c r="AK179" s="345"/>
      <c r="AL179" s="345"/>
      <c r="AM179" s="345"/>
      <c r="AN179" s="345"/>
      <c r="AO179" s="346"/>
      <c r="AP179" s="253"/>
    </row>
    <row r="180" spans="2:42" ht="9.9499999999999993" hidden="1" customHeight="1" x14ac:dyDescent="0.3">
      <c r="B180" s="249"/>
      <c r="C180" s="344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6"/>
      <c r="V180" s="366"/>
      <c r="W180" s="344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5"/>
      <c r="AH180" s="345"/>
      <c r="AI180" s="345"/>
      <c r="AJ180" s="345"/>
      <c r="AK180" s="345"/>
      <c r="AL180" s="345"/>
      <c r="AM180" s="345"/>
      <c r="AN180" s="345"/>
      <c r="AO180" s="346"/>
      <c r="AP180" s="253"/>
    </row>
    <row r="181" spans="2:42" ht="9.9499999999999993" hidden="1" customHeight="1" x14ac:dyDescent="0.3">
      <c r="B181" s="249"/>
      <c r="C181" s="344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6"/>
      <c r="V181" s="366"/>
      <c r="W181" s="344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5"/>
      <c r="AH181" s="345"/>
      <c r="AI181" s="345"/>
      <c r="AJ181" s="345"/>
      <c r="AK181" s="345"/>
      <c r="AL181" s="345"/>
      <c r="AM181" s="345"/>
      <c r="AN181" s="345"/>
      <c r="AO181" s="346"/>
      <c r="AP181" s="253"/>
    </row>
    <row r="182" spans="2:42" ht="9.9499999999999993" hidden="1" customHeight="1" x14ac:dyDescent="0.3">
      <c r="B182" s="249"/>
      <c r="C182" s="344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6"/>
      <c r="V182" s="366"/>
      <c r="W182" s="344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5"/>
      <c r="AH182" s="345"/>
      <c r="AI182" s="345"/>
      <c r="AJ182" s="345"/>
      <c r="AK182" s="345"/>
      <c r="AL182" s="345"/>
      <c r="AM182" s="345"/>
      <c r="AN182" s="345"/>
      <c r="AO182" s="346"/>
      <c r="AP182" s="253"/>
    </row>
    <row r="183" spans="2:42" ht="9.9499999999999993" hidden="1" customHeight="1" x14ac:dyDescent="0.3">
      <c r="B183" s="249"/>
      <c r="C183" s="344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6"/>
      <c r="V183" s="366"/>
      <c r="W183" s="344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6"/>
      <c r="AP183" s="253"/>
    </row>
    <row r="184" spans="2:42" ht="9.9499999999999993" hidden="1" customHeight="1" x14ac:dyDescent="0.3">
      <c r="B184" s="249"/>
      <c r="C184" s="344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6"/>
      <c r="V184" s="366"/>
      <c r="W184" s="344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5"/>
      <c r="AH184" s="345"/>
      <c r="AI184" s="345"/>
      <c r="AJ184" s="345"/>
      <c r="AK184" s="345"/>
      <c r="AL184" s="345"/>
      <c r="AM184" s="345"/>
      <c r="AN184" s="345"/>
      <c r="AO184" s="346"/>
      <c r="AP184" s="253"/>
    </row>
    <row r="185" spans="2:42" ht="9.9499999999999993" hidden="1" customHeight="1" x14ac:dyDescent="0.3">
      <c r="B185" s="249"/>
      <c r="C185" s="344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6"/>
      <c r="V185" s="366"/>
      <c r="W185" s="344"/>
      <c r="X185" s="345"/>
      <c r="Y185" s="345"/>
      <c r="Z185" s="345"/>
      <c r="AA185" s="345"/>
      <c r="AB185" s="345"/>
      <c r="AC185" s="345"/>
      <c r="AD185" s="345"/>
      <c r="AE185" s="345"/>
      <c r="AF185" s="345"/>
      <c r="AG185" s="345"/>
      <c r="AH185" s="345"/>
      <c r="AI185" s="345"/>
      <c r="AJ185" s="345"/>
      <c r="AK185" s="345"/>
      <c r="AL185" s="345"/>
      <c r="AM185" s="345"/>
      <c r="AN185" s="345"/>
      <c r="AO185" s="346"/>
      <c r="AP185" s="253"/>
    </row>
    <row r="186" spans="2:42" ht="9.9499999999999993" hidden="1" customHeight="1" x14ac:dyDescent="0.3">
      <c r="B186" s="249"/>
      <c r="C186" s="347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9"/>
      <c r="V186" s="366"/>
      <c r="W186" s="347"/>
      <c r="X186" s="348"/>
      <c r="Y186" s="348"/>
      <c r="Z186" s="348"/>
      <c r="AA186" s="348"/>
      <c r="AB186" s="348"/>
      <c r="AC186" s="348"/>
      <c r="AD186" s="348"/>
      <c r="AE186" s="348"/>
      <c r="AF186" s="348"/>
      <c r="AG186" s="348"/>
      <c r="AH186" s="348"/>
      <c r="AI186" s="348"/>
      <c r="AJ186" s="348"/>
      <c r="AK186" s="348"/>
      <c r="AL186" s="348"/>
      <c r="AM186" s="348"/>
      <c r="AN186" s="348"/>
      <c r="AO186" s="349"/>
      <c r="AP186" s="253"/>
    </row>
    <row r="187" spans="2:42" ht="9.9499999999999993" hidden="1" customHeight="1" x14ac:dyDescent="0.3">
      <c r="B187" s="249"/>
      <c r="C187" s="350" t="s">
        <v>99</v>
      </c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2"/>
      <c r="V187" s="366"/>
      <c r="W187" s="350" t="s">
        <v>103</v>
      </c>
      <c r="X187" s="351"/>
      <c r="Y187" s="351"/>
      <c r="Z187" s="351"/>
      <c r="AA187" s="351"/>
      <c r="AB187" s="351"/>
      <c r="AC187" s="351"/>
      <c r="AD187" s="351"/>
      <c r="AE187" s="351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2"/>
      <c r="AP187" s="253"/>
    </row>
    <row r="188" spans="2:42" ht="19.149999999999999" hidden="1" customHeight="1" x14ac:dyDescent="0.3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3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3">
      <c r="B190" s="249"/>
      <c r="C190" s="317" t="s">
        <v>2461</v>
      </c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260"/>
      <c r="W190" s="323" t="s">
        <v>2463</v>
      </c>
      <c r="X190" s="324"/>
      <c r="Y190" s="324"/>
      <c r="Z190" s="324"/>
      <c r="AA190" s="324"/>
      <c r="AB190" s="324"/>
      <c r="AC190" s="324"/>
      <c r="AD190" s="324"/>
      <c r="AE190" s="324"/>
      <c r="AF190" s="324"/>
      <c r="AG190" s="324"/>
      <c r="AH190" s="324"/>
      <c r="AI190" s="324"/>
      <c r="AJ190" s="324"/>
      <c r="AK190" s="324"/>
      <c r="AL190" s="324"/>
      <c r="AM190" s="324"/>
      <c r="AN190" s="324"/>
      <c r="AO190" s="325"/>
      <c r="AP190" s="253"/>
    </row>
    <row r="191" spans="2:42" ht="10.15" hidden="1" customHeight="1" x14ac:dyDescent="0.3">
      <c r="B191" s="249"/>
      <c r="C191" s="318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260"/>
      <c r="W191" s="326"/>
      <c r="X191" s="327"/>
      <c r="Y191" s="327"/>
      <c r="Z191" s="327"/>
      <c r="AA191" s="327"/>
      <c r="AB191" s="327"/>
      <c r="AC191" s="327"/>
      <c r="AD191" s="327"/>
      <c r="AE191" s="327"/>
      <c r="AF191" s="327"/>
      <c r="AG191" s="327"/>
      <c r="AH191" s="327"/>
      <c r="AI191" s="327"/>
      <c r="AJ191" s="327"/>
      <c r="AK191" s="327"/>
      <c r="AL191" s="327"/>
      <c r="AM191" s="327"/>
      <c r="AN191" s="327"/>
      <c r="AO191" s="328"/>
      <c r="AP191" s="253"/>
    </row>
    <row r="192" spans="2:42" ht="9.4" hidden="1" customHeight="1" x14ac:dyDescent="0.3">
      <c r="B192" s="24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260"/>
      <c r="W192" s="326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8"/>
      <c r="AP192" s="253"/>
    </row>
    <row r="193" spans="2:42" ht="9" hidden="1" customHeight="1" x14ac:dyDescent="0.3">
      <c r="B193" s="24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260"/>
      <c r="W193" s="326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8"/>
      <c r="AP193" s="253"/>
    </row>
    <row r="194" spans="2:42" ht="12" hidden="1" customHeight="1" x14ac:dyDescent="0.3">
      <c r="B194" s="24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260"/>
      <c r="W194" s="326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8"/>
      <c r="AP194" s="253"/>
    </row>
    <row r="195" spans="2:42" ht="7.5" hidden="1" customHeight="1" x14ac:dyDescent="0.3">
      <c r="B195" s="24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260"/>
      <c r="W195" s="326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8"/>
      <c r="AP195" s="253"/>
    </row>
    <row r="196" spans="2:42" ht="10.9" hidden="1" customHeight="1" x14ac:dyDescent="0.3">
      <c r="B196" s="24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260"/>
      <c r="W196" s="326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8"/>
      <c r="AP196" s="253"/>
    </row>
    <row r="197" spans="2:42" ht="10.15" hidden="1" customHeight="1" x14ac:dyDescent="0.3">
      <c r="B197" s="24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260"/>
      <c r="W197" s="326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8"/>
      <c r="AP197" s="253"/>
    </row>
    <row r="198" spans="2:42" ht="7.9" hidden="1" customHeight="1" x14ac:dyDescent="0.3">
      <c r="B198" s="24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260"/>
      <c r="W198" s="326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8"/>
      <c r="AP198" s="253"/>
    </row>
    <row r="199" spans="2:42" ht="9.4" hidden="1" customHeight="1" x14ac:dyDescent="0.3">
      <c r="B199" s="24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260"/>
      <c r="W199" s="326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8"/>
      <c r="AP199" s="253"/>
    </row>
    <row r="200" spans="2:42" ht="10.5" hidden="1" customHeight="1" x14ac:dyDescent="0.3">
      <c r="B200" s="24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260"/>
      <c r="W200" s="326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8"/>
      <c r="AP200" s="253"/>
    </row>
    <row r="201" spans="2:42" ht="9.4" hidden="1" customHeight="1" x14ac:dyDescent="0.3">
      <c r="B201" s="24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260"/>
      <c r="W201" s="326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8"/>
      <c r="AP201" s="253"/>
    </row>
    <row r="202" spans="2:42" ht="10.15" hidden="1" customHeight="1" x14ac:dyDescent="0.3">
      <c r="B202" s="24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260"/>
      <c r="W202" s="326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7"/>
      <c r="AM202" s="327"/>
      <c r="AN202" s="327"/>
      <c r="AO202" s="328"/>
      <c r="AP202" s="253"/>
    </row>
    <row r="203" spans="2:42" ht="9.4" hidden="1" customHeight="1" x14ac:dyDescent="0.3">
      <c r="B203" s="24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260"/>
      <c r="W203" s="326"/>
      <c r="X203" s="327"/>
      <c r="Y203" s="327"/>
      <c r="Z203" s="327"/>
      <c r="AA203" s="327"/>
      <c r="AB203" s="327"/>
      <c r="AC203" s="327"/>
      <c r="AD203" s="327"/>
      <c r="AE203" s="327"/>
      <c r="AF203" s="327"/>
      <c r="AG203" s="327"/>
      <c r="AH203" s="327"/>
      <c r="AI203" s="327"/>
      <c r="AJ203" s="327"/>
      <c r="AK203" s="327"/>
      <c r="AL203" s="327"/>
      <c r="AM203" s="327"/>
      <c r="AN203" s="327"/>
      <c r="AO203" s="328"/>
      <c r="AP203" s="253"/>
    </row>
    <row r="204" spans="2:42" ht="10.15" hidden="1" customHeight="1" x14ac:dyDescent="0.3">
      <c r="B204" s="249"/>
      <c r="C204" s="362" t="s">
        <v>2464</v>
      </c>
      <c r="D204" s="362"/>
      <c r="E204" s="362"/>
      <c r="F204" s="362"/>
      <c r="G204" s="362"/>
      <c r="H204" s="362"/>
      <c r="I204" s="362"/>
      <c r="J204" s="362"/>
      <c r="K204" s="362"/>
      <c r="L204" s="362"/>
      <c r="M204" s="362"/>
      <c r="N204" s="362"/>
      <c r="O204" s="362"/>
      <c r="P204" s="362"/>
      <c r="Q204" s="362"/>
      <c r="R204" s="362"/>
      <c r="S204" s="362"/>
      <c r="T204" s="362"/>
      <c r="U204" s="362"/>
      <c r="V204" s="260"/>
      <c r="W204" s="329" t="s">
        <v>2465</v>
      </c>
      <c r="X204" s="330"/>
      <c r="Y204" s="330"/>
      <c r="Z204" s="330"/>
      <c r="AA204" s="330"/>
      <c r="AB204" s="330"/>
      <c r="AC204" s="330"/>
      <c r="AD204" s="330"/>
      <c r="AE204" s="330"/>
      <c r="AF204" s="330"/>
      <c r="AG204" s="330"/>
      <c r="AH204" s="330"/>
      <c r="AI204" s="330"/>
      <c r="AJ204" s="330"/>
      <c r="AK204" s="330"/>
      <c r="AL204" s="330"/>
      <c r="AM204" s="330"/>
      <c r="AN204" s="330"/>
      <c r="AO204" s="331"/>
      <c r="AP204" s="253"/>
    </row>
    <row r="205" spans="2:42" ht="10.15" hidden="1" customHeight="1" x14ac:dyDescent="0.3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3">
      <c r="B206" s="249"/>
      <c r="C206" s="317" t="s">
        <v>2466</v>
      </c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260"/>
      <c r="W206" s="323" t="s">
        <v>2467</v>
      </c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4"/>
      <c r="AH206" s="324"/>
      <c r="AI206" s="324"/>
      <c r="AJ206" s="324"/>
      <c r="AK206" s="324"/>
      <c r="AL206" s="324"/>
      <c r="AM206" s="324"/>
      <c r="AN206" s="324"/>
      <c r="AO206" s="325"/>
      <c r="AP206" s="253"/>
    </row>
    <row r="207" spans="2:42" ht="10.15" hidden="1" customHeight="1" x14ac:dyDescent="0.3">
      <c r="B207" s="249"/>
      <c r="C207" s="318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260"/>
      <c r="W207" s="326"/>
      <c r="X207" s="327"/>
      <c r="Y207" s="327"/>
      <c r="Z207" s="327"/>
      <c r="AA207" s="327"/>
      <c r="AB207" s="327"/>
      <c r="AC207" s="327"/>
      <c r="AD207" s="327"/>
      <c r="AE207" s="327"/>
      <c r="AF207" s="327"/>
      <c r="AG207" s="327"/>
      <c r="AH207" s="327"/>
      <c r="AI207" s="327"/>
      <c r="AJ207" s="327"/>
      <c r="AK207" s="327"/>
      <c r="AL207" s="327"/>
      <c r="AM207" s="327"/>
      <c r="AN207" s="327"/>
      <c r="AO207" s="328"/>
      <c r="AP207" s="253"/>
    </row>
    <row r="208" spans="2:42" ht="10.15" hidden="1" customHeight="1" x14ac:dyDescent="0.3">
      <c r="B208" s="24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260"/>
      <c r="W208" s="326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8"/>
      <c r="AP208" s="253"/>
    </row>
    <row r="209" spans="2:42" ht="10.15" hidden="1" customHeight="1" x14ac:dyDescent="0.3">
      <c r="B209" s="24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260"/>
      <c r="W209" s="326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8"/>
      <c r="AP209" s="253"/>
    </row>
    <row r="210" spans="2:42" ht="10.15" hidden="1" customHeight="1" x14ac:dyDescent="0.3">
      <c r="B210" s="24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260"/>
      <c r="W210" s="326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8"/>
      <c r="AP210" s="253"/>
    </row>
    <row r="211" spans="2:42" ht="10.15" hidden="1" customHeight="1" x14ac:dyDescent="0.3">
      <c r="B211" s="24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260"/>
      <c r="W211" s="326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8"/>
      <c r="AP211" s="253"/>
    </row>
    <row r="212" spans="2:42" ht="10.15" hidden="1" customHeight="1" x14ac:dyDescent="0.3">
      <c r="B212" s="24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260"/>
      <c r="W212" s="326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8"/>
      <c r="AP212" s="253"/>
    </row>
    <row r="213" spans="2:42" ht="10.15" hidden="1" customHeight="1" x14ac:dyDescent="0.3">
      <c r="B213" s="24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260"/>
      <c r="W213" s="326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8"/>
      <c r="AP213" s="253"/>
    </row>
    <row r="214" spans="2:42" ht="10.15" hidden="1" customHeight="1" x14ac:dyDescent="0.3">
      <c r="B214" s="24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260"/>
      <c r="W214" s="326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8"/>
      <c r="AP214" s="253"/>
    </row>
    <row r="215" spans="2:42" ht="10.15" hidden="1" customHeight="1" x14ac:dyDescent="0.3">
      <c r="B215" s="24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260"/>
      <c r="W215" s="326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8"/>
      <c r="AP215" s="253"/>
    </row>
    <row r="216" spans="2:42" ht="10.15" hidden="1" customHeight="1" x14ac:dyDescent="0.3">
      <c r="B216" s="24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260"/>
      <c r="W216" s="326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8"/>
      <c r="AP216" s="253"/>
    </row>
    <row r="217" spans="2:42" ht="10.15" hidden="1" customHeight="1" x14ac:dyDescent="0.3">
      <c r="B217" s="24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260"/>
      <c r="W217" s="326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8"/>
      <c r="AP217" s="253"/>
    </row>
    <row r="218" spans="2:42" ht="10.15" hidden="1" customHeight="1" x14ac:dyDescent="0.3">
      <c r="B218" s="24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260"/>
      <c r="W218" s="326"/>
      <c r="X218" s="327"/>
      <c r="Y218" s="327"/>
      <c r="Z218" s="327"/>
      <c r="AA218" s="327"/>
      <c r="AB218" s="327"/>
      <c r="AC218" s="327"/>
      <c r="AD218" s="327"/>
      <c r="AE218" s="327"/>
      <c r="AF218" s="327"/>
      <c r="AG218" s="327"/>
      <c r="AH218" s="327"/>
      <c r="AI218" s="327"/>
      <c r="AJ218" s="327"/>
      <c r="AK218" s="327"/>
      <c r="AL218" s="327"/>
      <c r="AM218" s="327"/>
      <c r="AN218" s="327"/>
      <c r="AO218" s="328"/>
      <c r="AP218" s="253"/>
    </row>
    <row r="219" spans="2:42" ht="10.15" hidden="1" customHeight="1" x14ac:dyDescent="0.3">
      <c r="B219" s="24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260"/>
      <c r="W219" s="326"/>
      <c r="X219" s="327"/>
      <c r="Y219" s="327"/>
      <c r="Z219" s="327"/>
      <c r="AA219" s="327"/>
      <c r="AB219" s="327"/>
      <c r="AC219" s="327"/>
      <c r="AD219" s="327"/>
      <c r="AE219" s="327"/>
      <c r="AF219" s="327"/>
      <c r="AG219" s="327"/>
      <c r="AH219" s="327"/>
      <c r="AI219" s="327"/>
      <c r="AJ219" s="327"/>
      <c r="AK219" s="327"/>
      <c r="AL219" s="327"/>
      <c r="AM219" s="327"/>
      <c r="AN219" s="327"/>
      <c r="AO219" s="328"/>
      <c r="AP219" s="253"/>
    </row>
    <row r="220" spans="2:42" ht="10.15" hidden="1" customHeight="1" x14ac:dyDescent="0.3">
      <c r="B220" s="249"/>
      <c r="C220" s="362" t="s">
        <v>2468</v>
      </c>
      <c r="D220" s="362"/>
      <c r="E220" s="362"/>
      <c r="F220" s="362"/>
      <c r="G220" s="362"/>
      <c r="H220" s="362"/>
      <c r="I220" s="362"/>
      <c r="J220" s="362"/>
      <c r="K220" s="362"/>
      <c r="L220" s="362"/>
      <c r="M220" s="362"/>
      <c r="N220" s="362"/>
      <c r="O220" s="362"/>
      <c r="P220" s="362"/>
      <c r="Q220" s="362"/>
      <c r="R220" s="362"/>
      <c r="S220" s="362"/>
      <c r="T220" s="362"/>
      <c r="U220" s="362"/>
      <c r="V220" s="260"/>
      <c r="W220" s="329" t="s">
        <v>2469</v>
      </c>
      <c r="X220" s="330"/>
      <c r="Y220" s="330"/>
      <c r="Z220" s="330"/>
      <c r="AA220" s="330"/>
      <c r="AB220" s="330"/>
      <c r="AC220" s="330"/>
      <c r="AD220" s="330"/>
      <c r="AE220" s="330"/>
      <c r="AF220" s="330"/>
      <c r="AG220" s="330"/>
      <c r="AH220" s="330"/>
      <c r="AI220" s="330"/>
      <c r="AJ220" s="330"/>
      <c r="AK220" s="330"/>
      <c r="AL220" s="330"/>
      <c r="AM220" s="330"/>
      <c r="AN220" s="330"/>
      <c r="AO220" s="331"/>
      <c r="AP220" s="253"/>
    </row>
    <row r="221" spans="2:42" ht="9.4" hidden="1" customHeight="1" x14ac:dyDescent="0.3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3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3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3">
      <c r="B224" s="360"/>
      <c r="C224" s="366"/>
      <c r="D224" s="366"/>
      <c r="E224" s="366"/>
      <c r="F224" s="366"/>
      <c r="G224" s="366"/>
      <c r="H224" s="366"/>
      <c r="I224" s="366"/>
      <c r="J224" s="366"/>
      <c r="K224" s="366"/>
      <c r="L224" s="366"/>
      <c r="M224" s="366"/>
      <c r="N224" s="366"/>
      <c r="O224" s="366"/>
      <c r="P224" s="366"/>
      <c r="Q224" s="366"/>
      <c r="R224" s="366"/>
      <c r="S224" s="366"/>
      <c r="T224" s="366"/>
      <c r="U224" s="367"/>
      <c r="V224" s="366"/>
      <c r="W224" s="368"/>
      <c r="X224" s="366"/>
      <c r="Y224" s="366"/>
      <c r="Z224" s="366"/>
      <c r="AA224" s="366"/>
      <c r="AB224" s="366"/>
      <c r="AC224" s="366"/>
      <c r="AD224" s="366"/>
      <c r="AE224" s="366"/>
      <c r="AF224" s="366"/>
      <c r="AG224" s="366"/>
      <c r="AH224" s="366"/>
      <c r="AI224" s="366"/>
      <c r="AJ224" s="366"/>
      <c r="AK224" s="366"/>
      <c r="AL224" s="366"/>
      <c r="AM224" s="366"/>
      <c r="AN224" s="366"/>
      <c r="AO224" s="366"/>
      <c r="AP224" s="253"/>
    </row>
    <row r="225" spans="2:42" ht="9.9499999999999993" hidden="1" customHeight="1" x14ac:dyDescent="0.3">
      <c r="B225" s="369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1"/>
      <c r="V225" s="366"/>
      <c r="W225" s="409"/>
      <c r="X225" s="370"/>
      <c r="Y225" s="370"/>
      <c r="Z225" s="370"/>
      <c r="AA225" s="370"/>
      <c r="AB225" s="370"/>
      <c r="AC225" s="370"/>
      <c r="AD225" s="370"/>
      <c r="AE225" s="370"/>
      <c r="AF225" s="370"/>
      <c r="AG225" s="370"/>
      <c r="AH225" s="370"/>
      <c r="AI225" s="370"/>
      <c r="AJ225" s="370"/>
      <c r="AK225" s="370"/>
      <c r="AL225" s="370"/>
      <c r="AM225" s="370"/>
      <c r="AN225" s="370"/>
      <c r="AO225" s="370"/>
      <c r="AP225" s="410"/>
    </row>
    <row r="226" spans="2:42" ht="9.9499999999999993" hidden="1" customHeight="1" x14ac:dyDescent="0.3">
      <c r="B226" s="369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1"/>
      <c r="V226" s="366"/>
      <c r="W226" s="409"/>
      <c r="X226" s="370"/>
      <c r="Y226" s="370"/>
      <c r="Z226" s="370"/>
      <c r="AA226" s="370"/>
      <c r="AB226" s="370"/>
      <c r="AC226" s="370"/>
      <c r="AD226" s="370"/>
      <c r="AE226" s="370"/>
      <c r="AF226" s="370"/>
      <c r="AG226" s="370"/>
      <c r="AH226" s="370"/>
      <c r="AI226" s="370"/>
      <c r="AJ226" s="370"/>
      <c r="AK226" s="370"/>
      <c r="AL226" s="370"/>
      <c r="AM226" s="370"/>
      <c r="AN226" s="370"/>
      <c r="AO226" s="370"/>
      <c r="AP226" s="410"/>
    </row>
    <row r="227" spans="2:42" ht="9" hidden="1" customHeight="1" x14ac:dyDescent="0.3">
      <c r="B227" s="369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1"/>
      <c r="V227" s="366"/>
      <c r="W227" s="409"/>
      <c r="X227" s="370"/>
      <c r="Y227" s="370"/>
      <c r="Z227" s="370"/>
      <c r="AA227" s="370"/>
      <c r="AB227" s="370"/>
      <c r="AC227" s="370"/>
      <c r="AD227" s="370"/>
      <c r="AE227" s="370"/>
      <c r="AF227" s="370"/>
      <c r="AG227" s="370"/>
      <c r="AH227" s="370"/>
      <c r="AI227" s="370"/>
      <c r="AJ227" s="370"/>
      <c r="AK227" s="370"/>
      <c r="AL227" s="370"/>
      <c r="AM227" s="370"/>
      <c r="AN227" s="370"/>
      <c r="AO227" s="370"/>
      <c r="AP227" s="410"/>
    </row>
    <row r="228" spans="2:42" ht="0.6" hidden="1" customHeight="1" x14ac:dyDescent="0.3">
      <c r="B228" s="369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1"/>
      <c r="V228" s="366"/>
      <c r="W228" s="409"/>
      <c r="X228" s="370"/>
      <c r="Y228" s="370"/>
      <c r="Z228" s="370"/>
      <c r="AA228" s="370"/>
      <c r="AB228" s="370"/>
      <c r="AC228" s="370"/>
      <c r="AD228" s="370"/>
      <c r="AE228" s="370"/>
      <c r="AF228" s="370"/>
      <c r="AG228" s="370"/>
      <c r="AH228" s="370"/>
      <c r="AI228" s="370"/>
      <c r="AJ228" s="370"/>
      <c r="AK228" s="370"/>
      <c r="AL228" s="370"/>
      <c r="AM228" s="370"/>
      <c r="AN228" s="370"/>
      <c r="AO228" s="370"/>
      <c r="AP228" s="410"/>
    </row>
    <row r="229" spans="2:42" ht="9.9499999999999993" hidden="1" customHeight="1" x14ac:dyDescent="0.3">
      <c r="B229" s="369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1"/>
      <c r="V229" s="366"/>
      <c r="W229" s="409"/>
      <c r="X229" s="370"/>
      <c r="Y229" s="370"/>
      <c r="Z229" s="370"/>
      <c r="AA229" s="370"/>
      <c r="AB229" s="370"/>
      <c r="AC229" s="370"/>
      <c r="AD229" s="370"/>
      <c r="AE229" s="370"/>
      <c r="AF229" s="370"/>
      <c r="AG229" s="370"/>
      <c r="AH229" s="370"/>
      <c r="AI229" s="370"/>
      <c r="AJ229" s="370"/>
      <c r="AK229" s="370"/>
      <c r="AL229" s="370"/>
      <c r="AM229" s="370"/>
      <c r="AN229" s="370"/>
      <c r="AO229" s="370"/>
      <c r="AP229" s="410"/>
    </row>
    <row r="230" spans="2:42" ht="9.9499999999999993" hidden="1" customHeight="1" x14ac:dyDescent="0.3">
      <c r="B230" s="369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1"/>
      <c r="V230" s="366"/>
      <c r="W230" s="409"/>
      <c r="X230" s="370"/>
      <c r="Y230" s="370"/>
      <c r="Z230" s="370"/>
      <c r="AA230" s="370"/>
      <c r="AB230" s="370"/>
      <c r="AC230" s="370"/>
      <c r="AD230" s="370"/>
      <c r="AE230" s="370"/>
      <c r="AF230" s="370"/>
      <c r="AG230" s="370"/>
      <c r="AH230" s="370"/>
      <c r="AI230" s="370"/>
      <c r="AJ230" s="370"/>
      <c r="AK230" s="370"/>
      <c r="AL230" s="370"/>
      <c r="AM230" s="370"/>
      <c r="AN230" s="370"/>
      <c r="AO230" s="370"/>
      <c r="AP230" s="410"/>
    </row>
    <row r="231" spans="2:42" ht="9.9499999999999993" hidden="1" customHeight="1" x14ac:dyDescent="0.3">
      <c r="B231" s="369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1"/>
      <c r="V231" s="366"/>
      <c r="W231" s="409"/>
      <c r="X231" s="370"/>
      <c r="Y231" s="370"/>
      <c r="Z231" s="370"/>
      <c r="AA231" s="370"/>
      <c r="AB231" s="370"/>
      <c r="AC231" s="370"/>
      <c r="AD231" s="370"/>
      <c r="AE231" s="370"/>
      <c r="AF231" s="370"/>
      <c r="AG231" s="370"/>
      <c r="AH231" s="370"/>
      <c r="AI231" s="370"/>
      <c r="AJ231" s="370"/>
      <c r="AK231" s="370"/>
      <c r="AL231" s="370"/>
      <c r="AM231" s="370"/>
      <c r="AN231" s="370"/>
      <c r="AO231" s="370"/>
      <c r="AP231" s="410"/>
    </row>
    <row r="232" spans="2:42" ht="22.9" hidden="1" customHeight="1" x14ac:dyDescent="0.3">
      <c r="B232" s="336"/>
      <c r="C232" s="337"/>
      <c r="D232" s="337"/>
      <c r="E232" s="337"/>
      <c r="F232" s="337"/>
      <c r="G232" s="337"/>
      <c r="H232" s="337"/>
      <c r="I232" s="337"/>
      <c r="J232" s="337"/>
      <c r="K232" s="337"/>
      <c r="L232" s="337"/>
      <c r="M232" s="337"/>
      <c r="N232" s="337"/>
      <c r="O232" s="337"/>
      <c r="P232" s="337"/>
      <c r="Q232" s="337"/>
      <c r="R232" s="337"/>
      <c r="S232" s="337"/>
      <c r="T232" s="337"/>
      <c r="U232" s="338"/>
      <c r="V232" s="260"/>
      <c r="W232" s="339"/>
      <c r="X232" s="337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337"/>
      <c r="AJ232" s="337"/>
      <c r="AK232" s="337"/>
      <c r="AL232" s="337"/>
      <c r="AM232" s="337"/>
      <c r="AN232" s="337"/>
      <c r="AO232" s="337"/>
      <c r="AP232" s="340"/>
    </row>
    <row r="233" spans="2:42" ht="9.9499999999999993" hidden="1" customHeight="1" x14ac:dyDescent="0.3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3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333" t="s">
        <v>106</v>
      </c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  <c r="Z235" s="334"/>
      <c r="AA235" s="334"/>
      <c r="AB235" s="334"/>
      <c r="AC235" s="334"/>
      <c r="AD235" s="334"/>
      <c r="AE235" s="334"/>
      <c r="AF235" s="334"/>
      <c r="AG235" s="334"/>
      <c r="AH235" s="334"/>
      <c r="AI235" s="334"/>
      <c r="AJ235" s="334"/>
      <c r="AK235" s="334"/>
      <c r="AL235" s="334"/>
      <c r="AM235" s="334"/>
      <c r="AN235" s="334"/>
      <c r="AO235" s="334"/>
      <c r="AP235" s="335"/>
    </row>
    <row r="236" spans="2:42" ht="22.5" hidden="1" thickBot="1" x14ac:dyDescent="0.3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3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3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3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3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3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3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3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3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2.5" hidden="1" thickBot="1" x14ac:dyDescent="0.3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3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3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3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3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3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3">
      <c r="B253" s="363"/>
      <c r="C253" s="364"/>
      <c r="D253" s="364"/>
      <c r="E253" s="364"/>
      <c r="F253" s="364" t="s">
        <v>72</v>
      </c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5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3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3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3" ht="22.5" hidden="1" thickBot="1" x14ac:dyDescent="0.3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3" ht="21.6" hidden="1" customHeight="1" x14ac:dyDescent="0.3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43" ht="9.9499999999999993" hidden="1" customHeight="1" x14ac:dyDescent="0.3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3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3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3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3">
      <c r="B264" s="363"/>
      <c r="C264" s="364"/>
      <c r="D264" s="364"/>
      <c r="E264" s="364"/>
      <c r="F264" s="364" t="s">
        <v>124</v>
      </c>
      <c r="G264" s="364"/>
      <c r="H264" s="364"/>
      <c r="I264" s="364"/>
      <c r="J264" s="364"/>
      <c r="K264" s="364"/>
      <c r="L264" s="364"/>
      <c r="M264" s="364"/>
      <c r="N264" s="364"/>
      <c r="O264" s="364"/>
      <c r="P264" s="364"/>
      <c r="Q264" s="364"/>
      <c r="R264" s="365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3">
      <c r="B265" s="383"/>
      <c r="C265" s="384"/>
      <c r="D265" s="384"/>
      <c r="E265" s="384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3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x14ac:dyDescent="0.3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thickBot="1" x14ac:dyDescent="0.3">
      <c r="B268" s="46"/>
      <c r="C268" s="68"/>
      <c r="D268" s="68"/>
      <c r="E268" s="68"/>
      <c r="F268" s="312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0"/>
      <c r="AF268" s="270"/>
      <c r="AG268" s="270"/>
      <c r="AH268" s="197"/>
      <c r="AI268" s="197"/>
      <c r="AJ268" s="197"/>
      <c r="AK268" s="197"/>
      <c r="AL268" s="197"/>
      <c r="AM268" s="197"/>
      <c r="AN268" s="197"/>
      <c r="AO268" s="197"/>
      <c r="AP268" s="313">
        <v>1</v>
      </c>
    </row>
    <row r="269" spans="2:43" ht="9.9499999999999993" customHeight="1" thickBot="1" x14ac:dyDescent="0.3">
      <c r="B269" s="431" t="s">
        <v>2556</v>
      </c>
      <c r="C269" s="432"/>
      <c r="D269" s="432"/>
      <c r="E269" s="432"/>
      <c r="F269" s="432"/>
      <c r="G269" s="432"/>
      <c r="H269" s="432"/>
      <c r="I269" s="432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  <c r="AA269" s="432"/>
      <c r="AB269" s="432"/>
      <c r="AC269" s="432"/>
      <c r="AD269" s="432"/>
      <c r="AE269" s="432"/>
      <c r="AF269" s="432"/>
      <c r="AG269" s="432"/>
      <c r="AH269" s="432"/>
      <c r="AI269" s="432"/>
      <c r="AJ269" s="432"/>
      <c r="AK269" s="432"/>
      <c r="AL269" s="432"/>
      <c r="AM269" s="432"/>
      <c r="AN269" s="432"/>
      <c r="AO269" s="432"/>
      <c r="AP269" s="433"/>
      <c r="AQ269" s="196"/>
    </row>
    <row r="270" spans="2:4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332" t="s">
        <v>107</v>
      </c>
      <c r="O270" s="332"/>
      <c r="P270" s="332"/>
      <c r="Q270" s="332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</row>
    <row r="271" spans="2:4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</row>
    <row r="272" spans="2:43" ht="10.15" customHeight="1" thickTop="1" x14ac:dyDescent="0.25">
      <c r="B272" s="314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/>
      <c r="X272" s="165">
        <v>1</v>
      </c>
      <c r="Y272" s="165">
        <v>1</v>
      </c>
      <c r="Z272" s="165"/>
      <c r="AA272" s="215"/>
      <c r="AB272" s="215"/>
      <c r="AC272" s="69"/>
      <c r="AD272" s="69"/>
      <c r="AE272" s="69"/>
      <c r="AF272" s="215">
        <v>1</v>
      </c>
      <c r="AG272" s="215">
        <v>1</v>
      </c>
      <c r="AH272" s="215">
        <v>1</v>
      </c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5">SUM(S272:AP272)/2</f>
        <v>2.5</v>
      </c>
    </row>
    <row r="273" spans="2:43" ht="10.15" customHeight="1" x14ac:dyDescent="0.25">
      <c r="B273" s="315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>
        <v>1</v>
      </c>
      <c r="AA273" s="44">
        <v>1</v>
      </c>
      <c r="AB273" s="44">
        <v>1</v>
      </c>
      <c r="AC273" s="69"/>
      <c r="AD273" s="69"/>
      <c r="AE273" s="69"/>
      <c r="AF273" s="44"/>
      <c r="AG273" s="44"/>
      <c r="AH273" s="44"/>
      <c r="AI273" s="44"/>
      <c r="AJ273" s="44"/>
      <c r="AK273" s="44"/>
      <c r="AL273" s="44"/>
      <c r="AM273" s="44"/>
      <c r="AN273" s="44"/>
      <c r="AO273" s="54"/>
      <c r="AP273" s="26"/>
      <c r="AQ273" s="196">
        <f t="shared" si="25"/>
        <v>1.5</v>
      </c>
    </row>
    <row r="274" spans="2:43" ht="10.15" customHeight="1" thickBot="1" x14ac:dyDescent="0.3">
      <c r="B274" s="315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</row>
    <row r="275" spans="2:43" ht="9.9499999999999993" customHeight="1" thickTop="1" x14ac:dyDescent="0.25">
      <c r="B275" s="424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5"/>
        <v>0</v>
      </c>
    </row>
    <row r="276" spans="2:43" ht="9.9499999999999993" customHeight="1" x14ac:dyDescent="0.25">
      <c r="B276" s="425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5"/>
        <v>0</v>
      </c>
    </row>
    <row r="277" spans="2:43" ht="9.9499999999999993" customHeight="1" x14ac:dyDescent="0.25">
      <c r="B277" s="425"/>
      <c r="C277" s="183"/>
      <c r="D277" s="52"/>
      <c r="E277" s="52"/>
      <c r="F277" s="52"/>
      <c r="G277" s="52"/>
      <c r="H277" s="52"/>
      <c r="I277" s="52"/>
      <c r="J277" s="183">
        <f t="shared" ref="J277:J279" si="26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x14ac:dyDescent="0.25">
      <c r="B278" s="425"/>
      <c r="C278" s="183"/>
      <c r="D278" s="52"/>
      <c r="E278" s="52"/>
      <c r="F278" s="52"/>
      <c r="G278" s="52"/>
      <c r="H278" s="52"/>
      <c r="I278" s="52"/>
      <c r="J278" s="183">
        <f t="shared" si="26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</row>
    <row r="279" spans="2:43" ht="9.9499999999999993" customHeight="1" thickBot="1" x14ac:dyDescent="0.3">
      <c r="B279" s="426"/>
      <c r="C279" s="184"/>
      <c r="D279" s="168"/>
      <c r="E279" s="168"/>
      <c r="F279" s="168"/>
      <c r="G279" s="168"/>
      <c r="H279" s="168"/>
      <c r="I279" s="168"/>
      <c r="J279" s="184">
        <f t="shared" si="26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5"/>
        <v>0</v>
      </c>
    </row>
    <row r="280" spans="2:43" ht="9.9499999999999993" customHeight="1" thickTop="1" thickBot="1" x14ac:dyDescent="0.3">
      <c r="B280" s="29"/>
      <c r="C280" s="316" t="s">
        <v>31</v>
      </c>
      <c r="D280" s="316"/>
      <c r="E280" s="316"/>
      <c r="F280" s="316"/>
      <c r="G280" s="316"/>
      <c r="H280" s="316"/>
      <c r="I280" s="316"/>
      <c r="J280" s="120">
        <f>SUM(J272:J279)</f>
        <v>4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7">SUM(S272:S279)</f>
        <v>0</v>
      </c>
      <c r="T280" s="53">
        <f t="shared" si="27"/>
        <v>0</v>
      </c>
      <c r="U280" s="53">
        <f t="shared" si="27"/>
        <v>0</v>
      </c>
      <c r="V280" s="53">
        <f t="shared" si="27"/>
        <v>0</v>
      </c>
      <c r="W280" s="53">
        <f t="shared" si="27"/>
        <v>0</v>
      </c>
      <c r="X280" s="53">
        <f t="shared" si="27"/>
        <v>1</v>
      </c>
      <c r="Y280" s="53">
        <f t="shared" si="27"/>
        <v>1</v>
      </c>
      <c r="Z280" s="53">
        <f t="shared" si="27"/>
        <v>1</v>
      </c>
      <c r="AA280" s="53">
        <f t="shared" si="27"/>
        <v>1</v>
      </c>
      <c r="AB280" s="53">
        <f t="shared" si="27"/>
        <v>1</v>
      </c>
      <c r="AC280" s="53">
        <f t="shared" si="27"/>
        <v>0</v>
      </c>
      <c r="AD280" s="53">
        <f t="shared" si="27"/>
        <v>0</v>
      </c>
      <c r="AE280" s="53">
        <f t="shared" si="27"/>
        <v>0</v>
      </c>
      <c r="AF280" s="53">
        <f t="shared" si="27"/>
        <v>1</v>
      </c>
      <c r="AG280" s="53">
        <f t="shared" si="27"/>
        <v>1</v>
      </c>
      <c r="AH280" s="53">
        <f t="shared" si="27"/>
        <v>1</v>
      </c>
      <c r="AI280" s="53">
        <f t="shared" si="27"/>
        <v>0</v>
      </c>
      <c r="AJ280" s="53">
        <f t="shared" si="27"/>
        <v>0</v>
      </c>
      <c r="AK280" s="53">
        <f t="shared" si="27"/>
        <v>0</v>
      </c>
      <c r="AL280" s="53">
        <f t="shared" si="27"/>
        <v>0</v>
      </c>
      <c r="AM280" s="53">
        <f t="shared" si="27"/>
        <v>0</v>
      </c>
      <c r="AN280" s="53">
        <f t="shared" si="27"/>
        <v>0</v>
      </c>
      <c r="AO280" s="53">
        <f t="shared" si="27"/>
        <v>0</v>
      </c>
      <c r="AP280" s="53">
        <f t="shared" si="27"/>
        <v>0</v>
      </c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4"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AP63:AP76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264:E264"/>
    <mergeCell ref="C128:U140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W225:AP231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tabSelected="1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H11" sqref="H11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2086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2087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2091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30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5" t="s">
        <v>52</v>
      </c>
      <c r="D1" s="555"/>
      <c r="E1" s="555"/>
      <c r="F1" s="555"/>
      <c r="G1" s="555"/>
      <c r="H1" s="555"/>
      <c r="I1" s="555"/>
      <c r="J1" s="556" t="s">
        <v>137</v>
      </c>
      <c r="K1" s="556"/>
    </row>
    <row r="2" spans="2:41" ht="15" x14ac:dyDescent="0.25">
      <c r="B2" s="273"/>
      <c r="C2" s="555"/>
      <c r="D2" s="555"/>
      <c r="E2" s="555"/>
      <c r="F2" s="555"/>
      <c r="G2" s="555"/>
      <c r="H2" s="555"/>
      <c r="I2" s="555"/>
      <c r="J2" s="556" t="s">
        <v>138</v>
      </c>
      <c r="K2" s="556"/>
    </row>
    <row r="3" spans="2:41" ht="15" x14ac:dyDescent="0.25">
      <c r="B3" s="273"/>
      <c r="C3" s="557" t="s">
        <v>139</v>
      </c>
      <c r="D3" s="557"/>
      <c r="E3" s="557"/>
      <c r="F3" s="557"/>
      <c r="G3" s="557"/>
      <c r="H3" s="557"/>
      <c r="I3" s="557"/>
      <c r="J3" s="556" t="s">
        <v>140</v>
      </c>
      <c r="K3" s="556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8"/>
      <c r="C5" s="558"/>
      <c r="D5" s="558"/>
      <c r="E5" s="558"/>
      <c r="F5" s="558"/>
      <c r="G5" s="558"/>
      <c r="H5" s="558"/>
      <c r="I5" s="558"/>
      <c r="J5" s="558"/>
      <c r="K5" s="558"/>
    </row>
    <row r="6" spans="2:41" ht="17.45" customHeight="1" thickBot="1" x14ac:dyDescent="0.3">
      <c r="B6" s="273"/>
      <c r="C6" s="57"/>
      <c r="D6" s="57"/>
      <c r="E6" s="57"/>
      <c r="F6" s="57"/>
      <c r="G6" s="559" t="s">
        <v>141</v>
      </c>
      <c r="H6" s="560"/>
      <c r="I6" s="561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4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5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5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5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5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6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2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3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3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3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3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3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3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3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3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3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3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2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3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4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9" t="s">
        <v>156</v>
      </c>
      <c r="F49" s="550"/>
      <c r="G49" s="550"/>
      <c r="H49" s="551"/>
      <c r="I49" s="161">
        <f>COUNTIF(J8:J27,E49)</f>
        <v>17</v>
      </c>
      <c r="J49" s="62"/>
      <c r="N49" s="60"/>
      <c r="O49" s="60"/>
    </row>
    <row r="50" spans="5:15" ht="15" x14ac:dyDescent="0.25">
      <c r="E50" s="549" t="s">
        <v>164</v>
      </c>
      <c r="F50" s="550"/>
      <c r="G50" s="550"/>
      <c r="H50" s="551"/>
      <c r="I50" s="161">
        <f>COUNTIF(J8:J27,E50)</f>
        <v>3</v>
      </c>
      <c r="J50" s="62">
        <f>+I49+I50</f>
        <v>20</v>
      </c>
    </row>
    <row r="51" spans="5:15" ht="15" x14ac:dyDescent="0.25">
      <c r="E51" s="549" t="s">
        <v>11</v>
      </c>
      <c r="F51" s="550"/>
      <c r="G51" s="550"/>
      <c r="H51" s="551"/>
      <c r="I51" s="161">
        <f>COUNTIF(J8:J27,E51)</f>
        <v>0</v>
      </c>
      <c r="J51" s="62"/>
    </row>
    <row r="52" spans="5:15" ht="15" x14ac:dyDescent="0.25">
      <c r="E52" s="549" t="s">
        <v>182</v>
      </c>
      <c r="F52" s="550"/>
      <c r="G52" s="550"/>
      <c r="H52" s="551"/>
      <c r="I52" s="161">
        <f>COUNTIF(J9:J27,E52)</f>
        <v>0</v>
      </c>
      <c r="J52" s="62"/>
    </row>
    <row r="53" spans="5:15" ht="15" x14ac:dyDescent="0.25">
      <c r="E53" s="549" t="s">
        <v>160</v>
      </c>
      <c r="F53" s="550"/>
      <c r="G53" s="550"/>
      <c r="H53" s="551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2026-08-13T22:59:53Z</cp:lastPrinted>
  <dcterms:created xsi:type="dcterms:W3CDTF">2026-02-19T20:04:08Z</dcterms:created>
  <dcterms:modified xsi:type="dcterms:W3CDTF">2026-08-13T23:00:06Z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