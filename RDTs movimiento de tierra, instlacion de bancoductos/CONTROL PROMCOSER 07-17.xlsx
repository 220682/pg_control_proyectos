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72F01F8C-4267-4025-BB81-9B3E786B2307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 006" sheetId="12" r:id="rId1"/>
    <sheet name="Distribución de terceros  " sheetId="16" state="hidden" r:id="rId2"/>
    <sheet name="PERSONAL OFFSITE" sheetId="17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1">#REF!</definedName>
    <definedName name="\b" localSheetId="2">#REF!</definedName>
    <definedName name="\b">#REF!</definedName>
    <definedName name="\c" localSheetId="1">#REF!</definedName>
    <definedName name="\c">#REF!</definedName>
    <definedName name="\f" localSheetId="1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1" hidden="1">{#N/A,#N/A,TRUE,"Est. de Fact.";#N/A,#N/A,TRUE,"Capitulo 19";#N/A,#N/A,TRUE,"Proyecto P855"}</definedName>
    <definedName name="_________________equ1" localSheetId="2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1" hidden="1">{#N/A,#N/A,TRUE,"Est. de Fact.";#N/A,#N/A,TRUE,"Capitulo 19";#N/A,#N/A,TRUE,"Proyecto P855"}</definedName>
    <definedName name="_________________wrn1" localSheetId="2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1" hidden="1">{#N/A,#N/A,TRUE,"Est. de Fact.";#N/A,#N/A,TRUE,"Capitulo 19";#N/A,#N/A,TRUE,"Proyecto P855"}</definedName>
    <definedName name="________________wrn1" localSheetId="2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1" hidden="1">{#N/A,#N/A,TRUE,"Est. de Fact.";#N/A,#N/A,TRUE,"Capitulo 19";#N/A,#N/A,TRUE,"Proyecto P855"}</definedName>
    <definedName name="_______________wrn1" localSheetId="2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1" hidden="1">{#N/A,#N/A,TRUE,"Est. de Fact.";#N/A,#N/A,TRUE,"Capitulo 19";#N/A,#N/A,TRUE,"Proyecto P855"}</definedName>
    <definedName name="______________wrn1" localSheetId="2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1" hidden="1">{"desarrollo",#N/A,FALSE,"Cámara Camión";"resumen",#N/A,FALSE,"Cámara Camión";"eqprod",#N/A,FALSE,"Cámara Camión"}</definedName>
    <definedName name="_____________kk4" localSheetId="2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1" hidden="1">{#N/A,#N/A,TRUE,"Est. de Fact.";#N/A,#N/A,TRUE,"Capitulo 19";#N/A,#N/A,TRUE,"Proyecto P855"}</definedName>
    <definedName name="_____________wrn1" localSheetId="2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1" hidden="1">{#N/A,#N/A,TRUE,"Est. de Fact.";#N/A,#N/A,TRUE,"Capitulo 19";#N/A,#N/A,TRUE,"Proyecto P855"}</definedName>
    <definedName name="____________equ1" localSheetId="2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1" hidden="1">{"desarrollo",#N/A,FALSE,"Cámara Camión";"resumen",#N/A,FALSE,"Cámara Camión";"eqprod",#N/A,FALSE,"Cámara Camión"}</definedName>
    <definedName name="____________kk4" localSheetId="2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1" hidden="1">{#N/A,#N/A,TRUE,"Est. de Fact.";#N/A,#N/A,TRUE,"Capitulo 19";#N/A,#N/A,TRUE,"Proyecto P855"}</definedName>
    <definedName name="____________wrn1" localSheetId="2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1" hidden="1">{#N/A,#N/A,TRUE,"MES";#N/A,#N/A,TRUE,"ANUAL"}</definedName>
    <definedName name="___________eee4" localSheetId="2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1" hidden="1">{#N/A,#N/A,TRUE,"Est. de Fact.";#N/A,#N/A,TRUE,"Capitulo 19";#N/A,#N/A,TRUE,"Proyecto P855"}</definedName>
    <definedName name="___________equ1" localSheetId="2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1" hidden="1">{"desarrollo",#N/A,FALSE,"Cámara Camión";"resumen",#N/A,FALSE,"Cámara Camión";"eqprod",#N/A,FALSE,"Cámara Camión"}</definedName>
    <definedName name="___________kk4" localSheetId="2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1" hidden="1">{#N/A,#N/A,TRUE,"Est. de Fact.";#N/A,#N/A,TRUE,"Capitulo 19";#N/A,#N/A,TRUE,"Proyecto P855"}</definedName>
    <definedName name="___________wrn1" localSheetId="2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1" hidden="1">{#N/A,#N/A,TRUE,"MES";#N/A,#N/A,TRUE,"ANUAL"}</definedName>
    <definedName name="__________eee4" localSheetId="2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1" hidden="1">{#N/A,#N/A,TRUE,"Est. de Fact.";#N/A,#N/A,TRUE,"Capitulo 19";#N/A,#N/A,TRUE,"Proyecto P855"}</definedName>
    <definedName name="__________equ1" localSheetId="2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1" hidden="1">{"desarrollo",#N/A,FALSE,"Cámara Camión";"resumen",#N/A,FALSE,"Cámara Camión";"eqprod",#N/A,FALSE,"Cámara Camión"}</definedName>
    <definedName name="__________kk4" localSheetId="2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1" hidden="1">{#N/A,#N/A,TRUE,"Est. de Fact.";#N/A,#N/A,TRUE,"Capitulo 19";#N/A,#N/A,TRUE,"Proyecto P855"}</definedName>
    <definedName name="__________wrn1" localSheetId="2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1" hidden="1">{#N/A,#N/A,TRUE,"MES";#N/A,#N/A,TRUE,"ANUAL"}</definedName>
    <definedName name="_________eee4" localSheetId="2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1" hidden="1">{#N/A,#N/A,TRUE,"Est. de Fact.";#N/A,#N/A,TRUE,"Capitulo 19";#N/A,#N/A,TRUE,"Proyecto P855"}</definedName>
    <definedName name="_________equ1" localSheetId="2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1" hidden="1">{"desarrollo",#N/A,FALSE,"Cámara Camión";"resumen",#N/A,FALSE,"Cámara Camión";"eqprod",#N/A,FALSE,"Cámara Camión"}</definedName>
    <definedName name="_________kk4" localSheetId="2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1" hidden="1">{#N/A,#N/A,TRUE,"Est. de Fact.";#N/A,#N/A,TRUE,"Capitulo 19";#N/A,#N/A,TRUE,"Proyecto P855"}</definedName>
    <definedName name="_________wrn1" localSheetId="2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1" hidden="1">{#N/A,#N/A,TRUE,"MES";#N/A,#N/A,TRUE,"ANUAL"}</definedName>
    <definedName name="________eee4" localSheetId="2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1" hidden="1">{#N/A,#N/A,TRUE,"Est. de Fact.";#N/A,#N/A,TRUE,"Capitulo 19";#N/A,#N/A,TRUE,"Proyecto P855"}</definedName>
    <definedName name="________equ1" localSheetId="2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1" hidden="1">{"desarrollo",#N/A,FALSE,"Cámara Camión";"resumen",#N/A,FALSE,"Cámara Camión";"eqprod",#N/A,FALSE,"Cámara Camión"}</definedName>
    <definedName name="________kk4" localSheetId="2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1" hidden="1">{#N/A,#N/A,TRUE,"MES";#N/A,#N/A,TRUE,"ANUAL"}</definedName>
    <definedName name="_______eee4" localSheetId="2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1" hidden="1">{#N/A,#N/A,TRUE,"Est. de Fact.";#N/A,#N/A,TRUE,"Capitulo 19";#N/A,#N/A,TRUE,"Proyecto P855"}</definedName>
    <definedName name="_______equ1" localSheetId="2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1" hidden="1">{#N/A,#N/A,TRUE,"INGENIERIA";#N/A,#N/A,TRUE,"COMPRAS";#N/A,#N/A,TRUE,"DIRECCION";#N/A,#N/A,TRUE,"RESUMEN"}</definedName>
    <definedName name="_______f" localSheetId="2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1" hidden="1">{#N/A,#N/A,FALSE,"MAY96 2260";#N/A,#N/A,FALSE,"system reclass";#N/A,#N/A,FALSE,"Items with no project number"}</definedName>
    <definedName name="_______jul02" localSheetId="2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1" hidden="1">{"desarrollo",#N/A,FALSE,"Cámara Camión";"resumen",#N/A,FALSE,"Cámara Camión";"eqprod",#N/A,FALSE,"Cámara Camión"}</definedName>
    <definedName name="_______kk4" localSheetId="2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1" hidden="1">{#N/A,#N/A,FALSE,"subcontract"}</definedName>
    <definedName name="______av2" localSheetId="2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1" hidden="1">{#N/A,#N/A,TRUE,"MES";#N/A,#N/A,TRUE,"ANUAL"}</definedName>
    <definedName name="______eee4" localSheetId="2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1" hidden="1">{#N/A,#N/A,TRUE,"Est. de Fact.";#N/A,#N/A,TRUE,"Capitulo 19";#N/A,#N/A,TRUE,"Proyecto P855"}</definedName>
    <definedName name="______equ1" localSheetId="2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1" hidden="1">{#N/A,#N/A,TRUE,"INGENIERIA";#N/A,#N/A,TRUE,"COMPRAS";#N/A,#N/A,TRUE,"DIRECCION";#N/A,#N/A,TRUE,"RESUMEN"}</definedName>
    <definedName name="______f" localSheetId="2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1" hidden="1">{#N/A,#N/A,FALSE,"MAY96 2260";#N/A,#N/A,FALSE,"system reclass";#N/A,#N/A,FALSE,"Items with no project number"}</definedName>
    <definedName name="______jul02" localSheetId="2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1" hidden="1">{#N/A,#N/A,FALSE,"subcontract"}</definedName>
    <definedName name="______lu1" localSheetId="2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1" hidden="1">{#N/A,#N/A,FALSE,"subcontract"}</definedName>
    <definedName name="______lu2" localSheetId="2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1" hidden="1">{#N/A,#N/A,FALSE,"subcontract"}</definedName>
    <definedName name="______lu222" localSheetId="2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1" hidden="1">{#N/A,#N/A,FALSE,"subcontract"}</definedName>
    <definedName name="______nn222" localSheetId="2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1" hidden="1">{#N/A,#N/A,FALSE,"subcontract"}</definedName>
    <definedName name="______pv2222" localSheetId="2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1" hidden="1">{#N/A,#N/A,FALSE,"subcontract"}</definedName>
    <definedName name="______sp2222" localSheetId="2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1" hidden="1">{#N/A,#N/A,FALSE,"subcontract"}</definedName>
    <definedName name="______wrn222" localSheetId="2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1" hidden="1">{#N/A,#N/A,TRUE,"MES";#N/A,#N/A,TRUE,"ANUAL"}</definedName>
    <definedName name="_____eee4" localSheetId="2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1" hidden="1">{#N/A,#N/A,TRUE,"Est. de Fact.";#N/A,#N/A,TRUE,"Capitulo 19";#N/A,#N/A,TRUE,"Proyecto P855"}</definedName>
    <definedName name="_____equ1" localSheetId="2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1" hidden="1">{#N/A,#N/A,TRUE,"INGENIERIA";#N/A,#N/A,TRUE,"COMPRAS";#N/A,#N/A,TRUE,"DIRECCION";#N/A,#N/A,TRUE,"RESUMEN"}</definedName>
    <definedName name="_____f" localSheetId="2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1" hidden="1">{#N/A,#N/A,FALSE,"MAY96 2260";#N/A,#N/A,FALSE,"system reclass";#N/A,#N/A,FALSE,"Items with no project number"}</definedName>
    <definedName name="_____jul02" localSheetId="2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1" hidden="1">{#N/A,#N/A,TRUE,"Est. de Fact.";#N/A,#N/A,TRUE,"Capitulo 19";#N/A,#N/A,TRUE,"Proyecto P855"}</definedName>
    <definedName name="_____wrn1" localSheetId="2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1" hidden="1">{#N/A,#N/A,FALSE,"subcontract"}</definedName>
    <definedName name="____av2" localSheetId="2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1" hidden="1">{#N/A,#N/A,TRUE,"MES";#N/A,#N/A,TRUE,"ANUAL"}</definedName>
    <definedName name="____eee4" localSheetId="2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1" hidden="1">{#N/A,#N/A,TRUE,"Est. de Fact.";#N/A,#N/A,TRUE,"Capitulo 19";#N/A,#N/A,TRUE,"Proyecto P855"}</definedName>
    <definedName name="____equ1" localSheetId="2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1" hidden="1">{#N/A,#N/A,TRUE,"INGENIERIA";#N/A,#N/A,TRUE,"COMPRAS";#N/A,#N/A,TRUE,"DIRECCION";#N/A,#N/A,TRUE,"RESUMEN"}</definedName>
    <definedName name="____f" localSheetId="2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1" hidden="1">{#N/A,#N/A,FALSE,"MAY96 2260";#N/A,#N/A,FALSE,"system reclass";#N/A,#N/A,FALSE,"Items with no project number"}</definedName>
    <definedName name="____jul02" localSheetId="2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1" hidden="1">{#N/A,#N/A,FALSE,"subcontract"}</definedName>
    <definedName name="____lu1" localSheetId="2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1" hidden="1">{#N/A,#N/A,FALSE,"subcontract"}</definedName>
    <definedName name="____lu2" localSheetId="2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1" hidden="1">{#N/A,#N/A,FALSE,"subcontract"}</definedName>
    <definedName name="____lu222" localSheetId="2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1" hidden="1">{#N/A,#N/A,FALSE,"subcontract"}</definedName>
    <definedName name="____nn222" localSheetId="2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1" hidden="1">{#N/A,#N/A,FALSE,"subcontract"}</definedName>
    <definedName name="____pv2222" localSheetId="2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1" hidden="1">{"Graf_Carga Trab",#N/A,FALSE,"Grafi_Carga Trab";"Graf_Venta Flujo",#N/A,FALSE,"Grafi_Carga Trab"}</definedName>
    <definedName name="____REV1" localSheetId="2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1" hidden="1">{#N/A,#N/A,FALSE,"subcontract"}</definedName>
    <definedName name="____sp2222" localSheetId="2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1" hidden="1">{#N/A,#N/A,FALSE,"subcontract"}</definedName>
    <definedName name="____wrn222" localSheetId="2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1" hidden="1">{"April",#N/A,FALSE,"April"}</definedName>
    <definedName name="___aaa1" localSheetId="2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1" hidden="1">{#N/A,#N/A,TRUE,"MES";#N/A,#N/A,TRUE,"ANUAL"}</definedName>
    <definedName name="___eee4" localSheetId="2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1" hidden="1">{#N/A,#N/A,TRUE,"Est. de Fact.";#N/A,#N/A,TRUE,"Capitulo 19";#N/A,#N/A,TRUE,"Proyecto P855"}</definedName>
    <definedName name="___equ1" localSheetId="2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1" hidden="1">{#N/A,#N/A,FALSE,"MAY96 2260";#N/A,#N/A,FALSE,"system reclass";#N/A,#N/A,FALSE,"Items with no project number"}</definedName>
    <definedName name="___jul02" localSheetId="2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1" hidden="1">{"desarrollo",#N/A,FALSE,"Cámara Camión";"resumen",#N/A,FALSE,"Cámara Camión";"eqprod",#N/A,FALSE,"Cámara Camión"}</definedName>
    <definedName name="___kk4" localSheetId="2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1" hidden="1">{"Graf_Carga Trab",#N/A,FALSE,"Grafi_Carga Trab";"Graf_Venta Flujo",#N/A,FALSE,"Grafi_Carga Trab"}</definedName>
    <definedName name="___REV1" localSheetId="2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1" hidden="1">{#N/A,#N/A,TRUE,"Est. de Fact.";#N/A,#N/A,TRUE,"Capitulo 19";#N/A,#N/A,TRUE,"Proyecto P855"}</definedName>
    <definedName name="___wrn1" localSheetId="2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1" hidden="1">{"April",#N/A,FALSE,"April"}</definedName>
    <definedName name="__aaa1" localSheetId="2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1" hidden="1">{#N/A,#N/A,FALSE,"subcontract"}</definedName>
    <definedName name="__av2" localSheetId="2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1" hidden="1">{#N/A,#N/A,TRUE,"MES";#N/A,#N/A,TRUE,"ANUAL"}</definedName>
    <definedName name="__eee4" localSheetId="2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1" hidden="1">{#N/A,#N/A,TRUE,"Est. de Fact.";#N/A,#N/A,TRUE,"Capitulo 19";#N/A,#N/A,TRUE,"Proyecto P855"}</definedName>
    <definedName name="__equ1" localSheetId="2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1" hidden="1">{"details",#N/A,FALSE,"Summary"}</definedName>
    <definedName name="__joe1" localSheetId="2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1" hidden="1">{"summary",#N/A,FALSE,"Summary"}</definedName>
    <definedName name="__joe2" localSheetId="2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1" hidden="1">{#N/A,#N/A,FALSE,"MAY96 2260";#N/A,#N/A,FALSE,"system reclass";#N/A,#N/A,FALSE,"Items with no project number"}</definedName>
    <definedName name="__jul02" localSheetId="2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1" hidden="1">{#N/A,#N/A,FALSE,"subcontract"}</definedName>
    <definedName name="__lu1" localSheetId="2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1" hidden="1">{#N/A,#N/A,FALSE,"subcontract"}</definedName>
    <definedName name="__lu2" localSheetId="2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1" hidden="1">{#N/A,#N/A,FALSE,"subcontract"}</definedName>
    <definedName name="__lu222" localSheetId="2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1" hidden="1">{#N/A,#N/A,FALSE,"subcontract"}</definedName>
    <definedName name="__nn222" localSheetId="2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1" hidden="1">{#N/A,#N/A,FALSE,"subcontract"}</definedName>
    <definedName name="__pv2222" localSheetId="2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1" hidden="1">{"Graf_Carga Trab",#N/A,FALSE,"Grafi_Carga Trab";"Graf_Venta Flujo",#N/A,FALSE,"Grafi_Carga Trab"}</definedName>
    <definedName name="__REV1" localSheetId="2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1" hidden="1">{#N/A,#N/A,FALSE,"subcontract"}</definedName>
    <definedName name="__sp2222" localSheetId="2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1" hidden="1">{#N/A,#N/A,FALSE,"WBS 1.06";#N/A,#N/A,FALSE,"WBS 1.14";#N/A,#N/A,FALSE,"WBS 1.17";#N/A,#N/A,FALSE,"WBS 1.18"}</definedName>
    <definedName name="__wrn2" localSheetId="2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1" hidden="1">{#N/A,#N/A,FALSE,"subcontract"}</definedName>
    <definedName name="__wrn222" localSheetId="2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1" hidden="1">{#N/A,#N/A,TRUE,"arnitower";#N/A,#N/A,TRUE,"arnigarage "}</definedName>
    <definedName name="_2gc09_" localSheetId="2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1" hidden="1">{#N/A,#N/A,TRUE,"arnitower";#N/A,#N/A,TRUE,"arnigarage "}</definedName>
    <definedName name="_4gc09_" localSheetId="2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1" hidden="1">{"April",#N/A,FALSE,"April"}</definedName>
    <definedName name="_aaa1" localSheetId="2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1" hidden="1">{#N/A,#N/A,TRUE,"1842CWN0"}</definedName>
    <definedName name="_d4" localSheetId="2" hidden="1">{#N/A,#N/A,TRUE,"1842CWN0"}</definedName>
    <definedName name="_d4" localSheetId="0" hidden="1">{#N/A,#N/A,TRUE,"1842CWN0"}</definedName>
    <definedName name="_d4" hidden="1">{#N/A,#N/A,TRUE,"1842CWN0"}</definedName>
    <definedName name="_d8" localSheetId="1" hidden="1">{#N/A,#N/A,TRUE,"1842CWN0"}</definedName>
    <definedName name="_d8" localSheetId="2" hidden="1">{#N/A,#N/A,TRUE,"1842CWN0"}</definedName>
    <definedName name="_d8" localSheetId="0" hidden="1">{#N/A,#N/A,TRUE,"1842CWN0"}</definedName>
    <definedName name="_d8" hidden="1">{#N/A,#N/A,TRUE,"1842CWN0"}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1" hidden="1">{#N/A,#N/A,TRUE,"1842CWN0"}</definedName>
    <definedName name="_df9" localSheetId="2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1" hidden="1">{#N/A,#N/A,TRUE,"MES";#N/A,#N/A,TRUE,"ANUAL"}</definedName>
    <definedName name="_eee4" localSheetId="2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1" hidden="1">{#N/A,#N/A,TRUE,"Est. de Fact.";#N/A,#N/A,TRUE,"Capitulo 19";#N/A,#N/A,TRUE,"Proyecto P855"}</definedName>
    <definedName name="_equ1" localSheetId="2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xlnm._FilterDatabase" hidden="1">#REF!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1" hidden="1">{#N/A,#N/A,TRUE,"arnitower";#N/A,#N/A,TRUE,"arnigarage "}</definedName>
    <definedName name="_gc09" localSheetId="2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1" hidden="1">{"'Sheet1'!$L$16"}</definedName>
    <definedName name="_Goi8" localSheetId="2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1" hidden="1">{#N/A,#N/A,FALSE,"MAY96 2260";#N/A,#N/A,FALSE,"system reclass";#N/A,#N/A,FALSE,"Items with no project number"}</definedName>
    <definedName name="_jul02" localSheetId="2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1" hidden="1">{"'Sheet1'!$L$16"}</definedName>
    <definedName name="_Lan1" localSheetId="2" hidden="1">{"'Sheet1'!$L$16"}</definedName>
    <definedName name="_Lan1" localSheetId="0" hidden="1">{"'Sheet1'!$L$16"}</definedName>
    <definedName name="_Lan1" hidden="1">{"'Sheet1'!$L$16"}</definedName>
    <definedName name="_LAN3" localSheetId="1" hidden="1">{"'Sheet1'!$L$16"}</definedName>
    <definedName name="_LAN3" localSheetId="2" hidden="1">{"'Sheet1'!$L$16"}</definedName>
    <definedName name="_LAN3" localSheetId="0" hidden="1">{"'Sheet1'!$L$16"}</definedName>
    <definedName name="_LAN3" hidden="1">{"'Sheet1'!$L$16"}</definedName>
    <definedName name="_lns72" localSheetId="1" hidden="1">{#N/A,#N/A,TRUE,"1842CWN0"}</definedName>
    <definedName name="_lns72" localSheetId="2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1" hidden="1">{#N/A,#N/A,FALSE,"Matrix";#N/A,#N/A,FALSE,"Executive";#N/A,#N/A,FALSE,"Summary"}</definedName>
    <definedName name="_odc1" localSheetId="2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1" hidden="1">{"Graf_Carga Trab",#N/A,FALSE,"Grafi_Carga Trab";"Graf_Venta Flujo",#N/A,FALSE,"Grafi_Carga Trab"}</definedName>
    <definedName name="_REV1" localSheetId="2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1" hidden="1">{#N/A,#N/A,TRUE,"1842CWN0"}</definedName>
    <definedName name="_skf45" localSheetId="2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1" hidden="1">{#N/A,#N/A,TRUE,"INGENIERIA";#N/A,#N/A,TRUE,"COMPRAS";#N/A,#N/A,TRUE,"DIRECCION";#N/A,#N/A,TRUE,"RESUMEN"}</definedName>
    <definedName name="_sr51" localSheetId="2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1" hidden="1">{"'Sheet1'!$L$16"}</definedName>
    <definedName name="_tt3" localSheetId="2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1" hidden="1">{#N/A,#N/A,TRUE,"INGENIERIA";#N/A,#N/A,TRUE,"COMPRAS";#N/A,#N/A,TRUE,"DIRECCION";#N/A,#N/A,TRUE,"RESUMEN"}</definedName>
    <definedName name="_xs7" localSheetId="2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1" hidden="1">{"CI+GG(BASE)",#N/A,FALSE,"CI+GG(BASE)";"GG",#N/A,FALSE,"CI+GG(BASE)";"CI",#N/A,FALSE,"CI+GG(BASE)"}</definedName>
    <definedName name="AAA" localSheetId="2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1" hidden="1">{#N/A,#N/A,FALSE,"MAY96 2260";#N/A,#N/A,FALSE,"system reclass";#N/A,#N/A,FALSE,"Items with no project number"}</definedName>
    <definedName name="aaa_2" localSheetId="2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1" hidden="1">{#N/A,#N/A,FALSE,"summary";#N/A,#N/A,FALSE,"SumGraph"}</definedName>
    <definedName name="aaaa_2" localSheetId="2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1" hidden="1">{#N/A,#N/A,FALSE,"summary";#N/A,#N/A,FALSE,"SumGraph"}</definedName>
    <definedName name="aaaa_3" localSheetId="2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1" hidden="1">{"April",#N/A,FALSE,"April"}</definedName>
    <definedName name="aaaaa1" localSheetId="2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1" hidden="1">{"April",#N/A,FALSE,"April"}</definedName>
    <definedName name="aaaaaa1" localSheetId="2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1" hidden="1">{"April",#N/A,FALSE,"April"}</definedName>
    <definedName name="aaaasdfad" localSheetId="2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1" hidden="1">{"FEB_DEC",#N/A,FALSE,"February"}</definedName>
    <definedName name="acvfh" localSheetId="2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1" hidden="1">{"ARA1",#N/A,FALSE,"ENG-ARA";"ARAhours",#N/A,FALSE,"ENG-ARA";"ARA$",#N/A,FALSE,"ENG-ARA"}</definedName>
    <definedName name="adios" localSheetId="2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1" hidden="1">{#N/A,#N/A,FALSE,"Matrix";#N/A,#N/A,FALSE,"Executive";#N/A,#N/A,FALSE,"Summary"}</definedName>
    <definedName name="adqwer" localSheetId="2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1" hidden="1">{#N/A,#N/A,FALSE,"summary";#N/A,#N/A,FALSE,"SumGraph"}</definedName>
    <definedName name="aec" localSheetId="2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1" hidden="1">{#N/A,#N/A,FALSE,"summary";#N/A,#N/A,FALSE,"SumGraph"}</definedName>
    <definedName name="aec_1" localSheetId="2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1" hidden="1">{#N/A,#N/A,FALSE,"subcontract"}</definedName>
    <definedName name="AEGSADFG" localSheetId="2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1" hidden="1">{#N/A,#N/A,TRUE,"MES";#N/A,#N/A,TRUE,"ANUAL"}</definedName>
    <definedName name="afg" localSheetId="2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1" hidden="1">{#N/A,#N/A,FALSE,"Aging Summary";#N/A,#N/A,FALSE,"Ratio Analysis";#N/A,#N/A,FALSE,"Test 120 Day Accts";#N/A,#N/A,FALSE,"Tickmarks"}</definedName>
    <definedName name="afsfa" localSheetId="2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1" hidden="1">{#N/A,#N/A,FALSE,"PXP-TOTAL Modif";"vis2",#N/A,FALSE,"PXP-AÑO";"Vis1",#N/A,FALSE,"PXP-AÑO"}</definedName>
    <definedName name="ag" localSheetId="2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1" hidden="1">{#N/A,#N/A,FALSE,"Cobret"}</definedName>
    <definedName name="ag_2" localSheetId="2" hidden="1">{#N/A,#N/A,FALSE,"Cobret"}</definedName>
    <definedName name="ag_2" localSheetId="0" hidden="1">{#N/A,#N/A,FALSE,"Cobret"}</definedName>
    <definedName name="ag_2" hidden="1">{#N/A,#N/A,FALSE,"Cobret"}</definedName>
    <definedName name="ag_3" localSheetId="1" hidden="1">{#N/A,#N/A,FALSE,"Cobret"}</definedName>
    <definedName name="ag_3" localSheetId="2" hidden="1">{#N/A,#N/A,FALSE,"Cobret"}</definedName>
    <definedName name="ag_3" localSheetId="0" hidden="1">{#N/A,#N/A,FALSE,"Cobret"}</definedName>
    <definedName name="ag_3" hidden="1">{#N/A,#N/A,FALSE,"Cobret"}</definedName>
    <definedName name="ag_4" localSheetId="1" hidden="1">{#N/A,#N/A,FALSE,"Cobret"}</definedName>
    <definedName name="ag_4" localSheetId="2" hidden="1">{#N/A,#N/A,FALSE,"Cobret"}</definedName>
    <definedName name="ag_4" localSheetId="0" hidden="1">{#N/A,#N/A,FALSE,"Cobret"}</definedName>
    <definedName name="ag_4" hidden="1">{#N/A,#N/A,FALSE,"Cobret"}</definedName>
    <definedName name="ag_5" localSheetId="1" hidden="1">{#N/A,#N/A,FALSE,"Cobret"}</definedName>
    <definedName name="ag_5" localSheetId="2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1" hidden="1">{#N/A,#N/A,TRUE,"1842CWN0"}</definedName>
    <definedName name="akfkd" localSheetId="2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1" hidden="1">{#N/A,#N/A,FALSE,"Matrix";#N/A,#N/A,FALSE,"Executive";#N/A,#N/A,FALSE,"Summary"}</definedName>
    <definedName name="alkdj" localSheetId="2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1" hidden="1">{"MAR",#N/A,FALSE,"March"}</definedName>
    <definedName name="amnb" localSheetId="2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1" hidden="1">{"MAR",#N/A,FALSE,"March"}</definedName>
    <definedName name="amnb2" localSheetId="2" hidden="1">{"MAR",#N/A,FALSE,"March"}</definedName>
    <definedName name="amnb2" localSheetId="0" hidden="1">{"MAR",#N/A,FALSE,"March"}</definedName>
    <definedName name="amnb2" hidden="1">{"MAR",#N/A,FALSE,"March"}</definedName>
    <definedName name="amor" localSheetId="1" hidden="1">{"MO(BASE)",#N/A,FALSE,"MO(BASE)";"MO(BASE)1",#N/A,FALSE,"MO(BASE)";"MO(BASE)2",#N/A,FALSE,"MO(BASE)"}</definedName>
    <definedName name="amor" localSheetId="2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1" hidden="1">{"Graf_Carga Trab",#N/A,FALSE,"Grafi_Carga Trab";"Graf_Venta Flujo",#N/A,FALSE,"Grafi_Carga Trab"}</definedName>
    <definedName name="aqqqqqqqqqq" localSheetId="2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1" hidden="1">{#N/A,#N/A,TRUE,"MES";#N/A,#N/A,TRUE,"ANUAL"}</definedName>
    <definedName name="AQUI" localSheetId="2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1" hidden="1">{#N/A,#N/A,TRUE,"MES";#N/A,#N/A,TRUE,"ANUAL"}</definedName>
    <definedName name="AQUILES" localSheetId="2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'RDO 006'!$B$1:$AP$301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1" hidden="1">{"CI+GG(BASE)",#N/A,FALSE,"CI+GG(BASE)";"GG",#N/A,FALSE,"CI+GG(BASE)";"CI",#N/A,FALSE,"CI+GG(BASE)"}</definedName>
    <definedName name="ariel" localSheetId="2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1" hidden="1">{#N/A,#N/A,FALSE,"Aging Summary";#N/A,#N/A,FALSE,"Ratio Analysis";#N/A,#N/A,FALSE,"Test 120 Day Accts";#N/A,#N/A,FALSE,"Tickmarks"}</definedName>
    <definedName name="asa_2" localSheetId="2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1" hidden="1">{"CI+GG(BASE)",#N/A,FALSE,"CI+GG(BASE)";"GG",#N/A,FALSE,"CI+GG(BASE)";"CI",#N/A,FALSE,"CI+GG(BASE)"}</definedName>
    <definedName name="asadaa" localSheetId="2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1" hidden="1">{"ARA1",#N/A,FALSE,"ENG-ARA";"ARAhours",#N/A,FALSE,"ENG-ARA";"ARA$",#N/A,FALSE,"ENG-ARA"}</definedName>
    <definedName name="asas" localSheetId="2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1" hidden="1">{"Sin detalle",#N/A,FALSE,"Flujo (redondeado)"}</definedName>
    <definedName name="asasas" localSheetId="2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1" hidden="1">{"'Igo Comercial'!$AP$215"}</definedName>
    <definedName name="asdas" localSheetId="2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1" hidden="1">{"'Igo Comercial'!$AP$215"}</definedName>
    <definedName name="asdasd" localSheetId="2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1" hidden="1">{#N/A,#N/A,TRUE,"Est. de Fact.";#N/A,#N/A,TRUE,"Capitulo 19";#N/A,#N/A,TRUE,"Proyecto P855"}</definedName>
    <definedName name="asdw" localSheetId="2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1" hidden="1">{#N/A,#N/A,TRUE,"MES";#N/A,#N/A,TRUE,"ANUAL"}</definedName>
    <definedName name="aseer" localSheetId="2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1" hidden="1">{#N/A,#N/A,TRUE,"MES";#N/A,#N/A,TRUE,"ANUAL"}</definedName>
    <definedName name="ASS" localSheetId="2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1" hidden="1">{#N/A,#N/A,TRUE,"Est. de Fact.";#N/A,#N/A,TRUE,"Capitulo 19";#N/A,#N/A,TRUE,"Proyecto P855"}</definedName>
    <definedName name="asssad" localSheetId="2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1" hidden="1">{#N/A,#N/A,FALSE,"subcontract"}</definedName>
    <definedName name="AV" localSheetId="2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1" hidden="1">{"MO(BASE)",#N/A,FALSE,"MO(BASE)";"MO(BASE)1",#N/A,FALSE,"MO(BASE)";"MO(BASE)2",#N/A,FALSE,"MO(BASE)"}</definedName>
    <definedName name="avance" localSheetId="2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1" hidden="1">{#N/A,#N/A,FALSE,"MAQUINA"}</definedName>
    <definedName name="awerq" localSheetId="2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1" hidden="1">{#N/A,#N/A,TRUE,"MES";#N/A,#N/A,TRUE,"ANUAL"}</definedName>
    <definedName name="axc" localSheetId="2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1" hidden="1">{"Sin detalle",#N/A,FALSE,"Flujo (redondeado)"}</definedName>
    <definedName name="AZAZAZ" localSheetId="2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1" hidden="1">{#N/A,#N/A,FALSE,"MAQUINA"}</definedName>
    <definedName name="BAJADAS1" localSheetId="2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1" hidden="1">{#N/A,#N/A,TRUE,"1842CWN0"}</definedName>
    <definedName name="Barras" localSheetId="2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1" hidden="1">{"PRE1",#N/A,FALSE,"RESUMEN"}</definedName>
    <definedName name="bASE1" localSheetId="2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1" hidden="1">{#N/A,#N/A,FALSE,"Aging Summary";#N/A,#N/A,FALSE,"Ratio Analysis";#N/A,#N/A,FALSE,"Test 120 Day Accts";#N/A,#N/A,FALSE,"Tickmarks"}</definedName>
    <definedName name="BBBBBBBB" localSheetId="2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1" hidden="1">{#N/A,#N/A,TRUE,"1842CWN0"}</definedName>
    <definedName name="bbc" localSheetId="2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1" hidden="1">{#N/A,#N/A,FALSE,"200001";#N/A,#N/A,FALSE,"S221 200003";#N/A,#N/A,FALSE,"S221 204005";#N/A,#N/A,FALSE,"S221 204006";#N/A,#N/A,FALSE,"S221 204008"}</definedName>
    <definedName name="BBPPP" localSheetId="2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1" hidden="1">{#N/A,#N/A,FALSE,"ResDev"}</definedName>
    <definedName name="bewaas" localSheetId="2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1" hidden="1">{#N/A,#N/A,TRUE,"Est. de Fact.";#N/A,#N/A,TRUE,"Capitulo 19";#N/A,#N/A,TRUE,"Proyecto P855"}</definedName>
    <definedName name="bnm" localSheetId="2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1" hidden="1">{"'DMBL'!$A$1:$N$83","'DMBL'!$A$6:$B$83"}</definedName>
    <definedName name="bode" localSheetId="2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1" hidden="1">{"'DMBL'!$A$1:$N$83","'DMBL'!$A$6:$B$83"}</definedName>
    <definedName name="bodea" localSheetId="2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1" hidden="1">{"'DMBL'!$A$1:$N$83","'DMBL'!$A$6:$B$83"}</definedName>
    <definedName name="bodeb" localSheetId="2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1" hidden="1">{"'DMBL'!$A$1:$N$83","'DMBL'!$A$6:$B$83"}</definedName>
    <definedName name="bodec" localSheetId="2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1" hidden="1">{"DetallexDep",#N/A,FALSE,"Giovanna (x DEPT)"}</definedName>
    <definedName name="cacs2004" localSheetId="2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1" hidden="1">{"DetallexDep",#N/A,FALSE,"Giovanna (x DEPT)"}</definedName>
    <definedName name="cacs2004_1" localSheetId="2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1" hidden="1">{"DetallexDep",#N/A,FALSE,"Giovanna (x DEPT)"}</definedName>
    <definedName name="cacs2004_2" localSheetId="2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1" hidden="1">{"DetallexDep",#N/A,FALSE,"Giovanna (x DEPT)"}</definedName>
    <definedName name="cacs2004_3" localSheetId="2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1" hidden="1">{"DetallexDep",#N/A,FALSE,"Giovanna (x DEPT)"}</definedName>
    <definedName name="cacs2004_4" localSheetId="2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1" hidden="1">{"DetallexDep",#N/A,FALSE,"Giovanna (x DEPT)"}</definedName>
    <definedName name="cacs2004_5" localSheetId="2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1" hidden="1">{"DetallexDep",#N/A,FALSE,"Giovanna (x DEPT)"}</definedName>
    <definedName name="cacs2005" localSheetId="2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1" hidden="1">{"DetallexDep",#N/A,FALSE,"Giovanna (x DEPT)"}</definedName>
    <definedName name="cacs2005_1" localSheetId="2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1" hidden="1">{"DetallexDep",#N/A,FALSE,"Giovanna (x DEPT)"}</definedName>
    <definedName name="cacs2005_2" localSheetId="2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1" hidden="1">{"DetallexDep",#N/A,FALSE,"Giovanna (x DEPT)"}</definedName>
    <definedName name="cacs2005_3" localSheetId="2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1" hidden="1">{"DetallexDep",#N/A,FALSE,"Giovanna (x DEPT)"}</definedName>
    <definedName name="cacs2005_4" localSheetId="2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1" hidden="1">{"DetallexDep",#N/A,FALSE,"Giovanna (x DEPT)"}</definedName>
    <definedName name="cacs2005_5" localSheetId="2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1" hidden="1">{"DetallexDep",#N/A,FALSE,"Giovanna (x DEPT)"}</definedName>
    <definedName name="cacs2006" localSheetId="2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1" hidden="1">{"DetallexDep",#N/A,FALSE,"Giovanna (x DEPT)"}</definedName>
    <definedName name="cacs2006_1" localSheetId="2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1" hidden="1">{"DetallexDep",#N/A,FALSE,"Giovanna (x DEPT)"}</definedName>
    <definedName name="cacs2006_2" localSheetId="2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1" hidden="1">{"DetallexDep",#N/A,FALSE,"Giovanna (x DEPT)"}</definedName>
    <definedName name="cacs2006_3" localSheetId="2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1" hidden="1">{"DetallexDep",#N/A,FALSE,"Giovanna (x DEPT)"}</definedName>
    <definedName name="cacs2006_4" localSheetId="2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1" hidden="1">{"DetallexDep",#N/A,FALSE,"Giovanna (x DEPT)"}</definedName>
    <definedName name="cacs2006_5" localSheetId="2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1" hidden="1">{#N/A,#N/A,FALSE,"Matrix";#N/A,#N/A,FALSE,"Executive";#N/A,#N/A,FALSE,"Summary"}</definedName>
    <definedName name="carlos" localSheetId="2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1" hidden="1">{"PRE1",#N/A,FALSE,"RESUMEN"}</definedName>
    <definedName name="carpeta" localSheetId="2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1" hidden="1">{"DetallexDep",#N/A,FALSE,"Giovanna (x DEPT)"}</definedName>
    <definedName name="ccccc_1" localSheetId="2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1" hidden="1">{"DetallexDep",#N/A,FALSE,"Giovanna (x DEPT)"}</definedName>
    <definedName name="ccccc_2" localSheetId="2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1" hidden="1">{"DetallexDep",#N/A,FALSE,"Giovanna (x DEPT)"}</definedName>
    <definedName name="ccccc_3" localSheetId="2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1" hidden="1">{"DetallexDep",#N/A,FALSE,"Giovanna (x DEPT)"}</definedName>
    <definedName name="ccccc_4" localSheetId="2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1" hidden="1">{"DetallexDep",#N/A,FALSE,"Giovanna (x DEPT)"}</definedName>
    <definedName name="ccccc_5" localSheetId="2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1" hidden="1">{#N/A,#N/A,TRUE,"Est. de Fact.";#N/A,#N/A,TRUE,"Capitulo 19";#N/A,#N/A,TRUE,"Proyecto P855"}</definedName>
    <definedName name="cd_1" localSheetId="2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1" hidden="1">{#N/A,#N/A,FALSE,"sumi ";#N/A,#N/A,FALSE,"RESUMEN"}</definedName>
    <definedName name="cds" localSheetId="2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1" hidden="1">{#N/A,#N/A,FALSE,"Graficos"}</definedName>
    <definedName name="COASIN" localSheetId="2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1" hidden="1">{#N/A,#N/A,FALSE,"Graficos"}</definedName>
    <definedName name="COASIN_1" localSheetId="2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1" hidden="1">{#N/A,#N/A,TRUE,"Est. de Fact.";#N/A,#N/A,TRUE,"Capitulo 19";#N/A,#N/A,TRUE,"Proyecto P855"}</definedName>
    <definedName name="COCHILCO" localSheetId="2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1" hidden="1">{#N/A,#N/A,FALSE,"Resumen"}</definedName>
    <definedName name="COMBUSTIBLE" localSheetId="2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1" hidden="1">{#N/A,#N/A,FALSE,"Matrix";#N/A,#N/A,FALSE,"Executive";#N/A,#N/A,FALSE,"Summary"}</definedName>
    <definedName name="comp1" localSheetId="2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1" hidden="1">{"MO(BASE)",#N/A,FALSE,"MO(BASE)";"MO(BASE)1",#N/A,FALSE,"MO(BASE)";"MO(BASE)2",#N/A,FALSE,"MO(BASE)"}</definedName>
    <definedName name="CONSO" localSheetId="2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1" hidden="1">{#N/A,#N/A,FALSE,"Graficos"}</definedName>
    <definedName name="control" localSheetId="2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1" hidden="1">{#N/A,#N/A,FALSE,"Graficos"}</definedName>
    <definedName name="control_1" localSheetId="2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1" hidden="1">{#N/A,#N/A,TRUE,"MES";#N/A,#N/A,TRUE,"ANUAL"}</definedName>
    <definedName name="COSA" localSheetId="2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1" hidden="1">{"Graf_Carga Trab",#N/A,FALSE,"Grafi_Carga Trab";"Graf_Venta Flujo",#N/A,FALSE,"Grafi_Carga Trab"}</definedName>
    <definedName name="cosots" localSheetId="2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1" hidden="1">{#N/A,#N/A,FALSE,"Matrix";#N/A,#N/A,FALSE,"Executive";#N/A,#N/A,FALSE,"Summary"}</definedName>
    <definedName name="cute12" localSheetId="2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1" hidden="1">{#N/A,#N/A,FALSE,"Matrix";#N/A,#N/A,FALSE,"Executive";#N/A,#N/A,FALSE,"Summary"}</definedName>
    <definedName name="cute3" localSheetId="2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1" hidden="1">{"ARA1",#N/A,FALSE,"ENG-ARA";"ARAhours",#N/A,FALSE,"ENG-ARA";"ARA$",#N/A,FALSE,"ENG-ARA"}</definedName>
    <definedName name="cute5" localSheetId="2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1" hidden="1">{"bechtel1",#N/A,TRUE,"BECHTEL";"bechtelhours",#N/A,TRUE,"BECHTEL";"bechtel$",#N/A,TRUE,"BECHTEL"}</definedName>
    <definedName name="cute6" localSheetId="2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1" hidden="1">{#N/A,#N/A,FALSE,"subcontract"}</definedName>
    <definedName name="cute9" localSheetId="2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1" hidden="1">{#N/A,#N/A,TRUE,"INGENIERIA";#N/A,#N/A,TRUE,"COMPRAS";#N/A,#N/A,TRUE,"DIRECCION";#N/A,#N/A,TRUE,"RESUMEN"}</definedName>
    <definedName name="cvbfgb" localSheetId="2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1" hidden="1">{#N/A,#N/A,TRUE,"1842CWN0"}</definedName>
    <definedName name="CY" localSheetId="2" hidden="1">{#N/A,#N/A,TRUE,"1842CWN0"}</definedName>
    <definedName name="CY" localSheetId="0" hidden="1">{#N/A,#N/A,TRUE,"1842CWN0"}</definedName>
    <definedName name="CY" hidden="1">{#N/A,#N/A,TRUE,"1842CWN0"}</definedName>
    <definedName name="CY_1" localSheetId="1" hidden="1">{#N/A,#N/A,TRUE,"1842CWN0"}</definedName>
    <definedName name="CY_1" localSheetId="2" hidden="1">{#N/A,#N/A,TRUE,"1842CWN0"}</definedName>
    <definedName name="CY_1" localSheetId="0" hidden="1">{#N/A,#N/A,TRUE,"1842CWN0"}</definedName>
    <definedName name="CY_1" hidden="1">{#N/A,#N/A,TRUE,"1842CWN0"}</definedName>
    <definedName name="CY_2" localSheetId="1" hidden="1">{#N/A,#N/A,TRUE,"1842CWN0"}</definedName>
    <definedName name="CY_2" localSheetId="2" hidden="1">{#N/A,#N/A,TRUE,"1842CWN0"}</definedName>
    <definedName name="CY_2" localSheetId="0" hidden="1">{#N/A,#N/A,TRUE,"1842CWN0"}</definedName>
    <definedName name="CY_2" hidden="1">{#N/A,#N/A,TRUE,"1842CWN0"}</definedName>
    <definedName name="CY_3" localSheetId="1" hidden="1">{#N/A,#N/A,TRUE,"1842CWN0"}</definedName>
    <definedName name="CY_3" localSheetId="2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1" hidden="1">{#N/A,#N/A,FALSE,"Sost-Nov"}</definedName>
    <definedName name="DADADA" localSheetId="2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1" hidden="1">{#N/A,#N/A,FALSE,"Sost-Nov"}</definedName>
    <definedName name="DADADA_1" localSheetId="2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1" hidden="1">{#N/A,#N/A,FALSE,"Sost-Nov"}</definedName>
    <definedName name="DADADA_1_1" localSheetId="2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1" hidden="1">{#N/A,#N/A,FALSE,"Sost-Nov"}</definedName>
    <definedName name="DADADA_1_2" localSheetId="2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1" hidden="1">{#N/A,#N/A,FALSE,"Sost-Nov"}</definedName>
    <definedName name="DADADA_1_3" localSheetId="2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1" hidden="1">{#N/A,#N/A,FALSE,"Sost-Nov"}</definedName>
    <definedName name="DADADA_2" localSheetId="2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1" hidden="1">{#N/A,#N/A,FALSE,"Sost-Nov"}</definedName>
    <definedName name="DADADA_3" localSheetId="2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1" hidden="1">{#N/A,#N/A,FALSE,"Sost-Nov"}</definedName>
    <definedName name="DADADA_4" localSheetId="2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1" hidden="1">{"'standard'!$A$8:$C$109"}</definedName>
    <definedName name="dadasdasd" localSheetId="2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1" hidden="1">{"'standard'!$A$8:$C$109"}</definedName>
    <definedName name="dadasdasd_1" localSheetId="2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1" hidden="1">{"'standard'!$A$8:$C$109"}</definedName>
    <definedName name="dadasdasd_2" localSheetId="2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1" hidden="1">{"'standard'!$A$8:$C$109"}</definedName>
    <definedName name="dadasdasd_3" localSheetId="2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1" hidden="1">{"datadetail",#N/A,FALSE,"QFD"}</definedName>
    <definedName name="datadetails" localSheetId="2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1" hidden="1">{#N/A,#N/A,FALSE,"summary";#N/A,#N/A,FALSE,"SumGraph"}</definedName>
    <definedName name="DDD" localSheetId="2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1" hidden="1">{#N/A,#N/A,FALSE,"summary";#N/A,#N/A,FALSE,"SumGraph"}</definedName>
    <definedName name="DDD_1" localSheetId="2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1" hidden="1">{#N/A,#N/A,FALSE,"Cobret"}</definedName>
    <definedName name="ddd_2" localSheetId="2" hidden="1">{#N/A,#N/A,FALSE,"Cobret"}</definedName>
    <definedName name="ddd_2" localSheetId="0" hidden="1">{#N/A,#N/A,FALSE,"Cobret"}</definedName>
    <definedName name="ddd_2" hidden="1">{#N/A,#N/A,FALSE,"Cobret"}</definedName>
    <definedName name="ddd_3" localSheetId="1" hidden="1">{#N/A,#N/A,FALSE,"Cobret"}</definedName>
    <definedName name="ddd_3" localSheetId="2" hidden="1">{#N/A,#N/A,FALSE,"Cobret"}</definedName>
    <definedName name="ddd_3" localSheetId="0" hidden="1">{#N/A,#N/A,FALSE,"Cobret"}</definedName>
    <definedName name="ddd_3" hidden="1">{#N/A,#N/A,FALSE,"Cobret"}</definedName>
    <definedName name="ddd_4" localSheetId="1" hidden="1">{#N/A,#N/A,FALSE,"Cobret"}</definedName>
    <definedName name="ddd_4" localSheetId="2" hidden="1">{#N/A,#N/A,FALSE,"Cobret"}</definedName>
    <definedName name="ddd_4" localSheetId="0" hidden="1">{#N/A,#N/A,FALSE,"Cobret"}</definedName>
    <definedName name="ddd_4" hidden="1">{#N/A,#N/A,FALSE,"Cobret"}</definedName>
    <definedName name="ddd_5" localSheetId="1" hidden="1">{#N/A,#N/A,FALSE,"Cobret"}</definedName>
    <definedName name="ddd_5" localSheetId="2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1" hidden="1">{#N/A,#N/A,FALSE,"factura";"factura",#N/A,FALSE,"factura"}</definedName>
    <definedName name="ddddddddd" localSheetId="2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1" hidden="1">{#N/A,#N/A,FALSE,"factura";"factura",#N/A,FALSE,"factura"}</definedName>
    <definedName name="ddddddddd_1" localSheetId="2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1" hidden="1">{#N/A,#N/A,FALSE,"factura";"factura",#N/A,FALSE,"factura"}</definedName>
    <definedName name="ddddddddd_2" localSheetId="2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1" hidden="1">{#N/A,#N/A,FALSE,"factura";"factura",#N/A,FALSE,"factura"}</definedName>
    <definedName name="ddddddddd_3" localSheetId="2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1" hidden="1">{#N/A,#N/A,FALSE,"factura";"factura",#N/A,FALSE,"factura"}</definedName>
    <definedName name="ddddddddd_4" localSheetId="2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1" hidden="1">{#N/A,#N/A,FALSE,"factura";"factura",#N/A,FALSE,"factura"}</definedName>
    <definedName name="ddddddddd_5" localSheetId="2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1" hidden="1">{#N/A,#N/A,FALSE,"factura"}</definedName>
    <definedName name="dddddddddd" localSheetId="2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1" hidden="1">{#N/A,#N/A,FALSE,"factura"}</definedName>
    <definedName name="dddddddddd_1" localSheetId="2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1" hidden="1">{#N/A,#N/A,FALSE,"factura"}</definedName>
    <definedName name="dddddddddd_2" localSheetId="2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1" hidden="1">{#N/A,#N/A,FALSE,"factura"}</definedName>
    <definedName name="dddddddddd_3" localSheetId="2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1" hidden="1">{#N/A,#N/A,FALSE,"factura"}</definedName>
    <definedName name="dddddddddd_4" localSheetId="2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1" hidden="1">{#N/A,#N/A,FALSE,"factura"}</definedName>
    <definedName name="dddddddddd_5" localSheetId="2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1" hidden="1">{#N/A,#N/A,FALSE,"factura"}</definedName>
    <definedName name="dddddddddddd" localSheetId="2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1" hidden="1">{#N/A,#N/A,FALSE,"factura"}</definedName>
    <definedName name="dddddddddddd_1" localSheetId="2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1" hidden="1">{#N/A,#N/A,FALSE,"factura"}</definedName>
    <definedName name="dddddddddddd_2" localSheetId="2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1" hidden="1">{#N/A,#N/A,FALSE,"factura"}</definedName>
    <definedName name="dddddddddddd_3" localSheetId="2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1" hidden="1">{#N/A,#N/A,FALSE,"factura"}</definedName>
    <definedName name="dddddddddddd_4" localSheetId="2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1" hidden="1">{#N/A,#N/A,FALSE,"factura"}</definedName>
    <definedName name="dddddddddddd_5" localSheetId="2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1" hidden="1">{#N/A,#N/A,TRUE,"INGENIERIA";#N/A,#N/A,TRUE,"COMPRAS";#N/A,#N/A,TRUE,"DIRECCION";#N/A,#N/A,TRUE,"RESUMEN"}</definedName>
    <definedName name="ddf" localSheetId="2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1" hidden="1">{#N/A,#N/A,TRUE,"1842CWN0"}</definedName>
    <definedName name="ddvom" localSheetId="2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1" hidden="1">{#N/A,#N/A,TRUE,"arnitower";#N/A,#N/A,TRUE,"arnigarage "}</definedName>
    <definedName name="DEC_19" localSheetId="2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1" hidden="1">{#N/A,#N/A,TRUE,"arnitower";#N/A,#N/A,TRUE,"arnigarage "}</definedName>
    <definedName name="dec_25" localSheetId="2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1" hidden="1">{#N/A,#N/A,TRUE,"Est. de Fact.";#N/A,#N/A,TRUE,"Capitulo 19";#N/A,#N/A,TRUE,"Proyecto P855"}</definedName>
    <definedName name="dfgfd_1" localSheetId="2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1" hidden="1">{#N/A,#N/A,TRUE,"INGENIERIA";#N/A,#N/A,TRUE,"COMPRAS";#N/A,#N/A,TRUE,"DIRECCION";#N/A,#N/A,TRUE,"RESUMEN"}</definedName>
    <definedName name="dfj" localSheetId="2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1" hidden="1">{#N/A,#N/A,FALSE,"PEND INC";#N/A,#N/A,FALSE,"PEND MINM"}</definedName>
    <definedName name="dfre" localSheetId="2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1" hidden="1">{#N/A,#N/A,TRUE,"1842CWN0"}</definedName>
    <definedName name="dgasd" localSheetId="2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1" hidden="1">{#N/A,#N/A,TRUE,"INGENIERIA";#N/A,#N/A,TRUE,"COMPRAS";#N/A,#N/A,TRUE,"DIRECCION";#N/A,#N/A,TRUE,"RESUMEN"}</definedName>
    <definedName name="dgasg" localSheetId="2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1" hidden="1">{"May",#N/A,FALSE,"May"}</definedName>
    <definedName name="dgjsrtujwsthgfs" localSheetId="2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1" hidden="1">{#N/A,#N/A,TRUE,"1842CWN0"}</definedName>
    <definedName name="dhjdb53" localSheetId="2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1" hidden="1">{#N/A,#N/A,TRUE,"1842CWN0"}</definedName>
    <definedName name="djdbsc" localSheetId="2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1" hidden="1">{#N/A,#N/A,TRUE,"1842CWN0"}</definedName>
    <definedName name="djkdhbdv" localSheetId="2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1" hidden="1">{#N/A,#N/A,TRUE,"INGENIERIA";#N/A,#N/A,TRUE,"COMPRAS";#N/A,#N/A,TRUE,"DIRECCION";#N/A,#N/A,TRUE,"RESUMEN"}</definedName>
    <definedName name="dldjdb" localSheetId="2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1" hidden="1">{#N/A,#N/A,TRUE,"Est. de Fact.";#N/A,#N/A,TRUE,"Capitulo 19";#N/A,#N/A,TRUE,"Proyecto P855"}</definedName>
    <definedName name="dsfgdfg" localSheetId="2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1" hidden="1">{#N/A,#N/A,TRUE,"INGENIERIA";#N/A,#N/A,TRUE,"COMPRAS";#N/A,#N/A,TRUE,"DIRECCION";#N/A,#N/A,TRUE,"RESUMEN"}</definedName>
    <definedName name="dssd" localSheetId="2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1" hidden="1">{#N/A,#N/A,TRUE,"1842CWN0"}</definedName>
    <definedName name="dssdsd" localSheetId="2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1" hidden="1">{#N/A,#N/A,TRUE,"INGENIERIA";#N/A,#N/A,TRUE,"COMPRAS";#N/A,#N/A,TRUE,"DIRECCION";#N/A,#N/A,TRUE,"RESUMEN"}</definedName>
    <definedName name="dvklsbn" localSheetId="2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1" hidden="1">{#N/A,#N/A,FALSE,"Matrix";#N/A,#N/A,FALSE,"Executive";#N/A,#N/A,FALSE,"Summary"}</definedName>
    <definedName name="dxl" localSheetId="2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1" hidden="1">{"CI+GG(BASE)",#N/A,FALSE,"CI+GG(BASE)";"GG",#N/A,FALSE,"CI+GG(BASE)";"CI",#N/A,FALSE,"CI+GG(BASE)"}</definedName>
    <definedName name="e" localSheetId="2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1" hidden="1">{"'IUM'!$Q$62"}</definedName>
    <definedName name="Educación" localSheetId="2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1" hidden="1">{"Graf_Carga Trab",#N/A,FALSE,"Grafi_Carga Trab";"Graf_Venta Flujo",#N/A,FALSE,"Grafi_Carga Trab"}</definedName>
    <definedName name="ee" localSheetId="2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1" hidden="1">{#N/A,#N/A,FALSE,"Graficos"}</definedName>
    <definedName name="efwerf" localSheetId="2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1" hidden="1">{#N/A,#N/A,FALSE,"Graficos"}</definedName>
    <definedName name="efwerf_1" localSheetId="2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1" hidden="1">{#N/A,#N/A,FALSE,"Act.Fcst Costs"}</definedName>
    <definedName name="eityety" localSheetId="2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1" hidden="1">{#N/A,#N/A,TRUE,"1842CWN0"}</definedName>
    <definedName name="ejbd84" localSheetId="2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1" hidden="1">{#N/A,#N/A,TRUE,"INGENIERIA";#N/A,#N/A,TRUE,"COMPRAS";#N/A,#N/A,TRUE,"DIRECCION";#N/A,#N/A,TRUE,"RESUMEN"}</definedName>
    <definedName name="ekc" localSheetId="2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1" hidden="1">{#N/A,#N/A,FALSE,"Resumen"}</definedName>
    <definedName name="Empaq" localSheetId="2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1" hidden="1">{#N/A,#N/A,FALSE,"subcontract"}</definedName>
    <definedName name="EPCHOURS" localSheetId="2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1" hidden="1">{#N/A,#N/A,FALSE,"Matrix";#N/A,#N/A,FALSE,"Executive";#N/A,#N/A,FALSE,"Summary"}</definedName>
    <definedName name="EQMAT2" localSheetId="2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1" hidden="1">{#N/A,#N/A,TRUE,"MES";#N/A,#N/A,TRUE,"ANUAL"}</definedName>
    <definedName name="ereretete" localSheetId="2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1" hidden="1">{#N/A,#N/A,FALSE,"200001";#N/A,#N/A,FALSE,"S221 200003";#N/A,#N/A,FALSE,"S221 204005";#N/A,#N/A,FALSE,"S221 204006";#N/A,#N/A,FALSE,"S221 204008"}</definedName>
    <definedName name="ert" localSheetId="2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1" hidden="1">{#N/A,#N/A,FALSE,"ResDev"}</definedName>
    <definedName name="erte" localSheetId="2" hidden="1">{#N/A,#N/A,FALSE,"ResDev"}</definedName>
    <definedName name="erte" localSheetId="0" hidden="1">{#N/A,#N/A,FALSE,"ResDev"}</definedName>
    <definedName name="erte" hidden="1">{#N/A,#N/A,FALSE,"ResDev"}</definedName>
    <definedName name="ertert" localSheetId="1" hidden="1">{#N/A,#N/A,TRUE,"1842CWN0"}</definedName>
    <definedName name="ertert" localSheetId="2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1" hidden="1">{#N/A,#N/A,FALSE,"F_Plan";#N/A,#N/A,FALSE,"Parameter"}</definedName>
    <definedName name="essais" localSheetId="2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1" hidden="1">{#N/A,#N/A,FALSE,"F_Plan";#N/A,#N/A,FALSE,"Parameter"}</definedName>
    <definedName name="essais2" localSheetId="2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1" hidden="1">{#N/A,#N/A,TRUE,"MES";#N/A,#N/A,TRUE,"ANUAL"}</definedName>
    <definedName name="esssss" localSheetId="2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1" hidden="1">{#N/A,#N/A,FALSE,"ResDev"}</definedName>
    <definedName name="etyutyuytu" localSheetId="2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1" hidden="1">{"PRES REHAB ARM-PER POR ITEMS  KM A KM",#N/A,TRUE,"Rehabilitacion Arm-Per"}</definedName>
    <definedName name="fdadsfa" localSheetId="2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1" hidden="1">{#N/A,#N/A,TRUE,"1842CWN0"}</definedName>
    <definedName name="fdfsdfsf" localSheetId="2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1" hidden="1">{#N/A,#N/A,FALSE,"ResDev"}</definedName>
    <definedName name="fdjhrdyjh" localSheetId="2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1" hidden="1">{#N/A,#N/A,TRUE,"Est. de Fact.";#N/A,#N/A,TRUE,"Capitulo 19";#N/A,#N/A,TRUE,"Proyecto P855"}</definedName>
    <definedName name="ffeer" localSheetId="2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1" hidden="1">{"Graf_Carga Trab",#N/A,FALSE,"Grafi_Carga Trab";"Graf_Venta Flujo",#N/A,FALSE,"Grafi_Carga Trab"}</definedName>
    <definedName name="FFF" localSheetId="2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1" hidden="1">{"'DMBL'!$A$1:$N$83","'DMBL'!$A$6:$B$83"}</definedName>
    <definedName name="FFFa" localSheetId="2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1" hidden="1">{"'DMBL'!$A$1:$N$83","'DMBL'!$A$6:$B$83"}</definedName>
    <definedName name="FFFb" localSheetId="2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1" hidden="1">{"'DMBL'!$A$1:$N$83","'DMBL'!$A$6:$B$83"}</definedName>
    <definedName name="FFFc" localSheetId="2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1" hidden="1">{#N/A,#N/A,FALSE,"factura"}</definedName>
    <definedName name="ffff_1" localSheetId="2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1" hidden="1">{#N/A,#N/A,FALSE,"factura"}</definedName>
    <definedName name="ffff_2" localSheetId="2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1" hidden="1">{#N/A,#N/A,FALSE,"factura"}</definedName>
    <definedName name="ffff_3" localSheetId="2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1" hidden="1">{#N/A,#N/A,FALSE,"factura"}</definedName>
    <definedName name="ffff_4" localSheetId="2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1" hidden="1">{#N/A,#N/A,FALSE,"factura"}</definedName>
    <definedName name="ffff_5" localSheetId="2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1" hidden="1">{"JAN",#N/A,FALSE,"January"}</definedName>
    <definedName name="fffff1" localSheetId="2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1" hidden="1">{"JAN",#N/A,FALSE,"January"}</definedName>
    <definedName name="ffffff" localSheetId="2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1" hidden="1">{#N/A,#N/A,TRUE,"INGENIERIA";#N/A,#N/A,TRUE,"COMPRAS";#N/A,#N/A,TRUE,"DIRECCION";#N/A,#N/A,TRUE,"RESUMEN"}</definedName>
    <definedName name="FFFFFFF" localSheetId="2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1" hidden="1">{"April",#N/A,FALSE,"April"}</definedName>
    <definedName name="fffffff1" localSheetId="2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1" hidden="1">{#N/A,#N/A,FALSE,"Cobret"}</definedName>
    <definedName name="fffffs" localSheetId="2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1" hidden="1">{#N/A,#N/A,FALSE,"Cobret"}</definedName>
    <definedName name="fffffs_1" localSheetId="2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1" hidden="1">{#N/A,#N/A,FALSE,"Cobret"}</definedName>
    <definedName name="fffffs_2" localSheetId="2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1" hidden="1">{#N/A,#N/A,FALSE,"Cobret"}</definedName>
    <definedName name="fffffs_3" localSheetId="2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1" hidden="1">{#N/A,#N/A,FALSE,"Cobret"}</definedName>
    <definedName name="fffffs_4" localSheetId="2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1" hidden="1">{#N/A,#N/A,FALSE,"Cobret"}</definedName>
    <definedName name="fffffs_5" localSheetId="2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1" hidden="1">{#N/A,#N/A,TRUE,"1842CWN0"}</definedName>
    <definedName name="ffgh" localSheetId="2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1" hidden="1">{#N/A,#N/A,TRUE,"INGENIERIA";#N/A,#N/A,TRUE,"COMPRAS";#N/A,#N/A,TRUE,"DIRECCION";#N/A,#N/A,TRUE,"RESUMEN"}</definedName>
    <definedName name="ffnkl" localSheetId="2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1" hidden="1">{#N/A,#N/A,TRUE,"INGENIERIA";#N/A,#N/A,TRUE,"COMPRAS";#N/A,#N/A,TRUE,"DIRECCION";#N/A,#N/A,TRUE,"RESUMEN"}</definedName>
    <definedName name="fgbas" localSheetId="2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1" hidden="1">{#N/A,#N/A,TRUE,"259020CIPAug";#N/A,#N/A,TRUE,"259020CIPAug (2)"}</definedName>
    <definedName name="fghk" localSheetId="2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1" hidden="1">{#N/A,#N/A,TRUE,"INGENIERIA";#N/A,#N/A,TRUE,"COMPRAS";#N/A,#N/A,TRUE,"DIRECCION";#N/A,#N/A,TRUE,"RESUMEN"}</definedName>
    <definedName name="fgjk" localSheetId="2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1" hidden="1">{#N/A,#N/A,TRUE,"1842CWN0"}</definedName>
    <definedName name="fgs" localSheetId="2" hidden="1">{#N/A,#N/A,TRUE,"1842CWN0"}</definedName>
    <definedName name="fgs" localSheetId="0" hidden="1">{#N/A,#N/A,TRUE,"1842CWN0"}</definedName>
    <definedName name="fgs" hidden="1">{#N/A,#N/A,TRUE,"1842CWN0"}</definedName>
    <definedName name="fhf" localSheetId="1" hidden="1">{#N/A,#N/A,TRUE,"1842CWN0"}</definedName>
    <definedName name="fhf" localSheetId="2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1" hidden="1">{#N/A,#N/A,TRUE,"1842CWN0"}</definedName>
    <definedName name="fhg" localSheetId="2" hidden="1">{#N/A,#N/A,TRUE,"1842CWN0"}</definedName>
    <definedName name="fhg" localSheetId="0" hidden="1">{#N/A,#N/A,TRUE,"1842CWN0"}</definedName>
    <definedName name="fhg" hidden="1">{#N/A,#N/A,TRUE,"1842CWN0"}</definedName>
    <definedName name="fhg_1" localSheetId="1" hidden="1">{#N/A,#N/A,TRUE,"1842CWN0"}</definedName>
    <definedName name="fhg_1" localSheetId="2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1" hidden="1">{#N/A,#N/A,TRUE,"1842CWN0"}</definedName>
    <definedName name="fhg_2" localSheetId="2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1" hidden="1">{#N/A,#N/A,TRUE,"1842CWN0"}</definedName>
    <definedName name="fhg_3" localSheetId="2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1" hidden="1">{#N/A,#N/A,TRUE,"INGENIERIA";#N/A,#N/A,TRUE,"COMPRAS";#N/A,#N/A,TRUE,"DIRECCION";#N/A,#N/A,TRUE,"RESUMEN"}</definedName>
    <definedName name="fjdkdk" localSheetId="2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1" hidden="1">{#N/A,#N/A,TRUE,"1842CWN0"}</definedName>
    <definedName name="flhg" localSheetId="2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1" hidden="1">{"June",#N/A,FALSE,"June"}</definedName>
    <definedName name="fljfjh" localSheetId="2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1" hidden="1">{#N/A,#N/A,FALSE,"Graficos"}</definedName>
    <definedName name="Flujos" localSheetId="2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1" hidden="1">{#N/A,#N/A,FALSE,"Graficos"}</definedName>
    <definedName name="Flujos_1" localSheetId="2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1" hidden="1">{#N/A,#N/A,TRUE,"INGENIERIA";#N/A,#N/A,TRUE,"COMPRAS";#N/A,#N/A,TRUE,"DIRECCION";#N/A,#N/A,TRUE,"RESUMEN"}</definedName>
    <definedName name="fple" localSheetId="2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1" hidden="1">{#N/A,#N/A,FALSE,"Matrix";#N/A,#N/A,FALSE,"Executive";#N/A,#N/A,FALSE,"Summary"}</definedName>
    <definedName name="fr" localSheetId="2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1" hidden="1">{#N/A,#N/A,FALSE,"MAY96 2260";#N/A,#N/A,FALSE,"system reclass";#N/A,#N/A,FALSE,"Items with no project number"}</definedName>
    <definedName name="FREDDY" localSheetId="2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1" hidden="1">{"CI+GG(BASE)",#N/A,FALSE,"CI+GG(BASE)";"GG",#N/A,FALSE,"CI+GG(BASE)";"CI",#N/A,FALSE,"CI+GG(BASE)"}</definedName>
    <definedName name="FSDF" localSheetId="2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1" hidden="1">{#N/A,#N/A,FALSE,"ResDev"}</definedName>
    <definedName name="ftyuetyu" localSheetId="2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1" hidden="1">{#N/A,#N/A,TRUE,"INGENIERIA";#N/A,#N/A,TRUE,"COMPRAS";#N/A,#N/A,TRUE,"DIRECCION";#N/A,#N/A,TRUE,"RESUMEN"}</definedName>
    <definedName name="fvgh" localSheetId="2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1" hidden="1">{#N/A,#N/A,TRUE,"1842CWN0"}</definedName>
    <definedName name="fvghh" localSheetId="2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1" hidden="1">{#N/A,#N/A,TRUE,"1842CWN0"}</definedName>
    <definedName name="fvrj" localSheetId="2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1" hidden="1">{#N/A,#N/A,FALSE,"Graficos"}</definedName>
    <definedName name="g" localSheetId="2" hidden="1">{#N/A,#N/A,FALSE,"Graficos"}</definedName>
    <definedName name="g" localSheetId="0" hidden="1">{#N/A,#N/A,FALSE,"Graficos"}</definedName>
    <definedName name="g" hidden="1">{#N/A,#N/A,FALSE,"Graficos"}</definedName>
    <definedName name="G.Fin" localSheetId="1" hidden="1">{"DetallexDep",#N/A,FALSE,"Giovanna (x DEPT)"}</definedName>
    <definedName name="G.Fin" localSheetId="2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1" hidden="1">{"DetallexDep",#N/A,FALSE,"Giovanna (x DEPT)"}</definedName>
    <definedName name="G.Fin_1" localSheetId="2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1" hidden="1">{"DetallexDep",#N/A,FALSE,"Giovanna (x DEPT)"}</definedName>
    <definedName name="G.Fin_2" localSheetId="2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1" hidden="1">{"DetallexDep",#N/A,FALSE,"Giovanna (x DEPT)"}</definedName>
    <definedName name="G.Fin_3" localSheetId="2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1" hidden="1">{"DetallexDep",#N/A,FALSE,"Giovanna (x DEPT)"}</definedName>
    <definedName name="G.Fin_4" localSheetId="2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1" hidden="1">{"DetallexDep",#N/A,FALSE,"Giovanna (x DEPT)"}</definedName>
    <definedName name="G.Fin_5" localSheetId="2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1" hidden="1">{#N/A,#N/A,FALSE,"Graficos"}</definedName>
    <definedName name="g_1" localSheetId="2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1" hidden="1">{#N/A,#N/A,FALSE,"Cobret"}</definedName>
    <definedName name="gfgggggg" localSheetId="2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1" hidden="1">{#N/A,#N/A,FALSE,"Cobret"}</definedName>
    <definedName name="gfgggggg_1" localSheetId="2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1" hidden="1">{#N/A,#N/A,FALSE,"Cobret"}</definedName>
    <definedName name="gfgggggg_2" localSheetId="2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1" hidden="1">{#N/A,#N/A,FALSE,"Cobret"}</definedName>
    <definedName name="gfgggggg_3" localSheetId="2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1" hidden="1">{#N/A,#N/A,FALSE,"Cobret"}</definedName>
    <definedName name="gfgggggg_4" localSheetId="2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1" hidden="1">{#N/A,#N/A,FALSE,"Cobret"}</definedName>
    <definedName name="gfgggggg_5" localSheetId="2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1" hidden="1">{#N/A,#N/A,TRUE,"1842CWN0"}</definedName>
    <definedName name="gfjhfdgj" localSheetId="2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1" hidden="1">{"Graf_Carga Trab",#N/A,FALSE,"Grafi_Carga Trab";"Graf_Venta Flujo",#N/A,FALSE,"Grafi_Carga Trab"}</definedName>
    <definedName name="gg" localSheetId="2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1" hidden="1">{#N/A,#N/A,FALSE,"Cobret"}</definedName>
    <definedName name="gggg_1" localSheetId="2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1" hidden="1">{#N/A,#N/A,FALSE,"Cobret"}</definedName>
    <definedName name="gggg_2" localSheetId="2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1" hidden="1">{#N/A,#N/A,FALSE,"Cobret"}</definedName>
    <definedName name="gggg_3" localSheetId="2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1" hidden="1">{#N/A,#N/A,FALSE,"Cobret"}</definedName>
    <definedName name="gggg_4" localSheetId="2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1" hidden="1">{#N/A,#N/A,FALSE,"Cobret"}</definedName>
    <definedName name="gggg_5" localSheetId="2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1" hidden="1">{#N/A,#N/A,FALSE,"factura";"factura",#N/A,FALSE,"factura"}</definedName>
    <definedName name="ggggg" localSheetId="2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1" hidden="1">{#N/A,#N/A,FALSE,"factura";"factura",#N/A,FALSE,"factura"}</definedName>
    <definedName name="ggggg_1" localSheetId="2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1" hidden="1">{#N/A,#N/A,FALSE,"factura";"factura",#N/A,FALSE,"factura"}</definedName>
    <definedName name="ggggg_2" localSheetId="2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1" hidden="1">{#N/A,#N/A,FALSE,"factura";"factura",#N/A,FALSE,"factura"}</definedName>
    <definedName name="ggggg_3" localSheetId="2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1" hidden="1">{#N/A,#N/A,FALSE,"factura";"factura",#N/A,FALSE,"factura"}</definedName>
    <definedName name="ggggg_4" localSheetId="2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1" hidden="1">{#N/A,#N/A,FALSE,"factura";"factura",#N/A,FALSE,"factura"}</definedName>
    <definedName name="ggggg_5" localSheetId="2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1" hidden="1">{#N/A,#N/A,FALSE,"Cobret"}</definedName>
    <definedName name="ggggggg" localSheetId="2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1" hidden="1">{#N/A,#N/A,FALSE,"Cobret"}</definedName>
    <definedName name="ggggggg_1" localSheetId="2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1" hidden="1">{#N/A,#N/A,FALSE,"Cobret"}</definedName>
    <definedName name="ggggggg_2" localSheetId="2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1" hidden="1">{#N/A,#N/A,FALSE,"Cobret"}</definedName>
    <definedName name="ggggggg_3" localSheetId="2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1" hidden="1">{#N/A,#N/A,FALSE,"Cobret"}</definedName>
    <definedName name="ggggggg_4" localSheetId="2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1" hidden="1">{#N/A,#N/A,FALSE,"Cobret"}</definedName>
    <definedName name="ggggggg_5" localSheetId="2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1" hidden="1">{#N/A,#N/A,FALSE,"Cobret"}</definedName>
    <definedName name="gggggggggg" localSheetId="2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1" hidden="1">{#N/A,#N/A,FALSE,"Cobret"}</definedName>
    <definedName name="gggggggggg_1" localSheetId="2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1" hidden="1">{#N/A,#N/A,FALSE,"Cobret"}</definedName>
    <definedName name="gggggggggg_2" localSheetId="2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1" hidden="1">{#N/A,#N/A,FALSE,"Cobret"}</definedName>
    <definedName name="gggggggggg_3" localSheetId="2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1" hidden="1">{#N/A,#N/A,FALSE,"Cobret"}</definedName>
    <definedName name="gggggggggg_4" localSheetId="2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1" hidden="1">{#N/A,#N/A,FALSE,"Cobret"}</definedName>
    <definedName name="gggggggggg_5" localSheetId="2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1" hidden="1">{#N/A,#N/A,TRUE,"1842CWN0"}</definedName>
    <definedName name="gguu" localSheetId="2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1" hidden="1">{#N/A,#N/A,TRUE,"INGENIERIA";#N/A,#N/A,TRUE,"COMPRAS";#N/A,#N/A,TRUE,"DIRECCION";#N/A,#N/A,TRUE,"RESUMEN"}</definedName>
    <definedName name="ghdfgh" localSheetId="2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1" hidden="1">{#N/A,#N/A,TRUE,"INGENIERIA";#N/A,#N/A,TRUE,"COMPRAS";#N/A,#N/A,TRUE,"DIRECCION";#N/A,#N/A,TRUE,"RESUMEN"}</definedName>
    <definedName name="ghfgh" localSheetId="2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1" hidden="1">{#N/A,#N/A,TRUE,"MES";#N/A,#N/A,TRUE,"ANUAL"}</definedName>
    <definedName name="ghhdhdd" localSheetId="2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1" hidden="1">{#N/A,#N/A,TRUE,"INGENIERIA";#N/A,#N/A,TRUE,"COMPRAS";#N/A,#N/A,TRUE,"DIRECCION";#N/A,#N/A,TRUE,"RESUMEN"}</definedName>
    <definedName name="gifbfbv" localSheetId="2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1" hidden="1">{#N/A,#N/A,FALSE,"summary";#N/A,#N/A,FALSE,"SumGraph"}</definedName>
    <definedName name="gigi" localSheetId="2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1" hidden="1">{#N/A,#N/A,FALSE,"summary";#N/A,#N/A,FALSE,"SumGraph"}</definedName>
    <definedName name="gigi_1" localSheetId="2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1" hidden="1">{#N/A,#N/A,FALSE,"summary";#N/A,#N/A,FALSE,"SumGraph"}</definedName>
    <definedName name="gigi_2" localSheetId="2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1" hidden="1">{#N/A,#N/A,FALSE,"summary";#N/A,#N/A,FALSE,"SumGraph"}</definedName>
    <definedName name="gigi_3" localSheetId="2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1" hidden="1">{#N/A,#N/A,TRUE,"INGENIERIA";#N/A,#N/A,TRUE,"COMPRAS";#N/A,#N/A,TRUE,"DIRECCION";#N/A,#N/A,TRUE,"RESUMEN"}</definedName>
    <definedName name="gpx" localSheetId="2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1" hidden="1">{"Graf_Carga Trab",#N/A,FALSE,"Grafi_Carga Trab";"Graf_Venta Flujo",#N/A,FALSE,"Grafi_Carga Trab"}</definedName>
    <definedName name="GRF" localSheetId="2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1" hidden="1">{#N/A,#N/A,TRUE,"1842CWN0"}</definedName>
    <definedName name="gtfd" localSheetId="2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1" hidden="1">{#N/A,#N/A,FALSE,"factura"}</definedName>
    <definedName name="gty" localSheetId="2" hidden="1">{#N/A,#N/A,FALSE,"factura"}</definedName>
    <definedName name="gty" localSheetId="0" hidden="1">{#N/A,#N/A,FALSE,"factura"}</definedName>
    <definedName name="gty" hidden="1">{#N/A,#N/A,FALSE,"factura"}</definedName>
    <definedName name="gty_1" localSheetId="1" hidden="1">{#N/A,#N/A,FALSE,"factura"}</definedName>
    <definedName name="gty_1" localSheetId="2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1" hidden="1">{#N/A,#N/A,FALSE,"factura"}</definedName>
    <definedName name="gty_2" localSheetId="2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1" hidden="1">{#N/A,#N/A,FALSE,"factura"}</definedName>
    <definedName name="gty_3" localSheetId="2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1" hidden="1">{#N/A,#N/A,FALSE,"factura"}</definedName>
    <definedName name="gty_4" localSheetId="2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1" hidden="1">{#N/A,#N/A,FALSE,"factura"}</definedName>
    <definedName name="gty_5" localSheetId="2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1" hidden="1">{#N/A,#N/A,FALSE,"PEND INC";#N/A,#N/A,FALSE,"PEND MINM"}</definedName>
    <definedName name="gxfg" localSheetId="2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1" hidden="1">{#N/A,#N/A,FALSE,"Aging Summary";#N/A,#N/A,FALSE,"Ratio Analysis";#N/A,#N/A,FALSE,"Test 120 Day Accts";#N/A,#N/A,FALSE,"Tickmarks"}</definedName>
    <definedName name="half" localSheetId="2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1" hidden="1">{#N/A,#N/A,FALSE,"ResDev"}</definedName>
    <definedName name="heees" localSheetId="2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1" hidden="1">{#N/A,#N/A,FALSE,"Matrix";#N/A,#N/A,FALSE,"Executive";#N/A,#N/A,FALSE,"Summary"}</definedName>
    <definedName name="Help" localSheetId="2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1" hidden="1">{#N/A,#N/A,TRUE,"1842CWN0"}</definedName>
    <definedName name="hfdddslnb" localSheetId="2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1" hidden="1">{#N/A,#N/A,TRUE,"INGENIERIA";#N/A,#N/A,TRUE,"COMPRAS";#N/A,#N/A,TRUE,"DIRECCION";#N/A,#N/A,TRUE,"RESUMEN"}</definedName>
    <definedName name="hgf" localSheetId="2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1" hidden="1">{#N/A,#N/A,TRUE,"1842CWN0"}</definedName>
    <definedName name="hgfd" localSheetId="2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1" hidden="1">{#N/A,#N/A,FALSE,"summary";#N/A,#N/A,FALSE,"SumGraph"}</definedName>
    <definedName name="HGH" localSheetId="2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1" hidden="1">{#N/A,#N/A,FALSE,"summary";#N/A,#N/A,FALSE,"SumGraph"}</definedName>
    <definedName name="HGH_1" localSheetId="2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1" hidden="1">{#N/A,#N/A,FALSE,"summary";#N/A,#N/A,FALSE,"SumGraph"}</definedName>
    <definedName name="HGH_2" localSheetId="2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1" hidden="1">{#N/A,#N/A,FALSE,"summary";#N/A,#N/A,FALSE,"SumGraph"}</definedName>
    <definedName name="HGH_3" localSheetId="2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1" hidden="1">{"bechtel1",#N/A,TRUE,"BECHTEL";"bechtelhours",#N/A,TRUE,"BECHTEL";"bechtel$",#N/A,TRUE,"BECHTEL"}</definedName>
    <definedName name="hhhh" localSheetId="2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1" hidden="1">{#N/A,#N/A,FALSE,"ResDev"}</definedName>
    <definedName name="hhhhhhhj" localSheetId="2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1" hidden="1">{"Graf_Carga Trab",#N/A,FALSE,"Grafi_Carga Trab";"Graf_Venta Flujo",#N/A,FALSE,"Grafi_Carga Trab"}</definedName>
    <definedName name="HHJK" localSheetId="2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1" hidden="1">{#N/A,#N/A,TRUE,"INGENIERIA";#N/A,#N/A,TRUE,"COMPRAS";#N/A,#N/A,TRUE,"DIRECCION";#N/A,#N/A,TRUE,"RESUMEN"}</definedName>
    <definedName name="hhtgb" localSheetId="2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1" hidden="1">{#N/A,#N/A,TRUE,"1842CWN0"}</definedName>
    <definedName name="hjityu" localSheetId="2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1" hidden="1">{#N/A,#N/A,TRUE,"1842CWN0"}</definedName>
    <definedName name="hkd" localSheetId="2" hidden="1">{#N/A,#N/A,TRUE,"1842CWN0"}</definedName>
    <definedName name="hkd" localSheetId="0" hidden="1">{#N/A,#N/A,TRUE,"1842CWN0"}</definedName>
    <definedName name="hkd" hidden="1">{#N/A,#N/A,TRUE,"1842CWN0"}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1" hidden="1">{#N/A,#N/A,TRUE,"MES";#N/A,#N/A,TRUE,"ANUAL"}</definedName>
    <definedName name="hm" localSheetId="2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1" hidden="1">{#N/A,#N/A,TRUE,"1842CWN0"}</definedName>
    <definedName name="hnf" localSheetId="2" hidden="1">{#N/A,#N/A,TRUE,"1842CWN0"}</definedName>
    <definedName name="hnf" localSheetId="0" hidden="1">{#N/A,#N/A,TRUE,"1842CWN0"}</definedName>
    <definedName name="hnf" hidden="1">{#N/A,#N/A,TRUE,"1842CWN0"}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1" hidden="1">{#N/A,#N/A,TRUE,"Est. de Fact.";#N/A,#N/A,TRUE,"Capitulo 19";#N/A,#N/A,TRUE,"Proyecto P855"}</definedName>
    <definedName name="Hoja5" localSheetId="2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1" hidden="1">{"'Sheet1'!$B$2:$M$87"}</definedName>
    <definedName name="html" localSheetId="2" hidden="1">{"'Sheet1'!$B$2:$M$87"}</definedName>
    <definedName name="html" localSheetId="0" hidden="1">{"'Sheet1'!$B$2:$M$87"}</definedName>
    <definedName name="html" hidden="1">{"'Sheet1'!$B$2:$M$87"}</definedName>
    <definedName name="html_1" localSheetId="1" hidden="1">{"'Sheet1'!$B$2:$M$87"}</definedName>
    <definedName name="html_1" localSheetId="2" hidden="1">{"'Sheet1'!$B$2:$M$87"}</definedName>
    <definedName name="html_1" localSheetId="0" hidden="1">{"'Sheet1'!$B$2:$M$87"}</definedName>
    <definedName name="html_1" hidden="1">{"'Sheet1'!$B$2:$M$87"}</definedName>
    <definedName name="html_1_1" localSheetId="1" hidden="1">{"'Sheet1'!$B$2:$M$87"}</definedName>
    <definedName name="html_1_1" localSheetId="2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1" hidden="1">{"'Sheet1'!$B$2:$M$87"}</definedName>
    <definedName name="html_1_1_1" localSheetId="2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1" hidden="1">{"'Sheet1'!$B$2:$M$87"}</definedName>
    <definedName name="html_1_1_1_1" localSheetId="2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1" hidden="1">{"'Sheet1'!$B$2:$M$87"}</definedName>
    <definedName name="html_1_1_1_1_1" localSheetId="2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1" hidden="1">{"'Sheet1'!$B$2:$M$87"}</definedName>
    <definedName name="html_1_1_1_2" localSheetId="2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1" hidden="1">{"'Sheet1'!$B$2:$M$87"}</definedName>
    <definedName name="html_1_1_2" localSheetId="2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1" hidden="1">{"'Sheet1'!$B$2:$M$87"}</definedName>
    <definedName name="html_1_1_2_1" localSheetId="2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1" hidden="1">{"'Sheet1'!$B$2:$M$87"}</definedName>
    <definedName name="html_1_1_3" localSheetId="2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1" hidden="1">{"'Sheet1'!$B$2:$M$87"}</definedName>
    <definedName name="html_1_2" localSheetId="2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1" hidden="1">{"'Sheet1'!$B$2:$M$87"}</definedName>
    <definedName name="html_1_2_1" localSheetId="2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1" hidden="1">{"'Sheet1'!$B$2:$M$87"}</definedName>
    <definedName name="html_1_2_1_1" localSheetId="2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1" hidden="1">{"'Sheet1'!$B$2:$M$87"}</definedName>
    <definedName name="html_1_2_1_1_1" localSheetId="2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1" hidden="1">{"'Sheet1'!$B$2:$M$87"}</definedName>
    <definedName name="html_1_2_1_2" localSheetId="2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1" hidden="1">{"'Sheet1'!$B$2:$M$87"}</definedName>
    <definedName name="html_1_2_2" localSheetId="2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1" hidden="1">{"'Sheet1'!$B$2:$M$87"}</definedName>
    <definedName name="html_1_2_2_1" localSheetId="2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1" hidden="1">{"'Sheet1'!$B$2:$M$87"}</definedName>
    <definedName name="html_1_2_3" localSheetId="2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1" hidden="1">{"'Sheet1'!$B$2:$M$87"}</definedName>
    <definedName name="html_1_3" localSheetId="2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1" hidden="1">{"'Sheet1'!$B$2:$M$87"}</definedName>
    <definedName name="html_1_3_1" localSheetId="2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1" hidden="1">{"'Sheet1'!$B$2:$M$87"}</definedName>
    <definedName name="html_1_3_1_1" localSheetId="2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1" hidden="1">{"'Sheet1'!$B$2:$M$87"}</definedName>
    <definedName name="html_1_3_1_1_1" localSheetId="2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1" hidden="1">{"'Sheet1'!$B$2:$M$87"}</definedName>
    <definedName name="html_1_3_1_2" localSheetId="2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1" hidden="1">{"'Sheet1'!$B$2:$M$87"}</definedName>
    <definedName name="html_1_3_2" localSheetId="2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1" hidden="1">{"'Sheet1'!$B$2:$M$87"}</definedName>
    <definedName name="html_1_3_2_1" localSheetId="2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1" hidden="1">{"'Sheet1'!$B$2:$M$87"}</definedName>
    <definedName name="html_1_3_3" localSheetId="2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1" hidden="1">{"'Sheet1'!$B$2:$M$87"}</definedName>
    <definedName name="html_1_4" localSheetId="2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1" hidden="1">{"'Sheet1'!$B$2:$M$87"}</definedName>
    <definedName name="html_1_4_1" localSheetId="2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1" hidden="1">{"'Sheet1'!$B$2:$M$87"}</definedName>
    <definedName name="html_1_4_1_1" localSheetId="2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1" hidden="1">{"'Sheet1'!$B$2:$M$87"}</definedName>
    <definedName name="html_1_4_1_1_1" localSheetId="2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1" hidden="1">{"'Sheet1'!$B$2:$M$87"}</definedName>
    <definedName name="html_1_4_1_2" localSheetId="2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1" hidden="1">{"'Sheet1'!$B$2:$M$87"}</definedName>
    <definedName name="html_1_4_2" localSheetId="2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1" hidden="1">{"'Sheet1'!$B$2:$M$87"}</definedName>
    <definedName name="html_1_4_2_1" localSheetId="2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1" hidden="1">{"'Sheet1'!$B$2:$M$87"}</definedName>
    <definedName name="html_1_4_3" localSheetId="2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1" hidden="1">{"'Sheet1'!$B$2:$M$87"}</definedName>
    <definedName name="html_1_5" localSheetId="2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1" hidden="1">{"'Sheet1'!$B$2:$M$87"}</definedName>
    <definedName name="html_1_5_1" localSheetId="2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1" hidden="1">{"'Sheet1'!$B$2:$M$87"}</definedName>
    <definedName name="html_1_5_1_1" localSheetId="2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1" hidden="1">{"'Sheet1'!$B$2:$M$87"}</definedName>
    <definedName name="html_1_5_2" localSheetId="2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1" hidden="1">{"'Sheet1'!$B$2:$M$87"}</definedName>
    <definedName name="html_2" localSheetId="2" hidden="1">{"'Sheet1'!$B$2:$M$87"}</definedName>
    <definedName name="html_2" localSheetId="0" hidden="1">{"'Sheet1'!$B$2:$M$87"}</definedName>
    <definedName name="html_2" hidden="1">{"'Sheet1'!$B$2:$M$87"}</definedName>
    <definedName name="html_2_1" localSheetId="1" hidden="1">{"'Sheet1'!$B$2:$M$87"}</definedName>
    <definedName name="html_2_1" localSheetId="2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1" hidden="1">{"'Sheet1'!$B$2:$M$87"}</definedName>
    <definedName name="html_2_1_1" localSheetId="2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1" hidden="1">{"'Sheet1'!$B$2:$M$87"}</definedName>
    <definedName name="html_2_1_1_1" localSheetId="2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1" hidden="1">{"'Sheet1'!$B$2:$M$87"}</definedName>
    <definedName name="html_2_1_1_1_1" localSheetId="2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1" hidden="1">{"'Sheet1'!$B$2:$M$87"}</definedName>
    <definedName name="html_2_1_1_2" localSheetId="2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1" hidden="1">{"'Sheet1'!$B$2:$M$87"}</definedName>
    <definedName name="html_2_1_2" localSheetId="2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1" hidden="1">{"'Sheet1'!$B$2:$M$87"}</definedName>
    <definedName name="html_2_1_2_1" localSheetId="2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1" hidden="1">{"'Sheet1'!$B$2:$M$87"}</definedName>
    <definedName name="html_2_1_3" localSheetId="2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1" hidden="1">{"'Sheet1'!$B$2:$M$87"}</definedName>
    <definedName name="html_2_2" localSheetId="2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1" hidden="1">{"'Sheet1'!$B$2:$M$87"}</definedName>
    <definedName name="html_2_2_1" localSheetId="2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1" hidden="1">{"'Sheet1'!$B$2:$M$87"}</definedName>
    <definedName name="html_2_2_1_1" localSheetId="2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1" hidden="1">{"'Sheet1'!$B$2:$M$87"}</definedName>
    <definedName name="html_2_2_1_1_1" localSheetId="2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1" hidden="1">{"'Sheet1'!$B$2:$M$87"}</definedName>
    <definedName name="html_2_2_1_2" localSheetId="2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1" hidden="1">{"'Sheet1'!$B$2:$M$87"}</definedName>
    <definedName name="html_2_2_2" localSheetId="2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1" hidden="1">{"'Sheet1'!$B$2:$M$87"}</definedName>
    <definedName name="html_2_2_2_1" localSheetId="2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1" hidden="1">{"'Sheet1'!$B$2:$M$87"}</definedName>
    <definedName name="html_2_2_3" localSheetId="2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1" hidden="1">{"'Sheet1'!$B$2:$M$87"}</definedName>
    <definedName name="html_2_3" localSheetId="2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1" hidden="1">{"'Sheet1'!$B$2:$M$87"}</definedName>
    <definedName name="html_2_3_1" localSheetId="2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1" hidden="1">{"'Sheet1'!$B$2:$M$87"}</definedName>
    <definedName name="html_2_3_1_1" localSheetId="2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1" hidden="1">{"'Sheet1'!$B$2:$M$87"}</definedName>
    <definedName name="html_2_3_1_1_1" localSheetId="2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1" hidden="1">{"'Sheet1'!$B$2:$M$87"}</definedName>
    <definedName name="html_2_3_1_2" localSheetId="2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1" hidden="1">{"'Sheet1'!$B$2:$M$87"}</definedName>
    <definedName name="html_2_3_2" localSheetId="2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1" hidden="1">{"'Sheet1'!$B$2:$M$87"}</definedName>
    <definedName name="html_2_3_2_1" localSheetId="2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1" hidden="1">{"'Sheet1'!$B$2:$M$87"}</definedName>
    <definedName name="html_2_3_3" localSheetId="2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1" hidden="1">{"'Sheet1'!$B$2:$M$87"}</definedName>
    <definedName name="html_2_4" localSheetId="2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1" hidden="1">{"'Sheet1'!$B$2:$M$87"}</definedName>
    <definedName name="html_2_4_1" localSheetId="2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1" hidden="1">{"'Sheet1'!$B$2:$M$87"}</definedName>
    <definedName name="html_2_4_1_1" localSheetId="2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1" hidden="1">{"'Sheet1'!$B$2:$M$87"}</definedName>
    <definedName name="html_2_4_1_1_1" localSheetId="2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1" hidden="1">{"'Sheet1'!$B$2:$M$87"}</definedName>
    <definedName name="html_2_4_1_2" localSheetId="2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1" hidden="1">{"'Sheet1'!$B$2:$M$87"}</definedName>
    <definedName name="html_2_4_2" localSheetId="2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1" hidden="1">{"'Sheet1'!$B$2:$M$87"}</definedName>
    <definedName name="html_2_4_2_1" localSheetId="2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1" hidden="1">{"'Sheet1'!$B$2:$M$87"}</definedName>
    <definedName name="html_2_4_3" localSheetId="2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1" hidden="1">{"'Sheet1'!$B$2:$M$87"}</definedName>
    <definedName name="html_2_5" localSheetId="2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1" hidden="1">{"'Sheet1'!$B$2:$M$87"}</definedName>
    <definedName name="html_2_5_1" localSheetId="2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1" hidden="1">{"'Sheet1'!$B$2:$M$87"}</definedName>
    <definedName name="html_2_5_1_1" localSheetId="2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1" hidden="1">{"'Sheet1'!$B$2:$M$87"}</definedName>
    <definedName name="html_2_5_2" localSheetId="2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1" hidden="1">{"'Sheet1'!$B$2:$M$87"}</definedName>
    <definedName name="html_3" localSheetId="2" hidden="1">{"'Sheet1'!$B$2:$M$87"}</definedName>
    <definedName name="html_3" localSheetId="0" hidden="1">{"'Sheet1'!$B$2:$M$87"}</definedName>
    <definedName name="html_3" hidden="1">{"'Sheet1'!$B$2:$M$87"}</definedName>
    <definedName name="html_3_1" localSheetId="1" hidden="1">{"'Sheet1'!$B$2:$M$87"}</definedName>
    <definedName name="html_3_1" localSheetId="2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1" hidden="1">{"'Sheet1'!$B$2:$M$87"}</definedName>
    <definedName name="html_3_1_1" localSheetId="2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1" hidden="1">{"'Sheet1'!$B$2:$M$87"}</definedName>
    <definedName name="html_3_1_1_1" localSheetId="2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1" hidden="1">{"'Sheet1'!$B$2:$M$87"}</definedName>
    <definedName name="html_3_1_1_1_1" localSheetId="2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1" hidden="1">{"'Sheet1'!$B$2:$M$87"}</definedName>
    <definedName name="html_3_1_1_2" localSheetId="2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1" hidden="1">{"'Sheet1'!$B$2:$M$87"}</definedName>
    <definedName name="html_3_1_2" localSheetId="2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1" hidden="1">{"'Sheet1'!$B$2:$M$87"}</definedName>
    <definedName name="html_3_1_2_1" localSheetId="2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1" hidden="1">{"'Sheet1'!$B$2:$M$87"}</definedName>
    <definedName name="html_3_1_3" localSheetId="2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1" hidden="1">{"'Sheet1'!$B$2:$M$87"}</definedName>
    <definedName name="html_3_2" localSheetId="2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1" hidden="1">{"'Sheet1'!$B$2:$M$87"}</definedName>
    <definedName name="html_3_2_1" localSheetId="2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1" hidden="1">{"'Sheet1'!$B$2:$M$87"}</definedName>
    <definedName name="html_3_2_1_1" localSheetId="2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1" hidden="1">{"'Sheet1'!$B$2:$M$87"}</definedName>
    <definedName name="html_3_2_1_1_1" localSheetId="2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1" hidden="1">{"'Sheet1'!$B$2:$M$87"}</definedName>
    <definedName name="html_3_2_1_2" localSheetId="2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1" hidden="1">{"'Sheet1'!$B$2:$M$87"}</definedName>
    <definedName name="html_3_2_2" localSheetId="2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1" hidden="1">{"'Sheet1'!$B$2:$M$87"}</definedName>
    <definedName name="html_3_2_2_1" localSheetId="2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1" hidden="1">{"'Sheet1'!$B$2:$M$87"}</definedName>
    <definedName name="html_3_2_3" localSheetId="2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1" hidden="1">{"'Sheet1'!$B$2:$M$87"}</definedName>
    <definedName name="html_3_3" localSheetId="2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1" hidden="1">{"'Sheet1'!$B$2:$M$87"}</definedName>
    <definedName name="html_3_3_1" localSheetId="2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1" hidden="1">{"'Sheet1'!$B$2:$M$87"}</definedName>
    <definedName name="html_3_3_1_1" localSheetId="2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1" hidden="1">{"'Sheet1'!$B$2:$M$87"}</definedName>
    <definedName name="html_3_3_1_1_1" localSheetId="2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1" hidden="1">{"'Sheet1'!$B$2:$M$87"}</definedName>
    <definedName name="html_3_3_1_2" localSheetId="2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1" hidden="1">{"'Sheet1'!$B$2:$M$87"}</definedName>
    <definedName name="html_3_3_2" localSheetId="2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1" hidden="1">{"'Sheet1'!$B$2:$M$87"}</definedName>
    <definedName name="html_3_3_2_1" localSheetId="2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1" hidden="1">{"'Sheet1'!$B$2:$M$87"}</definedName>
    <definedName name="html_3_3_3" localSheetId="2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1" hidden="1">{"'Sheet1'!$B$2:$M$87"}</definedName>
    <definedName name="html_3_4" localSheetId="2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1" hidden="1">{"'Sheet1'!$B$2:$M$87"}</definedName>
    <definedName name="html_3_4_1" localSheetId="2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1" hidden="1">{"'Sheet1'!$B$2:$M$87"}</definedName>
    <definedName name="html_3_4_1_1" localSheetId="2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1" hidden="1">{"'Sheet1'!$B$2:$M$87"}</definedName>
    <definedName name="html_3_4_1_1_1" localSheetId="2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1" hidden="1">{"'Sheet1'!$B$2:$M$87"}</definedName>
    <definedName name="html_3_4_1_2" localSheetId="2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1" hidden="1">{"'Sheet1'!$B$2:$M$87"}</definedName>
    <definedName name="html_3_4_2" localSheetId="2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1" hidden="1">{"'Sheet1'!$B$2:$M$87"}</definedName>
    <definedName name="html_3_4_2_1" localSheetId="2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1" hidden="1">{"'Sheet1'!$B$2:$M$87"}</definedName>
    <definedName name="html_3_4_3" localSheetId="2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1" hidden="1">{"'Sheet1'!$B$2:$M$87"}</definedName>
    <definedName name="html_3_5" localSheetId="2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1" hidden="1">{"'Sheet1'!$B$2:$M$87"}</definedName>
    <definedName name="html_3_5_1" localSheetId="2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1" hidden="1">{"'Sheet1'!$B$2:$M$87"}</definedName>
    <definedName name="html_3_5_1_1" localSheetId="2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1" hidden="1">{"'Sheet1'!$B$2:$M$87"}</definedName>
    <definedName name="html_3_5_2" localSheetId="2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1" hidden="1">{"'Sheet1'!$B$2:$M$87"}</definedName>
    <definedName name="html_4" localSheetId="2" hidden="1">{"'Sheet1'!$B$2:$M$87"}</definedName>
    <definedName name="html_4" localSheetId="0" hidden="1">{"'Sheet1'!$B$2:$M$87"}</definedName>
    <definedName name="html_4" hidden="1">{"'Sheet1'!$B$2:$M$87"}</definedName>
    <definedName name="html_4_1" localSheetId="1" hidden="1">{"'Sheet1'!$B$2:$M$87"}</definedName>
    <definedName name="html_4_1" localSheetId="2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1" hidden="1">{"'Sheet1'!$B$2:$M$87"}</definedName>
    <definedName name="html_4_1_1" localSheetId="2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1" hidden="1">{"'Sheet1'!$B$2:$M$87"}</definedName>
    <definedName name="html_4_1_1_1" localSheetId="2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1" hidden="1">{"'Sheet1'!$B$2:$M$87"}</definedName>
    <definedName name="html_4_1_2" localSheetId="2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1" hidden="1">{"'Sheet1'!$B$2:$M$87"}</definedName>
    <definedName name="html_4_2" localSheetId="2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1" hidden="1">{"'Sheet1'!$B$2:$M$87"}</definedName>
    <definedName name="html_4_2_1" localSheetId="2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1" hidden="1">{"'Sheet1'!$B$2:$M$87"}</definedName>
    <definedName name="html_4_3" localSheetId="2" hidden="1">{"'Sheet1'!$B$2:$M$87"}</definedName>
    <definedName name="html_4_3" localSheetId="0" hidden="1">{"'Sheet1'!$B$2:$M$87"}</definedName>
    <definedName name="html_4_3" hidden="1">{"'Sheet1'!$B$2:$M$87"}</definedName>
    <definedName name="html_5" localSheetId="1" hidden="1">{"'Sheet1'!$B$2:$M$87"}</definedName>
    <definedName name="html_5" localSheetId="2" hidden="1">{"'Sheet1'!$B$2:$M$87"}</definedName>
    <definedName name="html_5" localSheetId="0" hidden="1">{"'Sheet1'!$B$2:$M$87"}</definedName>
    <definedName name="html_5" hidden="1">{"'Sheet1'!$B$2:$M$87"}</definedName>
    <definedName name="html_5_1" localSheetId="1" hidden="1">{"'Sheet1'!$B$2:$M$87"}</definedName>
    <definedName name="html_5_1" localSheetId="2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1" hidden="1">{"'Sheet1'!$B$2:$M$87"}</definedName>
    <definedName name="html_5_1_1" localSheetId="2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1" hidden="1">{"'Sheet1'!$B$2:$M$87"}</definedName>
    <definedName name="html_5_1_1_1" localSheetId="2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1" hidden="1">{"'Sheet1'!$B$2:$M$87"}</definedName>
    <definedName name="html_5_1_2" localSheetId="2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1" hidden="1">{"'Sheet1'!$B$2:$M$87"}</definedName>
    <definedName name="html_5_2" localSheetId="2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1" hidden="1">{"'Sheet1'!$B$2:$M$87"}</definedName>
    <definedName name="html_5_2_1" localSheetId="2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1" hidden="1">{"'Sheet1'!$B$2:$M$87"}</definedName>
    <definedName name="html_5_3" localSheetId="2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1" hidden="1">{"'resumen REV 3'!$B$1:$Q$69"}</definedName>
    <definedName name="HTML_Control" localSheetId="2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1" hidden="1">{"'resumen REV 3'!$B$1:$Q$69"}</definedName>
    <definedName name="HTML_Control_1" localSheetId="2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1" hidden="1">{"'Sheet1'!$B$2:$M$87"}</definedName>
    <definedName name="HTML_Control_1_1" localSheetId="2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1" hidden="1">{"'Sheet1'!$B$2:$M$87"}</definedName>
    <definedName name="HTML_Control_1_1_1" localSheetId="2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1" hidden="1">{"'Sheet1'!$B$2:$M$87"}</definedName>
    <definedName name="HTML_Control_1_1_1_1" localSheetId="2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1" hidden="1">{"'Sheet1'!$B$2:$M$87"}</definedName>
    <definedName name="HTML_Control_1_1_1_1_1" localSheetId="2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1" hidden="1">{"'Sheet1'!$B$2:$M$87"}</definedName>
    <definedName name="HTML_Control_1_1_1_2" localSheetId="2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1" hidden="1">{"'Sheet1'!$B$2:$M$87"}</definedName>
    <definedName name="HTML_Control_1_1_2" localSheetId="2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1" hidden="1">{"'Sheet1'!$B$2:$M$87"}</definedName>
    <definedName name="HTML_Control_1_1_2_1" localSheetId="2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1" hidden="1">{"'Sheet1'!$B$2:$M$87"}</definedName>
    <definedName name="HTML_Control_1_1_3" localSheetId="2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1" hidden="1">{"'Sheet1'!$B$2:$M$87"}</definedName>
    <definedName name="HTML_Control_1_2" localSheetId="2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1" hidden="1">{"'Sheet1'!$B$2:$M$87"}</definedName>
    <definedName name="HTML_Control_1_2_1" localSheetId="2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1" hidden="1">{"'Sheet1'!$B$2:$M$87"}</definedName>
    <definedName name="HTML_Control_1_2_1_1" localSheetId="2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1" hidden="1">{"'Sheet1'!$B$2:$M$87"}</definedName>
    <definedName name="HTML_Control_1_2_1_1_1" localSheetId="2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1" hidden="1">{"'Sheet1'!$B$2:$M$87"}</definedName>
    <definedName name="HTML_Control_1_2_1_2" localSheetId="2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1" hidden="1">{"'Sheet1'!$B$2:$M$87"}</definedName>
    <definedName name="HTML_Control_1_2_2" localSheetId="2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1" hidden="1">{"'Sheet1'!$B$2:$M$87"}</definedName>
    <definedName name="HTML_Control_1_2_2_1" localSheetId="2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1" hidden="1">{"'Sheet1'!$B$2:$M$87"}</definedName>
    <definedName name="HTML_Control_1_2_3" localSheetId="2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1" hidden="1">{"'Sheet1'!$B$2:$M$87"}</definedName>
    <definedName name="HTML_Control_1_3" localSheetId="2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1" hidden="1">{"'Sheet1'!$B$2:$M$87"}</definedName>
    <definedName name="HTML_Control_1_3_1" localSheetId="2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1" hidden="1">{"'Sheet1'!$B$2:$M$87"}</definedName>
    <definedName name="HTML_Control_1_3_1_1" localSheetId="2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1" hidden="1">{"'Sheet1'!$B$2:$M$87"}</definedName>
    <definedName name="HTML_Control_1_3_1_1_1" localSheetId="2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1" hidden="1">{"'Sheet1'!$B$2:$M$87"}</definedName>
    <definedName name="HTML_Control_1_3_1_2" localSheetId="2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1" hidden="1">{"'Sheet1'!$B$2:$M$87"}</definedName>
    <definedName name="HTML_Control_1_3_2" localSheetId="2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1" hidden="1">{"'Sheet1'!$B$2:$M$87"}</definedName>
    <definedName name="HTML_Control_1_3_2_1" localSheetId="2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1" hidden="1">{"'Sheet1'!$B$2:$M$87"}</definedName>
    <definedName name="HTML_Control_1_3_3" localSheetId="2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1" hidden="1">{"'Sheet1'!$B$2:$M$87"}</definedName>
    <definedName name="HTML_Control_1_4" localSheetId="2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1" hidden="1">{"'Sheet1'!$B$2:$M$87"}</definedName>
    <definedName name="HTML_Control_1_4_1" localSheetId="2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1" hidden="1">{"'Sheet1'!$B$2:$M$87"}</definedName>
    <definedName name="HTML_Control_1_4_1_1" localSheetId="2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1" hidden="1">{"'Sheet1'!$B$2:$M$87"}</definedName>
    <definedName name="HTML_Control_1_4_1_1_1" localSheetId="2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1" hidden="1">{"'Sheet1'!$B$2:$M$87"}</definedName>
    <definedName name="HTML_Control_1_4_1_2" localSheetId="2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1" hidden="1">{"'Sheet1'!$B$2:$M$87"}</definedName>
    <definedName name="HTML_Control_1_4_2" localSheetId="2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1" hidden="1">{"'Sheet1'!$B$2:$M$87"}</definedName>
    <definedName name="HTML_Control_1_4_2_1" localSheetId="2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1" hidden="1">{"'Sheet1'!$B$2:$M$87"}</definedName>
    <definedName name="HTML_Control_1_4_3" localSheetId="2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1" hidden="1">{"'Sheet1'!$B$2:$M$87"}</definedName>
    <definedName name="HTML_Control_1_5" localSheetId="2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1" hidden="1">{"'Sheet1'!$B$2:$M$87"}</definedName>
    <definedName name="HTML_Control_1_5_1" localSheetId="2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1" hidden="1">{"'Sheet1'!$B$2:$M$87"}</definedName>
    <definedName name="HTML_Control_1_5_1_1" localSheetId="2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1" hidden="1">{"'Sheet1'!$B$2:$M$87"}</definedName>
    <definedName name="HTML_Control_1_5_2" localSheetId="2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1" hidden="1">{"'Sheet1'!$B$2:$M$87"}</definedName>
    <definedName name="HTML_Control_2" localSheetId="2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1" hidden="1">{"'Sheet1'!$B$2:$M$87"}</definedName>
    <definedName name="HTML_Control_2_1" localSheetId="2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1" hidden="1">{"'Sheet1'!$B$2:$M$87"}</definedName>
    <definedName name="HTML_Control_2_1_1" localSheetId="2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1" hidden="1">{"'Sheet1'!$B$2:$M$87"}</definedName>
    <definedName name="HTML_Control_2_1_1_1" localSheetId="2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1" hidden="1">{"'Sheet1'!$B$2:$M$87"}</definedName>
    <definedName name="HTML_Control_2_1_1_1_1" localSheetId="2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1" hidden="1">{"'Sheet1'!$B$2:$M$87"}</definedName>
    <definedName name="HTML_Control_2_1_1_2" localSheetId="2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1" hidden="1">{"'Sheet1'!$B$2:$M$87"}</definedName>
    <definedName name="HTML_Control_2_1_2" localSheetId="2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1" hidden="1">{"'Sheet1'!$B$2:$M$87"}</definedName>
    <definedName name="HTML_Control_2_1_2_1" localSheetId="2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1" hidden="1">{"'Sheet1'!$B$2:$M$87"}</definedName>
    <definedName name="HTML_Control_2_1_3" localSheetId="2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1" hidden="1">{"'Sheet1'!$B$2:$M$87"}</definedName>
    <definedName name="HTML_Control_2_2" localSheetId="2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1" hidden="1">{"'Sheet1'!$B$2:$M$87"}</definedName>
    <definedName name="HTML_Control_2_2_1" localSheetId="2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1" hidden="1">{"'Sheet1'!$B$2:$M$87"}</definedName>
    <definedName name="HTML_Control_2_2_1_1" localSheetId="2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1" hidden="1">{"'Sheet1'!$B$2:$M$87"}</definedName>
    <definedName name="HTML_Control_2_2_1_1_1" localSheetId="2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1" hidden="1">{"'Sheet1'!$B$2:$M$87"}</definedName>
    <definedName name="HTML_Control_2_2_1_2" localSheetId="2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1" hidden="1">{"'Sheet1'!$B$2:$M$87"}</definedName>
    <definedName name="HTML_Control_2_2_2" localSheetId="2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1" hidden="1">{"'Sheet1'!$B$2:$M$87"}</definedName>
    <definedName name="HTML_Control_2_2_2_1" localSheetId="2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1" hidden="1">{"'Sheet1'!$B$2:$M$87"}</definedName>
    <definedName name="HTML_Control_2_2_3" localSheetId="2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1" hidden="1">{"'Sheet1'!$B$2:$M$87"}</definedName>
    <definedName name="HTML_Control_2_3" localSheetId="2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1" hidden="1">{"'Sheet1'!$B$2:$M$87"}</definedName>
    <definedName name="HTML_Control_2_3_1" localSheetId="2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1" hidden="1">{"'Sheet1'!$B$2:$M$87"}</definedName>
    <definedName name="HTML_Control_2_3_1_1" localSheetId="2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1" hidden="1">{"'Sheet1'!$B$2:$M$87"}</definedName>
    <definedName name="HTML_Control_2_3_1_1_1" localSheetId="2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1" hidden="1">{"'Sheet1'!$B$2:$M$87"}</definedName>
    <definedName name="HTML_Control_2_3_1_2" localSheetId="2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1" hidden="1">{"'Sheet1'!$B$2:$M$87"}</definedName>
    <definedName name="HTML_Control_2_3_2" localSheetId="2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1" hidden="1">{"'Sheet1'!$B$2:$M$87"}</definedName>
    <definedName name="HTML_Control_2_3_2_1" localSheetId="2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1" hidden="1">{"'Sheet1'!$B$2:$M$87"}</definedName>
    <definedName name="HTML_Control_2_3_3" localSheetId="2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1" hidden="1">{"'Sheet1'!$B$2:$M$87"}</definedName>
    <definedName name="HTML_Control_2_4" localSheetId="2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1" hidden="1">{"'Sheet1'!$B$2:$M$87"}</definedName>
    <definedName name="HTML_Control_2_4_1" localSheetId="2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1" hidden="1">{"'Sheet1'!$B$2:$M$87"}</definedName>
    <definedName name="HTML_Control_2_4_1_1" localSheetId="2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1" hidden="1">{"'Sheet1'!$B$2:$M$87"}</definedName>
    <definedName name="HTML_Control_2_4_1_1_1" localSheetId="2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1" hidden="1">{"'Sheet1'!$B$2:$M$87"}</definedName>
    <definedName name="HTML_Control_2_4_1_2" localSheetId="2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1" hidden="1">{"'Sheet1'!$B$2:$M$87"}</definedName>
    <definedName name="HTML_Control_2_4_2" localSheetId="2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1" hidden="1">{"'Sheet1'!$B$2:$M$87"}</definedName>
    <definedName name="HTML_Control_2_4_2_1" localSheetId="2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1" hidden="1">{"'Sheet1'!$B$2:$M$87"}</definedName>
    <definedName name="HTML_Control_2_4_3" localSheetId="2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1" hidden="1">{"'Sheet1'!$B$2:$M$87"}</definedName>
    <definedName name="HTML_Control_2_5" localSheetId="2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1" hidden="1">{"'Sheet1'!$B$2:$M$87"}</definedName>
    <definedName name="HTML_Control_2_5_1" localSheetId="2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1" hidden="1">{"'Sheet1'!$B$2:$M$87"}</definedName>
    <definedName name="HTML_Control_2_5_1_1" localSheetId="2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1" hidden="1">{"'Sheet1'!$B$2:$M$87"}</definedName>
    <definedName name="HTML_Control_2_5_2" localSheetId="2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1" hidden="1">{"'Sheet1'!$B$2:$M$87"}</definedName>
    <definedName name="HTML_Control_3" localSheetId="2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1" hidden="1">{"'Sheet1'!$B$2:$M$87"}</definedName>
    <definedName name="HTML_Control_3_1" localSheetId="2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1" hidden="1">{"'Sheet1'!$B$2:$M$87"}</definedName>
    <definedName name="HTML_Control_3_1_1" localSheetId="2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1" hidden="1">{"'Sheet1'!$B$2:$M$87"}</definedName>
    <definedName name="HTML_Control_3_1_1_1" localSheetId="2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1" hidden="1">{"'Sheet1'!$B$2:$M$87"}</definedName>
    <definedName name="HTML_Control_3_1_1_1_1" localSheetId="2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1" hidden="1">{"'Sheet1'!$B$2:$M$87"}</definedName>
    <definedName name="HTML_Control_3_1_1_2" localSheetId="2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1" hidden="1">{"'Sheet1'!$B$2:$M$87"}</definedName>
    <definedName name="HTML_Control_3_1_2" localSheetId="2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1" hidden="1">{"'Sheet1'!$B$2:$M$87"}</definedName>
    <definedName name="HTML_Control_3_1_2_1" localSheetId="2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1" hidden="1">{"'Sheet1'!$B$2:$M$87"}</definedName>
    <definedName name="HTML_Control_3_1_3" localSheetId="2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1" hidden="1">{"'Sheet1'!$B$2:$M$87"}</definedName>
    <definedName name="HTML_Control_3_2" localSheetId="2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1" hidden="1">{"'Sheet1'!$B$2:$M$87"}</definedName>
    <definedName name="HTML_Control_3_2_1" localSheetId="2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1" hidden="1">{"'Sheet1'!$B$2:$M$87"}</definedName>
    <definedName name="HTML_Control_3_2_1_1" localSheetId="2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1" hidden="1">{"'Sheet1'!$B$2:$M$87"}</definedName>
    <definedName name="HTML_Control_3_2_1_1_1" localSheetId="2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1" hidden="1">{"'Sheet1'!$B$2:$M$87"}</definedName>
    <definedName name="HTML_Control_3_2_1_2" localSheetId="2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1" hidden="1">{"'Sheet1'!$B$2:$M$87"}</definedName>
    <definedName name="HTML_Control_3_2_2" localSheetId="2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1" hidden="1">{"'Sheet1'!$B$2:$M$87"}</definedName>
    <definedName name="HTML_Control_3_2_2_1" localSheetId="2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1" hidden="1">{"'Sheet1'!$B$2:$M$87"}</definedName>
    <definedName name="HTML_Control_3_2_3" localSheetId="2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1" hidden="1">{"'Sheet1'!$B$2:$M$87"}</definedName>
    <definedName name="HTML_Control_3_3" localSheetId="2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1" hidden="1">{"'Sheet1'!$B$2:$M$87"}</definedName>
    <definedName name="HTML_Control_3_3_1" localSheetId="2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1" hidden="1">{"'Sheet1'!$B$2:$M$87"}</definedName>
    <definedName name="HTML_Control_3_3_1_1" localSheetId="2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1" hidden="1">{"'Sheet1'!$B$2:$M$87"}</definedName>
    <definedName name="HTML_Control_3_3_1_1_1" localSheetId="2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1" hidden="1">{"'Sheet1'!$B$2:$M$87"}</definedName>
    <definedName name="HTML_Control_3_3_1_2" localSheetId="2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1" hidden="1">{"'Sheet1'!$B$2:$M$87"}</definedName>
    <definedName name="HTML_Control_3_3_2" localSheetId="2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1" hidden="1">{"'Sheet1'!$B$2:$M$87"}</definedName>
    <definedName name="HTML_Control_3_3_2_1" localSheetId="2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1" hidden="1">{"'Sheet1'!$B$2:$M$87"}</definedName>
    <definedName name="HTML_Control_3_3_3" localSheetId="2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1" hidden="1">{"'Sheet1'!$B$2:$M$87"}</definedName>
    <definedName name="HTML_Control_3_4" localSheetId="2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1" hidden="1">{"'Sheet1'!$B$2:$M$87"}</definedName>
    <definedName name="HTML_Control_3_4_1" localSheetId="2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1" hidden="1">{"'Sheet1'!$B$2:$M$87"}</definedName>
    <definedName name="HTML_Control_3_4_1_1" localSheetId="2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1" hidden="1">{"'Sheet1'!$B$2:$M$87"}</definedName>
    <definedName name="HTML_Control_3_4_1_1_1" localSheetId="2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1" hidden="1">{"'Sheet1'!$B$2:$M$87"}</definedName>
    <definedName name="HTML_Control_3_4_1_2" localSheetId="2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1" hidden="1">{"'Sheet1'!$B$2:$M$87"}</definedName>
    <definedName name="HTML_Control_3_4_2" localSheetId="2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1" hidden="1">{"'Sheet1'!$B$2:$M$87"}</definedName>
    <definedName name="HTML_Control_3_4_2_1" localSheetId="2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1" hidden="1">{"'Sheet1'!$B$2:$M$87"}</definedName>
    <definedName name="HTML_Control_3_4_3" localSheetId="2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1" hidden="1">{"'Sheet1'!$B$2:$M$87"}</definedName>
    <definedName name="HTML_Control_3_5" localSheetId="2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1" hidden="1">{"'Sheet1'!$B$2:$M$87"}</definedName>
    <definedName name="HTML_Control_3_5_1" localSheetId="2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1" hidden="1">{"'Sheet1'!$B$2:$M$87"}</definedName>
    <definedName name="HTML_Control_3_5_1_1" localSheetId="2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1" hidden="1">{"'Sheet1'!$B$2:$M$87"}</definedName>
    <definedName name="HTML_Control_3_5_2" localSheetId="2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1" hidden="1">{"'Sheet1'!$B$2:$M$87"}</definedName>
    <definedName name="HTML_Control_4" localSheetId="2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1" hidden="1">{"'Sheet1'!$B$2:$M$87"}</definedName>
    <definedName name="HTML_Control_4_1" localSheetId="2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1" hidden="1">{"'Sheet1'!$B$2:$M$87"}</definedName>
    <definedName name="HTML_Control_4_1_1" localSheetId="2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1" hidden="1">{"'Sheet1'!$B$2:$M$87"}</definedName>
    <definedName name="HTML_Control_4_1_1_1" localSheetId="2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1" hidden="1">{"'Sheet1'!$B$2:$M$87"}</definedName>
    <definedName name="HTML_Control_4_1_2" localSheetId="2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1" hidden="1">{"'Sheet1'!$B$2:$M$87"}</definedName>
    <definedName name="HTML_Control_4_2" localSheetId="2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1" hidden="1">{"'Sheet1'!$B$2:$M$87"}</definedName>
    <definedName name="HTML_Control_4_2_1" localSheetId="2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1" hidden="1">{"'Sheet1'!$B$2:$M$87"}</definedName>
    <definedName name="HTML_Control_4_3" localSheetId="2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1" hidden="1">{"'Sheet1'!$B$2:$M$87"}</definedName>
    <definedName name="HTML_Control_5" localSheetId="2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1" hidden="1">{"'Sheet1'!$B$2:$M$87"}</definedName>
    <definedName name="HTML_Control_5_1" localSheetId="2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1" hidden="1">{"'Sheet1'!$B$2:$M$87"}</definedName>
    <definedName name="HTML_Control_5_1_1" localSheetId="2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1" hidden="1">{"'Sheet1'!$B$2:$M$87"}</definedName>
    <definedName name="HTML_Control_5_1_1_1" localSheetId="2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1" hidden="1">{"'Sheet1'!$B$2:$M$87"}</definedName>
    <definedName name="HTML_Control_5_1_2" localSheetId="2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1" hidden="1">{"'Sheet1'!$B$2:$M$87"}</definedName>
    <definedName name="HTML_Control_5_2" localSheetId="2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1" hidden="1">{"'Sheet1'!$B$2:$M$87"}</definedName>
    <definedName name="HTML_Control_5_2_1" localSheetId="2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1" hidden="1">{"'Sheet1'!$B$2:$M$87"}</definedName>
    <definedName name="HTML_Control_5_3" localSheetId="2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1" hidden="1">{"'DMBL'!$A$1:$N$83","'DMBL'!$A$6:$B$83"}</definedName>
    <definedName name="HTML_Controla" localSheetId="2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1" hidden="1">{"'DMBL'!$A$1:$N$83","'DMBL'!$A$6:$B$83"}</definedName>
    <definedName name="HTML_Controlb" localSheetId="2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1" hidden="1">{"'DMBL'!$A$1:$N$83","'DMBL'!$A$6:$B$83"}</definedName>
    <definedName name="HTML_Controlc" localSheetId="2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1" hidden="1">{"'Edit'!$A$1:$V$2277"}</definedName>
    <definedName name="HTMLControl" localSheetId="2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1" hidden="1">{#N/A,#N/A,TRUE,"1842CWN0"}</definedName>
    <definedName name="hynj" localSheetId="2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1" hidden="1">{#N/A,#N/A,TRUE,"1842CWN0"}</definedName>
    <definedName name="iact" localSheetId="2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1" hidden="1">{#N/A,#N/A,FALSE,"summary";#N/A,#N/A,FALSE,"SumGraph"}</definedName>
    <definedName name="III" localSheetId="2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1" hidden="1">{#N/A,#N/A,FALSE,"summary";#N/A,#N/A,FALSE,"SumGraph"}</definedName>
    <definedName name="III_1" localSheetId="2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1" hidden="1">{#N/A,#N/A,FALSE,"summary";#N/A,#N/A,FALSE,"SumGraph"}</definedName>
    <definedName name="III_2" localSheetId="2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1" hidden="1">{#N/A,#N/A,FALSE,"summary";#N/A,#N/A,FALSE,"SumGraph"}</definedName>
    <definedName name="III_3" localSheetId="2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1" hidden="1">{#N/A,#N/A,TRUE,"INGENIERIA";#N/A,#N/A,TRUE,"COMPRAS";#N/A,#N/A,TRUE,"DIRECCION";#N/A,#N/A,TRUE,"RESUMEN"}</definedName>
    <definedName name="ijfd" localSheetId="2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1" hidden="1">{#N/A,#N/A,TRUE,"1842CWN0"}</definedName>
    <definedName name="ijjbg" localSheetId="2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1" hidden="1">{#N/A,#N/A,TRUE,"1842CWN0"}</definedName>
    <definedName name="IKNJIKNIKN" localSheetId="2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1" hidden="1">{#N/A,#N/A,TRUE,"INGENIERIA";#N/A,#N/A,TRUE,"COMPRAS";#N/A,#N/A,TRUE,"DIRECCION";#N/A,#N/A,TRUE,"RESUMEN"}</definedName>
    <definedName name="imgt" localSheetId="2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1" hidden="1">{#N/A,#N/A,TRUE,"MES";#N/A,#N/A,TRUE,"ANUAL"}</definedName>
    <definedName name="iop" localSheetId="2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1" hidden="1">{"CI+GG(BASE)",#N/A,FALSE,"CI+GG(BASE)";"GG",#N/A,FALSE,"CI+GG(BASE)";"CI",#N/A,FALSE,"CI+GG(BASE)"}</definedName>
    <definedName name="j" localSheetId="2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1" hidden="1">{#N/A,#N/A,FALSE,"MANHR FCST-BASE"}</definedName>
    <definedName name="Jeannette" localSheetId="2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1" hidden="1">{#N/A,#N/A,TRUE,"INGENIERIA";#N/A,#N/A,TRUE,"COMPRAS";#N/A,#N/A,TRUE,"DIRECCION";#N/A,#N/A,TRUE,"RESUMEN"}</definedName>
    <definedName name="jgfde" localSheetId="2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1" hidden="1">{#N/A,#N/A,TRUE,"1842CWN0"}</definedName>
    <definedName name="jhg" localSheetId="2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1" hidden="1">{#N/A,#N/A,FALSE,"Cobret"}</definedName>
    <definedName name="jjjj_1" localSheetId="2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1" hidden="1">{#N/A,#N/A,FALSE,"Cobret"}</definedName>
    <definedName name="jjjj_2" localSheetId="2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1" hidden="1">{#N/A,#N/A,FALSE,"Cobret"}</definedName>
    <definedName name="jjjj_3" localSheetId="2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1" hidden="1">{#N/A,#N/A,FALSE,"Cobret"}</definedName>
    <definedName name="jjjj_4" localSheetId="2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1" hidden="1">{#N/A,#N/A,FALSE,"Cobret"}</definedName>
    <definedName name="jjjj_5" localSheetId="2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1" hidden="1">{"June",#N/A,FALSE,"June"}</definedName>
    <definedName name="jjjjjjjj" localSheetId="2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1" hidden="1">{"May",#N/A,FALSE,"May"}</definedName>
    <definedName name="jjjjjjjjj" localSheetId="2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1" hidden="1">{#N/A,#N/A,FALSE,"Cobret"}</definedName>
    <definedName name="jjuu" localSheetId="2" hidden="1">{#N/A,#N/A,FALSE,"Cobret"}</definedName>
    <definedName name="jjuu" localSheetId="0" hidden="1">{#N/A,#N/A,FALSE,"Cobret"}</definedName>
    <definedName name="jjuu" hidden="1">{#N/A,#N/A,FALSE,"Cobret"}</definedName>
    <definedName name="jjuu_1" localSheetId="1" hidden="1">{#N/A,#N/A,FALSE,"Cobret"}</definedName>
    <definedName name="jjuu_1" localSheetId="2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1" hidden="1">{#N/A,#N/A,FALSE,"Cobret"}</definedName>
    <definedName name="jjuu_2" localSheetId="2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1" hidden="1">{#N/A,#N/A,FALSE,"Cobret"}</definedName>
    <definedName name="jjuu_3" localSheetId="2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1" hidden="1">{#N/A,#N/A,FALSE,"Cobret"}</definedName>
    <definedName name="jjuu_4" localSheetId="2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1" hidden="1">{#N/A,#N/A,FALSE,"Cobret"}</definedName>
    <definedName name="jjuu_5" localSheetId="2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1" hidden="1">{"'Sheet1'!$L$16"}</definedName>
    <definedName name="jkjk" localSheetId="2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1" hidden="1">{#N/A,#N/A,FALSE,"ResDev"}</definedName>
    <definedName name="jktuk" localSheetId="2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1" hidden="1">{"CI+GG(BASE)",#N/A,FALSE,"CI+GG(BASE)";"GG",#N/A,FALSE,"CI+GG(BASE)";"CI",#N/A,FALSE,"CI+GG(BASE)"}</definedName>
    <definedName name="juan" localSheetId="2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1" hidden="1">{#N/A,#N/A,FALSE,"subcontract"}</definedName>
    <definedName name="julio" localSheetId="2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1" hidden="1">{#N/A,#N/A,FALSE,"MANHR FCST-BASE"}</definedName>
    <definedName name="Jxc" localSheetId="2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1" hidden="1">{#N/A,#N/A,TRUE,"MES";#N/A,#N/A,TRUE,"ANUAL"}</definedName>
    <definedName name="JY" localSheetId="2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1" hidden="1">{"'DMBL'!$A$1:$N$83","'DMBL'!$A$6:$B$83"}</definedName>
    <definedName name="Ka" localSheetId="2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1" hidden="1">{"'DMBL'!$A$1:$N$83","'DMBL'!$A$6:$B$83"}</definedName>
    <definedName name="Kb" localSheetId="2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1" hidden="1">{"'DMBL'!$A$1:$N$83","'DMBL'!$A$6:$B$83"}</definedName>
    <definedName name="Kc" localSheetId="2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1" hidden="1">{#N/A,#N/A,TRUE,"1842CWN0"}</definedName>
    <definedName name="kdbdif" localSheetId="2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1" hidden="1">{#N/A,#N/A,TRUE,"1842CWN0"}</definedName>
    <definedName name="kdjdbv" localSheetId="2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1" hidden="1">{#N/A,#N/A,TRUE,"INGENIERIA";#N/A,#N/A,TRUE,"COMPRAS";#N/A,#N/A,TRUE,"DIRECCION";#N/A,#N/A,TRUE,"RESUMEN"}</definedName>
    <definedName name="khgfd" localSheetId="2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1" hidden="1">{#N/A,#N/A,FALSE,"ResDev"}</definedName>
    <definedName name="kj.jh.k" localSheetId="2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1" hidden="1">{#N/A,#N/A,FALSE,"Resumen"}</definedName>
    <definedName name="KJBKJNL" localSheetId="2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1" hidden="1">{#N/A,#N/A,TRUE,"INGENIERIA";#N/A,#N/A,TRUE,"COMPRAS";#N/A,#N/A,TRUE,"DIRECCION";#N/A,#N/A,TRUE,"RESUMEN"}</definedName>
    <definedName name="kjshgsv" localSheetId="2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1" hidden="1">{"'DMBL'!$A$1:$N$83","'DMBL'!$A$6:$B$83"}</definedName>
    <definedName name="kka" localSheetId="2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1" hidden="1">{"'DMBL'!$A$1:$N$83","'DMBL'!$A$6:$B$83"}</definedName>
    <definedName name="kkb" localSheetId="2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1" hidden="1">{"'DMBL'!$A$1:$N$83","'DMBL'!$A$6:$B$83"}</definedName>
    <definedName name="kkc" localSheetId="2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1" hidden="1">{#N/A,#N/A,TRUE,"1842CWN0"}</definedName>
    <definedName name="klfjdh" localSheetId="2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1" hidden="1">{#N/A,#N/A,TRUE,"INGENIERIA";#N/A,#N/A,TRUE,"COMPRAS";#N/A,#N/A,TRUE,"DIRECCION";#N/A,#N/A,TRUE,"RESUMEN"}</definedName>
    <definedName name="klh" localSheetId="2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1" hidden="1">{#N/A,#N/A,FALSE,"Cobret"}</definedName>
    <definedName name="kliuu" localSheetId="2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1" hidden="1">{#N/A,#N/A,FALSE,"Cobret"}</definedName>
    <definedName name="kliuu_1" localSheetId="2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1" hidden="1">{#N/A,#N/A,FALSE,"Cobret"}</definedName>
    <definedName name="kliuu_2" localSheetId="2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1" hidden="1">{#N/A,#N/A,FALSE,"Cobret"}</definedName>
    <definedName name="kliuu_3" localSheetId="2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1" hidden="1">{#N/A,#N/A,FALSE,"Cobret"}</definedName>
    <definedName name="kliuu_4" localSheetId="2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1" hidden="1">{#N/A,#N/A,FALSE,"Cobret"}</definedName>
    <definedName name="kliuu_5" localSheetId="2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1" hidden="1">{#N/A,#N/A,TRUE,"INGENIERIA";#N/A,#N/A,TRUE,"COMPRAS";#N/A,#N/A,TRUE,"DIRECCION";#N/A,#N/A,TRUE,"RESUMEN"}</definedName>
    <definedName name="KLKL" localSheetId="2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1" hidden="1">{#N/A,#N/A,TRUE,"1842CWN0"}</definedName>
    <definedName name="kshsv" localSheetId="2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1" hidden="1">{#N/A,#N/A,FALSE,"factura"}</definedName>
    <definedName name="kuuu" localSheetId="2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1" hidden="1">{#N/A,#N/A,FALSE,"factura"}</definedName>
    <definedName name="kuuu_1" localSheetId="2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1" hidden="1">{#N/A,#N/A,FALSE,"factura"}</definedName>
    <definedName name="kuuu_2" localSheetId="2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1" hidden="1">{#N/A,#N/A,FALSE,"factura"}</definedName>
    <definedName name="kuuu_3" localSheetId="2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1" hidden="1">{#N/A,#N/A,FALSE,"factura"}</definedName>
    <definedName name="kuuu_4" localSheetId="2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1" hidden="1">{#N/A,#N/A,FALSE,"factura"}</definedName>
    <definedName name="kuuu_5" localSheetId="2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1" hidden="1">{#N/A,#N/A,FALSE,"Matrix";#N/A,#N/A,FALSE,"Executive";#N/A,#N/A,FALSE,"Summary"}</definedName>
    <definedName name="Lb" localSheetId="2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1" hidden="1">{#N/A,#N/A,TRUE,"1842CWN0"}</definedName>
    <definedName name="leb" localSheetId="2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1" hidden="1">{"MO(BASE)",#N/A,FALSE,"MO(BASE)";"MO(BASE)1",#N/A,FALSE,"MO(BASE)";"MO(BASE)2",#N/A,FALSE,"MO(BASE)"}</definedName>
    <definedName name="lete" localSheetId="2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1" hidden="1">{#N/A,#N/A,TRUE,"INGENIERIA";#N/A,#N/A,TRUE,"COMPRAS";#N/A,#N/A,TRUE,"DIRECCION";#N/A,#N/A,TRUE,"RESUMEN"}</definedName>
    <definedName name="lksjks" localSheetId="2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1" hidden="1">{#N/A,#N/A,TRUE,"INGENIERIA";#N/A,#N/A,TRUE,"COMPRAS";#N/A,#N/A,TRUE,"DIRECCION";#N/A,#N/A,TRUE,"RESUMEN"}</definedName>
    <definedName name="lllmgf" localSheetId="2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1" hidden="1">{#N/A,#N/A,TRUE,"Est. de Fact.";#N/A,#N/A,TRUE,"Capitulo 19";#N/A,#N/A,TRUE,"Proyecto P855"}</definedName>
    <definedName name="loiu" localSheetId="2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1" hidden="1">{#N/A,#N/A,TRUE,"1842CWN0"}</definedName>
    <definedName name="lsb" localSheetId="2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1" hidden="1">{#N/A,#N/A,TRUE,"1842CWN0"}</definedName>
    <definedName name="lsksk" localSheetId="2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1" hidden="1">{#N/A,#N/A,TRUE,"1842CWN0"}</definedName>
    <definedName name="lvc" localSheetId="2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1" hidden="1">{"MO(BASE)",#N/A,FALSE,"MO(BASE)";"MO(BASE)1",#N/A,FALSE,"MO(BASE)";"MO(BASE)2",#N/A,FALSE,"MO(BASE)"}</definedName>
    <definedName name="Maquinaria" localSheetId="2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1" hidden="1">{"'DMBL'!$A$1:$N$83","'DMBL'!$A$6:$B$83"}</definedName>
    <definedName name="mata" localSheetId="2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1" hidden="1">{"'DMBL'!$A$1:$N$83","'DMBL'!$A$6:$B$83"}</definedName>
    <definedName name="matb" localSheetId="2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1" hidden="1">{"'DMBL'!$A$1:$N$83","'DMBL'!$A$6:$B$83"}</definedName>
    <definedName name="matc" localSheetId="2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1" hidden="1">{#N/A,#N/A,FALSE,"PXP-TOTAL Modif";"vis2",#N/A,FALSE,"PXP-AÑO";"Vis1",#N/A,FALSE,"PXP-AÑO"}</definedName>
    <definedName name="MB" localSheetId="2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1" hidden="1">{#N/A,#N/A,FALSE,"ResDev"}</definedName>
    <definedName name="mdthmyu" localSheetId="2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1" hidden="1">{"bechtel1",#N/A,TRUE,"BECHTEL";"bechtelhours",#N/A,TRUE,"BECHTEL";"bechtel$",#N/A,TRUE,"BECHTEL"}</definedName>
    <definedName name="Mecanica" localSheetId="2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1" hidden="1">{#N/A,#N/A,FALSE,"PEND INC";#N/A,#N/A,FALSE,"PEND MINM"}</definedName>
    <definedName name="Minmetal" localSheetId="2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1" hidden="1">{#N/A,#N/A,FALSE,"PEND INC";#N/A,#N/A,FALSE,"PEND MINM"}</definedName>
    <definedName name="Minmetal_1" localSheetId="2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1" hidden="1">{#N/A,#N/A,FALSE,"Graficos"}</definedName>
    <definedName name="minuta5" localSheetId="2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1" hidden="1">{#N/A,#N/A,TRUE,"1842CWN0"}</definedName>
    <definedName name="mj" localSheetId="2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1" hidden="1">{"'Igo Comercial'!$AP$215"}</definedName>
    <definedName name="MMMMMMM" localSheetId="2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1" hidden="1">{#N/A,#N/A,FALSE,"ResDev"}</definedName>
    <definedName name="mnfgmn" localSheetId="2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1" hidden="1">{#N/A,#N/A,FALSE,"Sost-Nov"}</definedName>
    <definedName name="moviliz" localSheetId="2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1" hidden="1">{#N/A,#N/A,FALSE,"Sost-Nov"}</definedName>
    <definedName name="moviliz_1" localSheetId="2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1" hidden="1">{#N/A,#N/A,FALSE,"Sost-Nov"}</definedName>
    <definedName name="moviliz_2" localSheetId="2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1" hidden="1">{#N/A,#N/A,FALSE,"Sost-Nov"}</definedName>
    <definedName name="moviliz_3" localSheetId="2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1" hidden="1">{#N/A,#N/A,TRUE,"1842CWN0"}</definedName>
    <definedName name="msdk" localSheetId="2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1" hidden="1">{#N/A,#N/A,TRUE,"1842CWN0"}</definedName>
    <definedName name="ncg" localSheetId="2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1" hidden="1">{#N/A,#N/A,TRUE,"259020CIPAug";#N/A,#N/A,TRUE,"259020CIPAug (2)"}</definedName>
    <definedName name="ncx" localSheetId="2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1" hidden="1">{#N/A,#N/A,FALSE,"subcontract"}</definedName>
    <definedName name="NN" localSheetId="2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1" hidden="1">{#N/A,#N/A,FALSE,"Matrix";#N/A,#N/A,FALSE,"Executive";#N/A,#N/A,FALSE,"Summary"}</definedName>
    <definedName name="noses4" localSheetId="2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1" hidden="1">{#N/A,#N/A,FALSE,"summary";#N/A,#N/A,FALSE,"SumGraph"}</definedName>
    <definedName name="Nueva" localSheetId="2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1" hidden="1">{#N/A,#N/A,FALSE,"summary";#N/A,#N/A,FALSE,"SumGraph"}</definedName>
    <definedName name="Nueva_1" localSheetId="2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1" hidden="1">{"April",#N/A,FALSE,"April"}</definedName>
    <definedName name="nxdghj" localSheetId="2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1" hidden="1">{#N/A,#N/A,TRUE,"INGENIERIA";#N/A,#N/A,TRUE,"COMPRAS";#N/A,#N/A,TRUE,"DIRECCION";#N/A,#N/A,TRUE,"RESUMEN"}</definedName>
    <definedName name="oasohsx" localSheetId="2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1" hidden="1">{#N/A,#N/A,TRUE,"1842CWN0"}</definedName>
    <definedName name="ohb" localSheetId="2" hidden="1">{#N/A,#N/A,TRUE,"1842CWN0"}</definedName>
    <definedName name="ohb" localSheetId="0" hidden="1">{#N/A,#N/A,TRUE,"1842CWN0"}</definedName>
    <definedName name="ohb" hidden="1">{#N/A,#N/A,TRUE,"1842CWN0"}</definedName>
    <definedName name="ohcd" localSheetId="1" hidden="1">{#N/A,#N/A,TRUE,"1842CWN0"}</definedName>
    <definedName name="ohcd" localSheetId="2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1" hidden="1">{#N/A,#N/A,TRUE,"1842CWN0"}</definedName>
    <definedName name="OÑLÑKLÑ" localSheetId="2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1" hidden="1">{#N/A,#N/A,FALSE,"Matrix";#N/A,#N/A,FALSE,"Executive";#N/A,#N/A,FALSE,"Summary"}</definedName>
    <definedName name="oodd" localSheetId="2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1" hidden="1">{#N/A,#N/A,FALSE,"Sost-Nov"}</definedName>
    <definedName name="opardo" localSheetId="2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1" hidden="1">{#N/A,#N/A,FALSE,"Sost-Nov"}</definedName>
    <definedName name="opardo_1" localSheetId="2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1" hidden="1">{#N/A,#N/A,FALSE,"Sost-Nov"}</definedName>
    <definedName name="opardo_2" localSheetId="2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1" hidden="1">{#N/A,#N/A,FALSE,"Sost-Nov"}</definedName>
    <definedName name="opardo_3" localSheetId="2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1" hidden="1">{"'IMPRIMIR'!$DM$3:$DW$54"}</definedName>
    <definedName name="opes" localSheetId="2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1" hidden="1">{"'IMPRIMIR'!$DM$3:$DW$54"}</definedName>
    <definedName name="opes_1" localSheetId="2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1" hidden="1">{"'IMPRIMIR'!$DM$3:$DW$54"}</definedName>
    <definedName name="opes_2" localSheetId="2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1" hidden="1">{"'IMPRIMIR'!$DM$3:$DW$54"}</definedName>
    <definedName name="opes_3" localSheetId="2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1" hidden="1">{#N/A,#N/A,FALSE,"Matrix";#N/A,#N/A,FALSE,"Executive";#N/A,#N/A,FALSE,"Summary"}</definedName>
    <definedName name="Other" localSheetId="2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1" hidden="1">{#N/A,#N/A,FALSE,"Aging Summary";#N/A,#N/A,FALSE,"Ratio Analysis";#N/A,#N/A,FALSE,"Test 120 Day Accts";#N/A,#N/A,FALSE,"Tickmarks"}</definedName>
    <definedName name="othercosts" localSheetId="2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1" hidden="1">{#N/A,#N/A,TRUE,"1842CWN0"}</definedName>
    <definedName name="P.U." localSheetId="2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1" hidden="1">{#N/A,#N/A,FALSE,"HIGHNEW";#N/A,#N/A,FALSE,"HIGHOLD";#N/A,#N/A,FALSE,"MTHDET";#N/A,#N/A,FALSE,"ACTDET"}</definedName>
    <definedName name="pat" localSheetId="2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1" hidden="1">{#N/A,#N/A,FALSE,"Cobret"}</definedName>
    <definedName name="pb" localSheetId="2" hidden="1">{#N/A,#N/A,FALSE,"Cobret"}</definedName>
    <definedName name="pb" localSheetId="0" hidden="1">{#N/A,#N/A,FALSE,"Cobret"}</definedName>
    <definedName name="pb" hidden="1">{#N/A,#N/A,FALSE,"Cobret"}</definedName>
    <definedName name="pb_1" localSheetId="1" hidden="1">{#N/A,#N/A,FALSE,"Cobret"}</definedName>
    <definedName name="pb_1" localSheetId="2" hidden="1">{#N/A,#N/A,FALSE,"Cobret"}</definedName>
    <definedName name="pb_1" localSheetId="0" hidden="1">{#N/A,#N/A,FALSE,"Cobret"}</definedName>
    <definedName name="pb_1" hidden="1">{#N/A,#N/A,FALSE,"Cobret"}</definedName>
    <definedName name="pb_2" localSheetId="1" hidden="1">{#N/A,#N/A,FALSE,"Cobret"}</definedName>
    <definedName name="pb_2" localSheetId="2" hidden="1">{#N/A,#N/A,FALSE,"Cobret"}</definedName>
    <definedName name="pb_2" localSheetId="0" hidden="1">{#N/A,#N/A,FALSE,"Cobret"}</definedName>
    <definedName name="pb_2" hidden="1">{#N/A,#N/A,FALSE,"Cobret"}</definedName>
    <definedName name="pb_3" localSheetId="1" hidden="1">{#N/A,#N/A,FALSE,"Cobret"}</definedName>
    <definedName name="pb_3" localSheetId="2" hidden="1">{#N/A,#N/A,FALSE,"Cobret"}</definedName>
    <definedName name="pb_3" localSheetId="0" hidden="1">{#N/A,#N/A,FALSE,"Cobret"}</definedName>
    <definedName name="pb_3" hidden="1">{#N/A,#N/A,FALSE,"Cobret"}</definedName>
    <definedName name="pb_4" localSheetId="1" hidden="1">{#N/A,#N/A,FALSE,"Cobret"}</definedName>
    <definedName name="pb_4" localSheetId="2" hidden="1">{#N/A,#N/A,FALSE,"Cobret"}</definedName>
    <definedName name="pb_4" localSheetId="0" hidden="1">{#N/A,#N/A,FALSE,"Cobret"}</definedName>
    <definedName name="pb_4" hidden="1">{#N/A,#N/A,FALSE,"Cobret"}</definedName>
    <definedName name="pb_5" localSheetId="1" hidden="1">{#N/A,#N/A,FALSE,"Cobret"}</definedName>
    <definedName name="pb_5" localSheetId="2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1" hidden="1">{#N/A,#N/A,TRUE,"INGENIERIA";#N/A,#N/A,TRUE,"COMPRAS";#N/A,#N/A,TRUE,"DIRECCION";#N/A,#N/A,TRUE,"RESUMEN"}</definedName>
    <definedName name="pmt" localSheetId="2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1" hidden="1">{"DetallexDep",#N/A,FALSE,"Giovanna (x DEPT)"}</definedName>
    <definedName name="POL_1" localSheetId="2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1" hidden="1">{"DetallexDep",#N/A,FALSE,"Giovanna (x DEPT)"}</definedName>
    <definedName name="POL_2" localSheetId="2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1" hidden="1">{"DetallexDep",#N/A,FALSE,"Giovanna (x DEPT)"}</definedName>
    <definedName name="POL_3" localSheetId="2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1" hidden="1">{"DetallexDep",#N/A,FALSE,"Giovanna (x DEPT)"}</definedName>
    <definedName name="POL_4" localSheetId="2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1" hidden="1">{"DetallexDep",#N/A,FALSE,"Giovanna (x DEPT)"}</definedName>
    <definedName name="POL_5" localSheetId="2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1" hidden="1">{#N/A,#N/A,TRUE,"MES";#N/A,#N/A,TRUE,"ANUAL"}</definedName>
    <definedName name="pozos" localSheetId="2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1" hidden="1">{#N/A,#N/A,TRUE,"MES";#N/A,#N/A,TRUE,"ANUAL"}</definedName>
    <definedName name="pozosn" localSheetId="2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1" hidden="1">{"April",#N/A,FALSE,"April"}</definedName>
    <definedName name="ptuiptuo" localSheetId="2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1" hidden="1">{#N/A,#N/A,FALSE,"subcontract"}</definedName>
    <definedName name="PV" localSheetId="2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1" hidden="1">{#N/A,#N/A,FALSE,"summary";#N/A,#N/A,FALSE,"SumGraph"}</definedName>
    <definedName name="qaq" localSheetId="2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1" hidden="1">{#N/A,#N/A,FALSE,"summary";#N/A,#N/A,FALSE,"SumGraph"}</definedName>
    <definedName name="qaq_1" localSheetId="2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1" hidden="1">{#N/A,#N/A,FALSE,"Matrix";#N/A,#N/A,FALSE,"Executive";#N/A,#N/A,FALSE,"Summary"}</definedName>
    <definedName name="qeq" localSheetId="2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1" hidden="1">{"JAN",#N/A,FALSE,"January"}</definedName>
    <definedName name="qjtrt" localSheetId="2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1" hidden="1">{#N/A,#N/A,TRUE,"1842CWN0"}</definedName>
    <definedName name="qpf" localSheetId="2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1" hidden="1">{"'장비'!$A$3:$M$12"}</definedName>
    <definedName name="qqqq" localSheetId="2" hidden="1">{"'장비'!$A$3:$M$12"}</definedName>
    <definedName name="qqqq" localSheetId="0" hidden="1">{"'장비'!$A$3:$M$12"}</definedName>
    <definedName name="qqqq" hidden="1">{"'장비'!$A$3:$M$12"}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1" hidden="1">{#N/A,#N/A,TRUE,"MES";#N/A,#N/A,TRUE,"ANUAL"}</definedName>
    <definedName name="qqqqqqqqqqqqqqq" localSheetId="2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1" hidden="1">{#N/A,#N/A,TRUE,"MES";#N/A,#N/A,TRUE,"ANUAL"}</definedName>
    <definedName name="qqqw" localSheetId="2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1" hidden="1">{"April",#N/A,FALSE,"April"}</definedName>
    <definedName name="qqqws" localSheetId="2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1" hidden="1">{"May",#N/A,FALSE,"May"}</definedName>
    <definedName name="qqretqrt" localSheetId="2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1" hidden="1">{"FEB_DEC",#N/A,FALSE,"February"}</definedName>
    <definedName name="qretqre" localSheetId="2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1" hidden="1">INDEX(codematch,1,20)</definedName>
    <definedName name="quantity" localSheetId="2" hidden="1">INDEX(codematch,1,20)</definedName>
    <definedName name="quantity" localSheetId="0" hidden="1">INDEX(codematch,1,20)</definedName>
    <definedName name="quantity" hidden="1">INDEX(codematch,1,20)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1" hidden="1">{#N/A,#N/A,TRUE,"MES";#N/A,#N/A,TRUE,"ANUAL"}</definedName>
    <definedName name="qw4r" localSheetId="2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1" hidden="1">{"DetallexDep",#N/A,FALSE,"Giovanna (x DEPT)"}</definedName>
    <definedName name="qweer" localSheetId="2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1" hidden="1">{"DetallexDep",#N/A,FALSE,"Giovanna (x DEPT)"}</definedName>
    <definedName name="qweer_1" localSheetId="2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1" hidden="1">{"DetallexDep",#N/A,FALSE,"Giovanna (x DEPT)"}</definedName>
    <definedName name="qweer_2" localSheetId="2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1" hidden="1">{"DetallexDep",#N/A,FALSE,"Giovanna (x DEPT)"}</definedName>
    <definedName name="qweer_3" localSheetId="2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1" hidden="1">{"DetallexDep",#N/A,FALSE,"Giovanna (x DEPT)"}</definedName>
    <definedName name="qweer_4" localSheetId="2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1" hidden="1">{"DetallexDep",#N/A,FALSE,"Giovanna (x DEPT)"}</definedName>
    <definedName name="qweer_5" localSheetId="2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1" hidden="1">{#N/A,#N/A,TRUE,"MES";#N/A,#N/A,TRUE,"ANUAL"}</definedName>
    <definedName name="QWEERRR" localSheetId="2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1" hidden="1">{#N/A,#N/A,TRUE,"MES";#N/A,#N/A,TRUE,"ANUAL"}</definedName>
    <definedName name="qwwe" localSheetId="2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1" hidden="1">{#N/A,#N/A,TRUE,"MES";#N/A,#N/A,TRUE,"ANUAL"}</definedName>
    <definedName name="qwwwwwwwwwwwwww" localSheetId="2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1" hidden="1">{#N/A,#N/A,FALSE,"US$";#N/A,#N/A,FALSE,"SUMMARY";#N/A,#N/A,FALSE,"DET.SUMM";#N/A,#N/A,FALSE,"BACK-UP";#N/A,#N/A,FALSE,"INDIRECTS"}</definedName>
    <definedName name="Rename1" localSheetId="2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1" hidden="1">{"bprofit",#N/A,FALSE,"Reports (B)";"bcash",#N/A,FALSE,"Reports (B)";"bbsheet",#N/A,FALSE,"Reports (B)"}</definedName>
    <definedName name="Reports" localSheetId="2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1" hidden="1">{#N/A,#N/A,FALSE,"200001";#N/A,#N/A,FALSE,"S221 200003";#N/A,#N/A,FALSE,"S221 204005";#N/A,#N/A,FALSE,"S221 204006";#N/A,#N/A,FALSE,"S221 204008"}</definedName>
    <definedName name="retet" localSheetId="2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1" hidden="1">{#N/A,#N/A,TRUE,"MES";#N/A,#N/A,TRUE,"ANUAL"}</definedName>
    <definedName name="retro" localSheetId="2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1" hidden="1">{#N/A,#N/A,TRUE,"INGENIERIA";#N/A,#N/A,TRUE,"COMPRAS";#N/A,#N/A,TRUE,"DIRECCION";#N/A,#N/A,TRUE,"RESUMEN"}</definedName>
    <definedName name="rfd" localSheetId="2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1" hidden="1">{#N/A,#N/A,FALSE,"PEND INC";#N/A,#N/A,FALSE,"PEND MINM"}</definedName>
    <definedName name="Rinasa" localSheetId="2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1" hidden="1">{#N/A,#N/A,FALSE,"PEND INC";#N/A,#N/A,FALSE,"PEND MINM"}</definedName>
    <definedName name="Rinasa_1" localSheetId="2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1" hidden="1">{#N/A,#N/A,FALSE,"Hoja1";#N/A,#N/A,FALSE,"Hoja2";#N/A,#N/A,FALSE,"Hoja3";#N/A,#N/A,FALSE,"Hoja4";#N/A,#N/A,FALSE,"Hoja5";#N/A,#N/A,FALSE,"Hoja6"}</definedName>
    <definedName name="rrff" localSheetId="2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1" hidden="1">{#N/A,#N/A,FALSE,"Hoja1";#N/A,#N/A,FALSE,"Hoja2";#N/A,#N/A,FALSE,"Hoja3";#N/A,#N/A,FALSE,"Hoja4";#N/A,#N/A,FALSE,"Hoja5";#N/A,#N/A,FALSE,"Hoja6"}</definedName>
    <definedName name="rrrr" localSheetId="2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1" hidden="1">{"FEB_DEC",#N/A,FALSE,"February"}</definedName>
    <definedName name="rrrrrr" localSheetId="2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1" hidden="1">{#N/A,#N/A,TRUE,"Est. de Fact.";#N/A,#N/A,TRUE,"Capitulo 19";#N/A,#N/A,TRUE,"Proyecto P855"}</definedName>
    <definedName name="rryt" localSheetId="2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1" hidden="1">{"CI+GG(BASE)",#N/A,FALSE,"CI+GG(BASE)";"GG",#N/A,FALSE,"CI+GG(BASE)";"CI",#N/A,FALSE,"CI+GG(BASE)"}</definedName>
    <definedName name="SANDRA" localSheetId="2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1" hidden="1">{"April",#N/A,FALSE,"April"}</definedName>
    <definedName name="sathat" localSheetId="2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1" hidden="1">{#N/A,#N/A,FALSE,"Aging Summary";#N/A,#N/A,FALSE,"Ratio Analysis";#N/A,#N/A,FALSE,"Test 120 Day Accts";#N/A,#N/A,FALSE,"Tickmarks"}</definedName>
    <definedName name="SCCCCC" localSheetId="2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1" hidden="1">{"'resumen REV 3'!$B$1:$Q$69"}</definedName>
    <definedName name="sdht" localSheetId="2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1" hidden="1">{"'resumen REV 3'!$B$1:$Q$69"}</definedName>
    <definedName name="sdht_1" localSheetId="2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1" hidden="1">{#N/A,#N/A,TRUE,"INGENIERIA";#N/A,#N/A,TRUE,"COMPRAS";#N/A,#N/A,TRUE,"DIRECCION";#N/A,#N/A,TRUE,"RESUMEN"}</definedName>
    <definedName name="sdjb81" localSheetId="2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1" hidden="1">{#N/A,#N/A,TRUE,"INGENIERIA";#N/A,#N/A,TRUE,"COMPRAS";#N/A,#N/A,TRUE,"DIRECCION";#N/A,#N/A,TRUE,"RESUMEN"}</definedName>
    <definedName name="sds" localSheetId="2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1" hidden="1">{#N/A,#N/A,TRUE,"INGENIERIA";#N/A,#N/A,TRUE,"COMPRAS";#N/A,#N/A,TRUE,"DIRECCION";#N/A,#N/A,TRUE,"RESUMEN"}</definedName>
    <definedName name="sdsf" localSheetId="2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1" hidden="1">{#N/A,#N/A,TRUE,"1842CWN0"}</definedName>
    <definedName name="sdyhl" localSheetId="2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1" hidden="1">{"DetallexDep",#N/A,FALSE,"Giovanna (x DEPT)"}</definedName>
    <definedName name="seguro" localSheetId="2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1" hidden="1">{"DetallexDep",#N/A,FALSE,"Giovanna (x DEPT)"}</definedName>
    <definedName name="seguro_1" localSheetId="2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1" hidden="1">{"DetallexDep",#N/A,FALSE,"Giovanna (x DEPT)"}</definedName>
    <definedName name="seguro_2" localSheetId="2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1" hidden="1">{"DetallexDep",#N/A,FALSE,"Giovanna (x DEPT)"}</definedName>
    <definedName name="seguro_3" localSheetId="2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1" hidden="1">{"DetallexDep",#N/A,FALSE,"Giovanna (x DEPT)"}</definedName>
    <definedName name="seguro_4" localSheetId="2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1" hidden="1">{"DetallexDep",#N/A,FALSE,"Giovanna (x DEPT)"}</definedName>
    <definedName name="seguro_5" localSheetId="2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1" hidden="1">{#N/A,#N/A,TRUE,"MES";#N/A,#N/A,TRUE,"ANUAL"}</definedName>
    <definedName name="serter" localSheetId="2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1" hidden="1">{#N/A,#N/A,FALSE,"ResDev"}</definedName>
    <definedName name="sfjsj" localSheetId="2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1" hidden="1">{#N/A,#N/A,FALSE,"DATA"}</definedName>
    <definedName name="shgfuywr" localSheetId="2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1" hidden="1">{#N/A,#N/A,FALSE,"ResDev"}</definedName>
    <definedName name="sjsj" localSheetId="2" hidden="1">{#N/A,#N/A,FALSE,"ResDev"}</definedName>
    <definedName name="sjsj" localSheetId="0" hidden="1">{#N/A,#N/A,FALSE,"ResDev"}</definedName>
    <definedName name="sjsj" hidden="1">{#N/A,#N/A,FALSE,"ResDev"}</definedName>
    <definedName name="skdnfb" localSheetId="1" hidden="1">{"dd sheet",#N/A,FALSE,"D &amp; D SHEET";"data",#N/A,FALSE,"Data";"techbid",#N/A,FALSE,"tech bid";"comm",#N/A,FALSE,"COMMERCIAL"}</definedName>
    <definedName name="skdnfb" localSheetId="2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1" hidden="1">{#N/A,#N/A,TRUE,"1842CWN0"}</definedName>
    <definedName name="sksdmfd" localSheetId="2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1" hidden="1">{#N/A,#N/A,TRUE,"INGENIERIA";#N/A,#N/A,TRUE,"COMPRAS";#N/A,#N/A,TRUE,"DIRECCION";#N/A,#N/A,TRUE,"RESUMEN"}</definedName>
    <definedName name="sksjsb" localSheetId="2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1" hidden="1">{#N/A,#N/A,TRUE,"1842CWN0"}</definedName>
    <definedName name="sksks" localSheetId="2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1" hidden="1">{#N/A,#N/A,FALSE,"subcontract"}</definedName>
    <definedName name="SP" localSheetId="2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1" hidden="1">{#N/A,#N/A,FALSE,"사업총괄";#N/A,#N/A,FALSE,"장비사업";#N/A,#N/A,FALSE,"철구사업";#N/A,#N/A,FALSE,"준설사업"}</definedName>
    <definedName name="spgd.xls" localSheetId="2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1" hidden="1">{"dd sheet",#N/A,FALSE,"D &amp; D SHEET";"data",#N/A,FALSE,"Data";"techbid",#N/A,FALSE,"tech bid";"comm",#N/A,FALSE,"COMMERCIAL"}</definedName>
    <definedName name="SQ" localSheetId="2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1" hidden="1">{#N/A,#N/A,FALSE,"Matrix";#N/A,#N/A,FALSE,"Executive";#N/A,#N/A,FALSE,"Summary"}</definedName>
    <definedName name="SRSSET" localSheetId="2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1" hidden="1">{"BALANCE_SHEET",#N/A,FALSE,"A";"INCOME_STATEMENT",#N/A,FALSE,"A"}</definedName>
    <definedName name="srtfu" localSheetId="2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1" hidden="1">{"June",#N/A,FALSE,"June"}</definedName>
    <definedName name="srtuazb" localSheetId="2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1" hidden="1">{"MAR",#N/A,FALSE,"March"}</definedName>
    <definedName name="srusrtu" localSheetId="2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1" hidden="1">{#N/A,#N/A,TRUE,"INGENIERIA";#N/A,#N/A,TRUE,"COMPRAS";#N/A,#N/A,TRUE,"DIRECCION";#N/A,#N/A,TRUE,"RESUMEN"}</definedName>
    <definedName name="ssddf" localSheetId="2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1" hidden="1">{"CI+GG(BASE)",#N/A,FALSE,"CI+GG(BASE)";"GG",#N/A,FALSE,"CI+GG(BASE)";"CI",#N/A,FALSE,"CI+GG(BASE)"}</definedName>
    <definedName name="ssdf" localSheetId="2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1" hidden="1">{#N/A,#N/A,FALSE,"Graficos"}</definedName>
    <definedName name="sss" localSheetId="2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1" hidden="1">{#N/A,#N/A,FALSE,"Graficos"}</definedName>
    <definedName name="sss_1" localSheetId="2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1" hidden="1">{#N/A,#N/A,FALSE,"Matrix";#N/A,#N/A,FALSE,"Executive";#N/A,#N/A,FALSE,"Summary"}</definedName>
    <definedName name="SSSSSSSSSSSSSSSSS" localSheetId="2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1" hidden="1">{"CI+GG(BASE)",#N/A,FALSE,"CI+GG(BASE)";"GG",#N/A,FALSE,"CI+GG(BASE)";"CI",#N/A,FALSE,"CI+GG(BASE)"}</definedName>
    <definedName name="ssssssssssssssssssss" localSheetId="2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1" hidden="1">{"Admin Costs",#N/A,FALSE,"Act.Fcst Costs"}</definedName>
    <definedName name="stuwrt" localSheetId="2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1" hidden="1">{#N/A,#N/A,TRUE,"1842CWN0"}</definedName>
    <definedName name="Tableros" localSheetId="2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1" hidden="1">{#N/A,#N/A,TRUE,"1842CWN0"}</definedName>
    <definedName name="Tanques" localSheetId="2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1" hidden="1">{#N/A,#N/A,TRUE,"1842CWN0"}</definedName>
    <definedName name="Tanques_1" localSheetId="2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1" hidden="1">{#N/A,#N/A,TRUE,"1842CWN0"}</definedName>
    <definedName name="Tanques_2" localSheetId="2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1" hidden="1">{#N/A,#N/A,TRUE,"1842CWN0"}</definedName>
    <definedName name="Tanques_3" localSheetId="2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1" hidden="1">{#N/A,#N/A,FALSE,"F_Plan";#N/A,#N/A,FALSE,"Parameter"}</definedName>
    <definedName name="tests" localSheetId="2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1" hidden="1">{"Input Data",#N/A,FALSE,"Input &amp; Results";"Results",#N/A,FALSE,"Input &amp; Results"}</definedName>
    <definedName name="testtest" localSheetId="2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1" hidden="1">{#N/A,#N/A,FALSE,"F_Plan";#N/A,#N/A,FALSE,"Parameter"}</definedName>
    <definedName name="testv2" localSheetId="2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1" hidden="1">{#N/A,#N/A,FALSE,"Umsatz";#N/A,#N/A,FALSE,"Base V.02";#N/A,#N/A,FALSE,"Charts"}</definedName>
    <definedName name="testv3" localSheetId="2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1" hidden="1">{#N/A,#N/A,FALSE,"F_Plan";#N/A,#N/A,FALSE,"Parameter"}</definedName>
    <definedName name="testv4" localSheetId="2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1" hidden="1">{#N/A,#N/A,FALSE,"Umsatz";#N/A,#N/A,FALSE,"Base V.02";#N/A,#N/A,FALSE,"Charts"}</definedName>
    <definedName name="testv5" localSheetId="2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1" hidden="1">{#N/A,#N/A,FALSE,"ResDev"}</definedName>
    <definedName name="tgdkdtuk" localSheetId="2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1" hidden="1">{#N/A,#N/A,FALSE,"VISTAF"}</definedName>
    <definedName name="tgjp" localSheetId="2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1" hidden="1">{#N/A,#N/A,TRUE,"1842CWN0"}</definedName>
    <definedName name="thvf" localSheetId="2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1" hidden="1">{#N/A,#N/A,FALSE,"Matrix";#N/A,#N/A,FALSE,"Executive";#N/A,#N/A,FALSE,"Summary"}</definedName>
    <definedName name="Toq" localSheetId="2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1" hidden="1">{"arquitectura",#N/A,FALSE,"Arquitectura"}</definedName>
    <definedName name="Torpe" localSheetId="2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1" hidden="1">{"April",#N/A,FALSE,"April"}</definedName>
    <definedName name="tpui" localSheetId="2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1" hidden="1">{#N/A,#N/A,FALSE,"factura"}</definedName>
    <definedName name="tr_1" localSheetId="2" hidden="1">{#N/A,#N/A,FALSE,"factura"}</definedName>
    <definedName name="tr_1" localSheetId="0" hidden="1">{#N/A,#N/A,FALSE,"factura"}</definedName>
    <definedName name="tr_1" hidden="1">{#N/A,#N/A,FALSE,"factura"}</definedName>
    <definedName name="tr_2" localSheetId="1" hidden="1">{#N/A,#N/A,FALSE,"factura"}</definedName>
    <definedName name="tr_2" localSheetId="2" hidden="1">{#N/A,#N/A,FALSE,"factura"}</definedName>
    <definedName name="tr_2" localSheetId="0" hidden="1">{#N/A,#N/A,FALSE,"factura"}</definedName>
    <definedName name="tr_2" hidden="1">{#N/A,#N/A,FALSE,"factura"}</definedName>
    <definedName name="tr_3" localSheetId="1" hidden="1">{#N/A,#N/A,FALSE,"factura"}</definedName>
    <definedName name="tr_3" localSheetId="2" hidden="1">{#N/A,#N/A,FALSE,"factura"}</definedName>
    <definedName name="tr_3" localSheetId="0" hidden="1">{#N/A,#N/A,FALSE,"factura"}</definedName>
    <definedName name="tr_3" hidden="1">{#N/A,#N/A,FALSE,"factura"}</definedName>
    <definedName name="tr_4" localSheetId="1" hidden="1">{#N/A,#N/A,FALSE,"factura"}</definedName>
    <definedName name="tr_4" localSheetId="2" hidden="1">{#N/A,#N/A,FALSE,"factura"}</definedName>
    <definedName name="tr_4" localSheetId="0" hidden="1">{#N/A,#N/A,FALSE,"factura"}</definedName>
    <definedName name="tr_4" hidden="1">{#N/A,#N/A,FALSE,"factura"}</definedName>
    <definedName name="tr_5" localSheetId="1" hidden="1">{#N/A,#N/A,FALSE,"factura"}</definedName>
    <definedName name="tr_5" localSheetId="2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1" hidden="1">{#N/A,#N/A,FALSE,"Train1_Summary";#N/A,#N/A,FALSE,"Train1_Directs";#N/A,#N/A,FALSE,"Train1_Indirects"}</definedName>
    <definedName name="TRAIN2_REPORT" localSheetId="2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1" hidden="1">{"bechtel1",#N/A,TRUE,"BECHTEL";"bechtelhours",#N/A,TRUE,"BECHTEL";"bechtel$",#N/A,TRUE,"BECHTEL"}</definedName>
    <definedName name="Trinidad" localSheetId="2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1" hidden="1">{#N/A,#N/A,FALSE,"MAQUINA"}</definedName>
    <definedName name="trinidad1" localSheetId="2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1" hidden="1">{#N/A,#N/A,FALSE,"Matrix";#N/A,#N/A,FALSE,"Executive";#N/A,#N/A,FALSE,"Summary"}</definedName>
    <definedName name="trinidad2" localSheetId="2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1" hidden="1">{#N/A,#N/A,FALSE,"Matrix";#N/A,#N/A,FALSE,"Executive";#N/A,#N/A,FALSE,"Summary"}</definedName>
    <definedName name="trinidad4" localSheetId="2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1" hidden="1">{#N/A,#N/A,TRUE,"1842CWN0"}</definedName>
    <definedName name="TRYRT" localSheetId="2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1" hidden="1">{"EXEC",#N/A,FALSE,"Header";"EXEC_2",#N/A,FALSE,"Summary_2"}</definedName>
    <definedName name="tt" localSheetId="2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1" hidden="1">{#N/A,#N/A,TRUE,"MES";#N/A,#N/A,TRUE,"ANUAL"}</definedName>
    <definedName name="ttetete" localSheetId="2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1" hidden="1">INDEX(codematch,1,20)</definedName>
    <definedName name="tttt" localSheetId="2" hidden="1">INDEX(codematch,1,20)</definedName>
    <definedName name="tttt" localSheetId="0" hidden="1">INDEX(codematch,1,20)</definedName>
    <definedName name="tttt" hidden="1">INDEX(codematch,1,20)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1" hidden="1">{#N/A,#N/A,TRUE,"1842CWN0"}</definedName>
    <definedName name="tynbdf" localSheetId="2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1" hidden="1">{"CI+GG(BASE)",#N/A,FALSE,"CI+GG(BASE)";"GG",#N/A,FALSE,"CI+GG(BASE)";"CI",#N/A,FALSE,"CI+GG(BASE)"}</definedName>
    <definedName name="ua" localSheetId="2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1" hidden="1">{#N/A,#N/A,TRUE,"1842CWN0"}</definedName>
    <definedName name="uhmas" localSheetId="2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1" hidden="1">{#N/A,#N/A,TRUE,"1842CWN0"}</definedName>
    <definedName name="ujd" localSheetId="2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1" hidden="1">{#N/A,#N/A,FALSE,"ResDev"}</definedName>
    <definedName name="ujhkiyu" localSheetId="2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1" hidden="1">{"JAN",#N/A,FALSE,"January"}</definedName>
    <definedName name="ur" localSheetId="2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1" hidden="1">{#N/A,#N/A,TRUE,"INGENIERIA";#N/A,#N/A,TRUE,"COMPRAS";#N/A,#N/A,TRUE,"DIRECCION";#N/A,#N/A,TRUE,"RESUMEN"}</definedName>
    <definedName name="uu" localSheetId="2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1" hidden="1">{#N/A,#N/A,FALSE,"MAY96 2260";#N/A,#N/A,FALSE,"system reclass";#N/A,#N/A,FALSE,"Items with no project number"}</definedName>
    <definedName name="v_1" localSheetId="2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1" hidden="1">{#N/A,#N/A,TRUE,"1842CWN0"}</definedName>
    <definedName name="vdk" localSheetId="2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1" hidden="1">{#N/A,#N/A,FALSE,"ResDev"}</definedName>
    <definedName name="veafv" localSheetId="2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1" hidden="1">{"Datos de las Curvas",#N/A,TRUE,"TABLA-CALCULOS"}</definedName>
    <definedName name="Version4OK" localSheetId="2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1" hidden="1">{#N/A,#N/A,TRUE,"INGENIERIA";#N/A,#N/A,TRUE,"COMPRAS";#N/A,#N/A,TRUE,"DIRECCION";#N/A,#N/A,TRUE,"RESUMEN"}</definedName>
    <definedName name="vgbn" localSheetId="2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1" hidden="1">{#N/A,#N/A,FALSE,"ResDev"}</definedName>
    <definedName name="vhnmfmu" localSheetId="2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1" hidden="1">{#N/A,#N/A,TRUE,"INGENIERIA";#N/A,#N/A,TRUE,"COMPRAS";#N/A,#N/A,TRUE,"DIRECCION";#N/A,#N/A,TRUE,"RESUMEN"}</definedName>
    <definedName name="vlfhrv" localSheetId="2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1" hidden="1">{#N/A,#N/A,FALSE,"Graficos"}</definedName>
    <definedName name="VVGHJ" localSheetId="2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1" hidden="1">{#N/A,#N/A,FALSE,"Graficos"}</definedName>
    <definedName name="VVGHJ_1" localSheetId="2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1" hidden="1">{#N/A,#N/A,FALSE,"Graficos"}</definedName>
    <definedName name="VVGVHJ" localSheetId="2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1" hidden="1">{#N/A,#N/A,FALSE,"Graficos"}</definedName>
    <definedName name="VVGVHJ_1" localSheetId="2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1" hidden="1">{#N/A,#N/A,FALSE,"ResDev"}</definedName>
    <definedName name="vwrqq" localSheetId="2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1" hidden="1">{#N/A,#N/A,FALSE,"MAY96 2260";#N/A,#N/A,FALSE,"system reclass";#N/A,#N/A,FALSE,"Items with no project number"}</definedName>
    <definedName name="w_2" localSheetId="2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1" hidden="1">{#N/A,#N/A,TRUE,"MES";#N/A,#N/A,TRUE,"ANUAL"}</definedName>
    <definedName name="wa" localSheetId="2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1" hidden="1">{"bechtel1",#N/A,TRUE,"BECHTEL";"bechtelhours",#N/A,TRUE,"BECHTEL";"bechtel$",#N/A,TRUE,"BECHTEL"}</definedName>
    <definedName name="wcdwq" localSheetId="2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1" hidden="1">{"April",#N/A,FALSE,"April"}</definedName>
    <definedName name="WERWE" localSheetId="2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1" hidden="1">{"'Edit'!$A$1:$V$2277"}</definedName>
    <definedName name="WHATS" localSheetId="2" hidden="1">{"'Edit'!$A$1:$V$2277"}</definedName>
    <definedName name="WHATS" localSheetId="0" hidden="1">{"'Edit'!$A$1:$V$2277"}</definedName>
    <definedName name="WHATS" hidden="1">{"'Edit'!$A$1:$V$2277"}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1" hidden="1">{#N/A,#N/A,TRUE,"INGENIERIA";#N/A,#N/A,TRUE,"COMPRAS";#N/A,#N/A,TRUE,"DIRECCION";#N/A,#N/A,TRUE,"RESUMEN"}</definedName>
    <definedName name="wje" localSheetId="2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1" hidden="1">{#N/A,#N/A,TRUE,"MES";#N/A,#N/A,TRUE,"ANUAL"}</definedName>
    <definedName name="wm" localSheetId="2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1" hidden="1">{#N/A,#N/A,FALSE,"Act.Fcst Costs"}</definedName>
    <definedName name="wrn.12._.Costs._.Act._.Fcast._.All." localSheetId="2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1" hidden="1">{"4",#N/A,FALSE,"Flujos Caja - Mon. 1999"}</definedName>
    <definedName name="wrn.2." localSheetId="2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1" hidden="1">{#N/A,#N/A,FALSE,"Sheet1";#N/A,#N/A,FALSE,"Sheet1";#N/A,#N/A,FALSE,"Sheet1"}</definedName>
    <definedName name="wrn.aaa." localSheetId="2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1" hidden="1">{#N/A,#N/A,FALSE,"TradeSumm";#N/A,#N/A,FALSE,"StatsSumm"}</definedName>
    <definedName name="wrn.Alex." localSheetId="2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1" hidden="1">{#N/A,#N/A,FALSE,"subcontract"}</definedName>
    <definedName name="wrn.ang._.Summary." localSheetId="2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1" hidden="1">{"arquitectura",#N/A,FALSE,"Arquitectura"}</definedName>
    <definedName name="wrn.Arquitectura." localSheetId="2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1" hidden="1">{#N/A,#N/A,FALSE,"Model Assumptions"}</definedName>
    <definedName name="wrn.Assumption._.Book." localSheetId="2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1" hidden="1">{"bprofit",#N/A,FALSE,"Reports (B)";"bcash",#N/A,FALSE,"Reports (B)";"bbsheet",#N/A,FALSE,"Reports (B)"}</definedName>
    <definedName name="wrn.B._.Reports." localSheetId="2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1" hidden="1">{"banks",#N/A,FALSE,"BASIC"}</definedName>
    <definedName name="wrn.bank._.model." localSheetId="2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1" hidden="1">{#N/A,#N/A,FALSE,"F_Plan";#N/A,#N/A,FALSE,"Parameter"}</definedName>
    <definedName name="wrn.BPlan." localSheetId="2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1" hidden="1">{"Capital",#N/A,FALSE,"LOM Summary For OCC Mgrs"}</definedName>
    <definedName name="wrn.Capital." localSheetId="2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1" hidden="1">{#N/A,#N/A,FALSE,"BLUESKYE"}</definedName>
    <definedName name="wrn.CASH." localSheetId="2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1" hidden="1">{#N/A,#N/A,TRUE,"Cashflow"}</definedName>
    <definedName name="wrn.cash._.flow._.report." localSheetId="2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1" hidden="1">{#N/A,#N/A,FALSE,"Chi tiÆt"}</definedName>
    <definedName name="wrn.chi._.tiÆt." localSheetId="2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1" hidden="1">{#N/A,#N/A,TRUE,"1842CWN0"}</definedName>
    <definedName name="wrn.civil._.works." localSheetId="2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1" hidden="1">{#N/A,#N/A,TRUE,"1842CWN0"}</definedName>
    <definedName name="wrn.civil._.works._1" localSheetId="2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1" hidden="1">{#N/A,#N/A,TRUE,"1842CWN0"}</definedName>
    <definedName name="wrn.civil._.works._2" localSheetId="2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1" hidden="1">{#N/A,#N/A,TRUE,"1842CWN0"}</definedName>
    <definedName name="wrn.civil._.works._3" localSheetId="2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1" hidden="1">{"BPCCOLOR",#N/A,FALSE,"CRVS";"NUCCOLOR",#N/A,FALSE,"CRVS";"FOSCOLOR",#N/A,FALSE,"CRVS"}</definedName>
    <definedName name="wrn.colorcrvs." localSheetId="2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1" hidden="1">{"cuadro1",#N/A,FALSE,"periodos entre Opciones";"cuadro2",#N/A,FALSE,"periodos entre Opciones"}</definedName>
    <definedName name="wrn.compa." localSheetId="2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1" hidden="1">{#N/A,#N/A,FALSE,"Cobret"}</definedName>
    <definedName name="wrn.composito." localSheetId="2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1" hidden="1">{#N/A,#N/A,FALSE,"Cobret"}</definedName>
    <definedName name="wrn.composito._1" localSheetId="2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1" hidden="1">{#N/A,#N/A,FALSE,"Cobret"}</definedName>
    <definedName name="wrn.composito._2" localSheetId="2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1" hidden="1">{#N/A,#N/A,FALSE,"Cobret"}</definedName>
    <definedName name="wrn.composito._3" localSheetId="2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1" hidden="1">{#N/A,#N/A,FALSE,"Cobret"}</definedName>
    <definedName name="wrn.composito._4" localSheetId="2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1" hidden="1">{#N/A,#N/A,FALSE,"Cobret"}</definedName>
    <definedName name="wrn.composito._5" localSheetId="2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1" hidden="1">{#N/A,#N/A,FALSE,"Sheet1"}</definedName>
    <definedName name="wrn.cong." localSheetId="2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1" hidden="1">{"data",#N/A,FALSE,"OP_SUM"}</definedName>
    <definedName name="wrn.data." localSheetId="2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1" hidden="1">{"datadetail",#N/A,FALSE,"QFD"}</definedName>
    <definedName name="wrn.datadetail." localSheetId="2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1" hidden="1">{"Admin Costs",#N/A,FALSE,"Act.Fcst Costs"}</definedName>
    <definedName name="wrn.Debbie._.Hawkins." localSheetId="2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1" hidden="1">{"details",#N/A,FALSE,"Summary"}</definedName>
    <definedName name="wrn.details." localSheetId="2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1" hidden="1">{"DetallexDep",#N/A,FALSE,"Giovanna (x DEPT)"}</definedName>
    <definedName name="wrn.DetallexDEP." localSheetId="2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1" hidden="1">{"DetallexDep",#N/A,FALSE,"Giovanna (x DEPT)"}</definedName>
    <definedName name="wrn.DetallexDEP._1" localSheetId="2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1" hidden="1">{"DetallexDep",#N/A,FALSE,"Giovanna (x DEPT)"}</definedName>
    <definedName name="wrn.DetallexDEP._2" localSheetId="2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1" hidden="1">{"DetallexDep",#N/A,FALSE,"Giovanna (x DEPT)"}</definedName>
    <definedName name="wrn.DetallexDEP._3" localSheetId="2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1" hidden="1">{"DetallexDep",#N/A,FALSE,"Giovanna (x DEPT)"}</definedName>
    <definedName name="wrn.DetallexDEP._4" localSheetId="2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1" hidden="1">{"DetallexDep",#N/A,FALSE,"Giovanna (x DEPT)"}</definedName>
    <definedName name="wrn.DetallexDEP._5" localSheetId="2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1" hidden="1">{"PRES REHAB ARM-PER POR ITEMS  KM A KM",#N/A,TRUE,"Rehabilitacion Arm-Per"}</definedName>
    <definedName name="wrn.ESTADO._.REHABILITACION." localSheetId="2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1" hidden="1">{#N/A,#N/A,FALSE,"HIGHNEW";#N/A,#N/A,FALSE,"HIGHOLD"}</definedName>
    <definedName name="wrn.esterno." localSheetId="2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1" hidden="1">{#N/A,#N/A,FALSE,"HIGHNEW";#N/A,#N/A,FALSE,"HIGHOLD"}</definedName>
    <definedName name="wrn.esterno._1" localSheetId="2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1" hidden="1">{#N/A,#N/A,FALSE,"HIGHNEW";#N/A,#N/A,FALSE,"HIGHOLD"}</definedName>
    <definedName name="wrn.esterno._2" localSheetId="2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1" hidden="1">{#N/A,#N/A,FALSE,"HIGHNEW";#N/A,#N/A,FALSE,"HIGHOLD"}</definedName>
    <definedName name="wrn.esterno._3" localSheetId="2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1" hidden="1">{"EXEC",#N/A,TRUE,"Header";"EXEC_1",#N/A,TRUE,"Summary_1"}</definedName>
    <definedName name="wrn.EXEC_1." localSheetId="2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1" hidden="1">{"EXEC",#N/A,FALSE,"Header";"EXEC_2",#N/A,FALSE,"Summary_2"}</definedName>
    <definedName name="wrn.EXEC_2." localSheetId="2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1" hidden="1">{"EXEC",#N/A,FALSE,"Header";"EXEC_3",#N/A,FALSE,"Summary_3"}</definedName>
    <definedName name="wrn.EXEC_3." localSheetId="2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1" hidden="1">{"EXEC",#N/A,FALSE,"Header";"EXEC_4",#N/A,FALSE,"Summary_4"}</definedName>
    <definedName name="wrn.EXEC_4." localSheetId="2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1" hidden="1">{#N/A,#N/A,FALSE,"factura";"factura",#N/A,FALSE,"factura"}</definedName>
    <definedName name="wrn.factura." localSheetId="2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1" hidden="1">{#N/A,#N/A,FALSE,"factura"}</definedName>
    <definedName name="wrn.factura._.ruc." localSheetId="2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1" hidden="1">{#N/A,#N/A,FALSE,"factura"}</definedName>
    <definedName name="wrn.factura._.ruc._1" localSheetId="2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1" hidden="1">{#N/A,#N/A,FALSE,"factura"}</definedName>
    <definedName name="wrn.factura._.ruc._2" localSheetId="2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1" hidden="1">{#N/A,#N/A,FALSE,"factura"}</definedName>
    <definedName name="wrn.factura._.ruc._3" localSheetId="2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1" hidden="1">{#N/A,#N/A,FALSE,"factura"}</definedName>
    <definedName name="wrn.factura._.ruc._4" localSheetId="2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1" hidden="1">{#N/A,#N/A,FALSE,"factura"}</definedName>
    <definedName name="wrn.factura._.ruc._5" localSheetId="2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1" hidden="1">{#N/A,#N/A,FALSE,"factura";"factura",#N/A,FALSE,"factura"}</definedName>
    <definedName name="wrn.factura._1" localSheetId="2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2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1" hidden="1">{#N/A,#N/A,FALSE,"factura";"factura",#N/A,FALSE,"factura"}</definedName>
    <definedName name="wrn.factura._4" localSheetId="2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1" hidden="1">{#N/A,#N/A,FALSE,"factura";"factura",#N/A,FALSE,"factura"}</definedName>
    <definedName name="wrn.factura._5" localSheetId="2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1" hidden="1">{"April",#N/A,FALSE,"April"}</definedName>
    <definedName name="wrn.FLASH_APR." localSheetId="2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1" hidden="1">{"FEB_DEC",#N/A,FALSE,"February"}</definedName>
    <definedName name="wrn.FLASH_FEB." localSheetId="2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1" hidden="1">{"JAN",#N/A,FALSE,"January"}</definedName>
    <definedName name="wrn.FLASH_JAN." localSheetId="2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1" hidden="1">{"June",#N/A,FALSE,"June"}</definedName>
    <definedName name="wrn.FLASH_JUN." localSheetId="2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1" hidden="1">{"MAR",#N/A,FALSE,"March"}</definedName>
    <definedName name="wrn.FLASH_MAR." localSheetId="2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1" hidden="1">{"May",#N/A,FALSE,"May"}</definedName>
    <definedName name="wrn.FLASH_MAY." localSheetId="2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1" hidden="1">{"VIA1",#N/A,TRUE,"formul";"VIA2",#N/A,TRUE,"formul";"VIA3",#N/A,TRUE,"formul"}</definedName>
    <definedName name="wrn.formu." localSheetId="2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1" hidden="1">{"garo personnel",#N/A,FALSE;"personnel by location",#N/A,FALSE;"garo_graph",#N/A,FALSE}</definedName>
    <definedName name="wrn.GARO._.PERSNL._.REPORT." localSheetId="2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1" hidden="1">{#N/A,#N/A,FALSE,"VISTAF"}</definedName>
    <definedName name="wrn.GENSERV." localSheetId="2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1" hidden="1">{"Graf_Carga Trab",#N/A,FALSE,"Grafi_Carga Trab";"Graf_Venta Flujo",#N/A,FALSE,"Grafi_Carga Trab"}</definedName>
    <definedName name="wrn.Graficos." localSheetId="2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1" hidden="1">{#N/A,#N/A,FALSE,"Cobret"}</definedName>
    <definedName name="wrn.hedge." localSheetId="2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1" hidden="1">{#N/A,#N/A,FALSE,"Cobret"}</definedName>
    <definedName name="wrn.hedge._1" localSheetId="2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1" hidden="1">{#N/A,#N/A,FALSE,"Cobret"}</definedName>
    <definedName name="wrn.hedge._2" localSheetId="2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1" hidden="1">{#N/A,#N/A,FALSE,"Cobret"}</definedName>
    <definedName name="wrn.hedge._3" localSheetId="2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1" hidden="1">{#N/A,#N/A,FALSE,"Cobret"}</definedName>
    <definedName name="wrn.hedge._4" localSheetId="2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1" hidden="1">{#N/A,#N/A,FALSE,"Cobret"}</definedName>
    <definedName name="wrn.hedge._5" localSheetId="2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1" hidden="1">{#N/A,#N/A,FALSE,"main";#N/A,#N/A,FALSE,"100% Cash";#N/A,#N/A,FALSE,"100% Stock"}</definedName>
    <definedName name="wrn.Hyg._.Acq." localSheetId="2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1" hidden="1">{#N/A,#N/A,FALSE,"Hyp Data";#N/A,#N/A,FALSE,"Hyp Data_TH";#N/A,#N/A,FALSE,"Hyp Data_CO"}</definedName>
    <definedName name="wrn.Hyperion._.Data." localSheetId="2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1" hidden="1">{"Datos de las Curvas",#N/A,TRUE,"TABLA-CALCULOS"}</definedName>
    <definedName name="wrn.Impresion._.Datos._.de._.las._.Curvas." localSheetId="2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1" hidden="1">{#N/A,#N/A,FALSE,"Fig. 1";#N/A,#N/A,FALSE,"Fig. 2"}</definedName>
    <definedName name="wrn.INCO._.Proposal._.Summary." localSheetId="2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1" hidden="1">{"Input Data",#N/A,FALSE,"Input &amp; Results";"Results",#N/A,FALSE,"Input &amp; Results"}</definedName>
    <definedName name="wrn.Inputs._.and._.Results." localSheetId="2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1" hidden="1">{#N/A,#N/A,FALSE,"Lista Eq.yMaq."}</definedName>
    <definedName name="wrn.Lista._.Eq.yMaq.." localSheetId="2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1" hidden="1">{"Práctica","Práctica",FALSE,"Práctica"}</definedName>
    <definedName name="wrn.LISTADO." localSheetId="2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1" hidden="1">{"Práctica","Práctica",FALSE,"Práctica"}</definedName>
    <definedName name="wrn.LISTADO._1" localSheetId="2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1" hidden="1">{"JVSumm_Report",#N/A,FALSE,"JV Summ";"Newman_Report",#N/A,FALSE,"Output - 7";"Yandi_Report",#N/A,FALSE,"Output - 8"}</definedName>
    <definedName name="wrn.Main_Stats." localSheetId="2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1" hidden="1">{#N/A,#N/A,FALSE,"VISTAF"}</definedName>
    <definedName name="wrn.MARGIN." localSheetId="2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1" hidden="1">{#N/A,#N/A,FALSE,"MANHR FCST-BASE"}</definedName>
    <definedName name="wrn.mhrfcst." localSheetId="2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1" hidden="1">{"MINIMOD_DIR_BACKUP",#N/A,FALSE,"500T_DSUM";"MINIMOD_DIRECT_SUMMARY",#N/A,FALSE,"500T_DSUM"}</definedName>
    <definedName name="wrn.MINI._.MODULE._.DIRECTS." localSheetId="2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1" hidden="1">{"basic",#N/A,FALSE,"BASIC"}</definedName>
    <definedName name="wrn.model." localSheetId="2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1" hidden="1">{#N/A,#N/A,FALSE,"HIGHNEW";#N/A,#N/A,FALSE,"HIGHOLD";#N/A,#N/A,FALSE,"MTHDET"}</definedName>
    <definedName name="wrn.MONTHLYREP." localSheetId="2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1" hidden="1">{#N/A,#N/A,FALSE,"subcontract"}</definedName>
    <definedName name="wrn.Nelson._.Summary." localSheetId="2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1" hidden="1">{#N/A,#N/A,FALSE,"subcontract"}</definedName>
    <definedName name="wrn.Nelson._.Summary._1" localSheetId="2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1" hidden="1">{"Normalisation Journal",#N/A,FALSE,"Normalisation Jnl"}</definedName>
    <definedName name="wrn.Normalisation._.Journal." localSheetId="2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1" hidden="1">{#N/A,#N/A,FALSE,"factura"}</definedName>
    <definedName name="wrn.nota._.deb.cre." localSheetId="2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1" hidden="1">{#N/A,#N/A,FALSE,"factura"}</definedName>
    <definedName name="wrn.nota._.deb.cre._1" localSheetId="2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1" hidden="1">{#N/A,#N/A,FALSE,"factura"}</definedName>
    <definedName name="wrn.nota._.deb.cre._2" localSheetId="2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1" hidden="1">{#N/A,#N/A,FALSE,"factura"}</definedName>
    <definedName name="wrn.nota._.deb.cre._3" localSheetId="2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1" hidden="1">{#N/A,#N/A,FALSE,"factura"}</definedName>
    <definedName name="wrn.nota._.deb.cre._4" localSheetId="2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1" hidden="1">{#N/A,#N/A,FALSE,"factura"}</definedName>
    <definedName name="wrn.nota._.deb.cre._5" localSheetId="2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1" hidden="1">{#N/A,#N/A,FALSE,"MAQUINA"}</definedName>
    <definedName name="wrn.oscar" localSheetId="2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1" hidden="1">{"PERFORMANCE GRAPH",#N/A,FALSE,"Performance graph";"DATA TABLE",#N/A,FALSE,"DHD Calculator"}</definedName>
    <definedName name="wrn.Output._.Report." localSheetId="2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1" hidden="1">{#N/A,#N/A,FALSE,"PEND INC";#N/A,#N/A,FALSE,"PEND MINM"}</definedName>
    <definedName name="wrn.pendientes." localSheetId="2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1" hidden="1">{#N/A,#N/A,FALSE,"PEND INC";#N/A,#N/A,FALSE,"PEND MINM"}</definedName>
    <definedName name="wrn.pendientes.c" localSheetId="2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1" hidden="1">{#N/A,#N/A,FALSE,"PEND INC";#N/A,#N/A,FALSE,"PEND MINM"}</definedName>
    <definedName name="wrn.pendientes.d" localSheetId="2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1" hidden="1">{#N/A,#N/A,FALSE,"PEND INC";#N/A,#N/A,FALSE,"PEND MINM"}</definedName>
    <definedName name="wrn.pendientesa" localSheetId="2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1" hidden="1">{#N/A,#N/A,FALSE,"OTHER GRAPHS";#N/A,#N/A,FALSE,"CAPITAL GRAPH"}</definedName>
    <definedName name="wrn.PERF._.RPT._.GRAPHS." localSheetId="2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1" hidden="1">{"PRE1",#N/A,FALSE,"RESUMEN"}</definedName>
    <definedName name="wrn.PRES." localSheetId="2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1" hidden="1">{#N/A,#N/A,FALSE,"Presupuesto"}</definedName>
    <definedName name="wrn.Presupuesto." localSheetId="2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1" hidden="1">{#N/A,#N/A,FALSE,"Presupuesto"}</definedName>
    <definedName name="wrn.Presupuesto._1" localSheetId="2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1" hidden="1">{#N/A,#N/A,FALSE,"MAY96 2260";#N/A,#N/A,FALSE,"system reclass";#N/A,#N/A,FALSE,"Items with no project number"}</definedName>
    <definedName name="wrn.Print._.All." localSheetId="2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1" hidden="1">{#N/A,#N/A,FALSE,"MAQUINA"}</definedName>
    <definedName name="wrn.PROCART." localSheetId="2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1" hidden="1">{#N/A,#N/A,FALSE,"MAQUINA"}</definedName>
    <definedName name="wrn.PROCART._1" localSheetId="2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1" hidden="1">{#N/A,#N/A,FALSE,"sumi ";#N/A,#N/A,FALSE,"RESUMEN"}</definedName>
    <definedName name="wrn.procurement." localSheetId="2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1" hidden="1">{"BPC",#N/A,FALSE,"PRO";"NUC",#N/A,FALSE,"PRO";"FOS",#N/A,FALSE,"PRO"}</definedName>
    <definedName name="wrn.profiles." localSheetId="2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1" hidden="1">{#N/A,#N/A,FALSE,"BLUESKYE"}</definedName>
    <definedName name="wrn.PROFIT." localSheetId="2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1" hidden="1">{#N/A,#N/A,FALSE,"Cobret"}</definedName>
    <definedName name="wrn.rentabilidad." localSheetId="2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1" hidden="1">{#N/A,#N/A,FALSE,"Cobret"}</definedName>
    <definedName name="wrn.rentabilidad._1" localSheetId="2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1" hidden="1">{#N/A,#N/A,FALSE,"Cobret"}</definedName>
    <definedName name="wrn.rentabilidad._2" localSheetId="2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1" hidden="1">{#N/A,#N/A,FALSE,"Cobret"}</definedName>
    <definedName name="wrn.rentabilidad._3" localSheetId="2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1" hidden="1">{#N/A,#N/A,FALSE,"Cobret"}</definedName>
    <definedName name="wrn.rentabilidad._4" localSheetId="2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1" hidden="1">{#N/A,#N/A,FALSE,"Cobret"}</definedName>
    <definedName name="wrn.rentabilidad._5" localSheetId="2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1" hidden="1">{#N/A,#N/A,FALSE,"HIGHNEW";#N/A,#N/A,FALSE,"HIGHOLD";#N/A,#N/A,FALSE,"MTHDET";#N/A,#N/A,FALSE,"ACTDET"}</definedName>
    <definedName name="wrn.reportinterno." localSheetId="2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1" hidden="1">{#N/A,#N/A,FALSE,"ResDev"}</definedName>
    <definedName name="wrn.RES._.DEV." localSheetId="2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1" hidden="1">{#N/A,#N/A,FALSE,"Recap";#N/A,#N/A,FALSE,"TON";#N/A,#N/A,FALSE,"RESU(G)";#N/A,#N/A,FALSE,"RES-FLE(G)";#N/A,#N/A,FALSE,"RES-FLET"}</definedName>
    <definedName name="wrn.resumen." localSheetId="2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1" hidden="1">{"RSprofit",#N/A,FALSE,"Reports (RS)";"RScash",#N/A,FALSE,"Reports (RS)";"RSbsheet",#N/A,FALSE,"Reports (RS)"}</definedName>
    <definedName name="wrn.RS._.Reports." localSheetId="2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1" hidden="1">{#N/A,#N/A,FALSE,"main";#N/A,#N/A,FALSE,"Pooling";#N/A,#N/A,FALSE,"Purchase"}</definedName>
    <definedName name="wrn.SCA._.Acq.." localSheetId="2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1" hidden="1">{#N/A,#N/A,FALSE,"main";#N/A,#N/A,FALSE,"Purchase"}</definedName>
    <definedName name="wrn.SCA._.AcqDisv." localSheetId="2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1" hidden="1">{#N/A,#N/A,FALSE,"Sost-Nov"}</definedName>
    <definedName name="wrn.SOSTENIMIENTO._.NOVIEMBRE._.JRC." localSheetId="2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1" hidden="1">{#N/A,#N/A,FALSE,"Sost-Nov"}</definedName>
    <definedName name="wrn.SOSTENIMIENTO._.NOVIEMBRE._.JRC._1" localSheetId="2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1" hidden="1">{#N/A,#N/A,FALSE,"Sost-Nov"}</definedName>
    <definedName name="wrn.SOSTENIMIENTO._.NOVIEMBRE._.JRC._1_1" localSheetId="2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1" hidden="1">{#N/A,#N/A,FALSE,"Sost-Nov"}</definedName>
    <definedName name="wrn.SOSTENIMIENTO._.NOVIEMBRE._.JRC._1_2" localSheetId="2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1" hidden="1">{#N/A,#N/A,FALSE,"Sost-Nov"}</definedName>
    <definedName name="wrn.SOSTENIMIENTO._.NOVIEMBRE._.JRC._1_3" localSheetId="2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1" hidden="1">{#N/A,#N/A,FALSE,"Sost-Nov"}</definedName>
    <definedName name="wrn.SOSTENIMIENTO._.NOVIEMBRE._.JRC._2" localSheetId="2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1" hidden="1">{#N/A,#N/A,FALSE,"Sost-Nov"}</definedName>
    <definedName name="wrn.SOSTENIMIENTO._.NOVIEMBRE._.JRC._3" localSheetId="2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1" hidden="1">{#N/A,#N/A,FALSE,"Sost-Nov"}</definedName>
    <definedName name="wrn.SOSTENIMIENTO._.NOVIEMBRE._.JRC._4" localSheetId="2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1" hidden="1">{#N/A,#N/A,FALSE,"STICK_SUMMARY";#N/A,#N/A,FALSE,"STICK_DSUM";#N/A,#N/A,FALSE,"STICK_INDIRECTS"}</definedName>
    <definedName name="wrn.STICK._.BUILT._.SUMMARY." localSheetId="2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1" hidden="1">{#N/A,#N/A,TRUE,"arnitower";#N/A,#N/A,TRUE,"arnigarage "}</definedName>
    <definedName name="wrn.struckgi." localSheetId="2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1" hidden="1">{#N/A,#N/A,FALSE,"Matrix";#N/A,#N/A,FALSE,"Executive";#N/A,#N/A,FALSE,"Summary"}</definedName>
    <definedName name="wrn.sumary1." localSheetId="2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1" hidden="1">{"input1",#N/A,FALSE,"Input";"input2",#N/A,FALSE,"Input";"input3",#N/A,FALSE,"Input"}</definedName>
    <definedName name="wrn.three." localSheetId="2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1" hidden="1">{#N/A,#N/A,FALSE,"Train1_Summary";#N/A,#N/A,FALSE,"Train1_Directs";#N/A,#N/A,FALSE,"Train1_Indirects"}</definedName>
    <definedName name="wrn.TRAIN1_REPORT." localSheetId="2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1" hidden="1">{#N/A,#N/A,FALSE,"Train2 Summary";#N/A,#N/A,FALSE,"Train2 Directs";#N/A,#N/A,FALSE,"Train2 Indirects"}</definedName>
    <definedName name="wrn.TRAIN2_REPORT." localSheetId="2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1" hidden="1">{#N/A,#N/A,FALSE,"PL";#N/A,#N/A,FALSE,"CF";#N/A,#N/A,FALSE,"NPV";#N/A,#N/A,FALSE,"Summary";#N/A,#N/A,FALSE,"Output"}</definedName>
    <definedName name="wrn.two." localSheetId="2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1" hidden="1">{#N/A,#N/A,FALSE,"Umsatz";#N/A,#N/A,FALSE,"Base V.02";#N/A,#N/A,FALSE,"Charts"}</definedName>
    <definedName name="wrn.Umsatz." localSheetId="2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1" hidden="1">{"Sin detalle",#N/A,FALSE,"Flujo (redondeado)"}</definedName>
    <definedName name="wrn.Una._.Hoja." localSheetId="2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1" hidden="1">{"Avance Fisico",#N/A,FALSE,"Avance Finan SAP";"Avance Financiero",#N/A,FALSE,"Avance Finan SAP"}</definedName>
    <definedName name="wrn.Version." localSheetId="2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1" hidden="1">{"via1",#N/A,TRUE,"general";"via2",#N/A,TRUE,"general";"via3",#N/A,TRUE,"general"}</definedName>
    <definedName name="wrn.via." localSheetId="2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1" hidden="1">{#N/A,#N/A,FALSE,"Resumen"}</definedName>
    <definedName name="wrn.VOLCAN." localSheetId="2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1" hidden="1">{#N/A,#N/A,FALSE,"Resumen"}</definedName>
    <definedName name="wrn.VOLCAN._1" localSheetId="2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1" hidden="1">{#N/A,#N/A,FALSE,"Resumen"}</definedName>
    <definedName name="wrn.VOLCAN._2" localSheetId="2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1" hidden="1">{#N/A,#N/A,FALSE,"Resumen"}</definedName>
    <definedName name="wrn.VOLCAN._3" localSheetId="2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1" hidden="1">{#VALUE!,#N/A,FALSE,0;#N/A,#N/A,FALSE,0;#N/A,#N/A,FALSE,0;#N/A,#N/A,FALSE,0}</definedName>
    <definedName name="wrn.변경예산." localSheetId="2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1" hidden="1">{#N/A,#N/A,TRUE,"Est. de Fact.";#N/A,#N/A,TRUE,"Capitulo 19";#N/A,#N/A,TRUE,"Proyecto P855"}</definedName>
    <definedName name="wrn_1" localSheetId="2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1" hidden="1">{#N/A,#N/A,FALSE,"F_Plan";#N/A,#N/A,FALSE,"Parameter"}</definedName>
    <definedName name="wrn2.Bplan." localSheetId="2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1" hidden="1">{#N/A,#N/A,FALSE,"Matrix";#N/A,#N/A,FALSE,"Executive";#N/A,#N/A,FALSE,"Summary"}</definedName>
    <definedName name="wrrn" localSheetId="2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1" hidden="1">{"BALANCE_SHEET",#N/A,FALSE,"A";"INCOME_STATEMENT",#N/A,FALSE,"A"}</definedName>
    <definedName name="wturt" localSheetId="2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1" hidden="1">{#N/A,#N/A,FALSE,"ResDev"}</definedName>
    <definedName name="wvraht" localSheetId="2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1" hidden="1">{#N/A,#N/A,TRUE,"MES";#N/A,#N/A,TRUE,"ANUAL"}</definedName>
    <definedName name="wwe" localSheetId="2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1" hidden="1">{#N/A,#N/A,TRUE,"MES";#N/A,#N/A,TRUE,"ANUAL"}</definedName>
    <definedName name="wwww" localSheetId="2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1" hidden="1">{#N/A,#N/A,FALSE,"ResDev"}</definedName>
    <definedName name="wwwwwwwwwh" localSheetId="2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1" hidden="1">{#N/A,#N/A,FALSE,"ResDev"}</definedName>
    <definedName name="wwwwwwwwwq" localSheetId="2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1" hidden="1">{"'standard'!$A$8:$C$109"}</definedName>
    <definedName name="x_2" localSheetId="2" hidden="1">{"'standard'!$A$8:$C$109"}</definedName>
    <definedName name="x_2" localSheetId="0" hidden="1">{"'standard'!$A$8:$C$109"}</definedName>
    <definedName name="x_2" hidden="1">{"'standard'!$A$8:$C$109"}</definedName>
    <definedName name="x_3" localSheetId="1" hidden="1">{"'standard'!$A$8:$C$109"}</definedName>
    <definedName name="x_3" localSheetId="2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1" hidden="1">{"JAN",#N/A,FALSE,"January"}</definedName>
    <definedName name="xbxnxfgjs" localSheetId="2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1" hidden="1">{#N/A,#N/A,TRUE,"Est. de Fact.";#N/A,#N/A,TRUE,"Capitulo 19";#N/A,#N/A,TRUE,"Proyecto P855"}</definedName>
    <definedName name="xc_1" localSheetId="2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1" hidden="1">{#N/A,#N/A,FALSE,"subcontract"}</definedName>
    <definedName name="XGFH" localSheetId="2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1" hidden="1">{#N/A,#N/A,TRUE,"1842CWN0"}</definedName>
    <definedName name="xsxsxsxsxs" localSheetId="2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1" hidden="1">{"April",#N/A,FALSE,"April"}</definedName>
    <definedName name="xvb" localSheetId="2" hidden="1">{"April",#N/A,FALSE,"April"}</definedName>
    <definedName name="xvb" localSheetId="0" hidden="1">{"April",#N/A,FALSE,"April"}</definedName>
    <definedName name="xvb" hidden="1">{"April",#N/A,FALSE,"April"}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1" hidden="1">{"DetallexDep",#N/A,FALSE,"Giovanna (x DEPT)"}</definedName>
    <definedName name="xxx_2" localSheetId="2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1" hidden="1">{"DetallexDep",#N/A,FALSE,"Giovanna (x DEPT)"}</definedName>
    <definedName name="xxx_3" localSheetId="2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1" hidden="1">{"DetallexDep",#N/A,FALSE,"Giovanna (x DEPT)"}</definedName>
    <definedName name="xxx_4" localSheetId="2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1" hidden="1">{"DetallexDep",#N/A,FALSE,"Giovanna (x DEPT)"}</definedName>
    <definedName name="xxx_5" localSheetId="2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1" hidden="1">{#N/A,#N/A,FALSE,"Matrix";#N/A,#N/A,FALSE,"Executive";#N/A,#N/A,FALSE,"Summary"}</definedName>
    <definedName name="XXX1" localSheetId="2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1" hidden="1">{#N/A,#N/A,FALSE,"Aging Summary";#N/A,#N/A,FALSE,"Ratio Analysis";#N/A,#N/A,FALSE,"Test 120 Day Accts";#N/A,#N/A,FALSE,"Tickmarks"}</definedName>
    <definedName name="XXXX_2" localSheetId="2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1" hidden="1">{#N/A,#N/A,FALSE,"Matrix";#N/A,#N/A,FALSE,"Executive";#N/A,#N/A,FALSE,"Summary"}</definedName>
    <definedName name="XXXXXXXX" localSheetId="2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1" hidden="1">{#N/A,#N/A,FALSE,"subcontract"}</definedName>
    <definedName name="XXXXXXXXXX" localSheetId="2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1" hidden="1">{"CI+GG(BASE)",#N/A,FALSE,"CI+GG(BASE)";"GG",#N/A,FALSE,"CI+GG(BASE)";"CI",#N/A,FALSE,"CI+GG(BASE)"}</definedName>
    <definedName name="xxxxxxxxxxxx" localSheetId="2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1" hidden="1">{"MO(BASE)",#N/A,FALSE,"MO(BASE)";"MO(BASE)1",#N/A,FALSE,"MO(BASE)";"MO(BASE)2",#N/A,FALSE,"MO(BASE)"}</definedName>
    <definedName name="xxxxxxxxxxxxxxxxxxxxxx" localSheetId="2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1" hidden="1">{#N/A,#N/A,FALSE,"PEND INC";#N/A,#N/A,FALSE,"PEND MINM"}</definedName>
    <definedName name="xxxxxxxxxxxxxxxxxxxxxxx" localSheetId="2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1" hidden="1">{#N/A,#N/A,FALSE,"summary";#N/A,#N/A,FALSE,"SumGraph"}</definedName>
    <definedName name="XXXXXXXXXXXXXXXXXXXXXXXXXXXXXXXXXXXXXXXXX" localSheetId="2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1" hidden="1">{#N/A,#N/A,TRUE,"MES";#N/A,#N/A,TRUE,"ANUAL"}</definedName>
    <definedName name="xyz" localSheetId="2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1" hidden="1">{"DetallexDep",#N/A,FALSE,"Giovanna (x DEPT)"}</definedName>
    <definedName name="y_1" localSheetId="2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1" hidden="1">{"DetallexDep",#N/A,FALSE,"Giovanna (x DEPT)"}</definedName>
    <definedName name="y_2" localSheetId="2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1" hidden="1">{"DetallexDep",#N/A,FALSE,"Giovanna (x DEPT)"}</definedName>
    <definedName name="y_3" localSheetId="2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1" hidden="1">{"DetallexDep",#N/A,FALSE,"Giovanna (x DEPT)"}</definedName>
    <definedName name="y_4" localSheetId="2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1" hidden="1">{"DetallexDep",#N/A,FALSE,"Giovanna (x DEPT)"}</definedName>
    <definedName name="y_5" localSheetId="2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1" hidden="1">{#N/A,#N/A,TRUE,"INGENIERIA";#N/A,#N/A,TRUE,"COMPRAS";#N/A,#N/A,TRUE,"DIRECCION";#N/A,#N/A,TRUE,"RESUMEN"}</definedName>
    <definedName name="yfc" localSheetId="2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1" hidden="1">{#N/A,#N/A,TRUE,"1842CWN0"}</definedName>
    <definedName name="yhgd" localSheetId="2" hidden="1">{#N/A,#N/A,TRUE,"1842CWN0"}</definedName>
    <definedName name="yhgd" localSheetId="0" hidden="1">{#N/A,#N/A,TRUE,"1842CWN0"}</definedName>
    <definedName name="yhgd" hidden="1">{#N/A,#N/A,TRUE,"1842CWN0"}</definedName>
    <definedName name="yjhf" localSheetId="1" hidden="1">{#N/A,#N/A,TRUE,"1842CWN0"}</definedName>
    <definedName name="yjhf" localSheetId="2" hidden="1">{#N/A,#N/A,TRUE,"1842CWN0"}</definedName>
    <definedName name="yjhf" localSheetId="0" hidden="1">{#N/A,#N/A,TRUE,"1842CWN0"}</definedName>
    <definedName name="yjhf" hidden="1">{#N/A,#N/A,TRUE,"1842CWN0"}</definedName>
    <definedName name="yms" localSheetId="1" hidden="1">{#N/A,#N/A,TRUE,"INGENIERIA";#N/A,#N/A,TRUE,"COMPRAS";#N/A,#N/A,TRUE,"DIRECCION";#N/A,#N/A,TRUE,"RESUMEN"}</definedName>
    <definedName name="yms" localSheetId="2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1" hidden="1">{"MO(BASE)",#N/A,FALSE,"MO(BASE)";"MO(BASE)1",#N/A,FALSE,"MO(BASE)";"MO(BASE)2",#N/A,FALSE,"MO(BASE)"}</definedName>
    <definedName name="yo" localSheetId="2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1" hidden="1">{"June",#N/A,FALSE,"June"}</definedName>
    <definedName name="yriwesgfhsrtu" localSheetId="2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1" hidden="1">{#N/A,#N/A,TRUE,"INGENIERIA";#N/A,#N/A,TRUE,"COMPRAS";#N/A,#N/A,TRUE,"DIRECCION";#N/A,#N/A,TRUE,"RESUMEN"}</definedName>
    <definedName name="ytjt" localSheetId="2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1" hidden="1">{#N/A,#N/A,TRUE,"MES";#N/A,#N/A,TRUE,"ANUAL"}</definedName>
    <definedName name="ytr" localSheetId="2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1" hidden="1">{#N/A,#N/A,TRUE,"Est. de Fact.";#N/A,#N/A,TRUE,"Capitulo 19";#N/A,#N/A,TRUE,"Proyecto P855"}</definedName>
    <definedName name="yuk" localSheetId="2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1" hidden="1">{#N/A,#N/A,FALSE,"MAY96 2260";#N/A,#N/A,FALSE,"system reclass";#N/A,#N/A,FALSE,"Items with no project number"}</definedName>
    <definedName name="yyyy" localSheetId="2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1" hidden="1">{#N/A,#N/A,FALSE,"MAY96 2260";#N/A,#N/A,FALSE,"system reclass";#N/A,#N/A,FALSE,"Items with no project number"}</definedName>
    <definedName name="yyyy_2" localSheetId="2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1" hidden="1">{"'standard'!$A$8:$C$109"}</definedName>
    <definedName name="z_2" localSheetId="2" hidden="1">{"'standard'!$A$8:$C$109"}</definedName>
    <definedName name="z_2" localSheetId="0" hidden="1">{"'standard'!$A$8:$C$109"}</definedName>
    <definedName name="z_2" hidden="1">{"'standard'!$A$8:$C$109"}</definedName>
    <definedName name="z_3" localSheetId="1" hidden="1">{"'standard'!$A$8:$C$109"}</definedName>
    <definedName name="z_3" localSheetId="2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1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1" hidden="1">{#N/A,#N/A,TRUE,"INGENIERIA";#N/A,#N/A,TRUE,"COMPRAS";#N/A,#N/A,TRUE,"DIRECCION";#N/A,#N/A,TRUE,"RESUMEN"}</definedName>
    <definedName name="Zapatas" localSheetId="2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1" hidden="1">{"April",#N/A,FALSE,"April"}</definedName>
    <definedName name="zaswe" localSheetId="2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1" hidden="1">{"BALANCE_SHEET",#N/A,FALSE,"A";"INCOME_STATEMENT",#N/A,FALSE,"A"}</definedName>
    <definedName name="zbcv" localSheetId="2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1" hidden="1">{#N/A,#N/A,FALSE,"사업총괄";#N/A,#N/A,FALSE,"장비사업";#N/A,#N/A,FALSE,"철구사업";#N/A,#N/A,FALSE,"준설사업"}</definedName>
    <definedName name="건기" localSheetId="2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1" hidden="1">{#VALUE!,#N/A,FALSE,0;#N/A,#N/A,FALSE,0;#N/A,#N/A,FALSE,0;#N/A,#N/A,FALSE,0}</definedName>
    <definedName name="건설기계새로움" localSheetId="2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1" hidden="1">{#N/A,#N/A,FALSE,"사업총괄";#N/A,#N/A,FALSE,"장비사업";#N/A,#N/A,FALSE,"철구사업";#N/A,#N/A,FALSE,"준설사업"}</definedName>
    <definedName name="분석표" localSheetId="2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1" hidden="1">{#VALUE!,#N/A,FALSE,0;#N/A,#N/A,FALSE,0;#N/A,#N/A,FALSE,0;#N/A,#N/A,FALSE,0}</definedName>
    <definedName name="참고자료" localSheetId="2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1" hidden="1">{#N/A,#N/A,FALSE,"사업총괄";#N/A,#N/A,FALSE,"장비사업";#N/A,#N/A,FALSE,"철구사업";#N/A,#N/A,FALSE,"준설사업"}</definedName>
    <definedName name="한동준" localSheetId="2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K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/>
  <c r="AG24" i="12"/>
  <c r="AI24" i="12" s="1"/>
  <c r="AG25" i="12"/>
  <c r="AI25" i="12" s="1"/>
  <c r="J271" i="12"/>
  <c r="J272" i="12"/>
  <c r="J275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4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8" i="12" l="1"/>
  <c r="J277" i="12"/>
  <c r="J276" i="12"/>
  <c r="AN35" i="12" l="1"/>
  <c r="J26" i="12" l="1"/>
  <c r="AQ272" i="12" l="1"/>
  <c r="AQ274" i="12"/>
  <c r="AQ275" i="12"/>
  <c r="AQ276" i="12"/>
  <c r="AQ277" i="12"/>
  <c r="AQ278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L279" i="12"/>
  <c r="AM26" i="12"/>
  <c r="R26" i="12"/>
  <c r="AA26" i="12"/>
  <c r="L14" i="12"/>
  <c r="J279" i="12" l="1"/>
  <c r="N279" i="12" s="1"/>
  <c r="N14" i="12"/>
  <c r="L26" i="12"/>
  <c r="AG26" i="12" l="1"/>
  <c r="AI26" i="12"/>
  <c r="N26" i="12"/>
  <c r="T14" i="12"/>
  <c r="AQ271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5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<sst xmlns="http://schemas.openxmlformats.org/spreadsheetml/2006/main" count="4898" uniqueCount="2558">
  <si>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</si>
  <si>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</si>
  <si>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</si>
  <si>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</si>
  <si>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</si>
  <si>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</si>
  <si>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</si>
  <si>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</si>
  <si>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</si>
  <si>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</si>
  <si>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</si>
  <si>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</si>
  <si>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</si>
  <si>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</si>
  <si>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</si>
  <si>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</si>
  <si>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</si>
  <si>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</si>
  <si>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</si>
  <si>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</si>
  <si>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</si>
  <si>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</si>
  <si>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</si>
  <si>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</si>
  <si>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</si>
  <si>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</si>
  <si>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</si>
  <si>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</si>
  <si>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</si>
  <si>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</si>
  <si>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</si>
  <si>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</si>
  <si>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</si>
  <si>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</si>
  <si>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</si>
  <si>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</si>
  <si>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</si>
  <si>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</si>
  <si>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</si>
  <si>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</si>
  <si>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</si>
  <si>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</si>
  <si>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</si>
  <si>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</si>
  <si>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</si>
  <si>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</si>
  <si>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</si>
  <si>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</si>
  <si>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</si>
  <si>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</si>
  <si>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</si>
  <si>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</si>
  <si>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</si>
  <si>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</si>
  <si>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</si>
  <si>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</si>
  <si>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</si>
  <si>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</si>
  <si>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</si>
  <si>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</si>
  <si>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</si>
  <si>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</si>
  <si>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</si>
  <si>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</si>
  <si>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</si>
  <si>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</si>
  <si>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</si>
  <si>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</si>
  <si>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</si>
  <si>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</si>
  <si>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</si>
  <si>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</si>
  <si>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</si>
  <si>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</si>
  <si>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</si>
  <si>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</si>
  <si>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</si>
  <si>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</si>
  <si>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</si>
  <si>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</si>
  <si>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</si>
  <si>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</si>
  <si>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</si>
  <si>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</si>
  <si>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</si>
  <si>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</si>
  <si>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</si>
  <si>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</si>
  <si>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</si>
  <si>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</si>
  <si>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</si>
  <si>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</si>
  <si>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</si>
  <si>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</si>
  <si>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</si>
  <si>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</si>
  <si>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</si>
  <si>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</si>
  <si>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</si>
  <si>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</si>
  <si>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</si>
  <si>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</si>
  <si>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</si>
  <si>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</si>
  <si>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</si>
  <si>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</si>
  <si>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</si>
  <si>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</si>
  <si>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</si>
  <si>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</si>
  <si>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</si>
  <si>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</si>
  <si>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</si>
  <si>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</si>
  <si>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</si>
  <si>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</si>
  <si>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</si>
  <si>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</si>
  <si>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</si>
  <si>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</si>
  <si>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</si>
  <si>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</si>
  <si>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</si>
  <si>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>Inicio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</si>
  <si>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</si>
  <si>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</si>
  <si>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</si>
  <si>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</si>
  <si>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</si>
  <si>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</si>
  <si>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</si>
  <si>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</si>
  <si>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</si>
  <si>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</si>
  <si>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</si>
  <si>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</si>
  <si>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</si>
  <si>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</si>
  <si>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</si>
  <si>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</si>
  <si>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</si>
  <si>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</si>
  <si>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</si>
  <si>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</si>
  <si>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</si>
  <si>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</si>
  <si>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</si>
  <si>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</si>
  <si>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</si>
  <si>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</si>
  <si>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</si>
  <si>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</si>
  <si>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</si>
  <si>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</si>
  <si>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</si>
  <si>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</si>
  <si>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</si>
  <si>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</si>
  <si>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</si>
  <si>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</si>
  <si>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</si>
  <si>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</si>
  <si>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</si>
  <si>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</si>
  <si>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</si>
  <si>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</si>
  <si>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</si>
  <si>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</si>
  <si>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</si>
  <si>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</si>
  <si>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</si>
  <si>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</si>
  <si>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</si>
  <si>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</si>
  <si>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</si>
  <si>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</si>
  <si>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</si>
  <si>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</si>
  <si>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</si>
  <si>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</si>
  <si>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</si>
  <si>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</si>
  <si>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</si>
  <si>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</si>
  <si>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</si>
  <si>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</si>
  <si>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</si>
  <si>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</si>
  <si>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</si>
  <si>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</si>
  <si>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</si>
  <si>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</si>
  <si>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</si>
  <si>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</si>
  <si>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</si>
  <si>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</si>
  <si>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</si>
  <si>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</si>
  <si>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</si>
  <si>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</si>
  <si>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</si>
  <si>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</si>
  <si>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</si>
  <si>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</si>
  <si>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</si>
  <si>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</si>
  <si>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</si>
  <si>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</si>
  <si>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</si>
  <si>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</si>
  <si>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</si>
  <si>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</si>
  <si>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</si>
  <si>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</si>
  <si>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</si>
  <si>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</si>
  <si>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</si>
  <si>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</si>
  <si>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</si>
  <si>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</si>
  <si>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</si>
  <si>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</si>
  <si>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</si>
  <si>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</si>
  <si>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</si>
  <si>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</si>
  <si>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</si>
  <si>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</si>
  <si>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</si>
  <si>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</si>
  <si>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</si>
  <si>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</si>
  <si>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</si>
  <si>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</si>
  <si>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</si>
  <si>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</si>
  <si>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</si>
  <si>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</si>
  <si>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</si>
  <si>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</si>
  <si>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</si>
  <si>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</si>
  <si>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</si>
  <si>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</si>
  <si>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</si>
  <si>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</si>
  <si>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</si>
  <si>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</si>
  <si>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</si>
  <si>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</si>
  <si>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</si>
  <si>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</si>
  <si>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</si>
  <si>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</si>
  <si>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</si>
  <si>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</si>
  <si>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</si>
  <si>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</si>
  <si>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</si>
  <si>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</si>
  <si>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</si>
  <si>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</si>
  <si>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</si>
  <si>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</si>
  <si>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</si>
  <si>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</si>
  <si>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</si>
  <si>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</si>
  <si>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</si>
  <si>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</si>
  <si>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</si>
  <si>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</si>
  <si>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</si>
  <si>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</si>
  <si>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</si>
  <si>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</si>
  <si>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</si>
  <si>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</si>
  <si>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</si>
  <si>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</si>
  <si>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</si>
  <si>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</si>
  <si>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</si>
  <si>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</si>
  <si>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</si>
  <si>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</si>
  <si>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</si>
  <si>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</si>
  <si>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</si>
  <si>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</si>
  <si>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</si>
  <si>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</si>
  <si>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</si>
  <si>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</si>
  <si>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</si>
  <si>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</si>
  <si>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</si>
  <si>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</si>
  <si>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</si>
  <si>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</si>
  <si>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</si>
  <si>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</si>
  <si>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</si>
  <si>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</si>
  <si>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</si>
  <si>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</si>
  <si>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</si>
  <si>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</si>
  <si>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</si>
  <si>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</si>
  <si>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</si>
  <si>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</si>
  <si>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</si>
  <si>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</si>
  <si>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</si>
  <si>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</si>
  <si>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</si>
  <si>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</si>
  <si>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</si>
  <si>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</si>
  <si>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</si>
  <si>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</si>
  <si>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</si>
  <si>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</si>
  <si>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</si>
  <si>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</si>
  <si>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</si>
  <si>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</si>
  <si>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</si>
  <si>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</si>
  <si>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</si>
  <si>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</si>
  <si>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</si>
  <si>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</si>
  <si>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</si>
  <si>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</si>
  <si>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</si>
  <si>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</si>
  <si>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</si>
  <si>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</si>
  <si>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</si>
  <si>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</si>
  <si>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</si>
  <si>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</si>
  <si>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</si>
  <si>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</si>
  <si>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</si>
  <si>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</si>
  <si>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</si>
  <si>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</si>
  <si>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</si>
  <si>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</si>
  <si>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</si>
  <si>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</si>
  <si>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</si>
  <si>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</si>
  <si>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</si>
  <si>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</si>
  <si>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</si>
  <si>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</si>
  <si>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</si>
  <si>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</si>
  <si>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</si>
  <si>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</si>
  <si>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</si>
  <si>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</si>
  <si>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</si>
  <si>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</si>
  <si>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</si>
  <si>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</si>
  <si>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</si>
  <si>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</si>
  <si>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</si>
  <si>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</si>
  <si>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</si>
  <si>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</si>
  <si>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</si>
  <si>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</si>
  <si>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</si>
  <si>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</si>
  <si>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</si>
  <si>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</si>
  <si>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</si>
  <si>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</si>
  <si>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</si>
  <si>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</si>
  <si>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</si>
  <si>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</si>
  <si>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</si>
  <si>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</si>
  <si>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</si>
  <si>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</si>
  <si>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</si>
  <si>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</si>
  <si>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</si>
  <si>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</si>
  <si>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</si>
  <si>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</si>
  <si>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</si>
  <si>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</si>
  <si>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</si>
  <si>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</si>
  <si>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</si>
  <si>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</si>
  <si>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</si>
  <si>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</si>
  <si>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</si>
  <si>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</si>
  <si>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</si>
  <si>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</si>
  <si>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</si>
  <si>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</si>
  <si>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</si>
  <si>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</si>
  <si>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</si>
  <si>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</si>
  <si>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</si>
  <si>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</si>
  <si>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</si>
  <si>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</si>
  <si>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</si>
  <si>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</si>
  <si>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</si>
  <si>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</si>
  <si>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</si>
  <si>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</si>
  <si>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</si>
  <si>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</si>
  <si>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</si>
  <si>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</si>
  <si>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</si>
  <si>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</si>
  <si>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</si>
  <si>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</si>
  <si>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</si>
  <si>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</si>
  <si>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</si>
  <si>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</si>
  <si>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</si>
  <si>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</si>
  <si>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</si>
  <si>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</si>
  <si>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</si>
  <si>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</si>
  <si>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</si>
  <si>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</si>
  <si>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</si>
  <si>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</si>
  <si>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</si>
  <si>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</si>
  <si>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</si>
  <si>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</si>
  <si>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</si>
  <si>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</si>
  <si>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</si>
  <si>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</si>
  <si>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</si>
  <si>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</si>
  <si>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</si>
  <si>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</si>
  <si>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</si>
  <si>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</si>
  <si>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</si>
  <si>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</si>
  <si>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</si>
  <si>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</si>
  <si>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</si>
  <si>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</si>
  <si>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</si>
  <si>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</si>
  <si>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</si>
  <si>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</si>
  <si>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</si>
  <si>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</si>
  <si>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</si>
  <si>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</si>
  <si>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</si>
  <si>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</si>
  <si>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</si>
  <si>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</si>
  <si>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</si>
  <si>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</si>
  <si>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</si>
  <si>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</si>
  <si>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</si>
  <si>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</si>
  <si>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</si>
  <si>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</si>
  <si>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</si>
  <si>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</si>
  <si>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</si>
  <si>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</si>
  <si>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</si>
  <si>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</si>
  <si>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</si>
  <si>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</si>
  <si>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</si>
  <si>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</si>
  <si>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</si>
  <si>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</si>
  <si>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</si>
  <si>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</si>
  <si>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</si>
  <si>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</si>
  <si>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</si>
  <si>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</si>
  <si>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</si>
  <si>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</si>
  <si>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</si>
  <si>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</si>
  <si>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</si>
  <si>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</si>
  <si>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</si>
  <si>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</si>
  <si>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</si>
  <si>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</si>
  <si>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</si>
  <si>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</si>
  <si>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</si>
  <si>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</si>
  <si>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</si>
  <si>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</si>
  <si>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</si>
  <si>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</si>
  <si>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</si>
  <si>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</si>
  <si>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</si>
  <si>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</si>
  <si>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</si>
  <si>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</si>
  <si>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</si>
  <si>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</si>
  <si>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</si>
  <si>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</si>
  <si>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</si>
  <si>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</si>
  <si>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</si>
  <si>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</si>
  <si>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</si>
  <si>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</si>
  <si>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</si>
  <si>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</si>
  <si>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</si>
  <si>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</si>
  <si>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</si>
  <si>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</si>
  <si>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</si>
  <si>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</si>
  <si>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</si>
  <si>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</si>
  <si>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</si>
  <si>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</si>
  <si>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</si>
  <si>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</si>
  <si>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</si>
  <si>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</si>
  <si>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</si>
  <si>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</si>
  <si>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</si>
  <si>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</si>
  <si>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</si>
  <si>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</si>
  <si>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</si>
  <si>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</si>
  <si>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</si>
  <si>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</si>
  <si>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</si>
  <si>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</si>
  <si>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</si>
  <si>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</si>
  <si>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</si>
  <si>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</si>
  <si>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</si>
  <si>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</si>
  <si>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</si>
  <si>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</si>
  <si>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</si>
  <si>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</si>
  <si>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</si>
  <si>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</si>
  <si>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</si>
  <si>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</si>
  <si>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</si>
  <si>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</si>
  <si>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</si>
  <si>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</si>
  <si>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</si>
  <si>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</si>
  <si>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</si>
  <si>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</si>
  <si>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</si>
  <si>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</si>
  <si>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</si>
  <si>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</si>
  <si>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</si>
  <si>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</si>
  <si>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</si>
  <si>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</si>
  <si>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</si>
  <si>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</si>
  <si>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</si>
  <si>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</si>
  <si>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</si>
  <si>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</si>
  <si>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</si>
  <si>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</si>
  <si>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</si>
  <si>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</si>
  <si>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</si>
  <si>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</si>
  <si>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</si>
  <si>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</si>
  <si>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</si>
  <si>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</si>
  <si>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</si>
  <si>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</si>
  <si>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</si>
  <si>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</si>
  <si>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</si>
  <si>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</si>
  <si>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</si>
  <si>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</si>
  <si>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</si>
  <si>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</si>
  <si>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</si>
  <si>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</si>
  <si>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</si>
  <si>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</si>
  <si>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</si>
  <si>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</si>
  <si>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</si>
  <si>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</si>
  <si>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</si>
  <si>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</si>
  <si>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</si>
  <si>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</si>
  <si>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</si>
  <si>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</si>
  <si>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</si>
  <si>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</si>
  <si>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</si>
  <si>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</si>
  <si>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</si>
  <si>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</si>
  <si>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</si>
  <si>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</si>
  <si>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</si>
  <si>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</si>
  <si>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</si>
  <si>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</si>
  <si>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</si>
  <si>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</si>
  <si>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</si>
  <si>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</si>
  <si>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</si>
  <si>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</si>
  <si>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</si>
  <si>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</si>
  <si>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</si>
  <si>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</si>
  <si>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</si>
  <si>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</si>
  <si>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</si>
  <si>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</si>
  <si>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</si>
  <si>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</si>
  <si>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</si>
  <si>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</si>
  <si>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</si>
  <si>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</si>
  <si>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</si>
  <si>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</si>
  <si>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</si>
  <si>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</si>
  <si>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</si>
  <si>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</si>
  <si>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</si>
  <si>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</si>
  <si>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</si>
  <si>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</si>
  <si>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</si>
  <si>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</si>
  <si>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</si>
  <si>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</si>
  <si>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</si>
  <si>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</si>
  <si>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</si>
  <si>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</si>
  <si>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</si>
  <si>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</si>
  <si>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</si>
  <si>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</si>
  <si>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</si>
  <si>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</si>
  <si>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</si>
  <si>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</si>
  <si>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</si>
  <si>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</si>
  <si>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</si>
  <si>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</si>
  <si>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</si>
  <si>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</si>
  <si>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</si>
  <si>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</si>
  <si>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</si>
  <si>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</si>
  <si>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</si>
  <si>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</si>
  <si>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</si>
  <si>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</si>
  <si>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</si>
  <si>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</si>
  <si>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</si>
  <si>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</si>
  <si>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</si>
  <si>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</si>
  <si>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</si>
  <si>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</si>
  <si>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</si>
  <si>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</si>
  <si>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</si>
  <si>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</si>
  <si>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</si>
  <si>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</si>
  <si>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</si>
  <si>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</si>
  <si>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</si>
  <si>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</si>
  <si>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</si>
  <si>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</si>
  <si>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</si>
  <si>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</si>
  <si>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</si>
  <si>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</si>
  <si>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</si>
  <si>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</si>
  <si>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</si>
  <si>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</si>
  <si>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</si>
  <si>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</si>
  <si>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</si>
  <si>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</si>
  <si>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</si>
  <si>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</si>
  <si>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</si>
  <si>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</si>
  <si>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</si>
  <si>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</si>
  <si>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</si>
  <si>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</si>
  <si>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</si>
  <si>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</si>
  <si>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</si>
  <si>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</si>
  <si>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</si>
  <si>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</si>
  <si>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</si>
  <si>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</si>
  <si>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</si>
  <si>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</si>
  <si>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</si>
  <si>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</si>
  <si>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</si>
  <si>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</si>
  <si>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</si>
  <si>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</si>
  <si>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</si>
  <si>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</si>
  <si>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</si>
  <si>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</si>
  <si>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</si>
  <si>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</si>
  <si>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</si>
  <si>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</si>
  <si>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</si>
  <si>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</si>
  <si>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</si>
  <si>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</si>
  <si>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</si>
  <si>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</si>
  <si>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</si>
  <si>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</si>
  <si>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</si>
  <si>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</si>
  <si>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</si>
  <si>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</si>
  <si>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</si>
  <si>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</si>
  <si>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</si>
  <si>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</si>
  <si>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</si>
  <si>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</si>
  <si>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</si>
  <si>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</si>
  <si>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</si>
  <si>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</si>
  <si>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</si>
  <si>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</si>
  <si>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</si>
  <si>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</si>
  <si>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</si>
  <si>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</si>
  <si>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</si>
  <si>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</si>
  <si>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</si>
  <si>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</si>
  <si>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</si>
  <si>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</si>
  <si>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</si>
  <si>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</si>
  <si>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</si>
  <si>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</si>
  <si>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</si>
  <si>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</si>
  <si>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</si>
  <si>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</si>
  <si>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</si>
  <si>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</si>
  <si>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</si>
  <si>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</si>
  <si>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</si>
  <si>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</si>
  <si>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</si>
  <si>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</si>
  <si>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</si>
  <si>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</si>
  <si>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</si>
  <si>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</si>
  <si>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</si>
  <si>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</si>
  <si>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</si>
  <si>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</si>
  <si>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</si>
  <si>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</si>
  <si>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</si>
  <si>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</si>
  <si>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</si>
  <si>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</si>
  <si>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</si>
  <si>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</si>
  <si>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</si>
  <si>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</si>
  <si>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</si>
  <si>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</si>
  <si>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</si>
  <si>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</si>
  <si>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</si>
  <si>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</si>
  <si>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</si>
  <si>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</si>
  <si>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</si>
  <si>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</si>
  <si>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</si>
  <si>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</si>
  <si>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</si>
  <si>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</si>
  <si>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</si>
  <si>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</si>
  <si>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</si>
  <si>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</si>
  <si>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</si>
  <si>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</si>
  <si>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</si>
  <si>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</si>
  <si>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</si>
  <si>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</si>
  <si>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</si>
  <si>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</si>
  <si>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</si>
  <si>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</si>
  <si>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</si>
  <si>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</si>
  <si>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</si>
  <si>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</si>
  <si>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</si>
  <si>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</si>
  <si>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</si>
  <si>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</si>
  <si>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</si>
  <si>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</si>
  <si>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</si>
  <si>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</si>
  <si>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</si>
  <si>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</si>
  <si>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</si>
  <si>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</si>
  <si>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</si>
  <si>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</si>
  <si>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</si>
  <si>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</si>
  <si>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</si>
  <si>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</si>
  <si>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</si>
  <si>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</si>
  <si>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</si>
  <si>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</si>
  <si>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</si>
  <si>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</si>
  <si>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</si>
  <si>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</si>
  <si>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</si>
  <si>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</si>
  <si>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</si>
  <si>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</si>
  <si>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</si>
  <si>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</si>
  <si>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</si>
  <si>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</si>
  <si>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</si>
  <si>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</si>
  <si>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</si>
  <si>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</si>
  <si>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</si>
  <si>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</si>
  <si>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</si>
  <si>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</si>
  <si>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</si>
  <si>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</si>
  <si>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</si>
  <si>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</si>
  <si>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</si>
  <si>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</si>
  <si>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</si>
  <si>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</si>
  <si>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</si>
  <si>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</si>
  <si>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</si>
  <si>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</si>
  <si>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</si>
  <si>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</si>
  <si>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</si>
  <si>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</si>
  <si>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</si>
  <si>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</si>
  <si>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</si>
  <si>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</si>
  <si>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</si>
  <si>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</si>
  <si>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</si>
  <si>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</si>
  <si>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</si>
  <si>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</si>
  <si>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</si>
  <si>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</si>
  <si>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</si>
  <si>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</si>
  <si>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</si>
  <si>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</si>
  <si>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</si>
  <si>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</si>
  <si>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</si>
  <si>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</si>
  <si>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</si>
  <si>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</si>
  <si>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</si>
  <si>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</si>
  <si>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</si>
  <si>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</si>
  <si>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</si>
  <si>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</si>
  <si>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</si>
  <si>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</si>
  <si>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</si>
  <si>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</si>
  <si>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</si>
  <si>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</si>
  <si>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</si>
  <si>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</si>
  <si>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</si>
  <si>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</si>
  <si>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</si>
  <si>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</si>
  <si>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</si>
  <si>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</si>
  <si>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</si>
  <si>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</si>
  <si>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</si>
  <si>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</si>
  <si>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</si>
  <si>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</si>
  <si>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</si>
  <si>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</si>
  <si>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</si>
  <si>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</si>
  <si>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</si>
  <si>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</si>
  <si>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</si>
  <si>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</si>
  <si>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</si>
  <si>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</si>
  <si>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</si>
  <si>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</si>
  <si>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</si>
  <si>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</si>
  <si>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</si>
  <si>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</si>
  <si>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</si>
  <si>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</si>
  <si>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</si>
  <si>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</si>
  <si>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</si>
  <si>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</si>
  <si>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</si>
  <si>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</si>
  <si>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</si>
  <si>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</si>
  <si>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</si>
  <si>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</si>
  <si>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</si>
  <si>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</si>
  <si>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</si>
  <si>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</si>
  <si>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</si>
  <si>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</si>
  <si>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</si>
  <si>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</si>
  <si>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</si>
  <si>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</si>
  <si>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</si>
  <si>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</si>
  <si>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</si>
  <si>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</si>
  <si>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</si>
  <si>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</si>
  <si>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</si>
  <si>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</si>
  <si>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</si>
  <si>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</si>
  <si>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</si>
  <si>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</si>
  <si>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</si>
  <si>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</si>
  <si>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</si>
  <si>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</si>
  <si>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</si>
  <si>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</si>
  <si>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</si>
  <si>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</si>
  <si>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</si>
  <si>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</si>
  <si>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</si>
  <si>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</si>
  <si>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</si>
  <si>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</si>
  <si>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</si>
  <si>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</si>
  <si>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</si>
  <si>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</si>
  <si>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</si>
  <si>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</si>
  <si>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</si>
  <si>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</si>
  <si>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</si>
  <si>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</si>
  <si>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</si>
  <si>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</si>
  <si>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</si>
  <si>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</si>
  <si>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</si>
  <si>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</si>
  <si>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</si>
  <si>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</si>
  <si>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</si>
  <si>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</si>
  <si>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</si>
  <si>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</si>
  <si>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</si>
  <si>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</si>
  <si>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</si>
  <si>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</si>
  <si>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</si>
  <si>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</si>
  <si>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</si>
  <si>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</si>
  <si>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</si>
  <si>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</si>
  <si>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</si>
  <si>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</si>
  <si>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</si>
  <si>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</si>
  <si>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</si>
  <si>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</si>
  <si>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</si>
  <si>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</si>
  <si>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</si>
  <si>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</si>
  <si>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</si>
  <si>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</si>
  <si>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</si>
  <si>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</si>
  <si>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</si>
  <si>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</si>
  <si>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</si>
  <si>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</si>
  <si>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</si>
  <si>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</si>
  <si>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</si>
  <si>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</si>
  <si>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</si>
  <si>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</si>
  <si>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</si>
  <si>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</si>
  <si>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</si>
  <si>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</si>
  <si>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</si>
  <si>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</si>
  <si>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</si>
  <si>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</si>
  <si>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</si>
  <si>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</si>
  <si>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</si>
  <si>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</si>
  <si>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</si>
  <si>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</si>
  <si>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</si>
  <si>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</si>
  <si>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</si>
  <si>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</si>
  <si>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</si>
  <si>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</si>
  <si>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</si>
  <si>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</si>
  <si>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</si>
  <si>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</si>
  <si>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</si>
  <si>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</si>
  <si>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</si>
  <si>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</si>
  <si>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</si>
  <si>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</si>
  <si>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</si>
  <si>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</si>
  <si>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</si>
  <si>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</si>
  <si>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</si>
  <si>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</si>
  <si>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</si>
  <si>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</si>
  <si>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</si>
  <si>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</si>
  <si>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</si>
  <si>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</si>
  <si>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</si>
  <si>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</si>
  <si>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</si>
  <si>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</si>
  <si>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</si>
  <si>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</si>
  <si>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</si>
  <si>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</si>
  <si>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</si>
  <si>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</si>
  <si>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</si>
  <si>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</si>
  <si>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</si>
  <si>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</si>
  <si>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</si>
  <si>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</si>
  <si>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</si>
  <si>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</si>
  <si>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</si>
  <si>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</si>
  <si>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</si>
  <si>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</si>
  <si>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</si>
  <si>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</si>
  <si>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</si>
  <si>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</si>
  <si>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</si>
  <si>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</si>
  <si>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</si>
  <si>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</si>
  <si>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</si>
  <si>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</si>
  <si>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</si>
  <si>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</si>
  <si>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</si>
  <si>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</si>
  <si>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</si>
  <si>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</si>
  <si>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</si>
  <si>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</si>
  <si>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</si>
  <si>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</si>
  <si>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</si>
  <si>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</si>
  <si>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</si>
  <si>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</si>
  <si>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</si>
  <si>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</si>
  <si>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</si>
  <si>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</si>
  <si>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</si>
  <si>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</si>
  <si>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</si>
  <si>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</si>
  <si>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</si>
  <si>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</si>
  <si>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</si>
  <si>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</si>
  <si>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</si>
  <si>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</si>
  <si>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</si>
  <si>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</si>
  <si>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</si>
  <si>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</si>
  <si>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</si>
  <si>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</si>
  <si>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</si>
  <si>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</si>
  <si>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</si>
  <si>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</si>
  <si>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</si>
  <si>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</si>
  <si>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</si>
  <si>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</si>
  <si>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</si>
  <si>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</si>
  <si>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</si>
  <si>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</si>
  <si>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</si>
  <si>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</si>
  <si>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</si>
  <si>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</si>
  <si>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</si>
  <si>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</si>
  <si>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</si>
  <si>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</si>
  <si>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</si>
  <si>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</si>
  <si>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</si>
  <si>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</si>
  <si>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</si>
  <si>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</si>
  <si>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</si>
  <si>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</si>
  <si>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</si>
  <si>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</si>
  <si>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</si>
  <si>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</si>
  <si>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</si>
  <si>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</si>
  <si>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</si>
  <si>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</si>
  <si>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</si>
  <si>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</si>
  <si>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</si>
  <si>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</si>
  <si>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</si>
  <si>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</si>
  <si>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</si>
  <si>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</si>
  <si>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</si>
  <si>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</si>
  <si>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</si>
  <si>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</si>
  <si>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</si>
  <si>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</si>
  <si>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</si>
  <si>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</si>
  <si>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</si>
  <si>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</si>
  <si>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</si>
  <si>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</si>
  <si>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</si>
  <si>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</si>
  <si>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</si>
  <si>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</si>
  <si>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</si>
  <si>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</si>
  <si>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</si>
  <si>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</si>
  <si>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</si>
  <si>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</si>
  <si>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</si>
  <si>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</si>
  <si>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</si>
  <si>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</si>
  <si>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</si>
  <si>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</si>
  <si>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</si>
  <si>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</si>
  <si>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</si>
  <si>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</si>
  <si>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</si>
  <si>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</si>
  <si>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</si>
  <si>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</si>
  <si>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</si>
  <si>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</si>
  <si>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</si>
  <si>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</si>
  <si>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</si>
  <si>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</si>
  <si>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</si>
  <si>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</si>
  <si>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</si>
  <si>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</si>
  <si>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</si>
  <si>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</si>
  <si>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</si>
  <si>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</si>
  <si>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</si>
  <si>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</si>
  <si>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</si>
  <si>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</si>
  <si>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</si>
  <si>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</si>
  <si>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</si>
  <si>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</si>
  <si>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</si>
  <si>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</si>
  <si>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</si>
  <si>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</si>
  <si>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</si>
  <si>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</si>
  <si>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</si>
  <si>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</si>
  <si>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</si>
  <si>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</si>
  <si>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</si>
  <si>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</si>
  <si>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</si>
  <si>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</si>
  <si>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</si>
  <si>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</si>
  <si>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</si>
  <si>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</si>
  <si>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</si>
  <si>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</si>
  <si>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</si>
  <si>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</si>
  <si>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</si>
  <si>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</si>
  <si>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</si>
  <si>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</si>
  <si>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</si>
  <si>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</si>
  <si>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</si>
  <si>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</si>
  <si>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</si>
  <si>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</si>
  <si>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</si>
  <si>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</si>
  <si>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</si>
  <si>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</si>
  <si>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</si>
  <si>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</si>
  <si>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</si>
  <si>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</si>
  <si>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</si>
  <si>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</si>
  <si>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</si>
  <si>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</si>
  <si>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</si>
  <si>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</si>
  <si>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</si>
  <si>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</si>
  <si>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</si>
  <si>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</si>
  <si>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</si>
  <si>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</si>
  <si>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</si>
  <si>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</si>
  <si>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</si>
  <si>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</si>
  <si>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</si>
  <si>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</si>
  <si>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</si>
  <si>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</si>
  <si>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</si>
  <si>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</si>
  <si>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</si>
  <si>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</si>
  <si>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</si>
  <si>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</si>
  <si>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</si>
  <si>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</si>
  <si>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</si>
  <si>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</si>
  <si>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</si>
  <si>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</si>
  <si>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</si>
  <si>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</si>
  <si>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</si>
  <si>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</si>
  <si>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</si>
  <si>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</si>
  <si>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</si>
  <si>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</si>
  <si>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</si>
  <si>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</si>
  <si>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</si>
  <si>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</si>
  <si>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</si>
  <si>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</si>
  <si>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</si>
  <si>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</si>
  <si>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</si>
  <si>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</si>
  <si>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</si>
  <si>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</si>
  <si>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</si>
  <si>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</si>
  <si>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</si>
  <si>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</si>
  <si>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</si>
  <si>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</si>
  <si>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</si>
  <si>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</si>
  <si>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</si>
  <si>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</si>
  <si>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</si>
  <si>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</si>
  <si>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</si>
  <si>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</si>
  <si>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</si>
  <si>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</si>
  <si>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</si>
  <si>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</si>
  <si>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</si>
  <si>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</si>
  <si>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</si>
  <si>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</si>
  <si>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</si>
  <si>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</si>
  <si>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</si>
  <si>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</si>
  <si>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</si>
  <si>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</si>
  <si>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</si>
  <si>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</si>
  <si>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</si>
  <si>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</si>
  <si>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</si>
  <si>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</si>
  <si>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</si>
  <si>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</si>
  <si>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</si>
  <si>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</si>
  <si>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</si>
  <si>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</si>
  <si>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</si>
  <si>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</si>
  <si>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</si>
  <si>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</si>
  <si>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</si>
  <si>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</si>
  <si>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</si>
  <si>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</si>
  <si>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</si>
  <si>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</si>
  <si>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</si>
  <si>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</si>
  <si>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</si>
  <si>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</si>
  <si>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</si>
  <si>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</si>
  <si>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</si>
  <si>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</si>
  <si>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</si>
  <si>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</si>
  <si>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</si>
  <si>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</si>
  <si>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</si>
  <si>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</si>
  <si>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</si>
  <si>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</si>
  <si>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</si>
  <si>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</si>
  <si>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</si>
  <si>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</si>
  <si>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</si>
  <si>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</si>
  <si>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</si>
  <si>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</si>
  <si>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</si>
  <si>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</si>
  <si>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</si>
  <si>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</si>
  <si>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</si>
  <si>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</si>
  <si>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</si>
  <si>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</si>
  <si>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</si>
  <si>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</si>
  <si>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</si>
  <si>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</si>
  <si>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</si>
  <si>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</si>
  <si>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</si>
  <si>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</si>
  <si>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</si>
  <si>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</si>
  <si>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</si>
  <si>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</si>
  <si>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</si>
  <si>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</si>
  <si>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</si>
  <si>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</si>
  <si>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</si>
  <si>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</si>
  <si>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</si>
  <si>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</si>
  <si>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</si>
  <si>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</si>
  <si>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</si>
  <si>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</si>
  <si>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</si>
  <si>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</si>
  <si>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</si>
  <si>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</si>
  <si>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</si>
  <si>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</si>
  <si>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</si>
  <si>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</si>
  <si>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</si>
  <si>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</si>
  <si>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</si>
  <si>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</si>
  <si>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</si>
  <si>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</si>
  <si>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</si>
  <si>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</si>
  <si>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</si>
  <si>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</si>
  <si>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</si>
  <si>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</si>
  <si>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</si>
  <si>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</si>
  <si>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</si>
  <si>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</si>
  <si>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</si>
  <si>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</si>
  <si>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</si>
  <si>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</si>
  <si>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</si>
  <si>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</si>
  <si>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</si>
  <si>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</si>
  <si>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</si>
  <si>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</si>
  <si>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</si>
  <si>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</si>
  <si>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</si>
  <si>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</si>
  <si>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</si>
  <si>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</si>
  <si>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</si>
  <si>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</si>
  <si>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</si>
  <si>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</si>
  <si>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</si>
  <si>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</si>
  <si>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</si>
  <si>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</si>
  <si>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</si>
  <si>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</si>
  <si>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</si>
  <si>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</si>
  <si>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</si>
  <si>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</si>
  <si>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</si>
  <si>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</si>
  <si>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</si>
  <si>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</si>
  <si>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</si>
  <si>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</si>
  <si>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</si>
  <si>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</si>
  <si>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</si>
  <si>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</si>
  <si>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</si>
  <si>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</si>
  <si>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</si>
  <si>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</si>
  <si>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</si>
  <si>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</si>
  <si>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</si>
  <si>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</si>
  <si>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</si>
  <si>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</si>
  <si>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</si>
  <si>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</si>
  <si>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</si>
  <si>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</si>
  <si>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</si>
  <si>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</si>
  <si>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</si>
  <si>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</si>
  <si>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</si>
  <si>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</si>
  <si>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</si>
  <si>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</si>
  <si>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</si>
  <si>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</si>
  <si>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</si>
  <si>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</si>
  <si>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</si>
  <si>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</si>
  <si>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</si>
  <si>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</si>
  <si>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</si>
  <si>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</si>
  <si>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</si>
  <si>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</si>
  <si>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</si>
  <si>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</si>
  <si>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</si>
  <si>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</si>
  <si>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</si>
  <si>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</si>
  <si>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</si>
  <si>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</si>
  <si>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</si>
  <si>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</si>
  <si>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</si>
  <si>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</si>
  <si>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</si>
  <si>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</si>
  <si>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</si>
  <si>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</si>
  <si>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</si>
  <si>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</si>
  <si>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</si>
  <si>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</si>
  <si>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</si>
  <si>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</si>
  <si>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</si>
  <si>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</si>
  <si>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</si>
  <si>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</si>
  <si>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</si>
  <si>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</si>
  <si>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</si>
  <si>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</si>
  <si>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</si>
  <si>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</si>
  <si>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</si>
  <si>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</si>
  <si>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</si>
  <si>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</si>
  <si>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</si>
  <si>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</si>
  <si>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</si>
  <si>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</si>
  <si>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</si>
  <si>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</si>
  <si>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</si>
  <si>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</si>
  <si>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</si>
  <si>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</si>
  <si>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</si>
  <si>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</si>
  <si>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</si>
  <si>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</si>
  <si>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</si>
  <si>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</si>
  <si>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</si>
  <si>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</si>
  <si>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</si>
  <si>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</si>
  <si>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</si>
  <si>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</si>
  <si>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</si>
  <si>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</si>
  <si>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</si>
  <si>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</si>
  <si>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</si>
  <si>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</si>
  <si>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</si>
  <si>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</si>
  <si>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</si>
  <si>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</si>
  <si>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</si>
  <si>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</si>
  <si>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</si>
  <si>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</si>
  <si>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</si>
  <si>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</si>
  <si>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</si>
  <si>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</si>
  <si>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</si>
  <si>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</si>
  <si>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</si>
  <si>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</si>
  <si>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</si>
  <si>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</si>
  <si>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</si>
  <si>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</si>
  <si>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</si>
  <si>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</si>
  <si>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</si>
  <si>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</si>
  <si>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</si>
  <si>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</si>
  <si>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</si>
  <si>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</si>
  <si>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</si>
  <si>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</si>
  <si>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</si>
  <si>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</si>
  <si>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</si>
  <si>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</si>
  <si>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</si>
  <si>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</si>
  <si>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</si>
  <si>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</si>
  <si>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</si>
  <si>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</si>
  <si>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</si>
  <si>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</si>
  <si>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</si>
  <si>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</si>
  <si>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</si>
  <si>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</si>
  <si>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</si>
  <si>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</si>
  <si>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</si>
  <si>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</si>
  <si>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</si>
  <si>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</si>
  <si>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</si>
  <si>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</si>
  <si>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</si>
  <si>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</si>
  <si>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</si>
  <si>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</si>
  <si>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</si>
  <si>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</si>
  <si>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</si>
  <si>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</si>
  <si>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</si>
  <si>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</si>
  <si>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</si>
  <si>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</si>
  <si>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</si>
  <si>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</si>
  <si>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</si>
  <si>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</si>
  <si>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</si>
  <si>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</si>
  <si>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</si>
  <si>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</si>
  <si>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</si>
  <si>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</si>
  <si>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</si>
  <si>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</si>
  <si>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</si>
  <si>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</si>
  <si>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</si>
  <si>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</si>
  <si>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</si>
  <si>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</si>
  <si>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</si>
  <si>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</si>
  <si>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</si>
  <si>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</si>
  <si>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</si>
  <si>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</si>
  <si>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</si>
  <si>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</si>
  <si>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</si>
  <si>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</si>
  <si>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</si>
  <si>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</si>
  <si>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</si>
  <si>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</si>
  <si>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</si>
  <si>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</si>
  <si>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</si>
  <si>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</si>
  <si>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</si>
  <si>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</si>
  <si>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</si>
  <si>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</si>
  <si>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</si>
  <si>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</si>
  <si>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</si>
  <si>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</si>
  <si>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</si>
  <si>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</si>
  <si>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</si>
  <si>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</si>
  <si>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</si>
  <si>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</si>
  <si>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</si>
  <si>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</si>
  <si>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</si>
  <si>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</si>
  <si>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</si>
  <si>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</si>
  <si>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</si>
  <si>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</si>
  <si>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</si>
  <si>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</si>
  <si>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</si>
  <si>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</si>
  <si>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</si>
  <si>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</si>
  <si>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</si>
  <si>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</si>
  <si>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</si>
  <si>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</si>
  <si>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</si>
  <si>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</si>
  <si>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</si>
  <si>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</si>
  <si>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</si>
  <si>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</si>
  <si>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</si>
  <si>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</si>
  <si>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</si>
  <si>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</si>
  <si>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</si>
  <si>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</si>
  <si>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</si>
  <si>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</si>
  <si>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</si>
  <si>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</si>
  <si>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</si>
  <si>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</si>
  <si>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</si>
  <si>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</si>
  <si>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</si>
  <si>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</si>
  <si>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</si>
  <si>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</si>
  <si>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</si>
  <si>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</si>
  <si>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</si>
  <si>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</si>
  <si>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</si>
  <si>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</si>
  <si>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</si>
  <si>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</si>
  <si>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</si>
  <si>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</si>
  <si>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</si>
  <si>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</si>
  <si>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</si>
  <si>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</si>
  <si>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</si>
  <si>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</si>
  <si>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</si>
  <si>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</si>
  <si>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</si>
  <si>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</si>
  <si>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</si>
  <si>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</si>
  <si>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</si>
  <si>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</si>
  <si>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</si>
  <si>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</si>
  <si>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</si>
  <si>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</si>
  <si>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</si>
  <si>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</si>
  <si>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</si>
  <si>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</si>
  <si>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</si>
  <si>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</si>
  <si>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</si>
  <si>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</si>
  <si>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</si>
  <si>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</si>
  <si>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</si>
  <si>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</si>
  <si>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</si>
  <si>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</si>
  <si>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</si>
  <si>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</si>
  <si>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</si>
  <si>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</si>
  <si>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</si>
  <si>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</si>
  <si>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</si>
  <si>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</si>
  <si>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</si>
  <si>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</si>
  <si>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</si>
  <si>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</si>
  <si>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</si>
  <si>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</si>
  <si>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</si>
  <si>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</si>
  <si>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</si>
  <si>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</si>
  <si>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</si>
  <si>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</si>
  <si>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</si>
  <si>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</si>
  <si>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</si>
  <si>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</si>
  <si>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</si>
  <si>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</si>
  <si>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</si>
  <si>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</si>
  <si>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</si>
  <si>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</si>
  <si>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</si>
  <si>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</si>
  <si>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</si>
  <si>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</si>
  <si>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</si>
  <si>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</si>
  <si>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</si>
  <si>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</si>
  <si>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</si>
  <si>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</si>
  <si>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</si>
  <si>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</si>
  <si>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</si>
  <si>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</si>
  <si>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</si>
  <si>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</si>
  <si>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</si>
  <si>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</si>
  <si>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</si>
  <si>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</si>
  <si>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</si>
  <si>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</si>
  <si>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</si>
  <si>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</si>
  <si>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</si>
  <si>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</si>
  <si>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</si>
  <si>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</si>
  <si>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</si>
  <si>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</si>
  <si>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</si>
  <si>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</si>
  <si>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</si>
  <si>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</si>
  <si>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</si>
  <si>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</si>
  <si>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</si>
  <si>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</si>
  <si>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</si>
  <si>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</si>
  <si>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</si>
  <si>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</si>
  <si>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</si>
  <si>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</si>
  <si>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</si>
  <si>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</si>
  <si>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</si>
  <si>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</si>
  <si>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</si>
  <si>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</si>
  <si>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</si>
  <si>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</si>
  <si>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</si>
  <si>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</si>
  <si>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</si>
  <si>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</si>
  <si>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</si>
  <si>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</si>
  <si>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</si>
  <si>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</si>
  <si>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</si>
  <si>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</si>
  <si>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</si>
  <si>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</si>
  <si>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</si>
  <si>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</si>
  <si>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</si>
  <si>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</si>
  <si>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</si>
  <si>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</si>
  <si>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</si>
  <si>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</si>
  <si>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</si>
  <si>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</si>
  <si>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</si>
  <si>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</si>
  <si>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</si>
  <si>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</si>
  <si>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</si>
  <si>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</si>
  <si>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</si>
  <si>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</si>
  <si>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</si>
  <si>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</si>
  <si>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</si>
  <si>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</si>
  <si>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</si>
  <si>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</si>
  <si>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</si>
  <si>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</si>
  <si>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</si>
  <si>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</si>
  <si>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</si>
  <si>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</si>
  <si>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</si>
  <si>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</si>
  <si>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</si>
  <si>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</si>
  <si>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</si>
  <si>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</si>
  <si>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</si>
  <si>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</si>
  <si>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</si>
  <si>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</si>
  <si>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</si>
  <si>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</si>
  <si>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</si>
  <si>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</si>
  <si>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</si>
  <si>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</si>
  <si>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</si>
  <si>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</si>
  <si>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</si>
  <si>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</si>
  <si>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</si>
  <si>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</si>
  <si>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</si>
  <si>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</si>
  <si>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</si>
  <si>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</si>
  <si>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</si>
  <si>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</si>
  <si>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</si>
  <si>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</si>
  <si>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</si>
  <si>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</si>
  <si>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</si>
  <si>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</si>
  <si>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</si>
  <si>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</si>
  <si>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</si>
  <si>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</si>
  <si>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</si>
  <si>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</si>
  <si>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</si>
  <si>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</si>
  <si>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</si>
  <si>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</si>
  <si>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</si>
  <si>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</si>
  <si>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</si>
  <si>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</si>
  <si>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</si>
  <si>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</si>
  <si>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</si>
  <si>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</si>
  <si>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</si>
  <si>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</si>
  <si>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</si>
  <si>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</si>
  <si>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</si>
  <si>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</si>
  <si>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</si>
  <si>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</si>
  <si>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</si>
  <si>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</si>
  <si>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</si>
  <si>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</si>
  <si>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</si>
  <si>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</si>
  <si>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</si>
  <si>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</si>
  <si>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</si>
  <si>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</si>
  <si>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</si>
  <si>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</si>
  <si>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</si>
  <si>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</si>
  <si>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</si>
  <si>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</si>
  <si>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</si>
  <si>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</si>
  <si>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</si>
  <si>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</si>
  <si>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</si>
  <si>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</si>
  <si>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</si>
  <si>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</si>
  <si>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</si>
  <si>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</si>
  <si>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</si>
  <si>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</si>
  <si>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</si>
  <si>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</si>
  <si>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</si>
  <si>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</si>
  <si>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JULIO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</si>
  <si>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</si>
  <si>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</si>
  <si>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</si>
  <si>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</si>
  <si>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</si>
  <si>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</si>
  <si>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</si>
  <si>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</si>
  <si>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</si>
  <si>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</si>
  <si>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</si>
  <si>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</si>
  <si>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</si>
  <si>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</si>
  <si>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</si>
  <si>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</si>
  <si>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</si>
  <si>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</si>
  <si>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</si>
  <si>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</si>
  <si>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</si>
  <si>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</si>
  <si>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</si>
  <si>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</si>
  <si>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</si>
  <si>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</si>
  <si>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</si>
  <si>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</si>
  <si>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</si>
  <si>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</si>
  <si>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</si>
  <si>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</si>
  <si>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</si>
  <si>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</si>
  <si>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</si>
  <si>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</si>
  <si>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</si>
  <si>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</si>
  <si>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</si>
  <si>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</si>
  <si>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</si>
  <si>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</si>
  <si>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</si>
  <si>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</si>
  <si>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</si>
  <si>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</si>
  <si>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</si>
  <si>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</si>
  <si>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</si>
  <si>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</si>
  <si>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</si>
  <si>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</si>
  <si>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</si>
  <si>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</si>
  <si>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</si>
  <si>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</si>
  <si>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</si>
  <si>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</si>
  <si>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</si>
  <si>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</si>
  <si>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</si>
  <si>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</si>
  <si>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</si>
  <si>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</si>
  <si>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</si>
  <si>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</si>
  <si>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</si>
  <si>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</si>
  <si>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</si>
  <si>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</si>
  <si>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</si>
  <si>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</si>
  <si>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</si>
  <si>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</si>
  <si>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</si>
  <si>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</si>
  <si>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</si>
  <si>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</si>
  <si>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</si>
  <si>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</si>
  <si>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</si>
  <si>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</si>
  <si>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</si>
  <si>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</si>
  <si>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</si>
  <si>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</si>
  <si>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</si>
  <si>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</si>
  <si>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</si>
  <si>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</si>
  <si>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</si>
  <si>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</si>
  <si>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</si>
  <si>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</si>
  <si>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</si>
  <si>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</si>
  <si>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</si>
  <si>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</si>
  <si>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</si>
  <si>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</si>
  <si>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</si>
  <si>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</si>
  <si>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</si>
  <si>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</si>
  <si>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</si>
  <si>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</si>
  <si>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</si>
  <si>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</si>
  <si>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</si>
  <si>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</si>
  <si>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</si>
  <si>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</si>
  <si>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</si>
  <si>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</si>
  <si>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</si>
  <si>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</si>
  <si>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</si>
  <si>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</si>
  <si>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</si>
  <si>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</si>
  <si>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</si>
  <si>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</si>
  <si>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</si>
  <si>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</si>
  <si>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</si>
  <si>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</si>
  <si>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</si>
  <si>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</si>
  <si>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</si>
  <si>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</si>
  <si>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</si>
  <si>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</si>
  <si>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</si>
  <si>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</si>
  <si>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</si>
  <si>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</si>
  <si>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</si>
  <si>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</si>
  <si>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</si>
  <si>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</si>
  <si>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</si>
  <si>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</si>
  <si>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</si>
  <si>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</si>
  <si>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</si>
  <si>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</si>
  <si>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</si>
  <si>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</si>
  <si>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</si>
  <si>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</si>
  <si>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</si>
  <si>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</si>
  <si>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</si>
  <si>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</si>
  <si>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</si>
  <si>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</si>
  <si>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</si>
  <si>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</si>
  <si>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</si>
  <si>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</si>
  <si>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</si>
  <si>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</si>
  <si>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</si>
  <si>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</si>
  <si>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</si>
  <si>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</si>
  <si>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</si>
  <si>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</si>
  <si>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</si>
  <si>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</si>
  <si>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</si>
  <si>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</si>
  <si>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</si>
  <si>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</si>
  <si>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</si>
  <si>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</si>
  <si>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</si>
  <si>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</si>
  <si>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</si>
  <si>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</si>
  <si>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</si>
  <si>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</si>
  <si>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</si>
  <si>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</si>
  <si>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</si>
  <si>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</si>
  <si>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</si>
  <si>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</si>
  <si>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</si>
  <si>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</si>
  <si>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</si>
  <si>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</si>
  <si>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</si>
  <si>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</si>
  <si>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</si>
  <si>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</si>
  <si>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</si>
  <si>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</si>
  <si>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</si>
  <si>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</si>
  <si>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</si>
  <si>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</si>
  <si>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</si>
  <si>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</si>
  <si>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</si>
  <si>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</si>
  <si>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</si>
  <si>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</si>
  <si>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</si>
  <si>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</si>
  <si>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</si>
  <si>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</si>
  <si>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</si>
  <si>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</si>
  <si>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</si>
  <si>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</si>
  <si>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</si>
  <si>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</si>
  <si>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</si>
  <si>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</si>
  <si>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</si>
  <si>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</si>
  <si>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</si>
  <si>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</si>
  <si>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</si>
  <si>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</si>
  <si>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</si>
  <si>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</si>
  <si>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</si>
  <si>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</si>
  <si>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</si>
  <si>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</si>
  <si>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</si>
  <si>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</si>
  <si>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</si>
  <si>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</si>
  <si>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</si>
  <si>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</si>
  <si>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</si>
  <si>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</si>
  <si>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</si>
  <si>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</si>
  <si>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</si>
  <si>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</si>
  <si>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</si>
  <si>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</si>
  <si>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</si>
  <si>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</si>
  <si>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</si>
  <si>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</si>
  <si>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</si>
  <si>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</si>
  <si>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</si>
  <si>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</si>
  <si>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</si>
  <si>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</si>
  <si>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</si>
  <si>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</si>
  <si>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</si>
  <si>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</si>
  <si>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</si>
  <si>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</si>
  <si>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</si>
  <si>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</si>
  <si>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</si>
  <si>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</si>
  <si>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</si>
  <si>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</si>
  <si>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</si>
  <si>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</si>
  <si>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</si>
  <si>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</si>
  <si>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</si>
  <si>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</si>
  <si>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</si>
  <si>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</si>
  <si>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</si>
  <si>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</si>
  <si>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</si>
  <si>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</si>
  <si>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</si>
  <si>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</si>
  <si>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</si>
  <si>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</si>
  <si>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</si>
  <si>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</si>
  <si>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</si>
  <si>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</si>
  <si>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</si>
  <si>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</si>
  <si>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</si>
  <si>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</si>
  <si>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</si>
  <si>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</si>
  <si>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</si>
  <si>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</si>
  <si>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</si>
  <si>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</si>
  <si>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</si>
  <si>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</si>
  <si>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</si>
  <si>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</si>
  <si>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</si>
  <si>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</si>
  <si>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</si>
  <si>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</si>
  <si>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</si>
  <si>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</si>
  <si>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</si>
  <si>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</si>
  <si>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</si>
  <si>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</si>
  <si>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</si>
  <si>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</si>
  <si>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</si>
  <si>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</si>
  <si>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</si>
  <si>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</si>
  <si>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</si>
  <si>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</si>
  <si>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</si>
  <si>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</si>
  <si>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</si>
  <si>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</si>
  <si>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</si>
  <si>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</si>
  <si>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</si>
  <si>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</si>
  <si>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</si>
  <si>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</si>
  <si>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</si>
  <si>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</si>
  <si>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</si>
  <si>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</si>
  <si>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</si>
  <si>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</si>
  <si>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</si>
  <si>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</si>
  <si>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</si>
  <si>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</si>
  <si>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</si>
  <si>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</si>
  <si>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</si>
  <si>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</si>
  <si>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</si>
  <si>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</si>
  <si>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</si>
  <si>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</si>
  <si>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</si>
  <si>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</si>
  <si>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</si>
  <si>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</si>
  <si>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</si>
  <si>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</si>
  <si>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</si>
  <si>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</si>
  <si>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</si>
  <si>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</si>
  <si>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</si>
  <si>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</si>
  <si>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</si>
  <si>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</si>
  <si>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</si>
  <si>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</si>
  <si>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</si>
  <si>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</si>
  <si>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</si>
  <si>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</si>
  <si>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</si>
  <si>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</si>
  <si>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</si>
  <si>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</si>
  <si>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</si>
  <si>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</si>
  <si>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</si>
  <si>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</si>
  <si>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</si>
  <si>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</si>
  <si>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</si>
  <si>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</si>
  <si>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</si>
  <si>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</si>
  <si>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</si>
  <si>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</si>
  <si>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</si>
  <si>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</si>
  <si>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</si>
  <si>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</si>
  <si>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</si>
  <si>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Semana01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</si>
  <si>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</si>
  <si>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</si>
  <si>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</si>
  <si>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</si>
  <si>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</si>
  <si>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</si>
  <si>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</si>
  <si>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</si>
  <si>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</si>
  <si>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</si>
  <si>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</si>
  <si>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</si>
  <si>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</si>
  <si>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</si>
  <si>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</si>
  <si>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</si>
  <si>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</si>
  <si>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</si>
  <si>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</si>
  <si>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</si>
  <si>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</si>
  <si>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</si>
  <si>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</si>
  <si>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</si>
  <si>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</si>
  <si>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</si>
  <si>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</si>
  <si>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</si>
  <si>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</si>
  <si>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</si>
  <si>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</si>
  <si>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</si>
  <si>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</si>
  <si>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</si>
  <si>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</si>
  <si>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</si>
  <si>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</si>
  <si>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</si>
  <si>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</si>
  <si>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</si>
  <si>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</si>
  <si>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</si>
  <si>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</si>
  <si>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</si>
  <si>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</si>
  <si>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</si>
  <si>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</si>
  <si>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</si>
  <si>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</si>
  <si>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</si>
  <si>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</si>
  <si>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</si>
  <si>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</si>
  <si>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</si>
  <si>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</si>
  <si>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</si>
  <si>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</si>
  <si>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</si>
  <si>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</si>
  <si>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</si>
  <si>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</si>
  <si>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</si>
  <si>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</si>
  <si>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</si>
  <si>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</si>
  <si>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</si>
  <si>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</si>
  <si>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</si>
  <si>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</si>
  <si>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</si>
  <si>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</si>
  <si>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</si>
  <si>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</si>
  <si>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</si>
  <si>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</si>
  <si>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</si>
  <si>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</si>
  <si>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Histograma de Equipos 17/07/2026</t>
  </si>
  <si>
    <t>Desencofrado de bancoductos</t>
  </si>
  <si>
    <t>Personal se encuentra realizando habilitación de materiales para encofrado en cantera.
- 04 Personas para habilitado de encofrado (Desencofrado y limpienza de material para encofrado) 
- 04 Personas para vaciado de concreto para bancoductos.
- 02 Operadores para habilitado de agregados para el concreto.</t>
  </si>
  <si>
    <r>
      <t xml:space="preserve">REPORTE DIARIO DE ACTIVIDADES DE SSOMA
📅 Fecha: 17/07/2026
</t>
    </r>
    <r>
      <rPr>
        <sz val="7"/>
        <color rgb="FF0070C0"/>
        <rFont val="Aptos Narrow"/>
        <family val="2"/>
        <scheme val="minor"/>
      </rPr>
      <t>🍃 1. Control de Alcohol y Drogas</t>
    </r>
    <r>
      <rPr>
        <sz val="7"/>
        <color theme="1"/>
        <rFont val="Aptos Narrow"/>
        <family val="2"/>
        <scheme val="minor"/>
      </rPr>
      <t xml:space="preserve">
✅ Se ejecutó la prueba de alcotest al 100 % del personal de PROMCOSER antes del inicio de la jornada laboral.
👷 Personal evaluado: 14 trabajadores.
🟢 Resultados: 14 resultados negativos (100 % de cumplimiento).
</t>
    </r>
    <r>
      <rPr>
        <sz val="7"/>
        <color rgb="FF0070C0"/>
        <rFont val="Aptos Narrow"/>
        <family val="2"/>
        <scheme val="minor"/>
      </rPr>
      <t>🎓 2. Charlas y Capacitaciones</t>
    </r>
    <r>
      <rPr>
        <sz val="7"/>
        <color theme="1"/>
        <rFont val="Aptos Narrow"/>
        <family val="2"/>
        <scheme val="minor"/>
      </rPr>
      <t xml:space="preserve">
🗣️ Buenos Días Mina Justa (BDMJ)
📚 Tema: Sonido y Ruido.
</t>
    </r>
    <r>
      <rPr>
        <sz val="7"/>
        <color rgb="FF0070C0"/>
        <rFont val="Aptos Narrow"/>
        <family val="2"/>
        <scheme val="minor"/>
      </rPr>
      <t>🔍 3. Inspecciones y Verificaciones en Campo</t>
    </r>
    <r>
      <rPr>
        <sz val="7"/>
        <color theme="7" tint="-0.249977111117893"/>
        <rFont val="Aptos Narrow"/>
        <family val="2"/>
        <scheme val="minor"/>
      </rPr>
      <t xml:space="preserve">
</t>
    </r>
    <r>
      <rPr>
        <sz val="7"/>
        <color theme="1"/>
        <rFont val="Aptos Narrow"/>
        <family val="2"/>
        <scheme val="minor"/>
      </rPr>
      <t xml:space="preserve">
🚧 Bancoductos (Fabricación)
</t>
    </r>
    <r>
      <rPr>
        <sz val="7"/>
        <color rgb="FF0070C0"/>
        <rFont val="Aptos Narrow"/>
        <family val="2"/>
        <scheme val="minor"/>
      </rPr>
      <t>💻 4. Actividades Administrativas</t>
    </r>
    <r>
      <rPr>
        <sz val="7"/>
        <color theme="1"/>
        <rFont val="Aptos Narrow"/>
        <family val="2"/>
        <scheme val="minor"/>
      </rPr>
      <t xml:space="preserve">
📄 Se realizaron levantamineto de observaciones de documentión de SSO del servicio.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</si>
</sst>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70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  <font>
      <sz val="7"/>
      <color rgb="FF0070C0"/>
      <name val="Aptos Narrow"/>
      <family val="2"/>
      <scheme val="minor"/>
    </font>
    <font>
      <sz val="7"/>
      <color theme="7" tint="-0.249977111117893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8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48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2" fillId="3" borderId="27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1" fillId="3" borderId="58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10" fontId="2" fillId="0" borderId="19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16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19" xfId="0" applyNumberFormat="1" applyFont="1" applyBorder="1" applyAlignment="1">
      <alignment horizontal="center" vertic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24" xfId="0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59" fillId="3" borderId="9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left"/>
    </xf>
    <xf numFmtId="0" fontId="1" fillId="3" borderId="3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59" fillId="3" borderId="14" xfId="0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30925</xdr:colOff>
      <xdr:row>0</xdr:row>
      <xdr:rowOff>37110</xdr:rowOff>
    </xdr:from>
    <xdr:to>
      <xdr:col>5</xdr:col>
      <xdr:colOff>44063</xdr:colOff>
      <xdr:row>3</xdr:row>
      <xdr:rowOff>82104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37" y="37110"/>
          <a:ext cx="916157" cy="416098"/>
        </a:xfrm>
        <a:prstGeom prst="rect">
          <a:avLst/>
        </a:prstGeom>
      </xdr:spPr>
    </xdr:pic>
    <xdr:clientData/>
  </xdr:twoCellAnchor>
  <xdr:twoCellAnchor editAs="oneCell">
    <xdr:from>
      <xdr:col>22</xdr:col>
      <xdr:colOff>54516</xdr:colOff>
      <xdr:row>61</xdr:row>
      <xdr:rowOff>21287</xdr:rowOff>
    </xdr:from>
    <xdr:to>
      <xdr:col>40</xdr:col>
      <xdr:colOff>123703</xdr:colOff>
      <xdr:row>73</xdr:row>
      <xdr:rowOff>93193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7EA8647-A76B-D837-832D-DBF9C506DB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30"/>
        <a:stretch>
          <a:fillRect/>
        </a:stretch>
      </xdr:blipFill>
      <xdr:spPr bwMode="auto">
        <a:xfrm>
          <a:off x="4334581" y="11327586"/>
          <a:ext cx="2957612" cy="1556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43961</xdr:colOff>
      <xdr:row>61</xdr:row>
      <xdr:rowOff>29308</xdr:rowOff>
    </xdr:from>
    <xdr:to>
      <xdr:col>20</xdr:col>
      <xdr:colOff>183173</xdr:colOff>
      <xdr:row>73</xdr:row>
      <xdr:rowOff>97225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5BE1F75-0722-3E0C-4197-ED79FA1152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492"/>
        <a:stretch>
          <a:fillRect/>
        </a:stretch>
      </xdr:blipFill>
      <xdr:spPr>
        <a:xfrm>
          <a:off x="622788" y="10983058"/>
          <a:ext cx="3458308" cy="1562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1"/>
  <sheetViews>
    <sheetView showGridLines="0" tabSelected="1" view="pageBreakPreview" zoomScale="154" zoomScaleNormal="160" zoomScaleSheetLayoutView="154" zoomScalePageLayoutView="115" workbookViewId="0">
      <selection activeCell="B268" sqref="B268:AP268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6" max="26" width="2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5" ht="9.9499999999999993" customHeight="1" x14ac:dyDescent="0.25">
      <c r="B1" s="426"/>
      <c r="C1" s="427"/>
      <c r="D1" s="427"/>
      <c r="E1" s="427"/>
      <c r="F1" s="427"/>
      <c r="G1" s="427"/>
      <c r="H1" s="427"/>
      <c r="I1" s="430" t="s">
        <v>0</v>
      </c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0"/>
      <c r="AI1" s="430"/>
      <c r="AJ1" s="427"/>
      <c r="AK1" s="427"/>
      <c r="AL1" s="427"/>
      <c r="AM1" s="427"/>
      <c r="AN1" s="427"/>
      <c r="AO1" s="427"/>
      <c r="AP1" s="432"/>
    </row>
    <row r="2" spans="2:45" ht="9.9499999999999993" customHeight="1" x14ac:dyDescent="0.25">
      <c r="B2" s="428"/>
      <c r="C2" s="429"/>
      <c r="D2" s="429"/>
      <c r="E2" s="429"/>
      <c r="F2" s="429"/>
      <c r="G2" s="429"/>
      <c r="H2" s="429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  <c r="AA2" s="431"/>
      <c r="AB2" s="431"/>
      <c r="AC2" s="431"/>
      <c r="AD2" s="431"/>
      <c r="AE2" s="431"/>
      <c r="AF2" s="431"/>
      <c r="AG2" s="431"/>
      <c r="AH2" s="431"/>
      <c r="AI2" s="431"/>
      <c r="AJ2" s="429"/>
      <c r="AK2" s="429"/>
      <c r="AL2" s="429"/>
      <c r="AM2" s="429"/>
      <c r="AN2" s="429"/>
      <c r="AO2" s="429"/>
      <c r="AP2" s="433"/>
    </row>
    <row r="3" spans="2:45" ht="9.9499999999999993" customHeight="1" x14ac:dyDescent="0.25">
      <c r="B3" s="428"/>
      <c r="C3" s="429"/>
      <c r="D3" s="429"/>
      <c r="E3" s="429"/>
      <c r="F3" s="429"/>
      <c r="G3" s="429"/>
      <c r="H3" s="429"/>
      <c r="I3" s="434" t="s">
        <v>1</v>
      </c>
      <c r="J3" s="434"/>
      <c r="K3" s="434"/>
      <c r="L3" s="434"/>
      <c r="M3" s="434"/>
      <c r="N3" s="434"/>
      <c r="O3" s="434"/>
      <c r="P3" s="434"/>
      <c r="Q3" s="434"/>
      <c r="R3" s="434"/>
      <c r="S3" s="434"/>
      <c r="T3" s="434"/>
      <c r="U3" s="434"/>
      <c r="V3" s="434"/>
      <c r="W3" s="434"/>
      <c r="X3" s="434"/>
      <c r="Y3" s="434"/>
      <c r="Z3" s="434"/>
      <c r="AA3" s="434"/>
      <c r="AB3" s="434"/>
      <c r="AC3" s="434"/>
      <c r="AD3" s="434"/>
      <c r="AE3" s="434"/>
      <c r="AF3" s="434"/>
      <c r="AG3" s="434"/>
      <c r="AH3" s="434"/>
      <c r="AI3" s="434"/>
      <c r="AJ3" s="429"/>
      <c r="AK3" s="429"/>
      <c r="AL3" s="429"/>
      <c r="AM3" s="429"/>
      <c r="AN3" s="429"/>
      <c r="AO3" s="429"/>
      <c r="AP3" s="433"/>
    </row>
    <row r="4" spans="2:45" ht="9.9499999999999993" customHeight="1" x14ac:dyDescent="0.25">
      <c r="B4" s="342"/>
      <c r="C4" s="365"/>
      <c r="D4" s="365"/>
      <c r="E4" s="365"/>
      <c r="F4" s="365"/>
      <c r="G4" s="365"/>
      <c r="H4" s="365"/>
      <c r="I4" s="365"/>
      <c r="J4" s="365"/>
      <c r="K4" s="365"/>
      <c r="L4" s="365"/>
      <c r="M4" s="365"/>
      <c r="N4" s="365"/>
      <c r="O4" s="365"/>
      <c r="P4" s="365"/>
      <c r="Q4" s="365"/>
      <c r="R4" s="365"/>
      <c r="S4" s="365"/>
      <c r="T4" s="365"/>
      <c r="U4" s="365"/>
      <c r="V4" s="365"/>
      <c r="W4" s="365"/>
      <c r="X4" s="365"/>
      <c r="Y4" s="365"/>
      <c r="Z4" s="365"/>
      <c r="AA4" s="365"/>
      <c r="AB4" s="365"/>
      <c r="AC4" s="365"/>
      <c r="AD4" s="365"/>
      <c r="AE4" s="365"/>
      <c r="AF4" s="365"/>
      <c r="AG4" s="365"/>
      <c r="AH4" s="365"/>
      <c r="AI4" s="365"/>
      <c r="AJ4" s="365"/>
      <c r="AK4" s="365"/>
      <c r="AL4" s="365"/>
      <c r="AM4" s="365"/>
      <c r="AN4" s="365"/>
      <c r="AO4" s="365"/>
      <c r="AP4" s="332"/>
    </row>
    <row r="5" spans="2:45" ht="9.9499999999999993" customHeight="1" x14ac:dyDescent="0.25">
      <c r="B5" s="435" t="s">
        <v>2</v>
      </c>
      <c r="C5" s="436"/>
      <c r="D5" s="436"/>
      <c r="E5" s="436"/>
      <c r="F5" s="55" t="s">
        <v>3</v>
      </c>
      <c r="G5" s="437"/>
      <c r="H5" s="437"/>
      <c r="I5" s="437"/>
      <c r="J5" s="437"/>
      <c r="K5" s="437"/>
      <c r="L5" s="437"/>
      <c r="M5" s="436" t="s">
        <v>4</v>
      </c>
      <c r="N5" s="436"/>
      <c r="O5" s="436"/>
      <c r="P5" s="436"/>
      <c r="Q5" s="55" t="s">
        <v>3</v>
      </c>
      <c r="R5" s="438">
        <v>46220</v>
      </c>
      <c r="S5" s="436"/>
      <c r="T5" s="436"/>
      <c r="U5" s="436"/>
      <c r="V5" s="436"/>
      <c r="W5" s="436"/>
      <c r="X5" s="439" t="s">
        <v>2476</v>
      </c>
      <c r="Y5" s="439"/>
      <c r="Z5" s="439"/>
      <c r="AA5" s="439"/>
      <c r="AB5" s="439"/>
      <c r="AC5" s="439"/>
      <c r="AD5" s="439"/>
      <c r="AE5" s="439"/>
      <c r="AF5" s="439"/>
      <c r="AG5" s="439"/>
      <c r="AH5" s="439"/>
      <c r="AI5" s="439"/>
      <c r="AJ5" s="440"/>
      <c r="AK5" s="446" t="s">
        <v>5</v>
      </c>
      <c r="AL5" s="446"/>
      <c r="AM5" s="446"/>
      <c r="AN5" s="446"/>
      <c r="AO5" s="446"/>
      <c r="AP5" s="447"/>
    </row>
    <row r="6" spans="2:45" ht="9.9499999999999993" customHeight="1" x14ac:dyDescent="0.25">
      <c r="B6" s="435" t="s">
        <v>6</v>
      </c>
      <c r="C6" s="436"/>
      <c r="D6" s="436"/>
      <c r="E6" s="436"/>
      <c r="F6" s="55" t="s">
        <v>3</v>
      </c>
      <c r="G6" s="437" t="s">
        <v>2475</v>
      </c>
      <c r="H6" s="437"/>
      <c r="I6" s="437"/>
      <c r="J6" s="437"/>
      <c r="K6" s="437"/>
      <c r="L6" s="437"/>
      <c r="M6" s="436" t="s">
        <v>7</v>
      </c>
      <c r="N6" s="436"/>
      <c r="O6" s="436"/>
      <c r="P6" s="436"/>
      <c r="Q6" s="55" t="s">
        <v>3</v>
      </c>
      <c r="R6" s="441">
        <v>6</v>
      </c>
      <c r="S6" s="441"/>
      <c r="T6" s="441"/>
      <c r="U6" s="441"/>
      <c r="V6" s="441"/>
      <c r="W6" s="441"/>
      <c r="X6" s="442"/>
      <c r="Y6" s="442"/>
      <c r="Z6" s="442"/>
      <c r="AA6" s="442"/>
      <c r="AB6" s="442"/>
      <c r="AC6" s="442"/>
      <c r="AD6" s="442"/>
      <c r="AE6" s="442"/>
      <c r="AF6" s="442"/>
      <c r="AG6" s="442"/>
      <c r="AH6" s="442"/>
      <c r="AI6" s="442"/>
      <c r="AJ6" s="443"/>
      <c r="AK6" s="9" t="s">
        <v>8</v>
      </c>
      <c r="AL6" s="9"/>
      <c r="AM6" s="444" t="s">
        <v>9</v>
      </c>
      <c r="AN6" s="444"/>
      <c r="AO6" s="444"/>
      <c r="AP6" s="445"/>
    </row>
    <row r="7" spans="2:45" ht="9.9499999999999993" customHeight="1" x14ac:dyDescent="0.25">
      <c r="B7" s="435" t="s">
        <v>10</v>
      </c>
      <c r="C7" s="436"/>
      <c r="D7" s="436"/>
      <c r="E7" s="436"/>
      <c r="F7" s="55" t="s">
        <v>3</v>
      </c>
      <c r="G7" s="437" t="s">
        <v>11</v>
      </c>
      <c r="H7" s="437"/>
      <c r="I7" s="437"/>
      <c r="J7" s="437"/>
      <c r="K7" s="437"/>
      <c r="L7" s="437"/>
      <c r="M7" s="436" t="s">
        <v>12</v>
      </c>
      <c r="N7" s="436"/>
      <c r="O7" s="436"/>
      <c r="P7" s="436"/>
      <c r="Q7" s="55" t="s">
        <v>3</v>
      </c>
      <c r="R7" s="441" t="s">
        <v>13</v>
      </c>
      <c r="S7" s="441"/>
      <c r="T7" s="441"/>
      <c r="U7" s="441"/>
      <c r="V7" s="441"/>
      <c r="W7" s="441"/>
      <c r="X7" s="442"/>
      <c r="Y7" s="442"/>
      <c r="Z7" s="442"/>
      <c r="AA7" s="442"/>
      <c r="AB7" s="442"/>
      <c r="AC7" s="442"/>
      <c r="AD7" s="442"/>
      <c r="AE7" s="442"/>
      <c r="AF7" s="442"/>
      <c r="AG7" s="442"/>
      <c r="AH7" s="442"/>
      <c r="AI7" s="442"/>
      <c r="AJ7" s="443"/>
      <c r="AK7" s="9" t="s">
        <v>14</v>
      </c>
      <c r="AL7" s="9"/>
      <c r="AM7" s="444" t="s">
        <v>15</v>
      </c>
      <c r="AN7" s="444"/>
      <c r="AO7" s="444"/>
      <c r="AP7" s="445"/>
    </row>
    <row r="8" spans="2:45" ht="9.9499999999999993" customHeight="1" x14ac:dyDescent="0.25">
      <c r="B8" s="435" t="s">
        <v>16</v>
      </c>
      <c r="C8" s="436"/>
      <c r="D8" s="436"/>
      <c r="E8" s="436"/>
      <c r="F8" s="55" t="s">
        <v>3</v>
      </c>
      <c r="G8" s="451">
        <v>46214</v>
      </c>
      <c r="H8" s="437"/>
      <c r="I8" s="437"/>
      <c r="J8" s="437"/>
      <c r="K8" s="437"/>
      <c r="L8" s="437"/>
      <c r="M8" s="436" t="s">
        <v>17</v>
      </c>
      <c r="N8" s="436"/>
      <c r="O8" s="436"/>
      <c r="P8" s="436"/>
      <c r="Q8" s="55" t="s">
        <v>3</v>
      </c>
      <c r="R8" s="441" t="s">
        <v>2512</v>
      </c>
      <c r="S8" s="441"/>
      <c r="T8" s="441"/>
      <c r="U8" s="441"/>
      <c r="V8" s="441"/>
      <c r="W8" s="441"/>
      <c r="X8" s="442"/>
      <c r="Y8" s="442"/>
      <c r="Z8" s="442"/>
      <c r="AA8" s="442"/>
      <c r="AB8" s="442"/>
      <c r="AC8" s="442"/>
      <c r="AD8" s="442"/>
      <c r="AE8" s="442"/>
      <c r="AF8" s="442"/>
      <c r="AG8" s="442"/>
      <c r="AH8" s="442"/>
      <c r="AI8" s="442"/>
      <c r="AJ8" s="443"/>
      <c r="AK8" s="9" t="s">
        <v>18</v>
      </c>
      <c r="AL8" s="9"/>
      <c r="AM8" s="444" t="s">
        <v>19</v>
      </c>
      <c r="AN8" s="444"/>
      <c r="AO8" s="444"/>
      <c r="AP8" s="445"/>
    </row>
    <row r="9" spans="2:45" ht="9.9499999999999993" customHeight="1" x14ac:dyDescent="0.25">
      <c r="B9" s="448"/>
      <c r="C9" s="442"/>
      <c r="D9" s="442"/>
      <c r="E9" s="442"/>
      <c r="F9" s="442"/>
      <c r="G9" s="442"/>
      <c r="H9" s="442"/>
      <c r="I9" s="442"/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  <c r="AA9" s="442"/>
      <c r="AB9" s="442"/>
      <c r="AC9" s="442"/>
      <c r="AD9" s="442"/>
      <c r="AE9" s="442"/>
      <c r="AF9" s="442"/>
      <c r="AG9" s="442"/>
      <c r="AH9" s="442"/>
      <c r="AI9" s="442"/>
      <c r="AJ9" s="443"/>
      <c r="AK9" s="9" t="s">
        <v>20</v>
      </c>
      <c r="AL9" s="9"/>
      <c r="AM9" s="449" t="s">
        <v>21</v>
      </c>
      <c r="AN9" s="444"/>
      <c r="AO9" s="444"/>
      <c r="AP9" s="445"/>
    </row>
    <row r="10" spans="2:45" ht="3.6" customHeight="1" x14ac:dyDescent="0.25">
      <c r="B10" s="448"/>
      <c r="C10" s="442"/>
      <c r="D10" s="442"/>
      <c r="E10" s="442"/>
      <c r="F10" s="442"/>
      <c r="G10" s="442"/>
      <c r="H10" s="442"/>
      <c r="I10" s="442"/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  <c r="AA10" s="442"/>
      <c r="AB10" s="442"/>
      <c r="AC10" s="442"/>
      <c r="AD10" s="442"/>
      <c r="AE10" s="442"/>
      <c r="AF10" s="442"/>
      <c r="AG10" s="442"/>
      <c r="AH10" s="442"/>
      <c r="AI10" s="442"/>
      <c r="AJ10" s="442"/>
      <c r="AK10" s="442"/>
      <c r="AL10" s="442"/>
      <c r="AM10" s="442"/>
      <c r="AN10" s="442"/>
      <c r="AO10" s="442"/>
      <c r="AP10" s="450"/>
    </row>
    <row r="11" spans="2:45" ht="9.9499999999999993" customHeight="1" thickBot="1" x14ac:dyDescent="0.3">
      <c r="B11" s="313" t="s">
        <v>2479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2478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5" ht="9.9499999999999993" customHeight="1" x14ac:dyDescent="0.25">
      <c r="B12" s="420" t="s">
        <v>22</v>
      </c>
      <c r="C12" s="421"/>
      <c r="D12" s="421"/>
      <c r="E12" s="421"/>
      <c r="F12" s="421"/>
      <c r="G12" s="421"/>
      <c r="H12" s="421"/>
      <c r="I12" s="421"/>
      <c r="J12" s="421"/>
      <c r="K12" s="421"/>
      <c r="L12" s="421"/>
      <c r="M12" s="421"/>
      <c r="N12" s="421"/>
      <c r="O12" s="421"/>
      <c r="P12" s="422" t="s">
        <v>23</v>
      </c>
      <c r="Q12" s="423"/>
      <c r="R12" s="423"/>
      <c r="S12" s="423"/>
      <c r="T12" s="423"/>
      <c r="U12" s="424"/>
      <c r="V12" s="139"/>
      <c r="W12" s="420" t="s">
        <v>22</v>
      </c>
      <c r="X12" s="421"/>
      <c r="Y12" s="421"/>
      <c r="Z12" s="421"/>
      <c r="AA12" s="421"/>
      <c r="AB12" s="421"/>
      <c r="AC12" s="421"/>
      <c r="AD12" s="421"/>
      <c r="AE12" s="421"/>
      <c r="AF12" s="421"/>
      <c r="AG12" s="421"/>
      <c r="AH12" s="421"/>
      <c r="AI12" s="421"/>
      <c r="AJ12" s="421"/>
      <c r="AK12" s="422" t="s">
        <v>23</v>
      </c>
      <c r="AL12" s="423"/>
      <c r="AM12" s="423"/>
      <c r="AN12" s="423"/>
      <c r="AO12" s="423"/>
      <c r="AP12" s="424"/>
    </row>
    <row r="13" spans="2:45" ht="9.9499999999999993" customHeight="1" x14ac:dyDescent="0.25">
      <c r="B13" s="425" t="s">
        <v>24</v>
      </c>
      <c r="C13" s="415"/>
      <c r="D13" s="415"/>
      <c r="E13" s="415"/>
      <c r="F13" s="415" t="s">
        <v>25</v>
      </c>
      <c r="G13" s="415"/>
      <c r="H13" s="415" t="s">
        <v>26</v>
      </c>
      <c r="I13" s="415"/>
      <c r="J13" s="415" t="s">
        <v>27</v>
      </c>
      <c r="K13" s="415"/>
      <c r="L13" s="415" t="s">
        <v>28</v>
      </c>
      <c r="M13" s="415"/>
      <c r="N13" s="415" t="s">
        <v>29</v>
      </c>
      <c r="O13" s="415"/>
      <c r="P13" s="415" t="s">
        <v>27</v>
      </c>
      <c r="Q13" s="415"/>
      <c r="R13" s="415" t="s">
        <v>28</v>
      </c>
      <c r="S13" s="415"/>
      <c r="T13" s="415" t="s">
        <v>29</v>
      </c>
      <c r="U13" s="416"/>
      <c r="V13" s="252"/>
      <c r="W13" s="425" t="s">
        <v>24</v>
      </c>
      <c r="X13" s="415"/>
      <c r="Y13" s="415"/>
      <c r="Z13" s="415"/>
      <c r="AA13" s="415" t="s">
        <v>25</v>
      </c>
      <c r="AB13" s="415"/>
      <c r="AC13" s="415" t="s">
        <v>26</v>
      </c>
      <c r="AD13" s="415"/>
      <c r="AE13" s="415" t="s">
        <v>27</v>
      </c>
      <c r="AF13" s="415"/>
      <c r="AG13" s="415" t="s">
        <v>28</v>
      </c>
      <c r="AH13" s="415"/>
      <c r="AI13" s="415" t="s">
        <v>29</v>
      </c>
      <c r="AJ13" s="415"/>
      <c r="AK13" s="415" t="s">
        <v>27</v>
      </c>
      <c r="AL13" s="415"/>
      <c r="AM13" s="415" t="s">
        <v>28</v>
      </c>
      <c r="AN13" s="415"/>
      <c r="AO13" s="415" t="s">
        <v>29</v>
      </c>
      <c r="AP13" s="416"/>
    </row>
    <row r="14" spans="2:45" ht="9.9499999999999993" customHeight="1" x14ac:dyDescent="0.25">
      <c r="B14" s="316" t="s">
        <v>2522</v>
      </c>
      <c r="C14" s="317"/>
      <c r="D14" s="317"/>
      <c r="E14" s="318"/>
      <c r="F14" s="417">
        <v>1</v>
      </c>
      <c r="G14" s="417"/>
      <c r="H14" s="326">
        <v>10</v>
      </c>
      <c r="I14" s="326"/>
      <c r="J14" s="324">
        <v>0</v>
      </c>
      <c r="K14" s="325"/>
      <c r="L14" s="326">
        <f t="shared" ref="L14" si="0">F14*H14</f>
        <v>10</v>
      </c>
      <c r="M14" s="326"/>
      <c r="N14" s="326">
        <f>L14+J14</f>
        <v>10</v>
      </c>
      <c r="O14" s="326"/>
      <c r="P14" s="319">
        <v>0</v>
      </c>
      <c r="Q14" s="320"/>
      <c r="R14" s="419"/>
      <c r="S14" s="419"/>
      <c r="T14" s="326">
        <f>P14+R14</f>
        <v>0</v>
      </c>
      <c r="U14" s="418"/>
      <c r="V14" s="252"/>
      <c r="W14" s="316"/>
      <c r="X14" s="317"/>
      <c r="Y14" s="317"/>
      <c r="Z14" s="318"/>
      <c r="AA14" s="417"/>
      <c r="AB14" s="417"/>
      <c r="AC14" s="326">
        <v>10</v>
      </c>
      <c r="AD14" s="326"/>
      <c r="AE14" s="324">
        <v>0</v>
      </c>
      <c r="AF14" s="325"/>
      <c r="AG14" s="326">
        <f t="shared" ref="AG14" si="1">AA14*AC14</f>
        <v>0</v>
      </c>
      <c r="AH14" s="326"/>
      <c r="AI14" s="326">
        <f>AG14+AE14</f>
        <v>0</v>
      </c>
      <c r="AJ14" s="326"/>
      <c r="AK14" s="326">
        <v>0</v>
      </c>
      <c r="AL14" s="418"/>
      <c r="AM14" s="419"/>
      <c r="AN14" s="419"/>
      <c r="AO14" s="326">
        <f>AK14+AM14</f>
        <v>0</v>
      </c>
      <c r="AP14" s="418"/>
      <c r="AR14" s="333"/>
      <c r="AS14" s="334"/>
    </row>
    <row r="15" spans="2:45" ht="9.9499999999999993" customHeight="1" x14ac:dyDescent="0.25">
      <c r="B15" s="316" t="s">
        <v>2514</v>
      </c>
      <c r="C15" s="317"/>
      <c r="D15" s="317"/>
      <c r="E15" s="318"/>
      <c r="F15" s="314">
        <v>1</v>
      </c>
      <c r="G15" s="315"/>
      <c r="H15" s="326">
        <v>10</v>
      </c>
      <c r="I15" s="326"/>
      <c r="J15" s="324">
        <v>0</v>
      </c>
      <c r="K15" s="325"/>
      <c r="L15" s="319">
        <f t="shared" ref="L15:L16" si="2">F15*H15</f>
        <v>10</v>
      </c>
      <c r="M15" s="323"/>
      <c r="N15" s="319">
        <f t="shared" ref="N15:N19" si="3">L15+J15</f>
        <v>10</v>
      </c>
      <c r="O15" s="323"/>
      <c r="P15" s="319">
        <v>0</v>
      </c>
      <c r="Q15" s="320"/>
      <c r="R15" s="321"/>
      <c r="S15" s="322"/>
      <c r="T15" s="319">
        <f t="shared" ref="T15:T19" si="4">P15+R15</f>
        <v>0</v>
      </c>
      <c r="U15" s="320"/>
      <c r="V15" s="252"/>
      <c r="W15" s="316"/>
      <c r="X15" s="317"/>
      <c r="Y15" s="317"/>
      <c r="Z15" s="318"/>
      <c r="AA15" s="314"/>
      <c r="AB15" s="315"/>
      <c r="AC15" s="319">
        <v>10</v>
      </c>
      <c r="AD15" s="323"/>
      <c r="AE15" s="324">
        <v>0</v>
      </c>
      <c r="AF15" s="325"/>
      <c r="AG15" s="319">
        <f t="shared" ref="AG15" si="5">AA15*AC15</f>
        <v>0</v>
      </c>
      <c r="AH15" s="323"/>
      <c r="AI15" s="319">
        <f t="shared" ref="AI15" si="6">AG15+AE15</f>
        <v>0</v>
      </c>
      <c r="AJ15" s="323"/>
      <c r="AK15" s="319">
        <v>0</v>
      </c>
      <c r="AL15" s="320"/>
      <c r="AM15" s="321"/>
      <c r="AN15" s="322"/>
      <c r="AO15" s="319">
        <f t="shared" ref="AO15" si="7">AK15+AM15</f>
        <v>0</v>
      </c>
      <c r="AP15" s="320"/>
      <c r="AR15" s="333"/>
      <c r="AS15" s="333"/>
    </row>
    <row r="16" spans="2:45" ht="9.9499999999999993" customHeight="1" x14ac:dyDescent="0.25">
      <c r="B16" s="316" t="s">
        <v>2505</v>
      </c>
      <c r="C16" s="317"/>
      <c r="D16" s="317"/>
      <c r="E16" s="318"/>
      <c r="F16" s="314">
        <v>1</v>
      </c>
      <c r="G16" s="315"/>
      <c r="H16" s="319">
        <v>10</v>
      </c>
      <c r="I16" s="323"/>
      <c r="J16" s="324">
        <v>0</v>
      </c>
      <c r="K16" s="325"/>
      <c r="L16" s="319">
        <f t="shared" si="2"/>
        <v>10</v>
      </c>
      <c r="M16" s="323"/>
      <c r="N16" s="319">
        <f t="shared" si="3"/>
        <v>10</v>
      </c>
      <c r="O16" s="323"/>
      <c r="P16" s="319">
        <v>0</v>
      </c>
      <c r="Q16" s="320"/>
      <c r="R16" s="321"/>
      <c r="S16" s="322"/>
      <c r="T16" s="319">
        <f t="shared" si="4"/>
        <v>0</v>
      </c>
      <c r="U16" s="320"/>
      <c r="V16" s="252"/>
      <c r="W16" s="316"/>
      <c r="X16" s="317"/>
      <c r="Y16" s="317"/>
      <c r="Z16" s="318"/>
      <c r="AA16" s="314"/>
      <c r="AB16" s="315"/>
      <c r="AC16" s="319">
        <v>10</v>
      </c>
      <c r="AD16" s="323"/>
      <c r="AE16" s="324">
        <v>0</v>
      </c>
      <c r="AF16" s="325"/>
      <c r="AG16" s="319">
        <f t="shared" ref="AG16" si="8">AA16*AC16</f>
        <v>0</v>
      </c>
      <c r="AH16" s="323"/>
      <c r="AI16" s="319">
        <f t="shared" ref="AI16" si="9">AG16+AE16</f>
        <v>0</v>
      </c>
      <c r="AJ16" s="323"/>
      <c r="AK16" s="319">
        <v>0</v>
      </c>
      <c r="AL16" s="320"/>
      <c r="AM16" s="321"/>
      <c r="AN16" s="322"/>
      <c r="AO16" s="319">
        <f t="shared" ref="AO16" si="10">AK16+AM16</f>
        <v>0</v>
      </c>
      <c r="AP16" s="320"/>
      <c r="AR16" s="333"/>
      <c r="AS16" s="333"/>
    </row>
    <row r="17" spans="2:45" ht="9.9499999999999993" customHeight="1" x14ac:dyDescent="0.25">
      <c r="B17" s="316" t="s">
        <v>30</v>
      </c>
      <c r="C17" s="317"/>
      <c r="D17" s="317"/>
      <c r="E17" s="318"/>
      <c r="F17" s="314">
        <v>1</v>
      </c>
      <c r="G17" s="315"/>
      <c r="H17" s="326">
        <v>10</v>
      </c>
      <c r="I17" s="326"/>
      <c r="J17" s="324">
        <v>0</v>
      </c>
      <c r="K17" s="325"/>
      <c r="L17" s="319">
        <f>F17*H17</f>
        <v>10</v>
      </c>
      <c r="M17" s="323"/>
      <c r="N17" s="319">
        <f t="shared" si="3"/>
        <v>10</v>
      </c>
      <c r="O17" s="323"/>
      <c r="P17" s="319">
        <v>0</v>
      </c>
      <c r="Q17" s="320"/>
      <c r="R17" s="321"/>
      <c r="S17" s="322"/>
      <c r="T17" s="319">
        <f t="shared" si="4"/>
        <v>0</v>
      </c>
      <c r="U17" s="320"/>
      <c r="V17" s="252"/>
      <c r="W17" s="316"/>
      <c r="X17" s="317"/>
      <c r="Y17" s="317"/>
      <c r="Z17" s="318"/>
      <c r="AA17" s="314"/>
      <c r="AB17" s="315"/>
      <c r="AC17" s="326">
        <v>10</v>
      </c>
      <c r="AD17" s="326"/>
      <c r="AE17" s="324">
        <v>0</v>
      </c>
      <c r="AF17" s="325"/>
      <c r="AG17" s="319">
        <f>AA17*AC17</f>
        <v>0</v>
      </c>
      <c r="AH17" s="323"/>
      <c r="AI17" s="319">
        <f>AG17+AE17</f>
        <v>0</v>
      </c>
      <c r="AJ17" s="323"/>
      <c r="AK17" s="319">
        <v>0</v>
      </c>
      <c r="AL17" s="320"/>
      <c r="AM17" s="321"/>
      <c r="AN17" s="322"/>
      <c r="AO17" s="319">
        <f>AK17+AM17</f>
        <v>0</v>
      </c>
      <c r="AP17" s="320"/>
      <c r="AR17" s="333"/>
      <c r="AS17" s="333"/>
    </row>
    <row r="18" spans="2:45" ht="9.9499999999999993" customHeight="1" x14ac:dyDescent="0.25">
      <c r="B18" s="316" t="s">
        <v>2513</v>
      </c>
      <c r="C18" s="317"/>
      <c r="D18" s="317"/>
      <c r="E18" s="318"/>
      <c r="F18" s="314">
        <v>3</v>
      </c>
      <c r="G18" s="315"/>
      <c r="H18" s="319">
        <v>10</v>
      </c>
      <c r="I18" s="323"/>
      <c r="J18" s="324">
        <v>0</v>
      </c>
      <c r="K18" s="325"/>
      <c r="L18" s="319">
        <f t="shared" ref="L18" si="11">F18*H18</f>
        <v>30</v>
      </c>
      <c r="M18" s="323"/>
      <c r="N18" s="319">
        <f t="shared" si="3"/>
        <v>30</v>
      </c>
      <c r="O18" s="323"/>
      <c r="P18" s="319">
        <v>0</v>
      </c>
      <c r="Q18" s="320"/>
      <c r="R18" s="321"/>
      <c r="S18" s="322"/>
      <c r="T18" s="319">
        <f t="shared" si="4"/>
        <v>0</v>
      </c>
      <c r="U18" s="320"/>
      <c r="V18" s="252"/>
      <c r="W18" s="316"/>
      <c r="X18" s="317"/>
      <c r="Y18" s="317"/>
      <c r="Z18" s="318"/>
      <c r="AA18" s="314"/>
      <c r="AB18" s="315"/>
      <c r="AC18" s="319">
        <v>10</v>
      </c>
      <c r="AD18" s="323"/>
      <c r="AE18" s="324">
        <v>0</v>
      </c>
      <c r="AF18" s="325"/>
      <c r="AG18" s="319">
        <f t="shared" ref="AG18" si="12">AA18*AC18</f>
        <v>0</v>
      </c>
      <c r="AH18" s="323"/>
      <c r="AI18" s="319">
        <f t="shared" ref="AI18" si="13">AG18+AE18</f>
        <v>0</v>
      </c>
      <c r="AJ18" s="323"/>
      <c r="AK18" s="319">
        <v>0</v>
      </c>
      <c r="AL18" s="320"/>
      <c r="AM18" s="321"/>
      <c r="AN18" s="322"/>
      <c r="AO18" s="319">
        <f t="shared" ref="AO18" si="14">AK18+AM18</f>
        <v>0</v>
      </c>
      <c r="AP18" s="320"/>
      <c r="AR18" s="333"/>
      <c r="AS18" s="333"/>
    </row>
    <row r="19" spans="2:45" ht="9.9499999999999993" customHeight="1" x14ac:dyDescent="0.25">
      <c r="B19" s="316" t="s">
        <v>2517</v>
      </c>
      <c r="C19" s="317"/>
      <c r="D19" s="317"/>
      <c r="E19" s="318"/>
      <c r="F19" s="314">
        <v>1</v>
      </c>
      <c r="G19" s="315"/>
      <c r="H19" s="326">
        <v>10</v>
      </c>
      <c r="I19" s="326"/>
      <c r="J19" s="324">
        <v>0</v>
      </c>
      <c r="K19" s="325"/>
      <c r="L19" s="319">
        <f t="shared" ref="L19" si="15">F19*H19</f>
        <v>10</v>
      </c>
      <c r="M19" s="323"/>
      <c r="N19" s="319">
        <f t="shared" si="3"/>
        <v>10</v>
      </c>
      <c r="O19" s="323"/>
      <c r="P19" s="319">
        <v>0</v>
      </c>
      <c r="Q19" s="320"/>
      <c r="R19" s="321"/>
      <c r="S19" s="322"/>
      <c r="T19" s="319">
        <f t="shared" si="4"/>
        <v>0</v>
      </c>
      <c r="U19" s="320"/>
      <c r="V19" s="252"/>
      <c r="W19" s="316"/>
      <c r="X19" s="317"/>
      <c r="Y19" s="317"/>
      <c r="Z19" s="318"/>
      <c r="AA19" s="314"/>
      <c r="AB19" s="315"/>
      <c r="AC19" s="319">
        <v>10</v>
      </c>
      <c r="AD19" s="323"/>
      <c r="AE19" s="324">
        <v>0</v>
      </c>
      <c r="AF19" s="325"/>
      <c r="AG19" s="319">
        <f>AA19*AC19</f>
        <v>0</v>
      </c>
      <c r="AH19" s="323"/>
      <c r="AI19" s="319">
        <f>AG19+AE19</f>
        <v>0</v>
      </c>
      <c r="AJ19" s="323"/>
      <c r="AK19" s="319">
        <v>0</v>
      </c>
      <c r="AL19" s="320"/>
      <c r="AM19" s="321"/>
      <c r="AN19" s="322"/>
      <c r="AO19" s="319">
        <f>AK19+AM19</f>
        <v>0</v>
      </c>
      <c r="AP19" s="320"/>
      <c r="AR19" s="333"/>
      <c r="AS19" s="333"/>
    </row>
    <row r="20" spans="2:45" ht="9.9499999999999993" customHeight="1" x14ac:dyDescent="0.25">
      <c r="B20" s="303" t="s">
        <v>2515</v>
      </c>
      <c r="C20" s="304"/>
      <c r="D20" s="304"/>
      <c r="E20" s="305"/>
      <c r="F20" s="314">
        <v>1</v>
      </c>
      <c r="G20" s="315"/>
      <c r="H20" s="326">
        <v>10</v>
      </c>
      <c r="I20" s="326"/>
      <c r="J20" s="324">
        <v>0</v>
      </c>
      <c r="K20" s="325"/>
      <c r="L20" s="319">
        <f t="shared" ref="L20:L25" si="16">F20*H20</f>
        <v>10</v>
      </c>
      <c r="M20" s="323"/>
      <c r="N20" s="319">
        <f t="shared" ref="N20:N25" si="17">L20+J20</f>
        <v>10</v>
      </c>
      <c r="O20" s="323"/>
      <c r="P20" s="319">
        <v>0</v>
      </c>
      <c r="Q20" s="320"/>
      <c r="R20" s="306"/>
      <c r="S20" s="307"/>
      <c r="T20" s="319">
        <f t="shared" ref="T20:T25" si="18">P20+R20</f>
        <v>0</v>
      </c>
      <c r="U20" s="320"/>
      <c r="V20" s="252"/>
      <c r="W20" s="316"/>
      <c r="X20" s="317"/>
      <c r="Y20" s="317"/>
      <c r="Z20" s="318"/>
      <c r="AA20" s="314"/>
      <c r="AB20" s="315"/>
      <c r="AC20" s="326">
        <v>10</v>
      </c>
      <c r="AD20" s="326"/>
      <c r="AE20" s="324">
        <v>0</v>
      </c>
      <c r="AF20" s="325"/>
      <c r="AG20" s="319">
        <f t="shared" ref="AG20:AG25" si="19">AA20*AC20</f>
        <v>0</v>
      </c>
      <c r="AH20" s="323"/>
      <c r="AI20" s="319">
        <f t="shared" ref="AI20:AI25" si="20">AG20+AE20</f>
        <v>0</v>
      </c>
      <c r="AJ20" s="323"/>
      <c r="AK20" s="319">
        <v>0</v>
      </c>
      <c r="AL20" s="320"/>
      <c r="AM20" s="321"/>
      <c r="AN20" s="322"/>
      <c r="AO20" s="319">
        <f t="shared" ref="AO20:AO25" si="21">AK20+AM20</f>
        <v>0</v>
      </c>
      <c r="AP20" s="320"/>
      <c r="AR20" s="308"/>
      <c r="AS20" s="308"/>
    </row>
    <row r="21" spans="2:45" ht="9.9499999999999993" customHeight="1" x14ac:dyDescent="0.25">
      <c r="B21" s="303" t="s">
        <v>2516</v>
      </c>
      <c r="C21" s="304"/>
      <c r="D21" s="304"/>
      <c r="E21" s="305"/>
      <c r="F21" s="314">
        <v>1</v>
      </c>
      <c r="G21" s="315"/>
      <c r="H21" s="326">
        <v>10</v>
      </c>
      <c r="I21" s="326"/>
      <c r="J21" s="324">
        <v>0</v>
      </c>
      <c r="K21" s="325"/>
      <c r="L21" s="319">
        <f t="shared" si="16"/>
        <v>10</v>
      </c>
      <c r="M21" s="323"/>
      <c r="N21" s="319">
        <f t="shared" si="17"/>
        <v>10</v>
      </c>
      <c r="O21" s="323"/>
      <c r="P21" s="319">
        <v>0</v>
      </c>
      <c r="Q21" s="320"/>
      <c r="R21" s="306"/>
      <c r="S21" s="307"/>
      <c r="T21" s="319">
        <f t="shared" si="18"/>
        <v>0</v>
      </c>
      <c r="U21" s="320"/>
      <c r="V21" s="252"/>
      <c r="W21" s="316"/>
      <c r="X21" s="317"/>
      <c r="Y21" s="317"/>
      <c r="Z21" s="318"/>
      <c r="AA21" s="314"/>
      <c r="AB21" s="315"/>
      <c r="AC21" s="319">
        <v>10</v>
      </c>
      <c r="AD21" s="323"/>
      <c r="AE21" s="324">
        <v>0</v>
      </c>
      <c r="AF21" s="325"/>
      <c r="AG21" s="319">
        <f t="shared" si="19"/>
        <v>0</v>
      </c>
      <c r="AH21" s="323"/>
      <c r="AI21" s="319">
        <f t="shared" si="20"/>
        <v>0</v>
      </c>
      <c r="AJ21" s="323"/>
      <c r="AK21" s="319">
        <v>0</v>
      </c>
      <c r="AL21" s="320"/>
      <c r="AM21" s="321"/>
      <c r="AN21" s="322"/>
      <c r="AO21" s="319">
        <f t="shared" si="21"/>
        <v>0</v>
      </c>
      <c r="AP21" s="320"/>
      <c r="AR21" s="308"/>
      <c r="AS21" s="308"/>
    </row>
    <row r="22" spans="2:45" ht="9.9499999999999993" customHeight="1" x14ac:dyDescent="0.25">
      <c r="B22" s="303" t="s">
        <v>2521</v>
      </c>
      <c r="C22" s="304"/>
      <c r="D22" s="304"/>
      <c r="E22" s="305"/>
      <c r="F22" s="314">
        <v>1</v>
      </c>
      <c r="G22" s="315"/>
      <c r="H22" s="326">
        <v>10</v>
      </c>
      <c r="I22" s="326"/>
      <c r="J22" s="324">
        <v>0</v>
      </c>
      <c r="K22" s="325"/>
      <c r="L22" s="319">
        <f t="shared" ref="L22" si="22">F22*H22</f>
        <v>10</v>
      </c>
      <c r="M22" s="323"/>
      <c r="N22" s="319">
        <f t="shared" ref="N22" si="23">L22+J22</f>
        <v>10</v>
      </c>
      <c r="O22" s="323"/>
      <c r="P22" s="319">
        <v>1</v>
      </c>
      <c r="Q22" s="320"/>
      <c r="R22" s="306"/>
      <c r="S22" s="307"/>
      <c r="T22" s="319">
        <f t="shared" ref="T22" si="24">P22+R22</f>
        <v>1</v>
      </c>
      <c r="U22" s="320"/>
      <c r="V22" s="252"/>
      <c r="W22" s="316"/>
      <c r="X22" s="317"/>
      <c r="Y22" s="317"/>
      <c r="Z22" s="318"/>
      <c r="AA22" s="314"/>
      <c r="AB22" s="315"/>
      <c r="AC22" s="319">
        <v>10</v>
      </c>
      <c r="AD22" s="323"/>
      <c r="AE22" s="324">
        <v>0</v>
      </c>
      <c r="AF22" s="325"/>
      <c r="AG22" s="319">
        <f t="shared" si="19"/>
        <v>0</v>
      </c>
      <c r="AH22" s="323"/>
      <c r="AI22" s="319">
        <f t="shared" si="20"/>
        <v>0</v>
      </c>
      <c r="AJ22" s="323"/>
      <c r="AK22" s="319">
        <v>0</v>
      </c>
      <c r="AL22" s="320"/>
      <c r="AM22" s="321"/>
      <c r="AN22" s="322"/>
      <c r="AO22" s="319">
        <f t="shared" si="21"/>
        <v>0</v>
      </c>
      <c r="AP22" s="320"/>
      <c r="AR22" s="308"/>
      <c r="AS22" s="308"/>
    </row>
    <row r="23" spans="2:45" ht="9.9499999999999993" customHeight="1" x14ac:dyDescent="0.25">
      <c r="B23" s="303" t="s">
        <v>2518</v>
      </c>
      <c r="C23" s="304"/>
      <c r="D23" s="304"/>
      <c r="E23" s="305"/>
      <c r="F23" s="314">
        <v>1</v>
      </c>
      <c r="G23" s="315"/>
      <c r="H23" s="326">
        <v>10</v>
      </c>
      <c r="I23" s="326"/>
      <c r="J23" s="324">
        <v>0</v>
      </c>
      <c r="K23" s="325"/>
      <c r="L23" s="319">
        <f t="shared" si="16"/>
        <v>10</v>
      </c>
      <c r="M23" s="323"/>
      <c r="N23" s="319">
        <f t="shared" si="17"/>
        <v>10</v>
      </c>
      <c r="O23" s="323"/>
      <c r="P23" s="319">
        <v>0</v>
      </c>
      <c r="Q23" s="320"/>
      <c r="R23" s="306"/>
      <c r="S23" s="307"/>
      <c r="T23" s="319">
        <f t="shared" si="18"/>
        <v>0</v>
      </c>
      <c r="U23" s="320"/>
      <c r="V23" s="252"/>
      <c r="W23" s="316"/>
      <c r="X23" s="317"/>
      <c r="Y23" s="317"/>
      <c r="Z23" s="318"/>
      <c r="AA23" s="314"/>
      <c r="AB23" s="315"/>
      <c r="AC23" s="326">
        <v>10</v>
      </c>
      <c r="AD23" s="326"/>
      <c r="AE23" s="324">
        <v>0</v>
      </c>
      <c r="AF23" s="325"/>
      <c r="AG23" s="319">
        <f t="shared" si="19"/>
        <v>0</v>
      </c>
      <c r="AH23" s="323"/>
      <c r="AI23" s="319">
        <f t="shared" si="20"/>
        <v>0</v>
      </c>
      <c r="AJ23" s="323"/>
      <c r="AK23" s="319">
        <v>0</v>
      </c>
      <c r="AL23" s="320"/>
      <c r="AM23" s="321"/>
      <c r="AN23" s="322"/>
      <c r="AO23" s="319">
        <f t="shared" si="21"/>
        <v>0</v>
      </c>
      <c r="AP23" s="320"/>
      <c r="AR23" s="308"/>
      <c r="AS23" s="308"/>
    </row>
    <row r="24" spans="2:45" ht="9.9499999999999993" customHeight="1" x14ac:dyDescent="0.25">
      <c r="B24" s="303" t="s">
        <v>2519</v>
      </c>
      <c r="C24" s="304"/>
      <c r="D24" s="304"/>
      <c r="E24" s="305"/>
      <c r="F24" s="314">
        <v>1</v>
      </c>
      <c r="G24" s="315"/>
      <c r="H24" s="326">
        <v>10</v>
      </c>
      <c r="I24" s="326"/>
      <c r="J24" s="324">
        <v>0</v>
      </c>
      <c r="K24" s="325"/>
      <c r="L24" s="319">
        <f t="shared" si="16"/>
        <v>10</v>
      </c>
      <c r="M24" s="323"/>
      <c r="N24" s="319">
        <f t="shared" si="17"/>
        <v>10</v>
      </c>
      <c r="O24" s="323"/>
      <c r="P24" s="319">
        <v>0</v>
      </c>
      <c r="Q24" s="320"/>
      <c r="R24" s="306"/>
      <c r="S24" s="307"/>
      <c r="T24" s="319">
        <f t="shared" si="18"/>
        <v>0</v>
      </c>
      <c r="U24" s="320"/>
      <c r="V24" s="252"/>
      <c r="W24" s="316"/>
      <c r="X24" s="317"/>
      <c r="Y24" s="317"/>
      <c r="Z24" s="318"/>
      <c r="AA24" s="314"/>
      <c r="AB24" s="315"/>
      <c r="AC24" s="319">
        <v>10</v>
      </c>
      <c r="AD24" s="323"/>
      <c r="AE24" s="324">
        <v>0</v>
      </c>
      <c r="AF24" s="325"/>
      <c r="AG24" s="319">
        <f t="shared" si="19"/>
        <v>0</v>
      </c>
      <c r="AH24" s="323"/>
      <c r="AI24" s="319">
        <f t="shared" si="20"/>
        <v>0</v>
      </c>
      <c r="AJ24" s="323"/>
      <c r="AK24" s="319">
        <v>0</v>
      </c>
      <c r="AL24" s="320"/>
      <c r="AM24" s="321"/>
      <c r="AN24" s="322"/>
      <c r="AO24" s="319">
        <f t="shared" si="21"/>
        <v>0</v>
      </c>
      <c r="AP24" s="320"/>
      <c r="AR24" s="308"/>
      <c r="AS24" s="308"/>
    </row>
    <row r="25" spans="2:45" ht="9.9499999999999993" customHeight="1" x14ac:dyDescent="0.25">
      <c r="B25" s="303" t="s">
        <v>2520</v>
      </c>
      <c r="C25" s="304"/>
      <c r="D25" s="304"/>
      <c r="E25" s="305"/>
      <c r="F25" s="314">
        <v>1</v>
      </c>
      <c r="G25" s="315"/>
      <c r="H25" s="326">
        <v>10</v>
      </c>
      <c r="I25" s="326"/>
      <c r="J25" s="324">
        <v>0</v>
      </c>
      <c r="K25" s="325"/>
      <c r="L25" s="319">
        <f t="shared" si="16"/>
        <v>10</v>
      </c>
      <c r="M25" s="323"/>
      <c r="N25" s="319">
        <f t="shared" si="17"/>
        <v>10</v>
      </c>
      <c r="O25" s="323"/>
      <c r="P25" s="319">
        <v>0</v>
      </c>
      <c r="Q25" s="320"/>
      <c r="R25" s="306"/>
      <c r="S25" s="307"/>
      <c r="T25" s="319">
        <f t="shared" si="18"/>
        <v>0</v>
      </c>
      <c r="U25" s="320"/>
      <c r="V25" s="252"/>
      <c r="W25" s="316"/>
      <c r="X25" s="317"/>
      <c r="Y25" s="317"/>
      <c r="Z25" s="318"/>
      <c r="AA25" s="314"/>
      <c r="AB25" s="315"/>
      <c r="AC25" s="319">
        <v>10</v>
      </c>
      <c r="AD25" s="323"/>
      <c r="AE25" s="324">
        <v>0</v>
      </c>
      <c r="AF25" s="325"/>
      <c r="AG25" s="319">
        <f t="shared" si="19"/>
        <v>0</v>
      </c>
      <c r="AH25" s="323"/>
      <c r="AI25" s="319">
        <f t="shared" si="20"/>
        <v>0</v>
      </c>
      <c r="AJ25" s="323"/>
      <c r="AK25" s="319">
        <v>0</v>
      </c>
      <c r="AL25" s="320"/>
      <c r="AM25" s="321"/>
      <c r="AN25" s="322"/>
      <c r="AO25" s="319">
        <f t="shared" si="21"/>
        <v>0</v>
      </c>
      <c r="AP25" s="320"/>
      <c r="AR25" s="308"/>
      <c r="AS25" s="308"/>
    </row>
    <row r="26" spans="2:45" ht="9.9499999999999993" customHeight="1" thickBot="1" x14ac:dyDescent="0.3">
      <c r="B26" s="413" t="s">
        <v>31</v>
      </c>
      <c r="C26" s="414"/>
      <c r="D26" s="414"/>
      <c r="E26" s="414"/>
      <c r="F26" s="412">
        <f>SUM(F14:G25)</f>
        <v>14</v>
      </c>
      <c r="G26" s="412"/>
      <c r="H26" s="412"/>
      <c r="I26" s="412"/>
      <c r="J26" s="412">
        <f>SUM(J14:K25)</f>
        <v>0</v>
      </c>
      <c r="K26" s="412"/>
      <c r="L26" s="412">
        <f>SUM(L14:M25)</f>
        <v>140</v>
      </c>
      <c r="M26" s="412"/>
      <c r="N26" s="412">
        <f>SUM(N14:O25)</f>
        <v>140</v>
      </c>
      <c r="O26" s="412"/>
      <c r="P26" s="412">
        <f>SUM(P14:Q25)</f>
        <v>1</v>
      </c>
      <c r="Q26" s="412"/>
      <c r="R26" s="456">
        <f>SUM(R14:S25)</f>
        <v>0</v>
      </c>
      <c r="S26" s="456"/>
      <c r="T26" s="456">
        <f>SUM(T14:U25)</f>
        <v>1</v>
      </c>
      <c r="U26" s="457"/>
      <c r="V26" s="252"/>
      <c r="W26" s="413" t="s">
        <v>31</v>
      </c>
      <c r="X26" s="414"/>
      <c r="Y26" s="414"/>
      <c r="Z26" s="414"/>
      <c r="AA26" s="412">
        <f>SUM(AA14:AB25)</f>
        <v>0</v>
      </c>
      <c r="AB26" s="412"/>
      <c r="AC26" s="412"/>
      <c r="AD26" s="412"/>
      <c r="AE26" s="412">
        <f>SUM(AE14:AF25)</f>
        <v>0</v>
      </c>
      <c r="AF26" s="412"/>
      <c r="AG26" s="412">
        <f>SUM(AG14:AH25)</f>
        <v>0</v>
      </c>
      <c r="AH26" s="412"/>
      <c r="AI26" s="412">
        <f>SUM(AI14:AJ25)</f>
        <v>0</v>
      </c>
      <c r="AJ26" s="412"/>
      <c r="AK26" s="412">
        <f>SUM(AK14:AL25)</f>
        <v>0</v>
      </c>
      <c r="AL26" s="412"/>
      <c r="AM26" s="456">
        <f>SUM(AM14:AN25)</f>
        <v>0</v>
      </c>
      <c r="AN26" s="456"/>
      <c r="AO26" s="456">
        <f>SUM(AO14:AP25)</f>
        <v>0</v>
      </c>
      <c r="AP26" s="457"/>
    </row>
    <row r="27" spans="2:45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5" ht="9.9499999999999993" customHeight="1" x14ac:dyDescent="0.25">
      <c r="B28" s="448"/>
      <c r="C28" s="442"/>
      <c r="D28" s="442"/>
      <c r="E28" s="442"/>
      <c r="F28" s="442"/>
      <c r="G28" s="442"/>
      <c r="H28" s="442"/>
      <c r="I28" s="442"/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  <c r="AA28" s="442"/>
      <c r="AB28" s="442"/>
      <c r="AC28" s="442"/>
      <c r="AD28" s="442"/>
      <c r="AE28" s="442"/>
      <c r="AF28" s="442"/>
      <c r="AG28" s="442"/>
      <c r="AH28" s="442"/>
      <c r="AI28" s="442"/>
      <c r="AJ28" s="442"/>
      <c r="AK28" s="442"/>
      <c r="AL28" s="442"/>
      <c r="AM28" s="442"/>
      <c r="AN28" s="442"/>
      <c r="AO28" s="442"/>
      <c r="AP28" s="450"/>
    </row>
    <row r="29" spans="2:45" ht="9.9499999999999993" customHeight="1" thickBot="1" x14ac:dyDescent="0.3">
      <c r="B29" s="452"/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  <c r="O29" s="453"/>
      <c r="P29" s="453"/>
      <c r="Q29" s="453"/>
      <c r="R29" s="453"/>
      <c r="S29" s="453"/>
      <c r="T29" s="453"/>
      <c r="U29" s="453"/>
      <c r="V29" s="453"/>
      <c r="W29" s="453"/>
      <c r="X29" s="453"/>
      <c r="Y29" s="453"/>
      <c r="Z29" s="453"/>
      <c r="AA29" s="453"/>
      <c r="AB29" s="453"/>
      <c r="AC29" s="453"/>
      <c r="AD29" s="453"/>
      <c r="AE29" s="453"/>
      <c r="AF29" s="453"/>
      <c r="AG29" s="453"/>
      <c r="AH29" s="453"/>
      <c r="AI29" s="453"/>
      <c r="AJ29" s="453"/>
      <c r="AK29" s="453"/>
      <c r="AL29" s="453"/>
      <c r="AM29" s="453"/>
      <c r="AN29" s="453"/>
      <c r="AO29" s="453"/>
      <c r="AP29" s="454"/>
    </row>
    <row r="30" spans="2:45" ht="9.9499999999999993" customHeight="1" x14ac:dyDescent="0.25">
      <c r="B30" s="335" t="s">
        <v>32</v>
      </c>
      <c r="C30" s="336"/>
      <c r="D30" s="336"/>
      <c r="E30" s="336"/>
      <c r="F30" s="336"/>
      <c r="G30" s="336"/>
      <c r="H30" s="336"/>
      <c r="I30" s="336"/>
      <c r="J30" s="336"/>
      <c r="K30" s="336"/>
      <c r="L30" s="336"/>
      <c r="M30" s="336"/>
      <c r="N30" s="336"/>
      <c r="O30" s="336"/>
      <c r="P30" s="336"/>
      <c r="Q30" s="336"/>
      <c r="R30" s="336"/>
      <c r="S30" s="336"/>
      <c r="T30" s="336"/>
      <c r="U30" s="336"/>
      <c r="V30" s="336"/>
      <c r="W30" s="336"/>
      <c r="X30" s="336"/>
      <c r="Y30" s="336"/>
      <c r="Z30" s="336"/>
      <c r="AA30" s="336"/>
      <c r="AB30" s="458"/>
      <c r="AC30" s="458"/>
      <c r="AD30" s="458"/>
      <c r="AE30" s="458"/>
      <c r="AF30" s="458"/>
      <c r="AG30" s="458"/>
      <c r="AH30" s="336"/>
      <c r="AI30" s="336"/>
      <c r="AJ30" s="336"/>
      <c r="AK30" s="336"/>
      <c r="AL30" s="336"/>
      <c r="AM30" s="336"/>
      <c r="AN30" s="336"/>
      <c r="AO30" s="336"/>
      <c r="AP30" s="337"/>
    </row>
    <row r="31" spans="2:45" ht="9.9499999999999993" customHeight="1" x14ac:dyDescent="0.25">
      <c r="B31" s="460" t="s">
        <v>2477</v>
      </c>
      <c r="C31" s="404"/>
      <c r="D31" s="404"/>
      <c r="E31" s="404"/>
      <c r="F31" s="404"/>
      <c r="G31" s="404"/>
      <c r="H31" s="404"/>
      <c r="I31" s="404"/>
      <c r="J31" s="404"/>
      <c r="K31" s="404"/>
      <c r="L31" s="404"/>
      <c r="M31" s="404"/>
      <c r="N31" s="404"/>
      <c r="O31" s="404"/>
      <c r="P31" s="404"/>
      <c r="Q31" s="404"/>
      <c r="R31" s="404"/>
      <c r="S31" s="404"/>
      <c r="T31" s="404"/>
      <c r="U31" s="401"/>
      <c r="V31" s="400" t="s">
        <v>33</v>
      </c>
      <c r="W31" s="401"/>
      <c r="X31" s="400" t="s">
        <v>34</v>
      </c>
      <c r="Y31" s="404"/>
      <c r="Z31" s="459" t="s">
        <v>35</v>
      </c>
      <c r="AA31" s="459"/>
      <c r="AB31" s="459" t="s">
        <v>36</v>
      </c>
      <c r="AC31" s="459"/>
      <c r="AD31" s="459"/>
      <c r="AE31" s="459" t="s">
        <v>37</v>
      </c>
      <c r="AF31" s="459"/>
      <c r="AG31" s="459"/>
      <c r="AH31" s="404" t="s">
        <v>38</v>
      </c>
      <c r="AI31" s="404"/>
      <c r="AJ31" s="401"/>
      <c r="AK31" s="409" t="s">
        <v>39</v>
      </c>
      <c r="AL31" s="410"/>
      <c r="AM31" s="410"/>
      <c r="AN31" s="410"/>
      <c r="AO31" s="410"/>
      <c r="AP31" s="411"/>
    </row>
    <row r="32" spans="2:45" ht="9.9499999999999993" customHeight="1" x14ac:dyDescent="0.25">
      <c r="B32" s="461"/>
      <c r="C32" s="405"/>
      <c r="D32" s="405"/>
      <c r="E32" s="405"/>
      <c r="F32" s="405"/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405"/>
      <c r="R32" s="405"/>
      <c r="S32" s="405"/>
      <c r="T32" s="405"/>
      <c r="U32" s="403"/>
      <c r="V32" s="402"/>
      <c r="W32" s="403"/>
      <c r="X32" s="402"/>
      <c r="Y32" s="405"/>
      <c r="Z32" s="459"/>
      <c r="AA32" s="459"/>
      <c r="AB32" s="459"/>
      <c r="AC32" s="459"/>
      <c r="AD32" s="459"/>
      <c r="AE32" s="459"/>
      <c r="AF32" s="459"/>
      <c r="AG32" s="459"/>
      <c r="AH32" s="405"/>
      <c r="AI32" s="405"/>
      <c r="AJ32" s="403"/>
      <c r="AK32" s="406" t="s">
        <v>40</v>
      </c>
      <c r="AL32" s="407"/>
      <c r="AM32" s="408"/>
      <c r="AN32" s="406" t="s">
        <v>41</v>
      </c>
      <c r="AO32" s="407"/>
      <c r="AP32" s="455"/>
    </row>
    <row r="33" spans="2:42" ht="9.6" customHeight="1" x14ac:dyDescent="0.25">
      <c r="B33" s="327" t="s">
        <v>2480</v>
      </c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50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60"/>
    </row>
    <row r="34" spans="2:42" ht="9.9499999999999993" customHeight="1" outlineLevel="1" x14ac:dyDescent="0.25">
      <c r="B34" s="347" t="s">
        <v>2549</v>
      </c>
      <c r="C34" s="348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9"/>
      <c r="V34" s="350" t="s">
        <v>33</v>
      </c>
      <c r="W34" s="351"/>
      <c r="X34" s="350">
        <v>400</v>
      </c>
      <c r="Y34" s="352"/>
      <c r="Z34" s="350">
        <v>20</v>
      </c>
      <c r="AA34" s="352"/>
      <c r="AB34" s="353">
        <v>20</v>
      </c>
      <c r="AC34" s="353"/>
      <c r="AD34" s="353"/>
      <c r="AE34" s="329">
        <v>40</v>
      </c>
      <c r="AF34" s="329"/>
      <c r="AG34" s="329"/>
      <c r="AH34" s="350">
        <f>X34-AE34-AB34</f>
        <v>340</v>
      </c>
      <c r="AI34" s="352"/>
      <c r="AJ34" s="351"/>
      <c r="AK34" s="354">
        <f>AB34/Z34</f>
        <v>1</v>
      </c>
      <c r="AL34" s="355"/>
      <c r="AM34" s="356"/>
      <c r="AN34" s="354">
        <f>IF(AE34&gt;X34,100%,IFERROR((AE34+AB34)/X34,"-"))</f>
        <v>0.15</v>
      </c>
      <c r="AO34" s="355"/>
      <c r="AP34" s="399"/>
    </row>
    <row r="35" spans="2:42" ht="9.9499999999999993" customHeight="1" outlineLevel="1" x14ac:dyDescent="0.25">
      <c r="B35" s="357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9"/>
      <c r="V35" s="350"/>
      <c r="W35" s="351"/>
      <c r="X35" s="350"/>
      <c r="Y35" s="352"/>
      <c r="Z35" s="350"/>
      <c r="AA35" s="352"/>
      <c r="AB35" s="353"/>
      <c r="AC35" s="353"/>
      <c r="AD35" s="353"/>
      <c r="AE35" s="350"/>
      <c r="AF35" s="352"/>
      <c r="AG35" s="351"/>
      <c r="AH35" s="350"/>
      <c r="AI35" s="352"/>
      <c r="AJ35" s="351"/>
      <c r="AK35" s="354"/>
      <c r="AL35" s="355"/>
      <c r="AM35" s="356"/>
      <c r="AN35" s="354" t="str">
        <f t="shared" ref="AN35" si="25">IF(AE35&gt;X35,100%,IFERROR((AE35+AB35)/X35,"-"))</f>
        <v>-</v>
      </c>
      <c r="AO35" s="355"/>
      <c r="AP35" s="399"/>
    </row>
    <row r="36" spans="2:42" ht="13.15" customHeight="1" x14ac:dyDescent="0.25">
      <c r="B36" s="505" t="s">
        <v>83</v>
      </c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6"/>
      <c r="R36" s="506"/>
      <c r="S36" s="506"/>
      <c r="T36" s="506"/>
      <c r="U36" s="506"/>
      <c r="V36" s="506"/>
      <c r="W36" s="506"/>
      <c r="X36" s="506"/>
      <c r="Y36" s="506"/>
      <c r="Z36" s="506"/>
      <c r="AA36" s="506"/>
      <c r="AB36" s="506"/>
      <c r="AC36" s="506"/>
      <c r="AD36" s="506"/>
      <c r="AE36" s="506"/>
      <c r="AF36" s="506"/>
      <c r="AG36" s="506"/>
      <c r="AH36" s="506"/>
      <c r="AI36" s="506"/>
      <c r="AJ36" s="506"/>
      <c r="AK36" s="506"/>
      <c r="AL36" s="506"/>
      <c r="AM36" s="506"/>
      <c r="AN36" s="506"/>
      <c r="AO36" s="506"/>
      <c r="AP36" s="507"/>
    </row>
    <row r="37" spans="2:42" ht="10.9" customHeight="1" x14ac:dyDescent="0.25">
      <c r="B37" s="508" t="s">
        <v>84</v>
      </c>
      <c r="C37" s="509"/>
      <c r="D37" s="509"/>
      <c r="E37" s="509"/>
      <c r="F37" s="509"/>
      <c r="G37" s="509"/>
      <c r="H37" s="509"/>
      <c r="I37" s="509"/>
      <c r="J37" s="509"/>
      <c r="K37" s="509"/>
      <c r="L37" s="509"/>
      <c r="M37" s="509"/>
      <c r="N37" s="509"/>
      <c r="O37" s="509"/>
      <c r="P37" s="509"/>
      <c r="Q37" s="509"/>
      <c r="R37" s="509"/>
      <c r="S37" s="509"/>
      <c r="T37" s="509"/>
      <c r="U37" s="509"/>
      <c r="V37" s="510"/>
      <c r="W37" s="511" t="s">
        <v>2485</v>
      </c>
      <c r="X37" s="509"/>
      <c r="Y37" s="509"/>
      <c r="Z37" s="509"/>
      <c r="AA37" s="509"/>
      <c r="AB37" s="509"/>
      <c r="AC37" s="509"/>
      <c r="AD37" s="509"/>
      <c r="AE37" s="509"/>
      <c r="AF37" s="509"/>
      <c r="AG37" s="509"/>
      <c r="AH37" s="509"/>
      <c r="AI37" s="509"/>
      <c r="AJ37" s="509"/>
      <c r="AK37" s="509"/>
      <c r="AL37" s="509"/>
      <c r="AM37" s="509"/>
      <c r="AN37" s="509"/>
      <c r="AO37" s="509"/>
      <c r="AP37" s="512"/>
    </row>
    <row r="38" spans="2:42" ht="27" customHeight="1" x14ac:dyDescent="0.25">
      <c r="B38" s="515"/>
      <c r="C38" s="516"/>
      <c r="D38" s="516"/>
      <c r="E38" s="516"/>
      <c r="F38" s="516"/>
      <c r="G38" s="516"/>
      <c r="H38" s="516"/>
      <c r="I38" s="516"/>
      <c r="J38" s="516"/>
      <c r="K38" s="516"/>
      <c r="L38" s="516"/>
      <c r="M38" s="516"/>
      <c r="N38" s="516"/>
      <c r="O38" s="516"/>
      <c r="P38" s="516"/>
      <c r="Q38" s="516"/>
      <c r="R38" s="516"/>
      <c r="S38" s="516"/>
      <c r="T38" s="516"/>
      <c r="U38" s="516"/>
      <c r="V38" s="517"/>
      <c r="W38" s="518"/>
      <c r="X38" s="516"/>
      <c r="Y38" s="516"/>
      <c r="Z38" s="516"/>
      <c r="AA38" s="516"/>
      <c r="AB38" s="516"/>
      <c r="AC38" s="516"/>
      <c r="AD38" s="516"/>
      <c r="AE38" s="516"/>
      <c r="AF38" s="516"/>
      <c r="AG38" s="516"/>
      <c r="AH38" s="516"/>
      <c r="AI38" s="516"/>
      <c r="AJ38" s="516"/>
      <c r="AK38" s="516"/>
      <c r="AL38" s="516"/>
      <c r="AM38" s="516"/>
      <c r="AN38" s="516"/>
      <c r="AO38" s="516"/>
      <c r="AP38" s="519"/>
    </row>
    <row r="39" spans="2:42" ht="9.9499999999999993" customHeight="1" x14ac:dyDescent="0.25">
      <c r="B39" s="505" t="s">
        <v>85</v>
      </c>
      <c r="C39" s="506"/>
      <c r="D39" s="506"/>
      <c r="E39" s="506"/>
      <c r="F39" s="506"/>
      <c r="G39" s="506"/>
      <c r="H39" s="506"/>
      <c r="I39" s="506"/>
      <c r="J39" s="506"/>
      <c r="K39" s="506"/>
      <c r="L39" s="506"/>
      <c r="M39" s="506"/>
      <c r="N39" s="506"/>
      <c r="O39" s="506"/>
      <c r="P39" s="506"/>
      <c r="Q39" s="506"/>
      <c r="R39" s="506"/>
      <c r="S39" s="506"/>
      <c r="T39" s="506"/>
      <c r="U39" s="506"/>
      <c r="V39" s="506"/>
      <c r="W39" s="506"/>
      <c r="X39" s="506"/>
      <c r="Y39" s="506"/>
      <c r="Z39" s="506"/>
      <c r="AA39" s="506"/>
      <c r="AB39" s="506"/>
      <c r="AC39" s="506"/>
      <c r="AD39" s="506"/>
      <c r="AE39" s="506"/>
      <c r="AF39" s="506"/>
      <c r="AG39" s="506"/>
      <c r="AH39" s="506"/>
      <c r="AI39" s="506"/>
      <c r="AJ39" s="506"/>
      <c r="AK39" s="506"/>
      <c r="AL39" s="506"/>
      <c r="AM39" s="506"/>
      <c r="AN39" s="506"/>
      <c r="AO39" s="506"/>
      <c r="AP39" s="507"/>
    </row>
    <row r="40" spans="2:42" ht="9.9499999999999993" customHeight="1" x14ac:dyDescent="0.25">
      <c r="B40" s="465" t="s">
        <v>2556</v>
      </c>
      <c r="C40" s="466"/>
      <c r="D40" s="466"/>
      <c r="E40" s="466"/>
      <c r="F40" s="466"/>
      <c r="G40" s="466"/>
      <c r="H40" s="466"/>
      <c r="I40" s="466"/>
      <c r="J40" s="466"/>
      <c r="K40" s="466"/>
      <c r="L40" s="466"/>
      <c r="M40" s="466"/>
      <c r="N40" s="466"/>
      <c r="O40" s="466"/>
      <c r="P40" s="466"/>
      <c r="Q40" s="466"/>
      <c r="R40" s="466"/>
      <c r="S40" s="466"/>
      <c r="T40" s="466"/>
      <c r="U40" s="466"/>
      <c r="V40" s="466"/>
      <c r="W40" s="466"/>
      <c r="X40" s="466"/>
      <c r="Y40" s="466"/>
      <c r="Z40" s="466"/>
      <c r="AA40" s="466"/>
      <c r="AB40" s="466"/>
      <c r="AC40" s="466"/>
      <c r="AD40" s="466"/>
      <c r="AE40" s="466"/>
      <c r="AF40" s="466"/>
      <c r="AG40" s="466"/>
      <c r="AH40" s="466"/>
      <c r="AI40" s="466"/>
      <c r="AJ40" s="466"/>
      <c r="AK40" s="466"/>
      <c r="AL40" s="466"/>
      <c r="AM40" s="466"/>
      <c r="AN40" s="466"/>
      <c r="AO40" s="466"/>
      <c r="AP40" s="467"/>
    </row>
    <row r="41" spans="2:42" ht="9.9499999999999993" customHeight="1" x14ac:dyDescent="0.25">
      <c r="B41" s="468"/>
      <c r="C41" s="469"/>
      <c r="D41" s="469"/>
      <c r="E41" s="469"/>
      <c r="F41" s="469"/>
      <c r="G41" s="469"/>
      <c r="H41" s="469"/>
      <c r="I41" s="469"/>
      <c r="J41" s="469"/>
      <c r="K41" s="469"/>
      <c r="L41" s="469"/>
      <c r="M41" s="469"/>
      <c r="N41" s="469"/>
      <c r="O41" s="469"/>
      <c r="P41" s="469"/>
      <c r="Q41" s="469"/>
      <c r="R41" s="469"/>
      <c r="S41" s="469"/>
      <c r="T41" s="469"/>
      <c r="U41" s="469"/>
      <c r="V41" s="469"/>
      <c r="W41" s="469"/>
      <c r="X41" s="469"/>
      <c r="Y41" s="469"/>
      <c r="Z41" s="469"/>
      <c r="AA41" s="469"/>
      <c r="AB41" s="469"/>
      <c r="AC41" s="469"/>
      <c r="AD41" s="469"/>
      <c r="AE41" s="469"/>
      <c r="AF41" s="469"/>
      <c r="AG41" s="469"/>
      <c r="AH41" s="469"/>
      <c r="AI41" s="469"/>
      <c r="AJ41" s="469"/>
      <c r="AK41" s="469"/>
      <c r="AL41" s="469"/>
      <c r="AM41" s="469"/>
      <c r="AN41" s="469"/>
      <c r="AO41" s="469"/>
      <c r="AP41" s="470"/>
    </row>
    <row r="42" spans="2:42" ht="9.9499999999999993" customHeight="1" x14ac:dyDescent="0.25">
      <c r="B42" s="468"/>
      <c r="C42" s="469"/>
      <c r="D42" s="469"/>
      <c r="E42" s="469"/>
      <c r="F42" s="469"/>
      <c r="G42" s="469"/>
      <c r="H42" s="469"/>
      <c r="I42" s="469"/>
      <c r="J42" s="469"/>
      <c r="K42" s="469"/>
      <c r="L42" s="469"/>
      <c r="M42" s="469"/>
      <c r="N42" s="469"/>
      <c r="O42" s="469"/>
      <c r="P42" s="469"/>
      <c r="Q42" s="469"/>
      <c r="R42" s="469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  <c r="AC42" s="469"/>
      <c r="AD42" s="469"/>
      <c r="AE42" s="469"/>
      <c r="AF42" s="469"/>
      <c r="AG42" s="469"/>
      <c r="AH42" s="469"/>
      <c r="AI42" s="469"/>
      <c r="AJ42" s="469"/>
      <c r="AK42" s="469"/>
      <c r="AL42" s="469"/>
      <c r="AM42" s="469"/>
      <c r="AN42" s="469"/>
      <c r="AO42" s="469"/>
      <c r="AP42" s="470"/>
    </row>
    <row r="43" spans="2:42" ht="9.9499999999999993" customHeight="1" thickBot="1" x14ac:dyDescent="0.3">
      <c r="B43" s="471"/>
      <c r="C43" s="472"/>
      <c r="D43" s="472"/>
      <c r="E43" s="472"/>
      <c r="F43" s="472"/>
      <c r="G43" s="472"/>
      <c r="H43" s="472"/>
      <c r="I43" s="472"/>
      <c r="J43" s="472"/>
      <c r="K43" s="472"/>
      <c r="L43" s="472"/>
      <c r="M43" s="472"/>
      <c r="N43" s="472"/>
      <c r="O43" s="472"/>
      <c r="P43" s="472"/>
      <c r="Q43" s="472"/>
      <c r="R43" s="472"/>
      <c r="S43" s="472"/>
      <c r="T43" s="472"/>
      <c r="U43" s="472"/>
      <c r="V43" s="472"/>
      <c r="W43" s="472"/>
      <c r="X43" s="472"/>
      <c r="Y43" s="472"/>
      <c r="Z43" s="472"/>
      <c r="AA43" s="472"/>
      <c r="AB43" s="472"/>
      <c r="AC43" s="472"/>
      <c r="AD43" s="472"/>
      <c r="AE43" s="472"/>
      <c r="AF43" s="472"/>
      <c r="AG43" s="472"/>
      <c r="AH43" s="472"/>
      <c r="AI43" s="472"/>
      <c r="AJ43" s="472"/>
      <c r="AK43" s="472"/>
      <c r="AL43" s="472"/>
      <c r="AM43" s="472"/>
      <c r="AN43" s="472"/>
      <c r="AO43" s="472"/>
      <c r="AP43" s="473"/>
    </row>
    <row r="44" spans="2:42" ht="9.9499999999999993" customHeight="1" x14ac:dyDescent="0.25">
      <c r="B44" s="495" t="s">
        <v>86</v>
      </c>
      <c r="C44" s="423"/>
      <c r="D44" s="423"/>
      <c r="E44" s="423"/>
      <c r="F44" s="423"/>
      <c r="G44" s="423"/>
      <c r="H44" s="423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23"/>
      <c r="X44" s="423"/>
      <c r="Y44" s="423"/>
      <c r="Z44" s="423"/>
      <c r="AA44" s="423"/>
      <c r="AB44" s="423"/>
      <c r="AC44" s="423"/>
      <c r="AD44" s="423"/>
      <c r="AE44" s="423"/>
      <c r="AF44" s="423"/>
      <c r="AG44" s="423"/>
      <c r="AH44" s="423"/>
      <c r="AI44" s="423"/>
      <c r="AJ44" s="423"/>
      <c r="AK44" s="423"/>
      <c r="AL44" s="423"/>
      <c r="AM44" s="423"/>
      <c r="AN44" s="423"/>
      <c r="AO44" s="423"/>
      <c r="AP44" s="424"/>
    </row>
    <row r="45" spans="2:42" ht="9.9499999999999993" customHeight="1" x14ac:dyDescent="0.25">
      <c r="B45" s="496"/>
      <c r="C45" s="497"/>
      <c r="D45" s="497"/>
      <c r="E45" s="497"/>
      <c r="F45" s="497"/>
      <c r="G45" s="497"/>
      <c r="H45" s="497"/>
      <c r="I45" s="497"/>
      <c r="J45" s="497"/>
      <c r="K45" s="497"/>
      <c r="L45" s="497"/>
      <c r="M45" s="497"/>
      <c r="N45" s="497"/>
      <c r="O45" s="497"/>
      <c r="P45" s="497"/>
      <c r="Q45" s="497"/>
      <c r="R45" s="497"/>
      <c r="S45" s="497"/>
      <c r="T45" s="497"/>
      <c r="U45" s="497"/>
      <c r="V45" s="497"/>
      <c r="W45" s="497"/>
      <c r="X45" s="497"/>
      <c r="Y45" s="497"/>
      <c r="Z45" s="497"/>
      <c r="AA45" s="497"/>
      <c r="AB45" s="497"/>
      <c r="AC45" s="497"/>
      <c r="AD45" s="497"/>
      <c r="AE45" s="497"/>
      <c r="AF45" s="497"/>
      <c r="AG45" s="497"/>
      <c r="AH45" s="497"/>
      <c r="AI45" s="497"/>
      <c r="AJ45" s="497"/>
      <c r="AK45" s="497"/>
      <c r="AL45" s="497"/>
      <c r="AM45" s="497"/>
      <c r="AN45" s="497"/>
      <c r="AO45" s="497"/>
      <c r="AP45" s="498"/>
    </row>
    <row r="46" spans="2:42" ht="9.9499999999999993" customHeight="1" x14ac:dyDescent="0.25">
      <c r="B46" s="496"/>
      <c r="C46" s="497"/>
      <c r="D46" s="497"/>
      <c r="E46" s="497"/>
      <c r="F46" s="497"/>
      <c r="G46" s="497"/>
      <c r="H46" s="497"/>
      <c r="I46" s="497"/>
      <c r="J46" s="497"/>
      <c r="K46" s="497"/>
      <c r="L46" s="497"/>
      <c r="M46" s="497"/>
      <c r="N46" s="497"/>
      <c r="O46" s="497"/>
      <c r="P46" s="497"/>
      <c r="Q46" s="497"/>
      <c r="R46" s="497"/>
      <c r="S46" s="497"/>
      <c r="T46" s="497"/>
      <c r="U46" s="497"/>
      <c r="V46" s="497"/>
      <c r="W46" s="497"/>
      <c r="X46" s="497"/>
      <c r="Y46" s="497"/>
      <c r="Z46" s="497"/>
      <c r="AA46" s="497"/>
      <c r="AB46" s="497"/>
      <c r="AC46" s="497"/>
      <c r="AD46" s="497"/>
      <c r="AE46" s="497"/>
      <c r="AF46" s="497"/>
      <c r="AG46" s="497"/>
      <c r="AH46" s="497"/>
      <c r="AI46" s="497"/>
      <c r="AJ46" s="497"/>
      <c r="AK46" s="497"/>
      <c r="AL46" s="497"/>
      <c r="AM46" s="497"/>
      <c r="AN46" s="497"/>
      <c r="AO46" s="497"/>
      <c r="AP46" s="498"/>
    </row>
    <row r="47" spans="2:42" ht="9.9499999999999993" customHeight="1" x14ac:dyDescent="0.25">
      <c r="B47" s="496"/>
      <c r="C47" s="497"/>
      <c r="D47" s="497"/>
      <c r="E47" s="497"/>
      <c r="F47" s="497"/>
      <c r="G47" s="497"/>
      <c r="H47" s="497"/>
      <c r="I47" s="497"/>
      <c r="J47" s="497"/>
      <c r="K47" s="497"/>
      <c r="L47" s="497"/>
      <c r="M47" s="497"/>
      <c r="N47" s="497"/>
      <c r="O47" s="497"/>
      <c r="P47" s="497"/>
      <c r="Q47" s="497"/>
      <c r="R47" s="497"/>
      <c r="S47" s="497"/>
      <c r="T47" s="497"/>
      <c r="U47" s="497"/>
      <c r="V47" s="497"/>
      <c r="W47" s="497"/>
      <c r="X47" s="497"/>
      <c r="Y47" s="497"/>
      <c r="Z47" s="497"/>
      <c r="AA47" s="497"/>
      <c r="AB47" s="497"/>
      <c r="AC47" s="497"/>
      <c r="AD47" s="497"/>
      <c r="AE47" s="497"/>
      <c r="AF47" s="497"/>
      <c r="AG47" s="497"/>
      <c r="AH47" s="497"/>
      <c r="AI47" s="497"/>
      <c r="AJ47" s="497"/>
      <c r="AK47" s="497"/>
      <c r="AL47" s="497"/>
      <c r="AM47" s="497"/>
      <c r="AN47" s="497"/>
      <c r="AO47" s="497"/>
      <c r="AP47" s="498"/>
    </row>
    <row r="48" spans="2:42" ht="9.9499999999999993" customHeight="1" thickBot="1" x14ac:dyDescent="0.3">
      <c r="B48" s="496"/>
      <c r="C48" s="497"/>
      <c r="D48" s="497"/>
      <c r="E48" s="497"/>
      <c r="F48" s="497"/>
      <c r="G48" s="497"/>
      <c r="H48" s="497"/>
      <c r="I48" s="497"/>
      <c r="J48" s="497"/>
      <c r="K48" s="497"/>
      <c r="L48" s="497"/>
      <c r="M48" s="497"/>
      <c r="N48" s="497"/>
      <c r="O48" s="497"/>
      <c r="P48" s="497"/>
      <c r="Q48" s="497"/>
      <c r="R48" s="497"/>
      <c r="S48" s="497"/>
      <c r="T48" s="497"/>
      <c r="U48" s="497"/>
      <c r="V48" s="497"/>
      <c r="W48" s="497"/>
      <c r="X48" s="497"/>
      <c r="Y48" s="497"/>
      <c r="Z48" s="497"/>
      <c r="AA48" s="497"/>
      <c r="AB48" s="497"/>
      <c r="AC48" s="497"/>
      <c r="AD48" s="497"/>
      <c r="AE48" s="497"/>
      <c r="AF48" s="497"/>
      <c r="AG48" s="497"/>
      <c r="AH48" s="497"/>
      <c r="AI48" s="497"/>
      <c r="AJ48" s="497"/>
      <c r="AK48" s="497"/>
      <c r="AL48" s="497"/>
      <c r="AM48" s="497"/>
      <c r="AN48" s="497"/>
      <c r="AO48" s="497"/>
      <c r="AP48" s="498"/>
    </row>
    <row r="49" spans="2:42" ht="9.9499999999999993" customHeight="1" x14ac:dyDescent="0.25">
      <c r="B49" s="495" t="s">
        <v>87</v>
      </c>
      <c r="C49" s="423"/>
      <c r="D49" s="423"/>
      <c r="E49" s="423"/>
      <c r="F49" s="423"/>
      <c r="G49" s="423"/>
      <c r="H49" s="4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423"/>
      <c r="AH49" s="423"/>
      <c r="AI49" s="423"/>
      <c r="AJ49" s="423"/>
      <c r="AK49" s="423"/>
      <c r="AL49" s="423"/>
      <c r="AM49" s="423"/>
      <c r="AN49" s="423"/>
      <c r="AO49" s="423"/>
      <c r="AP49" s="424"/>
    </row>
    <row r="50" spans="2:42" ht="12" customHeight="1" x14ac:dyDescent="0.25">
      <c r="B50" s="462" t="s">
        <v>88</v>
      </c>
      <c r="C50" s="463"/>
      <c r="D50" s="463"/>
      <c r="E50" s="463"/>
      <c r="F50" s="463"/>
      <c r="G50" s="463"/>
      <c r="H50" s="463"/>
      <c r="I50" s="463"/>
      <c r="J50" s="463"/>
      <c r="K50" s="463"/>
      <c r="L50" s="463"/>
      <c r="M50" s="463"/>
      <c r="N50" s="463"/>
      <c r="O50" s="463"/>
      <c r="P50" s="463"/>
      <c r="Q50" s="463"/>
      <c r="R50" s="463"/>
      <c r="S50" s="463"/>
      <c r="T50" s="463"/>
      <c r="U50" s="463"/>
      <c r="V50" s="463"/>
      <c r="W50" s="463"/>
      <c r="X50" s="463"/>
      <c r="Y50" s="463"/>
      <c r="Z50" s="463"/>
      <c r="AA50" s="463"/>
      <c r="AB50" s="463"/>
      <c r="AC50" s="463"/>
      <c r="AD50" s="463"/>
      <c r="AE50" s="463"/>
      <c r="AF50" s="463"/>
      <c r="AG50" s="463"/>
      <c r="AH50" s="463"/>
      <c r="AI50" s="463"/>
      <c r="AJ50" s="463"/>
      <c r="AK50" s="463"/>
      <c r="AL50" s="463"/>
      <c r="AM50" s="463"/>
      <c r="AN50" s="463"/>
      <c r="AO50" s="463"/>
      <c r="AP50" s="464"/>
    </row>
    <row r="51" spans="2:42" ht="18.600000000000001" customHeight="1" x14ac:dyDescent="0.25">
      <c r="B51" s="499"/>
      <c r="C51" s="500"/>
      <c r="D51" s="500"/>
      <c r="E51" s="500"/>
      <c r="F51" s="500"/>
      <c r="G51" s="500"/>
      <c r="H51" s="500"/>
      <c r="I51" s="500"/>
      <c r="J51" s="500"/>
      <c r="K51" s="500"/>
      <c r="L51" s="500"/>
      <c r="M51" s="500"/>
      <c r="N51" s="500"/>
      <c r="O51" s="500"/>
      <c r="P51" s="500"/>
      <c r="Q51" s="500"/>
      <c r="R51" s="500"/>
      <c r="S51" s="500"/>
      <c r="T51" s="500"/>
      <c r="U51" s="500"/>
      <c r="V51" s="500"/>
      <c r="W51" s="500"/>
      <c r="X51" s="500"/>
      <c r="Y51" s="500"/>
      <c r="Z51" s="500"/>
      <c r="AA51" s="500"/>
      <c r="AB51" s="500"/>
      <c r="AC51" s="500"/>
      <c r="AD51" s="500"/>
      <c r="AE51" s="500"/>
      <c r="AF51" s="500"/>
      <c r="AG51" s="500"/>
      <c r="AH51" s="500"/>
      <c r="AI51" s="500"/>
      <c r="AJ51" s="500"/>
      <c r="AK51" s="500"/>
      <c r="AL51" s="500"/>
      <c r="AM51" s="500"/>
      <c r="AN51" s="500"/>
      <c r="AO51" s="500"/>
      <c r="AP51" s="501"/>
    </row>
    <row r="52" spans="2:42" ht="12" customHeight="1" x14ac:dyDescent="0.25">
      <c r="B52" s="462" t="s">
        <v>89</v>
      </c>
      <c r="C52" s="463"/>
      <c r="D52" s="463"/>
      <c r="E52" s="463"/>
      <c r="F52" s="463"/>
      <c r="G52" s="463"/>
      <c r="H52" s="463"/>
      <c r="I52" s="463"/>
      <c r="J52" s="463"/>
      <c r="K52" s="463"/>
      <c r="L52" s="463"/>
      <c r="M52" s="463"/>
      <c r="N52" s="463"/>
      <c r="O52" s="463"/>
      <c r="P52" s="463"/>
      <c r="Q52" s="463"/>
      <c r="R52" s="463"/>
      <c r="S52" s="463"/>
      <c r="T52" s="463"/>
      <c r="U52" s="463"/>
      <c r="V52" s="463"/>
      <c r="W52" s="463"/>
      <c r="X52" s="463"/>
      <c r="Y52" s="463"/>
      <c r="Z52" s="463"/>
      <c r="AA52" s="463"/>
      <c r="AB52" s="463"/>
      <c r="AC52" s="463"/>
      <c r="AD52" s="463"/>
      <c r="AE52" s="463"/>
      <c r="AF52" s="463"/>
      <c r="AG52" s="463"/>
      <c r="AH52" s="463"/>
      <c r="AI52" s="463"/>
      <c r="AJ52" s="463"/>
      <c r="AK52" s="463"/>
      <c r="AL52" s="463"/>
      <c r="AM52" s="463"/>
      <c r="AN52" s="463"/>
      <c r="AO52" s="463"/>
      <c r="AP52" s="464"/>
    </row>
    <row r="53" spans="2:42" ht="12" customHeight="1" thickBot="1" x14ac:dyDescent="0.3">
      <c r="B53" s="520"/>
      <c r="C53" s="521"/>
      <c r="D53" s="521"/>
      <c r="E53" s="521"/>
      <c r="F53" s="521"/>
      <c r="G53" s="521"/>
      <c r="H53" s="521"/>
      <c r="I53" s="521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  <c r="W53" s="521"/>
      <c r="X53" s="521"/>
      <c r="Y53" s="521"/>
      <c r="Z53" s="521"/>
      <c r="AA53" s="521"/>
      <c r="AB53" s="521"/>
      <c r="AC53" s="521"/>
      <c r="AD53" s="521"/>
      <c r="AE53" s="521"/>
      <c r="AF53" s="521"/>
      <c r="AG53" s="521"/>
      <c r="AH53" s="521"/>
      <c r="AI53" s="521"/>
      <c r="AJ53" s="521"/>
      <c r="AK53" s="521"/>
      <c r="AL53" s="521"/>
      <c r="AM53" s="521"/>
      <c r="AN53" s="521"/>
      <c r="AO53" s="521"/>
      <c r="AP53" s="522"/>
    </row>
    <row r="54" spans="2:42" ht="12.75" customHeight="1" x14ac:dyDescent="0.25">
      <c r="B54" s="335" t="s">
        <v>2461</v>
      </c>
      <c r="C54" s="336"/>
      <c r="D54" s="336"/>
      <c r="E54" s="336"/>
      <c r="F54" s="336"/>
      <c r="G54" s="336"/>
      <c r="H54" s="336"/>
      <c r="I54" s="336"/>
      <c r="J54" s="336"/>
      <c r="K54" s="336"/>
      <c r="L54" s="336"/>
      <c r="M54" s="336"/>
      <c r="N54" s="336"/>
      <c r="O54" s="336"/>
      <c r="P54" s="336"/>
      <c r="Q54" s="336"/>
      <c r="R54" s="336"/>
      <c r="S54" s="336"/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7"/>
    </row>
    <row r="55" spans="2:42" ht="25.15" customHeight="1" thickBot="1" x14ac:dyDescent="0.3">
      <c r="B55" s="338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  <c r="AD55" s="339"/>
      <c r="AE55" s="339"/>
      <c r="AF55" s="339"/>
      <c r="AG55" s="339"/>
      <c r="AH55" s="339"/>
      <c r="AI55" s="339"/>
      <c r="AJ55" s="339"/>
      <c r="AK55" s="339"/>
      <c r="AL55" s="339"/>
      <c r="AM55" s="339"/>
      <c r="AN55" s="339"/>
      <c r="AO55" s="339"/>
      <c r="AP55" s="340"/>
    </row>
    <row r="56" spans="2:42" ht="11.45" customHeight="1" x14ac:dyDescent="0.25">
      <c r="B56" s="379" t="s">
        <v>90</v>
      </c>
      <c r="C56" s="380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80"/>
      <c r="AN56" s="380"/>
      <c r="AO56" s="380"/>
      <c r="AP56" s="381"/>
    </row>
    <row r="57" spans="2:42" ht="196.5" customHeight="1" thickBot="1" x14ac:dyDescent="0.3">
      <c r="B57" s="382" t="s">
        <v>2557</v>
      </c>
      <c r="C57" s="383"/>
      <c r="D57" s="383"/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3"/>
      <c r="X57" s="383"/>
      <c r="Y57" s="383"/>
      <c r="Z57" s="383"/>
      <c r="AA57" s="383"/>
      <c r="AB57" s="383"/>
      <c r="AC57" s="383"/>
      <c r="AD57" s="383"/>
      <c r="AE57" s="383"/>
      <c r="AF57" s="383"/>
      <c r="AG57" s="383"/>
      <c r="AH57" s="383"/>
      <c r="AI57" s="383"/>
      <c r="AJ57" s="383"/>
      <c r="AK57" s="383"/>
      <c r="AL57" s="383"/>
      <c r="AM57" s="383"/>
      <c r="AN57" s="383"/>
      <c r="AO57" s="383"/>
      <c r="AP57" s="384"/>
    </row>
    <row r="58" spans="2:42" ht="9.6" customHeight="1" x14ac:dyDescent="0.25">
      <c r="B58" s="385" t="s">
        <v>91</v>
      </c>
      <c r="C58" s="386"/>
      <c r="D58" s="386"/>
      <c r="E58" s="386"/>
      <c r="F58" s="386"/>
      <c r="G58" s="386"/>
      <c r="H58" s="386"/>
      <c r="I58" s="386"/>
      <c r="J58" s="386"/>
      <c r="K58" s="386"/>
      <c r="L58" s="386"/>
      <c r="M58" s="386"/>
      <c r="N58" s="386"/>
      <c r="O58" s="386"/>
      <c r="P58" s="386"/>
      <c r="Q58" s="386"/>
      <c r="R58" s="386"/>
      <c r="S58" s="386"/>
      <c r="T58" s="386"/>
      <c r="U58" s="386"/>
      <c r="V58" s="386"/>
      <c r="W58" s="386"/>
      <c r="X58" s="386"/>
      <c r="Y58" s="386"/>
      <c r="Z58" s="386"/>
      <c r="AA58" s="386"/>
      <c r="AB58" s="386"/>
      <c r="AC58" s="386"/>
      <c r="AD58" s="386"/>
      <c r="AE58" s="386"/>
      <c r="AF58" s="386"/>
      <c r="AG58" s="386"/>
      <c r="AH58" s="386"/>
      <c r="AI58" s="386"/>
      <c r="AJ58" s="386"/>
      <c r="AK58" s="386"/>
      <c r="AL58" s="386"/>
      <c r="AM58" s="386"/>
      <c r="AN58" s="386"/>
      <c r="AO58" s="386"/>
      <c r="AP58" s="387"/>
    </row>
    <row r="59" spans="2:42" ht="71.25" customHeight="1" thickBot="1" x14ac:dyDescent="0.3">
      <c r="B59" s="388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90"/>
    </row>
    <row r="60" spans="2:42" ht="12" customHeight="1" x14ac:dyDescent="0.25">
      <c r="B60" s="249"/>
      <c r="C60" s="261"/>
      <c r="D60" s="261"/>
      <c r="E60" s="261"/>
      <c r="F60" s="261"/>
      <c r="G60" s="261"/>
      <c r="H60" s="261"/>
      <c r="I60" s="261"/>
      <c r="J60" s="261"/>
      <c r="K60" s="261"/>
      <c r="L60" s="261"/>
      <c r="M60" s="261"/>
      <c r="N60" s="261"/>
      <c r="O60" s="261"/>
      <c r="P60" s="261"/>
      <c r="Q60" s="261"/>
      <c r="R60" s="261"/>
      <c r="S60" s="261"/>
      <c r="T60" s="261"/>
      <c r="U60" s="261"/>
      <c r="V60" s="261"/>
      <c r="W60" s="261"/>
      <c r="X60" s="261"/>
      <c r="Y60" s="261"/>
      <c r="Z60" s="261"/>
      <c r="AA60" s="261"/>
      <c r="AB60" s="261"/>
      <c r="AC60" s="261"/>
      <c r="AD60" s="261"/>
      <c r="AE60" s="261"/>
      <c r="AF60" s="261"/>
      <c r="AG60" s="261"/>
      <c r="AH60" s="261"/>
      <c r="AI60" s="261"/>
      <c r="AJ60" s="261"/>
      <c r="AK60" s="261"/>
      <c r="AL60" s="261"/>
      <c r="AM60" s="261"/>
      <c r="AN60" s="261"/>
      <c r="AO60" s="261"/>
      <c r="AP60" s="253"/>
    </row>
    <row r="61" spans="2:42" ht="12" customHeight="1" x14ac:dyDescent="0.25">
      <c r="B61" s="249"/>
      <c r="C61" s="346" t="s">
        <v>92</v>
      </c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261"/>
      <c r="W61" s="341" t="s">
        <v>93</v>
      </c>
      <c r="X61" s="341"/>
      <c r="Y61" s="341"/>
      <c r="Z61" s="341"/>
      <c r="AA61" s="341"/>
      <c r="AB61" s="341"/>
      <c r="AC61" s="341"/>
      <c r="AD61" s="341"/>
      <c r="AE61" s="341"/>
      <c r="AF61" s="341"/>
      <c r="AG61" s="341"/>
      <c r="AH61" s="341"/>
      <c r="AI61" s="341"/>
      <c r="AJ61" s="341"/>
      <c r="AK61" s="341"/>
      <c r="AL61" s="341"/>
      <c r="AM61" s="341"/>
      <c r="AN61" s="341"/>
      <c r="AO61" s="341"/>
      <c r="AP61" s="253"/>
    </row>
    <row r="62" spans="2:42" ht="9.9499999999999993" customHeight="1" x14ac:dyDescent="0.25">
      <c r="B62" s="342"/>
      <c r="C62" s="370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2"/>
      <c r="V62" s="365"/>
      <c r="W62" s="330"/>
      <c r="X62" s="331"/>
      <c r="Y62" s="331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  <c r="AM62" s="331"/>
      <c r="AN62" s="331"/>
      <c r="AO62" s="331"/>
      <c r="AP62" s="332"/>
    </row>
    <row r="63" spans="2:42" ht="9.9499999999999993" customHeight="1" x14ac:dyDescent="0.25">
      <c r="B63" s="342"/>
      <c r="C63" s="373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5"/>
      <c r="V63" s="365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331"/>
      <c r="AO63" s="331"/>
      <c r="AP63" s="332"/>
    </row>
    <row r="64" spans="2:42" ht="9.9499999999999993" customHeight="1" x14ac:dyDescent="0.25">
      <c r="B64" s="342"/>
      <c r="C64" s="373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5"/>
      <c r="V64" s="365"/>
      <c r="W64" s="331"/>
      <c r="X64" s="331"/>
      <c r="Y64" s="331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  <c r="AM64" s="331"/>
      <c r="AN64" s="331"/>
      <c r="AO64" s="331"/>
      <c r="AP64" s="332"/>
    </row>
    <row r="65" spans="2:42" ht="9.9499999999999993" customHeight="1" x14ac:dyDescent="0.25">
      <c r="B65" s="342"/>
      <c r="C65" s="373"/>
      <c r="D65" s="374"/>
      <c r="E65" s="374"/>
      <c r="F65" s="374"/>
      <c r="G65" s="374"/>
      <c r="H65" s="374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5"/>
      <c r="V65" s="365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2"/>
    </row>
    <row r="66" spans="2:42" ht="9.9499999999999993" customHeight="1" x14ac:dyDescent="0.25">
      <c r="B66" s="342"/>
      <c r="C66" s="373"/>
      <c r="D66" s="374"/>
      <c r="E66" s="374"/>
      <c r="F66" s="374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5"/>
      <c r="V66" s="365"/>
      <c r="W66" s="331"/>
      <c r="X66" s="331"/>
      <c r="Y66" s="331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  <c r="AM66" s="331"/>
      <c r="AN66" s="331"/>
      <c r="AO66" s="331"/>
      <c r="AP66" s="332"/>
    </row>
    <row r="67" spans="2:42" ht="9.9499999999999993" customHeight="1" x14ac:dyDescent="0.25">
      <c r="B67" s="342"/>
      <c r="C67" s="373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5"/>
      <c r="V67" s="365"/>
      <c r="W67" s="331"/>
      <c r="X67" s="331"/>
      <c r="Y67" s="331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  <c r="AM67" s="331"/>
      <c r="AN67" s="331"/>
      <c r="AO67" s="331"/>
      <c r="AP67" s="332"/>
    </row>
    <row r="68" spans="2:42" ht="9.9499999999999993" customHeight="1" x14ac:dyDescent="0.25">
      <c r="B68" s="342"/>
      <c r="C68" s="373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5"/>
      <c r="V68" s="365"/>
      <c r="W68" s="331"/>
      <c r="X68" s="331"/>
      <c r="Y68" s="331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  <c r="AM68" s="331"/>
      <c r="AN68" s="331"/>
      <c r="AO68" s="331"/>
      <c r="AP68" s="332"/>
    </row>
    <row r="69" spans="2:42" ht="9.9499999999999993" customHeight="1" x14ac:dyDescent="0.25">
      <c r="B69" s="342"/>
      <c r="C69" s="373"/>
      <c r="D69" s="374"/>
      <c r="E69" s="374"/>
      <c r="F69" s="374"/>
      <c r="G69" s="374"/>
      <c r="H69" s="374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5"/>
      <c r="V69" s="365"/>
      <c r="W69" s="331"/>
      <c r="X69" s="331"/>
      <c r="Y69" s="331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  <c r="AM69" s="331"/>
      <c r="AN69" s="331"/>
      <c r="AO69" s="331"/>
      <c r="AP69" s="332"/>
    </row>
    <row r="70" spans="2:42" ht="9.9499999999999993" customHeight="1" x14ac:dyDescent="0.25">
      <c r="B70" s="342"/>
      <c r="C70" s="373"/>
      <c r="D70" s="374"/>
      <c r="E70" s="374"/>
      <c r="F70" s="374"/>
      <c r="G70" s="374"/>
      <c r="H70" s="374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5"/>
      <c r="V70" s="365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2"/>
    </row>
    <row r="71" spans="2:42" ht="9.9499999999999993" customHeight="1" x14ac:dyDescent="0.25">
      <c r="B71" s="342"/>
      <c r="C71" s="373"/>
      <c r="D71" s="374"/>
      <c r="E71" s="374"/>
      <c r="F71" s="374"/>
      <c r="G71" s="374"/>
      <c r="H71" s="374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5"/>
      <c r="V71" s="365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1"/>
      <c r="AP71" s="332"/>
    </row>
    <row r="72" spans="2:42" ht="9.9499999999999993" customHeight="1" x14ac:dyDescent="0.25">
      <c r="B72" s="342"/>
      <c r="C72" s="373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5"/>
      <c r="V72" s="365"/>
      <c r="W72" s="331"/>
      <c r="X72" s="331"/>
      <c r="Y72" s="331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  <c r="AM72" s="331"/>
      <c r="AN72" s="331"/>
      <c r="AO72" s="331"/>
      <c r="AP72" s="332"/>
    </row>
    <row r="73" spans="2:42" ht="9.9499999999999993" customHeight="1" x14ac:dyDescent="0.25">
      <c r="B73" s="342"/>
      <c r="C73" s="373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5"/>
      <c r="V73" s="365"/>
      <c r="W73" s="331"/>
      <c r="X73" s="331"/>
      <c r="Y73" s="331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  <c r="AM73" s="331"/>
      <c r="AN73" s="331"/>
      <c r="AO73" s="331"/>
      <c r="AP73" s="332"/>
    </row>
    <row r="74" spans="2:42" ht="9.9499999999999993" customHeight="1" x14ac:dyDescent="0.25">
      <c r="B74" s="342"/>
      <c r="C74" s="376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8"/>
      <c r="V74" s="365"/>
      <c r="W74" s="331"/>
      <c r="X74" s="331"/>
      <c r="Y74" s="331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  <c r="AM74" s="331"/>
      <c r="AN74" s="331"/>
      <c r="AO74" s="331"/>
      <c r="AP74" s="332"/>
    </row>
    <row r="75" spans="2:42" ht="9.9499999999999993" customHeight="1" x14ac:dyDescent="0.25">
      <c r="B75" s="342"/>
      <c r="C75" s="398" t="s">
        <v>2471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8"/>
      <c r="P75" s="398"/>
      <c r="Q75" s="398"/>
      <c r="R75" s="398"/>
      <c r="S75" s="398"/>
      <c r="T75" s="398"/>
      <c r="U75" s="398"/>
      <c r="V75" s="365"/>
      <c r="W75" s="331" t="s">
        <v>2555</v>
      </c>
      <c r="X75" s="331"/>
      <c r="Y75" s="331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  <c r="AM75" s="331"/>
      <c r="AN75" s="331"/>
      <c r="AO75" s="331"/>
      <c r="AP75" s="332"/>
    </row>
    <row r="76" spans="2:42" ht="9.9499999999999993" customHeight="1" x14ac:dyDescent="0.25">
      <c r="B76" s="249"/>
      <c r="C76" s="261"/>
      <c r="D76" s="261"/>
      <c r="E76" s="261"/>
      <c r="F76" s="261"/>
      <c r="G76" s="261"/>
      <c r="H76" s="261"/>
      <c r="I76" s="261"/>
      <c r="J76" s="261"/>
      <c r="K76" s="261"/>
      <c r="L76" s="261"/>
      <c r="M76" s="261"/>
      <c r="N76" s="261"/>
      <c r="O76" s="261"/>
      <c r="P76" s="261"/>
      <c r="Q76" s="261"/>
      <c r="R76" s="261"/>
      <c r="S76" s="261"/>
      <c r="T76" s="261"/>
      <c r="U76" s="261"/>
      <c r="V76" s="261"/>
      <c r="W76" s="261"/>
      <c r="X76" s="261"/>
      <c r="Y76" s="261"/>
      <c r="Z76" s="261"/>
      <c r="AA76" s="261"/>
      <c r="AB76" s="261"/>
      <c r="AC76" s="261"/>
      <c r="AD76" s="261"/>
      <c r="AE76" s="261"/>
      <c r="AF76" s="261"/>
      <c r="AG76" s="261"/>
      <c r="AH76" s="261"/>
      <c r="AI76" s="261"/>
      <c r="AJ76" s="261"/>
      <c r="AK76" s="261"/>
      <c r="AL76" s="261"/>
      <c r="AM76" s="261"/>
      <c r="AN76" s="261"/>
      <c r="AO76" s="261"/>
      <c r="AP76" s="253"/>
    </row>
    <row r="77" spans="2:42" ht="9.9499999999999993" hidden="1" customHeight="1" x14ac:dyDescent="0.25">
      <c r="B77" s="249"/>
      <c r="C77" s="346" t="s">
        <v>2511</v>
      </c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261"/>
      <c r="W77" s="346" t="s">
        <v>94</v>
      </c>
      <c r="X77" s="346"/>
      <c r="Y77" s="346"/>
      <c r="Z77" s="346"/>
      <c r="AA77" s="346"/>
      <c r="AB77" s="346"/>
      <c r="AC77" s="346"/>
      <c r="AD77" s="346"/>
      <c r="AE77" s="346"/>
      <c r="AF77" s="346"/>
      <c r="AG77" s="346"/>
      <c r="AH77" s="346"/>
      <c r="AI77" s="346"/>
      <c r="AJ77" s="346"/>
      <c r="AK77" s="346"/>
      <c r="AL77" s="346"/>
      <c r="AM77" s="346"/>
      <c r="AN77" s="346"/>
      <c r="AO77" s="346"/>
      <c r="AP77" s="253"/>
    </row>
    <row r="78" spans="2:42" ht="9.9499999999999993" hidden="1" customHeight="1" x14ac:dyDescent="0.25">
      <c r="B78" s="342"/>
      <c r="C78" s="370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2"/>
      <c r="V78" s="365"/>
      <c r="W78" s="370"/>
      <c r="X78" s="371"/>
      <c r="Y78" s="371"/>
      <c r="Z78" s="371"/>
      <c r="AA78" s="371"/>
      <c r="AB78" s="371"/>
      <c r="AC78" s="371"/>
      <c r="AD78" s="371"/>
      <c r="AE78" s="371"/>
      <c r="AF78" s="371"/>
      <c r="AG78" s="371"/>
      <c r="AH78" s="371"/>
      <c r="AI78" s="371"/>
      <c r="AJ78" s="371"/>
      <c r="AK78" s="371"/>
      <c r="AL78" s="371"/>
      <c r="AM78" s="371"/>
      <c r="AN78" s="371"/>
      <c r="AO78" s="372"/>
      <c r="AP78" s="332"/>
    </row>
    <row r="79" spans="2:42" ht="9.9499999999999993" hidden="1" customHeight="1" x14ac:dyDescent="0.25">
      <c r="B79" s="342"/>
      <c r="C79" s="373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5"/>
      <c r="V79" s="365"/>
      <c r="W79" s="373"/>
      <c r="X79" s="374"/>
      <c r="Y79" s="374"/>
      <c r="Z79" s="374"/>
      <c r="AA79" s="374"/>
      <c r="AB79" s="374"/>
      <c r="AC79" s="374"/>
      <c r="AD79" s="374"/>
      <c r="AE79" s="374"/>
      <c r="AF79" s="374"/>
      <c r="AG79" s="374"/>
      <c r="AH79" s="374"/>
      <c r="AI79" s="374"/>
      <c r="AJ79" s="374"/>
      <c r="AK79" s="374"/>
      <c r="AL79" s="374"/>
      <c r="AM79" s="374"/>
      <c r="AN79" s="374"/>
      <c r="AO79" s="375"/>
      <c r="AP79" s="332"/>
    </row>
    <row r="80" spans="2:42" ht="9.9499999999999993" hidden="1" customHeight="1" x14ac:dyDescent="0.25">
      <c r="B80" s="342"/>
      <c r="C80" s="373"/>
      <c r="D80" s="374"/>
      <c r="E80" s="374"/>
      <c r="F80" s="374"/>
      <c r="G80" s="374"/>
      <c r="H80" s="374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5"/>
      <c r="V80" s="365"/>
      <c r="W80" s="373"/>
      <c r="X80" s="374"/>
      <c r="Y80" s="374"/>
      <c r="Z80" s="374"/>
      <c r="AA80" s="374"/>
      <c r="AB80" s="374"/>
      <c r="AC80" s="374"/>
      <c r="AD80" s="374"/>
      <c r="AE80" s="374"/>
      <c r="AF80" s="374"/>
      <c r="AG80" s="374"/>
      <c r="AH80" s="374"/>
      <c r="AI80" s="374"/>
      <c r="AJ80" s="374"/>
      <c r="AK80" s="374"/>
      <c r="AL80" s="374"/>
      <c r="AM80" s="374"/>
      <c r="AN80" s="374"/>
      <c r="AO80" s="375"/>
      <c r="AP80" s="332"/>
    </row>
    <row r="81" spans="2:42" ht="9.9499999999999993" hidden="1" customHeight="1" x14ac:dyDescent="0.25">
      <c r="B81" s="342"/>
      <c r="C81" s="373"/>
      <c r="D81" s="374"/>
      <c r="E81" s="374"/>
      <c r="F81" s="374"/>
      <c r="G81" s="374"/>
      <c r="H81" s="374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5"/>
      <c r="V81" s="365"/>
      <c r="W81" s="373"/>
      <c r="X81" s="374"/>
      <c r="Y81" s="374"/>
      <c r="Z81" s="374"/>
      <c r="AA81" s="374"/>
      <c r="AB81" s="374"/>
      <c r="AC81" s="374"/>
      <c r="AD81" s="374"/>
      <c r="AE81" s="374"/>
      <c r="AF81" s="374"/>
      <c r="AG81" s="374"/>
      <c r="AH81" s="374"/>
      <c r="AI81" s="374"/>
      <c r="AJ81" s="374"/>
      <c r="AK81" s="374"/>
      <c r="AL81" s="374"/>
      <c r="AM81" s="374"/>
      <c r="AN81" s="374"/>
      <c r="AO81" s="375"/>
      <c r="AP81" s="332"/>
    </row>
    <row r="82" spans="2:42" ht="9.9499999999999993" hidden="1" customHeight="1" x14ac:dyDescent="0.25">
      <c r="B82" s="342"/>
      <c r="C82" s="373"/>
      <c r="D82" s="374"/>
      <c r="E82" s="374"/>
      <c r="F82" s="374"/>
      <c r="G82" s="374"/>
      <c r="H82" s="374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5"/>
      <c r="V82" s="365"/>
      <c r="W82" s="373"/>
      <c r="X82" s="374"/>
      <c r="Y82" s="374"/>
      <c r="Z82" s="374"/>
      <c r="AA82" s="374"/>
      <c r="AB82" s="374"/>
      <c r="AC82" s="374"/>
      <c r="AD82" s="374"/>
      <c r="AE82" s="374"/>
      <c r="AF82" s="374"/>
      <c r="AG82" s="374"/>
      <c r="AH82" s="374"/>
      <c r="AI82" s="374"/>
      <c r="AJ82" s="374"/>
      <c r="AK82" s="374"/>
      <c r="AL82" s="374"/>
      <c r="AM82" s="374"/>
      <c r="AN82" s="374"/>
      <c r="AO82" s="375"/>
      <c r="AP82" s="332"/>
    </row>
    <row r="83" spans="2:42" ht="9.9499999999999993" hidden="1" customHeight="1" x14ac:dyDescent="0.25">
      <c r="B83" s="342"/>
      <c r="C83" s="373"/>
      <c r="D83" s="374"/>
      <c r="E83" s="374"/>
      <c r="F83" s="374"/>
      <c r="G83" s="374"/>
      <c r="H83" s="374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5"/>
      <c r="V83" s="365"/>
      <c r="W83" s="373"/>
      <c r="X83" s="374"/>
      <c r="Y83" s="374"/>
      <c r="Z83" s="374"/>
      <c r="AA83" s="374"/>
      <c r="AB83" s="374"/>
      <c r="AC83" s="374"/>
      <c r="AD83" s="374"/>
      <c r="AE83" s="374"/>
      <c r="AF83" s="374"/>
      <c r="AG83" s="374"/>
      <c r="AH83" s="374"/>
      <c r="AI83" s="374"/>
      <c r="AJ83" s="374"/>
      <c r="AK83" s="374"/>
      <c r="AL83" s="374"/>
      <c r="AM83" s="374"/>
      <c r="AN83" s="374"/>
      <c r="AO83" s="375"/>
      <c r="AP83" s="332"/>
    </row>
    <row r="84" spans="2:42" ht="9.9499999999999993" hidden="1" customHeight="1" x14ac:dyDescent="0.25">
      <c r="B84" s="342"/>
      <c r="C84" s="373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5"/>
      <c r="V84" s="365"/>
      <c r="W84" s="373"/>
      <c r="X84" s="374"/>
      <c r="Y84" s="374"/>
      <c r="Z84" s="374"/>
      <c r="AA84" s="374"/>
      <c r="AB84" s="374"/>
      <c r="AC84" s="374"/>
      <c r="AD84" s="374"/>
      <c r="AE84" s="374"/>
      <c r="AF84" s="374"/>
      <c r="AG84" s="374"/>
      <c r="AH84" s="374"/>
      <c r="AI84" s="374"/>
      <c r="AJ84" s="374"/>
      <c r="AK84" s="374"/>
      <c r="AL84" s="374"/>
      <c r="AM84" s="374"/>
      <c r="AN84" s="374"/>
      <c r="AO84" s="375"/>
      <c r="AP84" s="332"/>
    </row>
    <row r="85" spans="2:42" ht="9.9499999999999993" hidden="1" customHeight="1" x14ac:dyDescent="0.25">
      <c r="B85" s="342"/>
      <c r="C85" s="373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5"/>
      <c r="V85" s="365"/>
      <c r="W85" s="373"/>
      <c r="X85" s="374"/>
      <c r="Y85" s="374"/>
      <c r="Z85" s="374"/>
      <c r="AA85" s="374"/>
      <c r="AB85" s="374"/>
      <c r="AC85" s="374"/>
      <c r="AD85" s="374"/>
      <c r="AE85" s="374"/>
      <c r="AF85" s="374"/>
      <c r="AG85" s="374"/>
      <c r="AH85" s="374"/>
      <c r="AI85" s="374"/>
      <c r="AJ85" s="374"/>
      <c r="AK85" s="374"/>
      <c r="AL85" s="374"/>
      <c r="AM85" s="374"/>
      <c r="AN85" s="374"/>
      <c r="AO85" s="375"/>
      <c r="AP85" s="332"/>
    </row>
    <row r="86" spans="2:42" ht="9.9499999999999993" hidden="1" customHeight="1" x14ac:dyDescent="0.25">
      <c r="B86" s="342"/>
      <c r="C86" s="373"/>
      <c r="D86" s="374"/>
      <c r="E86" s="374"/>
      <c r="F86" s="374"/>
      <c r="G86" s="374"/>
      <c r="H86" s="374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5"/>
      <c r="V86" s="365"/>
      <c r="W86" s="373"/>
      <c r="X86" s="374"/>
      <c r="Y86" s="374"/>
      <c r="Z86" s="374"/>
      <c r="AA86" s="374"/>
      <c r="AB86" s="374"/>
      <c r="AC86" s="374"/>
      <c r="AD86" s="374"/>
      <c r="AE86" s="374"/>
      <c r="AF86" s="374"/>
      <c r="AG86" s="374"/>
      <c r="AH86" s="374"/>
      <c r="AI86" s="374"/>
      <c r="AJ86" s="374"/>
      <c r="AK86" s="374"/>
      <c r="AL86" s="374"/>
      <c r="AM86" s="374"/>
      <c r="AN86" s="374"/>
      <c r="AO86" s="375"/>
      <c r="AP86" s="332"/>
    </row>
    <row r="87" spans="2:42" ht="9.9499999999999993" hidden="1" customHeight="1" x14ac:dyDescent="0.25">
      <c r="B87" s="342"/>
      <c r="C87" s="373"/>
      <c r="D87" s="374"/>
      <c r="E87" s="374"/>
      <c r="F87" s="374"/>
      <c r="G87" s="374"/>
      <c r="H87" s="374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5"/>
      <c r="V87" s="365"/>
      <c r="W87" s="373"/>
      <c r="X87" s="374"/>
      <c r="Y87" s="374"/>
      <c r="Z87" s="374"/>
      <c r="AA87" s="374"/>
      <c r="AB87" s="374"/>
      <c r="AC87" s="374"/>
      <c r="AD87" s="374"/>
      <c r="AE87" s="374"/>
      <c r="AF87" s="374"/>
      <c r="AG87" s="374"/>
      <c r="AH87" s="374"/>
      <c r="AI87" s="374"/>
      <c r="AJ87" s="374"/>
      <c r="AK87" s="374"/>
      <c r="AL87" s="374"/>
      <c r="AM87" s="374"/>
      <c r="AN87" s="374"/>
      <c r="AO87" s="375"/>
      <c r="AP87" s="332"/>
    </row>
    <row r="88" spans="2:42" ht="9.9499999999999993" hidden="1" customHeight="1" x14ac:dyDescent="0.25">
      <c r="B88" s="342"/>
      <c r="C88" s="373"/>
      <c r="D88" s="374"/>
      <c r="E88" s="374"/>
      <c r="F88" s="374"/>
      <c r="G88" s="374"/>
      <c r="H88" s="374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5"/>
      <c r="V88" s="365"/>
      <c r="W88" s="373"/>
      <c r="X88" s="374"/>
      <c r="Y88" s="374"/>
      <c r="Z88" s="374"/>
      <c r="AA88" s="374"/>
      <c r="AB88" s="374"/>
      <c r="AC88" s="374"/>
      <c r="AD88" s="374"/>
      <c r="AE88" s="374"/>
      <c r="AF88" s="374"/>
      <c r="AG88" s="374"/>
      <c r="AH88" s="374"/>
      <c r="AI88" s="374"/>
      <c r="AJ88" s="374"/>
      <c r="AK88" s="374"/>
      <c r="AL88" s="374"/>
      <c r="AM88" s="374"/>
      <c r="AN88" s="374"/>
      <c r="AO88" s="375"/>
      <c r="AP88" s="332"/>
    </row>
    <row r="89" spans="2:42" ht="9.9499999999999993" hidden="1" customHeight="1" x14ac:dyDescent="0.25">
      <c r="B89" s="342"/>
      <c r="C89" s="373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5"/>
      <c r="V89" s="365"/>
      <c r="W89" s="373"/>
      <c r="X89" s="374"/>
      <c r="Y89" s="374"/>
      <c r="Z89" s="374"/>
      <c r="AA89" s="374"/>
      <c r="AB89" s="374"/>
      <c r="AC89" s="374"/>
      <c r="AD89" s="374"/>
      <c r="AE89" s="374"/>
      <c r="AF89" s="374"/>
      <c r="AG89" s="374"/>
      <c r="AH89" s="374"/>
      <c r="AI89" s="374"/>
      <c r="AJ89" s="374"/>
      <c r="AK89" s="374"/>
      <c r="AL89" s="374"/>
      <c r="AM89" s="374"/>
      <c r="AN89" s="374"/>
      <c r="AO89" s="375"/>
      <c r="AP89" s="332"/>
    </row>
    <row r="90" spans="2:42" ht="9.9499999999999993" hidden="1" customHeight="1" x14ac:dyDescent="0.25">
      <c r="B90" s="342"/>
      <c r="C90" s="376"/>
      <c r="D90" s="377"/>
      <c r="E90" s="377"/>
      <c r="F90" s="377"/>
      <c r="G90" s="377"/>
      <c r="H90" s="377"/>
      <c r="I90" s="377"/>
      <c r="J90" s="377"/>
      <c r="K90" s="377"/>
      <c r="L90" s="377"/>
      <c r="M90" s="377"/>
      <c r="N90" s="377"/>
      <c r="O90" s="377"/>
      <c r="P90" s="377"/>
      <c r="Q90" s="377"/>
      <c r="R90" s="377"/>
      <c r="S90" s="377"/>
      <c r="T90" s="377"/>
      <c r="U90" s="378"/>
      <c r="V90" s="365"/>
      <c r="W90" s="376"/>
      <c r="X90" s="377"/>
      <c r="Y90" s="377"/>
      <c r="Z90" s="377"/>
      <c r="AA90" s="377"/>
      <c r="AB90" s="377"/>
      <c r="AC90" s="377"/>
      <c r="AD90" s="377"/>
      <c r="AE90" s="377"/>
      <c r="AF90" s="377"/>
      <c r="AG90" s="377"/>
      <c r="AH90" s="377"/>
      <c r="AI90" s="377"/>
      <c r="AJ90" s="377"/>
      <c r="AK90" s="377"/>
      <c r="AL90" s="377"/>
      <c r="AM90" s="377"/>
      <c r="AN90" s="377"/>
      <c r="AO90" s="378"/>
      <c r="AP90" s="332"/>
    </row>
    <row r="91" spans="2:42" ht="9.9499999999999993" hidden="1" customHeight="1" x14ac:dyDescent="0.25">
      <c r="B91" s="342"/>
      <c r="C91" s="343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5"/>
      <c r="V91" s="365"/>
      <c r="W91" s="398"/>
      <c r="X91" s="398"/>
      <c r="Y91" s="398"/>
      <c r="Z91" s="398"/>
      <c r="AA91" s="398"/>
      <c r="AB91" s="398"/>
      <c r="AC91" s="398"/>
      <c r="AD91" s="398"/>
      <c r="AE91" s="398"/>
      <c r="AF91" s="398"/>
      <c r="AG91" s="398"/>
      <c r="AH91" s="398"/>
      <c r="AI91" s="398"/>
      <c r="AJ91" s="398"/>
      <c r="AK91" s="398"/>
      <c r="AL91" s="398"/>
      <c r="AM91" s="398"/>
      <c r="AN91" s="398"/>
      <c r="AO91" s="398"/>
      <c r="AP91" s="332"/>
    </row>
    <row r="92" spans="2:42" ht="9.9499999999999993" hidden="1" customHeight="1" x14ac:dyDescent="0.25">
      <c r="B92" s="249"/>
      <c r="C92" s="261"/>
      <c r="D92" s="261"/>
      <c r="E92" s="261"/>
      <c r="F92" s="261"/>
      <c r="G92" s="261"/>
      <c r="H92" s="261"/>
      <c r="I92" s="261"/>
      <c r="J92" s="261"/>
      <c r="K92" s="261"/>
      <c r="L92" s="261"/>
      <c r="M92" s="261"/>
      <c r="N92" s="261"/>
      <c r="O92" s="261"/>
      <c r="P92" s="261"/>
      <c r="Q92" s="261"/>
      <c r="R92" s="261"/>
      <c r="S92" s="261"/>
      <c r="T92" s="261"/>
      <c r="U92" s="261"/>
      <c r="V92" s="261"/>
      <c r="W92" s="261"/>
      <c r="X92" s="261"/>
      <c r="Y92" s="261"/>
      <c r="Z92" s="261"/>
      <c r="AA92" s="261"/>
      <c r="AB92" s="261"/>
      <c r="AC92" s="261"/>
      <c r="AD92" s="261"/>
      <c r="AE92" s="261"/>
      <c r="AF92" s="261"/>
      <c r="AG92" s="261"/>
      <c r="AH92" s="261"/>
      <c r="AI92" s="261"/>
      <c r="AJ92" s="261"/>
      <c r="AK92" s="261"/>
      <c r="AL92" s="261"/>
      <c r="AM92" s="261"/>
      <c r="AN92" s="261"/>
      <c r="AO92" s="261"/>
      <c r="AP92" s="253"/>
    </row>
    <row r="93" spans="2:42" ht="9.9499999999999993" hidden="1" customHeight="1" x14ac:dyDescent="0.25">
      <c r="B93" s="249"/>
      <c r="C93" s="341" t="s">
        <v>95</v>
      </c>
      <c r="D93" s="341"/>
      <c r="E93" s="341"/>
      <c r="F93" s="341"/>
      <c r="G93" s="341"/>
      <c r="H93" s="341"/>
      <c r="I93" s="341"/>
      <c r="J93" s="341"/>
      <c r="K93" s="341"/>
      <c r="L93" s="341"/>
      <c r="M93" s="341"/>
      <c r="N93" s="341"/>
      <c r="O93" s="341"/>
      <c r="P93" s="341"/>
      <c r="Q93" s="341"/>
      <c r="R93" s="341"/>
      <c r="S93" s="341"/>
      <c r="T93" s="341"/>
      <c r="U93" s="341"/>
      <c r="V93" s="261"/>
      <c r="W93" s="341" t="s">
        <v>96</v>
      </c>
      <c r="X93" s="341"/>
      <c r="Y93" s="341"/>
      <c r="Z93" s="341"/>
      <c r="AA93" s="341"/>
      <c r="AB93" s="341"/>
      <c r="AC93" s="341"/>
      <c r="AD93" s="341"/>
      <c r="AE93" s="341"/>
      <c r="AF93" s="341"/>
      <c r="AG93" s="341"/>
      <c r="AH93" s="341"/>
      <c r="AI93" s="341"/>
      <c r="AJ93" s="341"/>
      <c r="AK93" s="341"/>
      <c r="AL93" s="341"/>
      <c r="AM93" s="341"/>
      <c r="AN93" s="341"/>
      <c r="AO93" s="341"/>
      <c r="AP93" s="253"/>
    </row>
    <row r="94" spans="2:42" ht="9.9499999999999993" hidden="1" customHeight="1" x14ac:dyDescent="0.25">
      <c r="B94" s="342"/>
      <c r="C94" s="361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3"/>
      <c r="V94" s="365"/>
      <c r="W94" s="330"/>
      <c r="X94" s="331"/>
      <c r="Y94" s="331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  <c r="AM94" s="331"/>
      <c r="AN94" s="331"/>
      <c r="AO94" s="331"/>
      <c r="AP94" s="391"/>
    </row>
    <row r="95" spans="2:42" ht="9.9499999999999993" hidden="1" customHeight="1" x14ac:dyDescent="0.25">
      <c r="B95" s="342"/>
      <c r="C95" s="364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365"/>
      <c r="O95" s="365"/>
      <c r="P95" s="365"/>
      <c r="Q95" s="365"/>
      <c r="R95" s="365"/>
      <c r="S95" s="365"/>
      <c r="T95" s="365"/>
      <c r="U95" s="366"/>
      <c r="V95" s="365"/>
      <c r="W95" s="331"/>
      <c r="X95" s="331"/>
      <c r="Y95" s="331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  <c r="AM95" s="331"/>
      <c r="AN95" s="331"/>
      <c r="AO95" s="331"/>
      <c r="AP95" s="391"/>
    </row>
    <row r="96" spans="2:42" ht="9.9499999999999993" hidden="1" customHeight="1" x14ac:dyDescent="0.25">
      <c r="B96" s="342"/>
      <c r="C96" s="364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365"/>
      <c r="O96" s="365"/>
      <c r="P96" s="365"/>
      <c r="Q96" s="365"/>
      <c r="R96" s="365"/>
      <c r="S96" s="365"/>
      <c r="T96" s="365"/>
      <c r="U96" s="366"/>
      <c r="V96" s="365"/>
      <c r="W96" s="331"/>
      <c r="X96" s="331"/>
      <c r="Y96" s="331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  <c r="AM96" s="331"/>
      <c r="AN96" s="331"/>
      <c r="AO96" s="331"/>
      <c r="AP96" s="391"/>
    </row>
    <row r="97" spans="2:67" ht="9.9499999999999993" hidden="1" customHeight="1" x14ac:dyDescent="0.25">
      <c r="B97" s="342"/>
      <c r="C97" s="364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365"/>
      <c r="O97" s="365"/>
      <c r="P97" s="365"/>
      <c r="Q97" s="365"/>
      <c r="R97" s="365"/>
      <c r="S97" s="365"/>
      <c r="T97" s="365"/>
      <c r="U97" s="366"/>
      <c r="V97" s="365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91"/>
    </row>
    <row r="98" spans="2:67" ht="9.9499999999999993" hidden="1" customHeight="1" x14ac:dyDescent="0.25">
      <c r="B98" s="342"/>
      <c r="C98" s="364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365"/>
      <c r="O98" s="365"/>
      <c r="P98" s="365"/>
      <c r="Q98" s="365"/>
      <c r="R98" s="365"/>
      <c r="S98" s="365"/>
      <c r="T98" s="365"/>
      <c r="U98" s="366"/>
      <c r="V98" s="365"/>
      <c r="W98" s="331"/>
      <c r="X98" s="331"/>
      <c r="Y98" s="331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  <c r="AM98" s="331"/>
      <c r="AN98" s="331"/>
      <c r="AO98" s="331"/>
      <c r="AP98" s="391"/>
    </row>
    <row r="99" spans="2:67" ht="9.9499999999999993" hidden="1" customHeight="1" x14ac:dyDescent="0.25">
      <c r="B99" s="342"/>
      <c r="C99" s="364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365"/>
      <c r="O99" s="365"/>
      <c r="P99" s="365"/>
      <c r="Q99" s="365"/>
      <c r="R99" s="365"/>
      <c r="S99" s="365"/>
      <c r="T99" s="365"/>
      <c r="U99" s="366"/>
      <c r="V99" s="365"/>
      <c r="W99" s="331"/>
      <c r="X99" s="331"/>
      <c r="Y99" s="331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  <c r="AM99" s="331"/>
      <c r="AN99" s="331"/>
      <c r="AO99" s="331"/>
      <c r="AP99" s="391"/>
    </row>
    <row r="100" spans="2:67" ht="9.9499999999999993" hidden="1" customHeight="1" x14ac:dyDescent="0.25">
      <c r="B100" s="342"/>
      <c r="C100" s="364"/>
      <c r="D100" s="365"/>
      <c r="E100" s="365"/>
      <c r="F100" s="365"/>
      <c r="G100" s="365"/>
      <c r="H100" s="365"/>
      <c r="I100" s="365"/>
      <c r="J100" s="365"/>
      <c r="K100" s="365"/>
      <c r="L100" s="365"/>
      <c r="M100" s="365"/>
      <c r="N100" s="365"/>
      <c r="O100" s="365"/>
      <c r="P100" s="365"/>
      <c r="Q100" s="365"/>
      <c r="R100" s="365"/>
      <c r="S100" s="365"/>
      <c r="T100" s="365"/>
      <c r="U100" s="366"/>
      <c r="V100" s="365"/>
      <c r="W100" s="331"/>
      <c r="X100" s="331"/>
      <c r="Y100" s="331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  <c r="AM100" s="331"/>
      <c r="AN100" s="331"/>
      <c r="AO100" s="331"/>
      <c r="AP100" s="391"/>
    </row>
    <row r="101" spans="2:67" ht="9.9499999999999993" hidden="1" customHeight="1" x14ac:dyDescent="0.25">
      <c r="B101" s="342"/>
      <c r="C101" s="364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6"/>
      <c r="V101" s="365"/>
      <c r="W101" s="331"/>
      <c r="X101" s="331"/>
      <c r="Y101" s="331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  <c r="AM101" s="331"/>
      <c r="AN101" s="331"/>
      <c r="AO101" s="331"/>
      <c r="AP101" s="391"/>
    </row>
    <row r="102" spans="2:67" ht="9.9499999999999993" hidden="1" customHeight="1" x14ac:dyDescent="0.25">
      <c r="B102" s="342"/>
      <c r="C102" s="364"/>
      <c r="D102" s="365"/>
      <c r="E102" s="365"/>
      <c r="F102" s="365"/>
      <c r="G102" s="365"/>
      <c r="H102" s="365"/>
      <c r="I102" s="365"/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6"/>
      <c r="V102" s="365"/>
      <c r="W102" s="331"/>
      <c r="X102" s="331"/>
      <c r="Y102" s="331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  <c r="AM102" s="331"/>
      <c r="AN102" s="331"/>
      <c r="AO102" s="331"/>
      <c r="AP102" s="391"/>
    </row>
    <row r="103" spans="2:67" ht="9.9499999999999993" hidden="1" customHeight="1" x14ac:dyDescent="0.25">
      <c r="B103" s="342"/>
      <c r="C103" s="364"/>
      <c r="D103" s="365"/>
      <c r="E103" s="365"/>
      <c r="F103" s="365"/>
      <c r="G103" s="365"/>
      <c r="H103" s="365"/>
      <c r="I103" s="365"/>
      <c r="J103" s="365"/>
      <c r="K103" s="365"/>
      <c r="L103" s="365"/>
      <c r="M103" s="365"/>
      <c r="N103" s="365"/>
      <c r="O103" s="365"/>
      <c r="P103" s="365"/>
      <c r="Q103" s="365"/>
      <c r="R103" s="365"/>
      <c r="S103" s="365"/>
      <c r="T103" s="365"/>
      <c r="U103" s="366"/>
      <c r="V103" s="365"/>
      <c r="W103" s="331"/>
      <c r="X103" s="331"/>
      <c r="Y103" s="331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  <c r="AM103" s="331"/>
      <c r="AN103" s="331"/>
      <c r="AO103" s="331"/>
      <c r="AP103" s="391"/>
    </row>
    <row r="104" spans="2:67" ht="9.9499999999999993" hidden="1" customHeight="1" x14ac:dyDescent="0.25">
      <c r="B104" s="342"/>
      <c r="C104" s="364"/>
      <c r="D104" s="365"/>
      <c r="E104" s="365"/>
      <c r="F104" s="365"/>
      <c r="G104" s="365"/>
      <c r="H104" s="365"/>
      <c r="I104" s="365"/>
      <c r="J104" s="365"/>
      <c r="K104" s="365"/>
      <c r="L104" s="365"/>
      <c r="M104" s="365"/>
      <c r="N104" s="365"/>
      <c r="O104" s="365"/>
      <c r="P104" s="365"/>
      <c r="Q104" s="365"/>
      <c r="R104" s="365"/>
      <c r="S104" s="365"/>
      <c r="T104" s="365"/>
      <c r="U104" s="366"/>
      <c r="V104" s="365"/>
      <c r="W104" s="331"/>
      <c r="X104" s="331"/>
      <c r="Y104" s="331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  <c r="AM104" s="331"/>
      <c r="AN104" s="331"/>
      <c r="AO104" s="331"/>
      <c r="AP104" s="391"/>
    </row>
    <row r="105" spans="2:67" ht="9.9499999999999993" hidden="1" customHeight="1" x14ac:dyDescent="0.25">
      <c r="B105" s="342"/>
      <c r="C105" s="364"/>
      <c r="D105" s="365"/>
      <c r="E105" s="365"/>
      <c r="F105" s="365"/>
      <c r="G105" s="365"/>
      <c r="H105" s="365"/>
      <c r="I105" s="365"/>
      <c r="J105" s="365"/>
      <c r="K105" s="365"/>
      <c r="L105" s="365"/>
      <c r="M105" s="365"/>
      <c r="N105" s="365"/>
      <c r="O105" s="365"/>
      <c r="P105" s="365"/>
      <c r="Q105" s="365"/>
      <c r="R105" s="365"/>
      <c r="S105" s="365"/>
      <c r="T105" s="365"/>
      <c r="U105" s="366"/>
      <c r="V105" s="365"/>
      <c r="W105" s="331"/>
      <c r="X105" s="331"/>
      <c r="Y105" s="331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  <c r="AM105" s="331"/>
      <c r="AN105" s="331"/>
      <c r="AO105" s="331"/>
      <c r="AP105" s="391"/>
    </row>
    <row r="106" spans="2:67" ht="9.9499999999999993" hidden="1" customHeight="1" x14ac:dyDescent="0.25">
      <c r="B106" s="342"/>
      <c r="C106" s="367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9"/>
      <c r="V106" s="365"/>
      <c r="W106" s="331"/>
      <c r="X106" s="331"/>
      <c r="Y106" s="331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  <c r="AM106" s="331"/>
      <c r="AN106" s="331"/>
      <c r="AO106" s="331"/>
      <c r="AP106" s="391"/>
    </row>
    <row r="107" spans="2:67" ht="9.9499999999999993" hidden="1" customHeight="1" x14ac:dyDescent="0.25">
      <c r="B107" s="342"/>
      <c r="C107" s="392"/>
      <c r="D107" s="393"/>
      <c r="E107" s="393"/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4"/>
      <c r="V107" s="365"/>
      <c r="W107" s="395"/>
      <c r="X107" s="396"/>
      <c r="Y107" s="396"/>
      <c r="Z107" s="396"/>
      <c r="AA107" s="396"/>
      <c r="AB107" s="396"/>
      <c r="AC107" s="396"/>
      <c r="AD107" s="396"/>
      <c r="AE107" s="396"/>
      <c r="AF107" s="396"/>
      <c r="AG107" s="396"/>
      <c r="AH107" s="396"/>
      <c r="AI107" s="396"/>
      <c r="AJ107" s="396"/>
      <c r="AK107" s="396"/>
      <c r="AL107" s="396"/>
      <c r="AM107" s="396"/>
      <c r="AN107" s="396"/>
      <c r="AO107" s="397"/>
      <c r="AP107" s="391"/>
    </row>
    <row r="108" spans="2:67" ht="9.9499999999999993" hidden="1" customHeight="1" x14ac:dyDescent="0.25">
      <c r="B108" s="249"/>
      <c r="C108" s="261"/>
      <c r="D108" s="261"/>
      <c r="E108" s="261"/>
      <c r="F108" s="261"/>
      <c r="G108" s="261"/>
      <c r="H108" s="261"/>
      <c r="I108" s="261"/>
      <c r="J108" s="261"/>
      <c r="K108" s="261"/>
      <c r="L108" s="261"/>
      <c r="M108" s="261"/>
      <c r="N108" s="261"/>
      <c r="O108" s="261"/>
      <c r="P108" s="261"/>
      <c r="Q108" s="261"/>
      <c r="R108" s="261"/>
      <c r="S108" s="261"/>
      <c r="T108" s="261"/>
      <c r="U108" s="261"/>
      <c r="V108" s="261"/>
      <c r="W108" s="261"/>
      <c r="X108" s="261"/>
      <c r="Y108" s="261"/>
      <c r="Z108" s="261"/>
      <c r="AA108" s="261"/>
      <c r="AB108" s="261"/>
      <c r="AC108" s="261"/>
      <c r="AD108" s="261"/>
      <c r="AE108" s="261"/>
      <c r="AF108" s="261"/>
      <c r="AG108" s="261"/>
      <c r="AH108" s="261"/>
      <c r="AI108" s="261"/>
      <c r="AJ108" s="261"/>
      <c r="AK108" s="261"/>
      <c r="AL108" s="261"/>
      <c r="AM108" s="261"/>
      <c r="AN108" s="261"/>
      <c r="AO108" s="261"/>
      <c r="AP108" s="253"/>
    </row>
    <row r="109" spans="2:67" ht="9.9499999999999993" hidden="1" customHeight="1" x14ac:dyDescent="0.25">
      <c r="B109" s="249"/>
      <c r="C109" s="257"/>
      <c r="D109" s="257"/>
      <c r="E109" s="257"/>
      <c r="F109" s="257"/>
      <c r="G109" s="257"/>
      <c r="H109" s="257"/>
      <c r="I109" s="257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7"/>
      <c r="V109" s="261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3"/>
    </row>
    <row r="110" spans="2:67" ht="9.9499999999999993" hidden="1" customHeight="1" x14ac:dyDescent="0.25">
      <c r="B110" s="249"/>
      <c r="C110" s="341" t="s">
        <v>97</v>
      </c>
      <c r="D110" s="341"/>
      <c r="E110" s="341"/>
      <c r="F110" s="341"/>
      <c r="G110" s="341"/>
      <c r="H110" s="341"/>
      <c r="I110" s="341"/>
      <c r="J110" s="341"/>
      <c r="K110" s="341"/>
      <c r="L110" s="341"/>
      <c r="M110" s="341"/>
      <c r="N110" s="341"/>
      <c r="O110" s="341"/>
      <c r="P110" s="341"/>
      <c r="Q110" s="341"/>
      <c r="R110" s="341"/>
      <c r="S110" s="341"/>
      <c r="T110" s="341"/>
      <c r="U110" s="341"/>
      <c r="V110" s="262"/>
      <c r="W110" s="489" t="s">
        <v>98</v>
      </c>
      <c r="X110" s="490"/>
      <c r="Y110" s="490"/>
      <c r="Z110" s="490"/>
      <c r="AA110" s="490"/>
      <c r="AB110" s="490"/>
      <c r="AC110" s="490"/>
      <c r="AD110" s="490"/>
      <c r="AE110" s="490"/>
      <c r="AF110" s="490"/>
      <c r="AG110" s="490"/>
      <c r="AH110" s="490"/>
      <c r="AI110" s="490"/>
      <c r="AJ110" s="490"/>
      <c r="AK110" s="490"/>
      <c r="AL110" s="490"/>
      <c r="AM110" s="490"/>
      <c r="AN110" s="490"/>
      <c r="AO110" s="491"/>
      <c r="AP110" s="253"/>
    </row>
    <row r="111" spans="2:67" ht="9.9499999999999993" hidden="1" customHeight="1" x14ac:dyDescent="0.25">
      <c r="B111" s="249"/>
      <c r="C111" s="330"/>
      <c r="D111" s="331"/>
      <c r="E111" s="331"/>
      <c r="F111" s="331"/>
      <c r="G111" s="331"/>
      <c r="H111" s="331"/>
      <c r="I111" s="331"/>
      <c r="J111" s="331"/>
      <c r="K111" s="331"/>
      <c r="L111" s="331"/>
      <c r="M111" s="331"/>
      <c r="N111" s="331"/>
      <c r="O111" s="331"/>
      <c r="P111" s="331"/>
      <c r="Q111" s="331"/>
      <c r="R111" s="331"/>
      <c r="S111" s="331"/>
      <c r="T111" s="331"/>
      <c r="U111" s="331"/>
      <c r="V111" s="263"/>
      <c r="W111" s="492"/>
      <c r="X111" s="493"/>
      <c r="Y111" s="493"/>
      <c r="Z111" s="493"/>
      <c r="AA111" s="493"/>
      <c r="AB111" s="493"/>
      <c r="AC111" s="493"/>
      <c r="AD111" s="493"/>
      <c r="AE111" s="493"/>
      <c r="AF111" s="493"/>
      <c r="AG111" s="493"/>
      <c r="AH111" s="493"/>
      <c r="AI111" s="493"/>
      <c r="AJ111" s="493"/>
      <c r="AK111" s="493"/>
      <c r="AL111" s="493"/>
      <c r="AM111" s="493"/>
      <c r="AN111" s="493"/>
      <c r="AO111" s="494"/>
      <c r="AP111" s="253"/>
      <c r="AW111" s="258"/>
      <c r="AX111" s="258"/>
      <c r="AY111" s="258"/>
      <c r="AZ111" s="258"/>
      <c r="BA111" s="258"/>
      <c r="BB111" s="258"/>
      <c r="BC111" s="258"/>
      <c r="BD111" s="258"/>
      <c r="BE111" s="258"/>
      <c r="BF111" s="258"/>
      <c r="BG111" s="258"/>
      <c r="BH111" s="258"/>
      <c r="BI111" s="258"/>
      <c r="BJ111" s="258"/>
      <c r="BK111" s="258"/>
      <c r="BL111" s="258"/>
      <c r="BM111" s="258"/>
      <c r="BN111" s="258"/>
      <c r="BO111" s="258"/>
    </row>
    <row r="112" spans="2:67" ht="9.9499999999999993" hidden="1" customHeight="1" x14ac:dyDescent="0.25">
      <c r="B112" s="249"/>
      <c r="C112" s="331"/>
      <c r="D112" s="331"/>
      <c r="E112" s="331"/>
      <c r="F112" s="331"/>
      <c r="G112" s="331"/>
      <c r="H112" s="331"/>
      <c r="I112" s="331"/>
      <c r="J112" s="331"/>
      <c r="K112" s="331"/>
      <c r="L112" s="331"/>
      <c r="M112" s="331"/>
      <c r="N112" s="331"/>
      <c r="O112" s="331"/>
      <c r="P112" s="331"/>
      <c r="Q112" s="331"/>
      <c r="R112" s="331"/>
      <c r="S112" s="331"/>
      <c r="T112" s="331"/>
      <c r="U112" s="331"/>
      <c r="V112" s="264"/>
      <c r="W112" s="492"/>
      <c r="X112" s="493"/>
      <c r="Y112" s="493"/>
      <c r="Z112" s="493"/>
      <c r="AA112" s="493"/>
      <c r="AB112" s="493"/>
      <c r="AC112" s="493"/>
      <c r="AD112" s="493"/>
      <c r="AE112" s="493"/>
      <c r="AF112" s="493"/>
      <c r="AG112" s="493"/>
      <c r="AH112" s="493"/>
      <c r="AI112" s="493"/>
      <c r="AJ112" s="493"/>
      <c r="AK112" s="493"/>
      <c r="AL112" s="493"/>
      <c r="AM112" s="493"/>
      <c r="AN112" s="493"/>
      <c r="AO112" s="494"/>
      <c r="AP112" s="253"/>
      <c r="AW112" s="259"/>
      <c r="AX112" s="260"/>
      <c r="AY112" s="260"/>
      <c r="AZ112" s="260"/>
      <c r="BA112" s="260"/>
      <c r="BB112" s="260"/>
      <c r="BC112" s="260"/>
      <c r="BD112" s="260"/>
      <c r="BE112" s="260"/>
      <c r="BF112" s="260"/>
      <c r="BG112" s="260"/>
      <c r="BH112" s="260"/>
      <c r="BI112" s="260"/>
      <c r="BJ112" s="260"/>
      <c r="BK112" s="260"/>
      <c r="BL112" s="260"/>
      <c r="BM112" s="260"/>
      <c r="BN112" s="260"/>
      <c r="BO112" s="260"/>
    </row>
    <row r="113" spans="2:67" ht="9.9499999999999993" hidden="1" customHeight="1" x14ac:dyDescent="0.25">
      <c r="B113" s="249"/>
      <c r="C113" s="331"/>
      <c r="D113" s="331"/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264"/>
      <c r="W113" s="492"/>
      <c r="X113" s="493"/>
      <c r="Y113" s="493"/>
      <c r="Z113" s="493"/>
      <c r="AA113" s="493"/>
      <c r="AB113" s="493"/>
      <c r="AC113" s="493"/>
      <c r="AD113" s="493"/>
      <c r="AE113" s="493"/>
      <c r="AF113" s="493"/>
      <c r="AG113" s="493"/>
      <c r="AH113" s="493"/>
      <c r="AI113" s="493"/>
      <c r="AJ113" s="493"/>
      <c r="AK113" s="493"/>
      <c r="AL113" s="493"/>
      <c r="AM113" s="493"/>
      <c r="AN113" s="493"/>
      <c r="AO113" s="494"/>
      <c r="AP113" s="253"/>
      <c r="AW113" s="260"/>
      <c r="AX113" s="260"/>
      <c r="AY113" s="260"/>
      <c r="AZ113" s="260"/>
      <c r="BA113" s="260"/>
      <c r="BB113" s="260"/>
      <c r="BC113" s="260"/>
      <c r="BD113" s="260"/>
      <c r="BE113" s="260"/>
      <c r="BF113" s="260"/>
      <c r="BG113" s="260"/>
      <c r="BH113" s="260"/>
      <c r="BI113" s="260"/>
      <c r="BJ113" s="260"/>
      <c r="BK113" s="260"/>
      <c r="BL113" s="260"/>
      <c r="BM113" s="260"/>
      <c r="BN113" s="260"/>
      <c r="BO113" s="260"/>
    </row>
    <row r="114" spans="2:67" ht="9.9499999999999993" hidden="1" customHeight="1" x14ac:dyDescent="0.25">
      <c r="B114" s="249"/>
      <c r="C114" s="331"/>
      <c r="D114" s="331"/>
      <c r="E114" s="331"/>
      <c r="F114" s="331"/>
      <c r="G114" s="331"/>
      <c r="H114" s="331"/>
      <c r="I114" s="331"/>
      <c r="J114" s="331"/>
      <c r="K114" s="331"/>
      <c r="L114" s="331"/>
      <c r="M114" s="331"/>
      <c r="N114" s="331"/>
      <c r="O114" s="331"/>
      <c r="P114" s="331"/>
      <c r="Q114" s="331"/>
      <c r="R114" s="331"/>
      <c r="S114" s="331"/>
      <c r="T114" s="331"/>
      <c r="U114" s="331"/>
      <c r="V114" s="264"/>
      <c r="W114" s="492"/>
      <c r="X114" s="493"/>
      <c r="Y114" s="493"/>
      <c r="Z114" s="493"/>
      <c r="AA114" s="493"/>
      <c r="AB114" s="493"/>
      <c r="AC114" s="493"/>
      <c r="AD114" s="493"/>
      <c r="AE114" s="493"/>
      <c r="AF114" s="493"/>
      <c r="AG114" s="493"/>
      <c r="AH114" s="493"/>
      <c r="AI114" s="493"/>
      <c r="AJ114" s="493"/>
      <c r="AK114" s="493"/>
      <c r="AL114" s="493"/>
      <c r="AM114" s="493"/>
      <c r="AN114" s="493"/>
      <c r="AO114" s="494"/>
      <c r="AP114" s="253"/>
      <c r="AW114" s="260"/>
      <c r="AX114" s="260"/>
      <c r="AY114" s="260"/>
      <c r="AZ114" s="260"/>
      <c r="BA114" s="260"/>
      <c r="BB114" s="260"/>
      <c r="BC114" s="260"/>
      <c r="BD114" s="260"/>
      <c r="BE114" s="260"/>
      <c r="BF114" s="260"/>
      <c r="BG114" s="260"/>
      <c r="BH114" s="260"/>
      <c r="BI114" s="260"/>
      <c r="BJ114" s="260"/>
      <c r="BK114" s="260"/>
      <c r="BL114" s="260"/>
      <c r="BM114" s="260"/>
      <c r="BN114" s="260"/>
      <c r="BO114" s="260"/>
    </row>
    <row r="115" spans="2:67" ht="9.9499999999999993" hidden="1" customHeight="1" x14ac:dyDescent="0.25">
      <c r="B115" s="249"/>
      <c r="C115" s="331"/>
      <c r="D115" s="331"/>
      <c r="E115" s="331"/>
      <c r="F115" s="331"/>
      <c r="G115" s="331"/>
      <c r="H115" s="331"/>
      <c r="I115" s="331"/>
      <c r="J115" s="331"/>
      <c r="K115" s="331"/>
      <c r="L115" s="331"/>
      <c r="M115" s="331"/>
      <c r="N115" s="331"/>
      <c r="O115" s="331"/>
      <c r="P115" s="331"/>
      <c r="Q115" s="331"/>
      <c r="R115" s="331"/>
      <c r="S115" s="331"/>
      <c r="T115" s="331"/>
      <c r="U115" s="331"/>
      <c r="V115" s="264"/>
      <c r="W115" s="492"/>
      <c r="X115" s="493"/>
      <c r="Y115" s="493"/>
      <c r="Z115" s="493"/>
      <c r="AA115" s="493"/>
      <c r="AB115" s="493"/>
      <c r="AC115" s="493"/>
      <c r="AD115" s="493"/>
      <c r="AE115" s="493"/>
      <c r="AF115" s="493"/>
      <c r="AG115" s="493"/>
      <c r="AH115" s="493"/>
      <c r="AI115" s="493"/>
      <c r="AJ115" s="493"/>
      <c r="AK115" s="493"/>
      <c r="AL115" s="493"/>
      <c r="AM115" s="493"/>
      <c r="AN115" s="493"/>
      <c r="AO115" s="494"/>
      <c r="AP115" s="253"/>
      <c r="AW115" s="260"/>
      <c r="AX115" s="260"/>
      <c r="AY115" s="260"/>
      <c r="AZ115" s="260"/>
      <c r="BA115" s="260"/>
      <c r="BB115" s="260"/>
      <c r="BC115" s="260"/>
      <c r="BD115" s="260"/>
      <c r="BE115" s="260"/>
      <c r="BF115" s="260"/>
      <c r="BG115" s="260"/>
      <c r="BH115" s="260"/>
      <c r="BI115" s="260"/>
      <c r="BJ115" s="260"/>
      <c r="BK115" s="260"/>
      <c r="BL115" s="260"/>
      <c r="BM115" s="260"/>
      <c r="BN115" s="260"/>
      <c r="BO115" s="260"/>
    </row>
    <row r="116" spans="2:67" ht="9.9499999999999993" hidden="1" customHeight="1" x14ac:dyDescent="0.25">
      <c r="B116" s="249"/>
      <c r="C116" s="331"/>
      <c r="D116" s="331"/>
      <c r="E116" s="331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31"/>
      <c r="R116" s="331"/>
      <c r="S116" s="331"/>
      <c r="T116" s="331"/>
      <c r="U116" s="331"/>
      <c r="V116" s="264"/>
      <c r="W116" s="492"/>
      <c r="X116" s="493"/>
      <c r="Y116" s="493"/>
      <c r="Z116" s="493"/>
      <c r="AA116" s="493"/>
      <c r="AB116" s="493"/>
      <c r="AC116" s="493"/>
      <c r="AD116" s="493"/>
      <c r="AE116" s="493"/>
      <c r="AF116" s="493"/>
      <c r="AG116" s="493"/>
      <c r="AH116" s="493"/>
      <c r="AI116" s="493"/>
      <c r="AJ116" s="493"/>
      <c r="AK116" s="493"/>
      <c r="AL116" s="493"/>
      <c r="AM116" s="493"/>
      <c r="AN116" s="493"/>
      <c r="AO116" s="494"/>
      <c r="AP116" s="253"/>
      <c r="AW116" s="260"/>
      <c r="AX116" s="260"/>
      <c r="AY116" s="260"/>
      <c r="AZ116" s="260"/>
      <c r="BA116" s="260"/>
      <c r="BB116" s="260"/>
      <c r="BC116" s="260"/>
      <c r="BD116" s="260"/>
      <c r="BE116" s="260"/>
      <c r="BF116" s="260"/>
      <c r="BG116" s="260"/>
      <c r="BH116" s="260"/>
      <c r="BI116" s="260"/>
      <c r="BJ116" s="260"/>
      <c r="BK116" s="260"/>
      <c r="BL116" s="260"/>
      <c r="BM116" s="260"/>
      <c r="BN116" s="260"/>
      <c r="BO116" s="260"/>
    </row>
    <row r="117" spans="2:67" ht="9.9499999999999993" hidden="1" customHeight="1" x14ac:dyDescent="0.25">
      <c r="B117" s="249"/>
      <c r="C117" s="331"/>
      <c r="D117" s="331"/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331"/>
      <c r="Q117" s="331"/>
      <c r="R117" s="331"/>
      <c r="S117" s="331"/>
      <c r="T117" s="331"/>
      <c r="U117" s="331"/>
      <c r="V117" s="264"/>
      <c r="W117" s="492"/>
      <c r="X117" s="493"/>
      <c r="Y117" s="493"/>
      <c r="Z117" s="493"/>
      <c r="AA117" s="493"/>
      <c r="AB117" s="493"/>
      <c r="AC117" s="493"/>
      <c r="AD117" s="493"/>
      <c r="AE117" s="493"/>
      <c r="AF117" s="493"/>
      <c r="AG117" s="493"/>
      <c r="AH117" s="493"/>
      <c r="AI117" s="493"/>
      <c r="AJ117" s="493"/>
      <c r="AK117" s="493"/>
      <c r="AL117" s="493"/>
      <c r="AM117" s="493"/>
      <c r="AN117" s="493"/>
      <c r="AO117" s="494"/>
      <c r="AP117" s="253"/>
      <c r="AW117" s="260"/>
      <c r="AX117" s="260"/>
      <c r="AY117" s="260"/>
      <c r="AZ117" s="260"/>
      <c r="BA117" s="260"/>
      <c r="BB117" s="260"/>
      <c r="BC117" s="260"/>
      <c r="BD117" s="260"/>
      <c r="BE117" s="260"/>
      <c r="BF117" s="260"/>
      <c r="BG117" s="260"/>
      <c r="BH117" s="260"/>
      <c r="BI117" s="260"/>
      <c r="BJ117" s="260"/>
      <c r="BK117" s="260"/>
      <c r="BL117" s="260"/>
      <c r="BM117" s="260"/>
      <c r="BN117" s="260"/>
      <c r="BO117" s="260"/>
    </row>
    <row r="118" spans="2:67" ht="9.9499999999999993" hidden="1" customHeight="1" x14ac:dyDescent="0.25">
      <c r="B118" s="249"/>
      <c r="C118" s="331"/>
      <c r="D118" s="331"/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331"/>
      <c r="Q118" s="331"/>
      <c r="R118" s="331"/>
      <c r="S118" s="331"/>
      <c r="T118" s="331"/>
      <c r="U118" s="331"/>
      <c r="V118" s="264"/>
      <c r="W118" s="492"/>
      <c r="X118" s="493"/>
      <c r="Y118" s="493"/>
      <c r="Z118" s="493"/>
      <c r="AA118" s="493"/>
      <c r="AB118" s="493"/>
      <c r="AC118" s="493"/>
      <c r="AD118" s="493"/>
      <c r="AE118" s="493"/>
      <c r="AF118" s="493"/>
      <c r="AG118" s="493"/>
      <c r="AH118" s="493"/>
      <c r="AI118" s="493"/>
      <c r="AJ118" s="493"/>
      <c r="AK118" s="493"/>
      <c r="AL118" s="493"/>
      <c r="AM118" s="493"/>
      <c r="AN118" s="493"/>
      <c r="AO118" s="494"/>
      <c r="AP118" s="253"/>
      <c r="AW118" s="260"/>
      <c r="AX118" s="260"/>
      <c r="AY118" s="260"/>
      <c r="AZ118" s="260"/>
      <c r="BA118" s="260"/>
      <c r="BB118" s="260"/>
      <c r="BC118" s="260"/>
      <c r="BD118" s="260"/>
      <c r="BE118" s="260"/>
      <c r="BF118" s="260"/>
      <c r="BG118" s="260"/>
      <c r="BH118" s="260"/>
      <c r="BI118" s="260"/>
      <c r="BJ118" s="260"/>
      <c r="BK118" s="260"/>
      <c r="BL118" s="260"/>
      <c r="BM118" s="260"/>
      <c r="BN118" s="260"/>
      <c r="BO118" s="260"/>
    </row>
    <row r="119" spans="2:67" ht="9.9499999999999993" hidden="1" customHeight="1" x14ac:dyDescent="0.25">
      <c r="B119" s="249"/>
      <c r="C119" s="331"/>
      <c r="D119" s="331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31"/>
      <c r="P119" s="331"/>
      <c r="Q119" s="331"/>
      <c r="R119" s="331"/>
      <c r="S119" s="331"/>
      <c r="T119" s="331"/>
      <c r="U119" s="331"/>
      <c r="V119" s="264"/>
      <c r="W119" s="492"/>
      <c r="X119" s="493"/>
      <c r="Y119" s="493"/>
      <c r="Z119" s="493"/>
      <c r="AA119" s="493"/>
      <c r="AB119" s="493"/>
      <c r="AC119" s="493"/>
      <c r="AD119" s="493"/>
      <c r="AE119" s="493"/>
      <c r="AF119" s="493"/>
      <c r="AG119" s="493"/>
      <c r="AH119" s="493"/>
      <c r="AI119" s="493"/>
      <c r="AJ119" s="493"/>
      <c r="AK119" s="493"/>
      <c r="AL119" s="493"/>
      <c r="AM119" s="493"/>
      <c r="AN119" s="493"/>
      <c r="AO119" s="494"/>
      <c r="AP119" s="253"/>
      <c r="AW119" s="260"/>
      <c r="AX119" s="260"/>
      <c r="AY119" s="260"/>
      <c r="AZ119" s="260"/>
      <c r="BA119" s="260"/>
      <c r="BB119" s="260"/>
      <c r="BC119" s="260"/>
      <c r="BD119" s="260"/>
      <c r="BE119" s="260"/>
      <c r="BF119" s="260"/>
      <c r="BG119" s="260"/>
      <c r="BH119" s="260"/>
      <c r="BI119" s="260"/>
      <c r="BJ119" s="260"/>
      <c r="BK119" s="260"/>
      <c r="BL119" s="260"/>
      <c r="BM119" s="260"/>
      <c r="BN119" s="260"/>
      <c r="BO119" s="260"/>
    </row>
    <row r="120" spans="2:67" ht="9.9499999999999993" hidden="1" customHeight="1" x14ac:dyDescent="0.25">
      <c r="B120" s="249"/>
      <c r="C120" s="331"/>
      <c r="D120" s="331"/>
      <c r="E120" s="331"/>
      <c r="F120" s="331"/>
      <c r="G120" s="331"/>
      <c r="H120" s="331"/>
      <c r="I120" s="331"/>
      <c r="J120" s="331"/>
      <c r="K120" s="331"/>
      <c r="L120" s="331"/>
      <c r="M120" s="331"/>
      <c r="N120" s="331"/>
      <c r="O120" s="331"/>
      <c r="P120" s="331"/>
      <c r="Q120" s="331"/>
      <c r="R120" s="331"/>
      <c r="S120" s="331"/>
      <c r="T120" s="331"/>
      <c r="U120" s="331"/>
      <c r="V120" s="264"/>
      <c r="W120" s="492"/>
      <c r="X120" s="493"/>
      <c r="Y120" s="493"/>
      <c r="Z120" s="493"/>
      <c r="AA120" s="493"/>
      <c r="AB120" s="493"/>
      <c r="AC120" s="493"/>
      <c r="AD120" s="493"/>
      <c r="AE120" s="493"/>
      <c r="AF120" s="493"/>
      <c r="AG120" s="493"/>
      <c r="AH120" s="493"/>
      <c r="AI120" s="493"/>
      <c r="AJ120" s="493"/>
      <c r="AK120" s="493"/>
      <c r="AL120" s="493"/>
      <c r="AM120" s="493"/>
      <c r="AN120" s="493"/>
      <c r="AO120" s="494"/>
      <c r="AP120" s="253"/>
      <c r="AW120" s="260"/>
      <c r="AX120" s="260"/>
      <c r="AY120" s="260"/>
      <c r="AZ120" s="260"/>
      <c r="BA120" s="260"/>
      <c r="BB120" s="260"/>
      <c r="BC120" s="260"/>
      <c r="BD120" s="260"/>
      <c r="BE120" s="260"/>
      <c r="BF120" s="260"/>
      <c r="BG120" s="260"/>
      <c r="BH120" s="260"/>
      <c r="BI120" s="260"/>
      <c r="BJ120" s="260"/>
      <c r="BK120" s="260"/>
      <c r="BL120" s="260"/>
      <c r="BM120" s="260"/>
      <c r="BN120" s="260"/>
      <c r="BO120" s="260"/>
    </row>
    <row r="121" spans="2:67" ht="9.9499999999999993" hidden="1" customHeight="1" x14ac:dyDescent="0.25">
      <c r="B121" s="249"/>
      <c r="C121" s="331"/>
      <c r="D121" s="331"/>
      <c r="E121" s="331"/>
      <c r="F121" s="331"/>
      <c r="G121" s="331"/>
      <c r="H121" s="331"/>
      <c r="I121" s="331"/>
      <c r="J121" s="331"/>
      <c r="K121" s="331"/>
      <c r="L121" s="331"/>
      <c r="M121" s="331"/>
      <c r="N121" s="331"/>
      <c r="O121" s="331"/>
      <c r="P121" s="331"/>
      <c r="Q121" s="331"/>
      <c r="R121" s="331"/>
      <c r="S121" s="331"/>
      <c r="T121" s="331"/>
      <c r="U121" s="331"/>
      <c r="V121" s="264"/>
      <c r="W121" s="492"/>
      <c r="X121" s="493"/>
      <c r="Y121" s="493"/>
      <c r="Z121" s="493"/>
      <c r="AA121" s="493"/>
      <c r="AB121" s="493"/>
      <c r="AC121" s="493"/>
      <c r="AD121" s="493"/>
      <c r="AE121" s="493"/>
      <c r="AF121" s="493"/>
      <c r="AG121" s="493"/>
      <c r="AH121" s="493"/>
      <c r="AI121" s="493"/>
      <c r="AJ121" s="493"/>
      <c r="AK121" s="493"/>
      <c r="AL121" s="493"/>
      <c r="AM121" s="493"/>
      <c r="AN121" s="493"/>
      <c r="AO121" s="494"/>
      <c r="AP121" s="253"/>
      <c r="AW121" s="260"/>
      <c r="AX121" s="260"/>
      <c r="AY121" s="260"/>
      <c r="AZ121" s="260"/>
      <c r="BA121" s="260"/>
      <c r="BB121" s="260"/>
      <c r="BC121" s="260"/>
      <c r="BD121" s="260"/>
      <c r="BE121" s="260"/>
      <c r="BF121" s="260"/>
      <c r="BG121" s="260"/>
      <c r="BH121" s="260"/>
      <c r="BI121" s="260"/>
      <c r="BJ121" s="260"/>
      <c r="BK121" s="260"/>
      <c r="BL121" s="260"/>
      <c r="BM121" s="260"/>
      <c r="BN121" s="260"/>
      <c r="BO121" s="260"/>
    </row>
    <row r="122" spans="2:67" ht="9.9499999999999993" hidden="1" customHeight="1" x14ac:dyDescent="0.25">
      <c r="B122" s="249"/>
      <c r="C122" s="331"/>
      <c r="D122" s="331"/>
      <c r="E122" s="331"/>
      <c r="F122" s="331"/>
      <c r="G122" s="331"/>
      <c r="H122" s="331"/>
      <c r="I122" s="331"/>
      <c r="J122" s="331"/>
      <c r="K122" s="331"/>
      <c r="L122" s="331"/>
      <c r="M122" s="331"/>
      <c r="N122" s="331"/>
      <c r="O122" s="331"/>
      <c r="P122" s="331"/>
      <c r="Q122" s="331"/>
      <c r="R122" s="331"/>
      <c r="S122" s="331"/>
      <c r="T122" s="331"/>
      <c r="U122" s="331"/>
      <c r="V122" s="264"/>
      <c r="W122" s="492"/>
      <c r="X122" s="493"/>
      <c r="Y122" s="493"/>
      <c r="Z122" s="493"/>
      <c r="AA122" s="493"/>
      <c r="AB122" s="493"/>
      <c r="AC122" s="493"/>
      <c r="AD122" s="493"/>
      <c r="AE122" s="493"/>
      <c r="AF122" s="493"/>
      <c r="AG122" s="493"/>
      <c r="AH122" s="493"/>
      <c r="AI122" s="493"/>
      <c r="AJ122" s="493"/>
      <c r="AK122" s="493"/>
      <c r="AL122" s="493"/>
      <c r="AM122" s="493"/>
      <c r="AN122" s="493"/>
      <c r="AO122" s="494"/>
      <c r="AP122" s="253"/>
      <c r="AW122" s="260"/>
      <c r="AX122" s="260"/>
      <c r="AY122" s="260"/>
      <c r="AZ122" s="260"/>
      <c r="BA122" s="260"/>
      <c r="BB122" s="260"/>
      <c r="BC122" s="260"/>
      <c r="BD122" s="260"/>
      <c r="BE122" s="260"/>
      <c r="BF122" s="260"/>
      <c r="BG122" s="260"/>
      <c r="BH122" s="260"/>
      <c r="BI122" s="260"/>
      <c r="BJ122" s="260"/>
      <c r="BK122" s="260"/>
      <c r="BL122" s="260"/>
      <c r="BM122" s="260"/>
      <c r="BN122" s="260"/>
      <c r="BO122" s="260"/>
    </row>
    <row r="123" spans="2:67" ht="9.9499999999999993" hidden="1" customHeight="1" x14ac:dyDescent="0.25">
      <c r="B123" s="249"/>
      <c r="C123" s="331"/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1"/>
      <c r="Q123" s="331"/>
      <c r="R123" s="331"/>
      <c r="S123" s="331"/>
      <c r="T123" s="331"/>
      <c r="U123" s="331"/>
      <c r="V123" s="264"/>
      <c r="W123" s="492"/>
      <c r="X123" s="493"/>
      <c r="Y123" s="493"/>
      <c r="Z123" s="493"/>
      <c r="AA123" s="493"/>
      <c r="AB123" s="493"/>
      <c r="AC123" s="493"/>
      <c r="AD123" s="493"/>
      <c r="AE123" s="493"/>
      <c r="AF123" s="493"/>
      <c r="AG123" s="493"/>
      <c r="AH123" s="493"/>
      <c r="AI123" s="493"/>
      <c r="AJ123" s="493"/>
      <c r="AK123" s="493"/>
      <c r="AL123" s="493"/>
      <c r="AM123" s="493"/>
      <c r="AN123" s="493"/>
      <c r="AO123" s="494"/>
      <c r="AP123" s="253"/>
      <c r="AW123" s="260"/>
      <c r="AX123" s="260"/>
      <c r="AY123" s="260"/>
      <c r="AZ123" s="260"/>
      <c r="BA123" s="260"/>
      <c r="BB123" s="260"/>
      <c r="BC123" s="260"/>
      <c r="BD123" s="260"/>
      <c r="BE123" s="260"/>
      <c r="BF123" s="260"/>
      <c r="BG123" s="260"/>
      <c r="BH123" s="260"/>
      <c r="BI123" s="260"/>
      <c r="BJ123" s="260"/>
      <c r="BK123" s="260"/>
      <c r="BL123" s="260"/>
      <c r="BM123" s="260"/>
      <c r="BN123" s="260"/>
      <c r="BO123" s="260"/>
    </row>
    <row r="124" spans="2:67" ht="9.9499999999999993" hidden="1" customHeight="1" x14ac:dyDescent="0.25">
      <c r="B124" s="249"/>
      <c r="C124" s="392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4"/>
      <c r="V124" s="264"/>
      <c r="W124" s="395"/>
      <c r="X124" s="396"/>
      <c r="Y124" s="396"/>
      <c r="Z124" s="396"/>
      <c r="AA124" s="396"/>
      <c r="AB124" s="396"/>
      <c r="AC124" s="396"/>
      <c r="AD124" s="396"/>
      <c r="AE124" s="396"/>
      <c r="AF124" s="396"/>
      <c r="AG124" s="396"/>
      <c r="AH124" s="396"/>
      <c r="AI124" s="396"/>
      <c r="AJ124" s="396"/>
      <c r="AK124" s="396"/>
      <c r="AL124" s="396"/>
      <c r="AM124" s="396"/>
      <c r="AN124" s="396"/>
      <c r="AO124" s="397"/>
      <c r="AP124" s="253"/>
      <c r="AW124" s="260"/>
      <c r="AX124" s="260"/>
      <c r="AY124" s="260"/>
      <c r="AZ124" s="260"/>
      <c r="BA124" s="260"/>
      <c r="BB124" s="260"/>
      <c r="BC124" s="260"/>
      <c r="BD124" s="260"/>
      <c r="BE124" s="260"/>
      <c r="BF124" s="260"/>
      <c r="BG124" s="260"/>
      <c r="BH124" s="260"/>
      <c r="BI124" s="260"/>
      <c r="BJ124" s="260"/>
      <c r="BK124" s="260"/>
      <c r="BL124" s="260"/>
      <c r="BM124" s="260"/>
      <c r="BN124" s="260"/>
      <c r="BO124" s="260"/>
    </row>
    <row r="125" spans="2:67" ht="9.9499999999999993" hidden="1" customHeight="1" x14ac:dyDescent="0.25">
      <c r="B125" s="249"/>
      <c r="C125" s="257"/>
      <c r="D125" s="257"/>
      <c r="E125" s="257"/>
      <c r="F125" s="257"/>
      <c r="G125" s="257"/>
      <c r="H125" s="257"/>
      <c r="I125" s="257"/>
      <c r="J125" s="257"/>
      <c r="K125" s="257"/>
      <c r="L125" s="257"/>
      <c r="M125" s="257"/>
      <c r="N125" s="257"/>
      <c r="O125" s="257"/>
      <c r="P125" s="257"/>
      <c r="Q125" s="257"/>
      <c r="R125" s="257"/>
      <c r="S125" s="257"/>
      <c r="T125" s="257"/>
      <c r="U125" s="257"/>
      <c r="V125" s="264"/>
      <c r="W125" s="257"/>
      <c r="X125" s="257"/>
      <c r="Y125" s="257"/>
      <c r="Z125" s="257"/>
      <c r="AA125" s="257"/>
      <c r="AB125" s="257"/>
      <c r="AC125" s="257"/>
      <c r="AD125" s="257"/>
      <c r="AE125" s="257"/>
      <c r="AF125" s="257"/>
      <c r="AG125" s="257"/>
      <c r="AH125" s="257"/>
      <c r="AI125" s="257"/>
      <c r="AJ125" s="257"/>
      <c r="AK125" s="257"/>
      <c r="AL125" s="257"/>
      <c r="AM125" s="257"/>
      <c r="AN125" s="257"/>
      <c r="AO125" s="257"/>
      <c r="AP125" s="253"/>
      <c r="AW125" s="260"/>
      <c r="AX125" s="260"/>
      <c r="AY125" s="260"/>
      <c r="AZ125" s="260"/>
      <c r="BA125" s="260"/>
      <c r="BB125" s="260"/>
      <c r="BC125" s="260"/>
      <c r="BD125" s="260"/>
      <c r="BE125" s="260"/>
      <c r="BF125" s="260"/>
      <c r="BG125" s="260"/>
      <c r="BH125" s="260"/>
      <c r="BI125" s="260"/>
      <c r="BJ125" s="260"/>
      <c r="BK125" s="260"/>
      <c r="BL125" s="260"/>
      <c r="BM125" s="260"/>
      <c r="BN125" s="260"/>
      <c r="BO125" s="260"/>
    </row>
    <row r="126" spans="2:67" ht="9.9499999999999993" hidden="1" customHeight="1" x14ac:dyDescent="0.25">
      <c r="B126" s="249"/>
      <c r="C126" s="341" t="s">
        <v>2463</v>
      </c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  <c r="P126" s="341"/>
      <c r="Q126" s="341"/>
      <c r="R126" s="341"/>
      <c r="S126" s="341"/>
      <c r="T126" s="341"/>
      <c r="U126" s="341"/>
      <c r="V126" s="264"/>
      <c r="W126" s="489" t="s">
        <v>2462</v>
      </c>
      <c r="X126" s="490"/>
      <c r="Y126" s="490"/>
      <c r="Z126" s="490"/>
      <c r="AA126" s="490"/>
      <c r="AB126" s="490"/>
      <c r="AC126" s="490"/>
      <c r="AD126" s="490"/>
      <c r="AE126" s="490"/>
      <c r="AF126" s="490"/>
      <c r="AG126" s="490"/>
      <c r="AH126" s="490"/>
      <c r="AI126" s="490"/>
      <c r="AJ126" s="490"/>
      <c r="AK126" s="490"/>
      <c r="AL126" s="490"/>
      <c r="AM126" s="490"/>
      <c r="AN126" s="490"/>
      <c r="AO126" s="491"/>
      <c r="AP126" s="253"/>
      <c r="AW126" s="260"/>
      <c r="AX126" s="260"/>
      <c r="AY126" s="260"/>
      <c r="AZ126" s="260"/>
      <c r="BA126" s="260"/>
      <c r="BB126" s="260"/>
      <c r="BC126" s="260"/>
      <c r="BD126" s="260"/>
      <c r="BE126" s="260"/>
      <c r="BF126" s="260"/>
      <c r="BG126" s="260"/>
      <c r="BH126" s="260"/>
      <c r="BI126" s="260"/>
      <c r="BJ126" s="260"/>
      <c r="BK126" s="260"/>
      <c r="BL126" s="260"/>
      <c r="BM126" s="260"/>
      <c r="BN126" s="260"/>
      <c r="BO126" s="260"/>
    </row>
    <row r="127" spans="2:67" ht="9.9499999999999993" hidden="1" customHeight="1" x14ac:dyDescent="0.25">
      <c r="B127" s="249"/>
      <c r="C127" s="330"/>
      <c r="D127" s="331"/>
      <c r="E127" s="331"/>
      <c r="F127" s="331"/>
      <c r="G127" s="331"/>
      <c r="H127" s="331"/>
      <c r="I127" s="331"/>
      <c r="J127" s="331"/>
      <c r="K127" s="331"/>
      <c r="L127" s="331"/>
      <c r="M127" s="331"/>
      <c r="N127" s="331"/>
      <c r="O127" s="331"/>
      <c r="P127" s="331"/>
      <c r="Q127" s="331"/>
      <c r="R127" s="331"/>
      <c r="S127" s="331"/>
      <c r="T127" s="331"/>
      <c r="U127" s="331"/>
      <c r="V127" s="264"/>
      <c r="W127" s="492"/>
      <c r="X127" s="493"/>
      <c r="Y127" s="493"/>
      <c r="Z127" s="493"/>
      <c r="AA127" s="493"/>
      <c r="AB127" s="493"/>
      <c r="AC127" s="493"/>
      <c r="AD127" s="493"/>
      <c r="AE127" s="493"/>
      <c r="AF127" s="493"/>
      <c r="AG127" s="493"/>
      <c r="AH127" s="493"/>
      <c r="AI127" s="493"/>
      <c r="AJ127" s="493"/>
      <c r="AK127" s="493"/>
      <c r="AL127" s="493"/>
      <c r="AM127" s="493"/>
      <c r="AN127" s="493"/>
      <c r="AO127" s="494"/>
      <c r="AP127" s="253"/>
      <c r="AW127" s="260"/>
      <c r="AX127" s="260"/>
      <c r="AY127" s="260"/>
      <c r="AZ127" s="260"/>
      <c r="BA127" s="260"/>
      <c r="BB127" s="260"/>
      <c r="BC127" s="260"/>
      <c r="BD127" s="260"/>
      <c r="BE127" s="260"/>
      <c r="BF127" s="260"/>
      <c r="BG127" s="260"/>
      <c r="BH127" s="260"/>
      <c r="BI127" s="260"/>
      <c r="BJ127" s="260"/>
      <c r="BK127" s="260"/>
      <c r="BL127" s="260"/>
      <c r="BM127" s="260"/>
      <c r="BN127" s="260"/>
      <c r="BO127" s="260"/>
    </row>
    <row r="128" spans="2:67" ht="9.9499999999999993" hidden="1" customHeight="1" x14ac:dyDescent="0.25">
      <c r="B128" s="249"/>
      <c r="C128" s="331"/>
      <c r="D128" s="331"/>
      <c r="E128" s="331"/>
      <c r="F128" s="331"/>
      <c r="G128" s="331"/>
      <c r="H128" s="331"/>
      <c r="I128" s="331"/>
      <c r="J128" s="331"/>
      <c r="K128" s="331"/>
      <c r="L128" s="331"/>
      <c r="M128" s="331"/>
      <c r="N128" s="331"/>
      <c r="O128" s="331"/>
      <c r="P128" s="331"/>
      <c r="Q128" s="331"/>
      <c r="R128" s="331"/>
      <c r="S128" s="331"/>
      <c r="T128" s="331"/>
      <c r="U128" s="331"/>
      <c r="V128" s="264"/>
      <c r="W128" s="492"/>
      <c r="X128" s="493"/>
      <c r="Y128" s="493"/>
      <c r="Z128" s="493"/>
      <c r="AA128" s="493"/>
      <c r="AB128" s="493"/>
      <c r="AC128" s="493"/>
      <c r="AD128" s="493"/>
      <c r="AE128" s="493"/>
      <c r="AF128" s="493"/>
      <c r="AG128" s="493"/>
      <c r="AH128" s="493"/>
      <c r="AI128" s="493"/>
      <c r="AJ128" s="493"/>
      <c r="AK128" s="493"/>
      <c r="AL128" s="493"/>
      <c r="AM128" s="493"/>
      <c r="AN128" s="493"/>
      <c r="AO128" s="494"/>
      <c r="AP128" s="253"/>
      <c r="AW128" s="260"/>
      <c r="AX128" s="260"/>
      <c r="AY128" s="260"/>
      <c r="AZ128" s="260"/>
      <c r="BA128" s="260"/>
      <c r="BB128" s="260"/>
      <c r="BC128" s="260"/>
      <c r="BD128" s="260"/>
      <c r="BE128" s="260"/>
      <c r="BF128" s="260"/>
      <c r="BG128" s="260"/>
      <c r="BH128" s="260"/>
      <c r="BI128" s="260"/>
      <c r="BJ128" s="260"/>
      <c r="BK128" s="260"/>
      <c r="BL128" s="260"/>
      <c r="BM128" s="260"/>
      <c r="BN128" s="260"/>
      <c r="BO128" s="260"/>
    </row>
    <row r="129" spans="2:67" ht="9.9499999999999993" hidden="1" customHeight="1" x14ac:dyDescent="0.25">
      <c r="B129" s="249"/>
      <c r="C129" s="331"/>
      <c r="D129" s="331"/>
      <c r="E129" s="331"/>
      <c r="F129" s="331"/>
      <c r="G129" s="331"/>
      <c r="H129" s="331"/>
      <c r="I129" s="331"/>
      <c r="J129" s="331"/>
      <c r="K129" s="331"/>
      <c r="L129" s="331"/>
      <c r="M129" s="331"/>
      <c r="N129" s="331"/>
      <c r="O129" s="331"/>
      <c r="P129" s="331"/>
      <c r="Q129" s="331"/>
      <c r="R129" s="331"/>
      <c r="S129" s="331"/>
      <c r="T129" s="331"/>
      <c r="U129" s="331"/>
      <c r="V129" s="264"/>
      <c r="W129" s="492"/>
      <c r="X129" s="493"/>
      <c r="Y129" s="493"/>
      <c r="Z129" s="493"/>
      <c r="AA129" s="493"/>
      <c r="AB129" s="493"/>
      <c r="AC129" s="493"/>
      <c r="AD129" s="493"/>
      <c r="AE129" s="493"/>
      <c r="AF129" s="493"/>
      <c r="AG129" s="493"/>
      <c r="AH129" s="493"/>
      <c r="AI129" s="493"/>
      <c r="AJ129" s="493"/>
      <c r="AK129" s="493"/>
      <c r="AL129" s="493"/>
      <c r="AM129" s="493"/>
      <c r="AN129" s="493"/>
      <c r="AO129" s="494"/>
      <c r="AP129" s="253"/>
      <c r="AW129" s="260"/>
      <c r="AX129" s="260"/>
      <c r="AY129" s="260"/>
      <c r="AZ129" s="260"/>
      <c r="BA129" s="260"/>
      <c r="BB129" s="260"/>
      <c r="BC129" s="260"/>
      <c r="BD129" s="260"/>
      <c r="BE129" s="260"/>
      <c r="BF129" s="260"/>
      <c r="BG129" s="260"/>
      <c r="BH129" s="260"/>
      <c r="BI129" s="260"/>
      <c r="BJ129" s="260"/>
      <c r="BK129" s="260"/>
      <c r="BL129" s="260"/>
      <c r="BM129" s="260"/>
      <c r="BN129" s="260"/>
      <c r="BO129" s="260"/>
    </row>
    <row r="130" spans="2:67" ht="9.9499999999999993" hidden="1" customHeight="1" x14ac:dyDescent="0.25">
      <c r="B130" s="249"/>
      <c r="C130" s="331"/>
      <c r="D130" s="331"/>
      <c r="E130" s="331"/>
      <c r="F130" s="331"/>
      <c r="G130" s="331"/>
      <c r="H130" s="331"/>
      <c r="I130" s="331"/>
      <c r="J130" s="331"/>
      <c r="K130" s="331"/>
      <c r="L130" s="331"/>
      <c r="M130" s="331"/>
      <c r="N130" s="331"/>
      <c r="O130" s="331"/>
      <c r="P130" s="331"/>
      <c r="Q130" s="331"/>
      <c r="R130" s="331"/>
      <c r="S130" s="331"/>
      <c r="T130" s="331"/>
      <c r="U130" s="331"/>
      <c r="V130" s="264"/>
      <c r="W130" s="492"/>
      <c r="X130" s="493"/>
      <c r="Y130" s="493"/>
      <c r="Z130" s="493"/>
      <c r="AA130" s="493"/>
      <c r="AB130" s="493"/>
      <c r="AC130" s="493"/>
      <c r="AD130" s="493"/>
      <c r="AE130" s="493"/>
      <c r="AF130" s="493"/>
      <c r="AG130" s="493"/>
      <c r="AH130" s="493"/>
      <c r="AI130" s="493"/>
      <c r="AJ130" s="493"/>
      <c r="AK130" s="493"/>
      <c r="AL130" s="493"/>
      <c r="AM130" s="493"/>
      <c r="AN130" s="493"/>
      <c r="AO130" s="494"/>
      <c r="AP130" s="253"/>
      <c r="AW130" s="260"/>
      <c r="AX130" s="260"/>
      <c r="AY130" s="260"/>
      <c r="AZ130" s="260"/>
      <c r="BA130" s="260"/>
      <c r="BB130" s="260"/>
      <c r="BC130" s="260"/>
      <c r="BD130" s="260"/>
      <c r="BE130" s="260"/>
      <c r="BF130" s="260"/>
      <c r="BG130" s="260"/>
      <c r="BH130" s="260"/>
      <c r="BI130" s="260"/>
      <c r="BJ130" s="260"/>
      <c r="BK130" s="260"/>
      <c r="BL130" s="260"/>
      <c r="BM130" s="260"/>
      <c r="BN130" s="260"/>
      <c r="BO130" s="260"/>
    </row>
    <row r="131" spans="2:67" ht="9.9499999999999993" hidden="1" customHeight="1" x14ac:dyDescent="0.25">
      <c r="B131" s="249"/>
      <c r="C131" s="331"/>
      <c r="D131" s="331"/>
      <c r="E131" s="331"/>
      <c r="F131" s="331"/>
      <c r="G131" s="331"/>
      <c r="H131" s="331"/>
      <c r="I131" s="331"/>
      <c r="J131" s="331"/>
      <c r="K131" s="331"/>
      <c r="L131" s="331"/>
      <c r="M131" s="331"/>
      <c r="N131" s="331"/>
      <c r="O131" s="331"/>
      <c r="P131" s="331"/>
      <c r="Q131" s="331"/>
      <c r="R131" s="331"/>
      <c r="S131" s="331"/>
      <c r="T131" s="331"/>
      <c r="U131" s="331"/>
      <c r="V131" s="264"/>
      <c r="W131" s="492"/>
      <c r="X131" s="493"/>
      <c r="Y131" s="493"/>
      <c r="Z131" s="493"/>
      <c r="AA131" s="493"/>
      <c r="AB131" s="493"/>
      <c r="AC131" s="493"/>
      <c r="AD131" s="493"/>
      <c r="AE131" s="493"/>
      <c r="AF131" s="493"/>
      <c r="AG131" s="493"/>
      <c r="AH131" s="493"/>
      <c r="AI131" s="493"/>
      <c r="AJ131" s="493"/>
      <c r="AK131" s="493"/>
      <c r="AL131" s="493"/>
      <c r="AM131" s="493"/>
      <c r="AN131" s="493"/>
      <c r="AO131" s="494"/>
      <c r="AP131" s="253"/>
      <c r="AW131" s="260"/>
      <c r="AX131" s="260"/>
      <c r="AY131" s="260"/>
      <c r="AZ131" s="260"/>
      <c r="BA131" s="260"/>
      <c r="BB131" s="260"/>
      <c r="BC131" s="260"/>
      <c r="BD131" s="260"/>
      <c r="BE131" s="260"/>
      <c r="BF131" s="260"/>
      <c r="BG131" s="260"/>
      <c r="BH131" s="260"/>
      <c r="BI131" s="260"/>
      <c r="BJ131" s="260"/>
      <c r="BK131" s="260"/>
      <c r="BL131" s="260"/>
      <c r="BM131" s="260"/>
      <c r="BN131" s="260"/>
      <c r="BO131" s="260"/>
    </row>
    <row r="132" spans="2:67" ht="9.9499999999999993" hidden="1" customHeight="1" x14ac:dyDescent="0.25">
      <c r="B132" s="249"/>
      <c r="C132" s="331"/>
      <c r="D132" s="331"/>
      <c r="E132" s="331"/>
      <c r="F132" s="331"/>
      <c r="G132" s="331"/>
      <c r="H132" s="331"/>
      <c r="I132" s="331"/>
      <c r="J132" s="331"/>
      <c r="K132" s="331"/>
      <c r="L132" s="331"/>
      <c r="M132" s="331"/>
      <c r="N132" s="331"/>
      <c r="O132" s="331"/>
      <c r="P132" s="331"/>
      <c r="Q132" s="331"/>
      <c r="R132" s="331"/>
      <c r="S132" s="331"/>
      <c r="T132" s="331"/>
      <c r="U132" s="331"/>
      <c r="V132" s="264"/>
      <c r="W132" s="492"/>
      <c r="X132" s="493"/>
      <c r="Y132" s="493"/>
      <c r="Z132" s="493"/>
      <c r="AA132" s="493"/>
      <c r="AB132" s="493"/>
      <c r="AC132" s="493"/>
      <c r="AD132" s="493"/>
      <c r="AE132" s="493"/>
      <c r="AF132" s="493"/>
      <c r="AG132" s="493"/>
      <c r="AH132" s="493"/>
      <c r="AI132" s="493"/>
      <c r="AJ132" s="493"/>
      <c r="AK132" s="493"/>
      <c r="AL132" s="493"/>
      <c r="AM132" s="493"/>
      <c r="AN132" s="493"/>
      <c r="AO132" s="494"/>
      <c r="AP132" s="253"/>
      <c r="AW132" s="260"/>
      <c r="AX132" s="260"/>
      <c r="AY132" s="260"/>
      <c r="AZ132" s="260"/>
      <c r="BA132" s="260"/>
      <c r="BB132" s="260"/>
      <c r="BC132" s="260"/>
      <c r="BD132" s="260"/>
      <c r="BE132" s="260"/>
      <c r="BF132" s="260"/>
      <c r="BG132" s="260"/>
      <c r="BH132" s="260"/>
      <c r="BI132" s="260"/>
      <c r="BJ132" s="260"/>
      <c r="BK132" s="260"/>
      <c r="BL132" s="260"/>
      <c r="BM132" s="260"/>
      <c r="BN132" s="260"/>
      <c r="BO132" s="260"/>
    </row>
    <row r="133" spans="2:67" ht="9.9499999999999993" hidden="1" customHeight="1" x14ac:dyDescent="0.25">
      <c r="B133" s="249"/>
      <c r="C133" s="331"/>
      <c r="D133" s="331"/>
      <c r="E133" s="331"/>
      <c r="F133" s="331"/>
      <c r="G133" s="331"/>
      <c r="H133" s="331"/>
      <c r="I133" s="331"/>
      <c r="J133" s="331"/>
      <c r="K133" s="331"/>
      <c r="L133" s="331"/>
      <c r="M133" s="331"/>
      <c r="N133" s="331"/>
      <c r="O133" s="331"/>
      <c r="P133" s="331"/>
      <c r="Q133" s="331"/>
      <c r="R133" s="331"/>
      <c r="S133" s="331"/>
      <c r="T133" s="331"/>
      <c r="U133" s="331"/>
      <c r="V133" s="264"/>
      <c r="W133" s="492"/>
      <c r="X133" s="493"/>
      <c r="Y133" s="493"/>
      <c r="Z133" s="493"/>
      <c r="AA133" s="493"/>
      <c r="AB133" s="493"/>
      <c r="AC133" s="493"/>
      <c r="AD133" s="493"/>
      <c r="AE133" s="493"/>
      <c r="AF133" s="493"/>
      <c r="AG133" s="493"/>
      <c r="AH133" s="493"/>
      <c r="AI133" s="493"/>
      <c r="AJ133" s="493"/>
      <c r="AK133" s="493"/>
      <c r="AL133" s="493"/>
      <c r="AM133" s="493"/>
      <c r="AN133" s="493"/>
      <c r="AO133" s="494"/>
      <c r="AP133" s="253"/>
      <c r="AW133" s="260"/>
      <c r="AX133" s="260"/>
      <c r="AY133" s="260"/>
      <c r="AZ133" s="260"/>
      <c r="BA133" s="260"/>
      <c r="BB133" s="260"/>
      <c r="BC133" s="260"/>
      <c r="BD133" s="260"/>
      <c r="BE133" s="260"/>
      <c r="BF133" s="260"/>
      <c r="BG133" s="260"/>
      <c r="BH133" s="260"/>
      <c r="BI133" s="260"/>
      <c r="BJ133" s="260"/>
      <c r="BK133" s="260"/>
      <c r="BL133" s="260"/>
      <c r="BM133" s="260"/>
      <c r="BN133" s="260"/>
      <c r="BO133" s="260"/>
    </row>
    <row r="134" spans="2:67" ht="9.9499999999999993" hidden="1" customHeight="1" x14ac:dyDescent="0.25">
      <c r="B134" s="249"/>
      <c r="C134" s="331"/>
      <c r="D134" s="331"/>
      <c r="E134" s="331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31"/>
      <c r="R134" s="331"/>
      <c r="S134" s="331"/>
      <c r="T134" s="331"/>
      <c r="U134" s="331"/>
      <c r="V134" s="264"/>
      <c r="W134" s="492"/>
      <c r="X134" s="493"/>
      <c r="Y134" s="493"/>
      <c r="Z134" s="493"/>
      <c r="AA134" s="493"/>
      <c r="AB134" s="493"/>
      <c r="AC134" s="493"/>
      <c r="AD134" s="493"/>
      <c r="AE134" s="493"/>
      <c r="AF134" s="493"/>
      <c r="AG134" s="493"/>
      <c r="AH134" s="493"/>
      <c r="AI134" s="493"/>
      <c r="AJ134" s="493"/>
      <c r="AK134" s="493"/>
      <c r="AL134" s="493"/>
      <c r="AM134" s="493"/>
      <c r="AN134" s="493"/>
      <c r="AO134" s="494"/>
      <c r="AP134" s="253"/>
      <c r="AW134" s="260"/>
      <c r="AX134" s="260"/>
      <c r="AY134" s="260"/>
      <c r="AZ134" s="260"/>
      <c r="BA134" s="260"/>
      <c r="BB134" s="260"/>
      <c r="BC134" s="260"/>
      <c r="BD134" s="260"/>
      <c r="BE134" s="260"/>
      <c r="BF134" s="260"/>
      <c r="BG134" s="260"/>
      <c r="BH134" s="260"/>
      <c r="BI134" s="260"/>
      <c r="BJ134" s="260"/>
      <c r="BK134" s="260"/>
      <c r="BL134" s="260"/>
      <c r="BM134" s="260"/>
      <c r="BN134" s="260"/>
      <c r="BO134" s="260"/>
    </row>
    <row r="135" spans="2:67" ht="9.9499999999999993" hidden="1" customHeight="1" x14ac:dyDescent="0.25">
      <c r="B135" s="249"/>
      <c r="C135" s="331"/>
      <c r="D135" s="331"/>
      <c r="E135" s="331"/>
      <c r="F135" s="331"/>
      <c r="G135" s="331"/>
      <c r="H135" s="331"/>
      <c r="I135" s="331"/>
      <c r="J135" s="331"/>
      <c r="K135" s="331"/>
      <c r="L135" s="331"/>
      <c r="M135" s="331"/>
      <c r="N135" s="331"/>
      <c r="O135" s="331"/>
      <c r="P135" s="331"/>
      <c r="Q135" s="331"/>
      <c r="R135" s="331"/>
      <c r="S135" s="331"/>
      <c r="T135" s="331"/>
      <c r="U135" s="331"/>
      <c r="V135" s="264"/>
      <c r="W135" s="492"/>
      <c r="X135" s="493"/>
      <c r="Y135" s="493"/>
      <c r="Z135" s="493"/>
      <c r="AA135" s="493"/>
      <c r="AB135" s="493"/>
      <c r="AC135" s="493"/>
      <c r="AD135" s="493"/>
      <c r="AE135" s="493"/>
      <c r="AF135" s="493"/>
      <c r="AG135" s="493"/>
      <c r="AH135" s="493"/>
      <c r="AI135" s="493"/>
      <c r="AJ135" s="493"/>
      <c r="AK135" s="493"/>
      <c r="AL135" s="493"/>
      <c r="AM135" s="493"/>
      <c r="AN135" s="493"/>
      <c r="AO135" s="494"/>
      <c r="AP135" s="253"/>
      <c r="AW135" s="260"/>
      <c r="AX135" s="260"/>
      <c r="AY135" s="260"/>
      <c r="AZ135" s="260"/>
      <c r="BA135" s="260"/>
      <c r="BB135" s="260"/>
      <c r="BC135" s="260"/>
      <c r="BD135" s="260"/>
      <c r="BE135" s="260"/>
      <c r="BF135" s="260"/>
      <c r="BG135" s="260"/>
      <c r="BH135" s="260"/>
      <c r="BI135" s="260"/>
      <c r="BJ135" s="260"/>
      <c r="BK135" s="260"/>
      <c r="BL135" s="260"/>
      <c r="BM135" s="260"/>
      <c r="BN135" s="260"/>
      <c r="BO135" s="260"/>
    </row>
    <row r="136" spans="2:67" ht="9.9499999999999993" hidden="1" customHeight="1" x14ac:dyDescent="0.25">
      <c r="B136" s="249"/>
      <c r="C136" s="331"/>
      <c r="D136" s="331"/>
      <c r="E136" s="331"/>
      <c r="F136" s="331"/>
      <c r="G136" s="331"/>
      <c r="H136" s="331"/>
      <c r="I136" s="331"/>
      <c r="J136" s="331"/>
      <c r="K136" s="331"/>
      <c r="L136" s="331"/>
      <c r="M136" s="331"/>
      <c r="N136" s="331"/>
      <c r="O136" s="331"/>
      <c r="P136" s="331"/>
      <c r="Q136" s="331"/>
      <c r="R136" s="331"/>
      <c r="S136" s="331"/>
      <c r="T136" s="331"/>
      <c r="U136" s="331"/>
      <c r="V136" s="264"/>
      <c r="W136" s="492"/>
      <c r="X136" s="493"/>
      <c r="Y136" s="493"/>
      <c r="Z136" s="493"/>
      <c r="AA136" s="493"/>
      <c r="AB136" s="493"/>
      <c r="AC136" s="493"/>
      <c r="AD136" s="493"/>
      <c r="AE136" s="493"/>
      <c r="AF136" s="493"/>
      <c r="AG136" s="493"/>
      <c r="AH136" s="493"/>
      <c r="AI136" s="493"/>
      <c r="AJ136" s="493"/>
      <c r="AK136" s="493"/>
      <c r="AL136" s="493"/>
      <c r="AM136" s="493"/>
      <c r="AN136" s="493"/>
      <c r="AO136" s="494"/>
      <c r="AP136" s="253"/>
      <c r="AW136" s="260"/>
      <c r="AX136" s="260"/>
      <c r="AY136" s="260"/>
      <c r="AZ136" s="260"/>
      <c r="BA136" s="260"/>
      <c r="BB136" s="260"/>
      <c r="BC136" s="260"/>
      <c r="BD136" s="260"/>
      <c r="BE136" s="260"/>
      <c r="BF136" s="260"/>
      <c r="BG136" s="260"/>
      <c r="BH136" s="260"/>
      <c r="BI136" s="260"/>
      <c r="BJ136" s="260"/>
      <c r="BK136" s="260"/>
      <c r="BL136" s="260"/>
      <c r="BM136" s="260"/>
      <c r="BN136" s="260"/>
      <c r="BO136" s="260"/>
    </row>
    <row r="137" spans="2:67" ht="9.9499999999999993" hidden="1" customHeight="1" x14ac:dyDescent="0.25">
      <c r="B137" s="249"/>
      <c r="C137" s="331"/>
      <c r="D137" s="331"/>
      <c r="E137" s="331"/>
      <c r="F137" s="331"/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264"/>
      <c r="W137" s="492"/>
      <c r="X137" s="493"/>
      <c r="Y137" s="493"/>
      <c r="Z137" s="493"/>
      <c r="AA137" s="493"/>
      <c r="AB137" s="493"/>
      <c r="AC137" s="493"/>
      <c r="AD137" s="493"/>
      <c r="AE137" s="493"/>
      <c r="AF137" s="493"/>
      <c r="AG137" s="493"/>
      <c r="AH137" s="493"/>
      <c r="AI137" s="493"/>
      <c r="AJ137" s="493"/>
      <c r="AK137" s="493"/>
      <c r="AL137" s="493"/>
      <c r="AM137" s="493"/>
      <c r="AN137" s="493"/>
      <c r="AO137" s="494"/>
      <c r="AP137" s="253"/>
      <c r="AW137" s="260"/>
      <c r="AX137" s="260"/>
      <c r="AY137" s="260"/>
      <c r="AZ137" s="260"/>
      <c r="BA137" s="260"/>
      <c r="BB137" s="260"/>
      <c r="BC137" s="260"/>
      <c r="BD137" s="260"/>
      <c r="BE137" s="260"/>
      <c r="BF137" s="260"/>
      <c r="BG137" s="260"/>
      <c r="BH137" s="260"/>
      <c r="BI137" s="260"/>
      <c r="BJ137" s="260"/>
      <c r="BK137" s="260"/>
      <c r="BL137" s="260"/>
      <c r="BM137" s="260"/>
      <c r="BN137" s="260"/>
      <c r="BO137" s="260"/>
    </row>
    <row r="138" spans="2:67" ht="9.9499999999999993" hidden="1" customHeight="1" x14ac:dyDescent="0.25">
      <c r="B138" s="249"/>
      <c r="C138" s="331"/>
      <c r="D138" s="331"/>
      <c r="E138" s="331"/>
      <c r="F138" s="331"/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261"/>
      <c r="W138" s="492"/>
      <c r="X138" s="493"/>
      <c r="Y138" s="493"/>
      <c r="Z138" s="493"/>
      <c r="AA138" s="493"/>
      <c r="AB138" s="493"/>
      <c r="AC138" s="493"/>
      <c r="AD138" s="493"/>
      <c r="AE138" s="493"/>
      <c r="AF138" s="493"/>
      <c r="AG138" s="493"/>
      <c r="AH138" s="493"/>
      <c r="AI138" s="493"/>
      <c r="AJ138" s="493"/>
      <c r="AK138" s="493"/>
      <c r="AL138" s="493"/>
      <c r="AM138" s="493"/>
      <c r="AN138" s="493"/>
      <c r="AO138" s="494"/>
      <c r="AP138" s="253"/>
      <c r="AW138" s="260"/>
      <c r="AX138" s="260"/>
      <c r="AY138" s="260"/>
      <c r="AZ138" s="260"/>
      <c r="BA138" s="260"/>
      <c r="BB138" s="260"/>
      <c r="BC138" s="260"/>
      <c r="BD138" s="260"/>
      <c r="BE138" s="260"/>
      <c r="BF138" s="260"/>
      <c r="BG138" s="260"/>
      <c r="BH138" s="260"/>
      <c r="BI138" s="260"/>
      <c r="BJ138" s="260"/>
      <c r="BK138" s="260"/>
      <c r="BL138" s="260"/>
      <c r="BM138" s="260"/>
      <c r="BN138" s="260"/>
      <c r="BO138" s="260"/>
    </row>
    <row r="139" spans="2:67" ht="9.9499999999999993" hidden="1" customHeight="1" x14ac:dyDescent="0.25">
      <c r="B139" s="249"/>
      <c r="C139" s="331"/>
      <c r="D139" s="331"/>
      <c r="E139" s="331"/>
      <c r="F139" s="331"/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261"/>
      <c r="W139" s="492"/>
      <c r="X139" s="493"/>
      <c r="Y139" s="493"/>
      <c r="Z139" s="493"/>
      <c r="AA139" s="493"/>
      <c r="AB139" s="493"/>
      <c r="AC139" s="493"/>
      <c r="AD139" s="493"/>
      <c r="AE139" s="493"/>
      <c r="AF139" s="493"/>
      <c r="AG139" s="493"/>
      <c r="AH139" s="493"/>
      <c r="AI139" s="493"/>
      <c r="AJ139" s="493"/>
      <c r="AK139" s="493"/>
      <c r="AL139" s="493"/>
      <c r="AM139" s="493"/>
      <c r="AN139" s="493"/>
      <c r="AO139" s="494"/>
      <c r="AP139" s="253"/>
      <c r="AW139" s="260"/>
      <c r="AX139" s="260"/>
      <c r="AY139" s="260"/>
      <c r="AZ139" s="260"/>
      <c r="BA139" s="260"/>
      <c r="BB139" s="260"/>
      <c r="BC139" s="260"/>
      <c r="BD139" s="260"/>
      <c r="BE139" s="260"/>
      <c r="BF139" s="260"/>
      <c r="BG139" s="260"/>
      <c r="BH139" s="260"/>
      <c r="BI139" s="260"/>
      <c r="BJ139" s="260"/>
      <c r="BK139" s="260"/>
      <c r="BL139" s="260"/>
      <c r="BM139" s="260"/>
      <c r="BN139" s="260"/>
      <c r="BO139" s="260"/>
    </row>
    <row r="140" spans="2:67" ht="9.9499999999999993" hidden="1" customHeight="1" x14ac:dyDescent="0.25">
      <c r="B140" s="249"/>
      <c r="C140" s="488"/>
      <c r="D140" s="488"/>
      <c r="E140" s="488"/>
      <c r="F140" s="488"/>
      <c r="G140" s="488"/>
      <c r="H140" s="488"/>
      <c r="I140" s="488"/>
      <c r="J140" s="488"/>
      <c r="K140" s="488"/>
      <c r="L140" s="488"/>
      <c r="M140" s="488"/>
      <c r="N140" s="488"/>
      <c r="O140" s="488"/>
      <c r="P140" s="488"/>
      <c r="Q140" s="488"/>
      <c r="R140" s="488"/>
      <c r="S140" s="488"/>
      <c r="T140" s="488"/>
      <c r="U140" s="488"/>
      <c r="V140" s="261"/>
      <c r="W140" s="395"/>
      <c r="X140" s="396"/>
      <c r="Y140" s="396"/>
      <c r="Z140" s="396"/>
      <c r="AA140" s="396"/>
      <c r="AB140" s="396"/>
      <c r="AC140" s="396"/>
      <c r="AD140" s="396"/>
      <c r="AE140" s="396"/>
      <c r="AF140" s="396"/>
      <c r="AG140" s="396"/>
      <c r="AH140" s="396"/>
      <c r="AI140" s="396"/>
      <c r="AJ140" s="396"/>
      <c r="AK140" s="396"/>
      <c r="AL140" s="396"/>
      <c r="AM140" s="396"/>
      <c r="AN140" s="396"/>
      <c r="AO140" s="397"/>
      <c r="AP140" s="253"/>
      <c r="AR140" t="s">
        <v>52</v>
      </c>
    </row>
    <row r="141" spans="2:67" ht="9.9499999999999993" hidden="1" customHeight="1" x14ac:dyDescent="0.25"/>
    <row r="142" spans="2:67" ht="9.9499999999999993" hidden="1" customHeight="1" x14ac:dyDescent="0.25">
      <c r="B142" s="249"/>
      <c r="C142" s="489" t="s">
        <v>100</v>
      </c>
      <c r="D142" s="490"/>
      <c r="E142" s="490"/>
      <c r="F142" s="490"/>
      <c r="G142" s="490"/>
      <c r="H142" s="490"/>
      <c r="I142" s="490"/>
      <c r="J142" s="490"/>
      <c r="K142" s="490"/>
      <c r="L142" s="490"/>
      <c r="M142" s="490"/>
      <c r="N142" s="490"/>
      <c r="O142" s="490"/>
      <c r="P142" s="490"/>
      <c r="Q142" s="490"/>
      <c r="R142" s="490"/>
      <c r="S142" s="490"/>
      <c r="T142" s="490"/>
      <c r="U142" s="491"/>
      <c r="V142" s="261"/>
      <c r="W142" s="489" t="s">
        <v>101</v>
      </c>
      <c r="X142" s="490"/>
      <c r="Y142" s="490"/>
      <c r="Z142" s="490"/>
      <c r="AA142" s="490"/>
      <c r="AB142" s="490"/>
      <c r="AC142" s="490"/>
      <c r="AD142" s="490"/>
      <c r="AE142" s="490"/>
      <c r="AF142" s="490"/>
      <c r="AG142" s="490"/>
      <c r="AH142" s="490"/>
      <c r="AI142" s="490"/>
      <c r="AJ142" s="490"/>
      <c r="AK142" s="490"/>
      <c r="AL142" s="490"/>
      <c r="AM142" s="490"/>
      <c r="AN142" s="490"/>
      <c r="AO142" s="491"/>
      <c r="AP142" s="253"/>
    </row>
    <row r="143" spans="2:67" ht="9.9499999999999993" hidden="1" customHeight="1" x14ac:dyDescent="0.25">
      <c r="B143" s="342"/>
      <c r="C143" s="528"/>
      <c r="D143" s="529"/>
      <c r="E143" s="529"/>
      <c r="F143" s="529"/>
      <c r="G143" s="529"/>
      <c r="H143" s="529"/>
      <c r="I143" s="529"/>
      <c r="J143" s="529"/>
      <c r="K143" s="529"/>
      <c r="L143" s="529"/>
      <c r="M143" s="529"/>
      <c r="N143" s="529"/>
      <c r="O143" s="529"/>
      <c r="P143" s="529"/>
      <c r="Q143" s="529"/>
      <c r="R143" s="529"/>
      <c r="S143" s="529"/>
      <c r="T143" s="529"/>
      <c r="U143" s="530"/>
      <c r="V143" s="527"/>
      <c r="W143" s="528"/>
      <c r="X143" s="529"/>
      <c r="Y143" s="529"/>
      <c r="Z143" s="529"/>
      <c r="AA143" s="529"/>
      <c r="AB143" s="529"/>
      <c r="AC143" s="529"/>
      <c r="AD143" s="529"/>
      <c r="AE143" s="529"/>
      <c r="AF143" s="529"/>
      <c r="AG143" s="529"/>
      <c r="AH143" s="529"/>
      <c r="AI143" s="529"/>
      <c r="AJ143" s="529"/>
      <c r="AK143" s="529"/>
      <c r="AL143" s="529"/>
      <c r="AM143" s="529"/>
      <c r="AN143" s="529"/>
      <c r="AO143" s="530"/>
      <c r="AP143" s="391"/>
    </row>
    <row r="144" spans="2:67" ht="9.9499999999999993" hidden="1" customHeight="1" x14ac:dyDescent="0.25">
      <c r="B144" s="342"/>
      <c r="C144" s="492"/>
      <c r="D144" s="493"/>
      <c r="E144" s="493"/>
      <c r="F144" s="493"/>
      <c r="G144" s="493"/>
      <c r="H144" s="493"/>
      <c r="I144" s="493"/>
      <c r="J144" s="493"/>
      <c r="K144" s="493"/>
      <c r="L144" s="493"/>
      <c r="M144" s="493"/>
      <c r="N144" s="493"/>
      <c r="O144" s="493"/>
      <c r="P144" s="493"/>
      <c r="Q144" s="493"/>
      <c r="R144" s="493"/>
      <c r="S144" s="493"/>
      <c r="T144" s="493"/>
      <c r="U144" s="494"/>
      <c r="V144" s="527"/>
      <c r="W144" s="492"/>
      <c r="X144" s="493"/>
      <c r="Y144" s="493"/>
      <c r="Z144" s="493"/>
      <c r="AA144" s="493"/>
      <c r="AB144" s="493"/>
      <c r="AC144" s="493"/>
      <c r="AD144" s="493"/>
      <c r="AE144" s="493"/>
      <c r="AF144" s="493"/>
      <c r="AG144" s="493"/>
      <c r="AH144" s="493"/>
      <c r="AI144" s="493"/>
      <c r="AJ144" s="493"/>
      <c r="AK144" s="493"/>
      <c r="AL144" s="493"/>
      <c r="AM144" s="493"/>
      <c r="AN144" s="493"/>
      <c r="AO144" s="494"/>
      <c r="AP144" s="391"/>
    </row>
    <row r="145" spans="2:42" ht="9.9499999999999993" hidden="1" customHeight="1" x14ac:dyDescent="0.25">
      <c r="B145" s="342"/>
      <c r="C145" s="492"/>
      <c r="D145" s="493"/>
      <c r="E145" s="493"/>
      <c r="F145" s="493"/>
      <c r="G145" s="493"/>
      <c r="H145" s="493"/>
      <c r="I145" s="493"/>
      <c r="J145" s="493"/>
      <c r="K145" s="493"/>
      <c r="L145" s="493"/>
      <c r="M145" s="493"/>
      <c r="N145" s="493"/>
      <c r="O145" s="493"/>
      <c r="P145" s="493"/>
      <c r="Q145" s="493"/>
      <c r="R145" s="493"/>
      <c r="S145" s="493"/>
      <c r="T145" s="493"/>
      <c r="U145" s="494"/>
      <c r="V145" s="527"/>
      <c r="W145" s="492"/>
      <c r="X145" s="493"/>
      <c r="Y145" s="493"/>
      <c r="Z145" s="493"/>
      <c r="AA145" s="493"/>
      <c r="AB145" s="493"/>
      <c r="AC145" s="493"/>
      <c r="AD145" s="493"/>
      <c r="AE145" s="493"/>
      <c r="AF145" s="493"/>
      <c r="AG145" s="493"/>
      <c r="AH145" s="493"/>
      <c r="AI145" s="493"/>
      <c r="AJ145" s="493"/>
      <c r="AK145" s="493"/>
      <c r="AL145" s="493"/>
      <c r="AM145" s="493"/>
      <c r="AN145" s="493"/>
      <c r="AO145" s="494"/>
      <c r="AP145" s="391"/>
    </row>
    <row r="146" spans="2:42" ht="9.9499999999999993" hidden="1" customHeight="1" x14ac:dyDescent="0.25">
      <c r="B146" s="342"/>
      <c r="C146" s="492"/>
      <c r="D146" s="493"/>
      <c r="E146" s="493"/>
      <c r="F146" s="493"/>
      <c r="G146" s="493"/>
      <c r="H146" s="493"/>
      <c r="I146" s="493"/>
      <c r="J146" s="493"/>
      <c r="K146" s="493"/>
      <c r="L146" s="493"/>
      <c r="M146" s="493"/>
      <c r="N146" s="493"/>
      <c r="O146" s="493"/>
      <c r="P146" s="493"/>
      <c r="Q146" s="493"/>
      <c r="R146" s="493"/>
      <c r="S146" s="493"/>
      <c r="T146" s="493"/>
      <c r="U146" s="494"/>
      <c r="V146" s="527"/>
      <c r="W146" s="492"/>
      <c r="X146" s="493"/>
      <c r="Y146" s="493"/>
      <c r="Z146" s="493"/>
      <c r="AA146" s="493"/>
      <c r="AB146" s="493"/>
      <c r="AC146" s="493"/>
      <c r="AD146" s="493"/>
      <c r="AE146" s="493"/>
      <c r="AF146" s="493"/>
      <c r="AG146" s="493"/>
      <c r="AH146" s="493"/>
      <c r="AI146" s="493"/>
      <c r="AJ146" s="493"/>
      <c r="AK146" s="493"/>
      <c r="AL146" s="493"/>
      <c r="AM146" s="493"/>
      <c r="AN146" s="493"/>
      <c r="AO146" s="494"/>
      <c r="AP146" s="391"/>
    </row>
    <row r="147" spans="2:42" ht="9.9499999999999993" hidden="1" customHeight="1" x14ac:dyDescent="0.25">
      <c r="B147" s="342"/>
      <c r="C147" s="492"/>
      <c r="D147" s="493"/>
      <c r="E147" s="493"/>
      <c r="F147" s="493"/>
      <c r="G147" s="493"/>
      <c r="H147" s="493"/>
      <c r="I147" s="493"/>
      <c r="J147" s="493"/>
      <c r="K147" s="493"/>
      <c r="L147" s="493"/>
      <c r="M147" s="493"/>
      <c r="N147" s="493"/>
      <c r="O147" s="493"/>
      <c r="P147" s="493"/>
      <c r="Q147" s="493"/>
      <c r="R147" s="493"/>
      <c r="S147" s="493"/>
      <c r="T147" s="493"/>
      <c r="U147" s="494"/>
      <c r="V147" s="527"/>
      <c r="W147" s="492"/>
      <c r="X147" s="493"/>
      <c r="Y147" s="493"/>
      <c r="Z147" s="493"/>
      <c r="AA147" s="493"/>
      <c r="AB147" s="493"/>
      <c r="AC147" s="493"/>
      <c r="AD147" s="493"/>
      <c r="AE147" s="493"/>
      <c r="AF147" s="493"/>
      <c r="AG147" s="493"/>
      <c r="AH147" s="493"/>
      <c r="AI147" s="493"/>
      <c r="AJ147" s="493"/>
      <c r="AK147" s="493"/>
      <c r="AL147" s="493"/>
      <c r="AM147" s="493"/>
      <c r="AN147" s="493"/>
      <c r="AO147" s="494"/>
      <c r="AP147" s="391"/>
    </row>
    <row r="148" spans="2:42" ht="9.9499999999999993" hidden="1" customHeight="1" x14ac:dyDescent="0.25">
      <c r="B148" s="342"/>
      <c r="C148" s="492"/>
      <c r="D148" s="493"/>
      <c r="E148" s="493"/>
      <c r="F148" s="493"/>
      <c r="G148" s="493"/>
      <c r="H148" s="493"/>
      <c r="I148" s="493"/>
      <c r="J148" s="493"/>
      <c r="K148" s="493"/>
      <c r="L148" s="493"/>
      <c r="M148" s="493"/>
      <c r="N148" s="493"/>
      <c r="O148" s="493"/>
      <c r="P148" s="493"/>
      <c r="Q148" s="493"/>
      <c r="R148" s="493"/>
      <c r="S148" s="493"/>
      <c r="T148" s="493"/>
      <c r="U148" s="494"/>
      <c r="V148" s="527"/>
      <c r="W148" s="492"/>
      <c r="X148" s="493"/>
      <c r="Y148" s="493"/>
      <c r="Z148" s="493"/>
      <c r="AA148" s="493"/>
      <c r="AB148" s="493"/>
      <c r="AC148" s="493"/>
      <c r="AD148" s="493"/>
      <c r="AE148" s="493"/>
      <c r="AF148" s="493"/>
      <c r="AG148" s="493"/>
      <c r="AH148" s="493"/>
      <c r="AI148" s="493"/>
      <c r="AJ148" s="493"/>
      <c r="AK148" s="493"/>
      <c r="AL148" s="493"/>
      <c r="AM148" s="493"/>
      <c r="AN148" s="493"/>
      <c r="AO148" s="494"/>
      <c r="AP148" s="391"/>
    </row>
    <row r="149" spans="2:42" ht="9.9499999999999993" hidden="1" customHeight="1" x14ac:dyDescent="0.25">
      <c r="B149" s="342"/>
      <c r="C149" s="492"/>
      <c r="D149" s="493"/>
      <c r="E149" s="493"/>
      <c r="F149" s="493"/>
      <c r="G149" s="493"/>
      <c r="H149" s="493"/>
      <c r="I149" s="493"/>
      <c r="J149" s="493"/>
      <c r="K149" s="493"/>
      <c r="L149" s="493"/>
      <c r="M149" s="493"/>
      <c r="N149" s="493"/>
      <c r="O149" s="493"/>
      <c r="P149" s="493"/>
      <c r="Q149" s="493"/>
      <c r="R149" s="493"/>
      <c r="S149" s="493"/>
      <c r="T149" s="493"/>
      <c r="U149" s="494"/>
      <c r="V149" s="527"/>
      <c r="W149" s="492"/>
      <c r="X149" s="493"/>
      <c r="Y149" s="493"/>
      <c r="Z149" s="493"/>
      <c r="AA149" s="493"/>
      <c r="AB149" s="493"/>
      <c r="AC149" s="493"/>
      <c r="AD149" s="493"/>
      <c r="AE149" s="493"/>
      <c r="AF149" s="493"/>
      <c r="AG149" s="493"/>
      <c r="AH149" s="493"/>
      <c r="AI149" s="493"/>
      <c r="AJ149" s="493"/>
      <c r="AK149" s="493"/>
      <c r="AL149" s="493"/>
      <c r="AM149" s="493"/>
      <c r="AN149" s="493"/>
      <c r="AO149" s="494"/>
      <c r="AP149" s="391"/>
    </row>
    <row r="150" spans="2:42" ht="9.9499999999999993" hidden="1" customHeight="1" x14ac:dyDescent="0.25">
      <c r="B150" s="342"/>
      <c r="C150" s="492"/>
      <c r="D150" s="493"/>
      <c r="E150" s="493"/>
      <c r="F150" s="493"/>
      <c r="G150" s="493"/>
      <c r="H150" s="493"/>
      <c r="I150" s="493"/>
      <c r="J150" s="493"/>
      <c r="K150" s="493"/>
      <c r="L150" s="493"/>
      <c r="M150" s="493"/>
      <c r="N150" s="493"/>
      <c r="O150" s="493"/>
      <c r="P150" s="493"/>
      <c r="Q150" s="493"/>
      <c r="R150" s="493"/>
      <c r="S150" s="493"/>
      <c r="T150" s="493"/>
      <c r="U150" s="494"/>
      <c r="V150" s="527"/>
      <c r="W150" s="492"/>
      <c r="X150" s="493"/>
      <c r="Y150" s="493"/>
      <c r="Z150" s="493"/>
      <c r="AA150" s="493"/>
      <c r="AB150" s="493"/>
      <c r="AC150" s="493"/>
      <c r="AD150" s="493"/>
      <c r="AE150" s="493"/>
      <c r="AF150" s="493"/>
      <c r="AG150" s="493"/>
      <c r="AH150" s="493"/>
      <c r="AI150" s="493"/>
      <c r="AJ150" s="493"/>
      <c r="AK150" s="493"/>
      <c r="AL150" s="493"/>
      <c r="AM150" s="493"/>
      <c r="AN150" s="493"/>
      <c r="AO150" s="494"/>
      <c r="AP150" s="391"/>
    </row>
    <row r="151" spans="2:42" ht="9.9499999999999993" hidden="1" customHeight="1" x14ac:dyDescent="0.25">
      <c r="B151" s="342"/>
      <c r="C151" s="492"/>
      <c r="D151" s="493"/>
      <c r="E151" s="493"/>
      <c r="F151" s="493"/>
      <c r="G151" s="493"/>
      <c r="H151" s="493"/>
      <c r="I151" s="493"/>
      <c r="J151" s="493"/>
      <c r="K151" s="493"/>
      <c r="L151" s="493"/>
      <c r="M151" s="493"/>
      <c r="N151" s="493"/>
      <c r="O151" s="493"/>
      <c r="P151" s="493"/>
      <c r="Q151" s="493"/>
      <c r="R151" s="493"/>
      <c r="S151" s="493"/>
      <c r="T151" s="493"/>
      <c r="U151" s="494"/>
      <c r="V151" s="527"/>
      <c r="W151" s="492"/>
      <c r="X151" s="493"/>
      <c r="Y151" s="493"/>
      <c r="Z151" s="493"/>
      <c r="AA151" s="493"/>
      <c r="AB151" s="493"/>
      <c r="AC151" s="493"/>
      <c r="AD151" s="493"/>
      <c r="AE151" s="493"/>
      <c r="AF151" s="493"/>
      <c r="AG151" s="493"/>
      <c r="AH151" s="493"/>
      <c r="AI151" s="493"/>
      <c r="AJ151" s="493"/>
      <c r="AK151" s="493"/>
      <c r="AL151" s="493"/>
      <c r="AM151" s="493"/>
      <c r="AN151" s="493"/>
      <c r="AO151" s="494"/>
      <c r="AP151" s="391"/>
    </row>
    <row r="152" spans="2:42" ht="9.9499999999999993" hidden="1" customHeight="1" x14ac:dyDescent="0.25">
      <c r="B152" s="342"/>
      <c r="C152" s="492"/>
      <c r="D152" s="493"/>
      <c r="E152" s="493"/>
      <c r="F152" s="493"/>
      <c r="G152" s="493"/>
      <c r="H152" s="493"/>
      <c r="I152" s="493"/>
      <c r="J152" s="493"/>
      <c r="K152" s="493"/>
      <c r="L152" s="493"/>
      <c r="M152" s="493"/>
      <c r="N152" s="493"/>
      <c r="O152" s="493"/>
      <c r="P152" s="493"/>
      <c r="Q152" s="493"/>
      <c r="R152" s="493"/>
      <c r="S152" s="493"/>
      <c r="T152" s="493"/>
      <c r="U152" s="494"/>
      <c r="V152" s="527"/>
      <c r="W152" s="492"/>
      <c r="X152" s="493"/>
      <c r="Y152" s="493"/>
      <c r="Z152" s="493"/>
      <c r="AA152" s="493"/>
      <c r="AB152" s="493"/>
      <c r="AC152" s="493"/>
      <c r="AD152" s="493"/>
      <c r="AE152" s="493"/>
      <c r="AF152" s="493"/>
      <c r="AG152" s="493"/>
      <c r="AH152" s="493"/>
      <c r="AI152" s="493"/>
      <c r="AJ152" s="493"/>
      <c r="AK152" s="493"/>
      <c r="AL152" s="493"/>
      <c r="AM152" s="493"/>
      <c r="AN152" s="493"/>
      <c r="AO152" s="494"/>
      <c r="AP152" s="391"/>
    </row>
    <row r="153" spans="2:42" ht="9.9499999999999993" hidden="1" customHeight="1" x14ac:dyDescent="0.25">
      <c r="B153" s="342"/>
      <c r="C153" s="492"/>
      <c r="D153" s="493"/>
      <c r="E153" s="493"/>
      <c r="F153" s="493"/>
      <c r="G153" s="493"/>
      <c r="H153" s="493"/>
      <c r="I153" s="493"/>
      <c r="J153" s="493"/>
      <c r="K153" s="493"/>
      <c r="L153" s="493"/>
      <c r="M153" s="493"/>
      <c r="N153" s="493"/>
      <c r="O153" s="493"/>
      <c r="P153" s="493"/>
      <c r="Q153" s="493"/>
      <c r="R153" s="493"/>
      <c r="S153" s="493"/>
      <c r="T153" s="493"/>
      <c r="U153" s="494"/>
      <c r="V153" s="527"/>
      <c r="W153" s="492"/>
      <c r="X153" s="493"/>
      <c r="Y153" s="493"/>
      <c r="Z153" s="493"/>
      <c r="AA153" s="493"/>
      <c r="AB153" s="493"/>
      <c r="AC153" s="493"/>
      <c r="AD153" s="493"/>
      <c r="AE153" s="493"/>
      <c r="AF153" s="493"/>
      <c r="AG153" s="493"/>
      <c r="AH153" s="493"/>
      <c r="AI153" s="493"/>
      <c r="AJ153" s="493"/>
      <c r="AK153" s="493"/>
      <c r="AL153" s="493"/>
      <c r="AM153" s="493"/>
      <c r="AN153" s="493"/>
      <c r="AO153" s="494"/>
      <c r="AP153" s="391"/>
    </row>
    <row r="154" spans="2:42" ht="9.9499999999999993" hidden="1" customHeight="1" x14ac:dyDescent="0.25">
      <c r="B154" s="342"/>
      <c r="C154" s="492"/>
      <c r="D154" s="493"/>
      <c r="E154" s="493"/>
      <c r="F154" s="493"/>
      <c r="G154" s="493"/>
      <c r="H154" s="493"/>
      <c r="I154" s="493"/>
      <c r="J154" s="493"/>
      <c r="K154" s="493"/>
      <c r="L154" s="493"/>
      <c r="M154" s="493"/>
      <c r="N154" s="493"/>
      <c r="O154" s="493"/>
      <c r="P154" s="493"/>
      <c r="Q154" s="493"/>
      <c r="R154" s="493"/>
      <c r="S154" s="493"/>
      <c r="T154" s="493"/>
      <c r="U154" s="494"/>
      <c r="V154" s="527"/>
      <c r="W154" s="492"/>
      <c r="X154" s="493"/>
      <c r="Y154" s="493"/>
      <c r="Z154" s="493"/>
      <c r="AA154" s="493"/>
      <c r="AB154" s="493"/>
      <c r="AC154" s="493"/>
      <c r="AD154" s="493"/>
      <c r="AE154" s="493"/>
      <c r="AF154" s="493"/>
      <c r="AG154" s="493"/>
      <c r="AH154" s="493"/>
      <c r="AI154" s="493"/>
      <c r="AJ154" s="493"/>
      <c r="AK154" s="493"/>
      <c r="AL154" s="493"/>
      <c r="AM154" s="493"/>
      <c r="AN154" s="493"/>
      <c r="AO154" s="494"/>
      <c r="AP154" s="391"/>
    </row>
    <row r="155" spans="2:42" ht="9.9499999999999993" hidden="1" customHeight="1" x14ac:dyDescent="0.25">
      <c r="B155" s="342"/>
      <c r="C155" s="531"/>
      <c r="D155" s="532"/>
      <c r="E155" s="532"/>
      <c r="F155" s="532"/>
      <c r="G155" s="532"/>
      <c r="H155" s="532"/>
      <c r="I155" s="532"/>
      <c r="J155" s="532"/>
      <c r="K155" s="532"/>
      <c r="L155" s="532"/>
      <c r="M155" s="532"/>
      <c r="N155" s="532"/>
      <c r="O155" s="532"/>
      <c r="P155" s="532"/>
      <c r="Q155" s="532"/>
      <c r="R155" s="532"/>
      <c r="S155" s="532"/>
      <c r="T155" s="532"/>
      <c r="U155" s="533"/>
      <c r="V155" s="527"/>
      <c r="W155" s="531"/>
      <c r="X155" s="532"/>
      <c r="Y155" s="532"/>
      <c r="Z155" s="532"/>
      <c r="AA155" s="532"/>
      <c r="AB155" s="532"/>
      <c r="AC155" s="532"/>
      <c r="AD155" s="532"/>
      <c r="AE155" s="532"/>
      <c r="AF155" s="532"/>
      <c r="AG155" s="532"/>
      <c r="AH155" s="532"/>
      <c r="AI155" s="532"/>
      <c r="AJ155" s="532"/>
      <c r="AK155" s="532"/>
      <c r="AL155" s="532"/>
      <c r="AM155" s="532"/>
      <c r="AN155" s="532"/>
      <c r="AO155" s="533"/>
      <c r="AP155" s="391"/>
    </row>
    <row r="156" spans="2:42" ht="9.9499999999999993" hidden="1" customHeight="1" x14ac:dyDescent="0.25">
      <c r="B156" s="342"/>
      <c r="C156" s="392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4"/>
      <c r="V156" s="527"/>
      <c r="W156" s="392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4"/>
      <c r="AP156" s="391"/>
    </row>
    <row r="157" spans="2:42" ht="9.9499999999999993" hidden="1" customHeight="1" x14ac:dyDescent="0.25">
      <c r="B157" s="249"/>
      <c r="C157" s="261"/>
      <c r="D157" s="261"/>
      <c r="E157" s="261"/>
      <c r="F157" s="261"/>
      <c r="G157" s="261"/>
      <c r="H157" s="261"/>
      <c r="I157" s="261"/>
      <c r="J157" s="261"/>
      <c r="K157" s="261"/>
      <c r="L157" s="261"/>
      <c r="M157" s="261"/>
      <c r="N157" s="261"/>
      <c r="O157" s="261"/>
      <c r="P157" s="261"/>
      <c r="Q157" s="261"/>
      <c r="R157" s="261"/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53"/>
    </row>
    <row r="158" spans="2:42" ht="9.9499999999999993" hidden="1" customHeight="1" x14ac:dyDescent="0.25">
      <c r="B158" s="342"/>
      <c r="C158" s="528"/>
      <c r="D158" s="529"/>
      <c r="E158" s="529"/>
      <c r="F158" s="529"/>
      <c r="G158" s="529"/>
      <c r="H158" s="529"/>
      <c r="I158" s="529"/>
      <c r="J158" s="529"/>
      <c r="K158" s="529"/>
      <c r="L158" s="529"/>
      <c r="M158" s="529"/>
      <c r="N158" s="529"/>
      <c r="O158" s="529"/>
      <c r="P158" s="529"/>
      <c r="Q158" s="529"/>
      <c r="R158" s="529"/>
      <c r="S158" s="529"/>
      <c r="T158" s="529"/>
      <c r="U158" s="530"/>
      <c r="V158" s="527"/>
      <c r="W158" s="528"/>
      <c r="X158" s="529"/>
      <c r="Y158" s="529"/>
      <c r="Z158" s="529"/>
      <c r="AA158" s="529"/>
      <c r="AB158" s="529"/>
      <c r="AC158" s="529"/>
      <c r="AD158" s="529"/>
      <c r="AE158" s="529"/>
      <c r="AF158" s="529"/>
      <c r="AG158" s="529"/>
      <c r="AH158" s="529"/>
      <c r="AI158" s="529"/>
      <c r="AJ158" s="529"/>
      <c r="AK158" s="529"/>
      <c r="AL158" s="529"/>
      <c r="AM158" s="529"/>
      <c r="AN158" s="529"/>
      <c r="AO158" s="530"/>
      <c r="AP158" s="391"/>
    </row>
    <row r="159" spans="2:42" ht="9.9499999999999993" hidden="1" customHeight="1" x14ac:dyDescent="0.25">
      <c r="B159" s="342"/>
      <c r="C159" s="492"/>
      <c r="D159" s="493"/>
      <c r="E159" s="493"/>
      <c r="F159" s="493"/>
      <c r="G159" s="493"/>
      <c r="H159" s="493"/>
      <c r="I159" s="493"/>
      <c r="J159" s="493"/>
      <c r="K159" s="493"/>
      <c r="L159" s="493"/>
      <c r="M159" s="493"/>
      <c r="N159" s="493"/>
      <c r="O159" s="493"/>
      <c r="P159" s="493"/>
      <c r="Q159" s="493"/>
      <c r="R159" s="493"/>
      <c r="S159" s="493"/>
      <c r="T159" s="493"/>
      <c r="U159" s="494"/>
      <c r="V159" s="527"/>
      <c r="W159" s="492"/>
      <c r="X159" s="493"/>
      <c r="Y159" s="493"/>
      <c r="Z159" s="493"/>
      <c r="AA159" s="493"/>
      <c r="AB159" s="493"/>
      <c r="AC159" s="493"/>
      <c r="AD159" s="493"/>
      <c r="AE159" s="493"/>
      <c r="AF159" s="493"/>
      <c r="AG159" s="493"/>
      <c r="AH159" s="493"/>
      <c r="AI159" s="493"/>
      <c r="AJ159" s="493"/>
      <c r="AK159" s="493"/>
      <c r="AL159" s="493"/>
      <c r="AM159" s="493"/>
      <c r="AN159" s="493"/>
      <c r="AO159" s="494"/>
      <c r="AP159" s="391"/>
    </row>
    <row r="160" spans="2:42" ht="9.9499999999999993" hidden="1" customHeight="1" x14ac:dyDescent="0.25">
      <c r="B160" s="342"/>
      <c r="C160" s="492"/>
      <c r="D160" s="493"/>
      <c r="E160" s="493"/>
      <c r="F160" s="493"/>
      <c r="G160" s="493"/>
      <c r="H160" s="493"/>
      <c r="I160" s="493"/>
      <c r="J160" s="493"/>
      <c r="K160" s="493"/>
      <c r="L160" s="493"/>
      <c r="M160" s="493"/>
      <c r="N160" s="493"/>
      <c r="O160" s="493"/>
      <c r="P160" s="493"/>
      <c r="Q160" s="493"/>
      <c r="R160" s="493"/>
      <c r="S160" s="493"/>
      <c r="T160" s="493"/>
      <c r="U160" s="494"/>
      <c r="V160" s="527"/>
      <c r="W160" s="492"/>
      <c r="X160" s="493"/>
      <c r="Y160" s="493"/>
      <c r="Z160" s="493"/>
      <c r="AA160" s="493"/>
      <c r="AB160" s="493"/>
      <c r="AC160" s="493"/>
      <c r="AD160" s="493"/>
      <c r="AE160" s="493"/>
      <c r="AF160" s="493"/>
      <c r="AG160" s="493"/>
      <c r="AH160" s="493"/>
      <c r="AI160" s="493"/>
      <c r="AJ160" s="493"/>
      <c r="AK160" s="493"/>
      <c r="AL160" s="493"/>
      <c r="AM160" s="493"/>
      <c r="AN160" s="493"/>
      <c r="AO160" s="494"/>
      <c r="AP160" s="391"/>
    </row>
    <row r="161" spans="2:42" ht="9.9499999999999993" hidden="1" customHeight="1" x14ac:dyDescent="0.25">
      <c r="B161" s="342"/>
      <c r="C161" s="492"/>
      <c r="D161" s="493"/>
      <c r="E161" s="493"/>
      <c r="F161" s="493"/>
      <c r="G161" s="493"/>
      <c r="H161" s="493"/>
      <c r="I161" s="493"/>
      <c r="J161" s="493"/>
      <c r="K161" s="493"/>
      <c r="L161" s="493"/>
      <c r="M161" s="493"/>
      <c r="N161" s="493"/>
      <c r="O161" s="493"/>
      <c r="P161" s="493"/>
      <c r="Q161" s="493"/>
      <c r="R161" s="493"/>
      <c r="S161" s="493"/>
      <c r="T161" s="493"/>
      <c r="U161" s="494"/>
      <c r="V161" s="527"/>
      <c r="W161" s="492"/>
      <c r="X161" s="493"/>
      <c r="Y161" s="493"/>
      <c r="Z161" s="493"/>
      <c r="AA161" s="493"/>
      <c r="AB161" s="493"/>
      <c r="AC161" s="493"/>
      <c r="AD161" s="493"/>
      <c r="AE161" s="493"/>
      <c r="AF161" s="493"/>
      <c r="AG161" s="493"/>
      <c r="AH161" s="493"/>
      <c r="AI161" s="493"/>
      <c r="AJ161" s="493"/>
      <c r="AK161" s="493"/>
      <c r="AL161" s="493"/>
      <c r="AM161" s="493"/>
      <c r="AN161" s="493"/>
      <c r="AO161" s="494"/>
      <c r="AP161" s="391"/>
    </row>
    <row r="162" spans="2:42" ht="9.9499999999999993" hidden="1" customHeight="1" x14ac:dyDescent="0.25">
      <c r="B162" s="342"/>
      <c r="C162" s="492"/>
      <c r="D162" s="493"/>
      <c r="E162" s="493"/>
      <c r="F162" s="493"/>
      <c r="G162" s="493"/>
      <c r="H162" s="493"/>
      <c r="I162" s="493"/>
      <c r="J162" s="493"/>
      <c r="K162" s="493"/>
      <c r="L162" s="493"/>
      <c r="M162" s="493"/>
      <c r="N162" s="493"/>
      <c r="O162" s="493"/>
      <c r="P162" s="493"/>
      <c r="Q162" s="493"/>
      <c r="R162" s="493"/>
      <c r="S162" s="493"/>
      <c r="T162" s="493"/>
      <c r="U162" s="494"/>
      <c r="V162" s="527"/>
      <c r="W162" s="492"/>
      <c r="X162" s="493"/>
      <c r="Y162" s="493"/>
      <c r="Z162" s="493"/>
      <c r="AA162" s="493"/>
      <c r="AB162" s="493"/>
      <c r="AC162" s="493"/>
      <c r="AD162" s="493"/>
      <c r="AE162" s="493"/>
      <c r="AF162" s="493"/>
      <c r="AG162" s="493"/>
      <c r="AH162" s="493"/>
      <c r="AI162" s="493"/>
      <c r="AJ162" s="493"/>
      <c r="AK162" s="493"/>
      <c r="AL162" s="493"/>
      <c r="AM162" s="493"/>
      <c r="AN162" s="493"/>
      <c r="AO162" s="494"/>
      <c r="AP162" s="391"/>
    </row>
    <row r="163" spans="2:42" ht="9.9499999999999993" hidden="1" customHeight="1" x14ac:dyDescent="0.25">
      <c r="B163" s="342"/>
      <c r="C163" s="492"/>
      <c r="D163" s="493"/>
      <c r="E163" s="493"/>
      <c r="F163" s="493"/>
      <c r="G163" s="493"/>
      <c r="H163" s="493"/>
      <c r="I163" s="493"/>
      <c r="J163" s="493"/>
      <c r="K163" s="493"/>
      <c r="L163" s="493"/>
      <c r="M163" s="493"/>
      <c r="N163" s="493"/>
      <c r="O163" s="493"/>
      <c r="P163" s="493"/>
      <c r="Q163" s="493"/>
      <c r="R163" s="493"/>
      <c r="S163" s="493"/>
      <c r="T163" s="493"/>
      <c r="U163" s="494"/>
      <c r="V163" s="527"/>
      <c r="W163" s="492"/>
      <c r="X163" s="493"/>
      <c r="Y163" s="493"/>
      <c r="Z163" s="493"/>
      <c r="AA163" s="493"/>
      <c r="AB163" s="493"/>
      <c r="AC163" s="493"/>
      <c r="AD163" s="493"/>
      <c r="AE163" s="493"/>
      <c r="AF163" s="493"/>
      <c r="AG163" s="493"/>
      <c r="AH163" s="493"/>
      <c r="AI163" s="493"/>
      <c r="AJ163" s="493"/>
      <c r="AK163" s="493"/>
      <c r="AL163" s="493"/>
      <c r="AM163" s="493"/>
      <c r="AN163" s="493"/>
      <c r="AO163" s="494"/>
      <c r="AP163" s="391"/>
    </row>
    <row r="164" spans="2:42" ht="9.9499999999999993" hidden="1" customHeight="1" x14ac:dyDescent="0.25">
      <c r="B164" s="342"/>
      <c r="C164" s="492"/>
      <c r="D164" s="493"/>
      <c r="E164" s="493"/>
      <c r="F164" s="493"/>
      <c r="G164" s="493"/>
      <c r="H164" s="493"/>
      <c r="I164" s="493"/>
      <c r="J164" s="493"/>
      <c r="K164" s="493"/>
      <c r="L164" s="493"/>
      <c r="M164" s="493"/>
      <c r="N164" s="493"/>
      <c r="O164" s="493"/>
      <c r="P164" s="493"/>
      <c r="Q164" s="493"/>
      <c r="R164" s="493"/>
      <c r="S164" s="493"/>
      <c r="T164" s="493"/>
      <c r="U164" s="494"/>
      <c r="V164" s="527"/>
      <c r="W164" s="492"/>
      <c r="X164" s="493"/>
      <c r="Y164" s="493"/>
      <c r="Z164" s="493"/>
      <c r="AA164" s="493"/>
      <c r="AB164" s="493"/>
      <c r="AC164" s="493"/>
      <c r="AD164" s="493"/>
      <c r="AE164" s="493"/>
      <c r="AF164" s="493"/>
      <c r="AG164" s="493"/>
      <c r="AH164" s="493"/>
      <c r="AI164" s="493"/>
      <c r="AJ164" s="493"/>
      <c r="AK164" s="493"/>
      <c r="AL164" s="493"/>
      <c r="AM164" s="493"/>
      <c r="AN164" s="493"/>
      <c r="AO164" s="494"/>
      <c r="AP164" s="391"/>
    </row>
    <row r="165" spans="2:42" ht="9.9499999999999993" hidden="1" customHeight="1" x14ac:dyDescent="0.25">
      <c r="B165" s="342"/>
      <c r="C165" s="492"/>
      <c r="D165" s="493"/>
      <c r="E165" s="493"/>
      <c r="F165" s="493"/>
      <c r="G165" s="493"/>
      <c r="H165" s="493"/>
      <c r="I165" s="493"/>
      <c r="J165" s="493"/>
      <c r="K165" s="493"/>
      <c r="L165" s="493"/>
      <c r="M165" s="493"/>
      <c r="N165" s="493"/>
      <c r="O165" s="493"/>
      <c r="P165" s="493"/>
      <c r="Q165" s="493"/>
      <c r="R165" s="493"/>
      <c r="S165" s="493"/>
      <c r="T165" s="493"/>
      <c r="U165" s="494"/>
      <c r="V165" s="527"/>
      <c r="W165" s="492"/>
      <c r="X165" s="493"/>
      <c r="Y165" s="493"/>
      <c r="Z165" s="493"/>
      <c r="AA165" s="493"/>
      <c r="AB165" s="493"/>
      <c r="AC165" s="493"/>
      <c r="AD165" s="493"/>
      <c r="AE165" s="493"/>
      <c r="AF165" s="493"/>
      <c r="AG165" s="493"/>
      <c r="AH165" s="493"/>
      <c r="AI165" s="493"/>
      <c r="AJ165" s="493"/>
      <c r="AK165" s="493"/>
      <c r="AL165" s="493"/>
      <c r="AM165" s="493"/>
      <c r="AN165" s="493"/>
      <c r="AO165" s="494"/>
      <c r="AP165" s="391"/>
    </row>
    <row r="166" spans="2:42" ht="9.9499999999999993" hidden="1" customHeight="1" x14ac:dyDescent="0.25">
      <c r="B166" s="342"/>
      <c r="C166" s="492"/>
      <c r="D166" s="493"/>
      <c r="E166" s="493"/>
      <c r="F166" s="493"/>
      <c r="G166" s="493"/>
      <c r="H166" s="493"/>
      <c r="I166" s="493"/>
      <c r="J166" s="493"/>
      <c r="K166" s="493"/>
      <c r="L166" s="493"/>
      <c r="M166" s="493"/>
      <c r="N166" s="493"/>
      <c r="O166" s="493"/>
      <c r="P166" s="493"/>
      <c r="Q166" s="493"/>
      <c r="R166" s="493"/>
      <c r="S166" s="493"/>
      <c r="T166" s="493"/>
      <c r="U166" s="494"/>
      <c r="V166" s="527"/>
      <c r="W166" s="492"/>
      <c r="X166" s="493"/>
      <c r="Y166" s="493"/>
      <c r="Z166" s="493"/>
      <c r="AA166" s="493"/>
      <c r="AB166" s="493"/>
      <c r="AC166" s="493"/>
      <c r="AD166" s="493"/>
      <c r="AE166" s="493"/>
      <c r="AF166" s="493"/>
      <c r="AG166" s="493"/>
      <c r="AH166" s="493"/>
      <c r="AI166" s="493"/>
      <c r="AJ166" s="493"/>
      <c r="AK166" s="493"/>
      <c r="AL166" s="493"/>
      <c r="AM166" s="493"/>
      <c r="AN166" s="493"/>
      <c r="AO166" s="494"/>
      <c r="AP166" s="391"/>
    </row>
    <row r="167" spans="2:42" ht="9.9499999999999993" hidden="1" customHeight="1" x14ac:dyDescent="0.25">
      <c r="B167" s="342"/>
      <c r="C167" s="492"/>
      <c r="D167" s="493"/>
      <c r="E167" s="493"/>
      <c r="F167" s="493"/>
      <c r="G167" s="493"/>
      <c r="H167" s="493"/>
      <c r="I167" s="493"/>
      <c r="J167" s="493"/>
      <c r="K167" s="493"/>
      <c r="L167" s="493"/>
      <c r="M167" s="493"/>
      <c r="N167" s="493"/>
      <c r="O167" s="493"/>
      <c r="P167" s="493"/>
      <c r="Q167" s="493"/>
      <c r="R167" s="493"/>
      <c r="S167" s="493"/>
      <c r="T167" s="493"/>
      <c r="U167" s="494"/>
      <c r="V167" s="527"/>
      <c r="W167" s="492"/>
      <c r="X167" s="493"/>
      <c r="Y167" s="493"/>
      <c r="Z167" s="493"/>
      <c r="AA167" s="493"/>
      <c r="AB167" s="493"/>
      <c r="AC167" s="493"/>
      <c r="AD167" s="493"/>
      <c r="AE167" s="493"/>
      <c r="AF167" s="493"/>
      <c r="AG167" s="493"/>
      <c r="AH167" s="493"/>
      <c r="AI167" s="493"/>
      <c r="AJ167" s="493"/>
      <c r="AK167" s="493"/>
      <c r="AL167" s="493"/>
      <c r="AM167" s="493"/>
      <c r="AN167" s="493"/>
      <c r="AO167" s="494"/>
      <c r="AP167" s="391"/>
    </row>
    <row r="168" spans="2:42" ht="9.9499999999999993" hidden="1" customHeight="1" x14ac:dyDescent="0.25">
      <c r="B168" s="342"/>
      <c r="C168" s="492"/>
      <c r="D168" s="493"/>
      <c r="E168" s="493"/>
      <c r="F168" s="493"/>
      <c r="G168" s="493"/>
      <c r="H168" s="493"/>
      <c r="I168" s="493"/>
      <c r="J168" s="493"/>
      <c r="K168" s="493"/>
      <c r="L168" s="493"/>
      <c r="M168" s="493"/>
      <c r="N168" s="493"/>
      <c r="O168" s="493"/>
      <c r="P168" s="493"/>
      <c r="Q168" s="493"/>
      <c r="R168" s="493"/>
      <c r="S168" s="493"/>
      <c r="T168" s="493"/>
      <c r="U168" s="494"/>
      <c r="V168" s="527"/>
      <c r="W168" s="492"/>
      <c r="X168" s="493"/>
      <c r="Y168" s="493"/>
      <c r="Z168" s="493"/>
      <c r="AA168" s="493"/>
      <c r="AB168" s="493"/>
      <c r="AC168" s="493"/>
      <c r="AD168" s="493"/>
      <c r="AE168" s="493"/>
      <c r="AF168" s="493"/>
      <c r="AG168" s="493"/>
      <c r="AH168" s="493"/>
      <c r="AI168" s="493"/>
      <c r="AJ168" s="493"/>
      <c r="AK168" s="493"/>
      <c r="AL168" s="493"/>
      <c r="AM168" s="493"/>
      <c r="AN168" s="493"/>
      <c r="AO168" s="494"/>
      <c r="AP168" s="391"/>
    </row>
    <row r="169" spans="2:42" ht="9.9499999999999993" hidden="1" customHeight="1" x14ac:dyDescent="0.25">
      <c r="B169" s="342"/>
      <c r="C169" s="492"/>
      <c r="D169" s="493"/>
      <c r="E169" s="493"/>
      <c r="F169" s="493"/>
      <c r="G169" s="493"/>
      <c r="H169" s="493"/>
      <c r="I169" s="493"/>
      <c r="J169" s="493"/>
      <c r="K169" s="493"/>
      <c r="L169" s="493"/>
      <c r="M169" s="493"/>
      <c r="N169" s="493"/>
      <c r="O169" s="493"/>
      <c r="P169" s="493"/>
      <c r="Q169" s="493"/>
      <c r="R169" s="493"/>
      <c r="S169" s="493"/>
      <c r="T169" s="493"/>
      <c r="U169" s="494"/>
      <c r="V169" s="527"/>
      <c r="W169" s="492"/>
      <c r="X169" s="493"/>
      <c r="Y169" s="493"/>
      <c r="Z169" s="493"/>
      <c r="AA169" s="493"/>
      <c r="AB169" s="493"/>
      <c r="AC169" s="493"/>
      <c r="AD169" s="493"/>
      <c r="AE169" s="493"/>
      <c r="AF169" s="493"/>
      <c r="AG169" s="493"/>
      <c r="AH169" s="493"/>
      <c r="AI169" s="493"/>
      <c r="AJ169" s="493"/>
      <c r="AK169" s="493"/>
      <c r="AL169" s="493"/>
      <c r="AM169" s="493"/>
      <c r="AN169" s="493"/>
      <c r="AO169" s="494"/>
      <c r="AP169" s="391"/>
    </row>
    <row r="170" spans="2:42" ht="9.9499999999999993" hidden="1" customHeight="1" x14ac:dyDescent="0.25">
      <c r="B170" s="342"/>
      <c r="C170" s="531"/>
      <c r="D170" s="532"/>
      <c r="E170" s="532"/>
      <c r="F170" s="532"/>
      <c r="G170" s="532"/>
      <c r="H170" s="532"/>
      <c r="I170" s="532"/>
      <c r="J170" s="532"/>
      <c r="K170" s="532"/>
      <c r="L170" s="532"/>
      <c r="M170" s="532"/>
      <c r="N170" s="532"/>
      <c r="O170" s="532"/>
      <c r="P170" s="532"/>
      <c r="Q170" s="532"/>
      <c r="R170" s="532"/>
      <c r="S170" s="532"/>
      <c r="T170" s="532"/>
      <c r="U170" s="533"/>
      <c r="V170" s="527"/>
      <c r="W170" s="531"/>
      <c r="X170" s="532"/>
      <c r="Y170" s="532"/>
      <c r="Z170" s="532"/>
      <c r="AA170" s="532"/>
      <c r="AB170" s="532"/>
      <c r="AC170" s="532"/>
      <c r="AD170" s="532"/>
      <c r="AE170" s="532"/>
      <c r="AF170" s="532"/>
      <c r="AG170" s="532"/>
      <c r="AH170" s="532"/>
      <c r="AI170" s="532"/>
      <c r="AJ170" s="532"/>
      <c r="AK170" s="532"/>
      <c r="AL170" s="532"/>
      <c r="AM170" s="532"/>
      <c r="AN170" s="532"/>
      <c r="AO170" s="533"/>
      <c r="AP170" s="391"/>
    </row>
    <row r="171" spans="2:42" ht="9.9499999999999993" hidden="1" customHeight="1" x14ac:dyDescent="0.25">
      <c r="B171" s="342"/>
      <c r="C171" s="392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4"/>
      <c r="V171" s="527"/>
      <c r="W171" s="536"/>
      <c r="X171" s="537"/>
      <c r="Y171" s="537"/>
      <c r="Z171" s="537"/>
      <c r="AA171" s="537"/>
      <c r="AB171" s="537"/>
      <c r="AC171" s="537"/>
      <c r="AD171" s="537"/>
      <c r="AE171" s="537"/>
      <c r="AF171" s="537"/>
      <c r="AG171" s="537"/>
      <c r="AH171" s="537"/>
      <c r="AI171" s="537"/>
      <c r="AJ171" s="537"/>
      <c r="AK171" s="537"/>
      <c r="AL171" s="537"/>
      <c r="AM171" s="537"/>
      <c r="AN171" s="537"/>
      <c r="AO171" s="538"/>
      <c r="AP171" s="391"/>
    </row>
    <row r="172" spans="2:42" ht="9.9499999999999993" hidden="1" customHeight="1" x14ac:dyDescent="0.25">
      <c r="B172" s="249"/>
      <c r="C172" s="489" t="s">
        <v>101</v>
      </c>
      <c r="D172" s="490"/>
      <c r="E172" s="490"/>
      <c r="F172" s="490"/>
      <c r="G172" s="490"/>
      <c r="H172" s="490"/>
      <c r="I172" s="490"/>
      <c r="J172" s="490"/>
      <c r="K172" s="490"/>
      <c r="L172" s="490"/>
      <c r="M172" s="490"/>
      <c r="N172" s="490"/>
      <c r="O172" s="490"/>
      <c r="P172" s="490"/>
      <c r="Q172" s="490"/>
      <c r="R172" s="490"/>
      <c r="S172" s="490"/>
      <c r="T172" s="490"/>
      <c r="U172" s="491"/>
      <c r="V172" s="261"/>
      <c r="W172" s="489" t="s">
        <v>102</v>
      </c>
      <c r="X172" s="490"/>
      <c r="Y172" s="490"/>
      <c r="Z172" s="490"/>
      <c r="AA172" s="490"/>
      <c r="AB172" s="490"/>
      <c r="AC172" s="490"/>
      <c r="AD172" s="490"/>
      <c r="AE172" s="490"/>
      <c r="AF172" s="490"/>
      <c r="AG172" s="490"/>
      <c r="AH172" s="490"/>
      <c r="AI172" s="490"/>
      <c r="AJ172" s="490"/>
      <c r="AK172" s="490"/>
      <c r="AL172" s="490"/>
      <c r="AM172" s="490"/>
      <c r="AN172" s="490"/>
      <c r="AO172" s="491"/>
      <c r="AP172" s="253"/>
    </row>
    <row r="173" spans="2:42" ht="9.9499999999999993" hidden="1" customHeight="1" x14ac:dyDescent="0.25">
      <c r="B173" s="249"/>
      <c r="C173" s="479"/>
      <c r="D173" s="480"/>
      <c r="E173" s="480"/>
      <c r="F173" s="480"/>
      <c r="G173" s="480"/>
      <c r="H173" s="480"/>
      <c r="I173" s="480"/>
      <c r="J173" s="480"/>
      <c r="K173" s="480"/>
      <c r="L173" s="480"/>
      <c r="M173" s="480"/>
      <c r="N173" s="480"/>
      <c r="O173" s="480"/>
      <c r="P173" s="480"/>
      <c r="Q173" s="480"/>
      <c r="R173" s="480"/>
      <c r="S173" s="480"/>
      <c r="T173" s="480"/>
      <c r="U173" s="481"/>
      <c r="V173" s="365"/>
      <c r="W173" s="479"/>
      <c r="X173" s="480"/>
      <c r="Y173" s="480"/>
      <c r="Z173" s="480"/>
      <c r="AA173" s="480"/>
      <c r="AB173" s="480"/>
      <c r="AC173" s="480"/>
      <c r="AD173" s="480"/>
      <c r="AE173" s="480"/>
      <c r="AF173" s="480"/>
      <c r="AG173" s="480"/>
      <c r="AH173" s="480"/>
      <c r="AI173" s="480"/>
      <c r="AJ173" s="480"/>
      <c r="AK173" s="480"/>
      <c r="AL173" s="480"/>
      <c r="AM173" s="480"/>
      <c r="AN173" s="480"/>
      <c r="AO173" s="481"/>
      <c r="AP173" s="253"/>
    </row>
    <row r="174" spans="2:42" ht="9.9499999999999993" hidden="1" customHeight="1" x14ac:dyDescent="0.25">
      <c r="B174" s="249"/>
      <c r="C174" s="482"/>
      <c r="D174" s="483"/>
      <c r="E174" s="483"/>
      <c r="F174" s="483"/>
      <c r="G174" s="483"/>
      <c r="H174" s="483"/>
      <c r="I174" s="483"/>
      <c r="J174" s="483"/>
      <c r="K174" s="483"/>
      <c r="L174" s="483"/>
      <c r="M174" s="483"/>
      <c r="N174" s="483"/>
      <c r="O174" s="483"/>
      <c r="P174" s="483"/>
      <c r="Q174" s="483"/>
      <c r="R174" s="483"/>
      <c r="S174" s="483"/>
      <c r="T174" s="483"/>
      <c r="U174" s="484"/>
      <c r="V174" s="365"/>
      <c r="W174" s="482"/>
      <c r="X174" s="483"/>
      <c r="Y174" s="483"/>
      <c r="Z174" s="483"/>
      <c r="AA174" s="483"/>
      <c r="AB174" s="483"/>
      <c r="AC174" s="483"/>
      <c r="AD174" s="483"/>
      <c r="AE174" s="483"/>
      <c r="AF174" s="483"/>
      <c r="AG174" s="483"/>
      <c r="AH174" s="483"/>
      <c r="AI174" s="483"/>
      <c r="AJ174" s="483"/>
      <c r="AK174" s="483"/>
      <c r="AL174" s="483"/>
      <c r="AM174" s="483"/>
      <c r="AN174" s="483"/>
      <c r="AO174" s="484"/>
      <c r="AP174" s="253"/>
    </row>
    <row r="175" spans="2:42" ht="9.9499999999999993" hidden="1" customHeight="1" x14ac:dyDescent="0.25">
      <c r="B175" s="249"/>
      <c r="C175" s="482"/>
      <c r="D175" s="483"/>
      <c r="E175" s="483"/>
      <c r="F175" s="483"/>
      <c r="G175" s="483"/>
      <c r="H175" s="483"/>
      <c r="I175" s="483"/>
      <c r="J175" s="483"/>
      <c r="K175" s="483"/>
      <c r="L175" s="483"/>
      <c r="M175" s="483"/>
      <c r="N175" s="483"/>
      <c r="O175" s="483"/>
      <c r="P175" s="483"/>
      <c r="Q175" s="483"/>
      <c r="R175" s="483"/>
      <c r="S175" s="483"/>
      <c r="T175" s="483"/>
      <c r="U175" s="484"/>
      <c r="V175" s="365"/>
      <c r="W175" s="482"/>
      <c r="X175" s="483"/>
      <c r="Y175" s="483"/>
      <c r="Z175" s="483"/>
      <c r="AA175" s="483"/>
      <c r="AB175" s="483"/>
      <c r="AC175" s="483"/>
      <c r="AD175" s="483"/>
      <c r="AE175" s="483"/>
      <c r="AF175" s="483"/>
      <c r="AG175" s="483"/>
      <c r="AH175" s="483"/>
      <c r="AI175" s="483"/>
      <c r="AJ175" s="483"/>
      <c r="AK175" s="483"/>
      <c r="AL175" s="483"/>
      <c r="AM175" s="483"/>
      <c r="AN175" s="483"/>
      <c r="AO175" s="484"/>
      <c r="AP175" s="253"/>
    </row>
    <row r="176" spans="2:42" ht="9.9499999999999993" hidden="1" customHeight="1" x14ac:dyDescent="0.25">
      <c r="B176" s="249"/>
      <c r="C176" s="482"/>
      <c r="D176" s="483"/>
      <c r="E176" s="483"/>
      <c r="F176" s="483"/>
      <c r="G176" s="483"/>
      <c r="H176" s="483"/>
      <c r="I176" s="483"/>
      <c r="J176" s="483"/>
      <c r="K176" s="483"/>
      <c r="L176" s="483"/>
      <c r="M176" s="483"/>
      <c r="N176" s="483"/>
      <c r="O176" s="483"/>
      <c r="P176" s="483"/>
      <c r="Q176" s="483"/>
      <c r="R176" s="483"/>
      <c r="S176" s="483"/>
      <c r="T176" s="483"/>
      <c r="U176" s="484"/>
      <c r="V176" s="365"/>
      <c r="W176" s="482"/>
      <c r="X176" s="483"/>
      <c r="Y176" s="483"/>
      <c r="Z176" s="483"/>
      <c r="AA176" s="483"/>
      <c r="AB176" s="483"/>
      <c r="AC176" s="483"/>
      <c r="AD176" s="483"/>
      <c r="AE176" s="483"/>
      <c r="AF176" s="483"/>
      <c r="AG176" s="483"/>
      <c r="AH176" s="483"/>
      <c r="AI176" s="483"/>
      <c r="AJ176" s="483"/>
      <c r="AK176" s="483"/>
      <c r="AL176" s="483"/>
      <c r="AM176" s="483"/>
      <c r="AN176" s="483"/>
      <c r="AO176" s="484"/>
      <c r="AP176" s="253"/>
    </row>
    <row r="177" spans="2:42" ht="9.9499999999999993" hidden="1" customHeight="1" x14ac:dyDescent="0.25">
      <c r="B177" s="249"/>
      <c r="C177" s="482"/>
      <c r="D177" s="483"/>
      <c r="E177" s="483"/>
      <c r="F177" s="483"/>
      <c r="G177" s="483"/>
      <c r="H177" s="483"/>
      <c r="I177" s="483"/>
      <c r="J177" s="483"/>
      <c r="K177" s="483"/>
      <c r="L177" s="483"/>
      <c r="M177" s="483"/>
      <c r="N177" s="483"/>
      <c r="O177" s="483"/>
      <c r="P177" s="483"/>
      <c r="Q177" s="483"/>
      <c r="R177" s="483"/>
      <c r="S177" s="483"/>
      <c r="T177" s="483"/>
      <c r="U177" s="484"/>
      <c r="V177" s="365"/>
      <c r="W177" s="482"/>
      <c r="X177" s="483"/>
      <c r="Y177" s="483"/>
      <c r="Z177" s="483"/>
      <c r="AA177" s="483"/>
      <c r="AB177" s="483"/>
      <c r="AC177" s="483"/>
      <c r="AD177" s="483"/>
      <c r="AE177" s="483"/>
      <c r="AF177" s="483"/>
      <c r="AG177" s="483"/>
      <c r="AH177" s="483"/>
      <c r="AI177" s="483"/>
      <c r="AJ177" s="483"/>
      <c r="AK177" s="483"/>
      <c r="AL177" s="483"/>
      <c r="AM177" s="483"/>
      <c r="AN177" s="483"/>
      <c r="AO177" s="484"/>
      <c r="AP177" s="253"/>
    </row>
    <row r="178" spans="2:42" ht="9.9499999999999993" hidden="1" customHeight="1" x14ac:dyDescent="0.25">
      <c r="B178" s="249"/>
      <c r="C178" s="482"/>
      <c r="D178" s="483"/>
      <c r="E178" s="483"/>
      <c r="F178" s="483"/>
      <c r="G178" s="483"/>
      <c r="H178" s="483"/>
      <c r="I178" s="483"/>
      <c r="J178" s="483"/>
      <c r="K178" s="483"/>
      <c r="L178" s="483"/>
      <c r="M178" s="483"/>
      <c r="N178" s="483"/>
      <c r="O178" s="483"/>
      <c r="P178" s="483"/>
      <c r="Q178" s="483"/>
      <c r="R178" s="483"/>
      <c r="S178" s="483"/>
      <c r="T178" s="483"/>
      <c r="U178" s="484"/>
      <c r="V178" s="365"/>
      <c r="W178" s="482"/>
      <c r="X178" s="483"/>
      <c r="Y178" s="483"/>
      <c r="Z178" s="483"/>
      <c r="AA178" s="483"/>
      <c r="AB178" s="483"/>
      <c r="AC178" s="483"/>
      <c r="AD178" s="483"/>
      <c r="AE178" s="483"/>
      <c r="AF178" s="483"/>
      <c r="AG178" s="483"/>
      <c r="AH178" s="483"/>
      <c r="AI178" s="483"/>
      <c r="AJ178" s="483"/>
      <c r="AK178" s="483"/>
      <c r="AL178" s="483"/>
      <c r="AM178" s="483"/>
      <c r="AN178" s="483"/>
      <c r="AO178" s="484"/>
      <c r="AP178" s="253"/>
    </row>
    <row r="179" spans="2:42" ht="9.9499999999999993" hidden="1" customHeight="1" x14ac:dyDescent="0.25">
      <c r="B179" s="249"/>
      <c r="C179" s="482"/>
      <c r="D179" s="483"/>
      <c r="E179" s="483"/>
      <c r="F179" s="483"/>
      <c r="G179" s="483"/>
      <c r="H179" s="483"/>
      <c r="I179" s="483"/>
      <c r="J179" s="483"/>
      <c r="K179" s="483"/>
      <c r="L179" s="483"/>
      <c r="M179" s="483"/>
      <c r="N179" s="483"/>
      <c r="O179" s="483"/>
      <c r="P179" s="483"/>
      <c r="Q179" s="483"/>
      <c r="R179" s="483"/>
      <c r="S179" s="483"/>
      <c r="T179" s="483"/>
      <c r="U179" s="484"/>
      <c r="V179" s="365"/>
      <c r="W179" s="482"/>
      <c r="X179" s="483"/>
      <c r="Y179" s="483"/>
      <c r="Z179" s="483"/>
      <c r="AA179" s="483"/>
      <c r="AB179" s="483"/>
      <c r="AC179" s="483"/>
      <c r="AD179" s="483"/>
      <c r="AE179" s="483"/>
      <c r="AF179" s="483"/>
      <c r="AG179" s="483"/>
      <c r="AH179" s="483"/>
      <c r="AI179" s="483"/>
      <c r="AJ179" s="483"/>
      <c r="AK179" s="483"/>
      <c r="AL179" s="483"/>
      <c r="AM179" s="483"/>
      <c r="AN179" s="483"/>
      <c r="AO179" s="484"/>
      <c r="AP179" s="253"/>
    </row>
    <row r="180" spans="2:42" ht="9.9499999999999993" hidden="1" customHeight="1" x14ac:dyDescent="0.25">
      <c r="B180" s="249"/>
      <c r="C180" s="482"/>
      <c r="D180" s="483"/>
      <c r="E180" s="483"/>
      <c r="F180" s="483"/>
      <c r="G180" s="483"/>
      <c r="H180" s="483"/>
      <c r="I180" s="483"/>
      <c r="J180" s="483"/>
      <c r="K180" s="483"/>
      <c r="L180" s="483"/>
      <c r="M180" s="483"/>
      <c r="N180" s="483"/>
      <c r="O180" s="483"/>
      <c r="P180" s="483"/>
      <c r="Q180" s="483"/>
      <c r="R180" s="483"/>
      <c r="S180" s="483"/>
      <c r="T180" s="483"/>
      <c r="U180" s="484"/>
      <c r="V180" s="365"/>
      <c r="W180" s="482"/>
      <c r="X180" s="483"/>
      <c r="Y180" s="483"/>
      <c r="Z180" s="483"/>
      <c r="AA180" s="483"/>
      <c r="AB180" s="483"/>
      <c r="AC180" s="483"/>
      <c r="AD180" s="483"/>
      <c r="AE180" s="483"/>
      <c r="AF180" s="483"/>
      <c r="AG180" s="483"/>
      <c r="AH180" s="483"/>
      <c r="AI180" s="483"/>
      <c r="AJ180" s="483"/>
      <c r="AK180" s="483"/>
      <c r="AL180" s="483"/>
      <c r="AM180" s="483"/>
      <c r="AN180" s="483"/>
      <c r="AO180" s="484"/>
      <c r="AP180" s="253"/>
    </row>
    <row r="181" spans="2:42" ht="9.9499999999999993" hidden="1" customHeight="1" x14ac:dyDescent="0.25">
      <c r="B181" s="249"/>
      <c r="C181" s="482"/>
      <c r="D181" s="483"/>
      <c r="E181" s="483"/>
      <c r="F181" s="483"/>
      <c r="G181" s="483"/>
      <c r="H181" s="483"/>
      <c r="I181" s="483"/>
      <c r="J181" s="483"/>
      <c r="K181" s="483"/>
      <c r="L181" s="483"/>
      <c r="M181" s="483"/>
      <c r="N181" s="483"/>
      <c r="O181" s="483"/>
      <c r="P181" s="483"/>
      <c r="Q181" s="483"/>
      <c r="R181" s="483"/>
      <c r="S181" s="483"/>
      <c r="T181" s="483"/>
      <c r="U181" s="484"/>
      <c r="V181" s="365"/>
      <c r="W181" s="482"/>
      <c r="X181" s="483"/>
      <c r="Y181" s="483"/>
      <c r="Z181" s="483"/>
      <c r="AA181" s="483"/>
      <c r="AB181" s="483"/>
      <c r="AC181" s="483"/>
      <c r="AD181" s="483"/>
      <c r="AE181" s="483"/>
      <c r="AF181" s="483"/>
      <c r="AG181" s="483"/>
      <c r="AH181" s="483"/>
      <c r="AI181" s="483"/>
      <c r="AJ181" s="483"/>
      <c r="AK181" s="483"/>
      <c r="AL181" s="483"/>
      <c r="AM181" s="483"/>
      <c r="AN181" s="483"/>
      <c r="AO181" s="484"/>
      <c r="AP181" s="253"/>
    </row>
    <row r="182" spans="2:42" ht="9.9499999999999993" hidden="1" customHeight="1" x14ac:dyDescent="0.25">
      <c r="B182" s="249"/>
      <c r="C182" s="482"/>
      <c r="D182" s="483"/>
      <c r="E182" s="483"/>
      <c r="F182" s="483"/>
      <c r="G182" s="483"/>
      <c r="H182" s="483"/>
      <c r="I182" s="483"/>
      <c r="J182" s="483"/>
      <c r="K182" s="483"/>
      <c r="L182" s="483"/>
      <c r="M182" s="483"/>
      <c r="N182" s="483"/>
      <c r="O182" s="483"/>
      <c r="P182" s="483"/>
      <c r="Q182" s="483"/>
      <c r="R182" s="483"/>
      <c r="S182" s="483"/>
      <c r="T182" s="483"/>
      <c r="U182" s="484"/>
      <c r="V182" s="365"/>
      <c r="W182" s="482"/>
      <c r="X182" s="483"/>
      <c r="Y182" s="483"/>
      <c r="Z182" s="483"/>
      <c r="AA182" s="483"/>
      <c r="AB182" s="483"/>
      <c r="AC182" s="483"/>
      <c r="AD182" s="483"/>
      <c r="AE182" s="483"/>
      <c r="AF182" s="483"/>
      <c r="AG182" s="483"/>
      <c r="AH182" s="483"/>
      <c r="AI182" s="483"/>
      <c r="AJ182" s="483"/>
      <c r="AK182" s="483"/>
      <c r="AL182" s="483"/>
      <c r="AM182" s="483"/>
      <c r="AN182" s="483"/>
      <c r="AO182" s="484"/>
      <c r="AP182" s="253"/>
    </row>
    <row r="183" spans="2:42" ht="9.9499999999999993" hidden="1" customHeight="1" x14ac:dyDescent="0.25">
      <c r="B183" s="249"/>
      <c r="C183" s="482"/>
      <c r="D183" s="483"/>
      <c r="E183" s="483"/>
      <c r="F183" s="483"/>
      <c r="G183" s="483"/>
      <c r="H183" s="483"/>
      <c r="I183" s="483"/>
      <c r="J183" s="483"/>
      <c r="K183" s="483"/>
      <c r="L183" s="483"/>
      <c r="M183" s="483"/>
      <c r="N183" s="483"/>
      <c r="O183" s="483"/>
      <c r="P183" s="483"/>
      <c r="Q183" s="483"/>
      <c r="R183" s="483"/>
      <c r="S183" s="483"/>
      <c r="T183" s="483"/>
      <c r="U183" s="484"/>
      <c r="V183" s="365"/>
      <c r="W183" s="482"/>
      <c r="X183" s="483"/>
      <c r="Y183" s="483"/>
      <c r="Z183" s="483"/>
      <c r="AA183" s="483"/>
      <c r="AB183" s="483"/>
      <c r="AC183" s="483"/>
      <c r="AD183" s="483"/>
      <c r="AE183" s="483"/>
      <c r="AF183" s="483"/>
      <c r="AG183" s="483"/>
      <c r="AH183" s="483"/>
      <c r="AI183" s="483"/>
      <c r="AJ183" s="483"/>
      <c r="AK183" s="483"/>
      <c r="AL183" s="483"/>
      <c r="AM183" s="483"/>
      <c r="AN183" s="483"/>
      <c r="AO183" s="484"/>
      <c r="AP183" s="253"/>
    </row>
    <row r="184" spans="2:42" ht="9.9499999999999993" hidden="1" customHeight="1" x14ac:dyDescent="0.25">
      <c r="B184" s="249"/>
      <c r="C184" s="482"/>
      <c r="D184" s="483"/>
      <c r="E184" s="483"/>
      <c r="F184" s="483"/>
      <c r="G184" s="483"/>
      <c r="H184" s="483"/>
      <c r="I184" s="483"/>
      <c r="J184" s="483"/>
      <c r="K184" s="483"/>
      <c r="L184" s="483"/>
      <c r="M184" s="483"/>
      <c r="N184" s="483"/>
      <c r="O184" s="483"/>
      <c r="P184" s="483"/>
      <c r="Q184" s="483"/>
      <c r="R184" s="483"/>
      <c r="S184" s="483"/>
      <c r="T184" s="483"/>
      <c r="U184" s="484"/>
      <c r="V184" s="365"/>
      <c r="W184" s="482"/>
      <c r="X184" s="483"/>
      <c r="Y184" s="483"/>
      <c r="Z184" s="483"/>
      <c r="AA184" s="483"/>
      <c r="AB184" s="483"/>
      <c r="AC184" s="483"/>
      <c r="AD184" s="483"/>
      <c r="AE184" s="483"/>
      <c r="AF184" s="483"/>
      <c r="AG184" s="483"/>
      <c r="AH184" s="483"/>
      <c r="AI184" s="483"/>
      <c r="AJ184" s="483"/>
      <c r="AK184" s="483"/>
      <c r="AL184" s="483"/>
      <c r="AM184" s="483"/>
      <c r="AN184" s="483"/>
      <c r="AO184" s="484"/>
      <c r="AP184" s="253"/>
    </row>
    <row r="185" spans="2:42" ht="9.9499999999999993" hidden="1" customHeight="1" x14ac:dyDescent="0.25">
      <c r="B185" s="249"/>
      <c r="C185" s="485"/>
      <c r="D185" s="486"/>
      <c r="E185" s="486"/>
      <c r="F185" s="486"/>
      <c r="G185" s="486"/>
      <c r="H185" s="486"/>
      <c r="I185" s="486"/>
      <c r="J185" s="486"/>
      <c r="K185" s="486"/>
      <c r="L185" s="486"/>
      <c r="M185" s="486"/>
      <c r="N185" s="486"/>
      <c r="O185" s="486"/>
      <c r="P185" s="486"/>
      <c r="Q185" s="486"/>
      <c r="R185" s="486"/>
      <c r="S185" s="486"/>
      <c r="T185" s="486"/>
      <c r="U185" s="487"/>
      <c r="V185" s="365"/>
      <c r="W185" s="485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  <c r="AO185" s="487"/>
      <c r="AP185" s="253"/>
    </row>
    <row r="186" spans="2:42" ht="9.9499999999999993" hidden="1" customHeight="1" x14ac:dyDescent="0.25">
      <c r="B186" s="249"/>
      <c r="C186" s="548" t="s">
        <v>99</v>
      </c>
      <c r="D186" s="549"/>
      <c r="E186" s="549"/>
      <c r="F186" s="549"/>
      <c r="G186" s="549"/>
      <c r="H186" s="549"/>
      <c r="I186" s="549"/>
      <c r="J186" s="549"/>
      <c r="K186" s="549"/>
      <c r="L186" s="549"/>
      <c r="M186" s="549"/>
      <c r="N186" s="549"/>
      <c r="O186" s="549"/>
      <c r="P186" s="549"/>
      <c r="Q186" s="549"/>
      <c r="R186" s="549"/>
      <c r="S186" s="549"/>
      <c r="T186" s="549"/>
      <c r="U186" s="550"/>
      <c r="V186" s="365"/>
      <c r="W186" s="548" t="s">
        <v>103</v>
      </c>
      <c r="X186" s="549"/>
      <c r="Y186" s="549"/>
      <c r="Z186" s="549"/>
      <c r="AA186" s="549"/>
      <c r="AB186" s="549"/>
      <c r="AC186" s="549"/>
      <c r="AD186" s="549"/>
      <c r="AE186" s="549"/>
      <c r="AF186" s="549"/>
      <c r="AG186" s="549"/>
      <c r="AH186" s="549"/>
      <c r="AI186" s="549"/>
      <c r="AJ186" s="549"/>
      <c r="AK186" s="549"/>
      <c r="AL186" s="549"/>
      <c r="AM186" s="549"/>
      <c r="AN186" s="549"/>
      <c r="AO186" s="550"/>
      <c r="AP186" s="253"/>
    </row>
    <row r="187" spans="2:42" ht="19.149999999999999" hidden="1" customHeight="1" x14ac:dyDescent="0.25">
      <c r="B187" s="4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  <c r="AA187" s="250"/>
      <c r="AB187" s="250"/>
      <c r="AC187" s="250"/>
      <c r="AD187" s="250"/>
      <c r="AE187" s="250"/>
      <c r="AF187" s="250"/>
      <c r="AG187" s="250"/>
      <c r="AH187" s="250"/>
      <c r="AI187" s="250"/>
      <c r="AJ187" s="250"/>
      <c r="AK187" s="250"/>
      <c r="AL187" s="250"/>
      <c r="AM187" s="250"/>
      <c r="AN187" s="250"/>
      <c r="AO187" s="250"/>
      <c r="AP187" s="5"/>
    </row>
    <row r="188" spans="2:42" ht="13.15" hidden="1" customHeight="1" x14ac:dyDescent="0.25">
      <c r="B188" s="249"/>
      <c r="C188" s="261"/>
      <c r="D188" s="261"/>
      <c r="E188" s="261"/>
      <c r="F188" s="261"/>
      <c r="G188" s="261"/>
      <c r="H188" s="261"/>
      <c r="I188" s="261"/>
      <c r="J188" s="261"/>
      <c r="K188" s="261"/>
      <c r="L188" s="261"/>
      <c r="M188" s="261"/>
      <c r="N188" s="261"/>
      <c r="O188" s="261"/>
      <c r="P188" s="261"/>
      <c r="Q188" s="261"/>
      <c r="R188" s="261"/>
      <c r="S188" s="261"/>
      <c r="T188" s="261"/>
      <c r="U188" s="261"/>
      <c r="V188" s="261"/>
      <c r="W188" s="261"/>
      <c r="X188" s="261"/>
      <c r="Y188" s="261"/>
      <c r="Z188" s="261"/>
      <c r="AA188" s="261"/>
      <c r="AB188" s="261"/>
      <c r="AC188" s="261"/>
      <c r="AD188" s="261"/>
      <c r="AE188" s="261"/>
      <c r="AF188" s="261"/>
      <c r="AG188" s="261"/>
      <c r="AH188" s="261"/>
      <c r="AI188" s="261"/>
      <c r="AJ188" s="261"/>
      <c r="AK188" s="261"/>
      <c r="AL188" s="261"/>
      <c r="AM188" s="261"/>
      <c r="AN188" s="261"/>
      <c r="AO188" s="261"/>
      <c r="AP188" s="253"/>
    </row>
    <row r="189" spans="2:42" ht="13.15" hidden="1" customHeight="1" x14ac:dyDescent="0.25">
      <c r="B189" s="249"/>
      <c r="C189" s="341" t="s">
        <v>2462</v>
      </c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  <c r="P189" s="341"/>
      <c r="Q189" s="341"/>
      <c r="R189" s="341"/>
      <c r="S189" s="341"/>
      <c r="T189" s="341"/>
      <c r="U189" s="341"/>
      <c r="V189" s="261"/>
      <c r="W189" s="489" t="s">
        <v>2464</v>
      </c>
      <c r="X189" s="490"/>
      <c r="Y189" s="490"/>
      <c r="Z189" s="490"/>
      <c r="AA189" s="490"/>
      <c r="AB189" s="490"/>
      <c r="AC189" s="490"/>
      <c r="AD189" s="490"/>
      <c r="AE189" s="490"/>
      <c r="AF189" s="490"/>
      <c r="AG189" s="490"/>
      <c r="AH189" s="490"/>
      <c r="AI189" s="490"/>
      <c r="AJ189" s="490"/>
      <c r="AK189" s="490"/>
      <c r="AL189" s="490"/>
      <c r="AM189" s="490"/>
      <c r="AN189" s="490"/>
      <c r="AO189" s="491"/>
      <c r="AP189" s="253"/>
    </row>
    <row r="190" spans="2:42" ht="10.15" hidden="1" customHeight="1" x14ac:dyDescent="0.25">
      <c r="B190" s="249"/>
      <c r="C190" s="330"/>
      <c r="D190" s="331"/>
      <c r="E190" s="331"/>
      <c r="F190" s="331"/>
      <c r="G190" s="331"/>
      <c r="H190" s="331"/>
      <c r="I190" s="331"/>
      <c r="J190" s="331"/>
      <c r="K190" s="331"/>
      <c r="L190" s="331"/>
      <c r="M190" s="331"/>
      <c r="N190" s="331"/>
      <c r="O190" s="331"/>
      <c r="P190" s="331"/>
      <c r="Q190" s="331"/>
      <c r="R190" s="331"/>
      <c r="S190" s="331"/>
      <c r="T190" s="331"/>
      <c r="U190" s="331"/>
      <c r="V190" s="261"/>
      <c r="W190" s="492"/>
      <c r="X190" s="493"/>
      <c r="Y190" s="493"/>
      <c r="Z190" s="493"/>
      <c r="AA190" s="493"/>
      <c r="AB190" s="493"/>
      <c r="AC190" s="493"/>
      <c r="AD190" s="493"/>
      <c r="AE190" s="493"/>
      <c r="AF190" s="493"/>
      <c r="AG190" s="493"/>
      <c r="AH190" s="493"/>
      <c r="AI190" s="493"/>
      <c r="AJ190" s="493"/>
      <c r="AK190" s="493"/>
      <c r="AL190" s="493"/>
      <c r="AM190" s="493"/>
      <c r="AN190" s="493"/>
      <c r="AO190" s="494"/>
      <c r="AP190" s="253"/>
    </row>
    <row r="191" spans="2:42" ht="9.4" hidden="1" customHeight="1" x14ac:dyDescent="0.25">
      <c r="B191" s="249"/>
      <c r="C191" s="331"/>
      <c r="D191" s="331"/>
      <c r="E191" s="331"/>
      <c r="F191" s="331"/>
      <c r="G191" s="331"/>
      <c r="H191" s="331"/>
      <c r="I191" s="331"/>
      <c r="J191" s="331"/>
      <c r="K191" s="331"/>
      <c r="L191" s="331"/>
      <c r="M191" s="331"/>
      <c r="N191" s="331"/>
      <c r="O191" s="331"/>
      <c r="P191" s="331"/>
      <c r="Q191" s="331"/>
      <c r="R191" s="331"/>
      <c r="S191" s="331"/>
      <c r="T191" s="331"/>
      <c r="U191" s="331"/>
      <c r="V191" s="261"/>
      <c r="W191" s="492"/>
      <c r="X191" s="493"/>
      <c r="Y191" s="493"/>
      <c r="Z191" s="493"/>
      <c r="AA191" s="493"/>
      <c r="AB191" s="493"/>
      <c r="AC191" s="493"/>
      <c r="AD191" s="493"/>
      <c r="AE191" s="493"/>
      <c r="AF191" s="493"/>
      <c r="AG191" s="493"/>
      <c r="AH191" s="493"/>
      <c r="AI191" s="493"/>
      <c r="AJ191" s="493"/>
      <c r="AK191" s="493"/>
      <c r="AL191" s="493"/>
      <c r="AM191" s="493"/>
      <c r="AN191" s="493"/>
      <c r="AO191" s="494"/>
      <c r="AP191" s="253"/>
    </row>
    <row r="192" spans="2:42" ht="9" hidden="1" customHeight="1" x14ac:dyDescent="0.25">
      <c r="B192" s="249"/>
      <c r="C192" s="331"/>
      <c r="D192" s="331"/>
      <c r="E192" s="331"/>
      <c r="F192" s="331"/>
      <c r="G192" s="331"/>
      <c r="H192" s="331"/>
      <c r="I192" s="331"/>
      <c r="J192" s="331"/>
      <c r="K192" s="331"/>
      <c r="L192" s="331"/>
      <c r="M192" s="331"/>
      <c r="N192" s="331"/>
      <c r="O192" s="331"/>
      <c r="P192" s="331"/>
      <c r="Q192" s="331"/>
      <c r="R192" s="331"/>
      <c r="S192" s="331"/>
      <c r="T192" s="331"/>
      <c r="U192" s="331"/>
      <c r="V192" s="261"/>
      <c r="W192" s="492"/>
      <c r="X192" s="493"/>
      <c r="Y192" s="493"/>
      <c r="Z192" s="493"/>
      <c r="AA192" s="493"/>
      <c r="AB192" s="493"/>
      <c r="AC192" s="493"/>
      <c r="AD192" s="493"/>
      <c r="AE192" s="493"/>
      <c r="AF192" s="493"/>
      <c r="AG192" s="493"/>
      <c r="AH192" s="493"/>
      <c r="AI192" s="493"/>
      <c r="AJ192" s="493"/>
      <c r="AK192" s="493"/>
      <c r="AL192" s="493"/>
      <c r="AM192" s="493"/>
      <c r="AN192" s="493"/>
      <c r="AO192" s="494"/>
      <c r="AP192" s="253"/>
    </row>
    <row r="193" spans="2:42" ht="12" hidden="1" customHeight="1" x14ac:dyDescent="0.25">
      <c r="B193" s="249"/>
      <c r="C193" s="331"/>
      <c r="D193" s="331"/>
      <c r="E193" s="331"/>
      <c r="F193" s="331"/>
      <c r="G193" s="331"/>
      <c r="H193" s="331"/>
      <c r="I193" s="331"/>
      <c r="J193" s="331"/>
      <c r="K193" s="331"/>
      <c r="L193" s="331"/>
      <c r="M193" s="331"/>
      <c r="N193" s="331"/>
      <c r="O193" s="331"/>
      <c r="P193" s="331"/>
      <c r="Q193" s="331"/>
      <c r="R193" s="331"/>
      <c r="S193" s="331"/>
      <c r="T193" s="331"/>
      <c r="U193" s="331"/>
      <c r="V193" s="261"/>
      <c r="W193" s="492"/>
      <c r="X193" s="493"/>
      <c r="Y193" s="493"/>
      <c r="Z193" s="493"/>
      <c r="AA193" s="493"/>
      <c r="AB193" s="493"/>
      <c r="AC193" s="493"/>
      <c r="AD193" s="493"/>
      <c r="AE193" s="493"/>
      <c r="AF193" s="493"/>
      <c r="AG193" s="493"/>
      <c r="AH193" s="493"/>
      <c r="AI193" s="493"/>
      <c r="AJ193" s="493"/>
      <c r="AK193" s="493"/>
      <c r="AL193" s="493"/>
      <c r="AM193" s="493"/>
      <c r="AN193" s="493"/>
      <c r="AO193" s="494"/>
      <c r="AP193" s="253"/>
    </row>
    <row r="194" spans="2:42" ht="7.5" hidden="1" customHeight="1" x14ac:dyDescent="0.25">
      <c r="B194" s="249"/>
      <c r="C194" s="331"/>
      <c r="D194" s="331"/>
      <c r="E194" s="331"/>
      <c r="F194" s="331"/>
      <c r="G194" s="331"/>
      <c r="H194" s="331"/>
      <c r="I194" s="331"/>
      <c r="J194" s="331"/>
      <c r="K194" s="331"/>
      <c r="L194" s="331"/>
      <c r="M194" s="331"/>
      <c r="N194" s="331"/>
      <c r="O194" s="331"/>
      <c r="P194" s="331"/>
      <c r="Q194" s="331"/>
      <c r="R194" s="331"/>
      <c r="S194" s="331"/>
      <c r="T194" s="331"/>
      <c r="U194" s="331"/>
      <c r="V194" s="261"/>
      <c r="W194" s="492"/>
      <c r="X194" s="493"/>
      <c r="Y194" s="493"/>
      <c r="Z194" s="493"/>
      <c r="AA194" s="493"/>
      <c r="AB194" s="493"/>
      <c r="AC194" s="493"/>
      <c r="AD194" s="493"/>
      <c r="AE194" s="493"/>
      <c r="AF194" s="493"/>
      <c r="AG194" s="493"/>
      <c r="AH194" s="493"/>
      <c r="AI194" s="493"/>
      <c r="AJ194" s="493"/>
      <c r="AK194" s="493"/>
      <c r="AL194" s="493"/>
      <c r="AM194" s="493"/>
      <c r="AN194" s="493"/>
      <c r="AO194" s="494"/>
      <c r="AP194" s="253"/>
    </row>
    <row r="195" spans="2:42" ht="10.9" hidden="1" customHeight="1" x14ac:dyDescent="0.25">
      <c r="B195" s="249"/>
      <c r="C195" s="331"/>
      <c r="D195" s="331"/>
      <c r="E195" s="331"/>
      <c r="F195" s="331"/>
      <c r="G195" s="331"/>
      <c r="H195" s="331"/>
      <c r="I195" s="331"/>
      <c r="J195" s="331"/>
      <c r="K195" s="331"/>
      <c r="L195" s="331"/>
      <c r="M195" s="331"/>
      <c r="N195" s="331"/>
      <c r="O195" s="331"/>
      <c r="P195" s="331"/>
      <c r="Q195" s="331"/>
      <c r="R195" s="331"/>
      <c r="S195" s="331"/>
      <c r="T195" s="331"/>
      <c r="U195" s="331"/>
      <c r="V195" s="261"/>
      <c r="W195" s="492"/>
      <c r="X195" s="493"/>
      <c r="Y195" s="493"/>
      <c r="Z195" s="493"/>
      <c r="AA195" s="493"/>
      <c r="AB195" s="493"/>
      <c r="AC195" s="493"/>
      <c r="AD195" s="493"/>
      <c r="AE195" s="493"/>
      <c r="AF195" s="493"/>
      <c r="AG195" s="493"/>
      <c r="AH195" s="493"/>
      <c r="AI195" s="493"/>
      <c r="AJ195" s="493"/>
      <c r="AK195" s="493"/>
      <c r="AL195" s="493"/>
      <c r="AM195" s="493"/>
      <c r="AN195" s="493"/>
      <c r="AO195" s="494"/>
      <c r="AP195" s="253"/>
    </row>
    <row r="196" spans="2:42" ht="10.15" hidden="1" customHeight="1" x14ac:dyDescent="0.25">
      <c r="B196" s="249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261"/>
      <c r="W196" s="492"/>
      <c r="X196" s="493"/>
      <c r="Y196" s="493"/>
      <c r="Z196" s="493"/>
      <c r="AA196" s="493"/>
      <c r="AB196" s="493"/>
      <c r="AC196" s="493"/>
      <c r="AD196" s="493"/>
      <c r="AE196" s="493"/>
      <c r="AF196" s="493"/>
      <c r="AG196" s="493"/>
      <c r="AH196" s="493"/>
      <c r="AI196" s="493"/>
      <c r="AJ196" s="493"/>
      <c r="AK196" s="493"/>
      <c r="AL196" s="493"/>
      <c r="AM196" s="493"/>
      <c r="AN196" s="493"/>
      <c r="AO196" s="494"/>
      <c r="AP196" s="253"/>
    </row>
    <row r="197" spans="2:42" ht="7.9" hidden="1" customHeight="1" x14ac:dyDescent="0.25">
      <c r="B197" s="249"/>
      <c r="C197" s="331"/>
      <c r="D197" s="331"/>
      <c r="E197" s="331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31"/>
      <c r="R197" s="331"/>
      <c r="S197" s="331"/>
      <c r="T197" s="331"/>
      <c r="U197" s="331"/>
      <c r="V197" s="261"/>
      <c r="W197" s="492"/>
      <c r="X197" s="493"/>
      <c r="Y197" s="493"/>
      <c r="Z197" s="493"/>
      <c r="AA197" s="493"/>
      <c r="AB197" s="493"/>
      <c r="AC197" s="493"/>
      <c r="AD197" s="493"/>
      <c r="AE197" s="493"/>
      <c r="AF197" s="493"/>
      <c r="AG197" s="493"/>
      <c r="AH197" s="493"/>
      <c r="AI197" s="493"/>
      <c r="AJ197" s="493"/>
      <c r="AK197" s="493"/>
      <c r="AL197" s="493"/>
      <c r="AM197" s="493"/>
      <c r="AN197" s="493"/>
      <c r="AO197" s="494"/>
      <c r="AP197" s="253"/>
    </row>
    <row r="198" spans="2:42" ht="9.4" hidden="1" customHeight="1" x14ac:dyDescent="0.25">
      <c r="B198" s="249"/>
      <c r="C198" s="331"/>
      <c r="D198" s="331"/>
      <c r="E198" s="331"/>
      <c r="F198" s="331"/>
      <c r="G198" s="331"/>
      <c r="H198" s="331"/>
      <c r="I198" s="331"/>
      <c r="J198" s="331"/>
      <c r="K198" s="331"/>
      <c r="L198" s="331"/>
      <c r="M198" s="331"/>
      <c r="N198" s="331"/>
      <c r="O198" s="331"/>
      <c r="P198" s="331"/>
      <c r="Q198" s="331"/>
      <c r="R198" s="331"/>
      <c r="S198" s="331"/>
      <c r="T198" s="331"/>
      <c r="U198" s="331"/>
      <c r="V198" s="261"/>
      <c r="W198" s="492"/>
      <c r="X198" s="493"/>
      <c r="Y198" s="493"/>
      <c r="Z198" s="493"/>
      <c r="AA198" s="493"/>
      <c r="AB198" s="493"/>
      <c r="AC198" s="493"/>
      <c r="AD198" s="493"/>
      <c r="AE198" s="493"/>
      <c r="AF198" s="493"/>
      <c r="AG198" s="493"/>
      <c r="AH198" s="493"/>
      <c r="AI198" s="493"/>
      <c r="AJ198" s="493"/>
      <c r="AK198" s="493"/>
      <c r="AL198" s="493"/>
      <c r="AM198" s="493"/>
      <c r="AN198" s="493"/>
      <c r="AO198" s="494"/>
      <c r="AP198" s="253"/>
    </row>
    <row r="199" spans="2:42" ht="10.5" hidden="1" customHeight="1" x14ac:dyDescent="0.25">
      <c r="B199" s="249"/>
      <c r="C199" s="331"/>
      <c r="D199" s="331"/>
      <c r="E199" s="331"/>
      <c r="F199" s="331"/>
      <c r="G199" s="331"/>
      <c r="H199" s="331"/>
      <c r="I199" s="331"/>
      <c r="J199" s="331"/>
      <c r="K199" s="331"/>
      <c r="L199" s="331"/>
      <c r="M199" s="331"/>
      <c r="N199" s="331"/>
      <c r="O199" s="331"/>
      <c r="P199" s="331"/>
      <c r="Q199" s="331"/>
      <c r="R199" s="331"/>
      <c r="S199" s="331"/>
      <c r="T199" s="331"/>
      <c r="U199" s="331"/>
      <c r="V199" s="261"/>
      <c r="W199" s="492"/>
      <c r="X199" s="493"/>
      <c r="Y199" s="493"/>
      <c r="Z199" s="493"/>
      <c r="AA199" s="493"/>
      <c r="AB199" s="493"/>
      <c r="AC199" s="493"/>
      <c r="AD199" s="493"/>
      <c r="AE199" s="493"/>
      <c r="AF199" s="493"/>
      <c r="AG199" s="493"/>
      <c r="AH199" s="493"/>
      <c r="AI199" s="493"/>
      <c r="AJ199" s="493"/>
      <c r="AK199" s="493"/>
      <c r="AL199" s="493"/>
      <c r="AM199" s="493"/>
      <c r="AN199" s="493"/>
      <c r="AO199" s="494"/>
      <c r="AP199" s="253"/>
    </row>
    <row r="200" spans="2:42" ht="9.4" hidden="1" customHeight="1" x14ac:dyDescent="0.25">
      <c r="B200" s="249"/>
      <c r="C200" s="331"/>
      <c r="D200" s="331"/>
      <c r="E200" s="331"/>
      <c r="F200" s="331"/>
      <c r="G200" s="331"/>
      <c r="H200" s="331"/>
      <c r="I200" s="331"/>
      <c r="J200" s="331"/>
      <c r="K200" s="331"/>
      <c r="L200" s="331"/>
      <c r="M200" s="331"/>
      <c r="N200" s="331"/>
      <c r="O200" s="331"/>
      <c r="P200" s="331"/>
      <c r="Q200" s="331"/>
      <c r="R200" s="331"/>
      <c r="S200" s="331"/>
      <c r="T200" s="331"/>
      <c r="U200" s="331"/>
      <c r="V200" s="261"/>
      <c r="W200" s="492"/>
      <c r="X200" s="493"/>
      <c r="Y200" s="493"/>
      <c r="Z200" s="493"/>
      <c r="AA200" s="493"/>
      <c r="AB200" s="493"/>
      <c r="AC200" s="493"/>
      <c r="AD200" s="493"/>
      <c r="AE200" s="493"/>
      <c r="AF200" s="493"/>
      <c r="AG200" s="493"/>
      <c r="AH200" s="493"/>
      <c r="AI200" s="493"/>
      <c r="AJ200" s="493"/>
      <c r="AK200" s="493"/>
      <c r="AL200" s="493"/>
      <c r="AM200" s="493"/>
      <c r="AN200" s="493"/>
      <c r="AO200" s="494"/>
      <c r="AP200" s="253"/>
    </row>
    <row r="201" spans="2:42" ht="10.15" hidden="1" customHeight="1" x14ac:dyDescent="0.25">
      <c r="B201" s="249"/>
      <c r="C201" s="331"/>
      <c r="D201" s="331"/>
      <c r="E201" s="331"/>
      <c r="F201" s="331"/>
      <c r="G201" s="331"/>
      <c r="H201" s="331"/>
      <c r="I201" s="331"/>
      <c r="J201" s="331"/>
      <c r="K201" s="331"/>
      <c r="L201" s="331"/>
      <c r="M201" s="331"/>
      <c r="N201" s="331"/>
      <c r="O201" s="331"/>
      <c r="P201" s="331"/>
      <c r="Q201" s="331"/>
      <c r="R201" s="331"/>
      <c r="S201" s="331"/>
      <c r="T201" s="331"/>
      <c r="U201" s="331"/>
      <c r="V201" s="261"/>
      <c r="W201" s="492"/>
      <c r="X201" s="493"/>
      <c r="Y201" s="493"/>
      <c r="Z201" s="493"/>
      <c r="AA201" s="493"/>
      <c r="AB201" s="493"/>
      <c r="AC201" s="493"/>
      <c r="AD201" s="493"/>
      <c r="AE201" s="493"/>
      <c r="AF201" s="493"/>
      <c r="AG201" s="493"/>
      <c r="AH201" s="493"/>
      <c r="AI201" s="493"/>
      <c r="AJ201" s="493"/>
      <c r="AK201" s="493"/>
      <c r="AL201" s="493"/>
      <c r="AM201" s="493"/>
      <c r="AN201" s="493"/>
      <c r="AO201" s="494"/>
      <c r="AP201" s="253"/>
    </row>
    <row r="202" spans="2:42" ht="9.4" hidden="1" customHeight="1" x14ac:dyDescent="0.25">
      <c r="B202" s="249"/>
      <c r="C202" s="331"/>
      <c r="D202" s="331"/>
      <c r="E202" s="331"/>
      <c r="F202" s="331"/>
      <c r="G202" s="331"/>
      <c r="H202" s="331"/>
      <c r="I202" s="331"/>
      <c r="J202" s="331"/>
      <c r="K202" s="331"/>
      <c r="L202" s="331"/>
      <c r="M202" s="331"/>
      <c r="N202" s="331"/>
      <c r="O202" s="331"/>
      <c r="P202" s="331"/>
      <c r="Q202" s="331"/>
      <c r="R202" s="331"/>
      <c r="S202" s="331"/>
      <c r="T202" s="331"/>
      <c r="U202" s="331"/>
      <c r="V202" s="261"/>
      <c r="W202" s="492"/>
      <c r="X202" s="493"/>
      <c r="Y202" s="493"/>
      <c r="Z202" s="493"/>
      <c r="AA202" s="493"/>
      <c r="AB202" s="493"/>
      <c r="AC202" s="493"/>
      <c r="AD202" s="493"/>
      <c r="AE202" s="493"/>
      <c r="AF202" s="493"/>
      <c r="AG202" s="493"/>
      <c r="AH202" s="493"/>
      <c r="AI202" s="493"/>
      <c r="AJ202" s="493"/>
      <c r="AK202" s="493"/>
      <c r="AL202" s="493"/>
      <c r="AM202" s="493"/>
      <c r="AN202" s="493"/>
      <c r="AO202" s="494"/>
      <c r="AP202" s="253"/>
    </row>
    <row r="203" spans="2:42" ht="10.15" hidden="1" customHeight="1" x14ac:dyDescent="0.25">
      <c r="B203" s="249"/>
      <c r="C203" s="488" t="s">
        <v>2465</v>
      </c>
      <c r="D203" s="488"/>
      <c r="E203" s="488"/>
      <c r="F203" s="488"/>
      <c r="G203" s="488"/>
      <c r="H203" s="488"/>
      <c r="I203" s="488"/>
      <c r="J203" s="488"/>
      <c r="K203" s="488"/>
      <c r="L203" s="488"/>
      <c r="M203" s="488"/>
      <c r="N203" s="488"/>
      <c r="O203" s="488"/>
      <c r="P203" s="488"/>
      <c r="Q203" s="488"/>
      <c r="R203" s="488"/>
      <c r="S203" s="488"/>
      <c r="T203" s="488"/>
      <c r="U203" s="488"/>
      <c r="V203" s="261"/>
      <c r="W203" s="395" t="s">
        <v>2466</v>
      </c>
      <c r="X203" s="396"/>
      <c r="Y203" s="396"/>
      <c r="Z203" s="396"/>
      <c r="AA203" s="396"/>
      <c r="AB203" s="396"/>
      <c r="AC203" s="396"/>
      <c r="AD203" s="396"/>
      <c r="AE203" s="396"/>
      <c r="AF203" s="396"/>
      <c r="AG203" s="396"/>
      <c r="AH203" s="396"/>
      <c r="AI203" s="396"/>
      <c r="AJ203" s="396"/>
      <c r="AK203" s="396"/>
      <c r="AL203" s="396"/>
      <c r="AM203" s="396"/>
      <c r="AN203" s="396"/>
      <c r="AO203" s="397"/>
      <c r="AP203" s="253"/>
    </row>
    <row r="204" spans="2:42" ht="10.15" hidden="1" customHeight="1" x14ac:dyDescent="0.25">
      <c r="B204" s="249"/>
      <c r="C204" s="257"/>
      <c r="D204" s="257"/>
      <c r="E204" s="257"/>
      <c r="F204" s="257"/>
      <c r="G204" s="257"/>
      <c r="H204" s="257"/>
      <c r="I204" s="257"/>
      <c r="J204" s="257"/>
      <c r="K204" s="257"/>
      <c r="L204" s="257"/>
      <c r="M204" s="257"/>
      <c r="N204" s="257"/>
      <c r="O204" s="257"/>
      <c r="P204" s="257"/>
      <c r="Q204" s="257"/>
      <c r="R204" s="257"/>
      <c r="S204" s="257"/>
      <c r="T204" s="257"/>
      <c r="U204" s="257"/>
      <c r="V204" s="261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  <c r="AJ204" s="257"/>
      <c r="AK204" s="257"/>
      <c r="AL204" s="257"/>
      <c r="AM204" s="257"/>
      <c r="AN204" s="257"/>
      <c r="AO204" s="257"/>
      <c r="AP204" s="253"/>
    </row>
    <row r="205" spans="2:42" ht="10.15" hidden="1" customHeight="1" x14ac:dyDescent="0.25">
      <c r="B205" s="249"/>
      <c r="C205" s="341" t="s">
        <v>2467</v>
      </c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  <c r="P205" s="341"/>
      <c r="Q205" s="341"/>
      <c r="R205" s="341"/>
      <c r="S205" s="341"/>
      <c r="T205" s="341"/>
      <c r="U205" s="341"/>
      <c r="V205" s="261"/>
      <c r="W205" s="489" t="s">
        <v>2468</v>
      </c>
      <c r="X205" s="490"/>
      <c r="Y205" s="490"/>
      <c r="Z205" s="490"/>
      <c r="AA205" s="490"/>
      <c r="AB205" s="490"/>
      <c r="AC205" s="490"/>
      <c r="AD205" s="490"/>
      <c r="AE205" s="490"/>
      <c r="AF205" s="490"/>
      <c r="AG205" s="490"/>
      <c r="AH205" s="490"/>
      <c r="AI205" s="490"/>
      <c r="AJ205" s="490"/>
      <c r="AK205" s="490"/>
      <c r="AL205" s="490"/>
      <c r="AM205" s="490"/>
      <c r="AN205" s="490"/>
      <c r="AO205" s="491"/>
      <c r="AP205" s="253"/>
    </row>
    <row r="206" spans="2:42" ht="10.15" hidden="1" customHeight="1" x14ac:dyDescent="0.25">
      <c r="B206" s="249"/>
      <c r="C206" s="330"/>
      <c r="D206" s="331"/>
      <c r="E206" s="331"/>
      <c r="F206" s="331"/>
      <c r="G206" s="331"/>
      <c r="H206" s="331"/>
      <c r="I206" s="331"/>
      <c r="J206" s="331"/>
      <c r="K206" s="331"/>
      <c r="L206" s="331"/>
      <c r="M206" s="331"/>
      <c r="N206" s="331"/>
      <c r="O206" s="331"/>
      <c r="P206" s="331"/>
      <c r="Q206" s="331"/>
      <c r="R206" s="331"/>
      <c r="S206" s="331"/>
      <c r="T206" s="331"/>
      <c r="U206" s="331"/>
      <c r="V206" s="261"/>
      <c r="W206" s="492"/>
      <c r="X206" s="493"/>
      <c r="Y206" s="493"/>
      <c r="Z206" s="493"/>
      <c r="AA206" s="493"/>
      <c r="AB206" s="493"/>
      <c r="AC206" s="493"/>
      <c r="AD206" s="493"/>
      <c r="AE206" s="493"/>
      <c r="AF206" s="493"/>
      <c r="AG206" s="493"/>
      <c r="AH206" s="493"/>
      <c r="AI206" s="493"/>
      <c r="AJ206" s="493"/>
      <c r="AK206" s="493"/>
      <c r="AL206" s="493"/>
      <c r="AM206" s="493"/>
      <c r="AN206" s="493"/>
      <c r="AO206" s="494"/>
      <c r="AP206" s="253"/>
    </row>
    <row r="207" spans="2:42" ht="10.15" hidden="1" customHeight="1" x14ac:dyDescent="0.25">
      <c r="B207" s="249"/>
      <c r="C207" s="331"/>
      <c r="D207" s="331"/>
      <c r="E207" s="331"/>
      <c r="F207" s="331"/>
      <c r="G207" s="331"/>
      <c r="H207" s="331"/>
      <c r="I207" s="331"/>
      <c r="J207" s="331"/>
      <c r="K207" s="331"/>
      <c r="L207" s="331"/>
      <c r="M207" s="331"/>
      <c r="N207" s="331"/>
      <c r="O207" s="331"/>
      <c r="P207" s="331"/>
      <c r="Q207" s="331"/>
      <c r="R207" s="331"/>
      <c r="S207" s="331"/>
      <c r="T207" s="331"/>
      <c r="U207" s="331"/>
      <c r="V207" s="261"/>
      <c r="W207" s="492"/>
      <c r="X207" s="493"/>
      <c r="Y207" s="493"/>
      <c r="Z207" s="493"/>
      <c r="AA207" s="493"/>
      <c r="AB207" s="493"/>
      <c r="AC207" s="493"/>
      <c r="AD207" s="493"/>
      <c r="AE207" s="493"/>
      <c r="AF207" s="493"/>
      <c r="AG207" s="493"/>
      <c r="AH207" s="493"/>
      <c r="AI207" s="493"/>
      <c r="AJ207" s="493"/>
      <c r="AK207" s="493"/>
      <c r="AL207" s="493"/>
      <c r="AM207" s="493"/>
      <c r="AN207" s="493"/>
      <c r="AO207" s="494"/>
      <c r="AP207" s="253"/>
    </row>
    <row r="208" spans="2:42" ht="10.15" hidden="1" customHeight="1" x14ac:dyDescent="0.25">
      <c r="B208" s="249"/>
      <c r="C208" s="331"/>
      <c r="D208" s="331"/>
      <c r="E208" s="331"/>
      <c r="F208" s="331"/>
      <c r="G208" s="331"/>
      <c r="H208" s="331"/>
      <c r="I208" s="331"/>
      <c r="J208" s="331"/>
      <c r="K208" s="331"/>
      <c r="L208" s="331"/>
      <c r="M208" s="331"/>
      <c r="N208" s="331"/>
      <c r="O208" s="331"/>
      <c r="P208" s="331"/>
      <c r="Q208" s="331"/>
      <c r="R208" s="331"/>
      <c r="S208" s="331"/>
      <c r="T208" s="331"/>
      <c r="U208" s="331"/>
      <c r="V208" s="261"/>
      <c r="W208" s="492"/>
      <c r="X208" s="493"/>
      <c r="Y208" s="493"/>
      <c r="Z208" s="493"/>
      <c r="AA208" s="493"/>
      <c r="AB208" s="493"/>
      <c r="AC208" s="493"/>
      <c r="AD208" s="493"/>
      <c r="AE208" s="493"/>
      <c r="AF208" s="493"/>
      <c r="AG208" s="493"/>
      <c r="AH208" s="493"/>
      <c r="AI208" s="493"/>
      <c r="AJ208" s="493"/>
      <c r="AK208" s="493"/>
      <c r="AL208" s="493"/>
      <c r="AM208" s="493"/>
      <c r="AN208" s="493"/>
      <c r="AO208" s="494"/>
      <c r="AP208" s="253"/>
    </row>
    <row r="209" spans="2:42" ht="10.15" hidden="1" customHeight="1" x14ac:dyDescent="0.25">
      <c r="B209" s="249"/>
      <c r="C209" s="331"/>
      <c r="D209" s="331"/>
      <c r="E209" s="331"/>
      <c r="F209" s="331"/>
      <c r="G209" s="331"/>
      <c r="H209" s="331"/>
      <c r="I209" s="331"/>
      <c r="J209" s="331"/>
      <c r="K209" s="331"/>
      <c r="L209" s="331"/>
      <c r="M209" s="331"/>
      <c r="N209" s="331"/>
      <c r="O209" s="331"/>
      <c r="P209" s="331"/>
      <c r="Q209" s="331"/>
      <c r="R209" s="331"/>
      <c r="S209" s="331"/>
      <c r="T209" s="331"/>
      <c r="U209" s="331"/>
      <c r="V209" s="261"/>
      <c r="W209" s="492"/>
      <c r="X209" s="493"/>
      <c r="Y209" s="493"/>
      <c r="Z209" s="493"/>
      <c r="AA209" s="493"/>
      <c r="AB209" s="493"/>
      <c r="AC209" s="493"/>
      <c r="AD209" s="493"/>
      <c r="AE209" s="493"/>
      <c r="AF209" s="493"/>
      <c r="AG209" s="493"/>
      <c r="AH209" s="493"/>
      <c r="AI209" s="493"/>
      <c r="AJ209" s="493"/>
      <c r="AK209" s="493"/>
      <c r="AL209" s="493"/>
      <c r="AM209" s="493"/>
      <c r="AN209" s="493"/>
      <c r="AO209" s="494"/>
      <c r="AP209" s="253"/>
    </row>
    <row r="210" spans="2:42" ht="10.15" hidden="1" customHeight="1" x14ac:dyDescent="0.25">
      <c r="B210" s="249"/>
      <c r="C210" s="331"/>
      <c r="D210" s="331"/>
      <c r="E210" s="331"/>
      <c r="F210" s="331"/>
      <c r="G210" s="331"/>
      <c r="H210" s="331"/>
      <c r="I210" s="331"/>
      <c r="J210" s="331"/>
      <c r="K210" s="331"/>
      <c r="L210" s="331"/>
      <c r="M210" s="331"/>
      <c r="N210" s="331"/>
      <c r="O210" s="331"/>
      <c r="P210" s="331"/>
      <c r="Q210" s="331"/>
      <c r="R210" s="331"/>
      <c r="S210" s="331"/>
      <c r="T210" s="331"/>
      <c r="U210" s="331"/>
      <c r="V210" s="261"/>
      <c r="W210" s="492"/>
      <c r="X210" s="493"/>
      <c r="Y210" s="493"/>
      <c r="Z210" s="493"/>
      <c r="AA210" s="493"/>
      <c r="AB210" s="493"/>
      <c r="AC210" s="493"/>
      <c r="AD210" s="493"/>
      <c r="AE210" s="493"/>
      <c r="AF210" s="493"/>
      <c r="AG210" s="493"/>
      <c r="AH210" s="493"/>
      <c r="AI210" s="493"/>
      <c r="AJ210" s="493"/>
      <c r="AK210" s="493"/>
      <c r="AL210" s="493"/>
      <c r="AM210" s="493"/>
      <c r="AN210" s="493"/>
      <c r="AO210" s="494"/>
      <c r="AP210" s="253"/>
    </row>
    <row r="211" spans="2:42" ht="10.15" hidden="1" customHeight="1" x14ac:dyDescent="0.25">
      <c r="B211" s="249"/>
      <c r="C211" s="331"/>
      <c r="D211" s="331"/>
      <c r="E211" s="331"/>
      <c r="F211" s="331"/>
      <c r="G211" s="331"/>
      <c r="H211" s="331"/>
      <c r="I211" s="331"/>
      <c r="J211" s="331"/>
      <c r="K211" s="331"/>
      <c r="L211" s="331"/>
      <c r="M211" s="331"/>
      <c r="N211" s="331"/>
      <c r="O211" s="331"/>
      <c r="P211" s="331"/>
      <c r="Q211" s="331"/>
      <c r="R211" s="331"/>
      <c r="S211" s="331"/>
      <c r="T211" s="331"/>
      <c r="U211" s="331"/>
      <c r="V211" s="261"/>
      <c r="W211" s="492"/>
      <c r="X211" s="493"/>
      <c r="Y211" s="493"/>
      <c r="Z211" s="493"/>
      <c r="AA211" s="493"/>
      <c r="AB211" s="493"/>
      <c r="AC211" s="493"/>
      <c r="AD211" s="493"/>
      <c r="AE211" s="493"/>
      <c r="AF211" s="493"/>
      <c r="AG211" s="493"/>
      <c r="AH211" s="493"/>
      <c r="AI211" s="493"/>
      <c r="AJ211" s="493"/>
      <c r="AK211" s="493"/>
      <c r="AL211" s="493"/>
      <c r="AM211" s="493"/>
      <c r="AN211" s="493"/>
      <c r="AO211" s="494"/>
      <c r="AP211" s="253"/>
    </row>
    <row r="212" spans="2:42" ht="10.15" hidden="1" customHeight="1" x14ac:dyDescent="0.25">
      <c r="B212" s="249"/>
      <c r="C212" s="331"/>
      <c r="D212" s="331"/>
      <c r="E212" s="331"/>
      <c r="F212" s="331"/>
      <c r="G212" s="331"/>
      <c r="H212" s="331"/>
      <c r="I212" s="331"/>
      <c r="J212" s="331"/>
      <c r="K212" s="331"/>
      <c r="L212" s="331"/>
      <c r="M212" s="331"/>
      <c r="N212" s="331"/>
      <c r="O212" s="331"/>
      <c r="P212" s="331"/>
      <c r="Q212" s="331"/>
      <c r="R212" s="331"/>
      <c r="S212" s="331"/>
      <c r="T212" s="331"/>
      <c r="U212" s="331"/>
      <c r="V212" s="261"/>
      <c r="W212" s="492"/>
      <c r="X212" s="493"/>
      <c r="Y212" s="493"/>
      <c r="Z212" s="493"/>
      <c r="AA212" s="493"/>
      <c r="AB212" s="493"/>
      <c r="AC212" s="493"/>
      <c r="AD212" s="493"/>
      <c r="AE212" s="493"/>
      <c r="AF212" s="493"/>
      <c r="AG212" s="493"/>
      <c r="AH212" s="493"/>
      <c r="AI212" s="493"/>
      <c r="AJ212" s="493"/>
      <c r="AK212" s="493"/>
      <c r="AL212" s="493"/>
      <c r="AM212" s="493"/>
      <c r="AN212" s="493"/>
      <c r="AO212" s="494"/>
      <c r="AP212" s="253"/>
    </row>
    <row r="213" spans="2:42" ht="10.15" hidden="1" customHeight="1" x14ac:dyDescent="0.25">
      <c r="B213" s="249"/>
      <c r="C213" s="331"/>
      <c r="D213" s="331"/>
      <c r="E213" s="331"/>
      <c r="F213" s="331"/>
      <c r="G213" s="331"/>
      <c r="H213" s="331"/>
      <c r="I213" s="331"/>
      <c r="J213" s="331"/>
      <c r="K213" s="331"/>
      <c r="L213" s="331"/>
      <c r="M213" s="331"/>
      <c r="N213" s="331"/>
      <c r="O213" s="331"/>
      <c r="P213" s="331"/>
      <c r="Q213" s="331"/>
      <c r="R213" s="331"/>
      <c r="S213" s="331"/>
      <c r="T213" s="331"/>
      <c r="U213" s="331"/>
      <c r="V213" s="261"/>
      <c r="W213" s="492"/>
      <c r="X213" s="493"/>
      <c r="Y213" s="493"/>
      <c r="Z213" s="493"/>
      <c r="AA213" s="493"/>
      <c r="AB213" s="493"/>
      <c r="AC213" s="493"/>
      <c r="AD213" s="493"/>
      <c r="AE213" s="493"/>
      <c r="AF213" s="493"/>
      <c r="AG213" s="493"/>
      <c r="AH213" s="493"/>
      <c r="AI213" s="493"/>
      <c r="AJ213" s="493"/>
      <c r="AK213" s="493"/>
      <c r="AL213" s="493"/>
      <c r="AM213" s="493"/>
      <c r="AN213" s="493"/>
      <c r="AO213" s="494"/>
      <c r="AP213" s="253"/>
    </row>
    <row r="214" spans="2:42" ht="10.15" hidden="1" customHeight="1" x14ac:dyDescent="0.25">
      <c r="B214" s="249"/>
      <c r="C214" s="331"/>
      <c r="D214" s="331"/>
      <c r="E214" s="331"/>
      <c r="F214" s="331"/>
      <c r="G214" s="331"/>
      <c r="H214" s="331"/>
      <c r="I214" s="331"/>
      <c r="J214" s="331"/>
      <c r="K214" s="331"/>
      <c r="L214" s="331"/>
      <c r="M214" s="331"/>
      <c r="N214" s="331"/>
      <c r="O214" s="331"/>
      <c r="P214" s="331"/>
      <c r="Q214" s="331"/>
      <c r="R214" s="331"/>
      <c r="S214" s="331"/>
      <c r="T214" s="331"/>
      <c r="U214" s="331"/>
      <c r="V214" s="261"/>
      <c r="W214" s="492"/>
      <c r="X214" s="493"/>
      <c r="Y214" s="493"/>
      <c r="Z214" s="493"/>
      <c r="AA214" s="493"/>
      <c r="AB214" s="493"/>
      <c r="AC214" s="493"/>
      <c r="AD214" s="493"/>
      <c r="AE214" s="493"/>
      <c r="AF214" s="493"/>
      <c r="AG214" s="493"/>
      <c r="AH214" s="493"/>
      <c r="AI214" s="493"/>
      <c r="AJ214" s="493"/>
      <c r="AK214" s="493"/>
      <c r="AL214" s="493"/>
      <c r="AM214" s="493"/>
      <c r="AN214" s="493"/>
      <c r="AO214" s="494"/>
      <c r="AP214" s="253"/>
    </row>
    <row r="215" spans="2:42" ht="10.15" hidden="1" customHeight="1" x14ac:dyDescent="0.25">
      <c r="B215" s="249"/>
      <c r="C215" s="331"/>
      <c r="D215" s="331"/>
      <c r="E215" s="331"/>
      <c r="F215" s="331"/>
      <c r="G215" s="331"/>
      <c r="H215" s="331"/>
      <c r="I215" s="331"/>
      <c r="J215" s="331"/>
      <c r="K215" s="331"/>
      <c r="L215" s="331"/>
      <c r="M215" s="331"/>
      <c r="N215" s="331"/>
      <c r="O215" s="331"/>
      <c r="P215" s="331"/>
      <c r="Q215" s="331"/>
      <c r="R215" s="331"/>
      <c r="S215" s="331"/>
      <c r="T215" s="331"/>
      <c r="U215" s="331"/>
      <c r="V215" s="261"/>
      <c r="W215" s="492"/>
      <c r="X215" s="493"/>
      <c r="Y215" s="493"/>
      <c r="Z215" s="493"/>
      <c r="AA215" s="493"/>
      <c r="AB215" s="493"/>
      <c r="AC215" s="493"/>
      <c r="AD215" s="493"/>
      <c r="AE215" s="493"/>
      <c r="AF215" s="493"/>
      <c r="AG215" s="493"/>
      <c r="AH215" s="493"/>
      <c r="AI215" s="493"/>
      <c r="AJ215" s="493"/>
      <c r="AK215" s="493"/>
      <c r="AL215" s="493"/>
      <c r="AM215" s="493"/>
      <c r="AN215" s="493"/>
      <c r="AO215" s="494"/>
      <c r="AP215" s="253"/>
    </row>
    <row r="216" spans="2:42" ht="10.15" hidden="1" customHeight="1" x14ac:dyDescent="0.25">
      <c r="B216" s="249"/>
      <c r="C216" s="331"/>
      <c r="D216" s="331"/>
      <c r="E216" s="331"/>
      <c r="F216" s="331"/>
      <c r="G216" s="331"/>
      <c r="H216" s="331"/>
      <c r="I216" s="331"/>
      <c r="J216" s="331"/>
      <c r="K216" s="331"/>
      <c r="L216" s="331"/>
      <c r="M216" s="331"/>
      <c r="N216" s="331"/>
      <c r="O216" s="331"/>
      <c r="P216" s="331"/>
      <c r="Q216" s="331"/>
      <c r="R216" s="331"/>
      <c r="S216" s="331"/>
      <c r="T216" s="331"/>
      <c r="U216" s="331"/>
      <c r="V216" s="261"/>
      <c r="W216" s="492"/>
      <c r="X216" s="493"/>
      <c r="Y216" s="493"/>
      <c r="Z216" s="493"/>
      <c r="AA216" s="493"/>
      <c r="AB216" s="493"/>
      <c r="AC216" s="493"/>
      <c r="AD216" s="493"/>
      <c r="AE216" s="493"/>
      <c r="AF216" s="493"/>
      <c r="AG216" s="493"/>
      <c r="AH216" s="493"/>
      <c r="AI216" s="493"/>
      <c r="AJ216" s="493"/>
      <c r="AK216" s="493"/>
      <c r="AL216" s="493"/>
      <c r="AM216" s="493"/>
      <c r="AN216" s="493"/>
      <c r="AO216" s="494"/>
      <c r="AP216" s="253"/>
    </row>
    <row r="217" spans="2:42" ht="10.15" hidden="1" customHeight="1" x14ac:dyDescent="0.25">
      <c r="B217" s="249"/>
      <c r="C217" s="331"/>
      <c r="D217" s="331"/>
      <c r="E217" s="331"/>
      <c r="F217" s="331"/>
      <c r="G217" s="331"/>
      <c r="H217" s="331"/>
      <c r="I217" s="331"/>
      <c r="J217" s="331"/>
      <c r="K217" s="331"/>
      <c r="L217" s="331"/>
      <c r="M217" s="331"/>
      <c r="N217" s="331"/>
      <c r="O217" s="331"/>
      <c r="P217" s="331"/>
      <c r="Q217" s="331"/>
      <c r="R217" s="331"/>
      <c r="S217" s="331"/>
      <c r="T217" s="331"/>
      <c r="U217" s="331"/>
      <c r="V217" s="261"/>
      <c r="W217" s="492"/>
      <c r="X217" s="493"/>
      <c r="Y217" s="493"/>
      <c r="Z217" s="493"/>
      <c r="AA217" s="493"/>
      <c r="AB217" s="493"/>
      <c r="AC217" s="493"/>
      <c r="AD217" s="493"/>
      <c r="AE217" s="493"/>
      <c r="AF217" s="493"/>
      <c r="AG217" s="493"/>
      <c r="AH217" s="493"/>
      <c r="AI217" s="493"/>
      <c r="AJ217" s="493"/>
      <c r="AK217" s="493"/>
      <c r="AL217" s="493"/>
      <c r="AM217" s="493"/>
      <c r="AN217" s="493"/>
      <c r="AO217" s="494"/>
      <c r="AP217" s="253"/>
    </row>
    <row r="218" spans="2:42" ht="10.15" hidden="1" customHeight="1" x14ac:dyDescent="0.25">
      <c r="B218" s="249"/>
      <c r="C218" s="331"/>
      <c r="D218" s="331"/>
      <c r="E218" s="331"/>
      <c r="F218" s="331"/>
      <c r="G218" s="331"/>
      <c r="H218" s="331"/>
      <c r="I218" s="331"/>
      <c r="J218" s="331"/>
      <c r="K218" s="331"/>
      <c r="L218" s="331"/>
      <c r="M218" s="331"/>
      <c r="N218" s="331"/>
      <c r="O218" s="331"/>
      <c r="P218" s="331"/>
      <c r="Q218" s="331"/>
      <c r="R218" s="331"/>
      <c r="S218" s="331"/>
      <c r="T218" s="331"/>
      <c r="U218" s="331"/>
      <c r="V218" s="261"/>
      <c r="W218" s="492"/>
      <c r="X218" s="493"/>
      <c r="Y218" s="493"/>
      <c r="Z218" s="493"/>
      <c r="AA218" s="493"/>
      <c r="AB218" s="493"/>
      <c r="AC218" s="493"/>
      <c r="AD218" s="493"/>
      <c r="AE218" s="493"/>
      <c r="AF218" s="493"/>
      <c r="AG218" s="493"/>
      <c r="AH218" s="493"/>
      <c r="AI218" s="493"/>
      <c r="AJ218" s="493"/>
      <c r="AK218" s="493"/>
      <c r="AL218" s="493"/>
      <c r="AM218" s="493"/>
      <c r="AN218" s="493"/>
      <c r="AO218" s="494"/>
      <c r="AP218" s="253"/>
    </row>
    <row r="219" spans="2:42" ht="10.15" hidden="1" customHeight="1" x14ac:dyDescent="0.25">
      <c r="B219" s="249"/>
      <c r="C219" s="488" t="s">
        <v>2469</v>
      </c>
      <c r="D219" s="488"/>
      <c r="E219" s="488"/>
      <c r="F219" s="488"/>
      <c r="G219" s="488"/>
      <c r="H219" s="488"/>
      <c r="I219" s="488"/>
      <c r="J219" s="488"/>
      <c r="K219" s="488"/>
      <c r="L219" s="488"/>
      <c r="M219" s="488"/>
      <c r="N219" s="488"/>
      <c r="O219" s="488"/>
      <c r="P219" s="488"/>
      <c r="Q219" s="488"/>
      <c r="R219" s="488"/>
      <c r="S219" s="488"/>
      <c r="T219" s="488"/>
      <c r="U219" s="488"/>
      <c r="V219" s="261"/>
      <c r="W219" s="395" t="s">
        <v>2470</v>
      </c>
      <c r="X219" s="396"/>
      <c r="Y219" s="396"/>
      <c r="Z219" s="396"/>
      <c r="AA219" s="396"/>
      <c r="AB219" s="396"/>
      <c r="AC219" s="396"/>
      <c r="AD219" s="396"/>
      <c r="AE219" s="396"/>
      <c r="AF219" s="396"/>
      <c r="AG219" s="396"/>
      <c r="AH219" s="396"/>
      <c r="AI219" s="396"/>
      <c r="AJ219" s="396"/>
      <c r="AK219" s="396"/>
      <c r="AL219" s="396"/>
      <c r="AM219" s="396"/>
      <c r="AN219" s="396"/>
      <c r="AO219" s="397"/>
      <c r="AP219" s="253"/>
    </row>
    <row r="220" spans="2:42" ht="9.4" hidden="1" customHeight="1" x14ac:dyDescent="0.25">
      <c r="B220" s="249"/>
      <c r="C220" s="261"/>
      <c r="D220" s="261"/>
      <c r="E220" s="261"/>
      <c r="F220" s="261"/>
      <c r="G220" s="261"/>
      <c r="H220" s="261"/>
      <c r="I220" s="261"/>
      <c r="J220" s="261"/>
      <c r="K220" s="261"/>
      <c r="L220" s="261"/>
      <c r="M220" s="261"/>
      <c r="N220" s="261"/>
      <c r="O220" s="261"/>
      <c r="P220" s="261"/>
      <c r="Q220" s="261"/>
      <c r="R220" s="261"/>
      <c r="S220" s="261"/>
      <c r="T220" s="261"/>
      <c r="U220" s="261"/>
      <c r="V220" s="261"/>
      <c r="W220" s="261"/>
      <c r="X220" s="261"/>
      <c r="Y220" s="261"/>
      <c r="Z220" s="261"/>
      <c r="AA220" s="261"/>
      <c r="AB220" s="261"/>
      <c r="AC220" s="261"/>
      <c r="AD220" s="261"/>
      <c r="AE220" s="261"/>
      <c r="AF220" s="261"/>
      <c r="AG220" s="261"/>
      <c r="AH220" s="261"/>
      <c r="AI220" s="261"/>
      <c r="AJ220" s="261"/>
      <c r="AK220" s="261"/>
      <c r="AL220" s="261"/>
      <c r="AM220" s="261"/>
      <c r="AN220" s="261"/>
      <c r="AO220" s="261"/>
      <c r="AP220" s="253"/>
    </row>
    <row r="221" spans="2:42" ht="10.5" hidden="1" customHeight="1" x14ac:dyDescent="0.25">
      <c r="B221" s="249"/>
      <c r="C221" s="261"/>
      <c r="D221" s="261"/>
      <c r="E221" s="261"/>
      <c r="F221" s="261"/>
      <c r="G221" s="261"/>
      <c r="H221" s="261"/>
      <c r="I221" s="261"/>
      <c r="J221" s="261"/>
      <c r="K221" s="261"/>
      <c r="L221" s="261"/>
      <c r="M221" s="261"/>
      <c r="N221" s="261"/>
      <c r="O221" s="261"/>
      <c r="P221" s="261"/>
      <c r="Q221" s="261"/>
      <c r="R221" s="261"/>
      <c r="S221" s="261"/>
      <c r="T221" s="261"/>
      <c r="U221" s="261"/>
      <c r="V221" s="261"/>
      <c r="W221" s="261"/>
      <c r="X221" s="261"/>
      <c r="Y221" s="261"/>
      <c r="Z221" s="261"/>
      <c r="AA221" s="261"/>
      <c r="AB221" s="261"/>
      <c r="AC221" s="261"/>
      <c r="AD221" s="261"/>
      <c r="AE221" s="261"/>
      <c r="AF221" s="261"/>
      <c r="AG221" s="261"/>
      <c r="AH221" s="261"/>
      <c r="AI221" s="261"/>
      <c r="AJ221" s="261"/>
      <c r="AK221" s="261"/>
      <c r="AL221" s="261"/>
      <c r="AM221" s="261"/>
      <c r="AN221" s="261"/>
      <c r="AO221" s="261"/>
      <c r="AP221" s="253"/>
    </row>
    <row r="222" spans="2:42" ht="9.9499999999999993" hidden="1" customHeight="1" x14ac:dyDescent="0.25">
      <c r="B222" s="265" t="s">
        <v>104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"/>
      <c r="V222" s="262"/>
      <c r="W222" s="3" t="s">
        <v>105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266"/>
    </row>
    <row r="223" spans="2:42" ht="9.9499999999999993" hidden="1" customHeight="1" x14ac:dyDescent="0.25">
      <c r="B223" s="342"/>
      <c r="C223" s="365"/>
      <c r="D223" s="365"/>
      <c r="E223" s="365"/>
      <c r="F223" s="365"/>
      <c r="G223" s="365"/>
      <c r="H223" s="365"/>
      <c r="I223" s="365"/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6"/>
      <c r="V223" s="365"/>
      <c r="W223" s="364"/>
      <c r="X223" s="365"/>
      <c r="Y223" s="365"/>
      <c r="Z223" s="365"/>
      <c r="AA223" s="365"/>
      <c r="AB223" s="365"/>
      <c r="AC223" s="365"/>
      <c r="AD223" s="365"/>
      <c r="AE223" s="365"/>
      <c r="AF223" s="365"/>
      <c r="AG223" s="365"/>
      <c r="AH223" s="365"/>
      <c r="AI223" s="365"/>
      <c r="AJ223" s="365"/>
      <c r="AK223" s="365"/>
      <c r="AL223" s="365"/>
      <c r="AM223" s="365"/>
      <c r="AN223" s="365"/>
      <c r="AO223" s="365"/>
      <c r="AP223" s="253"/>
    </row>
    <row r="224" spans="2:42" ht="9.9499999999999993" hidden="1" customHeight="1" x14ac:dyDescent="0.25">
      <c r="B224" s="534"/>
      <c r="C224" s="524"/>
      <c r="D224" s="524"/>
      <c r="E224" s="524"/>
      <c r="F224" s="524"/>
      <c r="G224" s="524"/>
      <c r="H224" s="524"/>
      <c r="I224" s="524"/>
      <c r="J224" s="524"/>
      <c r="K224" s="524"/>
      <c r="L224" s="524"/>
      <c r="M224" s="524"/>
      <c r="N224" s="524"/>
      <c r="O224" s="524"/>
      <c r="P224" s="524"/>
      <c r="Q224" s="524"/>
      <c r="R224" s="524"/>
      <c r="S224" s="524"/>
      <c r="T224" s="524"/>
      <c r="U224" s="535"/>
      <c r="V224" s="365"/>
      <c r="W224" s="523"/>
      <c r="X224" s="524"/>
      <c r="Y224" s="524"/>
      <c r="Z224" s="524"/>
      <c r="AA224" s="524"/>
      <c r="AB224" s="524"/>
      <c r="AC224" s="524"/>
      <c r="AD224" s="524"/>
      <c r="AE224" s="524"/>
      <c r="AF224" s="524"/>
      <c r="AG224" s="524"/>
      <c r="AH224" s="524"/>
      <c r="AI224" s="524"/>
      <c r="AJ224" s="524"/>
      <c r="AK224" s="524"/>
      <c r="AL224" s="524"/>
      <c r="AM224" s="524"/>
      <c r="AN224" s="524"/>
      <c r="AO224" s="524"/>
      <c r="AP224" s="525"/>
    </row>
    <row r="225" spans="2:42" ht="9.9499999999999993" hidden="1" customHeight="1" x14ac:dyDescent="0.25">
      <c r="B225" s="534"/>
      <c r="C225" s="524"/>
      <c r="D225" s="524"/>
      <c r="E225" s="524"/>
      <c r="F225" s="524"/>
      <c r="G225" s="524"/>
      <c r="H225" s="524"/>
      <c r="I225" s="524"/>
      <c r="J225" s="524"/>
      <c r="K225" s="524"/>
      <c r="L225" s="524"/>
      <c r="M225" s="524"/>
      <c r="N225" s="524"/>
      <c r="O225" s="524"/>
      <c r="P225" s="524"/>
      <c r="Q225" s="524"/>
      <c r="R225" s="524"/>
      <c r="S225" s="524"/>
      <c r="T225" s="524"/>
      <c r="U225" s="535"/>
      <c r="V225" s="365"/>
      <c r="W225" s="523"/>
      <c r="X225" s="524"/>
      <c r="Y225" s="524"/>
      <c r="Z225" s="524"/>
      <c r="AA225" s="524"/>
      <c r="AB225" s="524"/>
      <c r="AC225" s="524"/>
      <c r="AD225" s="524"/>
      <c r="AE225" s="524"/>
      <c r="AF225" s="524"/>
      <c r="AG225" s="524"/>
      <c r="AH225" s="524"/>
      <c r="AI225" s="524"/>
      <c r="AJ225" s="524"/>
      <c r="AK225" s="524"/>
      <c r="AL225" s="524"/>
      <c r="AM225" s="524"/>
      <c r="AN225" s="524"/>
      <c r="AO225" s="524"/>
      <c r="AP225" s="525"/>
    </row>
    <row r="226" spans="2:42" ht="9" hidden="1" customHeight="1" x14ac:dyDescent="0.25">
      <c r="B226" s="534"/>
      <c r="C226" s="524"/>
      <c r="D226" s="524"/>
      <c r="E226" s="524"/>
      <c r="F226" s="524"/>
      <c r="G226" s="524"/>
      <c r="H226" s="524"/>
      <c r="I226" s="524"/>
      <c r="J226" s="524"/>
      <c r="K226" s="524"/>
      <c r="L226" s="524"/>
      <c r="M226" s="524"/>
      <c r="N226" s="524"/>
      <c r="O226" s="524"/>
      <c r="P226" s="524"/>
      <c r="Q226" s="524"/>
      <c r="R226" s="524"/>
      <c r="S226" s="524"/>
      <c r="T226" s="524"/>
      <c r="U226" s="535"/>
      <c r="V226" s="365"/>
      <c r="W226" s="523"/>
      <c r="X226" s="524"/>
      <c r="Y226" s="524"/>
      <c r="Z226" s="524"/>
      <c r="AA226" s="524"/>
      <c r="AB226" s="524"/>
      <c r="AC226" s="524"/>
      <c r="AD226" s="524"/>
      <c r="AE226" s="524"/>
      <c r="AF226" s="524"/>
      <c r="AG226" s="524"/>
      <c r="AH226" s="524"/>
      <c r="AI226" s="524"/>
      <c r="AJ226" s="524"/>
      <c r="AK226" s="524"/>
      <c r="AL226" s="524"/>
      <c r="AM226" s="524"/>
      <c r="AN226" s="524"/>
      <c r="AO226" s="524"/>
      <c r="AP226" s="525"/>
    </row>
    <row r="227" spans="2:42" ht="0.6" hidden="1" customHeight="1" x14ac:dyDescent="0.25">
      <c r="B227" s="534"/>
      <c r="C227" s="524"/>
      <c r="D227" s="524"/>
      <c r="E227" s="524"/>
      <c r="F227" s="524"/>
      <c r="G227" s="524"/>
      <c r="H227" s="524"/>
      <c r="I227" s="524"/>
      <c r="J227" s="524"/>
      <c r="K227" s="524"/>
      <c r="L227" s="524"/>
      <c r="M227" s="524"/>
      <c r="N227" s="524"/>
      <c r="O227" s="524"/>
      <c r="P227" s="524"/>
      <c r="Q227" s="524"/>
      <c r="R227" s="524"/>
      <c r="S227" s="524"/>
      <c r="T227" s="524"/>
      <c r="U227" s="535"/>
      <c r="V227" s="365"/>
      <c r="W227" s="523"/>
      <c r="X227" s="524"/>
      <c r="Y227" s="524"/>
      <c r="Z227" s="524"/>
      <c r="AA227" s="524"/>
      <c r="AB227" s="524"/>
      <c r="AC227" s="524"/>
      <c r="AD227" s="524"/>
      <c r="AE227" s="524"/>
      <c r="AF227" s="524"/>
      <c r="AG227" s="524"/>
      <c r="AH227" s="524"/>
      <c r="AI227" s="524"/>
      <c r="AJ227" s="524"/>
      <c r="AK227" s="524"/>
      <c r="AL227" s="524"/>
      <c r="AM227" s="524"/>
      <c r="AN227" s="524"/>
      <c r="AO227" s="524"/>
      <c r="AP227" s="525"/>
    </row>
    <row r="228" spans="2:42" ht="9.9499999999999993" hidden="1" customHeight="1" x14ac:dyDescent="0.25">
      <c r="B228" s="534"/>
      <c r="C228" s="524"/>
      <c r="D228" s="524"/>
      <c r="E228" s="524"/>
      <c r="F228" s="524"/>
      <c r="G228" s="524"/>
      <c r="H228" s="524"/>
      <c r="I228" s="524"/>
      <c r="J228" s="524"/>
      <c r="K228" s="524"/>
      <c r="L228" s="524"/>
      <c r="M228" s="524"/>
      <c r="N228" s="524"/>
      <c r="O228" s="524"/>
      <c r="P228" s="524"/>
      <c r="Q228" s="524"/>
      <c r="R228" s="524"/>
      <c r="S228" s="524"/>
      <c r="T228" s="524"/>
      <c r="U228" s="535"/>
      <c r="V228" s="365"/>
      <c r="W228" s="523"/>
      <c r="X228" s="524"/>
      <c r="Y228" s="524"/>
      <c r="Z228" s="524"/>
      <c r="AA228" s="524"/>
      <c r="AB228" s="524"/>
      <c r="AC228" s="524"/>
      <c r="AD228" s="524"/>
      <c r="AE228" s="524"/>
      <c r="AF228" s="524"/>
      <c r="AG228" s="524"/>
      <c r="AH228" s="524"/>
      <c r="AI228" s="524"/>
      <c r="AJ228" s="524"/>
      <c r="AK228" s="524"/>
      <c r="AL228" s="524"/>
      <c r="AM228" s="524"/>
      <c r="AN228" s="524"/>
      <c r="AO228" s="524"/>
      <c r="AP228" s="525"/>
    </row>
    <row r="229" spans="2:42" ht="9.9499999999999993" hidden="1" customHeight="1" x14ac:dyDescent="0.25">
      <c r="B229" s="534"/>
      <c r="C229" s="524"/>
      <c r="D229" s="524"/>
      <c r="E229" s="524"/>
      <c r="F229" s="524"/>
      <c r="G229" s="524"/>
      <c r="H229" s="524"/>
      <c r="I229" s="524"/>
      <c r="J229" s="524"/>
      <c r="K229" s="524"/>
      <c r="L229" s="524"/>
      <c r="M229" s="524"/>
      <c r="N229" s="524"/>
      <c r="O229" s="524"/>
      <c r="P229" s="524"/>
      <c r="Q229" s="524"/>
      <c r="R229" s="524"/>
      <c r="S229" s="524"/>
      <c r="T229" s="524"/>
      <c r="U229" s="535"/>
      <c r="V229" s="365"/>
      <c r="W229" s="523"/>
      <c r="X229" s="524"/>
      <c r="Y229" s="524"/>
      <c r="Z229" s="524"/>
      <c r="AA229" s="524"/>
      <c r="AB229" s="524"/>
      <c r="AC229" s="524"/>
      <c r="AD229" s="524"/>
      <c r="AE229" s="524"/>
      <c r="AF229" s="524"/>
      <c r="AG229" s="524"/>
      <c r="AH229" s="524"/>
      <c r="AI229" s="524"/>
      <c r="AJ229" s="524"/>
      <c r="AK229" s="524"/>
      <c r="AL229" s="524"/>
      <c r="AM229" s="524"/>
      <c r="AN229" s="524"/>
      <c r="AO229" s="524"/>
      <c r="AP229" s="525"/>
    </row>
    <row r="230" spans="2:42" ht="9.9499999999999993" hidden="1" customHeight="1" x14ac:dyDescent="0.25">
      <c r="B230" s="534"/>
      <c r="C230" s="524"/>
      <c r="D230" s="524"/>
      <c r="E230" s="524"/>
      <c r="F230" s="524"/>
      <c r="G230" s="524"/>
      <c r="H230" s="524"/>
      <c r="I230" s="524"/>
      <c r="J230" s="524"/>
      <c r="K230" s="524"/>
      <c r="L230" s="524"/>
      <c r="M230" s="524"/>
      <c r="N230" s="524"/>
      <c r="O230" s="524"/>
      <c r="P230" s="524"/>
      <c r="Q230" s="524"/>
      <c r="R230" s="524"/>
      <c r="S230" s="524"/>
      <c r="T230" s="524"/>
      <c r="U230" s="535"/>
      <c r="V230" s="365"/>
      <c r="W230" s="523"/>
      <c r="X230" s="524"/>
      <c r="Y230" s="524"/>
      <c r="Z230" s="524"/>
      <c r="AA230" s="524"/>
      <c r="AB230" s="524"/>
      <c r="AC230" s="524"/>
      <c r="AD230" s="524"/>
      <c r="AE230" s="524"/>
      <c r="AF230" s="524"/>
      <c r="AG230" s="524"/>
      <c r="AH230" s="524"/>
      <c r="AI230" s="524"/>
      <c r="AJ230" s="524"/>
      <c r="AK230" s="524"/>
      <c r="AL230" s="524"/>
      <c r="AM230" s="524"/>
      <c r="AN230" s="524"/>
      <c r="AO230" s="524"/>
      <c r="AP230" s="525"/>
    </row>
    <row r="231" spans="2:42" ht="22.9" hidden="1" customHeight="1" x14ac:dyDescent="0.25">
      <c r="B231" s="546"/>
      <c r="C231" s="368"/>
      <c r="D231" s="368"/>
      <c r="E231" s="368"/>
      <c r="F231" s="368"/>
      <c r="G231" s="368"/>
      <c r="H231" s="368"/>
      <c r="I231" s="368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9"/>
      <c r="V231" s="261"/>
      <c r="W231" s="367"/>
      <c r="X231" s="368"/>
      <c r="Y231" s="368"/>
      <c r="Z231" s="368"/>
      <c r="AA231" s="368"/>
      <c r="AB231" s="368"/>
      <c r="AC231" s="368"/>
      <c r="AD231" s="368"/>
      <c r="AE231" s="368"/>
      <c r="AF231" s="368"/>
      <c r="AG231" s="368"/>
      <c r="AH231" s="368"/>
      <c r="AI231" s="368"/>
      <c r="AJ231" s="368"/>
      <c r="AK231" s="368"/>
      <c r="AL231" s="368"/>
      <c r="AM231" s="368"/>
      <c r="AN231" s="368"/>
      <c r="AO231" s="368"/>
      <c r="AP231" s="547"/>
    </row>
    <row r="232" spans="2:42" ht="9.9499999999999993" hidden="1" customHeight="1" x14ac:dyDescent="0.25">
      <c r="B232" s="4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  <c r="AA232" s="250"/>
      <c r="AB232" s="250"/>
      <c r="AC232" s="250"/>
      <c r="AD232" s="250"/>
      <c r="AE232" s="250"/>
      <c r="AF232" s="250"/>
      <c r="AG232" s="250"/>
      <c r="AH232" s="250"/>
      <c r="AI232" s="250"/>
      <c r="AJ232" s="250"/>
      <c r="AK232" s="250"/>
      <c r="AL232" s="250"/>
      <c r="AM232" s="250"/>
      <c r="AN232" s="250"/>
      <c r="AO232" s="250"/>
      <c r="AP232" s="5"/>
    </row>
    <row r="233" spans="2:42" ht="9.9499999999999993" hidden="1" customHeight="1" thickBot="1" x14ac:dyDescent="0.3">
      <c r="B233" s="19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0"/>
    </row>
    <row r="234" spans="2:42" ht="9.9499999999999993" hidden="1" customHeight="1" thickBot="1" x14ac:dyDescent="0.3">
      <c r="B234" s="543" t="s">
        <v>106</v>
      </c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44"/>
      <c r="P234" s="544"/>
      <c r="Q234" s="544"/>
      <c r="R234" s="544"/>
      <c r="S234" s="544"/>
      <c r="T234" s="544"/>
      <c r="U234" s="544"/>
      <c r="V234" s="544"/>
      <c r="W234" s="544"/>
      <c r="X234" s="544"/>
      <c r="Y234" s="544"/>
      <c r="Z234" s="544"/>
      <c r="AA234" s="544"/>
      <c r="AB234" s="544"/>
      <c r="AC234" s="544"/>
      <c r="AD234" s="544"/>
      <c r="AE234" s="544"/>
      <c r="AF234" s="544"/>
      <c r="AG234" s="544"/>
      <c r="AH234" s="544"/>
      <c r="AI234" s="544"/>
      <c r="AJ234" s="544"/>
      <c r="AK234" s="544"/>
      <c r="AL234" s="544"/>
      <c r="AM234" s="544"/>
      <c r="AN234" s="544"/>
      <c r="AO234" s="544"/>
      <c r="AP234" s="545"/>
    </row>
    <row r="235" spans="2:42" ht="21.75" hidden="1" x14ac:dyDescent="0.25">
      <c r="B235" s="34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2" t="s">
        <v>107</v>
      </c>
      <c r="P235" s="35"/>
      <c r="Q235" s="35"/>
      <c r="R235" s="35"/>
      <c r="S235" s="36">
        <v>0.29166666666666669</v>
      </c>
      <c r="T235" s="36">
        <v>0.3125</v>
      </c>
      <c r="U235" s="36">
        <v>0.33333333333333331</v>
      </c>
      <c r="V235" s="36">
        <v>0.35416666666666702</v>
      </c>
      <c r="W235" s="36">
        <v>0.375</v>
      </c>
      <c r="X235" s="36">
        <v>0.39583333333333398</v>
      </c>
      <c r="Y235" s="36">
        <v>0.41666666666666702</v>
      </c>
      <c r="Z235" s="36">
        <v>0.4375</v>
      </c>
      <c r="AA235" s="36">
        <v>0.45833333333333398</v>
      </c>
      <c r="AB235" s="36">
        <v>0.47916666666666702</v>
      </c>
      <c r="AC235" s="36">
        <v>0.5</v>
      </c>
      <c r="AD235" s="36">
        <v>0.52083333333333304</v>
      </c>
      <c r="AE235" s="37">
        <v>0.54166666666666696</v>
      </c>
      <c r="AF235" s="37">
        <v>0.5625</v>
      </c>
      <c r="AG235" s="37">
        <v>0.58333333333333304</v>
      </c>
      <c r="AH235" s="36">
        <v>0.60416666666666696</v>
      </c>
      <c r="AI235" s="36">
        <v>0.625</v>
      </c>
      <c r="AJ235" s="36">
        <v>0.64583333333333304</v>
      </c>
      <c r="AK235" s="36">
        <v>0.66666666666666696</v>
      </c>
      <c r="AL235" s="36">
        <v>0.6875</v>
      </c>
      <c r="AM235" s="36">
        <v>0.70833333333333304</v>
      </c>
      <c r="AN235" s="36">
        <v>0.72916666666666696</v>
      </c>
      <c r="AO235" s="36">
        <v>0.75</v>
      </c>
      <c r="AP235" s="38">
        <v>0.77083333333333304</v>
      </c>
    </row>
    <row r="236" spans="2:42" ht="9.9499999999999993" hidden="1" customHeight="1" thickBot="1" x14ac:dyDescent="0.3">
      <c r="B236" s="39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33" t="s">
        <v>108</v>
      </c>
      <c r="P236" s="40"/>
      <c r="Q236" s="40"/>
      <c r="R236" s="40"/>
      <c r="S236" s="41">
        <v>0.5</v>
      </c>
      <c r="T236" s="41">
        <v>1</v>
      </c>
      <c r="U236" s="41">
        <v>1.5</v>
      </c>
      <c r="V236" s="41">
        <v>2</v>
      </c>
      <c r="W236" s="41">
        <v>2.5</v>
      </c>
      <c r="X236" s="41">
        <v>3</v>
      </c>
      <c r="Y236" s="41">
        <v>3.5</v>
      </c>
      <c r="Z236" s="41">
        <v>4</v>
      </c>
      <c r="AA236" s="41">
        <v>4.5</v>
      </c>
      <c r="AB236" s="41">
        <v>5</v>
      </c>
      <c r="AC236" s="41">
        <v>5.5</v>
      </c>
      <c r="AD236" s="41">
        <v>6</v>
      </c>
      <c r="AE236" s="42"/>
      <c r="AF236" s="42"/>
      <c r="AG236" s="42"/>
      <c r="AH236" s="41">
        <v>6.5</v>
      </c>
      <c r="AI236" s="41">
        <v>7</v>
      </c>
      <c r="AJ236" s="41">
        <v>7.5</v>
      </c>
      <c r="AK236" s="41">
        <v>8</v>
      </c>
      <c r="AL236" s="41">
        <v>8.5</v>
      </c>
      <c r="AM236" s="41">
        <v>9</v>
      </c>
      <c r="AN236" s="41">
        <v>9.5</v>
      </c>
      <c r="AO236" s="41">
        <v>10</v>
      </c>
      <c r="AP236" s="43">
        <v>10.25</v>
      </c>
    </row>
    <row r="237" spans="2:42" ht="9.9499999999999993" hidden="1" customHeight="1" x14ac:dyDescent="0.25">
      <c r="B237" s="17" t="s">
        <v>109</v>
      </c>
      <c r="C237" s="267"/>
      <c r="D237" s="267"/>
      <c r="E237" s="267"/>
      <c r="F237" s="267"/>
      <c r="G237" s="267"/>
      <c r="H237" s="267"/>
      <c r="I237" s="267"/>
      <c r="J237" s="267"/>
      <c r="K237" s="267"/>
      <c r="L237" s="267"/>
      <c r="M237" s="267"/>
      <c r="N237" s="267"/>
      <c r="O237" s="267"/>
      <c r="P237" s="267"/>
      <c r="Q237" s="267"/>
      <c r="R237" s="267"/>
      <c r="S237" s="267"/>
      <c r="T237" s="267"/>
      <c r="U237" s="267"/>
      <c r="V237" s="267"/>
      <c r="W237" s="267"/>
      <c r="X237" s="267"/>
      <c r="Y237" s="267"/>
      <c r="Z237" s="267"/>
      <c r="AA237" s="267"/>
      <c r="AB237" s="267"/>
      <c r="AC237" s="267"/>
      <c r="AD237" s="267"/>
      <c r="AE237" s="267"/>
      <c r="AF237" s="267"/>
      <c r="AG237" s="267"/>
      <c r="AH237" s="267"/>
      <c r="AI237" s="267"/>
      <c r="AJ237" s="267"/>
      <c r="AK237" s="267"/>
      <c r="AL237" s="267"/>
      <c r="AM237" s="267"/>
      <c r="AN237" s="267"/>
      <c r="AO237" s="267"/>
      <c r="AP237" s="18"/>
    </row>
    <row r="238" spans="2:42" ht="9.9499999999999993" hidden="1" customHeight="1" x14ac:dyDescent="0.25">
      <c r="B238" s="19"/>
      <c r="C238" s="52"/>
      <c r="D238" s="52"/>
      <c r="E238" s="52"/>
      <c r="F238" s="65" t="s">
        <v>110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8">
        <v>1</v>
      </c>
      <c r="T238" s="8">
        <v>1</v>
      </c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268"/>
      <c r="AF238" s="268"/>
      <c r="AG238" s="268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111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>
        <v>1</v>
      </c>
      <c r="V239" s="8"/>
      <c r="W239" s="8"/>
      <c r="X239" s="8"/>
      <c r="Y239" s="8"/>
      <c r="Z239" s="8"/>
      <c r="AA239" s="8"/>
      <c r="AB239" s="8"/>
      <c r="AC239" s="8"/>
      <c r="AD239" s="8"/>
      <c r="AE239" s="268"/>
      <c r="AF239" s="268"/>
      <c r="AG239" s="268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112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/>
      <c r="V240" s="8">
        <v>1</v>
      </c>
      <c r="W240" s="8"/>
      <c r="X240" s="8"/>
      <c r="Y240" s="8"/>
      <c r="Z240" s="8"/>
      <c r="AA240" s="8"/>
      <c r="AB240" s="8"/>
      <c r="AC240" s="8"/>
      <c r="AD240" s="8"/>
      <c r="AE240" s="268"/>
      <c r="AF240" s="268"/>
      <c r="AG240" s="268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40" t="s">
        <v>113</v>
      </c>
      <c r="C241" s="52"/>
      <c r="D241" s="52"/>
      <c r="E241" s="52"/>
      <c r="F241" s="52" t="s">
        <v>114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>
        <v>1</v>
      </c>
      <c r="X241" s="8">
        <v>1</v>
      </c>
      <c r="Y241" s="8">
        <v>1</v>
      </c>
      <c r="Z241" s="8">
        <v>1</v>
      </c>
      <c r="AA241" s="8">
        <v>1</v>
      </c>
      <c r="AB241" s="8">
        <v>1</v>
      </c>
      <c r="AC241" s="8">
        <v>1</v>
      </c>
      <c r="AD241" s="8">
        <v>1</v>
      </c>
      <c r="AE241" s="268"/>
      <c r="AF241" s="268"/>
      <c r="AG241" s="268"/>
      <c r="AH241" s="8">
        <v>1</v>
      </c>
      <c r="AI241" s="8">
        <v>1</v>
      </c>
      <c r="AJ241" s="8">
        <v>1</v>
      </c>
      <c r="AK241" s="8">
        <v>1</v>
      </c>
      <c r="AL241" s="8">
        <v>1</v>
      </c>
      <c r="AM241" s="8">
        <v>1</v>
      </c>
      <c r="AN241" s="8">
        <v>1</v>
      </c>
      <c r="AO241" s="8">
        <v>1</v>
      </c>
      <c r="AP241" s="26"/>
    </row>
    <row r="242" spans="2:42" ht="9.9499999999999993" hidden="1" customHeight="1" x14ac:dyDescent="0.25">
      <c r="B242" s="71"/>
      <c r="C242" s="52"/>
      <c r="D242" s="52"/>
      <c r="E242" s="52"/>
      <c r="F242" s="67" t="s">
        <v>115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268"/>
      <c r="AF242" s="268"/>
      <c r="AG242" s="268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71"/>
      <c r="C243" s="52"/>
      <c r="D243" s="52"/>
      <c r="E243" s="52"/>
      <c r="F243" s="52" t="s">
        <v>116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8"/>
      <c r="AF243" s="268"/>
      <c r="AG243" s="268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22.9" hidden="1" customHeight="1" thickBot="1" x14ac:dyDescent="0.3">
      <c r="B244" s="19"/>
      <c r="C244" s="52"/>
      <c r="D244" s="52"/>
      <c r="E244" s="52"/>
      <c r="F244" s="65" t="s">
        <v>117</v>
      </c>
      <c r="G244" s="65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8"/>
      <c r="AF244" s="268"/>
      <c r="AG244" s="268"/>
      <c r="AH244" s="8"/>
      <c r="AI244" s="8"/>
      <c r="AJ244" s="8"/>
      <c r="AK244" s="8"/>
      <c r="AL244" s="8"/>
      <c r="AM244" s="8"/>
      <c r="AN244" s="8"/>
      <c r="AO244" s="8"/>
      <c r="AP244" s="26">
        <v>1</v>
      </c>
    </row>
    <row r="245" spans="2:42" ht="21.75" hidden="1" x14ac:dyDescent="0.25">
      <c r="B245" s="10"/>
      <c r="C245" s="11"/>
      <c r="D245" s="11"/>
      <c r="E245" s="11"/>
      <c r="F245" s="21"/>
      <c r="G245" s="11"/>
      <c r="H245" s="11"/>
      <c r="I245" s="11"/>
      <c r="J245" s="11"/>
      <c r="K245" s="11"/>
      <c r="L245" s="11"/>
      <c r="M245" s="11"/>
      <c r="N245" s="11"/>
      <c r="O245" s="6" t="s">
        <v>107</v>
      </c>
      <c r="P245" s="11"/>
      <c r="Q245" s="11"/>
      <c r="R245" s="11"/>
      <c r="S245" s="12">
        <v>0.29166666666666669</v>
      </c>
      <c r="T245" s="12">
        <v>0.3125</v>
      </c>
      <c r="U245" s="12">
        <v>0.33333333333333331</v>
      </c>
      <c r="V245" s="12">
        <v>0.35416666666666702</v>
      </c>
      <c r="W245" s="12">
        <v>0.375</v>
      </c>
      <c r="X245" s="12">
        <v>0.39583333333333398</v>
      </c>
      <c r="Y245" s="12">
        <v>0.41666666666666702</v>
      </c>
      <c r="Z245" s="12">
        <v>0.4375</v>
      </c>
      <c r="AA245" s="12">
        <v>0.45833333333333398</v>
      </c>
      <c r="AB245" s="12">
        <v>0.47916666666666702</v>
      </c>
      <c r="AC245" s="12">
        <v>0.5</v>
      </c>
      <c r="AD245" s="12">
        <v>0.52083333333333304</v>
      </c>
      <c r="AE245" s="13">
        <v>0.54166666666666696</v>
      </c>
      <c r="AF245" s="13">
        <v>0.5625</v>
      </c>
      <c r="AG245" s="13">
        <v>0.58333333333333304</v>
      </c>
      <c r="AH245" s="12">
        <v>0.60416666666666696</v>
      </c>
      <c r="AI245" s="12">
        <v>0.625</v>
      </c>
      <c r="AJ245" s="12">
        <v>0.64583333333333304</v>
      </c>
      <c r="AK245" s="12">
        <v>0.66666666666666696</v>
      </c>
      <c r="AL245" s="12">
        <v>0.6875</v>
      </c>
      <c r="AM245" s="12">
        <v>0.70833333333333304</v>
      </c>
      <c r="AN245" s="12">
        <v>0.72916666666666696</v>
      </c>
      <c r="AO245" s="12">
        <v>0.75</v>
      </c>
      <c r="AP245" s="14">
        <v>0.77083333333333304</v>
      </c>
    </row>
    <row r="246" spans="2:42" ht="9.9499999999999993" hidden="1" customHeight="1" thickBot="1" x14ac:dyDescent="0.3">
      <c r="B246" s="15"/>
      <c r="C246" s="16"/>
      <c r="D246" s="16"/>
      <c r="E246" s="16"/>
      <c r="F246" s="25"/>
      <c r="G246" s="16"/>
      <c r="H246" s="16"/>
      <c r="I246" s="16"/>
      <c r="J246" s="16"/>
      <c r="K246" s="16"/>
      <c r="L246" s="16"/>
      <c r="M246" s="16"/>
      <c r="N246" s="16"/>
      <c r="O246" s="7" t="s">
        <v>108</v>
      </c>
      <c r="P246" s="16"/>
      <c r="Q246" s="16"/>
      <c r="R246" s="16"/>
      <c r="S246" s="22">
        <v>0.5</v>
      </c>
      <c r="T246" s="22">
        <v>1</v>
      </c>
      <c r="U246" s="22">
        <v>1.5</v>
      </c>
      <c r="V246" s="22">
        <v>2</v>
      </c>
      <c r="W246" s="22">
        <v>2.5</v>
      </c>
      <c r="X246" s="22">
        <v>3</v>
      </c>
      <c r="Y246" s="22">
        <v>3.5</v>
      </c>
      <c r="Z246" s="22">
        <v>4</v>
      </c>
      <c r="AA246" s="22">
        <v>4.5</v>
      </c>
      <c r="AB246" s="22">
        <v>5</v>
      </c>
      <c r="AC246" s="22">
        <v>5.5</v>
      </c>
      <c r="AD246" s="22">
        <v>6</v>
      </c>
      <c r="AE246" s="23"/>
      <c r="AF246" s="23"/>
      <c r="AG246" s="23"/>
      <c r="AH246" s="22">
        <v>6.5</v>
      </c>
      <c r="AI246" s="22">
        <v>7</v>
      </c>
      <c r="AJ246" s="22">
        <v>7.5</v>
      </c>
      <c r="AK246" s="22">
        <v>8</v>
      </c>
      <c r="AL246" s="22">
        <v>8.5</v>
      </c>
      <c r="AM246" s="22">
        <v>9</v>
      </c>
      <c r="AN246" s="22">
        <v>9.5</v>
      </c>
      <c r="AO246" s="22">
        <v>10</v>
      </c>
      <c r="AP246" s="24">
        <v>10.25</v>
      </c>
    </row>
    <row r="247" spans="2:42" ht="9.9499999999999993" hidden="1" customHeight="1" x14ac:dyDescent="0.25">
      <c r="B247" s="17" t="s">
        <v>71</v>
      </c>
      <c r="C247" s="267"/>
      <c r="D247" s="267"/>
      <c r="E247" s="267"/>
      <c r="F247" s="267"/>
      <c r="G247" s="267"/>
      <c r="H247" s="267"/>
      <c r="I247" s="267"/>
      <c r="J247" s="267"/>
      <c r="K247" s="267"/>
      <c r="L247" s="267"/>
      <c r="M247" s="267"/>
      <c r="N247" s="267"/>
      <c r="O247" s="267"/>
      <c r="P247" s="267"/>
      <c r="Q247" s="267"/>
      <c r="R247" s="267"/>
      <c r="S247" s="267"/>
      <c r="T247" s="267"/>
      <c r="U247" s="267"/>
      <c r="V247" s="267"/>
      <c r="W247" s="267"/>
      <c r="X247" s="267"/>
      <c r="Y247" s="267"/>
      <c r="Z247" s="267"/>
      <c r="AA247" s="267"/>
      <c r="AB247" s="267"/>
      <c r="AC247" s="267"/>
      <c r="AD247" s="267"/>
      <c r="AE247" s="267"/>
      <c r="AF247" s="267"/>
      <c r="AG247" s="267"/>
      <c r="AH247" s="267"/>
      <c r="AI247" s="267"/>
      <c r="AJ247" s="267"/>
      <c r="AK247" s="267"/>
      <c r="AL247" s="267"/>
      <c r="AM247" s="267"/>
      <c r="AN247" s="267"/>
      <c r="AO247" s="267"/>
      <c r="AP247" s="18"/>
    </row>
    <row r="248" spans="2:42" ht="9.9499999999999993" hidden="1" customHeight="1" x14ac:dyDescent="0.25">
      <c r="B248" s="46"/>
      <c r="C248" s="68"/>
      <c r="D248" s="68"/>
      <c r="E248" s="269"/>
      <c r="F248" s="270" t="s">
        <v>110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>
        <v>1</v>
      </c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271"/>
      <c r="AF248" s="271"/>
      <c r="AG248" s="271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269"/>
      <c r="F249" s="270" t="s">
        <v>118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/>
      <c r="W249" s="44"/>
      <c r="X249" s="44"/>
      <c r="Y249" s="44"/>
      <c r="Z249" s="44"/>
      <c r="AA249" s="44"/>
      <c r="AB249" s="44"/>
      <c r="AC249" s="44"/>
      <c r="AD249" s="44"/>
      <c r="AE249" s="271"/>
      <c r="AF249" s="271"/>
      <c r="AG249" s="271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68"/>
      <c r="F250" s="270" t="s">
        <v>112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71"/>
      <c r="AF250" s="271"/>
      <c r="AG250" s="271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72"/>
      <c r="F251" s="270" t="s">
        <v>119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/>
      <c r="U251" s="44"/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1"/>
      <c r="AF251" s="271"/>
      <c r="AG251" s="271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526"/>
      <c r="C252" s="474"/>
      <c r="D252" s="474"/>
      <c r="E252" s="474"/>
      <c r="F252" s="474" t="s">
        <v>72</v>
      </c>
      <c r="G252" s="474"/>
      <c r="H252" s="474"/>
      <c r="I252" s="474"/>
      <c r="J252" s="474"/>
      <c r="K252" s="474"/>
      <c r="L252" s="474"/>
      <c r="M252" s="474"/>
      <c r="N252" s="474"/>
      <c r="O252" s="474"/>
      <c r="P252" s="474"/>
      <c r="Q252" s="474"/>
      <c r="R252" s="475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271"/>
      <c r="AF252" s="271"/>
      <c r="AG252" s="271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256"/>
      <c r="C253" s="273"/>
      <c r="D253" s="273"/>
      <c r="E253" s="273"/>
      <c r="F253" s="273" t="s">
        <v>120</v>
      </c>
      <c r="G253" s="273"/>
      <c r="H253" s="273"/>
      <c r="I253" s="273"/>
      <c r="J253" s="273"/>
      <c r="K253" s="273"/>
      <c r="L253" s="273"/>
      <c r="M253" s="273"/>
      <c r="N253" s="273"/>
      <c r="O253" s="273"/>
      <c r="P253" s="273"/>
      <c r="Q253" s="273"/>
      <c r="R253" s="164"/>
      <c r="S253" s="44"/>
      <c r="T253" s="44"/>
      <c r="U253" s="44"/>
      <c r="V253" s="44"/>
      <c r="W253" s="44"/>
      <c r="X253" s="44"/>
      <c r="Y253" s="44"/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71"/>
      <c r="AF253" s="271"/>
      <c r="AG253" s="271"/>
      <c r="AH253" s="44"/>
      <c r="AI253" s="44"/>
      <c r="AJ253" s="44"/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x14ac:dyDescent="0.25">
      <c r="B254" s="256"/>
      <c r="C254" s="273"/>
      <c r="D254" s="273"/>
      <c r="E254" s="273"/>
      <c r="F254" s="273" t="s">
        <v>121</v>
      </c>
      <c r="G254" s="273"/>
      <c r="H254" s="273"/>
      <c r="I254" s="273"/>
      <c r="J254" s="273"/>
      <c r="K254" s="273"/>
      <c r="L254" s="273"/>
      <c r="M254" s="273"/>
      <c r="N254" s="273"/>
      <c r="O254" s="273"/>
      <c r="P254" s="273"/>
      <c r="Q254" s="273"/>
      <c r="R254" s="164"/>
      <c r="S254" s="44"/>
      <c r="T254" s="44"/>
      <c r="U254" s="44"/>
      <c r="V254" s="44"/>
      <c r="W254" s="44">
        <v>1</v>
      </c>
      <c r="X254" s="44">
        <v>1</v>
      </c>
      <c r="Y254" s="44">
        <v>1</v>
      </c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1"/>
      <c r="AF254" s="271"/>
      <c r="AG254" s="271"/>
      <c r="AH254" s="44">
        <v>1</v>
      </c>
      <c r="AI254" s="44">
        <v>1</v>
      </c>
      <c r="AJ254" s="44">
        <v>1</v>
      </c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thickBot="1" x14ac:dyDescent="0.3">
      <c r="B255" s="47"/>
      <c r="C255" s="48"/>
      <c r="D255" s="48"/>
      <c r="E255" s="48"/>
      <c r="F255" s="49" t="s">
        <v>122</v>
      </c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1"/>
      <c r="AF255" s="51"/>
      <c r="AG255" s="51"/>
      <c r="AH255" s="50"/>
      <c r="AI255" s="50"/>
      <c r="AJ255" s="50"/>
      <c r="AK255" s="50"/>
      <c r="AL255" s="50"/>
      <c r="AM255" s="50"/>
      <c r="AN255" s="50"/>
      <c r="AO255" s="50"/>
      <c r="AP255" s="45">
        <v>1</v>
      </c>
    </row>
    <row r="256" spans="2:42" ht="21.75" hidden="1" x14ac:dyDescent="0.25">
      <c r="B256" s="10"/>
      <c r="C256" s="11"/>
      <c r="D256" s="11"/>
      <c r="E256" s="11"/>
      <c r="F256" s="21"/>
      <c r="G256" s="11"/>
      <c r="H256" s="11"/>
      <c r="I256" s="11"/>
      <c r="J256" s="11"/>
      <c r="K256" s="11"/>
      <c r="L256" s="11"/>
      <c r="M256" s="11"/>
      <c r="N256" s="11"/>
      <c r="O256" s="6" t="s">
        <v>107</v>
      </c>
      <c r="P256" s="11"/>
      <c r="Q256" s="11"/>
      <c r="R256" s="11"/>
      <c r="S256" s="12">
        <v>0.29166666666666669</v>
      </c>
      <c r="T256" s="12">
        <v>0.3125</v>
      </c>
      <c r="U256" s="12">
        <v>0.33333333333333331</v>
      </c>
      <c r="V256" s="12">
        <v>0.35416666666666702</v>
      </c>
      <c r="W256" s="12">
        <v>0.375</v>
      </c>
      <c r="X256" s="12">
        <v>0.39583333333333398</v>
      </c>
      <c r="Y256" s="12">
        <v>0.41666666666666702</v>
      </c>
      <c r="Z256" s="12">
        <v>0.4375</v>
      </c>
      <c r="AA256" s="12">
        <v>0.45833333333333398</v>
      </c>
      <c r="AB256" s="12">
        <v>0.47916666666666702</v>
      </c>
      <c r="AC256" s="12">
        <v>0.5</v>
      </c>
      <c r="AD256" s="12">
        <v>0.52083333333333304</v>
      </c>
      <c r="AE256" s="13">
        <v>0.54166666666666696</v>
      </c>
      <c r="AF256" s="13">
        <v>0.5625</v>
      </c>
      <c r="AG256" s="13">
        <v>0.58333333333333304</v>
      </c>
      <c r="AH256" s="12">
        <v>0.60416666666666696</v>
      </c>
      <c r="AI256" s="12">
        <v>0.625</v>
      </c>
      <c r="AJ256" s="12">
        <v>0.64583333333333304</v>
      </c>
      <c r="AK256" s="12">
        <v>0.66666666666666696</v>
      </c>
      <c r="AL256" s="12">
        <v>0.6875</v>
      </c>
      <c r="AM256" s="12">
        <v>0.70833333333333304</v>
      </c>
      <c r="AN256" s="12">
        <v>0.72916666666666696</v>
      </c>
      <c r="AO256" s="12">
        <v>0.75</v>
      </c>
      <c r="AP256" s="14">
        <v>0.77083333333333304</v>
      </c>
    </row>
    <row r="257" spans="2:44" ht="9.9499999999999993" hidden="1" customHeight="1" thickBot="1" x14ac:dyDescent="0.3">
      <c r="B257" s="15"/>
      <c r="C257" s="16"/>
      <c r="D257" s="16"/>
      <c r="E257" s="16"/>
      <c r="F257" s="25"/>
      <c r="G257" s="16"/>
      <c r="H257" s="16"/>
      <c r="I257" s="16"/>
      <c r="J257" s="16"/>
      <c r="K257" s="16"/>
      <c r="L257" s="16"/>
      <c r="M257" s="16"/>
      <c r="N257" s="16"/>
      <c r="O257" s="7" t="s">
        <v>108</v>
      </c>
      <c r="P257" s="16"/>
      <c r="Q257" s="16"/>
      <c r="R257" s="16"/>
      <c r="S257" s="22">
        <v>0.5</v>
      </c>
      <c r="T257" s="22">
        <v>1</v>
      </c>
      <c r="U257" s="22">
        <v>1.5</v>
      </c>
      <c r="V257" s="22">
        <v>2</v>
      </c>
      <c r="W257" s="22">
        <v>2.5</v>
      </c>
      <c r="X257" s="22">
        <v>3</v>
      </c>
      <c r="Y257" s="22">
        <v>3.5</v>
      </c>
      <c r="Z257" s="22">
        <v>4</v>
      </c>
      <c r="AA257" s="22">
        <v>4.5</v>
      </c>
      <c r="AB257" s="22">
        <v>5</v>
      </c>
      <c r="AC257" s="22">
        <v>5.5</v>
      </c>
      <c r="AD257" s="22">
        <v>6</v>
      </c>
      <c r="AE257" s="23"/>
      <c r="AF257" s="23"/>
      <c r="AG257" s="23"/>
      <c r="AH257" s="22">
        <v>6.5</v>
      </c>
      <c r="AI257" s="22">
        <v>7</v>
      </c>
      <c r="AJ257" s="22">
        <v>7.5</v>
      </c>
      <c r="AK257" s="22">
        <v>8</v>
      </c>
      <c r="AL257" s="22">
        <v>8.5</v>
      </c>
      <c r="AM257" s="22">
        <v>9</v>
      </c>
      <c r="AN257" s="22">
        <v>9.5</v>
      </c>
      <c r="AO257" s="22">
        <v>10</v>
      </c>
      <c r="AP257" s="24">
        <v>10.25</v>
      </c>
    </row>
    <row r="258" spans="2:44" ht="21.6" hidden="1" customHeight="1" x14ac:dyDescent="0.25">
      <c r="B258" s="17" t="s">
        <v>75</v>
      </c>
      <c r="C258" s="267"/>
      <c r="D258" s="267"/>
      <c r="E258" s="267"/>
      <c r="F258" s="267"/>
      <c r="G258" s="267"/>
      <c r="H258" s="267"/>
      <c r="I258" s="267"/>
      <c r="J258" s="267"/>
      <c r="K258" s="267"/>
      <c r="L258" s="267"/>
      <c r="M258" s="267"/>
      <c r="N258" s="267"/>
      <c r="O258" s="267"/>
      <c r="P258" s="267"/>
      <c r="Q258" s="267"/>
      <c r="R258" s="267"/>
      <c r="S258" s="267"/>
      <c r="T258" s="267"/>
      <c r="U258" s="267"/>
      <c r="V258" s="267"/>
      <c r="W258" s="267"/>
      <c r="X258" s="267"/>
      <c r="Y258" s="267"/>
      <c r="Z258" s="267"/>
      <c r="AA258" s="267"/>
      <c r="AB258" s="267"/>
      <c r="AC258" s="267"/>
      <c r="AD258" s="267"/>
      <c r="AE258" s="267"/>
      <c r="AF258" s="267"/>
      <c r="AG258" s="267"/>
      <c r="AH258" s="267"/>
      <c r="AI258" s="267"/>
      <c r="AJ258" s="267"/>
      <c r="AK258" s="267"/>
      <c r="AL258" s="267"/>
      <c r="AM258" s="267"/>
      <c r="AN258" s="267"/>
      <c r="AO258" s="267"/>
      <c r="AP258" s="18"/>
    </row>
    <row r="259" spans="2:44" ht="9.9499999999999993" hidden="1" customHeight="1" x14ac:dyDescent="0.25">
      <c r="B259" s="46"/>
      <c r="C259" s="68"/>
      <c r="D259" s="68"/>
      <c r="E259" s="269"/>
      <c r="F259" s="270" t="s">
        <v>110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>
        <v>1</v>
      </c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71"/>
      <c r="AF259" s="271"/>
      <c r="AG259" s="271"/>
      <c r="AH259" s="44"/>
      <c r="AI259" s="44"/>
      <c r="AJ259" s="44"/>
      <c r="AK259" s="44"/>
      <c r="AL259" s="44"/>
      <c r="AM259" s="44"/>
      <c r="AN259" s="44"/>
      <c r="AO259" s="44"/>
      <c r="AP259" s="45"/>
      <c r="AR259" s="196" t="s">
        <v>123</v>
      </c>
    </row>
    <row r="260" spans="2:44" ht="9.9499999999999993" hidden="1" customHeight="1" x14ac:dyDescent="0.25">
      <c r="B260" s="46"/>
      <c r="C260" s="68"/>
      <c r="D260" s="68"/>
      <c r="E260" s="269"/>
      <c r="F260" s="270" t="s">
        <v>119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>
        <v>1</v>
      </c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1"/>
      <c r="AF260" s="271"/>
      <c r="AG260" s="271"/>
      <c r="AH260" s="44"/>
      <c r="AI260" s="44"/>
      <c r="AJ260" s="44"/>
      <c r="AK260" s="44"/>
      <c r="AL260" s="44"/>
      <c r="AM260" s="44"/>
      <c r="AN260" s="44"/>
      <c r="AO260" s="44"/>
      <c r="AP260" s="45"/>
      <c r="AR260" s="183"/>
    </row>
    <row r="261" spans="2:44" ht="9.9499999999999993" hidden="1" customHeight="1" x14ac:dyDescent="0.25">
      <c r="B261" s="46"/>
      <c r="C261" s="68"/>
      <c r="D261" s="68"/>
      <c r="E261" s="68"/>
      <c r="F261" s="270" t="s">
        <v>124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71"/>
      <c r="AF261" s="271"/>
      <c r="AG261" s="271"/>
      <c r="AH261" s="44"/>
      <c r="AI261" s="44"/>
      <c r="AJ261" s="44"/>
      <c r="AK261" s="44"/>
      <c r="AL261" s="44"/>
      <c r="AM261" s="44"/>
      <c r="AN261" s="44"/>
      <c r="AO261" s="44"/>
      <c r="AP261" s="45"/>
      <c r="AR261" s="196"/>
    </row>
    <row r="262" spans="2:44" ht="9.9499999999999993" hidden="1" customHeight="1" x14ac:dyDescent="0.25">
      <c r="B262" s="46"/>
      <c r="C262" s="68"/>
      <c r="D262" s="68"/>
      <c r="E262" s="272"/>
      <c r="F262" s="270" t="s">
        <v>112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1"/>
      <c r="AF262" s="271"/>
      <c r="AG262" s="271"/>
      <c r="AH262" s="44"/>
      <c r="AI262" s="44"/>
      <c r="AJ262" s="44"/>
      <c r="AK262" s="44"/>
      <c r="AL262" s="44"/>
      <c r="AM262" s="44"/>
      <c r="AN262" s="44"/>
      <c r="AO262" s="44"/>
      <c r="AP262" s="45"/>
      <c r="AR262" s="196"/>
    </row>
    <row r="263" spans="2:44" ht="9.9499999999999993" hidden="1" customHeight="1" x14ac:dyDescent="0.25">
      <c r="B263" s="526"/>
      <c r="C263" s="474"/>
      <c r="D263" s="474"/>
      <c r="E263" s="474"/>
      <c r="F263" s="474" t="s">
        <v>125</v>
      </c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5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271"/>
      <c r="AF263" s="271"/>
      <c r="AG263" s="271"/>
      <c r="AH263" s="44"/>
      <c r="AI263" s="44"/>
      <c r="AJ263" s="44"/>
      <c r="AK263" s="44"/>
      <c r="AL263" s="44"/>
      <c r="AM263" s="44"/>
      <c r="AN263" s="44"/>
      <c r="AO263" s="44"/>
      <c r="AP263" s="45"/>
      <c r="AR263" s="196"/>
    </row>
    <row r="264" spans="2:44" ht="9.9499999999999993" hidden="1" customHeight="1" x14ac:dyDescent="0.25">
      <c r="B264" s="513"/>
      <c r="C264" s="514"/>
      <c r="D264" s="514"/>
      <c r="E264" s="514"/>
      <c r="F264" s="68" t="s">
        <v>126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199"/>
      <c r="S264" s="44"/>
      <c r="T264" s="44"/>
      <c r="U264" s="44"/>
      <c r="V264" s="44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71"/>
      <c r="AF264" s="271"/>
      <c r="AG264" s="271"/>
      <c r="AH264" s="44"/>
      <c r="AI264" s="44"/>
      <c r="AJ264" s="44"/>
      <c r="AK264" s="44"/>
      <c r="AL264" s="44"/>
      <c r="AM264" s="44"/>
      <c r="AN264" s="44"/>
      <c r="AO264" s="44"/>
      <c r="AP264" s="45"/>
      <c r="AR264" s="196"/>
    </row>
    <row r="265" spans="2:44" ht="9.9499999999999993" hidden="1" customHeight="1" x14ac:dyDescent="0.25">
      <c r="B265" s="256"/>
      <c r="C265" s="273"/>
      <c r="D265" s="273"/>
      <c r="E265" s="273"/>
      <c r="F265" s="273" t="s">
        <v>127</v>
      </c>
      <c r="G265" s="273"/>
      <c r="H265" s="273"/>
      <c r="I265" s="273"/>
      <c r="J265" s="273"/>
      <c r="K265" s="273"/>
      <c r="L265" s="273"/>
      <c r="M265" s="273"/>
      <c r="N265" s="273"/>
      <c r="O265" s="273"/>
      <c r="P265" s="273"/>
      <c r="Q265" s="273"/>
      <c r="R265" s="164"/>
      <c r="S265" s="197"/>
      <c r="T265" s="197"/>
      <c r="U265" s="197"/>
      <c r="V265" s="197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1"/>
      <c r="AF265" s="271"/>
      <c r="AG265" s="271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  <c r="AR265" s="196"/>
    </row>
    <row r="266" spans="2:44" ht="9.9499999999999993" hidden="1" customHeight="1" x14ac:dyDescent="0.25">
      <c r="B266" s="256"/>
      <c r="C266" s="273"/>
      <c r="D266" s="273"/>
      <c r="E266" s="273"/>
      <c r="F266" s="68" t="s">
        <v>128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197"/>
      <c r="T266" s="197"/>
      <c r="U266" s="197"/>
      <c r="V266" s="197"/>
      <c r="W266" s="197">
        <v>1</v>
      </c>
      <c r="X266" s="197">
        <v>1</v>
      </c>
      <c r="Y266" s="197">
        <v>1</v>
      </c>
      <c r="Z266" s="197">
        <v>1</v>
      </c>
      <c r="AA266" s="197">
        <v>1</v>
      </c>
      <c r="AB266" s="197">
        <v>1</v>
      </c>
      <c r="AC266" s="197">
        <v>1</v>
      </c>
      <c r="AD266" s="197">
        <v>1</v>
      </c>
      <c r="AE266" s="271"/>
      <c r="AF266" s="271"/>
      <c r="AG266" s="271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  <c r="AR266" s="196"/>
    </row>
    <row r="267" spans="2:44" ht="9.9499999999999993" hidden="1" customHeight="1" thickBot="1" x14ac:dyDescent="0.3">
      <c r="B267" s="47"/>
      <c r="C267" s="48"/>
      <c r="D267" s="48"/>
      <c r="E267" s="48"/>
      <c r="F267" s="49" t="s">
        <v>122</v>
      </c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1"/>
      <c r="AF267" s="51"/>
      <c r="AG267" s="51"/>
      <c r="AH267" s="50"/>
      <c r="AI267" s="50"/>
      <c r="AJ267" s="50"/>
      <c r="AK267" s="50"/>
      <c r="AL267" s="50"/>
      <c r="AM267" s="50"/>
      <c r="AN267" s="50"/>
      <c r="AO267" s="50"/>
      <c r="AP267" s="45">
        <v>1</v>
      </c>
      <c r="AR267" s="196"/>
    </row>
    <row r="268" spans="2:44" ht="9.9499999999999993" customHeight="1" thickBot="1" x14ac:dyDescent="0.3">
      <c r="B268" s="502" t="s">
        <v>2554</v>
      </c>
      <c r="C268" s="503"/>
      <c r="D268" s="503"/>
      <c r="E268" s="503"/>
      <c r="F268" s="503"/>
      <c r="G268" s="503"/>
      <c r="H268" s="503"/>
      <c r="I268" s="503"/>
      <c r="J268" s="503"/>
      <c r="K268" s="503"/>
      <c r="L268" s="503"/>
      <c r="M268" s="503"/>
      <c r="N268" s="503"/>
      <c r="O268" s="503"/>
      <c r="P268" s="503"/>
      <c r="Q268" s="503"/>
      <c r="R268" s="503"/>
      <c r="S268" s="503"/>
      <c r="T268" s="503"/>
      <c r="U268" s="503"/>
      <c r="V268" s="503"/>
      <c r="W268" s="503"/>
      <c r="X268" s="503"/>
      <c r="Y268" s="503"/>
      <c r="Z268" s="503"/>
      <c r="AA268" s="503"/>
      <c r="AB268" s="503"/>
      <c r="AC268" s="503"/>
      <c r="AD268" s="503"/>
      <c r="AE268" s="503"/>
      <c r="AF268" s="503"/>
      <c r="AG268" s="503"/>
      <c r="AH268" s="503"/>
      <c r="AI268" s="503"/>
      <c r="AJ268" s="503"/>
      <c r="AK268" s="503"/>
      <c r="AL268" s="503"/>
      <c r="AM268" s="503"/>
      <c r="AN268" s="503"/>
      <c r="AO268" s="503"/>
      <c r="AP268" s="504"/>
      <c r="AQ268" s="196"/>
      <c r="AR268" s="196"/>
    </row>
    <row r="269" spans="2:44" ht="22.5" thickBot="1" x14ac:dyDescent="0.3">
      <c r="B269" s="193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542" t="s">
        <v>107</v>
      </c>
      <c r="O269" s="542"/>
      <c r="P269" s="542"/>
      <c r="Q269" s="542"/>
      <c r="R269" s="195" t="s">
        <v>129</v>
      </c>
      <c r="S269" s="211">
        <v>0.29166666666666669</v>
      </c>
      <c r="T269" s="212">
        <v>0.3125</v>
      </c>
      <c r="U269" s="212">
        <v>0.33333333333333331</v>
      </c>
      <c r="V269" s="212">
        <v>0.35416666666666702</v>
      </c>
      <c r="W269" s="212">
        <v>0.375</v>
      </c>
      <c r="X269" s="212">
        <v>0.39583333333333398</v>
      </c>
      <c r="Y269" s="212">
        <v>0.41666666666666702</v>
      </c>
      <c r="Z269" s="212">
        <v>0.4375</v>
      </c>
      <c r="AA269" s="212">
        <v>0.45833333333333398</v>
      </c>
      <c r="AB269" s="212">
        <v>0.47916666666666702</v>
      </c>
      <c r="AC269" s="213">
        <v>0.5</v>
      </c>
      <c r="AD269" s="213">
        <v>0.52083333333333304</v>
      </c>
      <c r="AE269" s="213">
        <v>0.54166666666666696</v>
      </c>
      <c r="AF269" s="212">
        <v>0.5625</v>
      </c>
      <c r="AG269" s="212">
        <v>0.58333333333333304</v>
      </c>
      <c r="AH269" s="212">
        <v>0.60416666666666696</v>
      </c>
      <c r="AI269" s="212">
        <v>0.625</v>
      </c>
      <c r="AJ269" s="212">
        <v>0.64583333333333304</v>
      </c>
      <c r="AK269" s="212">
        <v>0.66666666666666696</v>
      </c>
      <c r="AL269" s="212">
        <v>0.6875</v>
      </c>
      <c r="AM269" s="212">
        <v>0.70833333333333304</v>
      </c>
      <c r="AN269" s="212">
        <v>0.72916666666666696</v>
      </c>
      <c r="AO269" s="212">
        <v>0.75</v>
      </c>
      <c r="AP269" s="214">
        <v>0.77083333333333304</v>
      </c>
      <c r="AQ269" s="196"/>
      <c r="AR269" s="196"/>
    </row>
    <row r="270" spans="2:44" ht="9.9499999999999993" customHeight="1" thickBot="1" x14ac:dyDescent="0.3">
      <c r="B270" s="181"/>
      <c r="C270" s="182" t="s">
        <v>130</v>
      </c>
      <c r="D270" s="169"/>
      <c r="E270" s="169"/>
      <c r="F270" s="169"/>
      <c r="G270" s="169"/>
      <c r="H270" s="169"/>
      <c r="I270" s="169"/>
      <c r="J270" s="169" t="s">
        <v>131</v>
      </c>
      <c r="K270" s="169"/>
      <c r="L270" s="219" t="s">
        <v>132</v>
      </c>
      <c r="M270" s="219"/>
      <c r="N270" s="219" t="s">
        <v>133</v>
      </c>
      <c r="O270" s="219"/>
      <c r="P270" s="219" t="s">
        <v>10</v>
      </c>
      <c r="Q270" s="186" t="s">
        <v>134</v>
      </c>
      <c r="R270" s="187"/>
      <c r="S270" s="192">
        <v>0.29166666666666669</v>
      </c>
      <c r="T270" s="189">
        <v>0.3125</v>
      </c>
      <c r="U270" s="189">
        <v>0.33333333333333331</v>
      </c>
      <c r="V270" s="189">
        <v>0.35416666666666702</v>
      </c>
      <c r="W270" s="189">
        <v>0.375</v>
      </c>
      <c r="X270" s="189">
        <v>0.39583333333333398</v>
      </c>
      <c r="Y270" s="189">
        <v>0.41666666666666702</v>
      </c>
      <c r="Z270" s="189">
        <v>0.4375</v>
      </c>
      <c r="AA270" s="189">
        <v>0.45833333333333398</v>
      </c>
      <c r="AB270" s="189">
        <v>0.47916666666666702</v>
      </c>
      <c r="AC270" s="190">
        <v>0.45833333333333398</v>
      </c>
      <c r="AD270" s="190">
        <v>0.5</v>
      </c>
      <c r="AE270" s="190">
        <v>0.54166666666666696</v>
      </c>
      <c r="AF270" s="189">
        <v>0.52083333333333404</v>
      </c>
      <c r="AG270" s="189">
        <v>0.5625</v>
      </c>
      <c r="AH270" s="189">
        <v>0.60416666666666696</v>
      </c>
      <c r="AI270" s="189">
        <v>0.625</v>
      </c>
      <c r="AJ270" s="189">
        <v>0.64583333333333304</v>
      </c>
      <c r="AK270" s="189">
        <v>0.66666666666666696</v>
      </c>
      <c r="AL270" s="189">
        <v>0.6875</v>
      </c>
      <c r="AM270" s="189">
        <v>0.70833333333333304</v>
      </c>
      <c r="AN270" s="189">
        <v>0.72916666666666696</v>
      </c>
      <c r="AO270" s="189">
        <v>0.75</v>
      </c>
      <c r="AP270" s="191">
        <v>0.77083333333333304</v>
      </c>
      <c r="AQ270" s="196" t="s">
        <v>135</v>
      </c>
      <c r="AR270" s="196"/>
    </row>
    <row r="271" spans="2:44" ht="10.15" customHeight="1" thickTop="1" x14ac:dyDescent="0.25">
      <c r="B271" s="539" t="s">
        <v>2484</v>
      </c>
      <c r="C271" s="183" t="s">
        <v>2482</v>
      </c>
      <c r="D271" s="52"/>
      <c r="E271" s="52"/>
      <c r="F271" s="52"/>
      <c r="G271" s="67"/>
      <c r="H271" s="52"/>
      <c r="I271" s="66"/>
      <c r="J271" s="183">
        <f>SUM(S271:AP271)/2</f>
        <v>2.5</v>
      </c>
      <c r="K271" s="52"/>
      <c r="L271" s="66"/>
      <c r="M271" s="52"/>
      <c r="N271" s="70"/>
      <c r="O271" s="68"/>
      <c r="P271" s="68"/>
      <c r="Q271" s="68"/>
      <c r="R271" s="44"/>
      <c r="S271" s="44"/>
      <c r="T271" s="165"/>
      <c r="U271" s="165">
        <v>1</v>
      </c>
      <c r="V271" s="165">
        <v>1</v>
      </c>
      <c r="W271" s="165">
        <v>1</v>
      </c>
      <c r="X271" s="165"/>
      <c r="Y271" s="165"/>
      <c r="Z271" s="165"/>
      <c r="AA271" s="215">
        <v>1</v>
      </c>
      <c r="AB271" s="215">
        <v>1</v>
      </c>
      <c r="AC271" s="69"/>
      <c r="AD271" s="69"/>
      <c r="AE271" s="69"/>
      <c r="AF271" s="215"/>
      <c r="AG271" s="215"/>
      <c r="AH271" s="215"/>
      <c r="AI271" s="215"/>
      <c r="AJ271" s="215"/>
      <c r="AK271" s="215"/>
      <c r="AL271" s="215"/>
      <c r="AM271" s="165"/>
      <c r="AN271" s="165"/>
      <c r="AO271" s="166"/>
      <c r="AP271" s="167"/>
      <c r="AQ271" s="196">
        <f t="shared" ref="AQ271:AQ278" si="26">SUM(S271:AP271)/2</f>
        <v>2.5</v>
      </c>
      <c r="AR271" s="196"/>
    </row>
    <row r="272" spans="2:44" ht="10.15" customHeight="1" x14ac:dyDescent="0.25">
      <c r="B272" s="540"/>
      <c r="C272" s="183" t="s">
        <v>2483</v>
      </c>
      <c r="D272" s="52"/>
      <c r="E272" s="52"/>
      <c r="F272" s="52"/>
      <c r="G272" s="67"/>
      <c r="H272" s="52"/>
      <c r="I272" s="52"/>
      <c r="J272" s="183">
        <f>SUM(S272:AP272)/2</f>
        <v>1.5</v>
      </c>
      <c r="K272" s="52"/>
      <c r="L272" s="52" t="s">
        <v>136</v>
      </c>
      <c r="M272" s="52"/>
      <c r="N272" s="311" t="s">
        <v>2547</v>
      </c>
      <c r="O272" s="312"/>
      <c r="P272" s="312" t="s">
        <v>2548</v>
      </c>
      <c r="Q272" s="68"/>
      <c r="R272" s="44"/>
      <c r="S272" s="44"/>
      <c r="T272" s="44"/>
      <c r="U272" s="44"/>
      <c r="V272" s="44"/>
      <c r="W272" s="44"/>
      <c r="X272" s="44">
        <v>1</v>
      </c>
      <c r="Y272" s="44">
        <v>1</v>
      </c>
      <c r="Z272" s="44">
        <v>1</v>
      </c>
      <c r="AA272" s="44"/>
      <c r="AB272" s="44"/>
      <c r="AC272" s="69"/>
      <c r="AD272" s="69"/>
      <c r="AE272" s="69"/>
      <c r="AF272" s="44"/>
      <c r="AG272" s="44"/>
      <c r="AH272" s="44"/>
      <c r="AI272" s="44"/>
      <c r="AJ272" s="44"/>
      <c r="AK272" s="44"/>
      <c r="AL272" s="44"/>
      <c r="AM272" s="44"/>
      <c r="AN272" s="44"/>
      <c r="AO272" s="54"/>
      <c r="AP272" s="26"/>
      <c r="AQ272" s="196">
        <f t="shared" si="26"/>
        <v>1.5</v>
      </c>
      <c r="AR272" s="196"/>
    </row>
    <row r="273" spans="2:44" ht="10.15" customHeight="1" thickBot="1" x14ac:dyDescent="0.3">
      <c r="B273" s="540"/>
      <c r="C273" s="183"/>
      <c r="D273" s="52"/>
      <c r="E273" s="52"/>
      <c r="F273" s="52"/>
      <c r="G273" s="67"/>
      <c r="H273" s="52"/>
      <c r="I273" s="52"/>
      <c r="J273" s="52" t="s">
        <v>131</v>
      </c>
      <c r="K273" s="52"/>
      <c r="L273" s="52" t="s">
        <v>132</v>
      </c>
      <c r="N273" s="70"/>
      <c r="O273" s="68"/>
      <c r="P273" s="68"/>
      <c r="Q273" s="68"/>
      <c r="R273" s="44"/>
      <c r="S273" s="44"/>
      <c r="T273" s="215"/>
      <c r="U273" s="215"/>
      <c r="V273" s="215"/>
      <c r="W273" s="215"/>
      <c r="X273" s="215"/>
      <c r="Y273" s="215"/>
      <c r="Z273" s="215"/>
      <c r="AA273" s="276"/>
      <c r="AB273" s="276"/>
      <c r="AC273" s="172"/>
      <c r="AD273" s="172"/>
      <c r="AE273" s="172"/>
      <c r="AF273" s="276"/>
      <c r="AG273" s="276"/>
      <c r="AH273" s="276"/>
      <c r="AI273" s="276"/>
      <c r="AJ273" s="276"/>
      <c r="AK273" s="276"/>
      <c r="AL273" s="276"/>
      <c r="AM273" s="215"/>
      <c r="AN273" s="215"/>
      <c r="AO273" s="216"/>
      <c r="AP273" s="217"/>
      <c r="AQ273" s="196"/>
      <c r="AR273" s="196"/>
    </row>
    <row r="274" spans="2:44" ht="9.9499999999999993" customHeight="1" thickTop="1" x14ac:dyDescent="0.25">
      <c r="B274" s="476" t="s">
        <v>2481</v>
      </c>
      <c r="C274" s="185" t="s">
        <v>2487</v>
      </c>
      <c r="D274" s="175"/>
      <c r="E274" s="175"/>
      <c r="F274" s="175"/>
      <c r="G274" s="175"/>
      <c r="H274" s="175"/>
      <c r="I274" s="175"/>
      <c r="J274" s="175">
        <f>SUM(S274:AP274)/2</f>
        <v>0</v>
      </c>
      <c r="K274" s="175"/>
      <c r="L274" s="225"/>
      <c r="M274" s="175"/>
      <c r="N274" s="175"/>
      <c r="O274" s="176"/>
      <c r="P274" s="176"/>
      <c r="Q274" s="176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8"/>
      <c r="AD274" s="178"/>
      <c r="AE274" s="178"/>
      <c r="AF274" s="177"/>
      <c r="AG274" s="177"/>
      <c r="AH274" s="177"/>
      <c r="AI274" s="177"/>
      <c r="AJ274" s="177"/>
      <c r="AK274" s="177"/>
      <c r="AL274" s="177"/>
      <c r="AM274" s="177"/>
      <c r="AN274" s="177"/>
      <c r="AO274" s="179"/>
      <c r="AP274" s="180"/>
      <c r="AQ274" s="196">
        <f t="shared" si="26"/>
        <v>0</v>
      </c>
    </row>
    <row r="275" spans="2:44" ht="9.9499999999999993" customHeight="1" x14ac:dyDescent="0.25">
      <c r="B275" s="477"/>
      <c r="C275" s="183"/>
      <c r="D275" s="52"/>
      <c r="E275" s="52"/>
      <c r="F275" s="52"/>
      <c r="G275" s="52"/>
      <c r="H275" s="52"/>
      <c r="I275" s="52"/>
      <c r="J275" s="183">
        <f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6">
        <f t="shared" si="26"/>
        <v>0</v>
      </c>
    </row>
    <row r="276" spans="2:44" ht="9.9499999999999993" customHeight="1" x14ac:dyDescent="0.25">
      <c r="B276" s="477"/>
      <c r="C276" s="183"/>
      <c r="D276" s="52"/>
      <c r="E276" s="52"/>
      <c r="F276" s="52"/>
      <c r="G276" s="52"/>
      <c r="H276" s="52"/>
      <c r="I276" s="52"/>
      <c r="J276" s="183">
        <f t="shared" ref="J276:J278" si="27"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6"/>
        <v>0</v>
      </c>
    </row>
    <row r="277" spans="2:44" ht="9.9499999999999993" customHeight="1" x14ac:dyDescent="0.25">
      <c r="B277" s="477"/>
      <c r="C277" s="183"/>
      <c r="D277" s="52"/>
      <c r="E277" s="52"/>
      <c r="F277" s="52"/>
      <c r="G277" s="52"/>
      <c r="H277" s="52"/>
      <c r="I277" s="52"/>
      <c r="J277" s="183">
        <f t="shared" si="27"/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6"/>
        <v>0</v>
      </c>
    </row>
    <row r="278" spans="2:44" ht="9.9499999999999993" customHeight="1" thickBot="1" x14ac:dyDescent="0.3">
      <c r="B278" s="478"/>
      <c r="C278" s="184"/>
      <c r="D278" s="168"/>
      <c r="E278" s="168"/>
      <c r="F278" s="168"/>
      <c r="G278" s="168"/>
      <c r="H278" s="168"/>
      <c r="I278" s="168"/>
      <c r="J278" s="184">
        <f t="shared" si="27"/>
        <v>0</v>
      </c>
      <c r="K278" s="168"/>
      <c r="L278" s="218"/>
      <c r="M278" s="168"/>
      <c r="N278" s="168"/>
      <c r="O278" s="170"/>
      <c r="P278" s="170"/>
      <c r="Q278" s="170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2"/>
      <c r="AD278" s="172"/>
      <c r="AE278" s="172"/>
      <c r="AF278" s="171"/>
      <c r="AG278" s="171"/>
      <c r="AH278" s="171"/>
      <c r="AI278" s="171"/>
      <c r="AJ278" s="171"/>
      <c r="AK278" s="171"/>
      <c r="AL278" s="171"/>
      <c r="AM278" s="171"/>
      <c r="AN278" s="171"/>
      <c r="AO278" s="173"/>
      <c r="AP278" s="174"/>
      <c r="AQ278" s="196">
        <f t="shared" si="26"/>
        <v>0</v>
      </c>
    </row>
    <row r="279" spans="2:44" ht="9.9499999999999993" customHeight="1" thickTop="1" thickBot="1" x14ac:dyDescent="0.3">
      <c r="B279" s="29"/>
      <c r="C279" s="541" t="s">
        <v>31</v>
      </c>
      <c r="D279" s="541"/>
      <c r="E279" s="541"/>
      <c r="F279" s="541"/>
      <c r="G279" s="541"/>
      <c r="H279" s="541"/>
      <c r="I279" s="541"/>
      <c r="J279" s="120">
        <f>SUM(J271:J278)</f>
        <v>4</v>
      </c>
      <c r="K279" s="120"/>
      <c r="L279" s="120">
        <f>SUM(L271:L278)</f>
        <v>0</v>
      </c>
      <c r="M279" s="120"/>
      <c r="N279" s="120">
        <f>L279/J279</f>
        <v>0</v>
      </c>
      <c r="O279" s="120"/>
      <c r="P279" s="120"/>
      <c r="Q279" s="120"/>
      <c r="R279" s="188" t="s">
        <v>137</v>
      </c>
      <c r="S279" s="53">
        <f t="shared" ref="S279:AP279" si="28">SUM(S271:S278)</f>
        <v>0</v>
      </c>
      <c r="T279" s="53">
        <f t="shared" si="28"/>
        <v>0</v>
      </c>
      <c r="U279" s="53">
        <f t="shared" si="28"/>
        <v>1</v>
      </c>
      <c r="V279" s="53">
        <f t="shared" si="28"/>
        <v>1</v>
      </c>
      <c r="W279" s="53">
        <f t="shared" si="28"/>
        <v>1</v>
      </c>
      <c r="X279" s="53">
        <f t="shared" si="28"/>
        <v>1</v>
      </c>
      <c r="Y279" s="53">
        <f t="shared" si="28"/>
        <v>1</v>
      </c>
      <c r="Z279" s="53">
        <f t="shared" si="28"/>
        <v>1</v>
      </c>
      <c r="AA279" s="53">
        <f t="shared" si="28"/>
        <v>1</v>
      </c>
      <c r="AB279" s="53">
        <f t="shared" si="28"/>
        <v>1</v>
      </c>
      <c r="AC279" s="53">
        <f t="shared" si="28"/>
        <v>0</v>
      </c>
      <c r="AD279" s="53">
        <f t="shared" si="28"/>
        <v>0</v>
      </c>
      <c r="AE279" s="53">
        <f t="shared" si="28"/>
        <v>0</v>
      </c>
      <c r="AF279" s="53">
        <f t="shared" si="28"/>
        <v>0</v>
      </c>
      <c r="AG279" s="53">
        <f t="shared" si="28"/>
        <v>0</v>
      </c>
      <c r="AH279" s="53">
        <f t="shared" si="28"/>
        <v>0</v>
      </c>
      <c r="AI279" s="53">
        <f t="shared" si="28"/>
        <v>0</v>
      </c>
      <c r="AJ279" s="53">
        <f t="shared" si="28"/>
        <v>0</v>
      </c>
      <c r="AK279" s="53">
        <f t="shared" si="28"/>
        <v>0</v>
      </c>
      <c r="AL279" s="53">
        <f t="shared" si="28"/>
        <v>0</v>
      </c>
      <c r="AM279" s="53">
        <f t="shared" si="28"/>
        <v>0</v>
      </c>
      <c r="AN279" s="53">
        <f t="shared" si="28"/>
        <v>0</v>
      </c>
      <c r="AO279" s="53">
        <f t="shared" si="28"/>
        <v>0</v>
      </c>
      <c r="AP279" s="53">
        <f t="shared" si="28"/>
        <v>0</v>
      </c>
    </row>
    <row r="280" spans="2:44" ht="9.9499999999999993" customHeight="1" x14ac:dyDescent="0.25">
      <c r="B280" s="27"/>
      <c r="AP280" s="28"/>
    </row>
    <row r="281" spans="2:44" ht="9.9499999999999993" customHeight="1" x14ac:dyDescent="0.25">
      <c r="B281" s="27"/>
      <c r="AP281" s="28"/>
    </row>
    <row r="282" spans="2:44" ht="9.9499999999999993" customHeight="1" x14ac:dyDescent="0.25">
      <c r="B282" s="27"/>
      <c r="AP282" s="28"/>
    </row>
    <row r="283" spans="2:44" ht="9.9499999999999993" customHeight="1" x14ac:dyDescent="0.25">
      <c r="B283" s="27"/>
      <c r="AP283" s="28"/>
    </row>
    <row r="284" spans="2:44" ht="9.9499999999999993" customHeight="1" x14ac:dyDescent="0.25">
      <c r="B284" s="27"/>
      <c r="AP284" s="28"/>
    </row>
    <row r="285" spans="2:44" ht="9.9499999999999993" customHeight="1" x14ac:dyDescent="0.25">
      <c r="B285" s="27"/>
      <c r="AP285" s="28"/>
    </row>
    <row r="286" spans="2:44" ht="9.9499999999999993" customHeight="1" x14ac:dyDescent="0.25">
      <c r="B286" s="27"/>
      <c r="AP286" s="28"/>
    </row>
    <row r="287" spans="2:44" ht="9.9499999999999993" customHeight="1" x14ac:dyDescent="0.25">
      <c r="B287" s="27"/>
      <c r="AP287" s="28"/>
    </row>
    <row r="288" spans="2:44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thickBot="1" x14ac:dyDescent="0.3"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1"/>
    </row>
  </sheetData>
  <mergeCells count="430">
    <mergeCell ref="B271:B273"/>
    <mergeCell ref="C279:I279"/>
    <mergeCell ref="C110:U110"/>
    <mergeCell ref="C111:U123"/>
    <mergeCell ref="C124:U124"/>
    <mergeCell ref="W110:AO110"/>
    <mergeCell ref="W111:AO123"/>
    <mergeCell ref="W124:AO124"/>
    <mergeCell ref="N269:Q269"/>
    <mergeCell ref="B234:AP234"/>
    <mergeCell ref="B231:U231"/>
    <mergeCell ref="W231:AP231"/>
    <mergeCell ref="W173:AO185"/>
    <mergeCell ref="C186:U186"/>
    <mergeCell ref="W186:AO186"/>
    <mergeCell ref="C142:U142"/>
    <mergeCell ref="W142:AO142"/>
    <mergeCell ref="C143:U155"/>
    <mergeCell ref="V143:V156"/>
    <mergeCell ref="W143:AO155"/>
    <mergeCell ref="W156:AO156"/>
    <mergeCell ref="B158:B171"/>
    <mergeCell ref="C158:U170"/>
    <mergeCell ref="C126:U126"/>
    <mergeCell ref="W224:AP230"/>
    <mergeCell ref="B263:E263"/>
    <mergeCell ref="V158:V171"/>
    <mergeCell ref="W158:AO170"/>
    <mergeCell ref="AP158:AP171"/>
    <mergeCell ref="C171:U171"/>
    <mergeCell ref="C140:U140"/>
    <mergeCell ref="B252:E252"/>
    <mergeCell ref="F252:R252"/>
    <mergeCell ref="B223:U223"/>
    <mergeCell ref="V223:V230"/>
    <mergeCell ref="W223:AO223"/>
    <mergeCell ref="B224:U230"/>
    <mergeCell ref="W171:AO171"/>
    <mergeCell ref="C189:U189"/>
    <mergeCell ref="C190:U202"/>
    <mergeCell ref="C203:U203"/>
    <mergeCell ref="W189:AO189"/>
    <mergeCell ref="W190:AO202"/>
    <mergeCell ref="W203:AO203"/>
    <mergeCell ref="C172:U172"/>
    <mergeCell ref="W172:AO172"/>
    <mergeCell ref="B268:AP268"/>
    <mergeCell ref="B36:AP36"/>
    <mergeCell ref="B37:V37"/>
    <mergeCell ref="W37:AP37"/>
    <mergeCell ref="W126:AO126"/>
    <mergeCell ref="W127:AO139"/>
    <mergeCell ref="W140:AO140"/>
    <mergeCell ref="B264:E264"/>
    <mergeCell ref="B38:V38"/>
    <mergeCell ref="W38:AP38"/>
    <mergeCell ref="B39:AP39"/>
    <mergeCell ref="B49:AP49"/>
    <mergeCell ref="B53:AP53"/>
    <mergeCell ref="B45:AP45"/>
    <mergeCell ref="C62:U74"/>
    <mergeCell ref="V62:V75"/>
    <mergeCell ref="B47:AP47"/>
    <mergeCell ref="B48:AP48"/>
    <mergeCell ref="C77:U77"/>
    <mergeCell ref="W77:AO77"/>
    <mergeCell ref="B143:B156"/>
    <mergeCell ref="AP143:AP156"/>
    <mergeCell ref="C156:U156"/>
    <mergeCell ref="W62:AO74"/>
    <mergeCell ref="J26:K26"/>
    <mergeCell ref="B31:U32"/>
    <mergeCell ref="B50:AP50"/>
    <mergeCell ref="W91:AO91"/>
    <mergeCell ref="C93:U93"/>
    <mergeCell ref="B40:AP43"/>
    <mergeCell ref="F263:R263"/>
    <mergeCell ref="B274:B278"/>
    <mergeCell ref="C173:U185"/>
    <mergeCell ref="V173:V186"/>
    <mergeCell ref="B52:AP52"/>
    <mergeCell ref="B78:B91"/>
    <mergeCell ref="W78:AO90"/>
    <mergeCell ref="AP78:AP91"/>
    <mergeCell ref="C205:U205"/>
    <mergeCell ref="C206:U218"/>
    <mergeCell ref="C219:U219"/>
    <mergeCell ref="W205:AO205"/>
    <mergeCell ref="W206:AO218"/>
    <mergeCell ref="W219:AO219"/>
    <mergeCell ref="B44:AP44"/>
    <mergeCell ref="B46:AP46"/>
    <mergeCell ref="W94:AO106"/>
    <mergeCell ref="B51:AP51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J16:K16"/>
    <mergeCell ref="L16:M16"/>
    <mergeCell ref="N16:O16"/>
    <mergeCell ref="R17:S17"/>
    <mergeCell ref="R18:S18"/>
    <mergeCell ref="B18:E18"/>
    <mergeCell ref="F18:G18"/>
    <mergeCell ref="H18:I18"/>
    <mergeCell ref="L17:M17"/>
    <mergeCell ref="N17:O17"/>
    <mergeCell ref="J17:K17"/>
    <mergeCell ref="H17:I17"/>
    <mergeCell ref="B17:E17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94:B107"/>
    <mergeCell ref="C94:U106"/>
    <mergeCell ref="V94:V107"/>
    <mergeCell ref="C78:U90"/>
    <mergeCell ref="V78:V91"/>
    <mergeCell ref="B56:AP56"/>
    <mergeCell ref="B57:AP57"/>
    <mergeCell ref="B58:AP58"/>
    <mergeCell ref="B59:AP59"/>
    <mergeCell ref="AP94:AP107"/>
    <mergeCell ref="C107:U107"/>
    <mergeCell ref="W107:AO107"/>
    <mergeCell ref="C75:U75"/>
    <mergeCell ref="W75:AO75"/>
    <mergeCell ref="C127:U139"/>
    <mergeCell ref="AP62:AP75"/>
    <mergeCell ref="AR14:AS14"/>
    <mergeCell ref="AR15:AS15"/>
    <mergeCell ref="AR16:AS16"/>
    <mergeCell ref="AR17:AS17"/>
    <mergeCell ref="AR18:AS18"/>
    <mergeCell ref="AR19:AS19"/>
    <mergeCell ref="B54:AP54"/>
    <mergeCell ref="B55:AP55"/>
    <mergeCell ref="W93:AO93"/>
    <mergeCell ref="B62:B75"/>
    <mergeCell ref="C91:U91"/>
    <mergeCell ref="C61:U61"/>
    <mergeCell ref="W61:AO61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B33:U33"/>
    <mergeCell ref="AE34:AG34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H16:I16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</mergeCells>
  <phoneticPr fontId="53" type="noConversion"/>
  <conditionalFormatting sqref="R274:AB278 R271:U273 AA271:AB271 V271:Z272 V273:AP273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8:AD244 AH238:AP244 AH250:AP254 S252:AD254 S263:AD266 AH261:AP266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0:AD251 AP248:AP249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1:AD262 AP259:AP260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2:AB272 AF272:AM272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2:AE272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4:AP278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2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3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8:AO249 W248:AD249 S255:AD255 S248:V251 AH259:AO260 W259:AD260 S267:AD267 S259:V262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5:AO255 AH267:AO267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2:AP252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3:AP263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2:AP272 AF271:AP271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5 AP267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90"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R274:AB278 R271:U273 AA271:AB271 V271:Z272 V273:AP273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S238:AD244 AH238:AP244 AH250:AP254 S252:AD254 S263:AD266 AH261:AP266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W250:AD251 AP248:AP249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W261:AD262 AP259:AP260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AA272:AB272 AF272:AM272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AC272:AE272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AF274:AP278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AH252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AH263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AH248:AO249 W248:AD249 S255:AD255 S248:V251 AH259:AO260 W259:AD260 S267:AD267 S259:V262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AH255:AO255 AH267:AO267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AJ252:AP252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AJ263:AP263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AN272:AP272 AF271:AP271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AP255 AP267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topLeftCell="A3"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4"/>
      <c r="C1" s="554" t="s">
        <v>52</v>
      </c>
      <c r="D1" s="554"/>
      <c r="E1" s="554"/>
      <c r="F1" s="554"/>
      <c r="G1" s="554"/>
      <c r="H1" s="554"/>
      <c r="I1" s="554"/>
      <c r="J1" s="555" t="s">
        <v>138</v>
      </c>
      <c r="K1" s="555"/>
    </row>
    <row r="2" spans="2:41" ht="15" x14ac:dyDescent="0.25">
      <c r="B2" s="274"/>
      <c r="C2" s="554"/>
      <c r="D2" s="554"/>
      <c r="E2" s="554"/>
      <c r="F2" s="554"/>
      <c r="G2" s="554"/>
      <c r="H2" s="554"/>
      <c r="I2" s="554"/>
      <c r="J2" s="555" t="s">
        <v>139</v>
      </c>
      <c r="K2" s="555"/>
    </row>
    <row r="3" spans="2:41" ht="15" x14ac:dyDescent="0.25">
      <c r="B3" s="274"/>
      <c r="C3" s="556" t="s">
        <v>140</v>
      </c>
      <c r="D3" s="556"/>
      <c r="E3" s="556"/>
      <c r="F3" s="556"/>
      <c r="G3" s="556"/>
      <c r="H3" s="556"/>
      <c r="I3" s="556"/>
      <c r="J3" s="555" t="s">
        <v>141</v>
      </c>
      <c r="K3" s="555"/>
    </row>
    <row r="4" spans="2:41" ht="15" x14ac:dyDescent="0.25">
      <c r="B4" s="274"/>
      <c r="C4" s="57"/>
      <c r="D4" s="57"/>
      <c r="E4" s="57"/>
      <c r="F4" s="57"/>
      <c r="G4" s="274"/>
      <c r="H4" s="274"/>
      <c r="I4" s="274"/>
      <c r="J4" s="274"/>
      <c r="K4" s="274"/>
    </row>
    <row r="5" spans="2:41" ht="15" x14ac:dyDescent="0.25">
      <c r="B5" s="557"/>
      <c r="C5" s="557"/>
      <c r="D5" s="557"/>
      <c r="E5" s="557"/>
      <c r="F5" s="557"/>
      <c r="G5" s="557"/>
      <c r="H5" s="557"/>
      <c r="I5" s="557"/>
      <c r="J5" s="557"/>
      <c r="K5" s="557"/>
    </row>
    <row r="6" spans="2:41" ht="17.45" customHeight="1" thickBot="1" x14ac:dyDescent="0.3">
      <c r="B6" s="274"/>
      <c r="C6" s="57"/>
      <c r="D6" s="57"/>
      <c r="E6" s="57"/>
      <c r="F6" s="57"/>
      <c r="G6" s="558" t="s">
        <v>142</v>
      </c>
      <c r="H6" s="559"/>
      <c r="I6" s="560"/>
      <c r="J6" s="210" t="s">
        <v>2472</v>
      </c>
      <c r="K6" s="274"/>
    </row>
    <row r="7" spans="2:41" ht="32.25" thickBot="1" x14ac:dyDescent="0.3">
      <c r="B7" s="141" t="s">
        <v>143</v>
      </c>
      <c r="C7" s="141" t="s">
        <v>144</v>
      </c>
      <c r="D7" s="141" t="s">
        <v>145</v>
      </c>
      <c r="E7" s="141" t="s">
        <v>146</v>
      </c>
      <c r="F7" s="141" t="s">
        <v>147</v>
      </c>
      <c r="G7" s="141" t="s">
        <v>148</v>
      </c>
      <c r="H7" s="141" t="s">
        <v>149</v>
      </c>
      <c r="I7" s="141" t="s">
        <v>150</v>
      </c>
      <c r="J7" s="141" t="s">
        <v>151</v>
      </c>
      <c r="K7" s="141" t="s">
        <v>152</v>
      </c>
      <c r="L7" s="142" t="s">
        <v>153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154</v>
      </c>
    </row>
    <row r="8" spans="2:41" ht="17.649999999999999" customHeight="1" x14ac:dyDescent="0.25">
      <c r="B8" s="300" t="s">
        <v>2500</v>
      </c>
      <c r="C8" s="285" t="s">
        <v>155</v>
      </c>
      <c r="D8" s="279"/>
      <c r="E8" s="280"/>
      <c r="F8" s="281"/>
      <c r="G8" s="135">
        <v>1</v>
      </c>
      <c r="H8" s="123"/>
      <c r="I8" s="124" t="s">
        <v>156</v>
      </c>
      <c r="J8" s="146" t="s">
        <v>157</v>
      </c>
      <c r="K8" s="207" t="s">
        <v>158</v>
      </c>
      <c r="L8" s="125" t="s">
        <v>159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1"/>
      <c r="C9" s="133" t="s">
        <v>2488</v>
      </c>
      <c r="D9" s="282"/>
      <c r="E9" s="44"/>
      <c r="F9" s="45"/>
      <c r="G9" s="134">
        <v>1</v>
      </c>
      <c r="H9" s="278"/>
      <c r="I9" s="126" t="s">
        <v>156</v>
      </c>
      <c r="J9" s="145" t="s">
        <v>157</v>
      </c>
      <c r="K9" s="208" t="s">
        <v>158</v>
      </c>
      <c r="L9" s="127" t="s">
        <v>159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300" t="s">
        <v>160</v>
      </c>
      <c r="C10" s="132" t="s">
        <v>2473</v>
      </c>
      <c r="D10" s="282"/>
      <c r="E10" s="44"/>
      <c r="F10" s="45"/>
      <c r="G10" s="135">
        <v>1</v>
      </c>
      <c r="H10" s="122"/>
      <c r="I10" s="124" t="s">
        <v>156</v>
      </c>
      <c r="J10" s="146" t="s">
        <v>157</v>
      </c>
      <c r="K10" s="207" t="s">
        <v>158</v>
      </c>
      <c r="L10" s="125" t="s">
        <v>159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1"/>
      <c r="C11" s="133" t="s">
        <v>2474</v>
      </c>
      <c r="D11" s="282"/>
      <c r="E11" s="44"/>
      <c r="F11" s="45"/>
      <c r="G11" s="134"/>
      <c r="H11" s="277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158</v>
      </c>
      <c r="L11" s="209" t="s">
        <v>159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300" t="s">
        <v>162</v>
      </c>
      <c r="C12" s="132" t="s">
        <v>2489</v>
      </c>
      <c r="D12" s="282"/>
      <c r="E12" s="44"/>
      <c r="F12" s="45"/>
      <c r="G12" s="135">
        <v>1</v>
      </c>
      <c r="H12" s="122"/>
      <c r="I12" s="124" t="s">
        <v>156</v>
      </c>
      <c r="J12" s="298" t="str">
        <f>IF($J$6="A",IF(AND(E12=0,F12=0),"Libres","Proyecto"),IF($J$6="B",IF(AND(D12=0,F12=0),"Libres","Proyecto"),IF($J$6="C",IF(AND(D12=0,E12=0),"Libres","Proyecto"),ERROR)))</f>
        <v>Libres</v>
      </c>
      <c r="K12" s="208" t="s">
        <v>158</v>
      </c>
      <c r="L12" s="127" t="s">
        <v>159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1" t="s">
        <v>2501</v>
      </c>
      <c r="C13" s="136" t="s">
        <v>163</v>
      </c>
      <c r="D13" s="282"/>
      <c r="E13" s="44"/>
      <c r="F13" s="45"/>
      <c r="G13" s="135">
        <v>1</v>
      </c>
      <c r="H13" s="122"/>
      <c r="I13" s="124" t="s">
        <v>156</v>
      </c>
      <c r="J13" s="146" t="s">
        <v>157</v>
      </c>
      <c r="K13" s="207" t="s">
        <v>158</v>
      </c>
      <c r="L13" s="125" t="s">
        <v>159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300" t="s">
        <v>2502</v>
      </c>
      <c r="C14" s="220" t="s">
        <v>2491</v>
      </c>
      <c r="D14" s="282"/>
      <c r="E14" s="44"/>
      <c r="F14" s="45"/>
      <c r="G14" s="134">
        <v>1</v>
      </c>
      <c r="H14" s="277"/>
      <c r="I14" s="126" t="s">
        <v>156</v>
      </c>
      <c r="J14" s="147" t="s">
        <v>157</v>
      </c>
      <c r="K14" s="209" t="s">
        <v>158</v>
      </c>
      <c r="L14" s="131" t="s">
        <v>159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1" t="s">
        <v>164</v>
      </c>
      <c r="C15" s="137" t="s">
        <v>2490</v>
      </c>
      <c r="D15" s="282"/>
      <c r="E15" s="44"/>
      <c r="F15" s="45"/>
      <c r="G15" s="291">
        <v>1</v>
      </c>
      <c r="H15" s="292"/>
      <c r="I15" s="293"/>
      <c r="J15" s="145" t="s">
        <v>157</v>
      </c>
      <c r="K15" s="296" t="s">
        <v>158</v>
      </c>
      <c r="L15" s="297" t="s">
        <v>159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3" t="s">
        <v>178</v>
      </c>
      <c r="C16" s="136" t="s">
        <v>2492</v>
      </c>
      <c r="D16" s="282"/>
      <c r="E16" s="44"/>
      <c r="F16" s="45"/>
      <c r="G16" s="135">
        <v>1</v>
      </c>
      <c r="H16" s="122"/>
      <c r="I16" s="124" t="s">
        <v>156</v>
      </c>
      <c r="J16" s="146" t="s">
        <v>165</v>
      </c>
      <c r="K16" s="208" t="s">
        <v>158</v>
      </c>
      <c r="L16" s="127" t="s">
        <v>159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4"/>
      <c r="C17" s="137" t="s">
        <v>2505</v>
      </c>
      <c r="D17" s="282"/>
      <c r="E17" s="44"/>
      <c r="F17" s="45"/>
      <c r="G17" s="134">
        <v>1</v>
      </c>
      <c r="H17" s="277"/>
      <c r="I17" s="126"/>
      <c r="J17" s="145" t="s">
        <v>157</v>
      </c>
      <c r="K17" s="208" t="s">
        <v>158</v>
      </c>
      <c r="L17" s="127" t="s">
        <v>166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4"/>
      <c r="C18" s="137" t="s">
        <v>2506</v>
      </c>
      <c r="D18" s="282"/>
      <c r="E18" s="44"/>
      <c r="F18" s="45"/>
      <c r="G18" s="134">
        <v>1</v>
      </c>
      <c r="H18" s="277"/>
      <c r="I18" s="126"/>
      <c r="J18" s="145" t="s">
        <v>157</v>
      </c>
      <c r="K18" s="208" t="s">
        <v>158</v>
      </c>
      <c r="L18" s="127" t="s">
        <v>166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4"/>
      <c r="C19" s="137" t="s">
        <v>30</v>
      </c>
      <c r="D19" s="282"/>
      <c r="E19" s="44"/>
      <c r="F19" s="45"/>
      <c r="G19" s="134">
        <v>1</v>
      </c>
      <c r="H19" s="277"/>
      <c r="I19" s="126"/>
      <c r="J19" s="145" t="s">
        <v>157</v>
      </c>
      <c r="K19" s="208" t="s">
        <v>158</v>
      </c>
      <c r="L19" s="127" t="s">
        <v>166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4"/>
      <c r="C20" s="137" t="s">
        <v>2503</v>
      </c>
      <c r="D20" s="282"/>
      <c r="E20" s="44"/>
      <c r="F20" s="45"/>
      <c r="G20" s="134">
        <v>1</v>
      </c>
      <c r="H20" s="277"/>
      <c r="I20" s="126"/>
      <c r="J20" s="145" t="s">
        <v>157</v>
      </c>
      <c r="K20" s="208" t="s">
        <v>158</v>
      </c>
      <c r="L20" s="127" t="s">
        <v>166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5"/>
      <c r="C21" s="137" t="s">
        <v>2504</v>
      </c>
      <c r="D21" s="282"/>
      <c r="E21" s="44"/>
      <c r="F21" s="45"/>
      <c r="G21" s="129">
        <v>1</v>
      </c>
      <c r="H21" s="128"/>
      <c r="I21" s="130"/>
      <c r="J21" s="145" t="s">
        <v>157</v>
      </c>
      <c r="K21" s="208" t="s">
        <v>158</v>
      </c>
      <c r="L21" s="127" t="s">
        <v>166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300" t="s">
        <v>2497</v>
      </c>
      <c r="C22" s="286" t="s">
        <v>2493</v>
      </c>
      <c r="D22" s="282"/>
      <c r="E22" s="44"/>
      <c r="F22" s="54"/>
      <c r="G22" s="135">
        <v>1</v>
      </c>
      <c r="H22" s="122"/>
      <c r="I22" s="124" t="s">
        <v>156</v>
      </c>
      <c r="J22" s="295" t="str">
        <f>IF($J$6="A",IF(AND(E22=0,F22=0),"Libres","Proyecto"),IF($J$6="B",IF(AND(D22=0,F22=0),"Libres","Proyecto"),IF($J$6="C",IF(AND(D22=0,E22=0),"Libres","Proyecto"),ERROR)))</f>
        <v>Libres</v>
      </c>
      <c r="K22" s="207" t="s">
        <v>158</v>
      </c>
      <c r="L22" s="124" t="s">
        <v>166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1"/>
      <c r="C23" s="287" t="s">
        <v>2494</v>
      </c>
      <c r="D23" s="282"/>
      <c r="E23" s="44"/>
      <c r="F23" s="54"/>
      <c r="G23" s="134">
        <v>1</v>
      </c>
      <c r="H23" s="277"/>
      <c r="I23" s="126" t="s">
        <v>156</v>
      </c>
      <c r="J23" s="294" t="str">
        <f>IF($J$6="A",IF(AND(E23=0,F23=0),"Libres","Proyecto"),IF($J$6="B",IF(AND(D23=0,F23=0),"Libres","Proyecto"),IF($J$6="C",IF(AND(D23=0,E23=0),"Libres","Proyecto"),ERROR)))</f>
        <v>Libres</v>
      </c>
      <c r="K23" s="208" t="s">
        <v>158</v>
      </c>
      <c r="L23" s="126" t="s">
        <v>166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300"/>
      <c r="C24" s="287" t="s">
        <v>2507</v>
      </c>
      <c r="D24" s="282"/>
      <c r="E24" s="44"/>
      <c r="F24" s="54"/>
      <c r="G24" s="134">
        <v>1</v>
      </c>
      <c r="H24" s="277"/>
      <c r="I24" s="126" t="s">
        <v>156</v>
      </c>
      <c r="J24" s="294" t="s">
        <v>165</v>
      </c>
      <c r="K24" s="208" t="s">
        <v>158</v>
      </c>
      <c r="L24" s="126" t="s">
        <v>166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1" t="s">
        <v>2498</v>
      </c>
      <c r="C25" s="287" t="s">
        <v>2495</v>
      </c>
      <c r="D25" s="282"/>
      <c r="E25" s="44"/>
      <c r="F25" s="54"/>
      <c r="G25" s="134">
        <v>1</v>
      </c>
      <c r="H25" s="277"/>
      <c r="I25" s="126" t="s">
        <v>156</v>
      </c>
      <c r="J25" s="145" t="s">
        <v>165</v>
      </c>
      <c r="K25" s="208" t="s">
        <v>158</v>
      </c>
      <c r="L25" s="299" t="s">
        <v>166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300"/>
      <c r="C26" s="287" t="s">
        <v>2496</v>
      </c>
      <c r="D26" s="282"/>
      <c r="E26" s="44"/>
      <c r="F26" s="54"/>
      <c r="G26" s="129">
        <v>1</v>
      </c>
      <c r="H26" s="128"/>
      <c r="I26" s="130" t="s">
        <v>156</v>
      </c>
      <c r="J26" s="294" t="str">
        <f>IF($J$6="A",IF(AND(E26=0,F26=0),"Libres","Proyecto"),IF($J$6="B",IF(AND(D26=0,F26=0),"Libres","Proyecto"),IF($J$6="C",IF(AND(D26=0,E26=0),"Libres","Proyecto"),ERROR)))</f>
        <v>Libres</v>
      </c>
      <c r="K26" s="208" t="s">
        <v>158</v>
      </c>
      <c r="L26" s="126" t="s">
        <v>166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2" t="s">
        <v>167</v>
      </c>
      <c r="C27" s="288" t="s">
        <v>2499</v>
      </c>
      <c r="D27" s="283"/>
      <c r="E27" s="50"/>
      <c r="F27" s="284"/>
      <c r="G27" s="129">
        <v>1</v>
      </c>
      <c r="H27" s="128"/>
      <c r="I27" s="130" t="s">
        <v>156</v>
      </c>
      <c r="J27" s="289" t="str">
        <f>IF($J$6="A",IF(AND(E27=0,F27=0),"Libres","Proyecto"),IF($J$6="B",IF(AND(D27=0,F27=0),"Libres","Proyecto"),IF($J$6="C",IF(AND(D27=0,E27=0),"Libres","Proyecto"),ERROR)))</f>
        <v>Libres</v>
      </c>
      <c r="K27" s="290" t="s">
        <v>158</v>
      </c>
      <c r="L27" s="290" t="s">
        <v>159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168</v>
      </c>
      <c r="D30" s="224" t="s">
        <v>169</v>
      </c>
      <c r="E30" s="224" t="s">
        <v>170</v>
      </c>
      <c r="F30" s="224" t="s">
        <v>171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1" t="s">
        <v>172</v>
      </c>
      <c r="C31" s="200" t="s">
        <v>173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2"/>
      <c r="C32" s="202" t="s">
        <v>174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2"/>
      <c r="C33" s="201" t="s">
        <v>175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2"/>
      <c r="C34" s="202" t="s">
        <v>176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2"/>
      <c r="C35" s="202" t="s">
        <v>177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2"/>
      <c r="C36" s="201" t="s">
        <v>164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2"/>
      <c r="C37" s="202" t="s">
        <v>178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2"/>
      <c r="C38" s="201" t="s">
        <v>2508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2"/>
      <c r="C39" s="202" t="s">
        <v>2509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2"/>
      <c r="C40" s="201" t="s">
        <v>2510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2"/>
      <c r="C41" s="202" t="s">
        <v>167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179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1" t="s">
        <v>180</v>
      </c>
      <c r="D44" s="158" t="s">
        <v>181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2"/>
      <c r="D45" s="158" t="s">
        <v>182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3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66" t="s">
        <v>157</v>
      </c>
      <c r="F49" s="567"/>
      <c r="G49" s="567"/>
      <c r="H49" s="568"/>
      <c r="I49" s="161">
        <f>COUNTIF(J8:J27,E49)</f>
        <v>17</v>
      </c>
      <c r="J49" s="62"/>
      <c r="N49" s="60"/>
      <c r="O49" s="60"/>
    </row>
    <row r="50" spans="5:15" ht="15" x14ac:dyDescent="0.25">
      <c r="E50" s="566" t="s">
        <v>165</v>
      </c>
      <c r="F50" s="567"/>
      <c r="G50" s="567"/>
      <c r="H50" s="568"/>
      <c r="I50" s="161">
        <f>COUNTIF(J8:J27,E50)</f>
        <v>3</v>
      </c>
      <c r="J50" s="62">
        <f>+I49+I50</f>
        <v>20</v>
      </c>
    </row>
    <row r="51" spans="5:15" ht="15" x14ac:dyDescent="0.25">
      <c r="E51" s="566" t="s">
        <v>11</v>
      </c>
      <c r="F51" s="567"/>
      <c r="G51" s="567"/>
      <c r="H51" s="568"/>
      <c r="I51" s="161">
        <f>COUNTIF(J8:J27,E51)</f>
        <v>0</v>
      </c>
      <c r="J51" s="62"/>
    </row>
    <row r="52" spans="5:15" ht="15" x14ac:dyDescent="0.25">
      <c r="E52" s="566" t="s">
        <v>183</v>
      </c>
      <c r="F52" s="567"/>
      <c r="G52" s="567"/>
      <c r="H52" s="568"/>
      <c r="I52" s="161">
        <f>COUNTIF(J9:J27,E52)</f>
        <v>0</v>
      </c>
      <c r="J52" s="62"/>
    </row>
    <row r="53" spans="5:15" ht="15" x14ac:dyDescent="0.25">
      <c r="E53" s="566" t="s">
        <v>161</v>
      </c>
      <c r="F53" s="567"/>
      <c r="G53" s="567"/>
      <c r="H53" s="568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184</v>
      </c>
      <c r="F56" s="160"/>
      <c r="G56" s="161"/>
      <c r="H56" s="161"/>
      <c r="I56" s="161">
        <f>COUNTIF(K8:K27,J56)</f>
        <v>20</v>
      </c>
      <c r="J56" s="274" t="s">
        <v>158</v>
      </c>
    </row>
    <row r="57" spans="5:15" ht="15" x14ac:dyDescent="0.25">
      <c r="E57" s="160" t="s">
        <v>185</v>
      </c>
      <c r="F57" s="160"/>
      <c r="G57" s="161"/>
      <c r="H57" s="161"/>
      <c r="I57" s="161">
        <f>COUNTIF(K8:K27,J57)+COUNTIF(K8:K27,K57)</f>
        <v>0</v>
      </c>
      <c r="J57" s="274" t="s">
        <v>186</v>
      </c>
    </row>
    <row r="58" spans="5:15" ht="15" x14ac:dyDescent="0.25">
      <c r="E58" s="160" t="s">
        <v>187</v>
      </c>
      <c r="F58" s="160"/>
      <c r="G58" s="161"/>
      <c r="H58" s="161"/>
      <c r="I58" s="161">
        <f>COUNTIF(K8:K27,J58)</f>
        <v>0</v>
      </c>
      <c r="J58" s="161" t="s">
        <v>187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E49:H49"/>
    <mergeCell ref="E50:H50"/>
    <mergeCell ref="E51:H51"/>
    <mergeCell ref="E52:H52"/>
    <mergeCell ref="E53:H53"/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</mergeCells>
  <conditionalFormatting sqref="B8:B16 B22:B27">
    <cfRule type="cellIs" dxfId="78" priority="12" operator="equal">
      <formula>"Shotcrete"</formula>
    </cfRule>
    <cfRule type="cellIs" dxfId="77" priority="13" operator="equal">
      <formula>"Avances"</formula>
    </cfRule>
  </conditionalFormatting>
  <conditionalFormatting sqref="D9 D14:D26">
    <cfRule type="cellIs" dxfId="76" priority="10" operator="notEqual">
      <formula>0</formula>
    </cfRule>
  </conditionalFormatting>
  <conditionalFormatting sqref="D11">
    <cfRule type="cellIs" dxfId="75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74" priority="4" operator="notEqual">
      <formula>0</formula>
    </cfRule>
  </conditionalFormatting>
  <conditionalFormatting sqref="F8:F27 D10">
    <cfRule type="cellIs" dxfId="73" priority="8" operator="notEqual">
      <formula>0</formula>
    </cfRule>
  </conditionalFormatting>
  <conditionalFormatting sqref="I8:I27">
    <cfRule type="containsText" dxfId="72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60" zoomScaleNormal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DB6" sqref="DB6"/>
    </sheetView>
  </sheetViews>
  <sheetFormatPr baseColWidth="10" defaultColWidth="11.42578125" defaultRowHeight="15" customHeight="1" x14ac:dyDescent="0.25"/>
  <cols>
    <col min="1" max="1" width="4.7109375" customWidth="1"/>
    <col min="2" max="2" width="12.285156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29" width="5.85546875" style="227" hidden="1" customWidth="1"/>
    <col min="30" max="30" width="8.7109375" style="227" customWidth="1"/>
    <col min="31" max="105" width="5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2085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69" t="s">
        <v>2086</v>
      </c>
      <c r="O3" s="569"/>
      <c r="P3" s="569"/>
      <c r="Q3" s="569"/>
      <c r="R3" s="569"/>
      <c r="S3" s="569"/>
      <c r="T3" s="569"/>
      <c r="U3" s="569"/>
      <c r="V3" s="569"/>
      <c r="W3" s="569"/>
      <c r="X3" s="569"/>
      <c r="Y3" s="569"/>
      <c r="Z3" s="569"/>
      <c r="AA3" s="569"/>
      <c r="AB3" s="569"/>
      <c r="AC3" s="569"/>
      <c r="AD3" s="569"/>
      <c r="AE3" s="569"/>
      <c r="AF3" s="569"/>
      <c r="AG3" s="569"/>
      <c r="AH3" s="569"/>
      <c r="AI3" s="569"/>
      <c r="AJ3" s="569"/>
      <c r="AK3" s="569"/>
      <c r="AL3" s="569"/>
      <c r="AM3" s="569"/>
      <c r="AN3" s="569"/>
      <c r="AO3" s="569"/>
      <c r="AP3" s="569"/>
      <c r="AQ3" s="569"/>
      <c r="AR3" s="275"/>
      <c r="AS3" s="569" t="s">
        <v>2087</v>
      </c>
      <c r="AT3" s="569"/>
      <c r="AU3" s="569"/>
      <c r="AV3" s="569"/>
      <c r="AW3" s="569"/>
      <c r="AX3" s="569"/>
      <c r="AY3" s="569"/>
      <c r="AZ3" s="569"/>
      <c r="BA3" s="569"/>
      <c r="BB3" s="569"/>
      <c r="BC3" s="569"/>
      <c r="BD3" s="569"/>
      <c r="BE3" s="569"/>
      <c r="BF3" s="569"/>
      <c r="BG3" s="569"/>
      <c r="BH3" s="569"/>
      <c r="BI3" s="569"/>
      <c r="BJ3" s="569"/>
      <c r="BK3" s="569"/>
      <c r="BL3" s="569"/>
      <c r="BM3" s="569"/>
      <c r="BN3" s="569"/>
      <c r="BO3" s="569"/>
      <c r="BP3" s="569"/>
      <c r="BQ3" s="569"/>
      <c r="BR3" s="569"/>
      <c r="BS3" s="569"/>
      <c r="BT3" s="569"/>
      <c r="BU3" s="569"/>
      <c r="BV3" s="569"/>
      <c r="BW3" s="569"/>
      <c r="BX3" s="569" t="s">
        <v>2088</v>
      </c>
      <c r="BY3" s="569"/>
      <c r="BZ3" s="569"/>
      <c r="CA3" s="569"/>
      <c r="CB3" s="569"/>
      <c r="CC3" s="569"/>
      <c r="CD3" s="569"/>
      <c r="CE3" s="569"/>
      <c r="CF3" s="569"/>
      <c r="CG3" s="569"/>
      <c r="CH3" s="569"/>
      <c r="CI3" s="569"/>
      <c r="CJ3" s="569"/>
      <c r="CK3" s="569"/>
      <c r="CL3" s="569"/>
      <c r="CM3" s="569"/>
      <c r="CN3" s="569"/>
      <c r="CO3" s="569"/>
      <c r="CP3" s="569"/>
      <c r="CQ3" s="569"/>
      <c r="CR3" s="569"/>
      <c r="CS3" s="569"/>
      <c r="CT3" s="569"/>
      <c r="CU3" s="569"/>
      <c r="CV3" s="569"/>
      <c r="CW3" s="569"/>
      <c r="CX3" s="569"/>
      <c r="CY3" s="569"/>
      <c r="CZ3" s="569"/>
      <c r="DA3" s="569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2091</v>
      </c>
      <c r="O4" s="233" t="s">
        <v>2092</v>
      </c>
      <c r="P4" s="233" t="s">
        <v>2093</v>
      </c>
      <c r="Q4" s="233" t="s">
        <v>2094</v>
      </c>
      <c r="R4" s="233" t="s">
        <v>2095</v>
      </c>
      <c r="S4" s="233" t="s">
        <v>2089</v>
      </c>
      <c r="T4" s="233" t="s">
        <v>2090</v>
      </c>
      <c r="U4" s="233" t="s">
        <v>2091</v>
      </c>
      <c r="V4" s="233" t="s">
        <v>2092</v>
      </c>
      <c r="W4" s="233" t="s">
        <v>2093</v>
      </c>
      <c r="X4" s="233" t="s">
        <v>2094</v>
      </c>
      <c r="Y4" s="233" t="s">
        <v>2095</v>
      </c>
      <c r="Z4" s="233" t="s">
        <v>2089</v>
      </c>
      <c r="AA4" s="233" t="s">
        <v>2090</v>
      </c>
      <c r="AB4" s="233" t="s">
        <v>2091</v>
      </c>
      <c r="AC4" s="233" t="s">
        <v>2092</v>
      </c>
      <c r="AD4" s="233" t="s">
        <v>2093</v>
      </c>
      <c r="AE4" s="233" t="s">
        <v>2094</v>
      </c>
      <c r="AF4" s="233" t="s">
        <v>2095</v>
      </c>
      <c r="AG4" s="233" t="s">
        <v>2089</v>
      </c>
      <c r="AH4" s="233" t="s">
        <v>2090</v>
      </c>
      <c r="AI4" s="233" t="s">
        <v>2091</v>
      </c>
      <c r="AJ4" s="233" t="s">
        <v>2092</v>
      </c>
      <c r="AK4" s="233" t="s">
        <v>2093</v>
      </c>
      <c r="AL4" s="233" t="s">
        <v>2094</v>
      </c>
      <c r="AM4" s="233" t="s">
        <v>2095</v>
      </c>
      <c r="AN4" s="233" t="s">
        <v>2089</v>
      </c>
      <c r="AO4" s="233" t="s">
        <v>2090</v>
      </c>
      <c r="AP4" s="233" t="s">
        <v>2091</v>
      </c>
      <c r="AQ4" s="233" t="s">
        <v>2092</v>
      </c>
      <c r="AR4" s="233" t="s">
        <v>2093</v>
      </c>
      <c r="AS4" s="233" t="s">
        <v>2094</v>
      </c>
      <c r="AT4" s="233" t="s">
        <v>2095</v>
      </c>
      <c r="AU4" s="233" t="s">
        <v>2089</v>
      </c>
      <c r="AV4" s="233" t="s">
        <v>2090</v>
      </c>
      <c r="AW4" s="233" t="s">
        <v>2091</v>
      </c>
      <c r="AX4" s="233" t="s">
        <v>2092</v>
      </c>
      <c r="AY4" s="233" t="s">
        <v>2093</v>
      </c>
      <c r="AZ4" s="233" t="s">
        <v>2094</v>
      </c>
      <c r="BA4" s="233" t="s">
        <v>2095</v>
      </c>
      <c r="BB4" s="233" t="s">
        <v>2089</v>
      </c>
      <c r="BC4" s="233" t="s">
        <v>2090</v>
      </c>
      <c r="BD4" s="233" t="s">
        <v>2091</v>
      </c>
      <c r="BE4" s="233" t="s">
        <v>2092</v>
      </c>
      <c r="BF4" s="233" t="s">
        <v>2093</v>
      </c>
      <c r="BG4" s="233" t="s">
        <v>2094</v>
      </c>
      <c r="BH4" s="233" t="s">
        <v>2095</v>
      </c>
      <c r="BI4" s="233" t="s">
        <v>2093</v>
      </c>
      <c r="BJ4" s="233" t="s">
        <v>2089</v>
      </c>
      <c r="BK4" s="233" t="s">
        <v>2090</v>
      </c>
      <c r="BL4" s="233" t="s">
        <v>2091</v>
      </c>
      <c r="BM4" s="233" t="s">
        <v>2092</v>
      </c>
      <c r="BN4" s="233" t="s">
        <v>2093</v>
      </c>
      <c r="BO4" s="233" t="s">
        <v>2094</v>
      </c>
      <c r="BP4" s="233" t="s">
        <v>2095</v>
      </c>
      <c r="BQ4" s="233" t="s">
        <v>2089</v>
      </c>
      <c r="BR4" s="233" t="s">
        <v>2090</v>
      </c>
      <c r="BS4" s="233" t="s">
        <v>2091</v>
      </c>
      <c r="BT4" s="233" t="s">
        <v>2092</v>
      </c>
      <c r="BU4" s="233" t="s">
        <v>2093</v>
      </c>
      <c r="BV4" s="233" t="s">
        <v>2094</v>
      </c>
      <c r="BW4" s="233" t="s">
        <v>2095</v>
      </c>
      <c r="BX4" s="233" t="s">
        <v>2089</v>
      </c>
      <c r="BY4" s="233" t="s">
        <v>2090</v>
      </c>
      <c r="BZ4" s="233" t="s">
        <v>2091</v>
      </c>
      <c r="CA4" s="233" t="s">
        <v>2092</v>
      </c>
      <c r="CB4" s="233" t="s">
        <v>2093</v>
      </c>
      <c r="CC4" s="233" t="s">
        <v>2094</v>
      </c>
      <c r="CD4" s="233" t="s">
        <v>2095</v>
      </c>
      <c r="CE4" s="233" t="s">
        <v>2089</v>
      </c>
      <c r="CF4" s="233" t="s">
        <v>2090</v>
      </c>
      <c r="CG4" s="233" t="s">
        <v>2091</v>
      </c>
      <c r="CH4" s="233" t="s">
        <v>2092</v>
      </c>
      <c r="CI4" s="233" t="s">
        <v>2093</v>
      </c>
      <c r="CJ4" s="233" t="s">
        <v>2094</v>
      </c>
      <c r="CK4" s="233" t="s">
        <v>2095</v>
      </c>
      <c r="CL4" s="233" t="s">
        <v>2089</v>
      </c>
      <c r="CM4" s="233" t="s">
        <v>2090</v>
      </c>
      <c r="CN4" s="233" t="s">
        <v>2091</v>
      </c>
      <c r="CO4" s="233" t="s">
        <v>2092</v>
      </c>
      <c r="CP4" s="233" t="s">
        <v>2093</v>
      </c>
      <c r="CQ4" s="233" t="s">
        <v>2094</v>
      </c>
      <c r="CR4" s="233" t="s">
        <v>2095</v>
      </c>
      <c r="CS4" s="233" t="s">
        <v>2089</v>
      </c>
      <c r="CT4" s="233" t="s">
        <v>2090</v>
      </c>
      <c r="CU4" s="233" t="s">
        <v>2091</v>
      </c>
      <c r="CV4" s="233" t="s">
        <v>2092</v>
      </c>
      <c r="CW4" s="233" t="s">
        <v>2093</v>
      </c>
      <c r="CX4" s="233" t="s">
        <v>2094</v>
      </c>
      <c r="CY4" s="233" t="s">
        <v>2095</v>
      </c>
      <c r="CZ4" s="233" t="s">
        <v>2089</v>
      </c>
      <c r="DA4" s="233" t="s">
        <v>2090</v>
      </c>
    </row>
    <row r="5" spans="1:106" ht="28.9" customHeight="1" x14ac:dyDescent="0.25">
      <c r="A5" s="234" t="s">
        <v>2096</v>
      </c>
      <c r="B5" s="235" t="s">
        <v>2097</v>
      </c>
      <c r="C5" s="234" t="s">
        <v>2098</v>
      </c>
      <c r="D5" s="235" t="s">
        <v>2099</v>
      </c>
      <c r="E5" s="235" t="s">
        <v>2100</v>
      </c>
      <c r="F5" s="236" t="s">
        <v>2101</v>
      </c>
      <c r="G5" s="234" t="s">
        <v>2102</v>
      </c>
      <c r="H5" s="234" t="s">
        <v>2103</v>
      </c>
      <c r="I5" s="234" t="s">
        <v>2104</v>
      </c>
      <c r="J5" s="237" t="s">
        <v>2105</v>
      </c>
      <c r="K5" s="237" t="s">
        <v>2552</v>
      </c>
      <c r="L5" s="237" t="s">
        <v>2101</v>
      </c>
      <c r="M5" s="237" t="s">
        <v>2106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20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10">
        <v>1</v>
      </c>
      <c r="B6" s="239" t="s">
        <v>2475</v>
      </c>
      <c r="C6" s="310">
        <v>73261821</v>
      </c>
      <c r="D6" s="240" t="s">
        <v>2523</v>
      </c>
      <c r="E6" s="241" t="s">
        <v>2524</v>
      </c>
      <c r="F6" s="242" t="s">
        <v>2107</v>
      </c>
      <c r="G6" s="243" t="s">
        <v>2108</v>
      </c>
      <c r="H6" s="243" t="s">
        <v>2109</v>
      </c>
      <c r="I6" s="244"/>
      <c r="J6" s="245" t="s">
        <v>2545</v>
      </c>
      <c r="K6" s="245" t="s">
        <v>2553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2546</v>
      </c>
      <c r="Y6" s="246"/>
      <c r="Z6" s="246" t="s">
        <v>2546</v>
      </c>
      <c r="AA6" s="246" t="s">
        <v>2546</v>
      </c>
      <c r="AB6" s="246" t="s">
        <v>2546</v>
      </c>
      <c r="AC6" s="246" t="s">
        <v>2546</v>
      </c>
      <c r="AD6" s="246" t="s">
        <v>2546</v>
      </c>
      <c r="AE6" s="246"/>
      <c r="AF6" s="246"/>
      <c r="AG6" s="246"/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10">
        <v>2</v>
      </c>
      <c r="B7" s="239" t="s">
        <v>2475</v>
      </c>
      <c r="C7" s="310">
        <v>60741098</v>
      </c>
      <c r="D7" s="240" t="s">
        <v>2538</v>
      </c>
      <c r="E7" s="241" t="s">
        <v>2525</v>
      </c>
      <c r="F7" s="247"/>
      <c r="G7" s="248"/>
      <c r="H7" s="243" t="s">
        <v>2109</v>
      </c>
      <c r="I7" s="244"/>
      <c r="J7" s="245" t="s">
        <v>2545</v>
      </c>
      <c r="K7" s="245" t="s">
        <v>2553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2546</v>
      </c>
      <c r="Y7" s="246"/>
      <c r="Z7" s="246" t="s">
        <v>2546</v>
      </c>
      <c r="AA7" s="246" t="s">
        <v>2546</v>
      </c>
      <c r="AB7" s="246" t="s">
        <v>2546</v>
      </c>
      <c r="AC7" s="246" t="s">
        <v>2546</v>
      </c>
      <c r="AD7" s="246" t="s">
        <v>2546</v>
      </c>
      <c r="AE7" s="246"/>
      <c r="AF7" s="246"/>
      <c r="AG7" s="246"/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10">
        <v>3</v>
      </c>
      <c r="B8" s="239" t="s">
        <v>2475</v>
      </c>
      <c r="C8" s="309">
        <v>75715613</v>
      </c>
      <c r="D8" s="240" t="s">
        <v>2539</v>
      </c>
      <c r="E8" s="241" t="s">
        <v>2524</v>
      </c>
      <c r="H8" s="243" t="s">
        <v>2109</v>
      </c>
      <c r="I8" s="244"/>
      <c r="J8" s="245" t="s">
        <v>2545</v>
      </c>
      <c r="K8" s="245" t="s">
        <v>2553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2546</v>
      </c>
      <c r="Y8" s="246"/>
      <c r="Z8" s="246" t="s">
        <v>2546</v>
      </c>
      <c r="AA8" s="246" t="s">
        <v>2546</v>
      </c>
      <c r="AB8" s="246" t="s">
        <v>2546</v>
      </c>
      <c r="AC8" s="246" t="s">
        <v>2546</v>
      </c>
      <c r="AD8" s="246" t="s">
        <v>2546</v>
      </c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10">
        <v>4</v>
      </c>
      <c r="B9" s="239" t="s">
        <v>2475</v>
      </c>
      <c r="C9" s="309">
        <v>73095782</v>
      </c>
      <c r="D9" s="240" t="s">
        <v>2540</v>
      </c>
      <c r="E9" s="241" t="s">
        <v>2526</v>
      </c>
      <c r="H9" s="243" t="s">
        <v>2109</v>
      </c>
      <c r="I9" s="244"/>
      <c r="J9" s="245" t="s">
        <v>2545</v>
      </c>
      <c r="K9" s="245" t="s">
        <v>2553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2546</v>
      </c>
      <c r="Y9" s="246"/>
      <c r="Z9" s="246" t="s">
        <v>2546</v>
      </c>
      <c r="AA9" s="246" t="s">
        <v>2546</v>
      </c>
      <c r="AB9" s="246" t="s">
        <v>2546</v>
      </c>
      <c r="AC9" s="246" t="s">
        <v>2546</v>
      </c>
      <c r="AD9" s="246" t="s">
        <v>2546</v>
      </c>
      <c r="AE9" s="246"/>
      <c r="AF9" s="246"/>
      <c r="AG9" s="246"/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10">
        <v>5</v>
      </c>
      <c r="B10" s="239" t="s">
        <v>2475</v>
      </c>
      <c r="C10" s="309">
        <v>76891111</v>
      </c>
      <c r="D10" s="240" t="s">
        <v>2541</v>
      </c>
      <c r="E10" s="241" t="s">
        <v>2524</v>
      </c>
      <c r="H10" s="243" t="s">
        <v>2109</v>
      </c>
      <c r="I10" s="244"/>
      <c r="J10" s="245" t="s">
        <v>2545</v>
      </c>
      <c r="K10" s="245" t="s">
        <v>2553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2546</v>
      </c>
      <c r="Y10" s="246"/>
      <c r="Z10" s="246" t="s">
        <v>2546</v>
      </c>
      <c r="AA10" s="246" t="s">
        <v>2546</v>
      </c>
      <c r="AB10" s="246" t="s">
        <v>2546</v>
      </c>
      <c r="AC10" s="246" t="s">
        <v>2546</v>
      </c>
      <c r="AD10" s="246" t="s">
        <v>2546</v>
      </c>
      <c r="AE10" s="246"/>
      <c r="AF10" s="246"/>
      <c r="AG10" s="246"/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10">
        <v>6</v>
      </c>
      <c r="B11" s="239" t="s">
        <v>2475</v>
      </c>
      <c r="C11" s="309">
        <v>74562849</v>
      </c>
      <c r="D11" s="240" t="s">
        <v>2542</v>
      </c>
      <c r="E11" s="241" t="s">
        <v>2525</v>
      </c>
      <c r="H11" s="243" t="s">
        <v>2109</v>
      </c>
      <c r="I11" s="244"/>
      <c r="J11" s="245" t="s">
        <v>2545</v>
      </c>
      <c r="K11" s="245" t="s">
        <v>2553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2546</v>
      </c>
      <c r="Y11" s="246"/>
      <c r="Z11" s="246" t="s">
        <v>2546</v>
      </c>
      <c r="AA11" s="246" t="s">
        <v>2546</v>
      </c>
      <c r="AB11" s="246" t="s">
        <v>2546</v>
      </c>
      <c r="AC11" s="246" t="s">
        <v>2546</v>
      </c>
      <c r="AD11" s="246" t="s">
        <v>2546</v>
      </c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10">
        <v>7</v>
      </c>
      <c r="B12" s="239" t="s">
        <v>2475</v>
      </c>
      <c r="C12" s="309">
        <v>43141186</v>
      </c>
      <c r="D12" s="240" t="s">
        <v>2543</v>
      </c>
      <c r="E12" s="241" t="s">
        <v>2527</v>
      </c>
      <c r="H12" s="243" t="s">
        <v>2109</v>
      </c>
      <c r="I12" s="244"/>
      <c r="J12" s="245" t="s">
        <v>2545</v>
      </c>
      <c r="K12" s="245" t="s">
        <v>2553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2546</v>
      </c>
      <c r="Y12" s="246"/>
      <c r="Z12" s="246" t="s">
        <v>2546</v>
      </c>
      <c r="AA12" s="246" t="s">
        <v>2546</v>
      </c>
      <c r="AB12" s="246" t="s">
        <v>2546</v>
      </c>
      <c r="AC12" s="246" t="s">
        <v>2546</v>
      </c>
      <c r="AD12" s="246" t="s">
        <v>2546</v>
      </c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10">
        <v>8</v>
      </c>
      <c r="B13" s="239" t="s">
        <v>2475</v>
      </c>
      <c r="C13" s="309">
        <v>71831041</v>
      </c>
      <c r="D13" s="240" t="s">
        <v>2544</v>
      </c>
      <c r="E13" s="241" t="s">
        <v>2527</v>
      </c>
      <c r="H13" s="243" t="s">
        <v>2109</v>
      </c>
      <c r="I13" s="244"/>
      <c r="J13" s="245" t="s">
        <v>2545</v>
      </c>
      <c r="K13" s="245" t="s">
        <v>2553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2546</v>
      </c>
      <c r="Y13" s="246"/>
      <c r="Z13" s="246" t="s">
        <v>2546</v>
      </c>
      <c r="AA13" s="246" t="s">
        <v>2546</v>
      </c>
      <c r="AB13" s="246" t="s">
        <v>2546</v>
      </c>
      <c r="AC13" s="246" t="s">
        <v>2546</v>
      </c>
      <c r="AD13" s="246" t="s">
        <v>2546</v>
      </c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10">
        <v>9</v>
      </c>
      <c r="B14" s="239" t="s">
        <v>2475</v>
      </c>
      <c r="C14" s="309">
        <v>21520749</v>
      </c>
      <c r="D14" s="240" t="s">
        <v>2528</v>
      </c>
      <c r="E14" s="241" t="s">
        <v>2529</v>
      </c>
      <c r="H14" s="243" t="s">
        <v>2109</v>
      </c>
      <c r="I14" s="244"/>
      <c r="J14" s="245" t="s">
        <v>2545</v>
      </c>
      <c r="K14" s="245" t="s">
        <v>2553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2546</v>
      </c>
      <c r="Y14" s="246"/>
      <c r="Z14" s="246" t="s">
        <v>2546</v>
      </c>
      <c r="AA14" s="246" t="s">
        <v>2546</v>
      </c>
      <c r="AB14" s="246" t="s">
        <v>2546</v>
      </c>
      <c r="AC14" s="246" t="s">
        <v>2546</v>
      </c>
      <c r="AD14" s="246" t="s">
        <v>2546</v>
      </c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10">
        <v>10</v>
      </c>
      <c r="B15" s="239" t="s">
        <v>2475</v>
      </c>
      <c r="C15" s="309">
        <v>48380481</v>
      </c>
      <c r="D15" s="240" t="s">
        <v>2530</v>
      </c>
      <c r="E15" s="241" t="s">
        <v>2531</v>
      </c>
      <c r="H15" s="243" t="s">
        <v>2109</v>
      </c>
      <c r="I15" s="244"/>
      <c r="J15" s="245" t="s">
        <v>2545</v>
      </c>
      <c r="K15" s="245" t="s">
        <v>2553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2546</v>
      </c>
      <c r="Y15" s="246"/>
      <c r="Z15" s="246" t="s">
        <v>2546</v>
      </c>
      <c r="AA15" s="246" t="s">
        <v>2546</v>
      </c>
      <c r="AB15" s="246" t="s">
        <v>2546</v>
      </c>
      <c r="AC15" s="246" t="s">
        <v>2546</v>
      </c>
      <c r="AD15" s="246" t="s">
        <v>2546</v>
      </c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10">
        <v>11</v>
      </c>
      <c r="B16" s="239" t="s">
        <v>2475</v>
      </c>
      <c r="C16" s="309">
        <v>76068227</v>
      </c>
      <c r="D16" s="240" t="s">
        <v>2532</v>
      </c>
      <c r="E16" s="241" t="s">
        <v>2474</v>
      </c>
      <c r="H16" s="243" t="s">
        <v>2109</v>
      </c>
      <c r="I16" s="244"/>
      <c r="J16" s="245" t="s">
        <v>2545</v>
      </c>
      <c r="K16" s="245" t="s">
        <v>2553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2546</v>
      </c>
      <c r="Y16" s="246"/>
      <c r="Z16" s="246" t="s">
        <v>2546</v>
      </c>
      <c r="AA16" s="246" t="s">
        <v>2546</v>
      </c>
      <c r="AB16" s="246" t="s">
        <v>2546</v>
      </c>
      <c r="AC16" s="246" t="s">
        <v>2546</v>
      </c>
      <c r="AD16" s="246" t="s">
        <v>2546</v>
      </c>
      <c r="AE16" s="246"/>
      <c r="AF16" s="246"/>
      <c r="AG16" s="246"/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10">
        <v>12</v>
      </c>
      <c r="B17" s="239" t="s">
        <v>2475</v>
      </c>
      <c r="C17" s="309">
        <v>47665722</v>
      </c>
      <c r="D17" s="240" t="s">
        <v>2533</v>
      </c>
      <c r="E17" s="241" t="s">
        <v>2550</v>
      </c>
      <c r="H17" s="243" t="s">
        <v>2109</v>
      </c>
      <c r="I17" s="244"/>
      <c r="J17" s="245" t="s">
        <v>2545</v>
      </c>
      <c r="K17" s="245" t="s">
        <v>2553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2546</v>
      </c>
      <c r="Y17" s="246"/>
      <c r="Z17" s="246" t="s">
        <v>2551</v>
      </c>
      <c r="AA17" s="246" t="s">
        <v>2546</v>
      </c>
      <c r="AB17" s="246" t="s">
        <v>2546</v>
      </c>
      <c r="AC17" s="246" t="s">
        <v>2546</v>
      </c>
      <c r="AD17" s="246" t="s">
        <v>2546</v>
      </c>
      <c r="AE17" s="246"/>
      <c r="AF17" s="246"/>
      <c r="AG17" s="246"/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10">
        <v>13</v>
      </c>
      <c r="B18" s="239" t="s">
        <v>2475</v>
      </c>
      <c r="C18" s="309">
        <v>41531893</v>
      </c>
      <c r="D18" s="240" t="s">
        <v>2534</v>
      </c>
      <c r="E18" s="241" t="s">
        <v>2535</v>
      </c>
      <c r="H18" s="243" t="s">
        <v>2109</v>
      </c>
      <c r="I18" s="244"/>
      <c r="J18" s="245" t="s">
        <v>2545</v>
      </c>
      <c r="K18" s="245" t="s">
        <v>2553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2546</v>
      </c>
      <c r="Y18" s="246"/>
      <c r="Z18" s="246" t="s">
        <v>2546</v>
      </c>
      <c r="AA18" s="246" t="s">
        <v>2546</v>
      </c>
      <c r="AB18" s="246" t="s">
        <v>2546</v>
      </c>
      <c r="AC18" s="246" t="s">
        <v>2546</v>
      </c>
      <c r="AD18" s="246" t="s">
        <v>2546</v>
      </c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10">
        <v>14</v>
      </c>
      <c r="B19" s="239" t="s">
        <v>2475</v>
      </c>
      <c r="C19" s="309">
        <v>70521512</v>
      </c>
      <c r="D19" s="240" t="s">
        <v>2536</v>
      </c>
      <c r="E19" s="241" t="s">
        <v>2537</v>
      </c>
      <c r="H19" s="243" t="s">
        <v>2109</v>
      </c>
      <c r="I19" s="244"/>
      <c r="J19" s="245" t="s">
        <v>2545</v>
      </c>
      <c r="K19" s="245" t="s">
        <v>2553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2546</v>
      </c>
      <c r="Y19" s="246"/>
      <c r="Z19" s="246" t="s">
        <v>2546</v>
      </c>
      <c r="AA19" s="246" t="s">
        <v>2546</v>
      </c>
      <c r="AB19" s="246" t="s">
        <v>2546</v>
      </c>
      <c r="AC19" s="246" t="s">
        <v>2546</v>
      </c>
      <c r="AD19" s="246" t="s">
        <v>2546</v>
      </c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2486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1" priority="5"/>
    <cfRule type="duplicateValues" dxfId="70" priority="6"/>
    <cfRule type="duplicateValues" dxfId="69" priority="7"/>
  </conditionalFormatting>
  <conditionalFormatting sqref="C5">
    <cfRule type="duplicateValues" dxfId="68" priority="3477"/>
  </conditionalFormatting>
  <conditionalFormatting sqref="C6:C19">
    <cfRule type="duplicateValues" dxfId="67" priority="3478"/>
    <cfRule type="duplicateValues" dxfId="66" priority="3479"/>
    <cfRule type="duplicateValues" dxfId="65" priority="3480"/>
  </conditionalFormatting>
  <conditionalFormatting sqref="C20:C1048576 C1:C5">
    <cfRule type="duplicateValues" dxfId="64" priority="3444"/>
    <cfRule type="duplicateValues" dxfId="63" priority="3445"/>
    <cfRule type="duplicateValues" dxfId="62" priority="3446"/>
    <cfRule type="duplicateValues" dxfId="61" priority="3447"/>
    <cfRule type="duplicateValues" dxfId="60" priority="3448"/>
    <cfRule type="duplicateValues" dxfId="59" priority="3449"/>
  </conditionalFormatting>
  <conditionalFormatting sqref="D6:D19">
    <cfRule type="duplicateValues" dxfId="58" priority="3490"/>
  </conditionalFormatting>
  <conditionalFormatting sqref="D20:D418">
    <cfRule type="duplicateValues" dxfId="57" priority="3442"/>
  </conditionalFormatting>
  <conditionalFormatting sqref="D20:D1048576 D1:D5">
    <cfRule type="duplicateValues" dxfId="56" priority="3441"/>
  </conditionalFormatting>
  <conditionalFormatting sqref="L6:DA19">
    <cfRule type="containsText" dxfId="55" priority="3023" operator="containsText" text="DM">
      <formula>NOT(ISERROR(SEARCH("DM",L6)))</formula>
    </cfRule>
    <cfRule type="containsText" dxfId="54" priority="3024" operator="containsText" text="LP">
      <formula>NOT(ISERROR(SEARCH("LP",L6)))</formula>
    </cfRule>
    <cfRule type="containsText" dxfId="53" priority="3025" operator="containsText" text="PL">
      <formula>NOT(ISERROR(SEARCH("PL",L6)))</formula>
    </cfRule>
    <cfRule type="containsText" dxfId="52" priority="3026" operator="containsText" text="DL">
      <formula>NOT(ISERROR(SEARCH("DL",L6)))</formula>
    </cfRule>
    <cfRule type="containsText" dxfId="51" priority="3027" operator="containsText" text="DM">
      <formula>NOT(ISERROR(SEARCH("DM",L6)))</formula>
    </cfRule>
    <cfRule type="containsText" dxfId="50" priority="3028" operator="containsText" text="DM">
      <formula>NOT(ISERROR(SEARCH("DM",L6)))</formula>
    </cfRule>
    <cfRule type="containsText" dxfId="49" priority="3029" operator="containsText" text="DM">
      <formula>NOT(ISERROR(SEARCH("DM",L6)))</formula>
    </cfRule>
    <cfRule type="containsText" dxfId="48" priority="3030" operator="containsText" text="VC">
      <formula>NOT(ISERROR(SEARCH("VC",L6)))</formula>
    </cfRule>
    <cfRule type="containsText" dxfId="47" priority="3031" operator="containsText" text="DL">
      <formula>NOT(ISERROR(SEARCH("DL",L6)))</formula>
    </cfRule>
    <cfRule type="containsText" dxfId="46" priority="3032" operator="containsText" text="LP">
      <formula>NOT(ISERROR(SEARCH("LP",L6)))</formula>
    </cfRule>
    <cfRule type="containsText" dxfId="45" priority="3033" operator="containsText" text="PL">
      <formula>NOT(ISERROR(SEARCH("PL",L6)))</formula>
    </cfRule>
    <cfRule type="containsText" dxfId="44" priority="3034" operator="containsText" text="DM">
      <formula>NOT(ISERROR(SEARCH("DM",L6)))</formula>
    </cfRule>
    <cfRule type="containsText" dxfId="43" priority="3035" operator="containsText" text="VC">
      <formula>NOT(ISERROR(SEARCH("VC",L6)))</formula>
    </cfRule>
    <cfRule type="containsText" dxfId="42" priority="3036" operator="containsText" text="DL">
      <formula>NOT(ISERROR(SEARCH("DL",L6)))</formula>
    </cfRule>
    <cfRule type="containsText" dxfId="41" priority="3037" operator="containsText" text="DM">
      <formula>NOT(ISERROR(SEARCH("DM",L6)))</formula>
    </cfRule>
    <cfRule type="containsText" dxfId="40" priority="3038" operator="containsText" text="DM">
      <formula>NOT(ISERROR(SEARCH("DM",L6)))</formula>
    </cfRule>
    <cfRule type="containsText" dxfId="39" priority="3039" operator="containsText" text="DM">
      <formula>NOT(ISERROR(SEARCH("DM",L6)))</formula>
    </cfRule>
    <cfRule type="containsText" dxfId="38" priority="3040" operator="containsText" text="VC">
      <formula>NOT(ISERROR(SEARCH("VC",L6)))</formula>
    </cfRule>
    <cfRule type="containsText" dxfId="37" priority="3041" operator="containsText" text="DL">
      <formula>NOT(ISERROR(SEARCH("DL",L6)))</formula>
    </cfRule>
    <cfRule type="containsText" dxfId="36" priority="3042" operator="containsText" text="LP">
      <formula>NOT(ISERROR(SEARCH("LP",L6)))</formula>
    </cfRule>
    <cfRule type="containsText" dxfId="35" priority="3043" operator="containsText" text="PL">
      <formula>NOT(ISERROR(SEARCH("PL",L6)))</formula>
    </cfRule>
    <cfRule type="containsText" dxfId="34" priority="3044" operator="containsText" text="DM">
      <formula>NOT(ISERROR(SEARCH("DM",L6)))</formula>
    </cfRule>
    <cfRule type="containsText" dxfId="33" priority="3045" operator="containsText" text="VC">
      <formula>NOT(ISERROR(SEARCH("VC",L6)))</formula>
    </cfRule>
    <cfRule type="containsText" dxfId="32" priority="3046" operator="containsText" text="DL">
      <formula>NOT(ISERROR(SEARCH("DL",L6)))</formula>
    </cfRule>
    <cfRule type="containsText" dxfId="31" priority="3047" operator="containsText" text="LP">
      <formula>NOT(ISERROR(SEARCH("LP",L6)))</formula>
    </cfRule>
    <cfRule type="containsText" dxfId="30" priority="3048" operator="containsText" text="PL">
      <formula>NOT(ISERROR(SEARCH("PL",L6)))</formula>
    </cfRule>
    <cfRule type="containsText" dxfId="29" priority="3049" operator="containsText" text="DM">
      <formula>NOT(ISERROR(SEARCH("DM",L6)))</formula>
    </cfRule>
    <cfRule type="containsText" dxfId="28" priority="3050" operator="containsText" text="DM">
      <formula>NOT(ISERROR(SEARCH("DM",L6)))</formula>
    </cfRule>
    <cfRule type="containsText" dxfId="27" priority="3051" operator="containsText" text="DM">
      <formula>NOT(ISERROR(SEARCH("DM",L6)))</formula>
    </cfRule>
    <cfRule type="containsText" dxfId="26" priority="3052" operator="containsText" text="VC">
      <formula>NOT(ISERROR(SEARCH("VC",L6)))</formula>
    </cfRule>
    <cfRule type="containsText" dxfId="25" priority="3053" operator="containsText" text="DL">
      <formula>NOT(ISERROR(SEARCH("DL",L6)))</formula>
    </cfRule>
    <cfRule type="containsText" dxfId="24" priority="3054" operator="containsText" text="DM">
      <formula>NOT(ISERROR(SEARCH("DM",L6)))</formula>
    </cfRule>
    <cfRule type="containsText" dxfId="23" priority="3055" operator="containsText" text="VC">
      <formula>NOT(ISERROR(SEARCH("VC",L6)))</formula>
    </cfRule>
    <cfRule type="containsText" dxfId="22" priority="3056" operator="containsText" text="DL">
      <formula>NOT(ISERROR(SEARCH("DL",L6)))</formula>
    </cfRule>
    <cfRule type="containsText" dxfId="21" priority="3057" operator="containsText" text="LP">
      <formula>NOT(ISERROR(SEARCH("LP",L6)))</formula>
    </cfRule>
    <cfRule type="containsText" dxfId="20" priority="3058" operator="containsText" text="PL">
      <formula>NOT(ISERROR(SEARCH("PL",L6)))</formula>
    </cfRule>
    <cfRule type="containsText" dxfId="19" priority="3059" operator="containsText" text="DM">
      <formula>NOT(ISERROR(SEARCH("DM",L6)))</formula>
    </cfRule>
    <cfRule type="containsText" dxfId="18" priority="3060" operator="containsText" text="VC">
      <formula>NOT(ISERROR(SEARCH("VC",L6)))</formula>
    </cfRule>
    <cfRule type="containsText" dxfId="17" priority="3061" operator="containsText" text="DL">
      <formula>NOT(ISERROR(SEARCH("DL",L6)))</formula>
    </cfRule>
    <cfRule type="containsText" dxfId="16" priority="3062" operator="containsText" text="DM">
      <formula>NOT(ISERROR(SEARCH("DM",L6)))</formula>
    </cfRule>
    <cfRule type="containsText" dxfId="15" priority="3063" operator="containsText" text="DM">
      <formula>NOT(ISERROR(SEARCH("DM",L6)))</formula>
    </cfRule>
    <cfRule type="containsText" dxfId="14" priority="3064" operator="containsText" text="DM">
      <formula>NOT(ISERROR(SEARCH("DM",L6)))</formula>
    </cfRule>
    <cfRule type="containsText" dxfId="13" priority="3065" operator="containsText" text="DM">
      <formula>NOT(ISERROR(SEARCH("DM",L6)))</formula>
    </cfRule>
    <cfRule type="containsText" dxfId="12" priority="3066" operator="containsText" text="VC">
      <formula>NOT(ISERROR(SEARCH("VC",L6)))</formula>
    </cfRule>
    <cfRule type="containsText" dxfId="11" priority="3067" operator="containsText" text="LP">
      <formula>NOT(ISERROR(SEARCH("LP",L6)))</formula>
    </cfRule>
    <cfRule type="containsText" dxfId="10" priority="3068" operator="containsText" text="PL">
      <formula>NOT(ISERROR(SEARCH("PL",L6)))</formula>
    </cfRule>
    <cfRule type="containsText" dxfId="9" priority="3069" operator="containsText" text="DM">
      <formula>NOT(ISERROR(SEARCH("DM",L6)))</formula>
    </cfRule>
    <cfRule type="containsText" dxfId="8" priority="3070" operator="containsText" text="VC">
      <formula>NOT(ISERROR(SEARCH("VC",L6)))</formula>
    </cfRule>
    <cfRule type="containsText" dxfId="7" priority="3071" operator="containsText" text="DL">
      <formula>NOT(ISERROR(SEARCH("DL",L6)))</formula>
    </cfRule>
    <cfRule type="containsText" dxfId="6" priority="3072" operator="containsText" text="DM">
      <formula>NOT(ISERROR(SEARCH("DM",L6)))</formula>
    </cfRule>
    <cfRule type="containsText" dxfId="5" priority="3073" operator="containsText" text="DM">
      <formula>NOT(ISERROR(SEARCH("DM",L6)))</formula>
    </cfRule>
    <cfRule type="containsText" dxfId="4" priority="3074" operator="containsText" text="VC">
      <formula>NOT(ISERROR(SEARCH("VC",L6)))</formula>
    </cfRule>
    <cfRule type="containsText" dxfId="3" priority="3075" operator="containsText" text="DL">
      <formula>NOT(ISERROR(SEARCH("DL",L6)))</formula>
    </cfRule>
    <cfRule type="containsText" dxfId="2" priority="3387" operator="containsText" text="DM">
      <formula>NOT(ISERROR(SEARCH("DM",L6)))</formula>
    </cfRule>
  </conditionalFormatting>
  <conditionalFormatting sqref="X6:DA19">
    <cfRule type="containsText" dxfId="1" priority="1" operator="containsText" text="F">
      <formula>NOT(ISERROR(SEARCH("F",X6)))</formula>
    </cfRule>
    <cfRule type="containsText" dxfId="0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</row>
    <row r="2" spans="1:7" ht="12.4" customHeight="1" x14ac:dyDescent="0.25">
      <c r="A2" s="573"/>
      <c r="B2" s="573"/>
      <c r="C2" s="573"/>
      <c r="D2" s="574"/>
      <c r="E2" s="570"/>
      <c r="F2" s="570"/>
    </row>
    <row r="3" spans="1:7" x14ac:dyDescent="0.25">
      <c r="A3" s="73" t="s">
        <v>192</v>
      </c>
      <c r="B3" s="73" t="s">
        <v>193</v>
      </c>
      <c r="C3" s="73"/>
      <c r="D3" s="73"/>
      <c r="E3" s="74"/>
      <c r="F3" s="74"/>
    </row>
    <row r="4" spans="1:7" x14ac:dyDescent="0.25">
      <c r="A4" s="75" t="s">
        <v>194</v>
      </c>
      <c r="B4" s="75" t="s">
        <v>195</v>
      </c>
      <c r="C4" s="75"/>
      <c r="D4" s="75"/>
      <c r="E4" s="76"/>
      <c r="F4" s="76"/>
    </row>
    <row r="5" spans="1:7" outlineLevel="1" x14ac:dyDescent="0.25">
      <c r="A5" s="77" t="s">
        <v>196</v>
      </c>
      <c r="B5" s="77" t="s">
        <v>197</v>
      </c>
      <c r="C5" s="77"/>
      <c r="D5" s="77"/>
      <c r="E5" s="78"/>
      <c r="F5" s="78"/>
    </row>
    <row r="6" spans="1:7" outlineLevel="1" x14ac:dyDescent="0.25">
      <c r="A6" s="79" t="s">
        <v>198</v>
      </c>
      <c r="B6" s="79" t="s">
        <v>199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200</v>
      </c>
      <c r="B7" s="79" t="s">
        <v>201</v>
      </c>
      <c r="C7" s="79" t="s">
        <v>202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203</v>
      </c>
      <c r="B8" s="77" t="s">
        <v>204</v>
      </c>
      <c r="C8" s="77"/>
      <c r="D8" s="80"/>
      <c r="E8" s="78"/>
      <c r="F8" s="78"/>
    </row>
    <row r="9" spans="1:7" outlineLevel="1" x14ac:dyDescent="0.25">
      <c r="A9" s="79" t="s">
        <v>205</v>
      </c>
      <c r="B9" s="79" t="s">
        <v>206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207</v>
      </c>
      <c r="B10" s="79" t="s">
        <v>208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209</v>
      </c>
      <c r="B11" s="77" t="s">
        <v>210</v>
      </c>
      <c r="C11" s="77"/>
      <c r="D11" s="82"/>
      <c r="E11" s="78"/>
      <c r="F11" s="78"/>
      <c r="G11" s="83"/>
    </row>
    <row r="12" spans="1:7" outlineLevel="1" x14ac:dyDescent="0.25">
      <c r="A12" s="79" t="s">
        <v>211</v>
      </c>
      <c r="B12" s="79" t="s">
        <v>212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213</v>
      </c>
      <c r="B13" s="75" t="s">
        <v>214</v>
      </c>
      <c r="C13" s="75"/>
      <c r="D13" s="82"/>
      <c r="E13" s="76"/>
      <c r="F13" s="76"/>
      <c r="G13" s="83"/>
    </row>
    <row r="14" spans="1:7" outlineLevel="1" x14ac:dyDescent="0.25">
      <c r="A14" s="77" t="s">
        <v>215</v>
      </c>
      <c r="B14" s="77" t="s">
        <v>216</v>
      </c>
      <c r="C14" s="77"/>
      <c r="D14" s="82"/>
      <c r="E14" s="78"/>
      <c r="F14" s="78"/>
      <c r="G14" s="83"/>
    </row>
    <row r="15" spans="1:7" outlineLevel="1" x14ac:dyDescent="0.25">
      <c r="A15" s="79" t="s">
        <v>217</v>
      </c>
      <c r="B15" s="79" t="s">
        <v>218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219</v>
      </c>
      <c r="B16" s="79" t="s">
        <v>220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221</v>
      </c>
      <c r="B17" s="79" t="s">
        <v>222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223</v>
      </c>
      <c r="B18" s="77" t="s">
        <v>224</v>
      </c>
      <c r="C18" s="77"/>
      <c r="D18" s="82"/>
      <c r="E18" s="78"/>
      <c r="F18" s="78"/>
      <c r="G18" s="83"/>
    </row>
    <row r="19" spans="1:7" outlineLevel="1" x14ac:dyDescent="0.25">
      <c r="A19" s="79" t="s">
        <v>225</v>
      </c>
      <c r="B19" s="79" t="s">
        <v>226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227</v>
      </c>
      <c r="B20" s="77" t="s">
        <v>228</v>
      </c>
      <c r="C20" s="77"/>
      <c r="D20" s="82"/>
      <c r="E20" s="78"/>
      <c r="F20" s="78"/>
      <c r="G20" s="83"/>
    </row>
    <row r="21" spans="1:7" outlineLevel="1" x14ac:dyDescent="0.25">
      <c r="A21" s="79" t="s">
        <v>229</v>
      </c>
      <c r="B21" s="79" t="s">
        <v>230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231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232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233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234</v>
      </c>
      <c r="B25" s="77" t="s">
        <v>235</v>
      </c>
      <c r="C25" s="77"/>
      <c r="D25" s="82"/>
      <c r="E25" s="78"/>
      <c r="F25" s="78"/>
      <c r="G25" s="83"/>
    </row>
    <row r="26" spans="1:7" outlineLevel="1" x14ac:dyDescent="0.25">
      <c r="A26" s="79" t="s">
        <v>236</v>
      </c>
      <c r="B26" s="79" t="s">
        <v>237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238</v>
      </c>
      <c r="B27" s="77" t="s">
        <v>239</v>
      </c>
      <c r="C27" s="77"/>
      <c r="D27" s="82"/>
      <c r="E27" s="78"/>
      <c r="F27" s="78"/>
      <c r="G27" s="83"/>
    </row>
    <row r="28" spans="1:7" outlineLevel="1" x14ac:dyDescent="0.25">
      <c r="A28" s="79" t="s">
        <v>240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241</v>
      </c>
      <c r="B29" s="77" t="s">
        <v>242</v>
      </c>
      <c r="C29" s="77"/>
      <c r="D29" s="82"/>
      <c r="E29" s="78"/>
      <c r="F29" s="78"/>
      <c r="G29" s="83"/>
    </row>
    <row r="30" spans="1:7" outlineLevel="1" x14ac:dyDescent="0.25">
      <c r="A30" s="85" t="s">
        <v>243</v>
      </c>
      <c r="B30" s="85" t="s">
        <v>244</v>
      </c>
      <c r="C30" s="85"/>
      <c r="D30" s="82"/>
      <c r="E30" s="86"/>
      <c r="F30" s="86"/>
      <c r="G30" s="83"/>
    </row>
    <row r="31" spans="1:7" outlineLevel="1" x14ac:dyDescent="0.25">
      <c r="A31" s="79" t="s">
        <v>245</v>
      </c>
      <c r="B31" s="79" t="s">
        <v>246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247</v>
      </c>
      <c r="B32" s="79" t="s">
        <v>248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249</v>
      </c>
      <c r="B33" s="79" t="s">
        <v>250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251</v>
      </c>
      <c r="B34" s="79" t="s">
        <v>252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253</v>
      </c>
      <c r="B35" s="85" t="s">
        <v>254</v>
      </c>
      <c r="C35" s="85"/>
      <c r="D35" s="82"/>
      <c r="E35" s="86"/>
      <c r="F35" s="86"/>
      <c r="G35" s="83"/>
    </row>
    <row r="36" spans="1:7" outlineLevel="1" x14ac:dyDescent="0.25">
      <c r="A36" s="79" t="s">
        <v>255</v>
      </c>
      <c r="B36" s="79" t="s">
        <v>250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256</v>
      </c>
      <c r="B37" s="79" t="s">
        <v>252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257</v>
      </c>
      <c r="B38" s="77" t="s">
        <v>258</v>
      </c>
      <c r="C38" s="77"/>
      <c r="D38" s="82"/>
      <c r="E38" s="78"/>
      <c r="F38" s="78"/>
      <c r="G38" s="84"/>
    </row>
    <row r="39" spans="1:7" outlineLevel="1" x14ac:dyDescent="0.25">
      <c r="A39" s="85" t="s">
        <v>259</v>
      </c>
      <c r="B39" s="85" t="s">
        <v>260</v>
      </c>
      <c r="C39" s="85"/>
      <c r="D39" s="82"/>
      <c r="E39" s="86"/>
      <c r="F39" s="86"/>
      <c r="G39" s="84"/>
    </row>
    <row r="40" spans="1:7" outlineLevel="1" x14ac:dyDescent="0.25">
      <c r="A40" s="79" t="s">
        <v>261</v>
      </c>
      <c r="B40" s="79" t="s">
        <v>262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263</v>
      </c>
      <c r="B41" s="79" t="s">
        <v>264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265</v>
      </c>
      <c r="B42" s="79" t="s">
        <v>266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267</v>
      </c>
      <c r="B43" s="85" t="s">
        <v>268</v>
      </c>
      <c r="C43" s="85"/>
      <c r="D43" s="82"/>
      <c r="E43" s="86"/>
      <c r="F43" s="86"/>
      <c r="G43" s="84"/>
    </row>
    <row r="44" spans="1:7" outlineLevel="1" x14ac:dyDescent="0.25">
      <c r="A44" s="79" t="s">
        <v>269</v>
      </c>
      <c r="B44" s="79" t="s">
        <v>270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271</v>
      </c>
      <c r="B45" s="79" t="s">
        <v>272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273</v>
      </c>
      <c r="B46" s="79" t="s">
        <v>266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274</v>
      </c>
      <c r="B47" s="85" t="s">
        <v>275</v>
      </c>
      <c r="C47" s="85"/>
      <c r="D47" s="82"/>
      <c r="E47" s="86"/>
      <c r="F47" s="86"/>
      <c r="G47" s="84"/>
    </row>
    <row r="48" spans="1:7" outlineLevel="1" x14ac:dyDescent="0.25">
      <c r="A48" s="79" t="s">
        <v>276</v>
      </c>
      <c r="B48" s="79" t="s">
        <v>262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277</v>
      </c>
      <c r="B49" s="79" t="s">
        <v>266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278</v>
      </c>
      <c r="B50" s="85" t="s">
        <v>279</v>
      </c>
      <c r="C50" s="85"/>
      <c r="D50" s="82"/>
      <c r="E50" s="86"/>
      <c r="F50" s="86"/>
      <c r="G50" s="84"/>
    </row>
    <row r="51" spans="1:7" outlineLevel="1" x14ac:dyDescent="0.25">
      <c r="A51" s="79" t="s">
        <v>280</v>
      </c>
      <c r="B51" s="79" t="s">
        <v>281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282</v>
      </c>
      <c r="B52" s="79" t="s">
        <v>272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283</v>
      </c>
      <c r="B53" s="79" t="s">
        <v>266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284</v>
      </c>
      <c r="B54" s="85" t="s">
        <v>285</v>
      </c>
      <c r="C54" s="85"/>
      <c r="D54" s="82"/>
      <c r="E54" s="86"/>
      <c r="F54" s="86"/>
      <c r="G54" s="84"/>
    </row>
    <row r="55" spans="1:7" outlineLevel="1" x14ac:dyDescent="0.25">
      <c r="A55" s="79" t="s">
        <v>286</v>
      </c>
      <c r="B55" s="79" t="s">
        <v>281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287</v>
      </c>
      <c r="B56" s="79" t="s">
        <v>264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288</v>
      </c>
      <c r="B57" s="79" t="s">
        <v>272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289</v>
      </c>
      <c r="B58" s="79" t="s">
        <v>290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291</v>
      </c>
      <c r="B59" s="79" t="s">
        <v>266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292</v>
      </c>
      <c r="B60" s="75" t="s">
        <v>293</v>
      </c>
      <c r="C60" s="75"/>
      <c r="D60" s="82"/>
      <c r="E60" s="76"/>
      <c r="F60" s="76"/>
      <c r="G60" s="83"/>
    </row>
    <row r="61" spans="1:7" outlineLevel="1" x14ac:dyDescent="0.25">
      <c r="A61" s="77" t="s">
        <v>294</v>
      </c>
      <c r="B61" s="77" t="s">
        <v>295</v>
      </c>
      <c r="C61" s="77"/>
      <c r="D61" s="82"/>
      <c r="E61" s="78"/>
      <c r="F61" s="78"/>
      <c r="G61" s="83"/>
    </row>
    <row r="62" spans="1:7" outlineLevel="1" x14ac:dyDescent="0.25">
      <c r="A62" s="79" t="s">
        <v>296</v>
      </c>
      <c r="B62" s="79" t="s">
        <v>297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298</v>
      </c>
      <c r="B63" s="79" t="s">
        <v>299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300</v>
      </c>
      <c r="B64" s="79" t="s">
        <v>301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302</v>
      </c>
      <c r="B65" s="79" t="s">
        <v>303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304</v>
      </c>
      <c r="B66" s="77" t="s">
        <v>305</v>
      </c>
      <c r="C66" s="77"/>
      <c r="D66" s="82"/>
      <c r="E66" s="78"/>
      <c r="F66" s="78"/>
      <c r="G66" s="83"/>
    </row>
    <row r="67" spans="1:7" outlineLevel="1" x14ac:dyDescent="0.25">
      <c r="A67" s="79" t="s">
        <v>306</v>
      </c>
      <c r="B67" s="79" t="s">
        <v>297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307</v>
      </c>
      <c r="B68" s="79" t="s">
        <v>299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308</v>
      </c>
      <c r="B69" s="79" t="s">
        <v>301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309</v>
      </c>
      <c r="B70" s="79" t="s">
        <v>303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310</v>
      </c>
      <c r="B71" s="77" t="s">
        <v>311</v>
      </c>
      <c r="C71" s="77"/>
      <c r="D71" s="82"/>
      <c r="E71" s="78"/>
      <c r="F71" s="78"/>
      <c r="G71" s="83"/>
    </row>
    <row r="72" spans="1:7" outlineLevel="1" x14ac:dyDescent="0.25">
      <c r="A72" s="79" t="s">
        <v>312</v>
      </c>
      <c r="B72" s="79" t="s">
        <v>313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314</v>
      </c>
      <c r="B73" s="79" t="s">
        <v>297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315</v>
      </c>
      <c r="B74" s="79" t="s">
        <v>316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317</v>
      </c>
      <c r="B75" s="79" t="s">
        <v>318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319</v>
      </c>
      <c r="B76" s="79" t="s">
        <v>320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321</v>
      </c>
      <c r="B77" s="79" t="s">
        <v>322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323</v>
      </c>
      <c r="B78" s="79" t="s">
        <v>324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325</v>
      </c>
      <c r="B79" s="79" t="s">
        <v>326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327</v>
      </c>
      <c r="B80" s="79" t="s">
        <v>328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329</v>
      </c>
      <c r="B81" s="79" t="s">
        <v>330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331</v>
      </c>
      <c r="B82" s="79" t="s">
        <v>332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333</v>
      </c>
      <c r="B83" s="79" t="s">
        <v>334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335</v>
      </c>
      <c r="B84" s="79" t="s">
        <v>336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337</v>
      </c>
      <c r="B85" s="79" t="s">
        <v>338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339</v>
      </c>
      <c r="B86" s="79" t="s">
        <v>340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341</v>
      </c>
      <c r="B87" s="77" t="s">
        <v>342</v>
      </c>
      <c r="C87" s="77"/>
      <c r="D87" s="82"/>
      <c r="E87" s="78"/>
      <c r="F87" s="78"/>
      <c r="G87" s="83"/>
    </row>
    <row r="88" spans="1:7" outlineLevel="1" x14ac:dyDescent="0.25">
      <c r="A88" s="85" t="s">
        <v>343</v>
      </c>
      <c r="B88" s="85" t="s">
        <v>344</v>
      </c>
      <c r="C88" s="85"/>
      <c r="D88" s="82"/>
      <c r="E88" s="86"/>
      <c r="F88" s="86"/>
      <c r="G88" s="83"/>
    </row>
    <row r="89" spans="1:7" outlineLevel="1" x14ac:dyDescent="0.25">
      <c r="A89" s="79" t="s">
        <v>345</v>
      </c>
      <c r="B89" s="79" t="s">
        <v>346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347</v>
      </c>
      <c r="B90" s="79" t="s">
        <v>348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349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350</v>
      </c>
      <c r="B92" s="79" t="s">
        <v>351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352</v>
      </c>
      <c r="B93" s="85" t="s">
        <v>353</v>
      </c>
      <c r="C93" s="85"/>
      <c r="D93" s="82"/>
      <c r="E93" s="86"/>
      <c r="F93" s="86"/>
      <c r="G93" s="83"/>
    </row>
    <row r="94" spans="1:7" outlineLevel="1" x14ac:dyDescent="0.25">
      <c r="A94" s="79" t="s">
        <v>354</v>
      </c>
      <c r="B94" s="79" t="s">
        <v>355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356</v>
      </c>
      <c r="B95" s="79" t="s">
        <v>357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358</v>
      </c>
      <c r="B96" s="79" t="s">
        <v>359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360</v>
      </c>
      <c r="B97" s="79" t="s">
        <v>361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362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363</v>
      </c>
      <c r="B99" s="79" t="s">
        <v>364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365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366</v>
      </c>
      <c r="B101" s="79" t="s">
        <v>367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368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369</v>
      </c>
      <c r="B103" s="79" t="s">
        <v>351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370</v>
      </c>
      <c r="B104" s="79" t="s">
        <v>371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372</v>
      </c>
      <c r="B105" s="79" t="s">
        <v>373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374</v>
      </c>
      <c r="B106" s="85" t="s">
        <v>375</v>
      </c>
      <c r="C106" s="85"/>
      <c r="D106" s="82"/>
      <c r="E106" s="86"/>
      <c r="F106" s="86"/>
      <c r="G106" s="83"/>
    </row>
    <row r="107" spans="1:7" outlineLevel="1" x14ac:dyDescent="0.25">
      <c r="A107" s="79" t="s">
        <v>376</v>
      </c>
      <c r="B107" s="79" t="s">
        <v>346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377</v>
      </c>
      <c r="B108" s="79" t="s">
        <v>359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378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379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380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381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382</v>
      </c>
      <c r="B113" s="79" t="s">
        <v>351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383</v>
      </c>
      <c r="B114" s="77" t="s">
        <v>384</v>
      </c>
      <c r="C114" s="77"/>
      <c r="D114" s="82"/>
      <c r="E114" s="78"/>
      <c r="F114" s="78"/>
      <c r="G114" s="83"/>
    </row>
    <row r="115" spans="1:7" outlineLevel="1" x14ac:dyDescent="0.25">
      <c r="A115" s="79" t="s">
        <v>385</v>
      </c>
      <c r="B115" s="79" t="s">
        <v>386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387</v>
      </c>
      <c r="B116" s="79" t="s">
        <v>388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389</v>
      </c>
      <c r="B117" s="79" t="s">
        <v>390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391</v>
      </c>
      <c r="B118" s="79" t="s">
        <v>318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392</v>
      </c>
      <c r="B119" s="79" t="s">
        <v>386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393</v>
      </c>
      <c r="B120" s="79" t="s">
        <v>322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394</v>
      </c>
      <c r="B121" s="79" t="s">
        <v>326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395</v>
      </c>
      <c r="B122" s="79" t="s">
        <v>396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397</v>
      </c>
      <c r="B123" s="79" t="s">
        <v>398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399</v>
      </c>
      <c r="B124" s="79" t="s">
        <v>400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401</v>
      </c>
      <c r="B125" s="79" t="s">
        <v>400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402</v>
      </c>
      <c r="B126" s="79" t="s">
        <v>403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404</v>
      </c>
      <c r="B127" s="79" t="s">
        <v>405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406</v>
      </c>
      <c r="B128" s="77" t="s">
        <v>407</v>
      </c>
      <c r="C128" s="77"/>
      <c r="D128" s="82"/>
      <c r="E128" s="78"/>
      <c r="F128" s="78"/>
      <c r="G128" s="83"/>
    </row>
    <row r="129" spans="1:7" outlineLevel="1" x14ac:dyDescent="0.25">
      <c r="A129" s="79" t="s">
        <v>408</v>
      </c>
      <c r="B129" s="79" t="s">
        <v>409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410</v>
      </c>
      <c r="B130" s="79" t="s">
        <v>390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411</v>
      </c>
      <c r="B131" s="79" t="s">
        <v>318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412</v>
      </c>
      <c r="B132" s="79" t="s">
        <v>386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413</v>
      </c>
      <c r="B133" s="79" t="s">
        <v>326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414</v>
      </c>
      <c r="B134" s="79" t="s">
        <v>396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415</v>
      </c>
      <c r="B135" s="79" t="s">
        <v>322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416</v>
      </c>
      <c r="B136" s="79" t="s">
        <v>332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417</v>
      </c>
      <c r="B137" s="79" t="s">
        <v>418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419</v>
      </c>
      <c r="B138" s="79" t="s">
        <v>420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421</v>
      </c>
      <c r="B139" s="79" t="s">
        <v>422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423</v>
      </c>
      <c r="B140" s="77" t="s">
        <v>424</v>
      </c>
      <c r="C140" s="77"/>
      <c r="D140" s="82"/>
      <c r="E140" s="78"/>
      <c r="F140" s="78"/>
      <c r="G140" s="83"/>
    </row>
    <row r="141" spans="1:7" outlineLevel="1" x14ac:dyDescent="0.25">
      <c r="A141" s="79" t="s">
        <v>425</v>
      </c>
      <c r="B141" s="79" t="s">
        <v>409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426</v>
      </c>
      <c r="B142" s="79" t="s">
        <v>427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428</v>
      </c>
      <c r="B143" s="79" t="s">
        <v>322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429</v>
      </c>
      <c r="B144" s="79" t="s">
        <v>430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431</v>
      </c>
      <c r="B145" s="79" t="s">
        <v>432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433</v>
      </c>
      <c r="B146" s="79" t="s">
        <v>434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435</v>
      </c>
      <c r="B147" s="79" t="s">
        <v>436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437</v>
      </c>
      <c r="B148" s="77" t="s">
        <v>438</v>
      </c>
      <c r="C148" s="77"/>
      <c r="D148" s="82"/>
      <c r="E148" s="78"/>
      <c r="F148" s="78"/>
      <c r="G148" s="83"/>
    </row>
    <row r="149" spans="1:7" outlineLevel="1" x14ac:dyDescent="0.25">
      <c r="A149" s="79" t="s">
        <v>439</v>
      </c>
      <c r="B149" s="79" t="s">
        <v>297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440</v>
      </c>
      <c r="B150" s="77" t="s">
        <v>441</v>
      </c>
      <c r="C150" s="77"/>
      <c r="D150" s="82"/>
      <c r="E150" s="78"/>
      <c r="F150" s="78"/>
      <c r="G150" s="83"/>
    </row>
    <row r="151" spans="1:7" outlineLevel="1" x14ac:dyDescent="0.25">
      <c r="A151" s="79" t="s">
        <v>442</v>
      </c>
      <c r="B151" s="79" t="s">
        <v>409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443</v>
      </c>
      <c r="B152" s="79" t="s">
        <v>322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444</v>
      </c>
      <c r="B153" s="77" t="s">
        <v>445</v>
      </c>
      <c r="C153" s="77"/>
      <c r="D153" s="82"/>
      <c r="E153" s="78"/>
      <c r="F153" s="78"/>
      <c r="G153" s="83"/>
    </row>
    <row r="154" spans="1:7" outlineLevel="1" x14ac:dyDescent="0.25">
      <c r="A154" s="79" t="s">
        <v>446</v>
      </c>
      <c r="B154" s="79" t="s">
        <v>297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447</v>
      </c>
      <c r="B155" s="79" t="s">
        <v>448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449</v>
      </c>
      <c r="B156" s="79" t="s">
        <v>299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450</v>
      </c>
      <c r="B157" s="79" t="s">
        <v>322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451</v>
      </c>
      <c r="B158" s="77" t="s">
        <v>452</v>
      </c>
      <c r="C158" s="77"/>
      <c r="D158" s="82"/>
      <c r="E158" s="78"/>
      <c r="F158" s="78"/>
      <c r="G158" s="83"/>
    </row>
    <row r="159" spans="1:7" outlineLevel="1" x14ac:dyDescent="0.25">
      <c r="A159" s="85" t="s">
        <v>453</v>
      </c>
      <c r="B159" s="85" t="s">
        <v>454</v>
      </c>
      <c r="C159" s="85"/>
      <c r="D159" s="82"/>
      <c r="E159" s="86"/>
      <c r="F159" s="86"/>
      <c r="G159" s="83"/>
    </row>
    <row r="160" spans="1:7" outlineLevel="1" x14ac:dyDescent="0.25">
      <c r="A160" s="87" t="s">
        <v>455</v>
      </c>
      <c r="B160" s="87" t="s">
        <v>456</v>
      </c>
      <c r="C160" s="87"/>
      <c r="D160" s="82"/>
      <c r="E160" s="88"/>
      <c r="F160" s="88"/>
      <c r="G160" s="83"/>
    </row>
    <row r="161" spans="1:7" outlineLevel="1" x14ac:dyDescent="0.25">
      <c r="A161" s="79" t="s">
        <v>457</v>
      </c>
      <c r="B161" s="79" t="s">
        <v>458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459</v>
      </c>
      <c r="B162" s="79" t="s">
        <v>460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461</v>
      </c>
      <c r="B163" s="79" t="s">
        <v>462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463</v>
      </c>
      <c r="B164" s="79" t="s">
        <v>464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465</v>
      </c>
      <c r="B165" s="79" t="s">
        <v>466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467</v>
      </c>
      <c r="B166" s="79" t="s">
        <v>468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469</v>
      </c>
      <c r="B167" s="79" t="s">
        <v>470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471</v>
      </c>
      <c r="B168" s="79" t="s">
        <v>472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473</v>
      </c>
      <c r="B169" s="87" t="s">
        <v>474</v>
      </c>
      <c r="C169" s="87"/>
      <c r="D169" s="82"/>
      <c r="E169" s="88"/>
      <c r="F169" s="88"/>
      <c r="G169" s="83"/>
    </row>
    <row r="170" spans="1:7" outlineLevel="1" x14ac:dyDescent="0.25">
      <c r="A170" s="79" t="s">
        <v>475</v>
      </c>
      <c r="B170" s="79" t="s">
        <v>458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476</v>
      </c>
      <c r="B171" s="79" t="s">
        <v>460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477</v>
      </c>
      <c r="B172" s="79" t="s">
        <v>464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478</v>
      </c>
      <c r="B173" s="85" t="s">
        <v>479</v>
      </c>
      <c r="C173" s="85"/>
      <c r="D173" s="82"/>
      <c r="E173" s="86"/>
      <c r="F173" s="86"/>
      <c r="G173" s="83"/>
    </row>
    <row r="174" spans="1:7" outlineLevel="1" x14ac:dyDescent="0.25">
      <c r="A174" s="87" t="s">
        <v>480</v>
      </c>
      <c r="B174" s="87" t="s">
        <v>456</v>
      </c>
      <c r="C174" s="87"/>
      <c r="D174" s="82"/>
      <c r="E174" s="88"/>
      <c r="F174" s="88"/>
      <c r="G174" s="83"/>
    </row>
    <row r="175" spans="1:7" outlineLevel="1" x14ac:dyDescent="0.25">
      <c r="A175" s="79" t="s">
        <v>481</v>
      </c>
      <c r="B175" s="79" t="s">
        <v>458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482</v>
      </c>
      <c r="B176" s="79" t="s">
        <v>460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483</v>
      </c>
      <c r="B177" s="79" t="s">
        <v>462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484</v>
      </c>
      <c r="B178" s="79" t="s">
        <v>464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485</v>
      </c>
      <c r="B179" s="79" t="s">
        <v>466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486</v>
      </c>
      <c r="B180" s="79" t="s">
        <v>468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487</v>
      </c>
      <c r="B181" s="79" t="s">
        <v>470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488</v>
      </c>
      <c r="B182" s="79" t="s">
        <v>472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489</v>
      </c>
      <c r="B183" s="87" t="s">
        <v>474</v>
      </c>
      <c r="C183" s="87"/>
      <c r="D183" s="82"/>
      <c r="E183" s="88"/>
      <c r="F183" s="88"/>
      <c r="G183" s="83"/>
    </row>
    <row r="184" spans="1:7" outlineLevel="1" x14ac:dyDescent="0.25">
      <c r="A184" s="79" t="s">
        <v>490</v>
      </c>
      <c r="B184" s="79" t="s">
        <v>458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491</v>
      </c>
      <c r="B185" s="79" t="s">
        <v>460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492</v>
      </c>
      <c r="B186" s="79" t="s">
        <v>464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493</v>
      </c>
      <c r="B187" s="85" t="s">
        <v>494</v>
      </c>
      <c r="C187" s="85"/>
      <c r="D187" s="82"/>
      <c r="E187" s="86"/>
      <c r="F187" s="86"/>
      <c r="G187" s="83"/>
    </row>
    <row r="188" spans="1:7" outlineLevel="1" x14ac:dyDescent="0.25">
      <c r="A188" s="79" t="s">
        <v>495</v>
      </c>
      <c r="B188" s="79" t="s">
        <v>496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497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498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499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500</v>
      </c>
      <c r="B192" s="79" t="s">
        <v>501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502</v>
      </c>
      <c r="B193" s="85" t="s">
        <v>503</v>
      </c>
      <c r="C193" s="85"/>
      <c r="D193" s="82"/>
      <c r="E193" s="86"/>
      <c r="F193" s="86"/>
      <c r="G193" s="83"/>
    </row>
    <row r="194" spans="1:7" outlineLevel="1" x14ac:dyDescent="0.25">
      <c r="A194" s="87" t="s">
        <v>504</v>
      </c>
      <c r="B194" s="87" t="s">
        <v>505</v>
      </c>
      <c r="C194" s="87"/>
      <c r="D194" s="82"/>
      <c r="E194" s="88"/>
      <c r="F194" s="88"/>
      <c r="G194" s="83"/>
    </row>
    <row r="195" spans="1:7" outlineLevel="1" x14ac:dyDescent="0.25">
      <c r="A195" s="79" t="s">
        <v>506</v>
      </c>
      <c r="B195" s="79" t="s">
        <v>466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507</v>
      </c>
      <c r="B196" s="79" t="s">
        <v>468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508</v>
      </c>
      <c r="B197" s="79" t="s">
        <v>470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509</v>
      </c>
      <c r="B198" s="87" t="s">
        <v>510</v>
      </c>
      <c r="C198" s="87"/>
      <c r="D198" s="82"/>
      <c r="E198" s="88"/>
      <c r="F198" s="88"/>
      <c r="G198" s="83"/>
    </row>
    <row r="199" spans="1:7" outlineLevel="1" x14ac:dyDescent="0.25">
      <c r="A199" s="79" t="s">
        <v>511</v>
      </c>
      <c r="B199" s="79" t="s">
        <v>512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513</v>
      </c>
      <c r="B200" s="79" t="s">
        <v>462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514</v>
      </c>
      <c r="B201" s="79" t="s">
        <v>515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516</v>
      </c>
      <c r="B202" s="79" t="s">
        <v>464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517</v>
      </c>
      <c r="B203" s="79" t="s">
        <v>518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519</v>
      </c>
      <c r="B204" s="79" t="s">
        <v>520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521</v>
      </c>
      <c r="B205" s="79" t="s">
        <v>522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523</v>
      </c>
      <c r="B206" s="85" t="s">
        <v>524</v>
      </c>
      <c r="C206" s="85"/>
      <c r="D206" s="82"/>
      <c r="E206" s="86"/>
      <c r="F206" s="86"/>
      <c r="G206" s="83"/>
    </row>
    <row r="207" spans="1:7" outlineLevel="1" x14ac:dyDescent="0.25">
      <c r="A207" s="87" t="s">
        <v>525</v>
      </c>
      <c r="B207" s="87" t="s">
        <v>526</v>
      </c>
      <c r="C207" s="87"/>
      <c r="D207" s="82"/>
      <c r="E207" s="88"/>
      <c r="F207" s="88"/>
      <c r="G207" s="83"/>
    </row>
    <row r="208" spans="1:7" outlineLevel="1" x14ac:dyDescent="0.25">
      <c r="A208" s="79" t="s">
        <v>527</v>
      </c>
      <c r="B208" s="79" t="s">
        <v>528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529</v>
      </c>
      <c r="B209" s="79" t="s">
        <v>460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530</v>
      </c>
      <c r="B210" s="79" t="s">
        <v>464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531</v>
      </c>
      <c r="B211" s="79" t="s">
        <v>532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533</v>
      </c>
      <c r="B212" s="87" t="s">
        <v>534</v>
      </c>
      <c r="C212" s="87"/>
      <c r="D212" s="82"/>
      <c r="E212" s="88"/>
      <c r="F212" s="88"/>
      <c r="G212" s="83"/>
    </row>
    <row r="213" spans="1:7" outlineLevel="1" x14ac:dyDescent="0.25">
      <c r="A213" s="79" t="s">
        <v>535</v>
      </c>
      <c r="B213" s="79" t="s">
        <v>528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536</v>
      </c>
      <c r="B214" s="79" t="s">
        <v>537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538</v>
      </c>
      <c r="B215" s="79" t="s">
        <v>464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539</v>
      </c>
      <c r="B216" s="79" t="s">
        <v>532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540</v>
      </c>
      <c r="B217" s="79" t="s">
        <v>541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542</v>
      </c>
      <c r="B218" s="90" t="s">
        <v>543</v>
      </c>
      <c r="C218" s="85"/>
      <c r="D218" s="82"/>
      <c r="E218" s="86"/>
      <c r="F218" s="86"/>
      <c r="G218" s="83"/>
    </row>
    <row r="219" spans="1:7" outlineLevel="1" x14ac:dyDescent="0.25">
      <c r="A219" s="79" t="s">
        <v>544</v>
      </c>
      <c r="B219" s="91" t="s">
        <v>545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546</v>
      </c>
      <c r="B220" s="79" t="s">
        <v>547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548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549</v>
      </c>
      <c r="B222" s="79" t="s">
        <v>550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551</v>
      </c>
      <c r="B223" s="79" t="s">
        <v>552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553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554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555</v>
      </c>
      <c r="B226" s="91" t="s">
        <v>556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557</v>
      </c>
      <c r="B227" s="85" t="s">
        <v>558</v>
      </c>
      <c r="C227" s="85"/>
      <c r="D227" s="82"/>
      <c r="E227" s="86"/>
      <c r="F227" s="86"/>
      <c r="G227" s="83"/>
    </row>
    <row r="228" spans="1:7" outlineLevel="1" x14ac:dyDescent="0.25">
      <c r="A228" s="79" t="s">
        <v>559</v>
      </c>
      <c r="B228" s="79" t="s">
        <v>560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561</v>
      </c>
      <c r="B229" s="79" t="s">
        <v>357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562</v>
      </c>
      <c r="B230" s="79" t="s">
        <v>361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563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564</v>
      </c>
      <c r="B232" s="79" t="s">
        <v>367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565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566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567</v>
      </c>
      <c r="B235" s="79" t="s">
        <v>373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568</v>
      </c>
      <c r="B236" s="75" t="s">
        <v>569</v>
      </c>
      <c r="C236" s="75"/>
      <c r="D236" s="82"/>
      <c r="E236" s="76"/>
      <c r="F236" s="76"/>
      <c r="G236" s="83"/>
    </row>
    <row r="237" spans="1:7" outlineLevel="1" x14ac:dyDescent="0.25">
      <c r="A237" s="77" t="s">
        <v>570</v>
      </c>
      <c r="B237" s="77" t="s">
        <v>571</v>
      </c>
      <c r="C237" s="77"/>
      <c r="D237" s="82"/>
      <c r="E237" s="78"/>
      <c r="F237" s="78"/>
      <c r="G237" s="83"/>
    </row>
    <row r="238" spans="1:7" outlineLevel="1" x14ac:dyDescent="0.25">
      <c r="A238" s="79" t="s">
        <v>572</v>
      </c>
      <c r="B238" s="79" t="s">
        <v>573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574</v>
      </c>
      <c r="B239" s="79" t="s">
        <v>573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575</v>
      </c>
      <c r="B240" s="79" t="s">
        <v>576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577</v>
      </c>
      <c r="B241" s="79" t="s">
        <v>578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579</v>
      </c>
      <c r="B242" s="79" t="s">
        <v>580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581</v>
      </c>
      <c r="B243" s="79" t="s">
        <v>582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583</v>
      </c>
      <c r="B244" s="79" t="s">
        <v>584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585</v>
      </c>
      <c r="B245" s="79" t="s">
        <v>586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587</v>
      </c>
      <c r="B246" s="79" t="s">
        <v>588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589</v>
      </c>
      <c r="B247" s="77" t="s">
        <v>590</v>
      </c>
      <c r="C247" s="77"/>
      <c r="D247" s="82"/>
      <c r="E247" s="78"/>
      <c r="F247" s="78"/>
      <c r="G247" s="83"/>
    </row>
    <row r="248" spans="1:7" outlineLevel="1" x14ac:dyDescent="0.25">
      <c r="A248" s="79" t="s">
        <v>591</v>
      </c>
      <c r="B248" s="79" t="s">
        <v>576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592</v>
      </c>
      <c r="B249" s="79" t="s">
        <v>586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593</v>
      </c>
      <c r="B250" s="79" t="s">
        <v>588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594</v>
      </c>
      <c r="B251" s="77" t="s">
        <v>595</v>
      </c>
      <c r="C251" s="77"/>
      <c r="D251" s="82"/>
      <c r="E251" s="78"/>
      <c r="F251" s="78"/>
      <c r="G251" s="83"/>
    </row>
    <row r="252" spans="1:7" outlineLevel="1" x14ac:dyDescent="0.25">
      <c r="A252" s="79" t="s">
        <v>596</v>
      </c>
      <c r="B252" s="79" t="s">
        <v>597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598</v>
      </c>
      <c r="B253" s="79" t="s">
        <v>599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600</v>
      </c>
      <c r="B254" s="79" t="s">
        <v>601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602</v>
      </c>
      <c r="B255" s="77" t="s">
        <v>603</v>
      </c>
      <c r="C255" s="77"/>
      <c r="D255" s="82"/>
      <c r="E255" s="78"/>
      <c r="F255" s="78"/>
      <c r="G255" s="83"/>
    </row>
    <row r="256" spans="1:7" outlineLevel="1" x14ac:dyDescent="0.25">
      <c r="A256" s="85" t="s">
        <v>604</v>
      </c>
      <c r="B256" s="85" t="s">
        <v>605</v>
      </c>
      <c r="C256" s="85"/>
      <c r="D256" s="82"/>
      <c r="E256" s="86"/>
      <c r="F256" s="86"/>
      <c r="G256" s="83"/>
    </row>
    <row r="257" spans="1:7" outlineLevel="1" x14ac:dyDescent="0.25">
      <c r="A257" s="79" t="s">
        <v>606</v>
      </c>
      <c r="B257" s="79" t="s">
        <v>607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608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609</v>
      </c>
      <c r="B259" s="79" t="s">
        <v>610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611</v>
      </c>
      <c r="B260" s="79" t="s">
        <v>612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613</v>
      </c>
      <c r="B261" s="85" t="s">
        <v>614</v>
      </c>
      <c r="C261" s="85"/>
      <c r="D261" s="82"/>
      <c r="E261" s="86"/>
      <c r="F261" s="86"/>
      <c r="G261" s="83"/>
    </row>
    <row r="262" spans="1:7" outlineLevel="1" x14ac:dyDescent="0.25">
      <c r="A262" s="79" t="s">
        <v>615</v>
      </c>
      <c r="B262" s="79" t="s">
        <v>616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617</v>
      </c>
      <c r="B263" s="79" t="s">
        <v>618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619</v>
      </c>
      <c r="B264" s="85" t="s">
        <v>620</v>
      </c>
      <c r="C264" s="85"/>
      <c r="D264" s="82"/>
      <c r="E264" s="86"/>
      <c r="F264" s="86"/>
      <c r="G264" s="83"/>
    </row>
    <row r="265" spans="1:7" outlineLevel="1" x14ac:dyDescent="0.25">
      <c r="A265" s="79" t="s">
        <v>621</v>
      </c>
      <c r="B265" s="79" t="s">
        <v>622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623</v>
      </c>
      <c r="B266" s="79" t="s">
        <v>624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625</v>
      </c>
      <c r="B267" s="79" t="s">
        <v>626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627</v>
      </c>
      <c r="B268" s="79" t="s">
        <v>628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629</v>
      </c>
      <c r="B269" s="85" t="s">
        <v>206</v>
      </c>
      <c r="C269" s="85"/>
      <c r="D269" s="82"/>
      <c r="E269" s="86"/>
      <c r="F269" s="86"/>
      <c r="G269" s="83"/>
    </row>
    <row r="270" spans="1:7" outlineLevel="1" x14ac:dyDescent="0.25">
      <c r="A270" s="79" t="s">
        <v>630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631</v>
      </c>
      <c r="B271" s="79" t="s">
        <v>632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633</v>
      </c>
      <c r="B272" s="75" t="s">
        <v>634</v>
      </c>
      <c r="C272" s="75"/>
      <c r="D272" s="82"/>
      <c r="E272" s="76"/>
      <c r="F272" s="76"/>
      <c r="G272" s="83"/>
    </row>
    <row r="273" spans="1:7" outlineLevel="1" x14ac:dyDescent="0.25">
      <c r="A273" s="77" t="s">
        <v>635</v>
      </c>
      <c r="B273" s="77" t="s">
        <v>636</v>
      </c>
      <c r="C273" s="77"/>
      <c r="D273" s="82"/>
      <c r="E273" s="78"/>
      <c r="F273" s="78"/>
      <c r="G273" s="83"/>
    </row>
    <row r="274" spans="1:7" outlineLevel="1" x14ac:dyDescent="0.25">
      <c r="A274" s="79" t="s">
        <v>637</v>
      </c>
      <c r="B274" s="79" t="s">
        <v>638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639</v>
      </c>
      <c r="B275" s="79" t="s">
        <v>640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641</v>
      </c>
      <c r="B276" s="92" t="s">
        <v>642</v>
      </c>
      <c r="C276" s="77"/>
      <c r="D276" s="82"/>
      <c r="E276" s="78"/>
      <c r="F276" s="78"/>
      <c r="G276" s="83"/>
    </row>
    <row r="277" spans="1:7" outlineLevel="1" x14ac:dyDescent="0.25">
      <c r="A277" s="85" t="s">
        <v>643</v>
      </c>
      <c r="B277" s="90" t="s">
        <v>644</v>
      </c>
      <c r="C277" s="85"/>
      <c r="D277" s="82"/>
      <c r="E277" s="86"/>
      <c r="F277" s="86"/>
      <c r="G277" s="83"/>
    </row>
    <row r="278" spans="1:7" outlineLevel="1" x14ac:dyDescent="0.25">
      <c r="A278" s="79" t="s">
        <v>645</v>
      </c>
      <c r="B278" s="91" t="s">
        <v>646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647</v>
      </c>
      <c r="B279" s="91" t="s">
        <v>266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648</v>
      </c>
      <c r="B280" s="90" t="s">
        <v>649</v>
      </c>
      <c r="C280" s="85"/>
      <c r="D280" s="82"/>
      <c r="E280" s="86"/>
      <c r="F280" s="86"/>
      <c r="G280" s="83"/>
    </row>
    <row r="281" spans="1:7" outlineLevel="1" x14ac:dyDescent="0.25">
      <c r="A281" s="79" t="s">
        <v>650</v>
      </c>
      <c r="B281" s="91" t="s">
        <v>651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652</v>
      </c>
      <c r="B282" s="90" t="s">
        <v>653</v>
      </c>
      <c r="C282" s="85"/>
      <c r="D282" s="82"/>
      <c r="E282" s="86"/>
      <c r="F282" s="86"/>
      <c r="G282" s="83"/>
    </row>
    <row r="283" spans="1:7" outlineLevel="1" x14ac:dyDescent="0.25">
      <c r="A283" s="79" t="s">
        <v>654</v>
      </c>
      <c r="B283" s="91" t="s">
        <v>655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656</v>
      </c>
      <c r="B284" s="91" t="s">
        <v>657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658</v>
      </c>
      <c r="B285" s="91" t="s">
        <v>659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660</v>
      </c>
      <c r="B286" s="77" t="s">
        <v>661</v>
      </c>
      <c r="C286" s="77"/>
      <c r="D286" s="82"/>
      <c r="E286" s="78"/>
      <c r="F286" s="78"/>
      <c r="G286" s="83"/>
    </row>
    <row r="287" spans="1:7" outlineLevel="1" x14ac:dyDescent="0.25">
      <c r="A287" s="79" t="s">
        <v>662</v>
      </c>
      <c r="B287" s="79" t="s">
        <v>663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664</v>
      </c>
      <c r="B288" s="79" t="s">
        <v>665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666</v>
      </c>
      <c r="B289" s="79" t="s">
        <v>667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668</v>
      </c>
      <c r="B290" s="79" t="s">
        <v>669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670</v>
      </c>
      <c r="B291" s="79" t="s">
        <v>671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672</v>
      </c>
      <c r="B292" s="79" t="s">
        <v>673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674</v>
      </c>
      <c r="B293" s="77" t="s">
        <v>675</v>
      </c>
      <c r="C293" s="77"/>
      <c r="D293" s="82"/>
      <c r="E293" s="78"/>
      <c r="F293" s="78"/>
      <c r="G293" s="83"/>
    </row>
    <row r="294" spans="1:7" outlineLevel="1" x14ac:dyDescent="0.25">
      <c r="A294" s="85" t="s">
        <v>676</v>
      </c>
      <c r="B294" s="85" t="s">
        <v>677</v>
      </c>
      <c r="C294" s="85"/>
      <c r="D294" s="82"/>
      <c r="E294" s="86"/>
      <c r="F294" s="86"/>
      <c r="G294" s="83"/>
    </row>
    <row r="295" spans="1:7" outlineLevel="1" x14ac:dyDescent="0.25">
      <c r="A295" s="79" t="s">
        <v>678</v>
      </c>
      <c r="B295" s="79" t="s">
        <v>679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680</v>
      </c>
      <c r="B296" s="79" t="s">
        <v>681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682</v>
      </c>
      <c r="B297" s="79" t="s">
        <v>683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684</v>
      </c>
      <c r="B298" s="79" t="s">
        <v>685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686</v>
      </c>
      <c r="B299" s="79" t="s">
        <v>687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688</v>
      </c>
      <c r="B300" s="79" t="s">
        <v>689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690</v>
      </c>
      <c r="B301" s="79" t="s">
        <v>691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692</v>
      </c>
      <c r="B302" s="85" t="s">
        <v>693</v>
      </c>
      <c r="C302" s="85"/>
      <c r="D302" s="82"/>
      <c r="E302" s="86"/>
      <c r="F302" s="86"/>
      <c r="G302" s="83"/>
    </row>
    <row r="303" spans="1:7" outlineLevel="1" x14ac:dyDescent="0.25">
      <c r="A303" s="79" t="s">
        <v>694</v>
      </c>
      <c r="B303" s="79" t="s">
        <v>695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696</v>
      </c>
      <c r="B304" s="79" t="s">
        <v>697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698</v>
      </c>
      <c r="B305" s="79" t="s">
        <v>699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700</v>
      </c>
      <c r="B306" s="79" t="s">
        <v>701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702</v>
      </c>
      <c r="B307" s="77" t="s">
        <v>703</v>
      </c>
      <c r="C307" s="77"/>
      <c r="D307" s="82"/>
      <c r="E307" s="78"/>
      <c r="F307" s="78"/>
      <c r="G307" s="83"/>
    </row>
    <row r="308" spans="1:7" outlineLevel="1" x14ac:dyDescent="0.25">
      <c r="A308" s="79" t="s">
        <v>704</v>
      </c>
      <c r="B308" s="79" t="s">
        <v>663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705</v>
      </c>
      <c r="B309" s="79" t="s">
        <v>706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707</v>
      </c>
      <c r="B310" s="79" t="s">
        <v>667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708</v>
      </c>
      <c r="B311" s="79" t="s">
        <v>709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710</v>
      </c>
      <c r="B312" s="79" t="s">
        <v>711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712</v>
      </c>
      <c r="B313" s="79" t="s">
        <v>713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714</v>
      </c>
      <c r="B314" s="77" t="s">
        <v>715</v>
      </c>
      <c r="C314" s="77"/>
      <c r="D314" s="82"/>
      <c r="E314" s="78"/>
      <c r="F314" s="78"/>
      <c r="G314" s="83"/>
    </row>
    <row r="315" spans="1:7" outlineLevel="1" x14ac:dyDescent="0.25">
      <c r="A315" s="85" t="s">
        <v>716</v>
      </c>
      <c r="B315" s="85" t="s">
        <v>644</v>
      </c>
      <c r="C315" s="85"/>
      <c r="D315" s="82"/>
      <c r="E315" s="86"/>
      <c r="F315" s="86"/>
      <c r="G315" s="83"/>
    </row>
    <row r="316" spans="1:7" outlineLevel="1" x14ac:dyDescent="0.25">
      <c r="A316" s="79" t="s">
        <v>717</v>
      </c>
      <c r="B316" s="79" t="s">
        <v>646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718</v>
      </c>
      <c r="B317" s="79" t="s">
        <v>266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719</v>
      </c>
      <c r="B318" s="85" t="s">
        <v>649</v>
      </c>
      <c r="C318" s="85"/>
      <c r="D318" s="82"/>
      <c r="E318" s="86"/>
      <c r="F318" s="86"/>
      <c r="G318" s="83"/>
    </row>
    <row r="319" spans="1:7" outlineLevel="1" x14ac:dyDescent="0.25">
      <c r="A319" s="79" t="s">
        <v>720</v>
      </c>
      <c r="B319" s="79" t="s">
        <v>651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721</v>
      </c>
      <c r="B320" s="85" t="s">
        <v>653</v>
      </c>
      <c r="C320" s="85"/>
      <c r="D320" s="82"/>
      <c r="E320" s="86"/>
      <c r="F320" s="86"/>
      <c r="G320" s="83"/>
    </row>
    <row r="321" spans="1:7" outlineLevel="1" x14ac:dyDescent="0.25">
      <c r="A321" s="79" t="s">
        <v>722</v>
      </c>
      <c r="B321" s="79" t="s">
        <v>655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723</v>
      </c>
      <c r="B322" s="79" t="s">
        <v>657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724</v>
      </c>
      <c r="B323" s="77" t="s">
        <v>725</v>
      </c>
      <c r="C323" s="77"/>
      <c r="D323" s="82"/>
      <c r="E323" s="78"/>
      <c r="F323" s="78"/>
      <c r="G323" s="83"/>
    </row>
    <row r="324" spans="1:7" outlineLevel="1" x14ac:dyDescent="0.25">
      <c r="A324" s="85" t="s">
        <v>726</v>
      </c>
      <c r="B324" s="85" t="s">
        <v>644</v>
      </c>
      <c r="C324" s="85"/>
      <c r="D324" s="82"/>
      <c r="E324" s="86"/>
      <c r="F324" s="86"/>
      <c r="G324" s="83"/>
    </row>
    <row r="325" spans="1:7" outlineLevel="1" x14ac:dyDescent="0.25">
      <c r="A325" s="79" t="s">
        <v>727</v>
      </c>
      <c r="B325" s="79" t="s">
        <v>646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728</v>
      </c>
      <c r="B326" s="79" t="s">
        <v>266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729</v>
      </c>
      <c r="B327" s="85" t="s">
        <v>649</v>
      </c>
      <c r="C327" s="85"/>
      <c r="D327" s="82"/>
      <c r="E327" s="86"/>
      <c r="F327" s="86"/>
      <c r="G327" s="83"/>
    </row>
    <row r="328" spans="1:7" outlineLevel="1" x14ac:dyDescent="0.25">
      <c r="A328" s="79" t="s">
        <v>730</v>
      </c>
      <c r="B328" s="79" t="s">
        <v>651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731</v>
      </c>
      <c r="B329" s="85" t="s">
        <v>653</v>
      </c>
      <c r="C329" s="85"/>
      <c r="D329" s="82"/>
      <c r="E329" s="86"/>
      <c r="F329" s="86"/>
      <c r="G329" s="83"/>
    </row>
    <row r="330" spans="1:7" outlineLevel="1" x14ac:dyDescent="0.25">
      <c r="A330" s="79" t="s">
        <v>732</v>
      </c>
      <c r="B330" s="79" t="s">
        <v>655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733</v>
      </c>
      <c r="B331" s="79" t="s">
        <v>657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734</v>
      </c>
      <c r="B332" s="79" t="s">
        <v>659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735</v>
      </c>
      <c r="B333" s="77" t="s">
        <v>736</v>
      </c>
      <c r="C333" s="77"/>
      <c r="D333" s="82"/>
      <c r="E333" s="78"/>
      <c r="F333" s="78"/>
      <c r="G333" s="83"/>
    </row>
    <row r="334" spans="1:7" outlineLevel="1" x14ac:dyDescent="0.25">
      <c r="A334" s="79" t="s">
        <v>737</v>
      </c>
      <c r="B334" s="79" t="s">
        <v>663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738</v>
      </c>
      <c r="B335" s="79" t="s">
        <v>706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739</v>
      </c>
      <c r="B336" s="79" t="s">
        <v>667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740</v>
      </c>
      <c r="B337" s="79" t="s">
        <v>711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741</v>
      </c>
      <c r="B338" s="79" t="s">
        <v>742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743</v>
      </c>
      <c r="B339" s="79" t="s">
        <v>713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744</v>
      </c>
      <c r="B340" s="77" t="s">
        <v>745</v>
      </c>
      <c r="C340" s="77"/>
      <c r="D340" s="82"/>
      <c r="E340" s="78"/>
      <c r="F340" s="78"/>
      <c r="G340" s="83"/>
    </row>
    <row r="341" spans="1:7" outlineLevel="1" x14ac:dyDescent="0.25">
      <c r="A341" s="79" t="s">
        <v>746</v>
      </c>
      <c r="B341" s="79" t="s">
        <v>663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747</v>
      </c>
      <c r="B342" s="79" t="s">
        <v>706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748</v>
      </c>
      <c r="B343" s="79" t="s">
        <v>667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749</v>
      </c>
      <c r="B344" s="79" t="s">
        <v>742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750</v>
      </c>
      <c r="B345" s="79" t="s">
        <v>713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751</v>
      </c>
      <c r="B346" s="75" t="s">
        <v>752</v>
      </c>
      <c r="C346" s="75"/>
      <c r="D346" s="82"/>
      <c r="E346" s="76"/>
      <c r="F346" s="76"/>
      <c r="G346" s="83"/>
    </row>
    <row r="347" spans="1:7" outlineLevel="1" x14ac:dyDescent="0.25">
      <c r="A347" s="77" t="s">
        <v>753</v>
      </c>
      <c r="B347" s="77" t="s">
        <v>754</v>
      </c>
      <c r="C347" s="77"/>
      <c r="D347" s="82"/>
      <c r="E347" s="78"/>
      <c r="F347" s="78"/>
      <c r="G347" s="83"/>
    </row>
    <row r="348" spans="1:7" outlineLevel="1" x14ac:dyDescent="0.25">
      <c r="A348" s="79" t="s">
        <v>755</v>
      </c>
      <c r="B348" s="79" t="s">
        <v>756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757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758</v>
      </c>
      <c r="B350" s="79" t="s">
        <v>759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760</v>
      </c>
      <c r="B351" s="79" t="s">
        <v>761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762</v>
      </c>
      <c r="B352" s="79" t="s">
        <v>763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764</v>
      </c>
      <c r="B353" s="79" t="s">
        <v>765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766</v>
      </c>
      <c r="B354" s="79" t="s">
        <v>767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768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769</v>
      </c>
      <c r="B356" s="77" t="s">
        <v>770</v>
      </c>
      <c r="C356" s="77"/>
      <c r="D356" s="82"/>
      <c r="E356" s="78"/>
      <c r="F356" s="78"/>
      <c r="G356" s="83"/>
    </row>
    <row r="357" spans="1:7" outlineLevel="1" x14ac:dyDescent="0.25">
      <c r="A357" s="79" t="s">
        <v>771</v>
      </c>
      <c r="B357" s="79" t="s">
        <v>772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773</v>
      </c>
      <c r="B358" s="79" t="s">
        <v>774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775</v>
      </c>
      <c r="B359" s="79" t="s">
        <v>776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777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778</v>
      </c>
      <c r="B361" s="79" t="s">
        <v>779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780</v>
      </c>
      <c r="B362" s="79" t="s">
        <v>781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782</v>
      </c>
      <c r="B363" s="79" t="s">
        <v>783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784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785</v>
      </c>
      <c r="B365" s="77" t="s">
        <v>786</v>
      </c>
      <c r="C365" s="77"/>
      <c r="D365" s="82"/>
      <c r="E365" s="78"/>
      <c r="F365" s="78"/>
      <c r="G365" s="83"/>
    </row>
    <row r="366" spans="1:7" outlineLevel="1" x14ac:dyDescent="0.25">
      <c r="A366" s="85" t="s">
        <v>787</v>
      </c>
      <c r="B366" s="85" t="s">
        <v>788</v>
      </c>
      <c r="C366" s="85"/>
      <c r="D366" s="82"/>
      <c r="E366" s="86"/>
      <c r="F366" s="86"/>
      <c r="G366" s="83"/>
    </row>
    <row r="367" spans="1:7" outlineLevel="1" x14ac:dyDescent="0.25">
      <c r="A367" s="79" t="s">
        <v>789</v>
      </c>
      <c r="B367" s="79" t="s">
        <v>790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791</v>
      </c>
      <c r="B368" s="79" t="s">
        <v>792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793</v>
      </c>
      <c r="B369" s="79" t="s">
        <v>794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795</v>
      </c>
      <c r="B370" s="79" t="s">
        <v>796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797</v>
      </c>
      <c r="B371" s="79" t="s">
        <v>798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799</v>
      </c>
      <c r="B372" s="79" t="s">
        <v>800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801</v>
      </c>
      <c r="B373" s="79" t="s">
        <v>266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802</v>
      </c>
      <c r="B374" s="85" t="s">
        <v>803</v>
      </c>
      <c r="C374" s="85"/>
      <c r="D374" s="82"/>
      <c r="E374" s="86"/>
      <c r="F374" s="86"/>
      <c r="G374" s="83"/>
    </row>
    <row r="375" spans="1:7" outlineLevel="1" x14ac:dyDescent="0.25">
      <c r="A375" s="79" t="s">
        <v>804</v>
      </c>
      <c r="B375" s="79" t="s">
        <v>805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806</v>
      </c>
      <c r="B376" s="85" t="s">
        <v>807</v>
      </c>
      <c r="C376" s="85"/>
      <c r="D376" s="82"/>
      <c r="E376" s="86"/>
      <c r="F376" s="86"/>
      <c r="G376" s="83"/>
    </row>
    <row r="377" spans="1:7" outlineLevel="1" x14ac:dyDescent="0.25">
      <c r="A377" s="79" t="s">
        <v>808</v>
      </c>
      <c r="B377" s="79" t="s">
        <v>809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810</v>
      </c>
      <c r="B378" s="85" t="s">
        <v>811</v>
      </c>
      <c r="C378" s="85"/>
      <c r="D378" s="82"/>
      <c r="E378" s="86"/>
      <c r="F378" s="86"/>
      <c r="G378" s="83"/>
    </row>
    <row r="379" spans="1:7" outlineLevel="1" x14ac:dyDescent="0.25">
      <c r="A379" s="79" t="s">
        <v>812</v>
      </c>
      <c r="B379" s="79" t="s">
        <v>813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814</v>
      </c>
      <c r="B380" s="79" t="s">
        <v>815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816</v>
      </c>
      <c r="B381" s="77" t="s">
        <v>817</v>
      </c>
      <c r="C381" s="77"/>
      <c r="D381" s="82"/>
      <c r="E381" s="78"/>
      <c r="F381" s="78"/>
      <c r="G381" s="83"/>
    </row>
    <row r="382" spans="1:7" outlineLevel="1" x14ac:dyDescent="0.25">
      <c r="A382" s="79" t="s">
        <v>818</v>
      </c>
      <c r="B382" s="79" t="s">
        <v>819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820</v>
      </c>
      <c r="B383" s="79" t="s">
        <v>821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822</v>
      </c>
      <c r="B384" s="79" t="s">
        <v>823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824</v>
      </c>
      <c r="B385" s="77" t="s">
        <v>825</v>
      </c>
      <c r="C385" s="77"/>
      <c r="D385" s="82"/>
      <c r="E385" s="78"/>
      <c r="F385" s="78"/>
      <c r="G385" s="83"/>
    </row>
    <row r="386" spans="1:7" outlineLevel="1" x14ac:dyDescent="0.25">
      <c r="A386" s="79" t="s">
        <v>826</v>
      </c>
      <c r="B386" s="79" t="s">
        <v>827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828</v>
      </c>
      <c r="B387" s="79" t="s">
        <v>829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830</v>
      </c>
      <c r="B388" s="77" t="s">
        <v>831</v>
      </c>
      <c r="C388" s="77"/>
      <c r="D388" s="82"/>
      <c r="E388" s="78"/>
      <c r="F388" s="78"/>
      <c r="G388" s="83"/>
    </row>
    <row r="389" spans="1:7" outlineLevel="1" x14ac:dyDescent="0.25">
      <c r="A389" s="85" t="s">
        <v>832</v>
      </c>
      <c r="B389" s="85" t="s">
        <v>833</v>
      </c>
      <c r="C389" s="85"/>
      <c r="D389" s="82"/>
      <c r="E389" s="86"/>
      <c r="F389" s="86"/>
      <c r="G389" s="83"/>
    </row>
    <row r="390" spans="1:7" outlineLevel="1" x14ac:dyDescent="0.25">
      <c r="A390" s="87" t="s">
        <v>834</v>
      </c>
      <c r="B390" s="87" t="s">
        <v>835</v>
      </c>
      <c r="C390" s="87"/>
      <c r="D390" s="82"/>
      <c r="E390" s="88"/>
      <c r="F390" s="88"/>
      <c r="G390" s="83"/>
    </row>
    <row r="391" spans="1:7" outlineLevel="1" x14ac:dyDescent="0.25">
      <c r="A391" s="79" t="s">
        <v>836</v>
      </c>
      <c r="B391" s="79" t="s">
        <v>837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838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839</v>
      </c>
      <c r="B393" s="79" t="s">
        <v>840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841</v>
      </c>
      <c r="B394" s="79" t="s">
        <v>842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843</v>
      </c>
      <c r="B395" s="79" t="s">
        <v>844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845</v>
      </c>
      <c r="B396" s="79" t="s">
        <v>846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847</v>
      </c>
      <c r="B397" s="87" t="s">
        <v>848</v>
      </c>
      <c r="C397" s="87"/>
      <c r="D397" s="82"/>
      <c r="E397" s="88"/>
      <c r="F397" s="88"/>
      <c r="G397" s="83"/>
    </row>
    <row r="398" spans="1:7" outlineLevel="1" x14ac:dyDescent="0.25">
      <c r="A398" s="93" t="s">
        <v>849</v>
      </c>
      <c r="B398" s="93" t="s">
        <v>850</v>
      </c>
      <c r="C398" s="93"/>
      <c r="D398" s="82"/>
      <c r="E398" s="94"/>
      <c r="F398" s="94"/>
      <c r="G398" s="83"/>
    </row>
    <row r="399" spans="1:7" outlineLevel="1" x14ac:dyDescent="0.25">
      <c r="A399" s="79" t="s">
        <v>851</v>
      </c>
      <c r="B399" s="79" t="s">
        <v>852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853</v>
      </c>
      <c r="B400" s="79" t="s">
        <v>854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855</v>
      </c>
      <c r="B401" s="93" t="s">
        <v>856</v>
      </c>
      <c r="C401" s="93"/>
      <c r="D401" s="82"/>
      <c r="E401" s="94"/>
      <c r="F401" s="94"/>
      <c r="G401" s="83"/>
    </row>
    <row r="402" spans="1:7" outlineLevel="1" x14ac:dyDescent="0.25">
      <c r="A402" s="79" t="s">
        <v>857</v>
      </c>
      <c r="B402" s="79" t="s">
        <v>858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859</v>
      </c>
      <c r="B403" s="79" t="s">
        <v>860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861</v>
      </c>
      <c r="B404" s="85" t="s">
        <v>862</v>
      </c>
      <c r="C404" s="85"/>
      <c r="D404" s="82"/>
      <c r="E404" s="86"/>
      <c r="F404" s="86"/>
      <c r="G404" s="83"/>
    </row>
    <row r="405" spans="1:7" outlineLevel="1" x14ac:dyDescent="0.25">
      <c r="A405" s="79" t="s">
        <v>863</v>
      </c>
      <c r="B405" s="79" t="s">
        <v>864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865</v>
      </c>
      <c r="B406" s="77" t="s">
        <v>866</v>
      </c>
      <c r="C406" s="77"/>
      <c r="D406" s="82"/>
      <c r="E406" s="78"/>
      <c r="F406" s="78"/>
      <c r="G406" s="83"/>
    </row>
    <row r="407" spans="1:7" outlineLevel="1" x14ac:dyDescent="0.25">
      <c r="A407" s="79" t="s">
        <v>867</v>
      </c>
      <c r="B407" s="79" t="s">
        <v>868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869</v>
      </c>
      <c r="B408" s="79" t="s">
        <v>870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871</v>
      </c>
      <c r="B409" s="79" t="s">
        <v>872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873</v>
      </c>
      <c r="B410" s="77" t="s">
        <v>874</v>
      </c>
      <c r="C410" s="77"/>
      <c r="D410" s="82"/>
      <c r="E410" s="78"/>
      <c r="F410" s="78"/>
      <c r="G410" s="83"/>
    </row>
    <row r="411" spans="1:7" outlineLevel="1" x14ac:dyDescent="0.25">
      <c r="A411" s="85" t="s">
        <v>875</v>
      </c>
      <c r="B411" s="85" t="s">
        <v>876</v>
      </c>
      <c r="C411" s="85"/>
      <c r="D411" s="82"/>
      <c r="E411" s="86"/>
      <c r="F411" s="86"/>
      <c r="G411" s="83"/>
    </row>
    <row r="412" spans="1:7" outlineLevel="1" x14ac:dyDescent="0.25">
      <c r="A412" s="79" t="s">
        <v>877</v>
      </c>
      <c r="B412" s="79" t="s">
        <v>878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879</v>
      </c>
      <c r="B413" s="79" t="s">
        <v>880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881</v>
      </c>
      <c r="B414" s="79" t="s">
        <v>882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883</v>
      </c>
      <c r="B415" s="79" t="s">
        <v>884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885</v>
      </c>
      <c r="B416" s="79" t="s">
        <v>886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887</v>
      </c>
      <c r="B417" s="79" t="s">
        <v>888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889</v>
      </c>
      <c r="B418" s="85" t="s">
        <v>890</v>
      </c>
      <c r="C418" s="85"/>
      <c r="D418" s="82"/>
      <c r="E418" s="86"/>
      <c r="F418" s="86"/>
      <c r="G418" s="83"/>
    </row>
    <row r="419" spans="1:7" outlineLevel="1" x14ac:dyDescent="0.25">
      <c r="A419" s="79" t="s">
        <v>891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892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893</v>
      </c>
      <c r="B421" s="77" t="s">
        <v>894</v>
      </c>
      <c r="C421" s="77"/>
      <c r="D421" s="82"/>
      <c r="E421" s="78"/>
      <c r="F421" s="78"/>
      <c r="G421" s="83"/>
    </row>
    <row r="422" spans="1:7" outlineLevel="1" x14ac:dyDescent="0.25">
      <c r="A422" s="79" t="s">
        <v>895</v>
      </c>
      <c r="B422" s="79" t="s">
        <v>896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897</v>
      </c>
      <c r="B423" s="79" t="s">
        <v>898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899</v>
      </c>
      <c r="B424" s="79" t="s">
        <v>900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901</v>
      </c>
      <c r="B425" s="79" t="s">
        <v>902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903</v>
      </c>
      <c r="B426" s="79" t="s">
        <v>904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905</v>
      </c>
      <c r="B427" s="79" t="s">
        <v>906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907</v>
      </c>
      <c r="B428" s="79" t="s">
        <v>908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909</v>
      </c>
      <c r="B429" s="79" t="s">
        <v>910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911</v>
      </c>
      <c r="B430" s="79" t="s">
        <v>912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913</v>
      </c>
      <c r="B431" s="79" t="s">
        <v>914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915</v>
      </c>
      <c r="B432" s="79" t="s">
        <v>916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917</v>
      </c>
      <c r="B433" s="79" t="s">
        <v>918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919</v>
      </c>
      <c r="B434" s="79" t="s">
        <v>920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921</v>
      </c>
      <c r="B435" s="79" t="s">
        <v>922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923</v>
      </c>
      <c r="B436" s="85" t="s">
        <v>924</v>
      </c>
      <c r="C436" s="85"/>
      <c r="D436" s="82"/>
      <c r="E436" s="86"/>
      <c r="F436" s="86"/>
      <c r="G436" s="83"/>
    </row>
    <row r="437" spans="1:7" outlineLevel="1" x14ac:dyDescent="0.25">
      <c r="A437" s="87" t="s">
        <v>925</v>
      </c>
      <c r="B437" s="87" t="s">
        <v>926</v>
      </c>
      <c r="C437" s="87"/>
      <c r="D437" s="82"/>
      <c r="E437" s="88"/>
      <c r="F437" s="88"/>
      <c r="G437" s="83"/>
    </row>
    <row r="438" spans="1:7" outlineLevel="1" x14ac:dyDescent="0.25">
      <c r="A438" s="79" t="s">
        <v>927</v>
      </c>
      <c r="B438" s="79" t="s">
        <v>928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929</v>
      </c>
      <c r="B439" s="79" t="s">
        <v>462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930</v>
      </c>
      <c r="B440" s="79" t="s">
        <v>460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931</v>
      </c>
      <c r="B441" s="79" t="s">
        <v>464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932</v>
      </c>
      <c r="B442" s="87" t="s">
        <v>933</v>
      </c>
      <c r="C442" s="87"/>
      <c r="D442" s="82"/>
      <c r="E442" s="88"/>
      <c r="F442" s="88"/>
      <c r="G442" s="83"/>
    </row>
    <row r="443" spans="1:7" outlineLevel="1" x14ac:dyDescent="0.25">
      <c r="A443" s="79" t="s">
        <v>934</v>
      </c>
      <c r="B443" s="79" t="s">
        <v>928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935</v>
      </c>
      <c r="B444" s="79" t="s">
        <v>460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936</v>
      </c>
      <c r="B445" s="79" t="s">
        <v>464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937</v>
      </c>
      <c r="B446" s="77" t="s">
        <v>938</v>
      </c>
      <c r="C446" s="77"/>
      <c r="D446" s="82"/>
      <c r="E446" s="78"/>
      <c r="F446" s="78"/>
      <c r="G446" s="83"/>
    </row>
    <row r="447" spans="1:7" outlineLevel="1" x14ac:dyDescent="0.25">
      <c r="A447" s="79" t="s">
        <v>939</v>
      </c>
      <c r="B447" s="79" t="s">
        <v>940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941</v>
      </c>
      <c r="B448" s="77" t="s">
        <v>942</v>
      </c>
      <c r="C448" s="77"/>
      <c r="D448" s="82"/>
      <c r="E448" s="78"/>
      <c r="F448" s="78"/>
      <c r="G448" s="83"/>
    </row>
    <row r="449" spans="1:7" outlineLevel="1" x14ac:dyDescent="0.25">
      <c r="A449" s="79" t="s">
        <v>943</v>
      </c>
      <c r="B449" s="79" t="s">
        <v>944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945</v>
      </c>
      <c r="B450" s="79" t="s">
        <v>946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947</v>
      </c>
      <c r="B451" s="79" t="s">
        <v>948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949</v>
      </c>
      <c r="B452" s="79" t="s">
        <v>950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951</v>
      </c>
      <c r="B453" s="79" t="s">
        <v>952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953</v>
      </c>
      <c r="B454" s="79" t="s">
        <v>954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955</v>
      </c>
      <c r="B455" s="77" t="s">
        <v>956</v>
      </c>
      <c r="C455" s="77"/>
      <c r="D455" s="82"/>
      <c r="E455" s="78"/>
      <c r="F455" s="78"/>
      <c r="G455" s="83"/>
    </row>
    <row r="456" spans="1:7" outlineLevel="1" x14ac:dyDescent="0.25">
      <c r="A456" s="79" t="s">
        <v>957</v>
      </c>
      <c r="B456" s="79" t="s">
        <v>958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959</v>
      </c>
      <c r="B457" s="77" t="s">
        <v>960</v>
      </c>
      <c r="C457" s="77"/>
      <c r="D457" s="82"/>
      <c r="E457" s="78"/>
      <c r="F457" s="78"/>
      <c r="G457" s="83"/>
    </row>
    <row r="458" spans="1:7" outlineLevel="1" x14ac:dyDescent="0.25">
      <c r="A458" s="85" t="s">
        <v>961</v>
      </c>
      <c r="B458" s="85" t="s">
        <v>962</v>
      </c>
      <c r="C458" s="85"/>
      <c r="D458" s="82"/>
      <c r="E458" s="86"/>
      <c r="F458" s="86"/>
      <c r="G458" s="83"/>
    </row>
    <row r="459" spans="1:7" outlineLevel="1" x14ac:dyDescent="0.25">
      <c r="A459" s="79" t="s">
        <v>963</v>
      </c>
      <c r="B459" s="79" t="s">
        <v>964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965</v>
      </c>
      <c r="B460" s="85" t="s">
        <v>644</v>
      </c>
      <c r="C460" s="85"/>
      <c r="D460" s="82"/>
      <c r="E460" s="86"/>
      <c r="F460" s="86"/>
      <c r="G460" s="83"/>
    </row>
    <row r="461" spans="1:7" outlineLevel="1" x14ac:dyDescent="0.25">
      <c r="A461" s="79" t="s">
        <v>966</v>
      </c>
      <c r="B461" s="79" t="s">
        <v>967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968</v>
      </c>
      <c r="B462" s="79" t="s">
        <v>266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969</v>
      </c>
      <c r="B463" s="85" t="s">
        <v>970</v>
      </c>
      <c r="C463" s="85"/>
      <c r="D463" s="82"/>
      <c r="E463" s="86"/>
      <c r="F463" s="86"/>
      <c r="G463" s="83"/>
    </row>
    <row r="464" spans="1:7" outlineLevel="1" x14ac:dyDescent="0.25">
      <c r="A464" s="79" t="s">
        <v>971</v>
      </c>
      <c r="B464" s="91" t="s">
        <v>972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973</v>
      </c>
      <c r="B465" s="91" t="s">
        <v>974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975</v>
      </c>
      <c r="B466" s="91" t="s">
        <v>976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977</v>
      </c>
      <c r="B467" s="91" t="s">
        <v>978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979</v>
      </c>
      <c r="B468" s="85" t="s">
        <v>970</v>
      </c>
      <c r="C468" s="85"/>
      <c r="D468" s="82"/>
      <c r="E468" s="86"/>
      <c r="F468" s="86"/>
      <c r="G468" s="83"/>
    </row>
    <row r="469" spans="1:7" outlineLevel="1" x14ac:dyDescent="0.25">
      <c r="A469" s="79" t="s">
        <v>980</v>
      </c>
      <c r="B469" s="79" t="s">
        <v>981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982</v>
      </c>
      <c r="B470" s="79" t="s">
        <v>983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984</v>
      </c>
      <c r="B471" s="85" t="s">
        <v>985</v>
      </c>
      <c r="C471" s="85"/>
      <c r="D471" s="82"/>
      <c r="E471" s="86"/>
      <c r="F471" s="86"/>
      <c r="G471" s="83"/>
    </row>
    <row r="472" spans="1:7" outlineLevel="1" x14ac:dyDescent="0.25">
      <c r="A472" s="79" t="s">
        <v>986</v>
      </c>
      <c r="B472" s="79" t="s">
        <v>987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988</v>
      </c>
      <c r="B473" s="79" t="s">
        <v>989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990</v>
      </c>
      <c r="B474" s="77" t="s">
        <v>991</v>
      </c>
      <c r="C474" s="77"/>
      <c r="D474" s="82"/>
      <c r="E474" s="78"/>
      <c r="F474" s="78"/>
      <c r="G474" s="83"/>
    </row>
    <row r="475" spans="1:7" outlineLevel="1" x14ac:dyDescent="0.25">
      <c r="A475" s="85" t="s">
        <v>992</v>
      </c>
      <c r="B475" s="85" t="s">
        <v>993</v>
      </c>
      <c r="C475" s="85"/>
      <c r="D475" s="82"/>
      <c r="E475" s="86"/>
      <c r="F475" s="86"/>
      <c r="G475" s="83"/>
    </row>
    <row r="476" spans="1:7" outlineLevel="1" x14ac:dyDescent="0.25">
      <c r="A476" s="79" t="s">
        <v>994</v>
      </c>
      <c r="B476" s="79" t="s">
        <v>995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996</v>
      </c>
      <c r="B477" s="79" t="s">
        <v>997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998</v>
      </c>
      <c r="B478" s="79" t="s">
        <v>999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1000</v>
      </c>
      <c r="B479" s="79" t="s">
        <v>1001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1002</v>
      </c>
      <c r="B480" s="79" t="s">
        <v>264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1003</v>
      </c>
      <c r="B481" s="79" t="s">
        <v>1004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1005</v>
      </c>
      <c r="B482" s="79" t="s">
        <v>800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1006</v>
      </c>
      <c r="B483" s="79" t="s">
        <v>1007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1008</v>
      </c>
      <c r="B484" s="79" t="s">
        <v>1009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1010</v>
      </c>
      <c r="B485" s="79" t="s">
        <v>1011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1012</v>
      </c>
      <c r="B486" s="79" t="s">
        <v>1013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1014</v>
      </c>
      <c r="B487" s="79" t="s">
        <v>266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1015</v>
      </c>
      <c r="B488" s="85" t="s">
        <v>1016</v>
      </c>
      <c r="C488" s="85"/>
      <c r="D488" s="82"/>
      <c r="E488" s="86"/>
      <c r="F488" s="86"/>
      <c r="G488" s="83"/>
    </row>
    <row r="489" spans="1:7" outlineLevel="1" x14ac:dyDescent="0.25">
      <c r="A489" s="79" t="s">
        <v>1017</v>
      </c>
      <c r="B489" s="79" t="s">
        <v>1018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1019</v>
      </c>
      <c r="B490" s="79" t="s">
        <v>1020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1021</v>
      </c>
      <c r="B491" s="79" t="s">
        <v>1022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1023</v>
      </c>
      <c r="B492" s="79" t="s">
        <v>1024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1025</v>
      </c>
      <c r="B493" s="79" t="s">
        <v>1026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1027</v>
      </c>
      <c r="B494" s="79" t="s">
        <v>1028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1029</v>
      </c>
      <c r="B495" s="75" t="s">
        <v>1030</v>
      </c>
      <c r="C495" s="75"/>
      <c r="D495" s="82"/>
      <c r="E495" s="76"/>
      <c r="F495" s="76"/>
      <c r="G495" s="83"/>
    </row>
    <row r="496" spans="1:7" outlineLevel="1" x14ac:dyDescent="0.25">
      <c r="A496" s="77" t="s">
        <v>1031</v>
      </c>
      <c r="B496" s="77" t="s">
        <v>1032</v>
      </c>
      <c r="C496" s="77"/>
      <c r="D496" s="82"/>
      <c r="E496" s="78"/>
      <c r="F496" s="78"/>
      <c r="G496" s="83"/>
    </row>
    <row r="497" spans="1:7" outlineLevel="1" x14ac:dyDescent="0.25">
      <c r="A497" s="79" t="s">
        <v>1033</v>
      </c>
      <c r="B497" s="79" t="s">
        <v>1034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1035</v>
      </c>
      <c r="B498" s="79" t="s">
        <v>1036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1037</v>
      </c>
      <c r="B499" s="79" t="s">
        <v>1038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1039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1040</v>
      </c>
      <c r="B501" s="85" t="s">
        <v>1041</v>
      </c>
      <c r="C501" s="85"/>
      <c r="D501" s="82"/>
      <c r="E501" s="86"/>
      <c r="F501" s="86"/>
      <c r="G501" s="83"/>
    </row>
    <row r="502" spans="1:7" outlineLevel="1" x14ac:dyDescent="0.25">
      <c r="A502" s="79" t="s">
        <v>1042</v>
      </c>
      <c r="B502" s="79" t="s">
        <v>1043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1044</v>
      </c>
      <c r="B503" s="79" t="s">
        <v>1045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1046</v>
      </c>
      <c r="B504" s="85" t="s">
        <v>763</v>
      </c>
      <c r="C504" s="85"/>
      <c r="D504" s="82"/>
      <c r="E504" s="86"/>
      <c r="F504" s="86"/>
      <c r="G504" s="83"/>
    </row>
    <row r="505" spans="1:7" outlineLevel="1" x14ac:dyDescent="0.25">
      <c r="A505" s="79" t="s">
        <v>1047</v>
      </c>
      <c r="B505" s="79" t="s">
        <v>1048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1049</v>
      </c>
      <c r="B506" s="79" t="s">
        <v>1050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1051</v>
      </c>
      <c r="B507" s="85" t="s">
        <v>765</v>
      </c>
      <c r="C507" s="85"/>
      <c r="D507" s="82"/>
      <c r="E507" s="86"/>
      <c r="F507" s="86"/>
      <c r="G507" s="83"/>
    </row>
    <row r="508" spans="1:7" outlineLevel="1" x14ac:dyDescent="0.25">
      <c r="A508" s="79" t="s">
        <v>1052</v>
      </c>
      <c r="B508" s="79" t="s">
        <v>1053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1054</v>
      </c>
      <c r="B509" s="79" t="s">
        <v>1055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1056</v>
      </c>
      <c r="B510" s="79" t="s">
        <v>266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1057</v>
      </c>
      <c r="B511" s="77" t="s">
        <v>1058</v>
      </c>
      <c r="C511" s="77"/>
      <c r="D511" s="82"/>
      <c r="E511" s="78"/>
      <c r="F511" s="78"/>
      <c r="G511" s="83"/>
    </row>
    <row r="512" spans="1:7" outlineLevel="1" x14ac:dyDescent="0.25">
      <c r="A512" s="79" t="s">
        <v>1059</v>
      </c>
      <c r="B512" s="79" t="s">
        <v>1060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1061</v>
      </c>
      <c r="B513" s="79" t="s">
        <v>1062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1063</v>
      </c>
      <c r="B514" s="79" t="s">
        <v>1064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1065</v>
      </c>
      <c r="B515" s="77" t="s">
        <v>1066</v>
      </c>
      <c r="C515" s="77"/>
      <c r="D515" s="82"/>
      <c r="E515" s="78"/>
      <c r="F515" s="78"/>
      <c r="G515" s="83"/>
    </row>
    <row r="516" spans="1:7" outlineLevel="1" x14ac:dyDescent="0.25">
      <c r="A516" s="79" t="s">
        <v>1067</v>
      </c>
      <c r="B516" s="79" t="s">
        <v>1068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1069</v>
      </c>
      <c r="B517" s="79" t="s">
        <v>1070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1071</v>
      </c>
      <c r="B518" s="77" t="s">
        <v>1072</v>
      </c>
      <c r="C518" s="77"/>
      <c r="D518" s="82"/>
      <c r="E518" s="78"/>
      <c r="F518" s="78"/>
      <c r="G518" s="83"/>
    </row>
    <row r="519" spans="1:7" outlineLevel="1" x14ac:dyDescent="0.25">
      <c r="A519" s="85" t="s">
        <v>1073</v>
      </c>
      <c r="B519" s="85" t="s">
        <v>1074</v>
      </c>
      <c r="C519" s="85"/>
      <c r="D519" s="82"/>
      <c r="E519" s="86"/>
      <c r="F519" s="86"/>
      <c r="G519" s="83"/>
    </row>
    <row r="520" spans="1:7" outlineLevel="1" x14ac:dyDescent="0.25">
      <c r="A520" s="79" t="s">
        <v>1075</v>
      </c>
      <c r="B520" s="79" t="s">
        <v>1076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1077</v>
      </c>
      <c r="B521" s="79" t="s">
        <v>1078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1079</v>
      </c>
      <c r="B522" s="79" t="s">
        <v>1080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1081</v>
      </c>
      <c r="B523" s="79" t="s">
        <v>1082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1083</v>
      </c>
      <c r="B524" s="79" t="s">
        <v>1084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1085</v>
      </c>
      <c r="B525" s="85" t="s">
        <v>1086</v>
      </c>
      <c r="C525" s="85"/>
      <c r="D525" s="82"/>
      <c r="E525" s="86"/>
      <c r="F525" s="86"/>
      <c r="G525" s="83"/>
    </row>
    <row r="526" spans="1:7" outlineLevel="1" x14ac:dyDescent="0.25">
      <c r="A526" s="79" t="s">
        <v>1087</v>
      </c>
      <c r="B526" s="79" t="s">
        <v>1088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1089</v>
      </c>
      <c r="B527" s="79" t="s">
        <v>1090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1091</v>
      </c>
      <c r="B528" s="79" t="s">
        <v>1092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1093</v>
      </c>
      <c r="B529" s="79" t="s">
        <v>1094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1095</v>
      </c>
      <c r="B530" s="79" t="s">
        <v>1096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1097</v>
      </c>
      <c r="B531" s="85" t="s">
        <v>1098</v>
      </c>
      <c r="C531" s="85"/>
      <c r="D531" s="82"/>
      <c r="E531" s="86"/>
      <c r="F531" s="86"/>
      <c r="G531" s="83"/>
    </row>
    <row r="532" spans="1:7" outlineLevel="1" x14ac:dyDescent="0.25">
      <c r="A532" s="87" t="s">
        <v>1099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1100</v>
      </c>
      <c r="B533" s="79" t="s">
        <v>1101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1102</v>
      </c>
      <c r="B534" s="79" t="s">
        <v>840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1103</v>
      </c>
      <c r="B535" s="79" t="s">
        <v>842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1104</v>
      </c>
      <c r="B536" s="79" t="s">
        <v>1105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1106</v>
      </c>
      <c r="B537" s="79" t="s">
        <v>1107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1108</v>
      </c>
      <c r="B538" s="79" t="s">
        <v>1109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1110</v>
      </c>
      <c r="B539" s="79" t="s">
        <v>1111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1112</v>
      </c>
      <c r="B540" s="87" t="s">
        <v>1113</v>
      </c>
      <c r="C540" s="87"/>
      <c r="D540" s="82"/>
      <c r="E540" s="88"/>
      <c r="F540" s="88"/>
      <c r="G540" s="83"/>
    </row>
    <row r="541" spans="1:7" outlineLevel="1" x14ac:dyDescent="0.25">
      <c r="A541" s="79" t="s">
        <v>1114</v>
      </c>
      <c r="B541" s="79" t="s">
        <v>1115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1116</v>
      </c>
      <c r="B542" s="79" t="s">
        <v>1117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1118</v>
      </c>
      <c r="B543" s="79" t="s">
        <v>1119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1120</v>
      </c>
      <c r="B544" s="87" t="s">
        <v>1121</v>
      </c>
      <c r="C544" s="87"/>
      <c r="D544" s="82"/>
      <c r="E544" s="88"/>
      <c r="F544" s="88"/>
      <c r="G544" s="83"/>
    </row>
    <row r="545" spans="1:7" outlineLevel="1" x14ac:dyDescent="0.25">
      <c r="A545" s="79" t="s">
        <v>1122</v>
      </c>
      <c r="B545" s="79" t="s">
        <v>1123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1124</v>
      </c>
      <c r="B546" s="87" t="s">
        <v>1125</v>
      </c>
      <c r="C546" s="87"/>
      <c r="D546" s="82"/>
      <c r="E546" s="88"/>
      <c r="F546" s="88"/>
      <c r="G546" s="83"/>
    </row>
    <row r="547" spans="1:7" outlineLevel="1" x14ac:dyDescent="0.25">
      <c r="A547" s="79" t="s">
        <v>1126</v>
      </c>
      <c r="B547" s="79" t="s">
        <v>1127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1128</v>
      </c>
      <c r="B548" s="87" t="s">
        <v>1129</v>
      </c>
      <c r="C548" s="87"/>
      <c r="D548" s="82"/>
      <c r="E548" s="88"/>
      <c r="F548" s="88"/>
      <c r="G548" s="83"/>
    </row>
    <row r="549" spans="1:7" outlineLevel="1" x14ac:dyDescent="0.25">
      <c r="A549" s="79" t="s">
        <v>1130</v>
      </c>
      <c r="B549" s="79" t="s">
        <v>1131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1132</v>
      </c>
      <c r="B550" s="79" t="s">
        <v>1133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1134</v>
      </c>
      <c r="B551" s="85" t="s">
        <v>1135</v>
      </c>
      <c r="C551" s="85"/>
      <c r="D551" s="82"/>
      <c r="E551" s="86"/>
      <c r="F551" s="86"/>
      <c r="G551" s="83"/>
    </row>
    <row r="552" spans="1:7" outlineLevel="1" x14ac:dyDescent="0.25">
      <c r="A552" s="87" t="s">
        <v>1136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1137</v>
      </c>
      <c r="B553" s="79" t="s">
        <v>1101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1138</v>
      </c>
      <c r="B554" s="79" t="s">
        <v>840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1139</v>
      </c>
      <c r="B555" s="79" t="s">
        <v>842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1140</v>
      </c>
      <c r="B556" s="79" t="s">
        <v>1105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1141</v>
      </c>
      <c r="B557" s="79" t="s">
        <v>1107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1142</v>
      </c>
      <c r="B558" s="79" t="s">
        <v>1109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1143</v>
      </c>
      <c r="B559" s="79" t="s">
        <v>1111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1144</v>
      </c>
      <c r="B560" s="87" t="s">
        <v>1145</v>
      </c>
      <c r="C560" s="87"/>
      <c r="D560" s="82"/>
      <c r="E560" s="88"/>
      <c r="F560" s="88"/>
      <c r="G560" s="83"/>
    </row>
    <row r="561" spans="1:7" outlineLevel="1" x14ac:dyDescent="0.25">
      <c r="A561" s="79" t="s">
        <v>1146</v>
      </c>
      <c r="B561" s="79" t="s">
        <v>1147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1148</v>
      </c>
      <c r="B562" s="79" t="s">
        <v>1149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1150</v>
      </c>
      <c r="B563" s="79" t="s">
        <v>1151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1152</v>
      </c>
      <c r="B564" s="79" t="s">
        <v>1153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1154</v>
      </c>
      <c r="B565" s="79" t="s">
        <v>1155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1156</v>
      </c>
      <c r="B566" s="87" t="s">
        <v>1157</v>
      </c>
      <c r="C566" s="87"/>
      <c r="D566" s="82"/>
      <c r="E566" s="88"/>
      <c r="F566" s="88"/>
      <c r="G566" s="83"/>
    </row>
    <row r="567" spans="1:7" outlineLevel="1" x14ac:dyDescent="0.25">
      <c r="A567" s="79" t="s">
        <v>1158</v>
      </c>
      <c r="B567" s="79" t="s">
        <v>1159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1160</v>
      </c>
      <c r="B568" s="79" t="s">
        <v>1161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1162</v>
      </c>
      <c r="B569" s="87" t="s">
        <v>1163</v>
      </c>
      <c r="C569" s="87"/>
      <c r="D569" s="82"/>
      <c r="E569" s="88"/>
      <c r="F569" s="88"/>
      <c r="G569" s="83"/>
    </row>
    <row r="570" spans="1:7" outlineLevel="1" x14ac:dyDescent="0.25">
      <c r="A570" s="79" t="s">
        <v>1164</v>
      </c>
      <c r="B570" s="79" t="s">
        <v>1165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1166</v>
      </c>
      <c r="B571" s="79" t="s">
        <v>1167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1168</v>
      </c>
      <c r="B572" s="90" t="s">
        <v>1169</v>
      </c>
      <c r="C572" s="85"/>
      <c r="D572" s="82"/>
      <c r="E572" s="86"/>
      <c r="F572" s="86"/>
      <c r="G572" s="83"/>
    </row>
    <row r="573" spans="1:7" outlineLevel="1" x14ac:dyDescent="0.25">
      <c r="A573" s="87" t="s">
        <v>1170</v>
      </c>
      <c r="B573" s="96" t="s">
        <v>1171</v>
      </c>
      <c r="C573" s="87"/>
      <c r="D573" s="82"/>
      <c r="E573" s="88"/>
      <c r="F573" s="88"/>
      <c r="G573" s="83"/>
    </row>
    <row r="574" spans="1:7" outlineLevel="1" x14ac:dyDescent="0.25">
      <c r="A574" s="79" t="s">
        <v>1172</v>
      </c>
      <c r="B574" s="91" t="s">
        <v>1173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1174</v>
      </c>
      <c r="B575" s="91" t="s">
        <v>1175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1176</v>
      </c>
      <c r="B576" s="91" t="s">
        <v>1177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1178</v>
      </c>
      <c r="B577" s="96" t="s">
        <v>1179</v>
      </c>
      <c r="C577" s="87"/>
      <c r="D577" s="82"/>
      <c r="E577" s="88"/>
      <c r="F577" s="88"/>
      <c r="G577" s="83"/>
    </row>
    <row r="578" spans="1:7" outlineLevel="1" x14ac:dyDescent="0.25">
      <c r="A578" s="79" t="s">
        <v>1180</v>
      </c>
      <c r="B578" s="91" t="s">
        <v>1149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1181</v>
      </c>
      <c r="B579" s="91" t="s">
        <v>1182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1183</v>
      </c>
      <c r="B580" s="85" t="s">
        <v>1184</v>
      </c>
      <c r="C580" s="85"/>
      <c r="D580" s="82"/>
      <c r="E580" s="86"/>
      <c r="F580" s="86"/>
      <c r="G580" s="83"/>
    </row>
    <row r="581" spans="1:7" outlineLevel="1" x14ac:dyDescent="0.25">
      <c r="A581" s="79" t="s">
        <v>1185</v>
      </c>
      <c r="B581" s="79" t="s">
        <v>1186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1187</v>
      </c>
      <c r="B582" s="79" t="s">
        <v>1188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1189</v>
      </c>
      <c r="B583" s="85" t="s">
        <v>1190</v>
      </c>
      <c r="C583" s="85"/>
      <c r="D583" s="82"/>
      <c r="E583" s="86"/>
      <c r="F583" s="86"/>
      <c r="G583" s="83"/>
    </row>
    <row r="584" spans="1:7" outlineLevel="1" x14ac:dyDescent="0.25">
      <c r="A584" s="79" t="s">
        <v>1191</v>
      </c>
      <c r="B584" s="79" t="s">
        <v>1192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1193</v>
      </c>
      <c r="B585" s="75" t="s">
        <v>1194</v>
      </c>
      <c r="C585" s="75"/>
      <c r="D585" s="82"/>
      <c r="E585" s="76"/>
      <c r="F585" s="76"/>
      <c r="G585" s="83"/>
    </row>
    <row r="586" spans="1:7" outlineLevel="1" x14ac:dyDescent="0.25">
      <c r="A586" s="77" t="s">
        <v>1195</v>
      </c>
      <c r="B586" s="77" t="s">
        <v>1196</v>
      </c>
      <c r="C586" s="77"/>
      <c r="D586" s="82"/>
      <c r="E586" s="78"/>
      <c r="F586" s="78"/>
      <c r="G586" s="83"/>
    </row>
    <row r="587" spans="1:7" outlineLevel="1" x14ac:dyDescent="0.25">
      <c r="A587" s="79" t="s">
        <v>1197</v>
      </c>
      <c r="B587" s="79" t="s">
        <v>1198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1199</v>
      </c>
      <c r="B588" s="79" t="s">
        <v>1200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1201</v>
      </c>
      <c r="B589" s="77" t="s">
        <v>1202</v>
      </c>
      <c r="C589" s="77"/>
      <c r="D589" s="82"/>
      <c r="E589" s="78"/>
      <c r="F589" s="78"/>
      <c r="G589" s="83"/>
    </row>
    <row r="590" spans="1:7" outlineLevel="1" x14ac:dyDescent="0.25">
      <c r="A590" s="79" t="s">
        <v>1203</v>
      </c>
      <c r="B590" s="79" t="s">
        <v>1204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1205</v>
      </c>
      <c r="B591" s="75" t="s">
        <v>1206</v>
      </c>
      <c r="C591" s="75"/>
      <c r="D591" s="82"/>
      <c r="E591" s="76"/>
      <c r="F591" s="76"/>
      <c r="G591" s="83"/>
    </row>
    <row r="592" spans="1:7" outlineLevel="1" x14ac:dyDescent="0.25">
      <c r="A592" s="77" t="s">
        <v>1207</v>
      </c>
      <c r="B592" s="77" t="s">
        <v>1208</v>
      </c>
      <c r="C592" s="77"/>
      <c r="D592" s="82"/>
      <c r="E592" s="78"/>
      <c r="F592" s="78"/>
      <c r="G592" s="83"/>
    </row>
    <row r="593" spans="1:7" outlineLevel="1" x14ac:dyDescent="0.25">
      <c r="A593" s="79" t="s">
        <v>1209</v>
      </c>
      <c r="B593" s="79" t="s">
        <v>1210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1211</v>
      </c>
      <c r="B594" s="79" t="s">
        <v>1212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1213</v>
      </c>
      <c r="B595" s="79" t="s">
        <v>1214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1215</v>
      </c>
      <c r="B596" s="79" t="s">
        <v>1216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1217</v>
      </c>
      <c r="B597" s="77" t="s">
        <v>1072</v>
      </c>
      <c r="C597" s="77"/>
      <c r="D597" s="82"/>
      <c r="E597" s="78"/>
      <c r="F597" s="78"/>
      <c r="G597" s="83"/>
    </row>
    <row r="598" spans="1:7" outlineLevel="1" x14ac:dyDescent="0.25">
      <c r="A598" s="79" t="s">
        <v>1218</v>
      </c>
      <c r="B598" s="79" t="s">
        <v>1214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1219</v>
      </c>
      <c r="B599" s="79" t="s">
        <v>1220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1221</v>
      </c>
      <c r="B600" s="75" t="s">
        <v>1222</v>
      </c>
      <c r="C600" s="75"/>
      <c r="D600" s="82"/>
      <c r="E600" s="76"/>
      <c r="F600" s="76"/>
      <c r="G600" s="83"/>
    </row>
    <row r="601" spans="1:7" outlineLevel="1" x14ac:dyDescent="0.25">
      <c r="A601" s="79" t="s">
        <v>1223</v>
      </c>
      <c r="B601" s="79" t="s">
        <v>1224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1225</v>
      </c>
      <c r="B602" s="79" t="s">
        <v>1226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1227</v>
      </c>
      <c r="B603" s="79" t="s">
        <v>1228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1229</v>
      </c>
      <c r="B604" s="79" t="s">
        <v>1230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1231</v>
      </c>
      <c r="B605" s="79" t="s">
        <v>1232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1233</v>
      </c>
      <c r="B606" s="79" t="s">
        <v>1234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1235</v>
      </c>
      <c r="B607" s="79" t="s">
        <v>1236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71" t="s">
        <v>1237</v>
      </c>
      <c r="B608" s="572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  <c r="G1" s="570" t="s">
        <v>1238</v>
      </c>
    </row>
    <row r="2" spans="1:7" ht="12.4" customHeight="1" x14ac:dyDescent="0.25">
      <c r="A2" s="573"/>
      <c r="B2" s="573"/>
      <c r="C2" s="573"/>
      <c r="D2" s="574"/>
      <c r="E2" s="570"/>
      <c r="F2" s="570"/>
      <c r="G2" s="570"/>
    </row>
    <row r="3" spans="1:7" x14ac:dyDescent="0.25">
      <c r="A3" s="98" t="s">
        <v>1239</v>
      </c>
      <c r="B3" s="98" t="s">
        <v>1240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1241</v>
      </c>
      <c r="B4" s="100" t="s">
        <v>195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1242</v>
      </c>
      <c r="B5" s="102" t="s">
        <v>197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1243</v>
      </c>
      <c r="B6" s="104" t="s">
        <v>199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1244</v>
      </c>
      <c r="B7" s="104" t="s">
        <v>1245</v>
      </c>
      <c r="C7" s="104" t="s">
        <v>202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1246</v>
      </c>
      <c r="B8" s="102" t="s">
        <v>204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1247</v>
      </c>
      <c r="B9" s="104" t="s">
        <v>206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1248</v>
      </c>
      <c r="B10" s="104" t="s">
        <v>208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1249</v>
      </c>
      <c r="B11" s="100" t="s">
        <v>214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1250</v>
      </c>
      <c r="B12" s="102" t="s">
        <v>1251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1252</v>
      </c>
      <c r="B13" s="104" t="s">
        <v>218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1253</v>
      </c>
      <c r="B14" s="104" t="s">
        <v>220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1254</v>
      </c>
      <c r="B15" s="104" t="s">
        <v>222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1255</v>
      </c>
      <c r="B16" s="102" t="s">
        <v>224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1256</v>
      </c>
      <c r="B17" s="104" t="s">
        <v>226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1257</v>
      </c>
      <c r="B18" s="104" t="s">
        <v>1258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1259</v>
      </c>
      <c r="B19" s="104" t="s">
        <v>1260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1261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1262</v>
      </c>
      <c r="B21" s="102" t="s">
        <v>1263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1264</v>
      </c>
      <c r="B22" s="104" t="s">
        <v>1265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1266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1267</v>
      </c>
      <c r="B24" s="104" t="s">
        <v>1260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1268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1269</v>
      </c>
      <c r="B26" s="102" t="s">
        <v>1270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1271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1272</v>
      </c>
      <c r="B28" s="104" t="s">
        <v>1273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1274</v>
      </c>
      <c r="B29" s="102" t="s">
        <v>242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1275</v>
      </c>
      <c r="B30" s="109" t="s">
        <v>244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1276</v>
      </c>
      <c r="B31" s="104" t="s">
        <v>246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1277</v>
      </c>
      <c r="B32" s="104" t="s">
        <v>250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1278</v>
      </c>
      <c r="B33" s="104" t="s">
        <v>252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1279</v>
      </c>
      <c r="B34" s="109" t="s">
        <v>254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1280</v>
      </c>
      <c r="B35" s="104" t="s">
        <v>250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1281</v>
      </c>
      <c r="B36" s="104" t="s">
        <v>252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1282</v>
      </c>
      <c r="B37" s="100" t="s">
        <v>1283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1284</v>
      </c>
      <c r="B38" s="102" t="s">
        <v>1285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1286</v>
      </c>
      <c r="B39" s="104" t="s">
        <v>297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1287</v>
      </c>
      <c r="B40" s="104" t="s">
        <v>318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1288</v>
      </c>
      <c r="B41" s="104" t="s">
        <v>322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1289</v>
      </c>
      <c r="B42" s="104" t="s">
        <v>299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1290</v>
      </c>
      <c r="B43" s="104" t="s">
        <v>332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1291</v>
      </c>
      <c r="B44" s="104" t="s">
        <v>330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1292</v>
      </c>
      <c r="B45" s="104" t="s">
        <v>334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1293</v>
      </c>
      <c r="B46" s="104" t="s">
        <v>432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1294</v>
      </c>
      <c r="B47" s="104" t="s">
        <v>340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1295</v>
      </c>
      <c r="B48" s="102" t="s">
        <v>1296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1297</v>
      </c>
      <c r="B49" s="104" t="s">
        <v>297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1298</v>
      </c>
      <c r="B50" s="104" t="s">
        <v>1299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1300</v>
      </c>
      <c r="B51" s="104" t="s">
        <v>299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1301</v>
      </c>
      <c r="B52" s="104" t="s">
        <v>322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1302</v>
      </c>
      <c r="B53" s="102" t="s">
        <v>1303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1304</v>
      </c>
      <c r="B54" s="104" t="s">
        <v>297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1305</v>
      </c>
      <c r="B55" s="104" t="s">
        <v>299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1306</v>
      </c>
      <c r="B56" s="104" t="s">
        <v>330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1307</v>
      </c>
      <c r="B57" s="104" t="s">
        <v>340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1308</v>
      </c>
      <c r="B58" s="102" t="s">
        <v>1309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1310</v>
      </c>
      <c r="B59" s="104" t="s">
        <v>313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1311</v>
      </c>
      <c r="B60" s="104" t="s">
        <v>297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1312</v>
      </c>
      <c r="B61" s="104" t="s">
        <v>316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1313</v>
      </c>
      <c r="B62" s="104" t="s">
        <v>318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1314</v>
      </c>
      <c r="B63" s="104" t="s">
        <v>386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1315</v>
      </c>
      <c r="B64" s="104" t="s">
        <v>322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1316</v>
      </c>
      <c r="B65" s="104" t="s">
        <v>326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1317</v>
      </c>
      <c r="B66" s="104" t="s">
        <v>396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1318</v>
      </c>
      <c r="B67" s="104" t="s">
        <v>332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1319</v>
      </c>
      <c r="B68" s="104" t="s">
        <v>334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1320</v>
      </c>
      <c r="B69" s="104" t="s">
        <v>432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1321</v>
      </c>
      <c r="B70" s="102" t="s">
        <v>1322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1323</v>
      </c>
      <c r="B71" s="104" t="s">
        <v>313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1324</v>
      </c>
      <c r="B72" s="104" t="s">
        <v>297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1325</v>
      </c>
      <c r="B73" s="104" t="s">
        <v>316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1326</v>
      </c>
      <c r="B74" s="104" t="s">
        <v>318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1327</v>
      </c>
      <c r="B75" s="104" t="s">
        <v>320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1328</v>
      </c>
      <c r="B76" s="104" t="s">
        <v>322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1329</v>
      </c>
      <c r="B77" s="104" t="s">
        <v>324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1330</v>
      </c>
      <c r="B78" s="104" t="s">
        <v>326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1331</v>
      </c>
      <c r="B79" s="104" t="s">
        <v>328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1332</v>
      </c>
      <c r="B80" s="104" t="s">
        <v>330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1333</v>
      </c>
      <c r="B81" s="104" t="s">
        <v>330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1334</v>
      </c>
      <c r="B82" s="104" t="s">
        <v>340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1335</v>
      </c>
      <c r="B83" s="104" t="s">
        <v>338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1336</v>
      </c>
      <c r="B84" s="104" t="s">
        <v>334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1337</v>
      </c>
      <c r="B85" s="104" t="s">
        <v>1338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1339</v>
      </c>
      <c r="B86" s="102" t="s">
        <v>1340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1341</v>
      </c>
      <c r="B87" s="104" t="s">
        <v>1342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1343</v>
      </c>
      <c r="B88" s="104" t="s">
        <v>299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1344</v>
      </c>
      <c r="B89" s="104" t="s">
        <v>301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1345</v>
      </c>
      <c r="B90" s="102" t="s">
        <v>1346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1347</v>
      </c>
      <c r="B91" s="104" t="s">
        <v>313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1348</v>
      </c>
      <c r="B92" s="104" t="s">
        <v>409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1349</v>
      </c>
      <c r="B93" s="104" t="s">
        <v>318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1350</v>
      </c>
      <c r="B94" s="104" t="s">
        <v>386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1351</v>
      </c>
      <c r="B95" s="104" t="s">
        <v>322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1352</v>
      </c>
      <c r="B96" s="104" t="s">
        <v>326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1353</v>
      </c>
      <c r="B97" s="104" t="s">
        <v>396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1354</v>
      </c>
      <c r="B98" s="104" t="s">
        <v>330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1355</v>
      </c>
      <c r="B99" s="104" t="s">
        <v>418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1356</v>
      </c>
      <c r="B100" s="104" t="s">
        <v>420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1357</v>
      </c>
      <c r="B101" s="104" t="s">
        <v>422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1358</v>
      </c>
      <c r="B102" s="102" t="s">
        <v>1359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1360</v>
      </c>
      <c r="B103" s="104" t="s">
        <v>409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1361</v>
      </c>
      <c r="B104" s="104" t="s">
        <v>427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1362</v>
      </c>
      <c r="B105" s="104" t="s">
        <v>322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1363</v>
      </c>
      <c r="B106" s="104" t="s">
        <v>430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1364</v>
      </c>
      <c r="B107" s="104" t="s">
        <v>432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1365</v>
      </c>
      <c r="B108" s="104" t="s">
        <v>434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1366</v>
      </c>
      <c r="B109" s="104" t="s">
        <v>1367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1368</v>
      </c>
      <c r="B110" s="102" t="s">
        <v>1369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1370</v>
      </c>
      <c r="B111" s="109" t="s">
        <v>1371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1372</v>
      </c>
      <c r="B112" s="104" t="s">
        <v>359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1373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1374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1375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1376</v>
      </c>
      <c r="B116" s="104" t="s">
        <v>351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1377</v>
      </c>
    </row>
    <row r="117" spans="1:8" outlineLevel="1" x14ac:dyDescent="0.25">
      <c r="A117" s="109" t="s">
        <v>1378</v>
      </c>
      <c r="B117" s="109" t="s">
        <v>1379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1380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1381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1382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1383</v>
      </c>
      <c r="B121" s="104" t="s">
        <v>545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1384</v>
      </c>
      <c r="B122" s="104" t="s">
        <v>1385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1386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1387</v>
      </c>
      <c r="B124" s="109" t="s">
        <v>1388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1389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1390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1391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1392</v>
      </c>
      <c r="B128" s="109" t="s">
        <v>1393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1394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1395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1396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1397</v>
      </c>
      <c r="B132" s="104" t="s">
        <v>545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1398</v>
      </c>
      <c r="B133" s="104" t="s">
        <v>1385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1399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1400</v>
      </c>
      <c r="B135" s="104" t="s">
        <v>1401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1402</v>
      </c>
      <c r="B136" s="104" t="s">
        <v>1403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1404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1405</v>
      </c>
      <c r="B138" s="109" t="s">
        <v>1406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1407</v>
      </c>
      <c r="B139" s="104" t="s">
        <v>359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1408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1409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1410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1411</v>
      </c>
      <c r="B143" s="104" t="s">
        <v>351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1412</v>
      </c>
      <c r="B144" s="109" t="s">
        <v>494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1413</v>
      </c>
      <c r="B145" s="104" t="s">
        <v>496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1414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1415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1416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1417</v>
      </c>
      <c r="B149" s="104" t="s">
        <v>501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1418</v>
      </c>
      <c r="B150" s="100" t="s">
        <v>634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1419</v>
      </c>
      <c r="B151" s="102" t="s">
        <v>1420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1421</v>
      </c>
      <c r="B152" s="104" t="s">
        <v>1422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1423</v>
      </c>
      <c r="B153" s="104" t="s">
        <v>1424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1425</v>
      </c>
      <c r="B154" s="104" t="s">
        <v>1426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1427</v>
      </c>
      <c r="B155" s="102" t="s">
        <v>1369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1428</v>
      </c>
      <c r="B156" s="109" t="s">
        <v>1429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1430</v>
      </c>
      <c r="B157" s="104" t="s">
        <v>679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1431</v>
      </c>
      <c r="B158" s="104" t="s">
        <v>681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1432</v>
      </c>
      <c r="B159" s="104" t="s">
        <v>1433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1434</v>
      </c>
      <c r="B160" s="104" t="s">
        <v>683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1435</v>
      </c>
      <c r="B161" s="104" t="s">
        <v>687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1436</v>
      </c>
      <c r="B162" s="104" t="s">
        <v>689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1437</v>
      </c>
      <c r="B163" s="104" t="s">
        <v>1438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1439</v>
      </c>
      <c r="B164" s="104" t="s">
        <v>1440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1441</v>
      </c>
      <c r="B165" s="109" t="s">
        <v>1442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1443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1444</v>
      </c>
      <c r="B167" s="104" t="s">
        <v>1445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1446</v>
      </c>
      <c r="B168" s="104" t="s">
        <v>1111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1447</v>
      </c>
      <c r="B169" s="112" t="s">
        <v>1448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1449</v>
      </c>
      <c r="B170" s="104" t="s">
        <v>1450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1451</v>
      </c>
      <c r="B171" s="112" t="s">
        <v>1452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1453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1454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1455</v>
      </c>
      <c r="B174" s="109" t="s">
        <v>1456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1457</v>
      </c>
      <c r="B175" s="104" t="s">
        <v>679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1458</v>
      </c>
      <c r="B176" s="104" t="s">
        <v>1433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1459</v>
      </c>
      <c r="B177" s="104" t="s">
        <v>683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1460</v>
      </c>
      <c r="B178" s="104" t="s">
        <v>1461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1462</v>
      </c>
      <c r="B179" s="104" t="s">
        <v>657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1463</v>
      </c>
      <c r="B180" s="104" t="s">
        <v>659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1464</v>
      </c>
      <c r="B181" s="100" t="s">
        <v>569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1465</v>
      </c>
      <c r="B182" s="102" t="s">
        <v>571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1466</v>
      </c>
      <c r="B183" s="104" t="s">
        <v>573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1467</v>
      </c>
      <c r="B184" s="104" t="s">
        <v>1468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1469</v>
      </c>
      <c r="B185" s="104" t="s">
        <v>586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1470</v>
      </c>
      <c r="B186" s="104" t="s">
        <v>588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1471</v>
      </c>
      <c r="B187" s="104" t="s">
        <v>1472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1473</v>
      </c>
      <c r="B188" s="102" t="s">
        <v>1474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1475</v>
      </c>
      <c r="B189" s="104" t="s">
        <v>1476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1477</v>
      </c>
      <c r="B190" s="100" t="s">
        <v>752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1478</v>
      </c>
      <c r="B191" s="102" t="s">
        <v>754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1479</v>
      </c>
      <c r="B192" s="104" t="s">
        <v>756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1480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1481</v>
      </c>
      <c r="B194" s="104" t="s">
        <v>759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1482</v>
      </c>
      <c r="B195" s="104" t="s">
        <v>763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1483</v>
      </c>
      <c r="B196" s="104" t="s">
        <v>765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1484</v>
      </c>
      <c r="B197" s="104" t="s">
        <v>767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1485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1486</v>
      </c>
      <c r="B199" s="102" t="s">
        <v>770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1487</v>
      </c>
      <c r="B200" s="104" t="s">
        <v>772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1488</v>
      </c>
      <c r="B201" s="104" t="s">
        <v>774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1489</v>
      </c>
      <c r="B202" s="104" t="s">
        <v>776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1490</v>
      </c>
      <c r="B203" s="104" t="s">
        <v>779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1491</v>
      </c>
      <c r="B204" s="104" t="s">
        <v>781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1492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1493</v>
      </c>
      <c r="B206" s="104" t="s">
        <v>783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1494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1495</v>
      </c>
      <c r="B208" s="102" t="s">
        <v>1496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1497</v>
      </c>
      <c r="B209" s="104" t="s">
        <v>1498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1499</v>
      </c>
      <c r="B210" s="104" t="s">
        <v>1500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1501</v>
      </c>
      <c r="B211" s="104" t="s">
        <v>1502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1503</v>
      </c>
      <c r="B212" s="104" t="s">
        <v>1504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1505</v>
      </c>
      <c r="B213" s="104" t="s">
        <v>1506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1507</v>
      </c>
      <c r="B214" s="104" t="s">
        <v>1508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1509</v>
      </c>
      <c r="B215" s="104" t="s">
        <v>1510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1511</v>
      </c>
      <c r="B216" s="104" t="s">
        <v>1512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1513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1514</v>
      </c>
      <c r="B218" s="102" t="s">
        <v>786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1515</v>
      </c>
      <c r="B219" s="109" t="s">
        <v>788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1516</v>
      </c>
      <c r="B220" s="104" t="s">
        <v>790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1517</v>
      </c>
      <c r="B221" s="104" t="s">
        <v>792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1518</v>
      </c>
      <c r="B222" s="104" t="s">
        <v>794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1519</v>
      </c>
      <c r="B223" s="104" t="s">
        <v>796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1520</v>
      </c>
      <c r="B224" s="104" t="s">
        <v>798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1521</v>
      </c>
      <c r="B225" s="104" t="s">
        <v>800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1522</v>
      </c>
      <c r="B226" s="104" t="s">
        <v>266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1523</v>
      </c>
      <c r="B227" s="109" t="s">
        <v>803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1524</v>
      </c>
      <c r="B228" s="104" t="s">
        <v>805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1525</v>
      </c>
      <c r="B229" s="109" t="s">
        <v>807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1526</v>
      </c>
      <c r="B230" s="104" t="s">
        <v>809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1527</v>
      </c>
      <c r="B231" s="109" t="s">
        <v>811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1528</v>
      </c>
      <c r="B232" s="104" t="s">
        <v>815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1529</v>
      </c>
      <c r="B233" s="102" t="s">
        <v>1530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1531</v>
      </c>
      <c r="B234" s="104" t="s">
        <v>819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1532</v>
      </c>
      <c r="B235" s="104" t="s">
        <v>821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1533</v>
      </c>
      <c r="B236" s="104" t="s">
        <v>823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1534</v>
      </c>
      <c r="B237" s="102" t="s">
        <v>825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1535</v>
      </c>
      <c r="B238" s="104" t="s">
        <v>827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1536</v>
      </c>
      <c r="B239" s="104" t="s">
        <v>829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1537</v>
      </c>
      <c r="B240" s="102" t="s">
        <v>866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1538</v>
      </c>
      <c r="B241" s="104" t="s">
        <v>868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1539</v>
      </c>
      <c r="B242" s="104" t="s">
        <v>870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1540</v>
      </c>
      <c r="B243" s="104" t="s">
        <v>872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1541</v>
      </c>
      <c r="B244" s="102" t="s">
        <v>874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1542</v>
      </c>
      <c r="B245" s="109" t="s">
        <v>1543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1544</v>
      </c>
      <c r="B246" s="104" t="s">
        <v>1545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1546</v>
      </c>
      <c r="B247" s="104" t="s">
        <v>1547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1548</v>
      </c>
      <c r="B248" s="104" t="s">
        <v>880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1549</v>
      </c>
      <c r="B249" s="104" t="s">
        <v>882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1550</v>
      </c>
      <c r="B250" s="104" t="s">
        <v>884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1551</v>
      </c>
      <c r="B251" s="104" t="s">
        <v>886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1552</v>
      </c>
      <c r="B252" s="104" t="s">
        <v>888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1553</v>
      </c>
      <c r="B253" s="109" t="s">
        <v>890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1554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1555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1556</v>
      </c>
      <c r="B256" s="102" t="s">
        <v>894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1557</v>
      </c>
      <c r="B257" s="104" t="s">
        <v>1558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1559</v>
      </c>
      <c r="B258" s="104" t="s">
        <v>896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1560</v>
      </c>
      <c r="B259" s="104" t="s">
        <v>1561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1562</v>
      </c>
      <c r="B260" s="104" t="s">
        <v>1563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1564</v>
      </c>
      <c r="B261" s="104" t="s">
        <v>1565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1566</v>
      </c>
      <c r="B262" s="104" t="s">
        <v>1567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1568</v>
      </c>
      <c r="B263" s="104" t="s">
        <v>1569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1570</v>
      </c>
      <c r="B264" s="104" t="s">
        <v>1571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1572</v>
      </c>
      <c r="B265" s="104" t="s">
        <v>922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1573</v>
      </c>
      <c r="B266" s="104" t="s">
        <v>1574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1575</v>
      </c>
      <c r="B267" s="109" t="s">
        <v>924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1576</v>
      </c>
      <c r="B268" s="112" t="s">
        <v>926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1577</v>
      </c>
      <c r="B269" s="104" t="s">
        <v>928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1578</v>
      </c>
      <c r="B270" s="104" t="s">
        <v>462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1579</v>
      </c>
      <c r="B271" s="104" t="s">
        <v>460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1580</v>
      </c>
      <c r="B272" s="104" t="s">
        <v>464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1581</v>
      </c>
      <c r="B273" s="112" t="s">
        <v>933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1582</v>
      </c>
      <c r="B274" s="104" t="s">
        <v>928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1583</v>
      </c>
      <c r="B275" s="104" t="s">
        <v>460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1584</v>
      </c>
      <c r="B276" s="104" t="s">
        <v>464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1585</v>
      </c>
      <c r="B277" s="102" t="s">
        <v>938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1586</v>
      </c>
      <c r="B278" s="104" t="s">
        <v>1587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1588</v>
      </c>
      <c r="B279" s="104" t="s">
        <v>940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1589</v>
      </c>
      <c r="B280" s="102" t="s">
        <v>1590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1591</v>
      </c>
      <c r="B281" s="109" t="s">
        <v>1592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1593</v>
      </c>
      <c r="B282" s="104" t="s">
        <v>964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1594</v>
      </c>
      <c r="B283" s="109" t="s">
        <v>1595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1596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1597</v>
      </c>
      <c r="B285" s="104" t="s">
        <v>1598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1599</v>
      </c>
      <c r="B286" s="104" t="s">
        <v>1111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1600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1601</v>
      </c>
      <c r="B288" s="104" t="s">
        <v>1602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1603</v>
      </c>
      <c r="B289" s="104" t="s">
        <v>1604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1605</v>
      </c>
      <c r="B290" s="104" t="s">
        <v>1606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1607</v>
      </c>
      <c r="B291" s="104" t="s">
        <v>1608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1609</v>
      </c>
      <c r="B292" s="112" t="s">
        <v>1610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1611</v>
      </c>
      <c r="B293" s="104" t="s">
        <v>1612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1613</v>
      </c>
      <c r="B294" s="104" t="s">
        <v>1614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1615</v>
      </c>
      <c r="B295" s="109" t="s">
        <v>1616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1617</v>
      </c>
      <c r="B296" s="104" t="s">
        <v>987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1618</v>
      </c>
      <c r="B297" s="104" t="s">
        <v>989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1619</v>
      </c>
      <c r="B298" s="102" t="s">
        <v>991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1620</v>
      </c>
      <c r="B299" s="109" t="s">
        <v>993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1621</v>
      </c>
      <c r="B300" s="104" t="s">
        <v>995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1622</v>
      </c>
      <c r="B301" s="104" t="s">
        <v>997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1623</v>
      </c>
      <c r="B302" s="104" t="s">
        <v>999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1624</v>
      </c>
      <c r="B303" s="104" t="s">
        <v>1001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1625</v>
      </c>
      <c r="B304" s="104" t="s">
        <v>264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1626</v>
      </c>
      <c r="B305" s="104" t="s">
        <v>1004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1627</v>
      </c>
      <c r="B306" s="104" t="s">
        <v>800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1628</v>
      </c>
      <c r="B307" s="104" t="s">
        <v>1007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1629</v>
      </c>
      <c r="B308" s="104" t="s">
        <v>1009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1630</v>
      </c>
      <c r="B309" s="104" t="s">
        <v>1011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1631</v>
      </c>
      <c r="B310" s="104" t="s">
        <v>1013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1632</v>
      </c>
      <c r="B311" s="104" t="s">
        <v>266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1633</v>
      </c>
      <c r="B312" s="109" t="s">
        <v>1016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1634</v>
      </c>
      <c r="B313" s="104" t="s">
        <v>1018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1635</v>
      </c>
      <c r="B314" s="104" t="s">
        <v>1020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1636</v>
      </c>
      <c r="B315" s="104" t="s">
        <v>1022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1637</v>
      </c>
      <c r="B316" s="104" t="s">
        <v>1024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1638</v>
      </c>
      <c r="B317" s="104" t="s">
        <v>1026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1639</v>
      </c>
      <c r="B318" s="104" t="s">
        <v>1028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1640</v>
      </c>
      <c r="B319" s="100" t="s">
        <v>1030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1641</v>
      </c>
      <c r="B320" s="102" t="s">
        <v>1642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1643</v>
      </c>
      <c r="B321" s="104" t="s">
        <v>1644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1645</v>
      </c>
      <c r="B322" s="104" t="s">
        <v>1646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1647</v>
      </c>
      <c r="B323" s="104" t="s">
        <v>1648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1649</v>
      </c>
      <c r="B324" s="104" t="s">
        <v>1650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1651</v>
      </c>
      <c r="B325" s="104" t="s">
        <v>1652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1653</v>
      </c>
      <c r="B326" s="104" t="s">
        <v>1654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1655</v>
      </c>
      <c r="B327" s="102" t="s">
        <v>1656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1657</v>
      </c>
      <c r="B328" s="104" t="s">
        <v>1658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1659</v>
      </c>
      <c r="B329" s="104" t="s">
        <v>1660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1661</v>
      </c>
      <c r="B330" s="104" t="s">
        <v>1662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1663</v>
      </c>
      <c r="B331" s="102" t="s">
        <v>1664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1665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1666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1667</v>
      </c>
      <c r="B334" s="104" t="s">
        <v>1668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1669</v>
      </c>
      <c r="B335" s="104" t="s">
        <v>1670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1671</v>
      </c>
      <c r="B336" s="102" t="s">
        <v>1672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1673</v>
      </c>
      <c r="B337" s="109" t="s">
        <v>644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1674</v>
      </c>
      <c r="B338" s="104" t="s">
        <v>1675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1676</v>
      </c>
      <c r="B339" s="104" t="s">
        <v>1677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1678</v>
      </c>
      <c r="B340" s="104" t="s">
        <v>1679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1680</v>
      </c>
      <c r="B341" s="104" t="s">
        <v>792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1681</v>
      </c>
      <c r="B342" s="104" t="s">
        <v>272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1682</v>
      </c>
      <c r="B343" s="104" t="s">
        <v>1683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1684</v>
      </c>
      <c r="B344" s="104" t="s">
        <v>266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1685</v>
      </c>
      <c r="B345" s="109" t="s">
        <v>1686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1687</v>
      </c>
      <c r="B346" s="104" t="s">
        <v>1688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1689</v>
      </c>
      <c r="B347" s="104" t="s">
        <v>1690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1691</v>
      </c>
      <c r="B348" s="104" t="s">
        <v>1692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1693</v>
      </c>
      <c r="B349" s="109" t="s">
        <v>1694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1695</v>
      </c>
      <c r="B350" s="104" t="s">
        <v>1121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1696</v>
      </c>
      <c r="B351" s="109" t="s">
        <v>1697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1698</v>
      </c>
      <c r="B352" s="104" t="s">
        <v>1125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1699</v>
      </c>
      <c r="B353" s="109" t="s">
        <v>1700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1701</v>
      </c>
      <c r="B354" s="104" t="s">
        <v>1702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1703</v>
      </c>
      <c r="B355" s="104" t="s">
        <v>1704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1705</v>
      </c>
      <c r="B356" s="104" t="s">
        <v>1706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1707</v>
      </c>
      <c r="B357" s="102" t="s">
        <v>1708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1709</v>
      </c>
      <c r="B358" s="109" t="s">
        <v>644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1710</v>
      </c>
      <c r="B359" s="104" t="s">
        <v>1675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1711</v>
      </c>
      <c r="B360" s="104" t="s">
        <v>1677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1712</v>
      </c>
      <c r="B361" s="104" t="s">
        <v>1679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1713</v>
      </c>
      <c r="B362" s="104" t="s">
        <v>792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1714</v>
      </c>
      <c r="B363" s="104" t="s">
        <v>272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1715</v>
      </c>
      <c r="B364" s="104" t="s">
        <v>1683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1716</v>
      </c>
      <c r="B365" s="104" t="s">
        <v>266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1717</v>
      </c>
      <c r="B366" s="109" t="s">
        <v>1718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1719</v>
      </c>
      <c r="B367" s="104" t="s">
        <v>1720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1721</v>
      </c>
      <c r="B368" s="104" t="s">
        <v>1722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1723</v>
      </c>
      <c r="B369" s="104" t="s">
        <v>1724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1725</v>
      </c>
      <c r="B370" s="104" t="s">
        <v>1726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1727</v>
      </c>
      <c r="B371" s="109" t="s">
        <v>1728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1729</v>
      </c>
      <c r="B372" s="104" t="s">
        <v>1730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1731</v>
      </c>
      <c r="B373" s="109" t="s">
        <v>1732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1733</v>
      </c>
      <c r="B374" s="104" t="s">
        <v>1163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1734</v>
      </c>
      <c r="B375" s="104" t="s">
        <v>1735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1736</v>
      </c>
      <c r="B376" s="104" t="s">
        <v>1737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1738</v>
      </c>
      <c r="B377" s="100" t="s">
        <v>1739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1740</v>
      </c>
      <c r="B378" s="102" t="s">
        <v>1196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1741</v>
      </c>
      <c r="B379" s="104" t="s">
        <v>1742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1743</v>
      </c>
      <c r="B380" s="102" t="s">
        <v>1202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1744</v>
      </c>
      <c r="B381" s="104" t="s">
        <v>1204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1745</v>
      </c>
      <c r="B382" s="100" t="s">
        <v>1746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1747</v>
      </c>
      <c r="B383" s="102" t="s">
        <v>1208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1748</v>
      </c>
      <c r="B384" s="104" t="s">
        <v>1749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1750</v>
      </c>
      <c r="B385" s="104" t="s">
        <v>1751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1752</v>
      </c>
      <c r="B386" s="104" t="s">
        <v>1214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1753</v>
      </c>
      <c r="B387" s="104" t="s">
        <v>1220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1754</v>
      </c>
      <c r="B388" s="102" t="s">
        <v>1072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1755</v>
      </c>
      <c r="B389" s="104" t="s">
        <v>1214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1756</v>
      </c>
      <c r="B390" s="104" t="s">
        <v>1220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1757</v>
      </c>
      <c r="B391" s="100" t="s">
        <v>1758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1759</v>
      </c>
      <c r="B392" s="104" t="s">
        <v>1760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1761</v>
      </c>
      <c r="B393" s="100" t="s">
        <v>1222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1762</v>
      </c>
      <c r="B394" s="104" t="s">
        <v>1763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1764</v>
      </c>
      <c r="B395" s="104" t="s">
        <v>1224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1765</v>
      </c>
      <c r="B396" s="104" t="s">
        <v>1226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1766</v>
      </c>
      <c r="B397" s="104" t="s">
        <v>1234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1767</v>
      </c>
      <c r="B398" s="104" t="s">
        <v>1768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1769</v>
      </c>
      <c r="B399" s="104" t="s">
        <v>1770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1771</v>
      </c>
      <c r="B400" s="104" t="s">
        <v>1230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6" t="s">
        <v>1237</v>
      </c>
      <c r="B401" s="577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1772</v>
      </c>
      <c r="E404" s="575" t="s">
        <v>1773</v>
      </c>
      <c r="F404" s="575"/>
      <c r="G404" s="575"/>
    </row>
    <row r="405" spans="1:7" x14ac:dyDescent="0.25">
      <c r="C405" s="118" t="s">
        <v>1774</v>
      </c>
      <c r="E405" s="575" t="s">
        <v>1775</v>
      </c>
      <c r="F405" s="575"/>
      <c r="G405" s="575"/>
    </row>
    <row r="406" spans="1:7" x14ac:dyDescent="0.25">
      <c r="C406" s="119"/>
      <c r="E406" s="575" t="s">
        <v>186</v>
      </c>
      <c r="F406" s="575"/>
      <c r="G406" s="575"/>
    </row>
    <row r="407" spans="1:7" x14ac:dyDescent="0.25">
      <c r="C407" s="118">
        <v>100</v>
      </c>
      <c r="E407" s="575" t="s">
        <v>1776</v>
      </c>
      <c r="F407" s="575"/>
      <c r="G407" s="575"/>
    </row>
  </sheetData>
  <autoFilter ref="A1:G401" xr:uid="{7905DA79-E48D-4ACC-9BE7-01F884856750}"/>
  <mergeCells count="12">
    <mergeCell ref="G1:G2"/>
    <mergeCell ref="A1:A2"/>
    <mergeCell ref="B1:B2"/>
    <mergeCell ref="C1:C2"/>
    <mergeCell ref="D1:D2"/>
    <mergeCell ref="E1:E2"/>
    <mergeCell ref="F1:F2"/>
    <mergeCell ref="E404:G404"/>
    <mergeCell ref="E405:G405"/>
    <mergeCell ref="E406:G406"/>
    <mergeCell ref="E407:G407"/>
    <mergeCell ref="A401:B401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  <c r="G1" s="570" t="s">
        <v>1238</v>
      </c>
    </row>
    <row r="2" spans="1:7" ht="12.4" customHeight="1" x14ac:dyDescent="0.25">
      <c r="A2" s="573"/>
      <c r="B2" s="573"/>
      <c r="C2" s="573"/>
      <c r="D2" s="574"/>
      <c r="E2" s="570"/>
      <c r="F2" s="570"/>
      <c r="G2" s="570"/>
    </row>
    <row r="3" spans="1:7" x14ac:dyDescent="0.25">
      <c r="A3" s="98" t="s">
        <v>1777</v>
      </c>
      <c r="B3" s="98" t="s">
        <v>1778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1779</v>
      </c>
      <c r="B4" s="100" t="s">
        <v>195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1780</v>
      </c>
      <c r="B5" s="102" t="s">
        <v>197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1781</v>
      </c>
      <c r="B6" s="104" t="s">
        <v>199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1782</v>
      </c>
      <c r="B7" s="104" t="s">
        <v>201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1783</v>
      </c>
      <c r="B8" s="102" t="s">
        <v>204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1784</v>
      </c>
      <c r="B9" s="104" t="s">
        <v>206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1785</v>
      </c>
      <c r="B10" s="104" t="s">
        <v>208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1786</v>
      </c>
      <c r="B11" s="100" t="s">
        <v>214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1787</v>
      </c>
      <c r="B12" s="102" t="s">
        <v>216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1788</v>
      </c>
      <c r="B13" s="104" t="s">
        <v>218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1789</v>
      </c>
      <c r="B14" s="104" t="s">
        <v>220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1790</v>
      </c>
      <c r="B15" s="104" t="s">
        <v>222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1791</v>
      </c>
      <c r="B16" s="102" t="s">
        <v>224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1792</v>
      </c>
      <c r="B17" s="104" t="s">
        <v>1793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1794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1795</v>
      </c>
      <c r="B19" s="102" t="s">
        <v>242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1796</v>
      </c>
      <c r="B20" s="109" t="s">
        <v>244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1797</v>
      </c>
      <c r="B21" s="104" t="s">
        <v>1798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1799</v>
      </c>
      <c r="B22" s="104" t="s">
        <v>1800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1801</v>
      </c>
      <c r="B23" s="104" t="s">
        <v>248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1802</v>
      </c>
      <c r="B24" s="104" t="s">
        <v>250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1803</v>
      </c>
      <c r="B25" s="109" t="s">
        <v>254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1804</v>
      </c>
      <c r="B26" s="104" t="s">
        <v>250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1805</v>
      </c>
      <c r="B27" s="104" t="s">
        <v>252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1806</v>
      </c>
      <c r="B28" s="102" t="s">
        <v>1263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1807</v>
      </c>
      <c r="B29" s="109" t="s">
        <v>1808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1809</v>
      </c>
      <c r="B30" s="104" t="s">
        <v>262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1810</v>
      </c>
      <c r="B31" s="104" t="s">
        <v>266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1811</v>
      </c>
      <c r="B32" s="109" t="s">
        <v>1812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1813</v>
      </c>
      <c r="B33" s="104" t="s">
        <v>270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1814</v>
      </c>
      <c r="B34" s="104" t="s">
        <v>266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1815</v>
      </c>
      <c r="B35" s="109" t="s">
        <v>1816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1817</v>
      </c>
      <c r="B36" s="104" t="s">
        <v>281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1818</v>
      </c>
      <c r="B37" s="104" t="s">
        <v>272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1819</v>
      </c>
      <c r="B38" s="104" t="s">
        <v>266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1820</v>
      </c>
      <c r="B39" s="109" t="s">
        <v>1821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1822</v>
      </c>
      <c r="B40" s="104" t="s">
        <v>1823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1824</v>
      </c>
      <c r="B41" s="104" t="s">
        <v>272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1825</v>
      </c>
      <c r="B42" s="104" t="s">
        <v>266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1826</v>
      </c>
      <c r="B43" s="109" t="s">
        <v>1827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1828</v>
      </c>
      <c r="B44" s="104" t="s">
        <v>281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1829</v>
      </c>
      <c r="B45" s="104" t="s">
        <v>266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1830</v>
      </c>
      <c r="B46" s="100" t="s">
        <v>1283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1831</v>
      </c>
      <c r="B47" s="102" t="s">
        <v>1832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1833</v>
      </c>
      <c r="B48" s="104" t="s">
        <v>313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1834</v>
      </c>
      <c r="B49" s="104" t="s">
        <v>297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1835</v>
      </c>
      <c r="B50" s="104" t="s">
        <v>316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1836</v>
      </c>
      <c r="B51" s="104" t="s">
        <v>318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1837</v>
      </c>
      <c r="B52" s="104" t="s">
        <v>320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1838</v>
      </c>
      <c r="B53" s="104" t="s">
        <v>322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1839</v>
      </c>
      <c r="B54" s="104" t="s">
        <v>324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1840</v>
      </c>
      <c r="B55" s="104" t="s">
        <v>328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1841</v>
      </c>
      <c r="B56" s="104" t="s">
        <v>1842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1843</v>
      </c>
      <c r="B57" s="104" t="s">
        <v>330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1844</v>
      </c>
      <c r="B58" s="104" t="s">
        <v>340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1845</v>
      </c>
      <c r="B59" s="104" t="s">
        <v>742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1846</v>
      </c>
      <c r="B60" s="104" t="s">
        <v>334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1847</v>
      </c>
      <c r="B61" s="104" t="s">
        <v>1338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1848</v>
      </c>
      <c r="B62" s="102" t="s">
        <v>1849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1850</v>
      </c>
      <c r="B63" s="104" t="s">
        <v>297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1851</v>
      </c>
      <c r="B64" s="104" t="s">
        <v>299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1852</v>
      </c>
      <c r="B65" s="104" t="s">
        <v>301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1853</v>
      </c>
      <c r="B66" s="104" t="s">
        <v>303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1854</v>
      </c>
      <c r="B67" s="102" t="s">
        <v>1855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1856</v>
      </c>
      <c r="B68" s="104" t="s">
        <v>297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1857</v>
      </c>
      <c r="B69" s="104" t="s">
        <v>299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1858</v>
      </c>
      <c r="B70" s="104" t="s">
        <v>322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1859</v>
      </c>
      <c r="B71" s="104" t="s">
        <v>330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1860</v>
      </c>
      <c r="B72" s="104" t="s">
        <v>742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1861</v>
      </c>
      <c r="B73" s="102" t="s">
        <v>1369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1862</v>
      </c>
      <c r="B74" s="109" t="s">
        <v>1863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1864</v>
      </c>
      <c r="B75" s="104" t="s">
        <v>560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1865</v>
      </c>
      <c r="B76" s="104" t="s">
        <v>1866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1867</v>
      </c>
      <c r="B77" s="104" t="s">
        <v>545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1868</v>
      </c>
      <c r="B78" s="104" t="s">
        <v>1869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1870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1871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1872</v>
      </c>
      <c r="B81" s="104" t="s">
        <v>1385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1873</v>
      </c>
      <c r="B82" s="104" t="s">
        <v>1874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1875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1876</v>
      </c>
      <c r="B84" s="104" t="s">
        <v>1401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1877</v>
      </c>
      <c r="B85" s="104" t="s">
        <v>1878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1879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1880</v>
      </c>
      <c r="B87" s="109" t="s">
        <v>1881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1882</v>
      </c>
      <c r="B88" s="104" t="s">
        <v>1883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1884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1885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1886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1887</v>
      </c>
      <c r="B92" s="104" t="s">
        <v>1888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1889</v>
      </c>
      <c r="B93" s="100" t="s">
        <v>1890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1891</v>
      </c>
      <c r="B94" s="102" t="s">
        <v>1892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1893</v>
      </c>
      <c r="B95" s="104" t="s">
        <v>663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1894</v>
      </c>
      <c r="B96" s="104" t="s">
        <v>706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1895</v>
      </c>
      <c r="B97" s="104" t="s">
        <v>665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1896</v>
      </c>
      <c r="B98" s="104" t="s">
        <v>667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1897</v>
      </c>
      <c r="B99" s="104" t="s">
        <v>709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1898</v>
      </c>
      <c r="B100" s="104" t="s">
        <v>1899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1900</v>
      </c>
      <c r="B101" s="104" t="s">
        <v>711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1901</v>
      </c>
      <c r="B102" s="104" t="s">
        <v>1902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1903</v>
      </c>
      <c r="B103" s="104" t="s">
        <v>1904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1905</v>
      </c>
      <c r="B104" s="102" t="s">
        <v>1906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1907</v>
      </c>
      <c r="B105" s="104" t="s">
        <v>663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1908</v>
      </c>
      <c r="B106" s="104" t="s">
        <v>706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1909</v>
      </c>
      <c r="B107" s="104" t="s">
        <v>667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1910</v>
      </c>
      <c r="B108" s="104" t="s">
        <v>671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1911</v>
      </c>
      <c r="B109" s="104" t="s">
        <v>673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1912</v>
      </c>
      <c r="B110" s="102" t="s">
        <v>715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1913</v>
      </c>
      <c r="B111" s="109" t="s">
        <v>644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1914</v>
      </c>
      <c r="B112" s="104" t="s">
        <v>646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1915</v>
      </c>
      <c r="B113" s="104" t="s">
        <v>266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1916</v>
      </c>
      <c r="B114" s="109" t="s">
        <v>649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1917</v>
      </c>
      <c r="B115" s="104" t="s">
        <v>651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1918</v>
      </c>
      <c r="B116" s="109" t="s">
        <v>653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1919</v>
      </c>
      <c r="B117" s="104" t="s">
        <v>655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1920</v>
      </c>
      <c r="B118" s="104" t="s">
        <v>657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1921</v>
      </c>
      <c r="B119" s="100" t="s">
        <v>569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1922</v>
      </c>
      <c r="B120" s="102" t="s">
        <v>571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1923</v>
      </c>
      <c r="B121" s="104" t="s">
        <v>573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1924</v>
      </c>
      <c r="B122" s="104" t="s">
        <v>576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1925</v>
      </c>
      <c r="B123" s="104" t="s">
        <v>1926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1927</v>
      </c>
      <c r="B124" s="104" t="s">
        <v>1928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1929</v>
      </c>
      <c r="B125" s="102" t="s">
        <v>1930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1931</v>
      </c>
      <c r="B126" s="104" t="s">
        <v>1932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1933</v>
      </c>
      <c r="B127" s="104" t="s">
        <v>1934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1935</v>
      </c>
      <c r="B128" s="104" t="s">
        <v>1936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1937</v>
      </c>
      <c r="B129" s="102" t="s">
        <v>1938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1939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1940</v>
      </c>
      <c r="B131" s="104" t="s">
        <v>1941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1942</v>
      </c>
      <c r="B132" s="104" t="s">
        <v>588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1943</v>
      </c>
      <c r="B133" s="104" t="s">
        <v>1944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1945</v>
      </c>
      <c r="B134" s="100" t="s">
        <v>752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1946</v>
      </c>
      <c r="B135" s="102" t="s">
        <v>754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1947</v>
      </c>
      <c r="B136" s="104" t="s">
        <v>756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1948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1949</v>
      </c>
      <c r="B138" s="104" t="s">
        <v>759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1950</v>
      </c>
      <c r="B139" s="104" t="s">
        <v>761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1951</v>
      </c>
      <c r="B140" s="104" t="s">
        <v>763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1952</v>
      </c>
      <c r="B141" s="104" t="s">
        <v>765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1953</v>
      </c>
      <c r="B142" s="104" t="s">
        <v>767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1954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1955</v>
      </c>
      <c r="B144" s="102" t="s">
        <v>770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1956</v>
      </c>
      <c r="B145" s="104" t="s">
        <v>772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1957</v>
      </c>
      <c r="B146" s="104" t="s">
        <v>774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1958</v>
      </c>
      <c r="B147" s="104" t="s">
        <v>776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1959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1960</v>
      </c>
      <c r="B149" s="104" t="s">
        <v>779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1961</v>
      </c>
      <c r="B150" s="104" t="s">
        <v>781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1962</v>
      </c>
      <c r="B151" s="104" t="s">
        <v>783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1963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1964</v>
      </c>
      <c r="B153" s="102" t="s">
        <v>1496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1965</v>
      </c>
      <c r="B154" s="104" t="s">
        <v>1498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1966</v>
      </c>
      <c r="B155" s="104" t="s">
        <v>1500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1967</v>
      </c>
      <c r="B156" s="104" t="s">
        <v>1502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1968</v>
      </c>
      <c r="B157" s="104" t="s">
        <v>1504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1969</v>
      </c>
      <c r="B158" s="104" t="s">
        <v>1970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1971</v>
      </c>
      <c r="B159" s="104" t="s">
        <v>1508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1972</v>
      </c>
      <c r="B160" s="104" t="s">
        <v>1510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1973</v>
      </c>
      <c r="B161" s="104" t="s">
        <v>1512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1974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1975</v>
      </c>
      <c r="B163" s="102" t="s">
        <v>786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1976</v>
      </c>
      <c r="B164" s="109" t="s">
        <v>788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1977</v>
      </c>
      <c r="B165" s="104" t="s">
        <v>790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1978</v>
      </c>
      <c r="B166" s="104" t="s">
        <v>792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1979</v>
      </c>
      <c r="B167" s="104" t="s">
        <v>794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1980</v>
      </c>
      <c r="B168" s="104" t="s">
        <v>796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1981</v>
      </c>
      <c r="B169" s="104" t="s">
        <v>1982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1983</v>
      </c>
      <c r="B170" s="104" t="s">
        <v>798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1984</v>
      </c>
      <c r="B171" s="104" t="s">
        <v>800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1985</v>
      </c>
      <c r="B172" s="104" t="s">
        <v>266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1986</v>
      </c>
      <c r="B173" s="109" t="s">
        <v>807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1987</v>
      </c>
      <c r="B174" s="104" t="s">
        <v>809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1988</v>
      </c>
      <c r="B175" s="109" t="s">
        <v>811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1989</v>
      </c>
      <c r="B176" s="104" t="s">
        <v>813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1990</v>
      </c>
      <c r="B177" s="104" t="s">
        <v>815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1991</v>
      </c>
      <c r="B178" s="102" t="s">
        <v>1992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1993</v>
      </c>
      <c r="B179" s="104" t="s">
        <v>827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1994</v>
      </c>
      <c r="B180" s="104" t="s">
        <v>829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1995</v>
      </c>
      <c r="B181" s="102" t="s">
        <v>866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1996</v>
      </c>
      <c r="B182" s="104" t="s">
        <v>870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1997</v>
      </c>
      <c r="B183" s="104" t="s">
        <v>868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1998</v>
      </c>
      <c r="B184" s="104" t="s">
        <v>872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1999</v>
      </c>
      <c r="B185" s="102" t="s">
        <v>874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2000</v>
      </c>
      <c r="B186" s="109" t="s">
        <v>1543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2001</v>
      </c>
      <c r="B187" s="104" t="s">
        <v>882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2002</v>
      </c>
      <c r="B188" s="104" t="s">
        <v>884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2003</v>
      </c>
      <c r="B189" s="109" t="s">
        <v>890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2004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2005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2006</v>
      </c>
      <c r="B192" s="102" t="s">
        <v>894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2007</v>
      </c>
      <c r="B193" s="104" t="s">
        <v>896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2008</v>
      </c>
      <c r="B194" s="104" t="s">
        <v>898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2009</v>
      </c>
      <c r="B195" s="104" t="s">
        <v>2010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2011</v>
      </c>
      <c r="B196" s="104" t="s">
        <v>2012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2013</v>
      </c>
      <c r="B197" s="104" t="s">
        <v>2014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2015</v>
      </c>
      <c r="B198" s="104" t="s">
        <v>2016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2017</v>
      </c>
      <c r="B199" s="104" t="s">
        <v>922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2018</v>
      </c>
      <c r="B200" s="109" t="s">
        <v>924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2019</v>
      </c>
      <c r="B201" s="112" t="s">
        <v>933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2020</v>
      </c>
      <c r="B202" s="104" t="s">
        <v>928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2021</v>
      </c>
      <c r="B203" s="104" t="s">
        <v>460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2022</v>
      </c>
      <c r="B204" s="104" t="s">
        <v>464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2023</v>
      </c>
      <c r="B205" s="102" t="s">
        <v>960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2024</v>
      </c>
      <c r="B206" s="109" t="s">
        <v>1592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2025</v>
      </c>
      <c r="B207" s="104" t="s">
        <v>964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2026</v>
      </c>
      <c r="B208" s="109" t="s">
        <v>1595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2027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2028</v>
      </c>
      <c r="B210" s="104" t="s">
        <v>1598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2029</v>
      </c>
      <c r="B211" s="104" t="s">
        <v>1111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2030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2031</v>
      </c>
      <c r="B213" s="104" t="s">
        <v>2032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2033</v>
      </c>
      <c r="B214" s="104" t="s">
        <v>1604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2034</v>
      </c>
      <c r="B215" s="104" t="s">
        <v>1606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2035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2036</v>
      </c>
      <c r="B217" s="104" t="s">
        <v>1612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2037</v>
      </c>
      <c r="B218" s="104" t="s">
        <v>1614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2038</v>
      </c>
      <c r="B219" s="109" t="s">
        <v>2039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2040</v>
      </c>
      <c r="B220" s="104" t="s">
        <v>987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2041</v>
      </c>
      <c r="B221" s="104" t="s">
        <v>989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2042</v>
      </c>
      <c r="B222" s="102" t="s">
        <v>991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2043</v>
      </c>
      <c r="B223" s="109" t="s">
        <v>993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2044</v>
      </c>
      <c r="B224" s="104" t="s">
        <v>995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2045</v>
      </c>
      <c r="B225" s="104" t="s">
        <v>997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2046</v>
      </c>
      <c r="B226" s="104" t="s">
        <v>999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2047</v>
      </c>
      <c r="B227" s="104" t="s">
        <v>1001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2048</v>
      </c>
      <c r="B228" s="104" t="s">
        <v>264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2049</v>
      </c>
      <c r="B229" s="104" t="s">
        <v>1004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2050</v>
      </c>
      <c r="B230" s="104" t="s">
        <v>800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2051</v>
      </c>
      <c r="B231" s="104" t="s">
        <v>1007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2052</v>
      </c>
      <c r="B232" s="104" t="s">
        <v>1009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2053</v>
      </c>
      <c r="B233" s="104" t="s">
        <v>1011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2054</v>
      </c>
      <c r="B234" s="104" t="s">
        <v>1013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2055</v>
      </c>
      <c r="B235" s="104" t="s">
        <v>266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2056</v>
      </c>
      <c r="B236" s="109" t="s">
        <v>1016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2057</v>
      </c>
      <c r="B237" s="104" t="s">
        <v>1018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2058</v>
      </c>
      <c r="B238" s="104" t="s">
        <v>1020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2059</v>
      </c>
      <c r="B239" s="104" t="s">
        <v>1022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2060</v>
      </c>
      <c r="B240" s="104" t="s">
        <v>1024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2061</v>
      </c>
      <c r="B241" s="104" t="s">
        <v>1028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2062</v>
      </c>
      <c r="B242" s="100" t="s">
        <v>1739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2063</v>
      </c>
      <c r="B243" s="102" t="s">
        <v>1196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2064</v>
      </c>
      <c r="B244" s="104" t="s">
        <v>1742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2065</v>
      </c>
      <c r="B245" s="102" t="s">
        <v>1202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2066</v>
      </c>
      <c r="B246" s="104" t="s">
        <v>1204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2067</v>
      </c>
      <c r="B247" s="100" t="s">
        <v>1206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2068</v>
      </c>
      <c r="B248" s="102" t="s">
        <v>1208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2069</v>
      </c>
      <c r="B249" s="104" t="s">
        <v>1210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2070</v>
      </c>
      <c r="B250" s="104" t="s">
        <v>1212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2071</v>
      </c>
      <c r="B251" s="104" t="s">
        <v>1214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2072</v>
      </c>
      <c r="B252" s="104" t="s">
        <v>1216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2073</v>
      </c>
      <c r="B253" s="102" t="s">
        <v>1072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2074</v>
      </c>
      <c r="B254" s="104" t="s">
        <v>1214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2075</v>
      </c>
      <c r="B255" s="104" t="s">
        <v>1220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2076</v>
      </c>
      <c r="B256" s="100" t="s">
        <v>1222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2077</v>
      </c>
      <c r="B257" s="104" t="s">
        <v>2078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2079</v>
      </c>
      <c r="B258" s="104" t="s">
        <v>1224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2080</v>
      </c>
      <c r="B259" s="104" t="s">
        <v>1770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2081</v>
      </c>
      <c r="B260" s="104" t="s">
        <v>1234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2082</v>
      </c>
      <c r="B261" s="104" t="s">
        <v>1230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2083</v>
      </c>
      <c r="B262" s="104" t="s">
        <v>1232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6" t="s">
        <v>1237</v>
      </c>
      <c r="B263" s="577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2084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3" t="s">
        <v>188</v>
      </c>
      <c r="B1" s="573" t="s">
        <v>189</v>
      </c>
      <c r="C1" s="573" t="s">
        <v>33</v>
      </c>
      <c r="D1" s="574" t="s">
        <v>190</v>
      </c>
      <c r="E1" s="570" t="s">
        <v>25</v>
      </c>
      <c r="F1" s="570" t="s">
        <v>191</v>
      </c>
      <c r="G1" s="570" t="s">
        <v>1238</v>
      </c>
    </row>
    <row r="2" spans="1:7" ht="12.4" customHeight="1" x14ac:dyDescent="0.25">
      <c r="A2" s="573"/>
      <c r="B2" s="573"/>
      <c r="C2" s="573"/>
      <c r="D2" s="574"/>
      <c r="E2" s="570"/>
      <c r="F2" s="570"/>
      <c r="G2" s="570"/>
    </row>
    <row r="3" spans="1:7" x14ac:dyDescent="0.25">
      <c r="A3" s="98" t="s">
        <v>2110</v>
      </c>
      <c r="B3" s="98" t="s">
        <v>2111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2112</v>
      </c>
      <c r="B4" s="100" t="s">
        <v>195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2113</v>
      </c>
      <c r="B5" s="102" t="s">
        <v>197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2114</v>
      </c>
      <c r="B6" s="104" t="s">
        <v>2115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2116</v>
      </c>
      <c r="B7" s="104" t="s">
        <v>201</v>
      </c>
      <c r="C7" s="104" t="s">
        <v>202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2117</v>
      </c>
      <c r="B8" s="102" t="s">
        <v>204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2118</v>
      </c>
      <c r="B9" s="104" t="s">
        <v>206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2119</v>
      </c>
      <c r="B10" s="104" t="s">
        <v>208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2120</v>
      </c>
      <c r="B11" s="100" t="s">
        <v>214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2121</v>
      </c>
      <c r="B12" s="102" t="s">
        <v>2122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2123</v>
      </c>
      <c r="B13" s="104" t="s">
        <v>1265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2124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2125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2126</v>
      </c>
      <c r="B16" s="102" t="s">
        <v>2127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2128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2129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2130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2131</v>
      </c>
      <c r="B20" s="102" t="s">
        <v>2132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2133</v>
      </c>
      <c r="B21" s="104" t="s">
        <v>230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2134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2135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2136</v>
      </c>
      <c r="B24" s="102" t="s">
        <v>2137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2138</v>
      </c>
      <c r="B25" s="104" t="s">
        <v>1265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2139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2140</v>
      </c>
      <c r="B27" s="102" t="s">
        <v>2141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2142</v>
      </c>
      <c r="B28" s="104" t="s">
        <v>2143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2144</v>
      </c>
      <c r="B29" s="104" t="s">
        <v>2145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2146</v>
      </c>
      <c r="B30" s="104" t="s">
        <v>2147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2148</v>
      </c>
      <c r="B31" s="104" t="s">
        <v>2149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2150</v>
      </c>
      <c r="B32" s="100" t="s">
        <v>1283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2151</v>
      </c>
      <c r="B33" s="102" t="s">
        <v>2152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2153</v>
      </c>
      <c r="B34" s="104" t="s">
        <v>318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2154</v>
      </c>
      <c r="B35" s="104" t="s">
        <v>322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2155</v>
      </c>
      <c r="B36" s="104" t="s">
        <v>299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2156</v>
      </c>
      <c r="B37" s="104" t="s">
        <v>330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2157</v>
      </c>
      <c r="B38" s="104" t="s">
        <v>334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2158</v>
      </c>
      <c r="B39" s="104" t="s">
        <v>432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2159</v>
      </c>
      <c r="B40" s="102" t="s">
        <v>2160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2161</v>
      </c>
      <c r="B41" s="104" t="s">
        <v>318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2162</v>
      </c>
      <c r="B42" s="104" t="s">
        <v>322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2163</v>
      </c>
      <c r="B43" s="104" t="s">
        <v>299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2164</v>
      </c>
      <c r="B44" s="104" t="s">
        <v>330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2165</v>
      </c>
      <c r="B45" s="104" t="s">
        <v>334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2166</v>
      </c>
      <c r="B46" s="104" t="s">
        <v>432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2167</v>
      </c>
      <c r="B47" s="102" t="s">
        <v>2168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2169</v>
      </c>
      <c r="B48" s="104" t="s">
        <v>427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2170</v>
      </c>
      <c r="B49" s="104" t="s">
        <v>322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2171</v>
      </c>
      <c r="B50" s="104" t="s">
        <v>299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2172</v>
      </c>
      <c r="B51" s="104" t="s">
        <v>432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2173</v>
      </c>
      <c r="B52" s="102" t="s">
        <v>2127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2174</v>
      </c>
      <c r="B53" s="104" t="s">
        <v>390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2175</v>
      </c>
      <c r="B54" s="104" t="s">
        <v>318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2176</v>
      </c>
      <c r="B55" s="104" t="s">
        <v>386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2177</v>
      </c>
      <c r="B56" s="104" t="s">
        <v>322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2178</v>
      </c>
      <c r="B57" s="104" t="s">
        <v>396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2179</v>
      </c>
      <c r="B58" s="104" t="s">
        <v>330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2180</v>
      </c>
      <c r="B59" s="104" t="s">
        <v>418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2181</v>
      </c>
      <c r="B60" s="104" t="s">
        <v>420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2182</v>
      </c>
      <c r="B61" s="104" t="s">
        <v>422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2183</v>
      </c>
      <c r="B62" s="102" t="s">
        <v>2184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2185</v>
      </c>
      <c r="B63" s="109" t="s">
        <v>2186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2187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2188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2189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2190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2191</v>
      </c>
      <c r="B68" s="104" t="s">
        <v>2192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2193</v>
      </c>
      <c r="B69" s="104" t="s">
        <v>2194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2195</v>
      </c>
      <c r="B70" s="104" t="s">
        <v>2196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2197</v>
      </c>
      <c r="B71" s="104" t="s">
        <v>2198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2199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2200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2201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2202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2203</v>
      </c>
      <c r="B76" s="102" t="s">
        <v>1224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2204</v>
      </c>
      <c r="B77" s="104" t="s">
        <v>318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2205</v>
      </c>
      <c r="B78" s="104" t="s">
        <v>430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2206</v>
      </c>
      <c r="B79" s="104" t="s">
        <v>330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2207</v>
      </c>
      <c r="B80" s="104" t="s">
        <v>334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2208</v>
      </c>
      <c r="B81" s="102" t="s">
        <v>2209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2210</v>
      </c>
      <c r="B82" s="104" t="s">
        <v>318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2211</v>
      </c>
      <c r="B83" s="104" t="s">
        <v>322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2212</v>
      </c>
      <c r="B84" s="104" t="s">
        <v>430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2213</v>
      </c>
      <c r="B85" s="104" t="s">
        <v>330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2214</v>
      </c>
      <c r="B86" s="104" t="s">
        <v>713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2215</v>
      </c>
      <c r="B87" s="104" t="s">
        <v>2216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2217</v>
      </c>
      <c r="B88" s="102" t="s">
        <v>384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2218</v>
      </c>
      <c r="B89" s="104" t="s">
        <v>313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2219</v>
      </c>
      <c r="B90" s="104" t="s">
        <v>318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2220</v>
      </c>
      <c r="B91" s="104" t="s">
        <v>386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2221</v>
      </c>
      <c r="B92" s="104" t="s">
        <v>322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2222</v>
      </c>
      <c r="B93" s="104" t="s">
        <v>396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2223</v>
      </c>
      <c r="B94" s="104" t="s">
        <v>400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2224</v>
      </c>
      <c r="B95" s="104" t="s">
        <v>403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2225</v>
      </c>
      <c r="B96" s="104" t="s">
        <v>405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2226</v>
      </c>
      <c r="B97" s="100" t="s">
        <v>634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2227</v>
      </c>
      <c r="B98" s="102" t="s">
        <v>2228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2229</v>
      </c>
      <c r="B99" s="104" t="s">
        <v>663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2230</v>
      </c>
      <c r="B100" s="104" t="s">
        <v>706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2231</v>
      </c>
      <c r="B101" s="104" t="s">
        <v>667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2232</v>
      </c>
      <c r="B102" s="104" t="s">
        <v>709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2233</v>
      </c>
      <c r="B103" s="104" t="s">
        <v>1899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2234</v>
      </c>
      <c r="B104" s="104" t="s">
        <v>711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2235</v>
      </c>
      <c r="B105" s="104" t="s">
        <v>1902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2236</v>
      </c>
      <c r="B106" s="102" t="s">
        <v>2237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2238</v>
      </c>
      <c r="B107" s="109" t="s">
        <v>644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2239</v>
      </c>
      <c r="B108" s="104" t="s">
        <v>646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2240</v>
      </c>
      <c r="B109" s="104" t="s">
        <v>266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2241</v>
      </c>
      <c r="B110" s="109" t="s">
        <v>649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2242</v>
      </c>
      <c r="B111" s="104" t="s">
        <v>651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2243</v>
      </c>
      <c r="B112" s="109" t="s">
        <v>653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2244</v>
      </c>
      <c r="B113" s="104" t="s">
        <v>655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2245</v>
      </c>
      <c r="B114" s="104" t="s">
        <v>657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2246</v>
      </c>
      <c r="B115" s="104" t="s">
        <v>659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2247</v>
      </c>
      <c r="B116" s="102" t="s">
        <v>715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2248</v>
      </c>
      <c r="B117" s="109" t="s">
        <v>644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2249</v>
      </c>
      <c r="B118" s="104" t="s">
        <v>646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2250</v>
      </c>
      <c r="B119" s="104" t="s">
        <v>266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2251</v>
      </c>
      <c r="B120" s="109" t="s">
        <v>649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2252</v>
      </c>
      <c r="B121" s="104" t="s">
        <v>651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2253</v>
      </c>
      <c r="B122" s="109" t="s">
        <v>653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2254</v>
      </c>
      <c r="B123" s="104" t="s">
        <v>655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2255</v>
      </c>
      <c r="B124" s="104" t="s">
        <v>657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2256</v>
      </c>
      <c r="B125" s="100" t="s">
        <v>1222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2257</v>
      </c>
      <c r="B126" s="102" t="s">
        <v>1642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2258</v>
      </c>
      <c r="B127" s="104" t="s">
        <v>2259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2260</v>
      </c>
      <c r="B128" s="104" t="s">
        <v>2261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2262</v>
      </c>
      <c r="B129" s="104" t="s">
        <v>2263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2264</v>
      </c>
      <c r="B130" s="104" t="s">
        <v>2265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2266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2267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2268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2269</v>
      </c>
      <c r="B134" s="104" t="s">
        <v>607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2270</v>
      </c>
      <c r="B135" s="104" t="s">
        <v>2271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2272</v>
      </c>
      <c r="B136" s="104" t="s">
        <v>2273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2274</v>
      </c>
      <c r="B137" s="109" t="s">
        <v>206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2275</v>
      </c>
      <c r="B138" s="104" t="s">
        <v>2276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2277</v>
      </c>
      <c r="B139" s="104" t="s">
        <v>2278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2279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2280</v>
      </c>
      <c r="B141" s="100" t="s">
        <v>2281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2282</v>
      </c>
      <c r="B142" s="102" t="s">
        <v>1642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2283</v>
      </c>
      <c r="B143" s="104" t="s">
        <v>1644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2284</v>
      </c>
      <c r="B144" s="104" t="s">
        <v>1646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2285</v>
      </c>
      <c r="B145" s="104" t="s">
        <v>2286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2287</v>
      </c>
      <c r="B146" s="102" t="s">
        <v>1656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2288</v>
      </c>
      <c r="B147" s="104" t="s">
        <v>2289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2290</v>
      </c>
      <c r="B148" s="104" t="s">
        <v>1660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2291</v>
      </c>
      <c r="B149" s="104" t="s">
        <v>2292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2293</v>
      </c>
      <c r="B150" s="102" t="s">
        <v>1664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2294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2295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2296</v>
      </c>
      <c r="B153" s="104" t="s">
        <v>1668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2297</v>
      </c>
      <c r="B154" s="104" t="s">
        <v>1670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2298</v>
      </c>
      <c r="B155" s="102" t="s">
        <v>1672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2299</v>
      </c>
      <c r="B156" s="109" t="s">
        <v>644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2300</v>
      </c>
      <c r="B157" s="104" t="s">
        <v>1675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2301</v>
      </c>
      <c r="B158" s="104" t="s">
        <v>1677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2302</v>
      </c>
      <c r="B159" s="104" t="s">
        <v>1679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2303</v>
      </c>
      <c r="B160" s="104" t="s">
        <v>792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2304</v>
      </c>
      <c r="B161" s="104" t="s">
        <v>272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2305</v>
      </c>
      <c r="B162" s="104" t="s">
        <v>1683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2306</v>
      </c>
      <c r="B163" s="104" t="s">
        <v>266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2307</v>
      </c>
      <c r="B164" s="109" t="s">
        <v>1686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2308</v>
      </c>
      <c r="B165" s="104" t="s">
        <v>1690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2309</v>
      </c>
      <c r="B166" s="109" t="s">
        <v>1694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2310</v>
      </c>
      <c r="B167" s="104" t="s">
        <v>1121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2311</v>
      </c>
      <c r="B168" s="109" t="s">
        <v>1700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2312</v>
      </c>
      <c r="B169" s="104" t="s">
        <v>1702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2313</v>
      </c>
      <c r="B170" s="100" t="s">
        <v>752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2314</v>
      </c>
      <c r="B171" s="102" t="s">
        <v>754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2315</v>
      </c>
      <c r="B172" s="104" t="s">
        <v>756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2316</v>
      </c>
      <c r="B173" s="102" t="s">
        <v>770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2317</v>
      </c>
      <c r="B174" s="104" t="s">
        <v>772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2318</v>
      </c>
      <c r="B175" s="104" t="s">
        <v>774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2319</v>
      </c>
      <c r="B176" s="104" t="s">
        <v>776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2320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2321</v>
      </c>
      <c r="B178" s="104" t="s">
        <v>779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2322</v>
      </c>
      <c r="B179" s="104" t="s">
        <v>781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2323</v>
      </c>
      <c r="B180" s="104" t="s">
        <v>783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2324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2325</v>
      </c>
      <c r="B182" s="102" t="s">
        <v>2326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2327</v>
      </c>
      <c r="B183" s="109" t="s">
        <v>788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2328</v>
      </c>
      <c r="B184" s="104" t="s">
        <v>790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2329</v>
      </c>
      <c r="B185" s="104" t="s">
        <v>792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2330</v>
      </c>
      <c r="B186" s="104" t="s">
        <v>794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2331</v>
      </c>
      <c r="B187" s="104" t="s">
        <v>796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2332</v>
      </c>
      <c r="B188" s="104" t="s">
        <v>798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2333</v>
      </c>
      <c r="B189" s="104" t="s">
        <v>800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2334</v>
      </c>
      <c r="B190" s="104" t="s">
        <v>266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2335</v>
      </c>
      <c r="B191" s="109" t="s">
        <v>2336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2337</v>
      </c>
      <c r="B192" s="104" t="s">
        <v>2338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2339</v>
      </c>
      <c r="B193" s="109" t="s">
        <v>807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2340</v>
      </c>
      <c r="B194" s="104" t="s">
        <v>809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2341</v>
      </c>
      <c r="B195" s="109" t="s">
        <v>811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2342</v>
      </c>
      <c r="B196" s="104" t="s">
        <v>813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2343</v>
      </c>
      <c r="B197" s="104" t="s">
        <v>815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2344</v>
      </c>
      <c r="B198" s="102" t="s">
        <v>1530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2345</v>
      </c>
      <c r="B199" s="104" t="s">
        <v>819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2346</v>
      </c>
      <c r="B200" s="104" t="s">
        <v>821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2347</v>
      </c>
      <c r="B201" s="104" t="s">
        <v>823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2348</v>
      </c>
      <c r="B202" s="102" t="s">
        <v>866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2349</v>
      </c>
      <c r="B203" s="104" t="s">
        <v>868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2350</v>
      </c>
      <c r="B204" s="104" t="s">
        <v>870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2351</v>
      </c>
      <c r="B205" s="104" t="s">
        <v>872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2352</v>
      </c>
      <c r="B206" s="102" t="s">
        <v>874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2353</v>
      </c>
      <c r="B207" s="109" t="s">
        <v>876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2354</v>
      </c>
      <c r="B208" s="104" t="s">
        <v>1545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2355</v>
      </c>
      <c r="B209" s="104" t="s">
        <v>882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2356</v>
      </c>
      <c r="B210" s="104" t="s">
        <v>884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2357</v>
      </c>
      <c r="B211" s="104" t="s">
        <v>888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2358</v>
      </c>
      <c r="B212" s="109" t="s">
        <v>890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2359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2360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2361</v>
      </c>
      <c r="B215" s="102" t="s">
        <v>894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2362</v>
      </c>
      <c r="B216" s="109" t="s">
        <v>2363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2364</v>
      </c>
      <c r="B217" s="104" t="s">
        <v>2365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2366</v>
      </c>
      <c r="B218" s="104" t="s">
        <v>2367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2368</v>
      </c>
      <c r="B219" s="104" t="s">
        <v>2369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2370</v>
      </c>
      <c r="B220" s="104" t="s">
        <v>2371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2372</v>
      </c>
      <c r="B221" s="109" t="s">
        <v>924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2373</v>
      </c>
      <c r="B222" s="104" t="s">
        <v>2374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2375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2376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2377</v>
      </c>
      <c r="B225" s="102" t="s">
        <v>938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2378</v>
      </c>
      <c r="B226" s="104" t="s">
        <v>940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2379</v>
      </c>
      <c r="B227" s="102" t="s">
        <v>1590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2380</v>
      </c>
      <c r="B228" s="109" t="s">
        <v>644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2381</v>
      </c>
      <c r="B229" s="104" t="s">
        <v>967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2382</v>
      </c>
      <c r="B230" s="104" t="s">
        <v>266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2383</v>
      </c>
      <c r="B231" s="109" t="s">
        <v>970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2384</v>
      </c>
      <c r="B232" s="104" t="s">
        <v>2385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2386</v>
      </c>
      <c r="B233" s="104" t="s">
        <v>974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2387</v>
      </c>
      <c r="B234" s="104" t="s">
        <v>2388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2389</v>
      </c>
      <c r="B235" s="104" t="s">
        <v>2390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2391</v>
      </c>
      <c r="B236" s="109" t="s">
        <v>2392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2393</v>
      </c>
      <c r="B237" s="104" t="s">
        <v>981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2394</v>
      </c>
      <c r="B238" s="104" t="s">
        <v>983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2395</v>
      </c>
      <c r="B239" s="109" t="s">
        <v>985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2396</v>
      </c>
      <c r="B240" s="104" t="s">
        <v>987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2397</v>
      </c>
      <c r="B241" s="104" t="s">
        <v>989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2398</v>
      </c>
      <c r="B242" s="102" t="s">
        <v>956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2399</v>
      </c>
      <c r="B243" s="104" t="s">
        <v>958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2400</v>
      </c>
      <c r="B244" s="102" t="s">
        <v>2401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2402</v>
      </c>
      <c r="B245" s="109" t="s">
        <v>993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2403</v>
      </c>
      <c r="B246" s="104" t="s">
        <v>995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2404</v>
      </c>
      <c r="B247" s="104" t="s">
        <v>997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2405</v>
      </c>
      <c r="B248" s="104" t="s">
        <v>999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2406</v>
      </c>
      <c r="B249" s="104" t="s">
        <v>1001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2407</v>
      </c>
      <c r="B250" s="104" t="s">
        <v>264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2408</v>
      </c>
      <c r="B251" s="104" t="s">
        <v>1004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2409</v>
      </c>
      <c r="B252" s="104" t="s">
        <v>800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2410</v>
      </c>
      <c r="B253" s="104" t="s">
        <v>1007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2411</v>
      </c>
      <c r="B254" s="104" t="s">
        <v>1011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2412</v>
      </c>
      <c r="B255" s="104" t="s">
        <v>1013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2413</v>
      </c>
      <c r="B256" s="104" t="s">
        <v>266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2414</v>
      </c>
      <c r="B257" s="109" t="s">
        <v>1016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2415</v>
      </c>
      <c r="B258" s="104" t="s">
        <v>1020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2416</v>
      </c>
      <c r="B259" s="104" t="s">
        <v>1022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2417</v>
      </c>
      <c r="B260" s="104" t="s">
        <v>1024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2418</v>
      </c>
      <c r="B261" s="104" t="s">
        <v>1026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2419</v>
      </c>
      <c r="B262" s="104" t="s">
        <v>1028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2420</v>
      </c>
      <c r="B263" s="100" t="s">
        <v>2421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2422</v>
      </c>
      <c r="B264" s="102" t="s">
        <v>2423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2424</v>
      </c>
      <c r="B265" s="104" t="s">
        <v>2425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2426</v>
      </c>
      <c r="B266" s="104" t="s">
        <v>2427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2428</v>
      </c>
      <c r="B267" s="104" t="s">
        <v>2429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2430</v>
      </c>
      <c r="B268" s="104" t="s">
        <v>2431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2432</v>
      </c>
      <c r="B269" s="102" t="s">
        <v>2433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2434</v>
      </c>
      <c r="B270" s="104" t="s">
        <v>2435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2436</v>
      </c>
      <c r="B271" s="104" t="s">
        <v>1498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2437</v>
      </c>
      <c r="B272" s="104" t="s">
        <v>2438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2439</v>
      </c>
      <c r="B273" s="104" t="s">
        <v>2440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2441</v>
      </c>
      <c r="B274" s="104" t="s">
        <v>2442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2443</v>
      </c>
      <c r="B275" s="104" t="s">
        <v>1512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2444</v>
      </c>
      <c r="B276" s="104" t="s">
        <v>2445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2446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2447</v>
      </c>
      <c r="B278" s="104" t="s">
        <v>2448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2449</v>
      </c>
      <c r="B279" s="100" t="s">
        <v>1739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2450</v>
      </c>
      <c r="B280" s="104" t="s">
        <v>2451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2452</v>
      </c>
      <c r="B281" s="100" t="s">
        <v>1206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2453</v>
      </c>
      <c r="B282" s="104" t="s">
        <v>2454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2455</v>
      </c>
      <c r="B283" s="104" t="s">
        <v>2456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2457</v>
      </c>
      <c r="B284" s="104" t="s">
        <v>2458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2459</v>
      </c>
      <c r="B285" s="104" t="s">
        <v>2460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6" t="s">
        <v>1237</v>
      </c>
      <c r="B286" s="577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 006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'RDO 006'!Área_de_impresión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2026-08-13T21:18:57Z</cp:lastPrinted>
  <dcterms:created xsi:type="dcterms:W3CDTF">2026-02-19T20:04:08Z</dcterms:created>
  <dcterms:modified xsi:type="dcterms:W3CDTF">2026-08-13T21:19:22Z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