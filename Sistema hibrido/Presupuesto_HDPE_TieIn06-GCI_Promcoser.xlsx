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BRANDY\Downloads\VICTOR\CLAUDE CODE\pg_control_proyectos\Sistema hibrido\"/>
    </mc:Choice>
  </mc:AlternateContent>
  <xr:revisionPtr revIDLastSave="0" documentId="13_ncr:1_{F70B5210-0DC4-446E-80B8-36E475B07551}" xr6:coauthVersionLast="47" xr6:coauthVersionMax="47" xr10:uidLastSave="{00000000-0000-0000-0000-000000000000}"/>
  <bookViews>
    <workbookView xWindow="4452" yWindow="1908" windowWidth="17280" windowHeight="8880" activeTab="1" xr2:uid="{00000000-000D-0000-FFFF-FFFF00000000}"/>
  </bookViews>
  <sheets>
    <sheet name="PRESUPUESTO" sheetId="1" r:id="rId1"/>
    <sheet name="CD" sheetId="2" r:id="rId2"/>
    <sheet name="APU" sheetId="3" r:id="rId3"/>
    <sheet name="PS.." sheetId="4" state="hidden" r:id="rId4"/>
    <sheet name="GG" sheetId="5" r:id="rId5"/>
  </sheets>
  <definedNames>
    <definedName name="_xlnm.Print_Area" localSheetId="2">APU!$A$1:$H$265</definedName>
    <definedName name="_xlnm.Print_Area" localSheetId="1">CD!$A$1:$H$44</definedName>
    <definedName name="_xlnm.Print_Area" localSheetId="4">GG!$A$1:$I$75</definedName>
    <definedName name="_xlnm.Print_Area" localSheetId="0">PRESUPUESTO!$A$1:$V$108</definedName>
    <definedName name="_xlnm.Print_Area" localSheetId="3">'PS..'!$A$1:$H$51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53" i="3" l="1"/>
  <c r="I70" i="5"/>
  <c r="I69" i="5"/>
  <c r="G69" i="5"/>
  <c r="I68" i="5"/>
  <c r="I67" i="5"/>
  <c r="I71" i="5" s="1"/>
  <c r="I63" i="5"/>
  <c r="H62" i="5"/>
  <c r="I62" i="5" s="1"/>
  <c r="H61" i="5"/>
  <c r="I61" i="5" s="1"/>
  <c r="H60" i="5"/>
  <c r="I60" i="5" s="1"/>
  <c r="H59" i="5"/>
  <c r="I59" i="5" s="1"/>
  <c r="H58" i="5"/>
  <c r="I58" i="5" s="1"/>
  <c r="I65" i="5" s="1"/>
  <c r="I56" i="5"/>
  <c r="I54" i="5"/>
  <c r="I53" i="5"/>
  <c r="I52" i="5"/>
  <c r="I49" i="5"/>
  <c r="I48" i="5"/>
  <c r="I42" i="5"/>
  <c r="G41" i="5"/>
  <c r="I41" i="5" s="1"/>
  <c r="I40" i="5"/>
  <c r="G40" i="5"/>
  <c r="I39" i="5"/>
  <c r="I38" i="5"/>
  <c r="G38" i="5"/>
  <c r="G37" i="5"/>
  <c r="I37" i="5" s="1"/>
  <c r="G33" i="5"/>
  <c r="I33" i="5" s="1"/>
  <c r="I32" i="5"/>
  <c r="I35" i="5" s="1"/>
  <c r="G32" i="5"/>
  <c r="E29" i="5"/>
  <c r="H26" i="5"/>
  <c r="I26" i="5" s="1"/>
  <c r="I29" i="5" s="1"/>
  <c r="I25" i="5"/>
  <c r="H25" i="5"/>
  <c r="E23" i="5"/>
  <c r="G21" i="5"/>
  <c r="H21" i="5" s="1"/>
  <c r="I21" i="5" s="1"/>
  <c r="H20" i="5"/>
  <c r="I20" i="5" s="1"/>
  <c r="G20" i="5"/>
  <c r="I19" i="5"/>
  <c r="H19" i="5"/>
  <c r="G19" i="5"/>
  <c r="H18" i="5"/>
  <c r="I18" i="5" s="1"/>
  <c r="G18" i="5"/>
  <c r="H17" i="5"/>
  <c r="I17" i="5" s="1"/>
  <c r="I23" i="5" s="1"/>
  <c r="H49" i="4"/>
  <c r="H48" i="4" s="1"/>
  <c r="G49" i="4"/>
  <c r="H47" i="4"/>
  <c r="G47" i="4"/>
  <c r="G46" i="4"/>
  <c r="H46" i="4" s="1"/>
  <c r="G45" i="4"/>
  <c r="H45" i="4" s="1"/>
  <c r="H44" i="4" s="1"/>
  <c r="G43" i="4"/>
  <c r="H43" i="4" s="1"/>
  <c r="G42" i="4"/>
  <c r="H42" i="4" s="1"/>
  <c r="H41" i="4" s="1"/>
  <c r="G40" i="4"/>
  <c r="H40" i="4" s="1"/>
  <c r="G39" i="4"/>
  <c r="H39" i="4" s="1"/>
  <c r="H38" i="4" s="1"/>
  <c r="H37" i="4"/>
  <c r="H35" i="4"/>
  <c r="H34" i="4"/>
  <c r="H33" i="4"/>
  <c r="H32" i="4"/>
  <c r="H31" i="4"/>
  <c r="H30" i="4"/>
  <c r="H29" i="4"/>
  <c r="H28" i="4"/>
  <c r="H27" i="4"/>
  <c r="H26" i="4"/>
  <c r="H25" i="4"/>
  <c r="H23" i="4"/>
  <c r="H18" i="4" s="1"/>
  <c r="H21" i="4"/>
  <c r="H20" i="4"/>
  <c r="H19" i="4"/>
  <c r="H17" i="4"/>
  <c r="H16" i="4"/>
  <c r="H15" i="4"/>
  <c r="H14" i="4"/>
  <c r="H13" i="4"/>
  <c r="G12" i="4"/>
  <c r="H12" i="4" s="1"/>
  <c r="G11" i="4"/>
  <c r="H11" i="4" s="1"/>
  <c r="H7" i="4" s="1"/>
  <c r="H10" i="4"/>
  <c r="H9" i="4"/>
  <c r="H8" i="4"/>
  <c r="F5" i="4"/>
  <c r="F214" i="3"/>
  <c r="H214" i="3" s="1"/>
  <c r="F213" i="3"/>
  <c r="H213" i="3" s="1"/>
  <c r="XBW212" i="3"/>
  <c r="XBU212" i="3"/>
  <c r="XBM212" i="3"/>
  <c r="XBO212" i="3" s="1"/>
  <c r="XBG212" i="3"/>
  <c r="XBE212" i="3"/>
  <c r="XAY212" i="3"/>
  <c r="XAW212" i="3"/>
  <c r="XAO212" i="3"/>
  <c r="XAQ212" i="3" s="1"/>
  <c r="XAI212" i="3"/>
  <c r="XAG212" i="3"/>
  <c r="WZY212" i="3"/>
  <c r="XAA212" i="3" s="1"/>
  <c r="WZS212" i="3"/>
  <c r="WZQ212" i="3"/>
  <c r="WZI212" i="3"/>
  <c r="WZK212" i="3" s="1"/>
  <c r="WZC212" i="3"/>
  <c r="WZA212" i="3"/>
  <c r="WYS212" i="3"/>
  <c r="WYU212" i="3" s="1"/>
  <c r="WYM212" i="3"/>
  <c r="WYK212" i="3"/>
  <c r="WYC212" i="3"/>
  <c r="WYE212" i="3" s="1"/>
  <c r="WXW212" i="3"/>
  <c r="WXU212" i="3"/>
  <c r="WXM212" i="3"/>
  <c r="WXO212" i="3" s="1"/>
  <c r="WXG212" i="3"/>
  <c r="WXE212" i="3"/>
  <c r="WWW212" i="3"/>
  <c r="WWY212" i="3" s="1"/>
  <c r="WWO212" i="3"/>
  <c r="WWQ212" i="3" s="1"/>
  <c r="WWI212" i="3"/>
  <c r="WWG212" i="3"/>
  <c r="WVY212" i="3"/>
  <c r="WWA212" i="3" s="1"/>
  <c r="WVS212" i="3"/>
  <c r="WVQ212" i="3"/>
  <c r="WVK212" i="3"/>
  <c r="WVI212" i="3"/>
  <c r="WVA212" i="3"/>
  <c r="WVC212" i="3" s="1"/>
  <c r="WUU212" i="3"/>
  <c r="WUS212" i="3"/>
  <c r="WUM212" i="3"/>
  <c r="WUK212" i="3"/>
  <c r="WUC212" i="3"/>
  <c r="WUE212" i="3" s="1"/>
  <c r="WTW212" i="3"/>
  <c r="WTU212" i="3"/>
  <c r="WTO212" i="3"/>
  <c r="WTM212" i="3"/>
  <c r="WTE212" i="3"/>
  <c r="WTG212" i="3" s="1"/>
  <c r="WSW212" i="3"/>
  <c r="WSY212" i="3" s="1"/>
  <c r="WSO212" i="3"/>
  <c r="WSQ212" i="3" s="1"/>
  <c r="WSI212" i="3"/>
  <c r="WSG212" i="3"/>
  <c r="WRY212" i="3"/>
  <c r="WSA212" i="3" s="1"/>
  <c r="WRS212" i="3"/>
  <c r="WRQ212" i="3"/>
  <c r="WRI212" i="3"/>
  <c r="WRK212" i="3" s="1"/>
  <c r="WRC212" i="3"/>
  <c r="WRA212" i="3"/>
  <c r="WQU212" i="3"/>
  <c r="WQS212" i="3"/>
  <c r="WQK212" i="3"/>
  <c r="WQM212" i="3" s="1"/>
  <c r="WQC212" i="3"/>
  <c r="WQE212" i="3" s="1"/>
  <c r="WPW212" i="3"/>
  <c r="WPU212" i="3"/>
  <c r="WPM212" i="3"/>
  <c r="WPO212" i="3" s="1"/>
  <c r="WPE212" i="3"/>
  <c r="WPG212" i="3" s="1"/>
  <c r="WOW212" i="3"/>
  <c r="WOY212" i="3" s="1"/>
  <c r="WOO212" i="3"/>
  <c r="WOQ212" i="3" s="1"/>
  <c r="WOI212" i="3"/>
  <c r="WOG212" i="3"/>
  <c r="WOA212" i="3"/>
  <c r="WNY212" i="3"/>
  <c r="WNQ212" i="3"/>
  <c r="WNS212" i="3" s="1"/>
  <c r="WNI212" i="3"/>
  <c r="WNK212" i="3" s="1"/>
  <c r="WNC212" i="3"/>
  <c r="WNA212" i="3"/>
  <c r="WMU212" i="3"/>
  <c r="WMS212" i="3"/>
  <c r="WMK212" i="3"/>
  <c r="WMM212" i="3" s="1"/>
  <c r="WME212" i="3"/>
  <c r="WMC212" i="3"/>
  <c r="WLU212" i="3"/>
  <c r="WLW212" i="3" s="1"/>
  <c r="WLO212" i="3"/>
  <c r="WLM212" i="3"/>
  <c r="WLE212" i="3"/>
  <c r="WLG212" i="3" s="1"/>
  <c r="WKW212" i="3"/>
  <c r="WKY212" i="3" s="1"/>
  <c r="WKO212" i="3"/>
  <c r="WKQ212" i="3" s="1"/>
  <c r="WKI212" i="3"/>
  <c r="WKG212" i="3"/>
  <c r="WJY212" i="3"/>
  <c r="WKA212" i="3" s="1"/>
  <c r="WJS212" i="3"/>
  <c r="WJQ212" i="3"/>
  <c r="WJI212" i="3"/>
  <c r="WJK212" i="3" s="1"/>
  <c r="WJC212" i="3"/>
  <c r="WJA212" i="3"/>
  <c r="WIU212" i="3"/>
  <c r="WIS212" i="3"/>
  <c r="WIM212" i="3"/>
  <c r="WIK212" i="3"/>
  <c r="WIC212" i="3"/>
  <c r="WIE212" i="3" s="1"/>
  <c r="WHU212" i="3"/>
  <c r="WHW212" i="3" s="1"/>
  <c r="WHO212" i="3"/>
  <c r="WHM212" i="3"/>
  <c r="WHE212" i="3"/>
  <c r="WHG212" i="3" s="1"/>
  <c r="WGW212" i="3"/>
  <c r="WGY212" i="3" s="1"/>
  <c r="WGQ212" i="3"/>
  <c r="WGO212" i="3"/>
  <c r="WGG212" i="3"/>
  <c r="WGI212" i="3" s="1"/>
  <c r="WFY212" i="3"/>
  <c r="WGA212" i="3" s="1"/>
  <c r="WFS212" i="3"/>
  <c r="WFQ212" i="3"/>
  <c r="WFI212" i="3"/>
  <c r="WFK212" i="3" s="1"/>
  <c r="WFC212" i="3"/>
  <c r="WFA212" i="3"/>
  <c r="WEU212" i="3"/>
  <c r="WES212" i="3"/>
  <c r="WEK212" i="3"/>
  <c r="WEM212" i="3" s="1"/>
  <c r="WEE212" i="3"/>
  <c r="WEC212" i="3"/>
  <c r="WDU212" i="3"/>
  <c r="WDW212" i="3" s="1"/>
  <c r="WDO212" i="3"/>
  <c r="WDM212" i="3"/>
  <c r="WDE212" i="3"/>
  <c r="WDG212" i="3" s="1"/>
  <c r="WCY212" i="3"/>
  <c r="WCW212" i="3"/>
  <c r="WCO212" i="3"/>
  <c r="WCQ212" i="3" s="1"/>
  <c r="WCI212" i="3"/>
  <c r="WCG212" i="3"/>
  <c r="WBY212" i="3"/>
  <c r="WCA212" i="3" s="1"/>
  <c r="WBS212" i="3"/>
  <c r="WBQ212" i="3"/>
  <c r="WBI212" i="3"/>
  <c r="WBK212" i="3" s="1"/>
  <c r="WBC212" i="3"/>
  <c r="WBA212" i="3"/>
  <c r="WAS212" i="3"/>
  <c r="WAU212" i="3" s="1"/>
  <c r="WAK212" i="3"/>
  <c r="WAM212" i="3" s="1"/>
  <c r="WAE212" i="3"/>
  <c r="WAC212" i="3"/>
  <c r="VZU212" i="3"/>
  <c r="VZW212" i="3" s="1"/>
  <c r="VZO212" i="3"/>
  <c r="VZM212" i="3"/>
  <c r="VZG212" i="3"/>
  <c r="VZE212" i="3"/>
  <c r="VYW212" i="3"/>
  <c r="VYY212" i="3" s="1"/>
  <c r="VYQ212" i="3"/>
  <c r="VYO212" i="3"/>
  <c r="VYI212" i="3"/>
  <c r="VYG212" i="3"/>
  <c r="VXY212" i="3"/>
  <c r="VYA212" i="3" s="1"/>
  <c r="VXS212" i="3"/>
  <c r="VXQ212" i="3"/>
  <c r="VXK212" i="3"/>
  <c r="VXI212" i="3"/>
  <c r="VXA212" i="3"/>
  <c r="VXC212" i="3" s="1"/>
  <c r="VWS212" i="3"/>
  <c r="VWU212" i="3" s="1"/>
  <c r="VWK212" i="3"/>
  <c r="VWM212" i="3" s="1"/>
  <c r="VWE212" i="3"/>
  <c r="VWC212" i="3"/>
  <c r="VVU212" i="3"/>
  <c r="VVW212" i="3" s="1"/>
  <c r="VVO212" i="3"/>
  <c r="VVM212" i="3"/>
  <c r="VVE212" i="3"/>
  <c r="VVG212" i="3" s="1"/>
  <c r="VUY212" i="3"/>
  <c r="VUW212" i="3"/>
  <c r="VUQ212" i="3"/>
  <c r="VUO212" i="3"/>
  <c r="VUG212" i="3"/>
  <c r="VUI212" i="3" s="1"/>
  <c r="VTY212" i="3"/>
  <c r="VUA212" i="3" s="1"/>
  <c r="VTS212" i="3"/>
  <c r="VTQ212" i="3"/>
  <c r="VTI212" i="3"/>
  <c r="VTK212" i="3" s="1"/>
  <c r="VTA212" i="3"/>
  <c r="VTC212" i="3" s="1"/>
  <c r="VSS212" i="3"/>
  <c r="VSU212" i="3" s="1"/>
  <c r="VSK212" i="3"/>
  <c r="VSM212" i="3" s="1"/>
  <c r="VSE212" i="3"/>
  <c r="VSC212" i="3"/>
  <c r="VRW212" i="3"/>
  <c r="VRU212" i="3"/>
  <c r="VRM212" i="3"/>
  <c r="VRO212" i="3" s="1"/>
  <c r="VRE212" i="3"/>
  <c r="VRG212" i="3" s="1"/>
  <c r="VQY212" i="3"/>
  <c r="VQW212" i="3"/>
  <c r="VQQ212" i="3"/>
  <c r="VQO212" i="3"/>
  <c r="VQG212" i="3"/>
  <c r="VQI212" i="3" s="1"/>
  <c r="VQA212" i="3"/>
  <c r="VPY212" i="3"/>
  <c r="VPQ212" i="3"/>
  <c r="VPS212" i="3" s="1"/>
  <c r="VPK212" i="3"/>
  <c r="VPI212" i="3"/>
  <c r="VPA212" i="3"/>
  <c r="VPC212" i="3" s="1"/>
  <c r="VOS212" i="3"/>
  <c r="VOU212" i="3" s="1"/>
  <c r="VOK212" i="3"/>
  <c r="VOM212" i="3" s="1"/>
  <c r="VOE212" i="3"/>
  <c r="VOC212" i="3"/>
  <c r="VNU212" i="3"/>
  <c r="VNW212" i="3" s="1"/>
  <c r="VNO212" i="3"/>
  <c r="VNM212" i="3"/>
  <c r="VNE212" i="3"/>
  <c r="VNG212" i="3" s="1"/>
  <c r="VMY212" i="3"/>
  <c r="VMW212" i="3"/>
  <c r="VMQ212" i="3"/>
  <c r="VMO212" i="3"/>
  <c r="VMI212" i="3"/>
  <c r="VMG212" i="3"/>
  <c r="VLY212" i="3"/>
  <c r="VMA212" i="3" s="1"/>
  <c r="VLQ212" i="3"/>
  <c r="VLS212" i="3" s="1"/>
  <c r="VLK212" i="3"/>
  <c r="VLI212" i="3"/>
  <c r="VLA212" i="3"/>
  <c r="VLC212" i="3" s="1"/>
  <c r="VKS212" i="3"/>
  <c r="VKU212" i="3" s="1"/>
  <c r="VKM212" i="3"/>
  <c r="VKK212" i="3"/>
  <c r="VKC212" i="3"/>
  <c r="VKE212" i="3" s="1"/>
  <c r="VJU212" i="3"/>
  <c r="VJW212" i="3" s="1"/>
  <c r="VJO212" i="3"/>
  <c r="VJM212" i="3"/>
  <c r="VJE212" i="3"/>
  <c r="VJG212" i="3" s="1"/>
  <c r="VIY212" i="3"/>
  <c r="VIW212" i="3"/>
  <c r="VIQ212" i="3"/>
  <c r="VIO212" i="3"/>
  <c r="VIG212" i="3"/>
  <c r="VII212" i="3" s="1"/>
  <c r="VIA212" i="3"/>
  <c r="VHY212" i="3"/>
  <c r="VHQ212" i="3"/>
  <c r="VHS212" i="3" s="1"/>
  <c r="VHK212" i="3"/>
  <c r="VHI212" i="3"/>
  <c r="VHA212" i="3"/>
  <c r="VHC212" i="3" s="1"/>
  <c r="VGU212" i="3"/>
  <c r="VGS212" i="3"/>
  <c r="VGK212" i="3"/>
  <c r="VGM212" i="3" s="1"/>
  <c r="VGE212" i="3"/>
  <c r="VGC212" i="3"/>
  <c r="VFU212" i="3"/>
  <c r="VFW212" i="3" s="1"/>
  <c r="VFO212" i="3"/>
  <c r="VFM212" i="3"/>
  <c r="VFE212" i="3"/>
  <c r="VFG212" i="3" s="1"/>
  <c r="VEY212" i="3"/>
  <c r="VEW212" i="3"/>
  <c r="VEO212" i="3"/>
  <c r="VEQ212" i="3" s="1"/>
  <c r="VEG212" i="3"/>
  <c r="VEI212" i="3" s="1"/>
  <c r="VEA212" i="3"/>
  <c r="VDY212" i="3"/>
  <c r="VDQ212" i="3"/>
  <c r="VDS212" i="3" s="1"/>
  <c r="VDK212" i="3"/>
  <c r="VDI212" i="3"/>
  <c r="VDC212" i="3"/>
  <c r="VDA212" i="3"/>
  <c r="VCS212" i="3"/>
  <c r="VCU212" i="3" s="1"/>
  <c r="VCM212" i="3"/>
  <c r="VCK212" i="3"/>
  <c r="VCE212" i="3"/>
  <c r="VCC212" i="3"/>
  <c r="VBU212" i="3"/>
  <c r="VBW212" i="3" s="1"/>
  <c r="VBO212" i="3"/>
  <c r="VBM212" i="3"/>
  <c r="VBG212" i="3"/>
  <c r="VBE212" i="3"/>
  <c r="VAW212" i="3"/>
  <c r="VAY212" i="3" s="1"/>
  <c r="VAO212" i="3"/>
  <c r="VAQ212" i="3" s="1"/>
  <c r="VAG212" i="3"/>
  <c r="VAI212" i="3" s="1"/>
  <c r="VAA212" i="3"/>
  <c r="UZY212" i="3"/>
  <c r="UZQ212" i="3"/>
  <c r="UZS212" i="3" s="1"/>
  <c r="UZK212" i="3"/>
  <c r="UZI212" i="3"/>
  <c r="UZA212" i="3"/>
  <c r="UZC212" i="3" s="1"/>
  <c r="UYU212" i="3"/>
  <c r="UYS212" i="3"/>
  <c r="UYM212" i="3"/>
  <c r="UYK212" i="3"/>
  <c r="UYC212" i="3"/>
  <c r="UYE212" i="3" s="1"/>
  <c r="UXU212" i="3"/>
  <c r="UXW212" i="3" s="1"/>
  <c r="UXO212" i="3"/>
  <c r="UXM212" i="3"/>
  <c r="UXE212" i="3"/>
  <c r="UXG212" i="3" s="1"/>
  <c r="UWW212" i="3"/>
  <c r="UWY212" i="3" s="1"/>
  <c r="UWO212" i="3"/>
  <c r="UWQ212" i="3" s="1"/>
  <c r="UWG212" i="3"/>
  <c r="UWI212" i="3" s="1"/>
  <c r="UWA212" i="3"/>
  <c r="UVY212" i="3"/>
  <c r="UVS212" i="3"/>
  <c r="UVQ212" i="3"/>
  <c r="UVI212" i="3"/>
  <c r="UVK212" i="3" s="1"/>
  <c r="UVA212" i="3"/>
  <c r="UVC212" i="3" s="1"/>
  <c r="UUU212" i="3"/>
  <c r="UUS212" i="3"/>
  <c r="UUM212" i="3"/>
  <c r="UUK212" i="3"/>
  <c r="UUC212" i="3"/>
  <c r="UUE212" i="3" s="1"/>
  <c r="UTW212" i="3"/>
  <c r="UTU212" i="3"/>
  <c r="UTM212" i="3"/>
  <c r="UTO212" i="3" s="1"/>
  <c r="UTG212" i="3"/>
  <c r="UTE212" i="3"/>
  <c r="USW212" i="3"/>
  <c r="USY212" i="3" s="1"/>
  <c r="USO212" i="3"/>
  <c r="USQ212" i="3" s="1"/>
  <c r="USG212" i="3"/>
  <c r="USI212" i="3" s="1"/>
  <c r="USA212" i="3"/>
  <c r="URY212" i="3"/>
  <c r="URQ212" i="3"/>
  <c r="URS212" i="3" s="1"/>
  <c r="URK212" i="3"/>
  <c r="URI212" i="3"/>
  <c r="URA212" i="3"/>
  <c r="URC212" i="3" s="1"/>
  <c r="UQU212" i="3"/>
  <c r="UQS212" i="3"/>
  <c r="UQM212" i="3"/>
  <c r="UQK212" i="3"/>
  <c r="UQE212" i="3"/>
  <c r="UQC212" i="3"/>
  <c r="UPU212" i="3"/>
  <c r="UPW212" i="3" s="1"/>
  <c r="UPM212" i="3"/>
  <c r="UPO212" i="3" s="1"/>
  <c r="UPG212" i="3"/>
  <c r="UPE212" i="3"/>
  <c r="UOW212" i="3"/>
  <c r="UOY212" i="3" s="1"/>
  <c r="UOO212" i="3"/>
  <c r="UOQ212" i="3" s="1"/>
  <c r="UOI212" i="3"/>
  <c r="UOG212" i="3"/>
  <c r="UNY212" i="3"/>
  <c r="UOA212" i="3" s="1"/>
  <c r="UNQ212" i="3"/>
  <c r="UNS212" i="3" s="1"/>
  <c r="UNK212" i="3"/>
  <c r="UNI212" i="3"/>
  <c r="UNA212" i="3"/>
  <c r="UNC212" i="3" s="1"/>
  <c r="UMU212" i="3"/>
  <c r="UMS212" i="3"/>
  <c r="UMM212" i="3"/>
  <c r="UMK212" i="3"/>
  <c r="UMC212" i="3"/>
  <c r="UME212" i="3" s="1"/>
  <c r="ULW212" i="3"/>
  <c r="ULU212" i="3"/>
  <c r="ULM212" i="3"/>
  <c r="ULO212" i="3" s="1"/>
  <c r="ULG212" i="3"/>
  <c r="ULE212" i="3"/>
  <c r="UKW212" i="3"/>
  <c r="UKY212" i="3" s="1"/>
  <c r="UKQ212" i="3"/>
  <c r="UKO212" i="3"/>
  <c r="UKG212" i="3"/>
  <c r="UKI212" i="3" s="1"/>
  <c r="UKA212" i="3"/>
  <c r="UJY212" i="3"/>
  <c r="UJS212" i="3"/>
  <c r="UJQ212" i="3"/>
  <c r="UJK212" i="3"/>
  <c r="UJI212" i="3"/>
  <c r="UJA212" i="3"/>
  <c r="UJC212" i="3" s="1"/>
  <c r="UIU212" i="3"/>
  <c r="UIS212" i="3"/>
  <c r="UIK212" i="3"/>
  <c r="UIM212" i="3" s="1"/>
  <c r="UIC212" i="3"/>
  <c r="UIE212" i="3" s="1"/>
  <c r="UHU212" i="3"/>
  <c r="UHW212" i="3" s="1"/>
  <c r="UHM212" i="3"/>
  <c r="UHO212" i="3" s="1"/>
  <c r="UHG212" i="3"/>
  <c r="UHE212" i="3"/>
  <c r="UGY212" i="3"/>
  <c r="UGW212" i="3"/>
  <c r="UGO212" i="3"/>
  <c r="UGQ212" i="3" s="1"/>
  <c r="UGI212" i="3"/>
  <c r="UGG212" i="3"/>
  <c r="UFY212" i="3"/>
  <c r="UGA212" i="3" s="1"/>
  <c r="UFS212" i="3"/>
  <c r="UFQ212" i="3"/>
  <c r="UFK212" i="3"/>
  <c r="UFI212" i="3"/>
  <c r="UFC212" i="3"/>
  <c r="UFA212" i="3"/>
  <c r="UES212" i="3"/>
  <c r="UEU212" i="3" s="1"/>
  <c r="UEK212" i="3"/>
  <c r="UEM212" i="3" s="1"/>
  <c r="UEC212" i="3"/>
  <c r="UEE212" i="3" s="1"/>
  <c r="UDW212" i="3"/>
  <c r="UDU212" i="3"/>
  <c r="UDM212" i="3"/>
  <c r="UDO212" i="3" s="1"/>
  <c r="UDG212" i="3"/>
  <c r="UDE212" i="3"/>
  <c r="UCW212" i="3"/>
  <c r="UCY212" i="3" s="1"/>
  <c r="UCQ212" i="3"/>
  <c r="UCO212" i="3"/>
  <c r="UCI212" i="3"/>
  <c r="UCG212" i="3"/>
  <c r="UBY212" i="3"/>
  <c r="UCA212" i="3" s="1"/>
  <c r="UBQ212" i="3"/>
  <c r="UBS212" i="3" s="1"/>
  <c r="UBK212" i="3"/>
  <c r="UBI212" i="3"/>
  <c r="UBA212" i="3"/>
  <c r="UBC212" i="3" s="1"/>
  <c r="UAS212" i="3"/>
  <c r="UAU212" i="3" s="1"/>
  <c r="UAK212" i="3"/>
  <c r="UAM212" i="3" s="1"/>
  <c r="UAC212" i="3"/>
  <c r="UAE212" i="3" s="1"/>
  <c r="TZW212" i="3"/>
  <c r="TZU212" i="3"/>
  <c r="TZO212" i="3"/>
  <c r="TZM212" i="3"/>
  <c r="TZE212" i="3"/>
  <c r="TZG212" i="3" s="1"/>
  <c r="TYW212" i="3"/>
  <c r="TYY212" i="3" s="1"/>
  <c r="TYQ212" i="3"/>
  <c r="TYO212" i="3"/>
  <c r="TYI212" i="3"/>
  <c r="TYG212" i="3"/>
  <c r="TXY212" i="3"/>
  <c r="TYA212" i="3" s="1"/>
  <c r="TXS212" i="3"/>
  <c r="TXQ212" i="3"/>
  <c r="TXI212" i="3"/>
  <c r="TXK212" i="3" s="1"/>
  <c r="TXC212" i="3"/>
  <c r="TXA212" i="3"/>
  <c r="TWS212" i="3"/>
  <c r="TWU212" i="3" s="1"/>
  <c r="TWK212" i="3"/>
  <c r="TWM212" i="3" s="1"/>
  <c r="TWC212" i="3"/>
  <c r="TWE212" i="3" s="1"/>
  <c r="TVW212" i="3"/>
  <c r="TVU212" i="3"/>
  <c r="TVM212" i="3"/>
  <c r="TVO212" i="3" s="1"/>
  <c r="TVG212" i="3"/>
  <c r="TVE212" i="3"/>
  <c r="TUW212" i="3"/>
  <c r="TUY212" i="3" s="1"/>
  <c r="TUQ212" i="3"/>
  <c r="TUO212" i="3"/>
  <c r="TUI212" i="3"/>
  <c r="TUG212" i="3"/>
  <c r="TUA212" i="3"/>
  <c r="TTY212" i="3"/>
  <c r="TTQ212" i="3"/>
  <c r="TTS212" i="3" s="1"/>
  <c r="TTK212" i="3"/>
  <c r="TTI212" i="3"/>
  <c r="TTC212" i="3"/>
  <c r="TTA212" i="3"/>
  <c r="TSS212" i="3"/>
  <c r="TSU212" i="3" s="1"/>
  <c r="TSK212" i="3"/>
  <c r="TSM212" i="3" s="1"/>
  <c r="TSE212" i="3"/>
  <c r="TSC212" i="3"/>
  <c r="TRU212" i="3"/>
  <c r="TRW212" i="3" s="1"/>
  <c r="TRO212" i="3"/>
  <c r="TRM212" i="3"/>
  <c r="TRG212" i="3"/>
  <c r="TRE212" i="3"/>
  <c r="TQW212" i="3"/>
  <c r="TQY212" i="3" s="1"/>
  <c r="TQQ212" i="3"/>
  <c r="TQO212" i="3"/>
  <c r="TQI212" i="3"/>
  <c r="TQG212" i="3"/>
  <c r="TPY212" i="3"/>
  <c r="TQA212" i="3" s="1"/>
  <c r="TPQ212" i="3"/>
  <c r="TPS212" i="3" s="1"/>
  <c r="TPK212" i="3"/>
  <c r="TPI212" i="3"/>
  <c r="TPC212" i="3"/>
  <c r="TPA212" i="3"/>
  <c r="TOS212" i="3"/>
  <c r="TOU212" i="3" s="1"/>
  <c r="TOM212" i="3"/>
  <c r="TOK212" i="3"/>
  <c r="TOC212" i="3"/>
  <c r="TOE212" i="3" s="1"/>
  <c r="TNU212" i="3"/>
  <c r="TNW212" i="3" s="1"/>
  <c r="TNM212" i="3"/>
  <c r="TNO212" i="3" s="1"/>
  <c r="TNG212" i="3"/>
  <c r="TNE212" i="3"/>
  <c r="TMW212" i="3"/>
  <c r="TMY212" i="3" s="1"/>
  <c r="TMQ212" i="3"/>
  <c r="TMO212" i="3"/>
  <c r="TMG212" i="3"/>
  <c r="TMI212" i="3" s="1"/>
  <c r="TLY212" i="3"/>
  <c r="TMA212" i="3" s="1"/>
  <c r="TLQ212" i="3"/>
  <c r="TLS212" i="3" s="1"/>
  <c r="TLK212" i="3"/>
  <c r="TLI212" i="3"/>
  <c r="TLC212" i="3"/>
  <c r="TLA212" i="3"/>
  <c r="TKU212" i="3"/>
  <c r="TKS212" i="3"/>
  <c r="TKK212" i="3"/>
  <c r="TKM212" i="3" s="1"/>
  <c r="TKE212" i="3"/>
  <c r="TKC212" i="3"/>
  <c r="TJW212" i="3"/>
  <c r="TJU212" i="3"/>
  <c r="TJM212" i="3"/>
  <c r="TJO212" i="3" s="1"/>
  <c r="TJG212" i="3"/>
  <c r="TJE212" i="3"/>
  <c r="TIY212" i="3"/>
  <c r="TIW212" i="3"/>
  <c r="TIO212" i="3"/>
  <c r="TIQ212" i="3" s="1"/>
  <c r="TIG212" i="3"/>
  <c r="TII212" i="3" s="1"/>
  <c r="THY212" i="3"/>
  <c r="TIA212" i="3" s="1"/>
  <c r="THS212" i="3"/>
  <c r="THQ212" i="3"/>
  <c r="THI212" i="3"/>
  <c r="THK212" i="3" s="1"/>
  <c r="THC212" i="3"/>
  <c r="THA212" i="3"/>
  <c r="TGS212" i="3"/>
  <c r="TGU212" i="3" s="1"/>
  <c r="TGM212" i="3"/>
  <c r="TGK212" i="3"/>
  <c r="TGE212" i="3"/>
  <c r="TGC212" i="3"/>
  <c r="TFU212" i="3"/>
  <c r="TFW212" i="3" s="1"/>
  <c r="TFO212" i="3"/>
  <c r="TFM212" i="3"/>
  <c r="TFG212" i="3"/>
  <c r="TFE212" i="3"/>
  <c r="TEW212" i="3"/>
  <c r="TEY212" i="3" s="1"/>
  <c r="TEO212" i="3"/>
  <c r="TEQ212" i="3" s="1"/>
  <c r="TEG212" i="3"/>
  <c r="TEI212" i="3" s="1"/>
  <c r="TDY212" i="3"/>
  <c r="TEA212" i="3" s="1"/>
  <c r="TDS212" i="3"/>
  <c r="TDQ212" i="3"/>
  <c r="TDK212" i="3"/>
  <c r="TDI212" i="3"/>
  <c r="TDA212" i="3"/>
  <c r="TDC212" i="3" s="1"/>
  <c r="TCS212" i="3"/>
  <c r="TCU212" i="3" s="1"/>
  <c r="TCM212" i="3"/>
  <c r="TCK212" i="3"/>
  <c r="TCE212" i="3"/>
  <c r="TCC212" i="3"/>
  <c r="TBW212" i="3"/>
  <c r="TBU212" i="3"/>
  <c r="TBO212" i="3"/>
  <c r="TBM212" i="3"/>
  <c r="TBE212" i="3"/>
  <c r="TBG212" i="3" s="1"/>
  <c r="TAY212" i="3"/>
  <c r="TAW212" i="3"/>
  <c r="TAO212" i="3"/>
  <c r="TAQ212" i="3" s="1"/>
  <c r="TAG212" i="3"/>
  <c r="TAI212" i="3" s="1"/>
  <c r="SZY212" i="3"/>
  <c r="TAA212" i="3" s="1"/>
  <c r="SZS212" i="3"/>
  <c r="SZQ212" i="3"/>
  <c r="SZI212" i="3"/>
  <c r="SZK212" i="3" s="1"/>
  <c r="SZA212" i="3"/>
  <c r="SZC212" i="3" s="1"/>
  <c r="SYS212" i="3"/>
  <c r="SYU212" i="3" s="1"/>
  <c r="SYM212" i="3"/>
  <c r="SYK212" i="3"/>
  <c r="SYE212" i="3"/>
  <c r="SYC212" i="3"/>
  <c r="SXW212" i="3"/>
  <c r="SXU212" i="3"/>
  <c r="SXM212" i="3"/>
  <c r="SXO212" i="3" s="1"/>
  <c r="SXE212" i="3"/>
  <c r="SXG212" i="3" s="1"/>
  <c r="SWY212" i="3"/>
  <c r="SWW212" i="3"/>
  <c r="SWO212" i="3"/>
  <c r="SWQ212" i="3" s="1"/>
  <c r="SWG212" i="3"/>
  <c r="SWI212" i="3" s="1"/>
  <c r="SWA212" i="3"/>
  <c r="SVY212" i="3"/>
  <c r="SVQ212" i="3"/>
  <c r="SVS212" i="3" s="1"/>
  <c r="SVI212" i="3"/>
  <c r="SVK212" i="3" s="1"/>
  <c r="SVA212" i="3"/>
  <c r="SVC212" i="3" s="1"/>
  <c r="SUS212" i="3"/>
  <c r="SUU212" i="3" s="1"/>
  <c r="SUM212" i="3"/>
  <c r="SUK212" i="3"/>
  <c r="SUE212" i="3"/>
  <c r="SUC212" i="3"/>
  <c r="STU212" i="3"/>
  <c r="STW212" i="3" s="1"/>
  <c r="STM212" i="3"/>
  <c r="STO212" i="3" s="1"/>
  <c r="STE212" i="3"/>
  <c r="STG212" i="3" s="1"/>
  <c r="SSY212" i="3"/>
  <c r="SSW212" i="3"/>
  <c r="SSO212" i="3"/>
  <c r="SSQ212" i="3" s="1"/>
  <c r="SSI212" i="3"/>
  <c r="SSG212" i="3"/>
  <c r="SRY212" i="3"/>
  <c r="SSA212" i="3" s="1"/>
  <c r="SRQ212" i="3"/>
  <c r="SRS212" i="3" s="1"/>
  <c r="SRI212" i="3"/>
  <c r="SRK212" i="3" s="1"/>
  <c r="SRA212" i="3"/>
  <c r="SRC212" i="3" s="1"/>
  <c r="SQS212" i="3"/>
  <c r="SQU212" i="3" s="1"/>
  <c r="SQM212" i="3"/>
  <c r="SQK212" i="3"/>
  <c r="SQC212" i="3"/>
  <c r="SQE212" i="3" s="1"/>
  <c r="SPU212" i="3"/>
  <c r="SPW212" i="3" s="1"/>
  <c r="SPO212" i="3"/>
  <c r="SPM212" i="3"/>
  <c r="SPG212" i="3"/>
  <c r="SPE212" i="3"/>
  <c r="SOY212" i="3"/>
  <c r="SOW212" i="3"/>
  <c r="SOQ212" i="3"/>
  <c r="SOO212" i="3"/>
  <c r="SOG212" i="3"/>
  <c r="SOI212" i="3" s="1"/>
  <c r="SOA212" i="3"/>
  <c r="SNY212" i="3"/>
  <c r="SNS212" i="3"/>
  <c r="SNQ212" i="3"/>
  <c r="SNI212" i="3"/>
  <c r="SNK212" i="3" s="1"/>
  <c r="SNA212" i="3"/>
  <c r="SNC212" i="3" s="1"/>
  <c r="SMU212" i="3"/>
  <c r="SMS212" i="3"/>
  <c r="SMK212" i="3"/>
  <c r="SMM212" i="3" s="1"/>
  <c r="SMC212" i="3"/>
  <c r="SME212" i="3" s="1"/>
  <c r="SLU212" i="3"/>
  <c r="SLW212" i="3" s="1"/>
  <c r="SLM212" i="3"/>
  <c r="SLO212" i="3" s="1"/>
  <c r="SLG212" i="3"/>
  <c r="SLE212" i="3"/>
  <c r="SKY212" i="3"/>
  <c r="SKW212" i="3"/>
  <c r="SKO212" i="3"/>
  <c r="SKQ212" i="3" s="1"/>
  <c r="SKI212" i="3"/>
  <c r="SKG212" i="3"/>
  <c r="SKA212" i="3"/>
  <c r="SJY212" i="3"/>
  <c r="SJS212" i="3"/>
  <c r="SJQ212" i="3"/>
  <c r="SJK212" i="3"/>
  <c r="SJI212" i="3"/>
  <c r="SJC212" i="3"/>
  <c r="SJA212" i="3"/>
  <c r="SIS212" i="3"/>
  <c r="SIU212" i="3" s="1"/>
  <c r="SIK212" i="3"/>
  <c r="SIM212" i="3" s="1"/>
  <c r="SIC212" i="3"/>
  <c r="SIE212" i="3" s="1"/>
  <c r="SHU212" i="3"/>
  <c r="SHW212" i="3" s="1"/>
  <c r="SHM212" i="3"/>
  <c r="SHO212" i="3" s="1"/>
  <c r="SHG212" i="3"/>
  <c r="SHE212" i="3"/>
  <c r="SGW212" i="3"/>
  <c r="SGY212" i="3" s="1"/>
  <c r="SGO212" i="3"/>
  <c r="SGQ212" i="3" s="1"/>
  <c r="SGI212" i="3"/>
  <c r="SGG212" i="3"/>
  <c r="SGA212" i="3"/>
  <c r="SFY212" i="3"/>
  <c r="SFQ212" i="3"/>
  <c r="SFS212" i="3" s="1"/>
  <c r="SFK212" i="3"/>
  <c r="SFI212" i="3"/>
  <c r="SFA212" i="3"/>
  <c r="SFC212" i="3" s="1"/>
  <c r="SEU212" i="3"/>
  <c r="SES212" i="3"/>
  <c r="SEK212" i="3"/>
  <c r="SEM212" i="3" s="1"/>
  <c r="SEC212" i="3"/>
  <c r="SEE212" i="3" s="1"/>
  <c r="SDU212" i="3"/>
  <c r="SDW212" i="3" s="1"/>
  <c r="SDO212" i="3"/>
  <c r="SDM212" i="3"/>
  <c r="SDE212" i="3"/>
  <c r="SDG212" i="3" s="1"/>
  <c r="SCY212" i="3"/>
  <c r="SCW212" i="3"/>
  <c r="SCO212" i="3"/>
  <c r="SCQ212" i="3" s="1"/>
  <c r="SCI212" i="3"/>
  <c r="SCG212" i="3"/>
  <c r="SCA212" i="3"/>
  <c r="SBY212" i="3"/>
  <c r="SBS212" i="3"/>
  <c r="SBQ212" i="3"/>
  <c r="SBI212" i="3"/>
  <c r="SBK212" i="3" s="1"/>
  <c r="SBA212" i="3"/>
  <c r="SBC212" i="3" s="1"/>
  <c r="SAU212" i="3"/>
  <c r="SAS212" i="3"/>
  <c r="SAK212" i="3"/>
  <c r="SAM212" i="3" s="1"/>
  <c r="SAC212" i="3"/>
  <c r="SAE212" i="3" s="1"/>
  <c r="RZW212" i="3"/>
  <c r="RZU212" i="3"/>
  <c r="RZM212" i="3"/>
  <c r="RZO212" i="3" s="1"/>
  <c r="RZE212" i="3"/>
  <c r="RZG212" i="3" s="1"/>
  <c r="RYW212" i="3"/>
  <c r="RYY212" i="3" s="1"/>
  <c r="RYO212" i="3"/>
  <c r="RYQ212" i="3" s="1"/>
  <c r="RYI212" i="3"/>
  <c r="RYG212" i="3"/>
  <c r="RYA212" i="3"/>
  <c r="RXY212" i="3"/>
  <c r="RXQ212" i="3"/>
  <c r="RXS212" i="3" s="1"/>
  <c r="RXI212" i="3"/>
  <c r="RXK212" i="3" s="1"/>
  <c r="RXA212" i="3"/>
  <c r="RXC212" i="3" s="1"/>
  <c r="RWU212" i="3"/>
  <c r="RWS212" i="3"/>
  <c r="RWK212" i="3"/>
  <c r="RWM212" i="3" s="1"/>
  <c r="RWE212" i="3"/>
  <c r="RWC212" i="3"/>
  <c r="RVU212" i="3"/>
  <c r="RVW212" i="3" s="1"/>
  <c r="RVO212" i="3"/>
  <c r="RVM212" i="3"/>
  <c r="RVE212" i="3"/>
  <c r="RVG212" i="3" s="1"/>
  <c r="RUW212" i="3"/>
  <c r="RUY212" i="3" s="1"/>
  <c r="RUO212" i="3"/>
  <c r="RUQ212" i="3" s="1"/>
  <c r="RUI212" i="3"/>
  <c r="RUG212" i="3"/>
  <c r="RTY212" i="3"/>
  <c r="RUA212" i="3" s="1"/>
  <c r="RTQ212" i="3"/>
  <c r="RTS212" i="3" s="1"/>
  <c r="RTI212" i="3"/>
  <c r="RTK212" i="3" s="1"/>
  <c r="RTA212" i="3"/>
  <c r="RTC212" i="3" s="1"/>
  <c r="RSU212" i="3"/>
  <c r="RSS212" i="3"/>
  <c r="RSM212" i="3"/>
  <c r="RSK212" i="3"/>
  <c r="RSC212" i="3"/>
  <c r="RSE212" i="3" s="1"/>
  <c r="RRW212" i="3"/>
  <c r="RRU212" i="3"/>
  <c r="RRM212" i="3"/>
  <c r="RRO212" i="3" s="1"/>
  <c r="RRG212" i="3"/>
  <c r="RRE212" i="3"/>
  <c r="RQW212" i="3"/>
  <c r="RQY212" i="3" s="1"/>
  <c r="RQQ212" i="3"/>
  <c r="RQO212" i="3"/>
  <c r="RQG212" i="3"/>
  <c r="RQI212" i="3" s="1"/>
  <c r="RPY212" i="3"/>
  <c r="RQA212" i="3" s="1"/>
  <c r="RPQ212" i="3"/>
  <c r="RPS212" i="3" s="1"/>
  <c r="RPK212" i="3"/>
  <c r="RPI212" i="3"/>
  <c r="RPA212" i="3"/>
  <c r="RPC212" i="3" s="1"/>
  <c r="ROU212" i="3"/>
  <c r="ROS212" i="3"/>
  <c r="ROK212" i="3"/>
  <c r="ROM212" i="3" s="1"/>
  <c r="ROE212" i="3"/>
  <c r="ROC212" i="3"/>
  <c r="RNW212" i="3"/>
  <c r="RNU212" i="3"/>
  <c r="RNM212" i="3"/>
  <c r="RNO212" i="3" s="1"/>
  <c r="RNE212" i="3"/>
  <c r="RNG212" i="3" s="1"/>
  <c r="RMY212" i="3"/>
  <c r="RMW212" i="3"/>
  <c r="RMO212" i="3"/>
  <c r="RMQ212" i="3" s="1"/>
  <c r="RMG212" i="3"/>
  <c r="RMI212" i="3" s="1"/>
  <c r="RLY212" i="3"/>
  <c r="RMA212" i="3" s="1"/>
  <c r="RLQ212" i="3"/>
  <c r="RLS212" i="3" s="1"/>
  <c r="RLI212" i="3"/>
  <c r="RLK212" i="3" s="1"/>
  <c r="RLC212" i="3"/>
  <c r="RLA212" i="3"/>
  <c r="RKS212" i="3"/>
  <c r="RKU212" i="3" s="1"/>
  <c r="RKK212" i="3"/>
  <c r="RKM212" i="3" s="1"/>
  <c r="RKE212" i="3"/>
  <c r="RKC212" i="3"/>
  <c r="RJW212" i="3"/>
  <c r="RJU212" i="3"/>
  <c r="RJM212" i="3"/>
  <c r="RJO212" i="3" s="1"/>
  <c r="RJG212" i="3"/>
  <c r="RJE212" i="3"/>
  <c r="RIW212" i="3"/>
  <c r="RIY212" i="3" s="1"/>
  <c r="RIQ212" i="3"/>
  <c r="RIO212" i="3"/>
  <c r="RIG212" i="3"/>
  <c r="RII212" i="3" s="1"/>
  <c r="RHY212" i="3"/>
  <c r="RIA212" i="3" s="1"/>
  <c r="RHQ212" i="3"/>
  <c r="RHS212" i="3" s="1"/>
  <c r="RHI212" i="3"/>
  <c r="RHK212" i="3" s="1"/>
  <c r="RHA212" i="3"/>
  <c r="RHC212" i="3" s="1"/>
  <c r="RGU212" i="3"/>
  <c r="RGS212" i="3"/>
  <c r="RGK212" i="3"/>
  <c r="RGM212" i="3" s="1"/>
  <c r="RGE212" i="3"/>
  <c r="RGC212" i="3"/>
  <c r="RFW212" i="3"/>
  <c r="RFU212" i="3"/>
  <c r="RFO212" i="3"/>
  <c r="RFM212" i="3"/>
  <c r="RFE212" i="3"/>
  <c r="RFG212" i="3" s="1"/>
  <c r="REW212" i="3"/>
  <c r="REY212" i="3" s="1"/>
  <c r="REO212" i="3"/>
  <c r="REQ212" i="3" s="1"/>
  <c r="REI212" i="3"/>
  <c r="REG212" i="3"/>
  <c r="REA212" i="3"/>
  <c r="RDY212" i="3"/>
  <c r="RDQ212" i="3"/>
  <c r="RDS212" i="3" s="1"/>
  <c r="RDI212" i="3"/>
  <c r="RDK212" i="3" s="1"/>
  <c r="RDC212" i="3"/>
  <c r="RDA212" i="3"/>
  <c r="RCS212" i="3"/>
  <c r="RCU212" i="3" s="1"/>
  <c r="RCK212" i="3"/>
  <c r="RCM212" i="3" s="1"/>
  <c r="RCC212" i="3"/>
  <c r="RCE212" i="3" s="1"/>
  <c r="RBW212" i="3"/>
  <c r="RBU212" i="3"/>
  <c r="RBO212" i="3"/>
  <c r="RBM212" i="3"/>
  <c r="RBE212" i="3"/>
  <c r="RBG212" i="3" s="1"/>
  <c r="RAW212" i="3"/>
  <c r="RAY212" i="3" s="1"/>
  <c r="RAQ212" i="3"/>
  <c r="RAO212" i="3"/>
  <c r="RAG212" i="3"/>
  <c r="RAI212" i="3" s="1"/>
  <c r="RAA212" i="3"/>
  <c r="QZY212" i="3"/>
  <c r="QZQ212" i="3"/>
  <c r="QZS212" i="3" s="1"/>
  <c r="QZI212" i="3"/>
  <c r="QZK212" i="3" s="1"/>
  <c r="QZA212" i="3"/>
  <c r="QZC212" i="3" s="1"/>
  <c r="QYS212" i="3"/>
  <c r="QYU212" i="3" s="1"/>
  <c r="QYK212" i="3"/>
  <c r="QYM212" i="3" s="1"/>
  <c r="QYC212" i="3"/>
  <c r="QYE212" i="3" s="1"/>
  <c r="QXW212" i="3"/>
  <c r="QXU212" i="3"/>
  <c r="QXO212" i="3"/>
  <c r="QXM212" i="3"/>
  <c r="QXE212" i="3"/>
  <c r="QXG212" i="3" s="1"/>
  <c r="QWY212" i="3"/>
  <c r="QWW212" i="3"/>
  <c r="QWQ212" i="3"/>
  <c r="QWO212" i="3"/>
  <c r="QWG212" i="3"/>
  <c r="QWI212" i="3" s="1"/>
  <c r="QWA212" i="3"/>
  <c r="QVY212" i="3"/>
  <c r="QVQ212" i="3"/>
  <c r="QVS212" i="3" s="1"/>
  <c r="QVI212" i="3"/>
  <c r="QVK212" i="3" s="1"/>
  <c r="QVA212" i="3"/>
  <c r="QVC212" i="3" s="1"/>
  <c r="QUS212" i="3"/>
  <c r="QUU212" i="3" s="1"/>
  <c r="QUK212" i="3"/>
  <c r="QUM212" i="3" s="1"/>
  <c r="QUC212" i="3"/>
  <c r="QUE212" i="3" s="1"/>
  <c r="QTW212" i="3"/>
  <c r="QTU212" i="3"/>
  <c r="QTM212" i="3"/>
  <c r="QTO212" i="3" s="1"/>
  <c r="QTE212" i="3"/>
  <c r="QTG212" i="3" s="1"/>
  <c r="QSY212" i="3"/>
  <c r="QSW212" i="3"/>
  <c r="QSQ212" i="3"/>
  <c r="QSO212" i="3"/>
  <c r="QSG212" i="3"/>
  <c r="QSI212" i="3" s="1"/>
  <c r="QSA212" i="3"/>
  <c r="QRY212" i="3"/>
  <c r="QRQ212" i="3"/>
  <c r="QRS212" i="3" s="1"/>
  <c r="QRK212" i="3"/>
  <c r="QRI212" i="3"/>
  <c r="QRA212" i="3"/>
  <c r="QRC212" i="3" s="1"/>
  <c r="QQS212" i="3"/>
  <c r="QQU212" i="3" s="1"/>
  <c r="QQK212" i="3"/>
  <c r="QQM212" i="3" s="1"/>
  <c r="QQC212" i="3"/>
  <c r="QQE212" i="3" s="1"/>
  <c r="QPU212" i="3"/>
  <c r="QPW212" i="3" s="1"/>
  <c r="QPM212" i="3"/>
  <c r="QPO212" i="3" s="1"/>
  <c r="QPE212" i="3"/>
  <c r="QPG212" i="3" s="1"/>
  <c r="QOY212" i="3"/>
  <c r="QOW212" i="3"/>
  <c r="QOQ212" i="3"/>
  <c r="QOO212" i="3"/>
  <c r="QOG212" i="3"/>
  <c r="QOI212" i="3" s="1"/>
  <c r="QNY212" i="3"/>
  <c r="QOA212" i="3" s="1"/>
  <c r="QNS212" i="3"/>
  <c r="QNQ212" i="3"/>
  <c r="QNK212" i="3"/>
  <c r="QNI212" i="3"/>
  <c r="QNA212" i="3"/>
  <c r="QNC212" i="3" s="1"/>
  <c r="QMS212" i="3"/>
  <c r="QMU212" i="3" s="1"/>
  <c r="QMK212" i="3"/>
  <c r="QMM212" i="3" s="1"/>
  <c r="QMC212" i="3"/>
  <c r="QME212" i="3" s="1"/>
  <c r="QLW212" i="3"/>
  <c r="QLU212" i="3"/>
  <c r="QLM212" i="3"/>
  <c r="QLO212" i="3" s="1"/>
  <c r="QLE212" i="3"/>
  <c r="QLG212" i="3" s="1"/>
  <c r="QKY212" i="3"/>
  <c r="QKW212" i="3"/>
  <c r="QKQ212" i="3"/>
  <c r="QKO212" i="3"/>
  <c r="QKG212" i="3"/>
  <c r="QKI212" i="3" s="1"/>
  <c r="QJY212" i="3"/>
  <c r="QKA212" i="3" s="1"/>
  <c r="QJS212" i="3"/>
  <c r="QJQ212" i="3"/>
  <c r="QJK212" i="3"/>
  <c r="QJI212" i="3"/>
  <c r="QJA212" i="3"/>
  <c r="QJC212" i="3" s="1"/>
  <c r="QIS212" i="3"/>
  <c r="QIU212" i="3" s="1"/>
  <c r="QIK212" i="3"/>
  <c r="QIM212" i="3" s="1"/>
  <c r="QIC212" i="3"/>
  <c r="QIE212" i="3" s="1"/>
  <c r="QHU212" i="3"/>
  <c r="QHW212" i="3" s="1"/>
  <c r="QHM212" i="3"/>
  <c r="QHO212" i="3" s="1"/>
  <c r="QHE212" i="3"/>
  <c r="QHG212" i="3" s="1"/>
  <c r="QGY212" i="3"/>
  <c r="QGW212" i="3"/>
  <c r="QGO212" i="3"/>
  <c r="QGQ212" i="3" s="1"/>
  <c r="QGG212" i="3"/>
  <c r="QGI212" i="3" s="1"/>
  <c r="QFY212" i="3"/>
  <c r="QGA212" i="3" s="1"/>
  <c r="QFS212" i="3"/>
  <c r="QFQ212" i="3"/>
  <c r="QFK212" i="3"/>
  <c r="QFI212" i="3"/>
  <c r="QFA212" i="3"/>
  <c r="QFC212" i="3" s="1"/>
  <c r="QES212" i="3"/>
  <c r="QEU212" i="3" s="1"/>
  <c r="QEM212" i="3"/>
  <c r="QEK212" i="3"/>
  <c r="QEC212" i="3"/>
  <c r="QEE212" i="3" s="1"/>
  <c r="QDW212" i="3"/>
  <c r="QDU212" i="3"/>
  <c r="QDM212" i="3"/>
  <c r="QDO212" i="3" s="1"/>
  <c r="QDE212" i="3"/>
  <c r="QDG212" i="3" s="1"/>
  <c r="QCW212" i="3"/>
  <c r="QCY212" i="3" s="1"/>
  <c r="QCO212" i="3"/>
  <c r="QCQ212" i="3" s="1"/>
  <c r="QCG212" i="3"/>
  <c r="QCI212" i="3" s="1"/>
  <c r="QBY212" i="3"/>
  <c r="QCA212" i="3" s="1"/>
  <c r="QBS212" i="3"/>
  <c r="QBQ212" i="3"/>
  <c r="QBK212" i="3"/>
  <c r="QBI212" i="3"/>
  <c r="QBA212" i="3"/>
  <c r="QBC212" i="3" s="1"/>
  <c r="QAU212" i="3"/>
  <c r="QAS212" i="3"/>
  <c r="QAM212" i="3"/>
  <c r="QAK212" i="3"/>
  <c r="QAC212" i="3"/>
  <c r="QAE212" i="3" s="1"/>
  <c r="PZU212" i="3"/>
  <c r="PZW212" i="3" s="1"/>
  <c r="PZM212" i="3"/>
  <c r="PZO212" i="3" s="1"/>
  <c r="PZE212" i="3"/>
  <c r="PZG212" i="3" s="1"/>
  <c r="PYW212" i="3"/>
  <c r="PYY212" i="3" s="1"/>
  <c r="PYO212" i="3"/>
  <c r="PYQ212" i="3" s="1"/>
  <c r="PYG212" i="3"/>
  <c r="PYI212" i="3" s="1"/>
  <c r="PXY212" i="3"/>
  <c r="PYA212" i="3" s="1"/>
  <c r="PXS212" i="3"/>
  <c r="PXQ212" i="3"/>
  <c r="PXI212" i="3"/>
  <c r="PXK212" i="3" s="1"/>
  <c r="PXA212" i="3"/>
  <c r="PXC212" i="3" s="1"/>
  <c r="PWU212" i="3"/>
  <c r="PWS212" i="3"/>
  <c r="PWM212" i="3"/>
  <c r="PWK212" i="3"/>
  <c r="PWC212" i="3"/>
  <c r="PWE212" i="3" s="1"/>
  <c r="PVU212" i="3"/>
  <c r="PVW212" i="3" s="1"/>
  <c r="PVM212" i="3"/>
  <c r="PVO212" i="3" s="1"/>
  <c r="PVG212" i="3"/>
  <c r="PVE212" i="3"/>
  <c r="PUW212" i="3"/>
  <c r="PUY212" i="3" s="1"/>
  <c r="PUO212" i="3"/>
  <c r="PUQ212" i="3" s="1"/>
  <c r="PUG212" i="3"/>
  <c r="PUI212" i="3" s="1"/>
  <c r="PTY212" i="3"/>
  <c r="PUA212" i="3" s="1"/>
  <c r="PTQ212" i="3"/>
  <c r="PTS212" i="3" s="1"/>
  <c r="PTI212" i="3"/>
  <c r="PTK212" i="3" s="1"/>
  <c r="PTA212" i="3"/>
  <c r="PTC212" i="3" s="1"/>
  <c r="PSU212" i="3"/>
  <c r="PSS212" i="3"/>
  <c r="PSM212" i="3"/>
  <c r="PSK212" i="3"/>
  <c r="PSC212" i="3"/>
  <c r="PSE212" i="3" s="1"/>
  <c r="PRU212" i="3"/>
  <c r="PRW212" i="3" s="1"/>
  <c r="PRO212" i="3"/>
  <c r="PRM212" i="3"/>
  <c r="PRG212" i="3"/>
  <c r="PRE212" i="3"/>
  <c r="PQW212" i="3"/>
  <c r="PQY212" i="3" s="1"/>
  <c r="PQO212" i="3"/>
  <c r="PQQ212" i="3" s="1"/>
  <c r="PQG212" i="3"/>
  <c r="PQI212" i="3" s="1"/>
  <c r="PPY212" i="3"/>
  <c r="PQA212" i="3" s="1"/>
  <c r="PPQ212" i="3"/>
  <c r="PPS212" i="3" s="1"/>
  <c r="PPI212" i="3"/>
  <c r="PPK212" i="3" s="1"/>
  <c r="PPA212" i="3"/>
  <c r="PPC212" i="3" s="1"/>
  <c r="POU212" i="3"/>
  <c r="POS212" i="3"/>
  <c r="POM212" i="3"/>
  <c r="POK212" i="3"/>
  <c r="POC212" i="3"/>
  <c r="POE212" i="3" s="1"/>
  <c r="PNU212" i="3"/>
  <c r="PNW212" i="3" s="1"/>
  <c r="PNO212" i="3"/>
  <c r="PNM212" i="3"/>
  <c r="PNE212" i="3"/>
  <c r="PNG212" i="3" s="1"/>
  <c r="PMW212" i="3"/>
  <c r="PMY212" i="3" s="1"/>
  <c r="PMO212" i="3"/>
  <c r="PMQ212" i="3" s="1"/>
  <c r="PMG212" i="3"/>
  <c r="PMI212" i="3" s="1"/>
  <c r="PLY212" i="3"/>
  <c r="PMA212" i="3" s="1"/>
  <c r="PLS212" i="3"/>
  <c r="PLQ212" i="3"/>
  <c r="PLI212" i="3"/>
  <c r="PLK212" i="3" s="1"/>
  <c r="PLA212" i="3"/>
  <c r="PLC212" i="3" s="1"/>
  <c r="PKU212" i="3"/>
  <c r="PKS212" i="3"/>
  <c r="PKK212" i="3"/>
  <c r="PKM212" i="3" s="1"/>
  <c r="PKC212" i="3"/>
  <c r="PKE212" i="3" s="1"/>
  <c r="PJU212" i="3"/>
  <c r="PJW212" i="3" s="1"/>
  <c r="PJO212" i="3"/>
  <c r="PJM212" i="3"/>
  <c r="PJG212" i="3"/>
  <c r="PJE212" i="3"/>
  <c r="PIY212" i="3"/>
  <c r="PIW212" i="3"/>
  <c r="PIO212" i="3"/>
  <c r="PIQ212" i="3" s="1"/>
  <c r="PII212" i="3"/>
  <c r="PIG212" i="3"/>
  <c r="PHY212" i="3"/>
  <c r="PIA212" i="3" s="1"/>
  <c r="PHQ212" i="3"/>
  <c r="PHS212" i="3" s="1"/>
  <c r="PHK212" i="3"/>
  <c r="PHI212" i="3"/>
  <c r="PHC212" i="3"/>
  <c r="PHA212" i="3"/>
  <c r="PGS212" i="3"/>
  <c r="PGU212" i="3" s="1"/>
  <c r="PGK212" i="3"/>
  <c r="PGM212" i="3" s="1"/>
  <c r="PGC212" i="3"/>
  <c r="PGE212" i="3" s="1"/>
  <c r="PFU212" i="3"/>
  <c r="PFW212" i="3" s="1"/>
  <c r="PFO212" i="3"/>
  <c r="PFM212" i="3"/>
  <c r="PFE212" i="3"/>
  <c r="PFG212" i="3" s="1"/>
  <c r="PEW212" i="3"/>
  <c r="PEY212" i="3" s="1"/>
  <c r="PEQ212" i="3"/>
  <c r="PEO212" i="3"/>
  <c r="PEI212" i="3"/>
  <c r="PEG212" i="3"/>
  <c r="PDY212" i="3"/>
  <c r="PEA212" i="3" s="1"/>
  <c r="PDQ212" i="3"/>
  <c r="PDS212" i="3" s="1"/>
  <c r="PDK212" i="3"/>
  <c r="PDI212" i="3"/>
  <c r="PDA212" i="3"/>
  <c r="PDC212" i="3" s="1"/>
  <c r="PCU212" i="3"/>
  <c r="PCS212" i="3"/>
  <c r="PCK212" i="3"/>
  <c r="PCM212" i="3" s="1"/>
  <c r="PCC212" i="3"/>
  <c r="PCE212" i="3" s="1"/>
  <c r="PBU212" i="3"/>
  <c r="PBW212" i="3" s="1"/>
  <c r="PBO212" i="3"/>
  <c r="PBM212" i="3"/>
  <c r="PBE212" i="3"/>
  <c r="PBG212" i="3" s="1"/>
  <c r="PAW212" i="3"/>
  <c r="PAY212" i="3" s="1"/>
  <c r="PAQ212" i="3"/>
  <c r="PAO212" i="3"/>
  <c r="PAI212" i="3"/>
  <c r="PAG212" i="3"/>
  <c r="OZY212" i="3"/>
  <c r="PAA212" i="3" s="1"/>
  <c r="OZS212" i="3"/>
  <c r="OZQ212" i="3"/>
  <c r="OZI212" i="3"/>
  <c r="OZK212" i="3" s="1"/>
  <c r="OZA212" i="3"/>
  <c r="OZC212" i="3" s="1"/>
  <c r="OYS212" i="3"/>
  <c r="OYU212" i="3" s="1"/>
  <c r="OYK212" i="3"/>
  <c r="OYM212" i="3" s="1"/>
  <c r="OYC212" i="3"/>
  <c r="OYE212" i="3" s="1"/>
  <c r="OXU212" i="3"/>
  <c r="OXW212" i="3" s="1"/>
  <c r="OXM212" i="3"/>
  <c r="OXO212" i="3" s="1"/>
  <c r="OXE212" i="3"/>
  <c r="OXG212" i="3" s="1"/>
  <c r="OWW212" i="3"/>
  <c r="OWY212" i="3" s="1"/>
  <c r="OWQ212" i="3"/>
  <c r="OWO212" i="3"/>
  <c r="OWI212" i="3"/>
  <c r="OWG212" i="3"/>
  <c r="OVY212" i="3"/>
  <c r="OWA212" i="3" s="1"/>
  <c r="OVQ212" i="3"/>
  <c r="OVS212" i="3" s="1"/>
  <c r="OVK212" i="3"/>
  <c r="OVI212" i="3"/>
  <c r="OVA212" i="3"/>
  <c r="OVC212" i="3" s="1"/>
  <c r="OUS212" i="3"/>
  <c r="OUU212" i="3" s="1"/>
  <c r="OUK212" i="3"/>
  <c r="OUM212" i="3" s="1"/>
  <c r="OUC212" i="3"/>
  <c r="OUE212" i="3" s="1"/>
  <c r="OTU212" i="3"/>
  <c r="OTW212" i="3" s="1"/>
  <c r="OTO212" i="3"/>
  <c r="OTM212" i="3"/>
  <c r="OTE212" i="3"/>
  <c r="OTG212" i="3" s="1"/>
  <c r="OSY212" i="3"/>
  <c r="OSW212" i="3"/>
  <c r="OSQ212" i="3"/>
  <c r="OSO212" i="3"/>
  <c r="OSI212" i="3"/>
  <c r="OSG212" i="3"/>
  <c r="ORY212" i="3"/>
  <c r="OSA212" i="3" s="1"/>
  <c r="ORQ212" i="3"/>
  <c r="ORS212" i="3" s="1"/>
  <c r="ORK212" i="3"/>
  <c r="ORI212" i="3"/>
  <c r="ORA212" i="3"/>
  <c r="ORC212" i="3" s="1"/>
  <c r="OQU212" i="3"/>
  <c r="OQS212" i="3"/>
  <c r="OQK212" i="3"/>
  <c r="OQM212" i="3" s="1"/>
  <c r="OQC212" i="3"/>
  <c r="OQE212" i="3" s="1"/>
  <c r="OPU212" i="3"/>
  <c r="OPW212" i="3" s="1"/>
  <c r="OPM212" i="3"/>
  <c r="OPO212" i="3" s="1"/>
  <c r="OPE212" i="3"/>
  <c r="OPG212" i="3" s="1"/>
  <c r="OOW212" i="3"/>
  <c r="OOY212" i="3" s="1"/>
  <c r="OOQ212" i="3"/>
  <c r="OOO212" i="3"/>
  <c r="OOG212" i="3"/>
  <c r="OOI212" i="3" s="1"/>
  <c r="ONY212" i="3"/>
  <c r="OOA212" i="3" s="1"/>
  <c r="ONQ212" i="3"/>
  <c r="ONS212" i="3" s="1"/>
  <c r="ONK212" i="3"/>
  <c r="ONI212" i="3"/>
  <c r="ONA212" i="3"/>
  <c r="ONC212" i="3" s="1"/>
  <c r="OMU212" i="3"/>
  <c r="OMS212" i="3"/>
  <c r="OMK212" i="3"/>
  <c r="OMM212" i="3" s="1"/>
  <c r="OME212" i="3"/>
  <c r="OMC212" i="3"/>
  <c r="OLU212" i="3"/>
  <c r="OLW212" i="3" s="1"/>
  <c r="OLO212" i="3"/>
  <c r="OLM212" i="3"/>
  <c r="OLG212" i="3"/>
  <c r="OLE212" i="3"/>
  <c r="OKW212" i="3"/>
  <c r="OKY212" i="3" s="1"/>
  <c r="OKO212" i="3"/>
  <c r="OKQ212" i="3" s="1"/>
  <c r="OKG212" i="3"/>
  <c r="OKI212" i="3" s="1"/>
  <c r="OJY212" i="3"/>
  <c r="OKA212" i="3" s="1"/>
  <c r="OJS212" i="3"/>
  <c r="OJQ212" i="3"/>
  <c r="OJI212" i="3"/>
  <c r="OJK212" i="3" s="1"/>
  <c r="OJA212" i="3"/>
  <c r="OJC212" i="3" s="1"/>
  <c r="OIS212" i="3"/>
  <c r="OIU212" i="3" s="1"/>
  <c r="OIM212" i="3"/>
  <c r="OIK212" i="3"/>
  <c r="OIE212" i="3"/>
  <c r="OIC212" i="3"/>
  <c r="OHU212" i="3"/>
  <c r="OHW212" i="3" s="1"/>
  <c r="OHO212" i="3"/>
  <c r="OHM212" i="3"/>
  <c r="OHE212" i="3"/>
  <c r="OHG212" i="3" s="1"/>
  <c r="OGW212" i="3"/>
  <c r="OGY212" i="3" s="1"/>
  <c r="OGQ212" i="3"/>
  <c r="OGO212" i="3"/>
  <c r="OGG212" i="3"/>
  <c r="OGI212" i="3" s="1"/>
  <c r="OFY212" i="3"/>
  <c r="OGA212" i="3" s="1"/>
  <c r="OFS212" i="3"/>
  <c r="OFQ212" i="3"/>
  <c r="OFI212" i="3"/>
  <c r="OFK212" i="3" s="1"/>
  <c r="OFA212" i="3"/>
  <c r="OFC212" i="3" s="1"/>
  <c r="OES212" i="3"/>
  <c r="OEU212" i="3" s="1"/>
  <c r="OEM212" i="3"/>
  <c r="OEK212" i="3"/>
  <c r="OEE212" i="3"/>
  <c r="OEC212" i="3"/>
  <c r="ODU212" i="3"/>
  <c r="ODW212" i="3" s="1"/>
  <c r="ODO212" i="3"/>
  <c r="ODM212" i="3"/>
  <c r="ODE212" i="3"/>
  <c r="ODG212" i="3" s="1"/>
  <c r="OCW212" i="3"/>
  <c r="OCY212" i="3" s="1"/>
  <c r="OCO212" i="3"/>
  <c r="OCQ212" i="3" s="1"/>
  <c r="OCG212" i="3"/>
  <c r="OCI212" i="3" s="1"/>
  <c r="OBY212" i="3"/>
  <c r="OCA212" i="3" s="1"/>
  <c r="OBQ212" i="3"/>
  <c r="OBS212" i="3" s="1"/>
  <c r="OBI212" i="3"/>
  <c r="OBK212" i="3" s="1"/>
  <c r="OBC212" i="3"/>
  <c r="OBA212" i="3"/>
  <c r="OAS212" i="3"/>
  <c r="OAU212" i="3" s="1"/>
  <c r="OAM212" i="3"/>
  <c r="OAK212" i="3"/>
  <c r="OAE212" i="3"/>
  <c r="OAC212" i="3"/>
  <c r="NZU212" i="3"/>
  <c r="NZW212" i="3" s="1"/>
  <c r="NZM212" i="3"/>
  <c r="NZO212" i="3" s="1"/>
  <c r="NZE212" i="3"/>
  <c r="NZG212" i="3" s="1"/>
  <c r="NYY212" i="3"/>
  <c r="NYW212" i="3"/>
  <c r="NYO212" i="3"/>
  <c r="NYQ212" i="3" s="1"/>
  <c r="NYG212" i="3"/>
  <c r="NYI212" i="3" s="1"/>
  <c r="NXY212" i="3"/>
  <c r="NYA212" i="3" s="1"/>
  <c r="NXQ212" i="3"/>
  <c r="NXS212" i="3" s="1"/>
  <c r="NXI212" i="3"/>
  <c r="NXK212" i="3" s="1"/>
  <c r="NXA212" i="3"/>
  <c r="NXC212" i="3" s="1"/>
  <c r="NWS212" i="3"/>
  <c r="NWU212" i="3" s="1"/>
  <c r="NWM212" i="3"/>
  <c r="NWK212" i="3"/>
  <c r="NWE212" i="3"/>
  <c r="NWC212" i="3"/>
  <c r="NVU212" i="3"/>
  <c r="NVW212" i="3" s="1"/>
  <c r="NVO212" i="3"/>
  <c r="NVM212" i="3"/>
  <c r="NVG212" i="3"/>
  <c r="NVE212" i="3"/>
  <c r="NUW212" i="3"/>
  <c r="NUY212" i="3" s="1"/>
  <c r="NUQ212" i="3"/>
  <c r="NUO212" i="3"/>
  <c r="NUG212" i="3"/>
  <c r="NUI212" i="3" s="1"/>
  <c r="NTY212" i="3"/>
  <c r="NUA212" i="3" s="1"/>
  <c r="NTQ212" i="3"/>
  <c r="NTS212" i="3" s="1"/>
  <c r="NTI212" i="3"/>
  <c r="NTK212" i="3" s="1"/>
  <c r="NTA212" i="3"/>
  <c r="NTC212" i="3" s="1"/>
  <c r="NSS212" i="3"/>
  <c r="NSU212" i="3" s="1"/>
  <c r="NSM212" i="3"/>
  <c r="NSK212" i="3"/>
  <c r="NSC212" i="3"/>
  <c r="NSE212" i="3" s="1"/>
  <c r="NRU212" i="3"/>
  <c r="NRW212" i="3" s="1"/>
  <c r="NRM212" i="3"/>
  <c r="NRO212" i="3" s="1"/>
  <c r="NRE212" i="3"/>
  <c r="NRG212" i="3" s="1"/>
  <c r="NQW212" i="3"/>
  <c r="NQY212" i="3" s="1"/>
  <c r="NQO212" i="3"/>
  <c r="NQQ212" i="3" s="1"/>
  <c r="NQG212" i="3"/>
  <c r="NQI212" i="3" s="1"/>
  <c r="NQA212" i="3"/>
  <c r="NPY212" i="3"/>
  <c r="NPQ212" i="3"/>
  <c r="NPS212" i="3" s="1"/>
  <c r="NPK212" i="3"/>
  <c r="NPI212" i="3"/>
  <c r="NPA212" i="3"/>
  <c r="NPC212" i="3" s="1"/>
  <c r="NOS212" i="3"/>
  <c r="NOU212" i="3" s="1"/>
  <c r="NOK212" i="3"/>
  <c r="NOM212" i="3" s="1"/>
  <c r="NOC212" i="3"/>
  <c r="NOE212" i="3" s="1"/>
  <c r="NNU212" i="3"/>
  <c r="NNW212" i="3" s="1"/>
  <c r="NNO212" i="3"/>
  <c r="NNM212" i="3"/>
  <c r="NNE212" i="3"/>
  <c r="NNG212" i="3" s="1"/>
  <c r="NMY212" i="3"/>
  <c r="NMW212" i="3"/>
  <c r="NMO212" i="3"/>
  <c r="NMQ212" i="3" s="1"/>
  <c r="NMI212" i="3"/>
  <c r="NMG212" i="3"/>
  <c r="NMA212" i="3"/>
  <c r="NLY212" i="3"/>
  <c r="NLQ212" i="3"/>
  <c r="NLS212" i="3" s="1"/>
  <c r="NLK212" i="3"/>
  <c r="NLI212" i="3"/>
  <c r="NLA212" i="3"/>
  <c r="NLC212" i="3" s="1"/>
  <c r="NKS212" i="3"/>
  <c r="NKU212" i="3" s="1"/>
  <c r="NKK212" i="3"/>
  <c r="NKM212" i="3" s="1"/>
  <c r="NKC212" i="3"/>
  <c r="NKE212" i="3" s="1"/>
  <c r="NJU212" i="3"/>
  <c r="NJW212" i="3" s="1"/>
  <c r="NJM212" i="3"/>
  <c r="NJO212" i="3" s="1"/>
  <c r="NJE212" i="3"/>
  <c r="NJG212" i="3" s="1"/>
  <c r="NIW212" i="3"/>
  <c r="NIY212" i="3" s="1"/>
  <c r="NIO212" i="3"/>
  <c r="NIQ212" i="3" s="1"/>
  <c r="NIG212" i="3"/>
  <c r="NII212" i="3" s="1"/>
  <c r="NHY212" i="3"/>
  <c r="NIA212" i="3" s="1"/>
  <c r="NHQ212" i="3"/>
  <c r="NHS212" i="3" s="1"/>
  <c r="NHI212" i="3"/>
  <c r="NHK212" i="3" s="1"/>
  <c r="NHA212" i="3"/>
  <c r="NHC212" i="3" s="1"/>
  <c r="NGS212" i="3"/>
  <c r="NGU212" i="3" s="1"/>
  <c r="NGK212" i="3"/>
  <c r="NGM212" i="3" s="1"/>
  <c r="NGC212" i="3"/>
  <c r="NGE212" i="3" s="1"/>
  <c r="NFU212" i="3"/>
  <c r="NFW212" i="3" s="1"/>
  <c r="NFM212" i="3"/>
  <c r="NFO212" i="3" s="1"/>
  <c r="NFE212" i="3"/>
  <c r="NFG212" i="3" s="1"/>
  <c r="NEW212" i="3"/>
  <c r="NEY212" i="3" s="1"/>
  <c r="NEO212" i="3"/>
  <c r="NEQ212" i="3" s="1"/>
  <c r="NEG212" i="3"/>
  <c r="NEI212" i="3" s="1"/>
  <c r="NDY212" i="3"/>
  <c r="NEA212" i="3" s="1"/>
  <c r="NDQ212" i="3"/>
  <c r="NDS212" i="3" s="1"/>
  <c r="NDI212" i="3"/>
  <c r="NDK212" i="3" s="1"/>
  <c r="NDA212" i="3"/>
  <c r="NDC212" i="3" s="1"/>
  <c r="NCS212" i="3"/>
  <c r="NCU212" i="3" s="1"/>
  <c r="NCK212" i="3"/>
  <c r="NCM212" i="3" s="1"/>
  <c r="NCC212" i="3"/>
  <c r="NCE212" i="3" s="1"/>
  <c r="NBU212" i="3"/>
  <c r="NBW212" i="3" s="1"/>
  <c r="NBM212" i="3"/>
  <c r="NBO212" i="3" s="1"/>
  <c r="NBE212" i="3"/>
  <c r="NBG212" i="3" s="1"/>
  <c r="NAW212" i="3"/>
  <c r="NAY212" i="3" s="1"/>
  <c r="NAO212" i="3"/>
  <c r="NAQ212" i="3" s="1"/>
  <c r="NAG212" i="3"/>
  <c r="NAI212" i="3" s="1"/>
  <c r="MZY212" i="3"/>
  <c r="NAA212" i="3" s="1"/>
  <c r="MZQ212" i="3"/>
  <c r="MZS212" i="3" s="1"/>
  <c r="MZI212" i="3"/>
  <c r="MZK212" i="3" s="1"/>
  <c r="MZA212" i="3"/>
  <c r="MZC212" i="3" s="1"/>
  <c r="MYS212" i="3"/>
  <c r="MYU212" i="3" s="1"/>
  <c r="MYK212" i="3"/>
  <c r="MYM212" i="3" s="1"/>
  <c r="MYE212" i="3"/>
  <c r="MYC212" i="3"/>
  <c r="MXU212" i="3"/>
  <c r="MXW212" i="3" s="1"/>
  <c r="MXM212" i="3"/>
  <c r="MXO212" i="3" s="1"/>
  <c r="MXE212" i="3"/>
  <c r="MXG212" i="3" s="1"/>
  <c r="MWW212" i="3"/>
  <c r="MWY212" i="3" s="1"/>
  <c r="MWO212" i="3"/>
  <c r="MWQ212" i="3" s="1"/>
  <c r="MWG212" i="3"/>
  <c r="MWI212" i="3" s="1"/>
  <c r="MVY212" i="3"/>
  <c r="MWA212" i="3" s="1"/>
  <c r="MVQ212" i="3"/>
  <c r="MVS212" i="3" s="1"/>
  <c r="MVI212" i="3"/>
  <c r="MVK212" i="3" s="1"/>
  <c r="MVA212" i="3"/>
  <c r="MVC212" i="3" s="1"/>
  <c r="MUS212" i="3"/>
  <c r="MUU212" i="3" s="1"/>
  <c r="MUK212" i="3"/>
  <c r="MUM212" i="3" s="1"/>
  <c r="MUC212" i="3"/>
  <c r="MUE212" i="3" s="1"/>
  <c r="MTU212" i="3"/>
  <c r="MTW212" i="3" s="1"/>
  <c r="MTM212" i="3"/>
  <c r="MTO212" i="3" s="1"/>
  <c r="MTE212" i="3"/>
  <c r="MTG212" i="3" s="1"/>
  <c r="MSW212" i="3"/>
  <c r="MSY212" i="3" s="1"/>
  <c r="MSO212" i="3"/>
  <c r="MSQ212" i="3" s="1"/>
  <c r="MSG212" i="3"/>
  <c r="MSI212" i="3" s="1"/>
  <c r="MRY212" i="3"/>
  <c r="MSA212" i="3" s="1"/>
  <c r="MRQ212" i="3"/>
  <c r="MRS212" i="3" s="1"/>
  <c r="MRI212" i="3"/>
  <c r="MRK212" i="3" s="1"/>
  <c r="MRA212" i="3"/>
  <c r="MRC212" i="3" s="1"/>
  <c r="MQS212" i="3"/>
  <c r="MQU212" i="3" s="1"/>
  <c r="MQK212" i="3"/>
  <c r="MQM212" i="3" s="1"/>
  <c r="MQC212" i="3"/>
  <c r="MQE212" i="3" s="1"/>
  <c r="MPU212" i="3"/>
  <c r="MPW212" i="3" s="1"/>
  <c r="MPM212" i="3"/>
  <c r="MPO212" i="3" s="1"/>
  <c r="MPE212" i="3"/>
  <c r="MPG212" i="3" s="1"/>
  <c r="MOW212" i="3"/>
  <c r="MOY212" i="3" s="1"/>
  <c r="MOQ212" i="3"/>
  <c r="MOO212" i="3"/>
  <c r="MOG212" i="3"/>
  <c r="MOI212" i="3" s="1"/>
  <c r="MNY212" i="3"/>
  <c r="MOA212" i="3" s="1"/>
  <c r="MNQ212" i="3"/>
  <c r="MNS212" i="3" s="1"/>
  <c r="MNI212" i="3"/>
  <c r="MNK212" i="3" s="1"/>
  <c r="MNA212" i="3"/>
  <c r="MNC212" i="3" s="1"/>
  <c r="MMS212" i="3"/>
  <c r="MMU212" i="3" s="1"/>
  <c r="MMK212" i="3"/>
  <c r="MMM212" i="3" s="1"/>
  <c r="MMC212" i="3"/>
  <c r="MME212" i="3" s="1"/>
  <c r="MLU212" i="3"/>
  <c r="MLW212" i="3" s="1"/>
  <c r="MLM212" i="3"/>
  <c r="MLO212" i="3" s="1"/>
  <c r="MLE212" i="3"/>
  <c r="MLG212" i="3" s="1"/>
  <c r="MKW212" i="3"/>
  <c r="MKY212" i="3" s="1"/>
  <c r="MKO212" i="3"/>
  <c r="MKQ212" i="3" s="1"/>
  <c r="MKG212" i="3"/>
  <c r="MKI212" i="3" s="1"/>
  <c r="MJY212" i="3"/>
  <c r="MKA212" i="3" s="1"/>
  <c r="MJQ212" i="3"/>
  <c r="MJS212" i="3" s="1"/>
  <c r="MJI212" i="3"/>
  <c r="MJK212" i="3" s="1"/>
  <c r="MJA212" i="3"/>
  <c r="MJC212" i="3" s="1"/>
  <c r="MIS212" i="3"/>
  <c r="MIU212" i="3" s="1"/>
  <c r="MIK212" i="3"/>
  <c r="MIM212" i="3" s="1"/>
  <c r="MIC212" i="3"/>
  <c r="MIE212" i="3" s="1"/>
  <c r="MHU212" i="3"/>
  <c r="MHW212" i="3" s="1"/>
  <c r="MHM212" i="3"/>
  <c r="MHO212" i="3" s="1"/>
  <c r="MHE212" i="3"/>
  <c r="MHG212" i="3" s="1"/>
  <c r="MGW212" i="3"/>
  <c r="MGY212" i="3" s="1"/>
  <c r="MGO212" i="3"/>
  <c r="MGQ212" i="3" s="1"/>
  <c r="MGG212" i="3"/>
  <c r="MGI212" i="3" s="1"/>
  <c r="MFY212" i="3"/>
  <c r="MGA212" i="3" s="1"/>
  <c r="MFQ212" i="3"/>
  <c r="MFS212" i="3" s="1"/>
  <c r="MFI212" i="3"/>
  <c r="MFK212" i="3" s="1"/>
  <c r="MFA212" i="3"/>
  <c r="MFC212" i="3" s="1"/>
  <c r="MES212" i="3"/>
  <c r="MEU212" i="3" s="1"/>
  <c r="MEK212" i="3"/>
  <c r="MEM212" i="3" s="1"/>
  <c r="MEC212" i="3"/>
  <c r="MEE212" i="3" s="1"/>
  <c r="MDU212" i="3"/>
  <c r="MDW212" i="3" s="1"/>
  <c r="MDO212" i="3"/>
  <c r="MDM212" i="3"/>
  <c r="MDE212" i="3"/>
  <c r="MDG212" i="3" s="1"/>
  <c r="MCW212" i="3"/>
  <c r="MCY212" i="3" s="1"/>
  <c r="MCO212" i="3"/>
  <c r="MCQ212" i="3" s="1"/>
  <c r="MCG212" i="3"/>
  <c r="MCI212" i="3" s="1"/>
  <c r="MCA212" i="3"/>
  <c r="MBY212" i="3"/>
  <c r="MBQ212" i="3"/>
  <c r="MBS212" i="3" s="1"/>
  <c r="MBI212" i="3"/>
  <c r="MBK212" i="3" s="1"/>
  <c r="MBA212" i="3"/>
  <c r="MBC212" i="3" s="1"/>
  <c r="MAS212" i="3"/>
  <c r="MAU212" i="3" s="1"/>
  <c r="MAK212" i="3"/>
  <c r="MAM212" i="3" s="1"/>
  <c r="MAC212" i="3"/>
  <c r="MAE212" i="3" s="1"/>
  <c r="LZU212" i="3"/>
  <c r="LZW212" i="3" s="1"/>
  <c r="LZM212" i="3"/>
  <c r="LZO212" i="3" s="1"/>
  <c r="LZE212" i="3"/>
  <c r="LZG212" i="3" s="1"/>
  <c r="LYW212" i="3"/>
  <c r="LYY212" i="3" s="1"/>
  <c r="LYO212" i="3"/>
  <c r="LYQ212" i="3" s="1"/>
  <c r="LYG212" i="3"/>
  <c r="LYI212" i="3" s="1"/>
  <c r="LXY212" i="3"/>
  <c r="LYA212" i="3" s="1"/>
  <c r="LXQ212" i="3"/>
  <c r="LXS212" i="3" s="1"/>
  <c r="LXI212" i="3"/>
  <c r="LXK212" i="3" s="1"/>
  <c r="LXA212" i="3"/>
  <c r="LXC212" i="3" s="1"/>
  <c r="LWS212" i="3"/>
  <c r="LWU212" i="3" s="1"/>
  <c r="LWK212" i="3"/>
  <c r="LWM212" i="3" s="1"/>
  <c r="LWC212" i="3"/>
  <c r="LWE212" i="3" s="1"/>
  <c r="LVU212" i="3"/>
  <c r="LVW212" i="3" s="1"/>
  <c r="LVM212" i="3"/>
  <c r="LVO212" i="3" s="1"/>
  <c r="LVE212" i="3"/>
  <c r="LVG212" i="3" s="1"/>
  <c r="LUW212" i="3"/>
  <c r="LUY212" i="3" s="1"/>
  <c r="LUO212" i="3"/>
  <c r="LUQ212" i="3" s="1"/>
  <c r="LUG212" i="3"/>
  <c r="LUI212" i="3" s="1"/>
  <c r="LTY212" i="3"/>
  <c r="LUA212" i="3" s="1"/>
  <c r="LTQ212" i="3"/>
  <c r="LTS212" i="3" s="1"/>
  <c r="LTI212" i="3"/>
  <c r="LTK212" i="3" s="1"/>
  <c r="LTA212" i="3"/>
  <c r="LTC212" i="3" s="1"/>
  <c r="LSS212" i="3"/>
  <c r="LSU212" i="3" s="1"/>
  <c r="LSK212" i="3"/>
  <c r="LSM212" i="3" s="1"/>
  <c r="LSC212" i="3"/>
  <c r="LSE212" i="3" s="1"/>
  <c r="LRU212" i="3"/>
  <c r="LRW212" i="3" s="1"/>
  <c r="LRM212" i="3"/>
  <c r="LRO212" i="3" s="1"/>
  <c r="LRE212" i="3"/>
  <c r="LRG212" i="3" s="1"/>
  <c r="LQY212" i="3"/>
  <c r="LQW212" i="3"/>
  <c r="LQO212" i="3"/>
  <c r="LQQ212" i="3" s="1"/>
  <c r="LQG212" i="3"/>
  <c r="LQI212" i="3" s="1"/>
  <c r="LPY212" i="3"/>
  <c r="LQA212" i="3" s="1"/>
  <c r="LPQ212" i="3"/>
  <c r="LPS212" i="3" s="1"/>
  <c r="LPI212" i="3"/>
  <c r="LPK212" i="3" s="1"/>
  <c r="LPA212" i="3"/>
  <c r="LPC212" i="3" s="1"/>
  <c r="LOU212" i="3"/>
  <c r="LOS212" i="3"/>
  <c r="LOK212" i="3"/>
  <c r="LOM212" i="3" s="1"/>
  <c r="LOC212" i="3"/>
  <c r="LOE212" i="3" s="1"/>
  <c r="LNU212" i="3"/>
  <c r="LNW212" i="3" s="1"/>
  <c r="LNM212" i="3"/>
  <c r="LNO212" i="3" s="1"/>
  <c r="LNE212" i="3"/>
  <c r="LNG212" i="3" s="1"/>
  <c r="LMW212" i="3"/>
  <c r="LMY212" i="3" s="1"/>
  <c r="LMO212" i="3"/>
  <c r="LMQ212" i="3" s="1"/>
  <c r="LMG212" i="3"/>
  <c r="LMI212" i="3" s="1"/>
  <c r="LLY212" i="3"/>
  <c r="LMA212" i="3" s="1"/>
  <c r="LLQ212" i="3"/>
  <c r="LLS212" i="3" s="1"/>
  <c r="LLI212" i="3"/>
  <c r="LLK212" i="3" s="1"/>
  <c r="LLA212" i="3"/>
  <c r="LLC212" i="3" s="1"/>
  <c r="LKS212" i="3"/>
  <c r="LKU212" i="3" s="1"/>
  <c r="LKK212" i="3"/>
  <c r="LKM212" i="3" s="1"/>
  <c r="LKC212" i="3"/>
  <c r="LKE212" i="3" s="1"/>
  <c r="LJU212" i="3"/>
  <c r="LJW212" i="3" s="1"/>
  <c r="LJM212" i="3"/>
  <c r="LJO212" i="3" s="1"/>
  <c r="LJE212" i="3"/>
  <c r="LJG212" i="3" s="1"/>
  <c r="LIW212" i="3"/>
  <c r="LIY212" i="3" s="1"/>
  <c r="LIO212" i="3"/>
  <c r="LIQ212" i="3" s="1"/>
  <c r="LIG212" i="3"/>
  <c r="LII212" i="3" s="1"/>
  <c r="LHY212" i="3"/>
  <c r="LIA212" i="3" s="1"/>
  <c r="LHQ212" i="3"/>
  <c r="LHS212" i="3" s="1"/>
  <c r="LHI212" i="3"/>
  <c r="LHK212" i="3" s="1"/>
  <c r="LHA212" i="3"/>
  <c r="LHC212" i="3" s="1"/>
  <c r="LGS212" i="3"/>
  <c r="LGU212" i="3" s="1"/>
  <c r="LGK212" i="3"/>
  <c r="LGM212" i="3" s="1"/>
  <c r="LGC212" i="3"/>
  <c r="LGE212" i="3" s="1"/>
  <c r="LFU212" i="3"/>
  <c r="LFW212" i="3" s="1"/>
  <c r="LFM212" i="3"/>
  <c r="LFO212" i="3" s="1"/>
  <c r="LFE212" i="3"/>
  <c r="LFG212" i="3" s="1"/>
  <c r="LEW212" i="3"/>
  <c r="LEY212" i="3" s="1"/>
  <c r="LEO212" i="3"/>
  <c r="LEQ212" i="3" s="1"/>
  <c r="LEG212" i="3"/>
  <c r="LEI212" i="3" s="1"/>
  <c r="LDY212" i="3"/>
  <c r="LEA212" i="3" s="1"/>
  <c r="LDQ212" i="3"/>
  <c r="LDS212" i="3" s="1"/>
  <c r="LDI212" i="3"/>
  <c r="LDK212" i="3" s="1"/>
  <c r="LDA212" i="3"/>
  <c r="LDC212" i="3" s="1"/>
  <c r="LCU212" i="3"/>
  <c r="LCS212" i="3"/>
  <c r="LCM212" i="3"/>
  <c r="LCK212" i="3"/>
  <c r="LCE212" i="3"/>
  <c r="LCC212" i="3"/>
  <c r="LBU212" i="3"/>
  <c r="LBW212" i="3" s="1"/>
  <c r="LBM212" i="3"/>
  <c r="LBO212" i="3" s="1"/>
  <c r="LBE212" i="3"/>
  <c r="LBG212" i="3" s="1"/>
  <c r="LAY212" i="3"/>
  <c r="LAW212" i="3"/>
  <c r="LAO212" i="3"/>
  <c r="LAQ212" i="3" s="1"/>
  <c r="LAG212" i="3"/>
  <c r="LAI212" i="3" s="1"/>
  <c r="KZY212" i="3"/>
  <c r="LAA212" i="3" s="1"/>
  <c r="KZQ212" i="3"/>
  <c r="KZS212" i="3" s="1"/>
  <c r="KZI212" i="3"/>
  <c r="KZK212" i="3" s="1"/>
  <c r="KZA212" i="3"/>
  <c r="KZC212" i="3" s="1"/>
  <c r="KYU212" i="3"/>
  <c r="KYS212" i="3"/>
  <c r="KYM212" i="3"/>
  <c r="KYK212" i="3"/>
  <c r="KYE212" i="3"/>
  <c r="KYC212" i="3"/>
  <c r="KXU212" i="3"/>
  <c r="KXW212" i="3" s="1"/>
  <c r="KXM212" i="3"/>
  <c r="KXO212" i="3" s="1"/>
  <c r="KXG212" i="3"/>
  <c r="KXE212" i="3"/>
  <c r="KWW212" i="3"/>
  <c r="KWY212" i="3" s="1"/>
  <c r="KWO212" i="3"/>
  <c r="KWQ212" i="3" s="1"/>
  <c r="KWG212" i="3"/>
  <c r="KWI212" i="3" s="1"/>
  <c r="KVY212" i="3"/>
  <c r="KWA212" i="3" s="1"/>
  <c r="KVQ212" i="3"/>
  <c r="KVS212" i="3" s="1"/>
  <c r="KVK212" i="3"/>
  <c r="KVI212" i="3"/>
  <c r="KVC212" i="3"/>
  <c r="KVA212" i="3"/>
  <c r="KUU212" i="3"/>
  <c r="KUS212" i="3"/>
  <c r="KUM212" i="3"/>
  <c r="KUK212" i="3"/>
  <c r="KUE212" i="3"/>
  <c r="KUC212" i="3"/>
  <c r="KTU212" i="3"/>
  <c r="KTW212" i="3" s="1"/>
  <c r="KTM212" i="3"/>
  <c r="KTO212" i="3" s="1"/>
  <c r="KTE212" i="3"/>
  <c r="KTG212" i="3" s="1"/>
  <c r="KSW212" i="3"/>
  <c r="KSY212" i="3" s="1"/>
  <c r="KSO212" i="3"/>
  <c r="KSQ212" i="3" s="1"/>
  <c r="KSG212" i="3"/>
  <c r="KSI212" i="3" s="1"/>
  <c r="KRY212" i="3"/>
  <c r="KSA212" i="3" s="1"/>
  <c r="KRQ212" i="3"/>
  <c r="KRS212" i="3" s="1"/>
  <c r="KRK212" i="3"/>
  <c r="KRI212" i="3"/>
  <c r="KRA212" i="3"/>
  <c r="KRC212" i="3" s="1"/>
  <c r="KQU212" i="3"/>
  <c r="KQS212" i="3"/>
  <c r="KQM212" i="3"/>
  <c r="KQK212" i="3"/>
  <c r="KQC212" i="3"/>
  <c r="KQE212" i="3" s="1"/>
  <c r="KPU212" i="3"/>
  <c r="KPW212" i="3" s="1"/>
  <c r="KPM212" i="3"/>
  <c r="KPO212" i="3" s="1"/>
  <c r="KPE212" i="3"/>
  <c r="KPG212" i="3" s="1"/>
  <c r="KOW212" i="3"/>
  <c r="KOY212" i="3" s="1"/>
  <c r="KOO212" i="3"/>
  <c r="KOQ212" i="3" s="1"/>
  <c r="KOG212" i="3"/>
  <c r="KOI212" i="3" s="1"/>
  <c r="KOA212" i="3"/>
  <c r="KNY212" i="3"/>
  <c r="KNQ212" i="3"/>
  <c r="KNS212" i="3" s="1"/>
  <c r="KNI212" i="3"/>
  <c r="KNK212" i="3" s="1"/>
  <c r="KNA212" i="3"/>
  <c r="KNC212" i="3" s="1"/>
  <c r="KMU212" i="3"/>
  <c r="KMS212" i="3"/>
  <c r="KMK212" i="3"/>
  <c r="KMM212" i="3" s="1"/>
  <c r="KMC212" i="3"/>
  <c r="KME212" i="3" s="1"/>
  <c r="KLU212" i="3"/>
  <c r="KLW212" i="3" s="1"/>
  <c r="KLM212" i="3"/>
  <c r="KLO212" i="3" s="1"/>
  <c r="KLE212" i="3"/>
  <c r="KLG212" i="3" s="1"/>
  <c r="KKW212" i="3"/>
  <c r="KKY212" i="3" s="1"/>
  <c r="KKO212" i="3"/>
  <c r="KKQ212" i="3" s="1"/>
  <c r="KKI212" i="3"/>
  <c r="KKG212" i="3"/>
  <c r="KKA212" i="3"/>
  <c r="KJY212" i="3"/>
  <c r="KJQ212" i="3"/>
  <c r="KJS212" i="3" s="1"/>
  <c r="KJI212" i="3"/>
  <c r="KJK212" i="3" s="1"/>
  <c r="KJA212" i="3"/>
  <c r="KJC212" i="3" s="1"/>
  <c r="KIS212" i="3"/>
  <c r="KIU212" i="3" s="1"/>
  <c r="KIK212" i="3"/>
  <c r="KIM212" i="3" s="1"/>
  <c r="KIC212" i="3"/>
  <c r="KIE212" i="3" s="1"/>
  <c r="KHU212" i="3"/>
  <c r="KHW212" i="3" s="1"/>
  <c r="KHM212" i="3"/>
  <c r="KHO212" i="3" s="1"/>
  <c r="KHE212" i="3"/>
  <c r="KHG212" i="3" s="1"/>
  <c r="KGW212" i="3"/>
  <c r="KGY212" i="3" s="1"/>
  <c r="KGQ212" i="3"/>
  <c r="KGO212" i="3"/>
  <c r="KGI212" i="3"/>
  <c r="KGG212" i="3"/>
  <c r="KGA212" i="3"/>
  <c r="KFY212" i="3"/>
  <c r="KFQ212" i="3"/>
  <c r="KFS212" i="3" s="1"/>
  <c r="KFI212" i="3"/>
  <c r="KFK212" i="3" s="1"/>
  <c r="KFA212" i="3"/>
  <c r="KFC212" i="3" s="1"/>
  <c r="KEU212" i="3"/>
  <c r="KES212" i="3"/>
  <c r="KEK212" i="3"/>
  <c r="KEM212" i="3" s="1"/>
  <c r="KEC212" i="3"/>
  <c r="KEE212" i="3" s="1"/>
  <c r="KDU212" i="3"/>
  <c r="KDW212" i="3" s="1"/>
  <c r="KDM212" i="3"/>
  <c r="KDO212" i="3" s="1"/>
  <c r="KDE212" i="3"/>
  <c r="KDG212" i="3" s="1"/>
  <c r="KCY212" i="3"/>
  <c r="KCW212" i="3"/>
  <c r="KCQ212" i="3"/>
  <c r="KCO212" i="3"/>
  <c r="KCI212" i="3"/>
  <c r="KCG212" i="3"/>
  <c r="KCA212" i="3"/>
  <c r="KBY212" i="3"/>
  <c r="KBQ212" i="3"/>
  <c r="KBS212" i="3" s="1"/>
  <c r="KBI212" i="3"/>
  <c r="KBK212" i="3" s="1"/>
  <c r="KBA212" i="3"/>
  <c r="KBC212" i="3" s="1"/>
  <c r="KAU212" i="3"/>
  <c r="KAS212" i="3"/>
  <c r="KAK212" i="3"/>
  <c r="KAM212" i="3" s="1"/>
  <c r="KAC212" i="3"/>
  <c r="KAE212" i="3" s="1"/>
  <c r="JZU212" i="3"/>
  <c r="JZW212" i="3" s="1"/>
  <c r="JZM212" i="3"/>
  <c r="JZO212" i="3" s="1"/>
  <c r="JZG212" i="3"/>
  <c r="JZE212" i="3"/>
  <c r="JYW212" i="3"/>
  <c r="JYY212" i="3" s="1"/>
  <c r="JYQ212" i="3"/>
  <c r="JYO212" i="3"/>
  <c r="JYI212" i="3"/>
  <c r="JYG212" i="3"/>
  <c r="JYA212" i="3"/>
  <c r="JXY212" i="3"/>
  <c r="JXQ212" i="3"/>
  <c r="JXS212" i="3" s="1"/>
  <c r="JXI212" i="3"/>
  <c r="JXK212" i="3" s="1"/>
  <c r="JXA212" i="3"/>
  <c r="JXC212" i="3" s="1"/>
  <c r="JWS212" i="3"/>
  <c r="JWU212" i="3" s="1"/>
  <c r="JWK212" i="3"/>
  <c r="JWM212" i="3" s="1"/>
  <c r="JWC212" i="3"/>
  <c r="JWE212" i="3" s="1"/>
  <c r="JVU212" i="3"/>
  <c r="JVW212" i="3" s="1"/>
  <c r="JVM212" i="3"/>
  <c r="JVO212" i="3" s="1"/>
  <c r="JVE212" i="3"/>
  <c r="JVG212" i="3" s="1"/>
  <c r="JUW212" i="3"/>
  <c r="JUY212" i="3" s="1"/>
  <c r="JUQ212" i="3"/>
  <c r="JUO212" i="3"/>
  <c r="JUI212" i="3"/>
  <c r="JUG212" i="3"/>
  <c r="JTY212" i="3"/>
  <c r="JUA212" i="3" s="1"/>
  <c r="JTQ212" i="3"/>
  <c r="JTS212" i="3" s="1"/>
  <c r="JTI212" i="3"/>
  <c r="JTK212" i="3" s="1"/>
  <c r="JTC212" i="3"/>
  <c r="JTA212" i="3"/>
  <c r="JSS212" i="3"/>
  <c r="JSU212" i="3" s="1"/>
  <c r="JSK212" i="3"/>
  <c r="JSM212" i="3" s="1"/>
  <c r="JSC212" i="3"/>
  <c r="JSE212" i="3" s="1"/>
  <c r="JRW212" i="3"/>
  <c r="JRU212" i="3"/>
  <c r="JRM212" i="3"/>
  <c r="JRO212" i="3" s="1"/>
  <c r="JRG212" i="3"/>
  <c r="JRE212" i="3"/>
  <c r="JQW212" i="3"/>
  <c r="JQY212" i="3" s="1"/>
  <c r="JQQ212" i="3"/>
  <c r="JQO212" i="3"/>
  <c r="JQG212" i="3"/>
  <c r="JQI212" i="3" s="1"/>
  <c r="JPY212" i="3"/>
  <c r="JQA212" i="3" s="1"/>
  <c r="JPQ212" i="3"/>
  <c r="JPS212" i="3" s="1"/>
  <c r="JPI212" i="3"/>
  <c r="JPK212" i="3" s="1"/>
  <c r="JPC212" i="3"/>
  <c r="JPA212" i="3"/>
  <c r="JOS212" i="3"/>
  <c r="JOU212" i="3" s="1"/>
  <c r="JOK212" i="3"/>
  <c r="JOM212" i="3" s="1"/>
  <c r="JOE212" i="3"/>
  <c r="JOC212" i="3"/>
  <c r="JNW212" i="3"/>
  <c r="JNU212" i="3"/>
  <c r="JNM212" i="3"/>
  <c r="JNO212" i="3" s="1"/>
  <c r="JNE212" i="3"/>
  <c r="JNG212" i="3" s="1"/>
  <c r="JMY212" i="3"/>
  <c r="JMW212" i="3"/>
  <c r="JMO212" i="3"/>
  <c r="JMQ212" i="3" s="1"/>
  <c r="JMG212" i="3"/>
  <c r="JMI212" i="3" s="1"/>
  <c r="JLY212" i="3"/>
  <c r="JMA212" i="3" s="1"/>
  <c r="JLQ212" i="3"/>
  <c r="JLS212" i="3" s="1"/>
  <c r="JLI212" i="3"/>
  <c r="JLK212" i="3" s="1"/>
  <c r="JLA212" i="3"/>
  <c r="JLC212" i="3" s="1"/>
  <c r="JKS212" i="3"/>
  <c r="JKU212" i="3" s="1"/>
  <c r="JKM212" i="3"/>
  <c r="JKK212" i="3"/>
  <c r="JKE212" i="3"/>
  <c r="JKC212" i="3"/>
  <c r="JJW212" i="3"/>
  <c r="JJU212" i="3"/>
  <c r="JJM212" i="3"/>
  <c r="JJO212" i="3" s="1"/>
  <c r="JJE212" i="3"/>
  <c r="JJG212" i="3" s="1"/>
  <c r="JIW212" i="3"/>
  <c r="JIY212" i="3" s="1"/>
  <c r="JIO212" i="3"/>
  <c r="JIQ212" i="3" s="1"/>
  <c r="JIG212" i="3"/>
  <c r="JII212" i="3" s="1"/>
  <c r="JHY212" i="3"/>
  <c r="JIA212" i="3" s="1"/>
  <c r="JHQ212" i="3"/>
  <c r="JHS212" i="3" s="1"/>
  <c r="JHI212" i="3"/>
  <c r="JHK212" i="3" s="1"/>
  <c r="JHA212" i="3"/>
  <c r="JHC212" i="3" s="1"/>
  <c r="JGU212" i="3"/>
  <c r="JGS212" i="3"/>
  <c r="JGM212" i="3"/>
  <c r="JGK212" i="3"/>
  <c r="JGE212" i="3"/>
  <c r="JGC212" i="3"/>
  <c r="JFW212" i="3"/>
  <c r="JFU212" i="3"/>
  <c r="JFM212" i="3"/>
  <c r="JFO212" i="3" s="1"/>
  <c r="JFE212" i="3"/>
  <c r="JFG212" i="3" s="1"/>
  <c r="JEY212" i="3"/>
  <c r="JEW212" i="3"/>
  <c r="JEQ212" i="3"/>
  <c r="JEO212" i="3"/>
  <c r="JEG212" i="3"/>
  <c r="JEI212" i="3" s="1"/>
  <c r="JDY212" i="3"/>
  <c r="JEA212" i="3" s="1"/>
  <c r="JDQ212" i="3"/>
  <c r="JDS212" i="3" s="1"/>
  <c r="JDI212" i="3"/>
  <c r="JDK212" i="3" s="1"/>
  <c r="JDA212" i="3"/>
  <c r="JDC212" i="3" s="1"/>
  <c r="JCU212" i="3"/>
  <c r="JCS212" i="3"/>
  <c r="JCM212" i="3"/>
  <c r="JCK212" i="3"/>
  <c r="JCE212" i="3"/>
  <c r="JCC212" i="3"/>
  <c r="JBW212" i="3"/>
  <c r="JBU212" i="3"/>
  <c r="JBM212" i="3"/>
  <c r="JBO212" i="3" s="1"/>
  <c r="JBE212" i="3"/>
  <c r="JBG212" i="3" s="1"/>
  <c r="JAW212" i="3"/>
  <c r="JAY212" i="3" s="1"/>
  <c r="JAO212" i="3"/>
  <c r="JAQ212" i="3" s="1"/>
  <c r="JAG212" i="3"/>
  <c r="JAI212" i="3" s="1"/>
  <c r="IZY212" i="3"/>
  <c r="JAA212" i="3" s="1"/>
  <c r="IZQ212" i="3"/>
  <c r="IZS212" i="3" s="1"/>
  <c r="IZI212" i="3"/>
  <c r="IZK212" i="3" s="1"/>
  <c r="IZA212" i="3"/>
  <c r="IZC212" i="3" s="1"/>
  <c r="IYS212" i="3"/>
  <c r="IYU212" i="3" s="1"/>
  <c r="IYM212" i="3"/>
  <c r="IYK212" i="3"/>
  <c r="IYE212" i="3"/>
  <c r="IYC212" i="3"/>
  <c r="IXU212" i="3"/>
  <c r="IXW212" i="3" s="1"/>
  <c r="IXM212" i="3"/>
  <c r="IXO212" i="3" s="1"/>
  <c r="IXE212" i="3"/>
  <c r="IXG212" i="3" s="1"/>
  <c r="IWW212" i="3"/>
  <c r="IWY212" i="3" s="1"/>
  <c r="IWO212" i="3"/>
  <c r="IWQ212" i="3" s="1"/>
  <c r="IWG212" i="3"/>
  <c r="IWI212" i="3" s="1"/>
  <c r="IVY212" i="3"/>
  <c r="IWA212" i="3" s="1"/>
  <c r="IVS212" i="3"/>
  <c r="IVQ212" i="3"/>
  <c r="IVI212" i="3"/>
  <c r="IVK212" i="3" s="1"/>
  <c r="IVC212" i="3"/>
  <c r="IVA212" i="3"/>
  <c r="IUU212" i="3"/>
  <c r="IUS212" i="3"/>
  <c r="IUM212" i="3"/>
  <c r="IUK212" i="3"/>
  <c r="IUC212" i="3"/>
  <c r="IUE212" i="3" s="1"/>
  <c r="ITU212" i="3"/>
  <c r="ITW212" i="3" s="1"/>
  <c r="ITM212" i="3"/>
  <c r="ITO212" i="3" s="1"/>
  <c r="ITE212" i="3"/>
  <c r="ITG212" i="3" s="1"/>
  <c r="ISW212" i="3"/>
  <c r="ISY212" i="3" s="1"/>
  <c r="ISO212" i="3"/>
  <c r="ISQ212" i="3" s="1"/>
  <c r="ISG212" i="3"/>
  <c r="ISI212" i="3" s="1"/>
  <c r="ISA212" i="3"/>
  <c r="IRY212" i="3"/>
  <c r="IRS212" i="3"/>
  <c r="IRQ212" i="3"/>
  <c r="IRI212" i="3"/>
  <c r="IRK212" i="3" s="1"/>
  <c r="IRA212" i="3"/>
  <c r="IRC212" i="3" s="1"/>
  <c r="IQS212" i="3"/>
  <c r="IQU212" i="3" s="1"/>
  <c r="IQK212" i="3"/>
  <c r="IQM212" i="3" s="1"/>
  <c r="IQC212" i="3"/>
  <c r="IQE212" i="3" s="1"/>
  <c r="IPU212" i="3"/>
  <c r="IPW212" i="3" s="1"/>
  <c r="IPM212" i="3"/>
  <c r="IPO212" i="3" s="1"/>
  <c r="IPE212" i="3"/>
  <c r="IPG212" i="3" s="1"/>
  <c r="IOY212" i="3"/>
  <c r="IOW212" i="3"/>
  <c r="IOO212" i="3"/>
  <c r="IOQ212" i="3" s="1"/>
  <c r="IOI212" i="3"/>
  <c r="IOG212" i="3"/>
  <c r="IOA212" i="3"/>
  <c r="INY212" i="3"/>
  <c r="INS212" i="3"/>
  <c r="INQ212" i="3"/>
  <c r="INI212" i="3"/>
  <c r="INK212" i="3" s="1"/>
  <c r="INA212" i="3"/>
  <c r="INC212" i="3" s="1"/>
  <c r="IMS212" i="3"/>
  <c r="IMU212" i="3" s="1"/>
  <c r="IMM212" i="3"/>
  <c r="IMK212" i="3"/>
  <c r="IMC212" i="3"/>
  <c r="IME212" i="3" s="1"/>
  <c r="ILU212" i="3"/>
  <c r="ILW212" i="3" s="1"/>
  <c r="ILM212" i="3"/>
  <c r="ILO212" i="3" s="1"/>
  <c r="ILE212" i="3"/>
  <c r="ILG212" i="3" s="1"/>
  <c r="IKW212" i="3"/>
  <c r="IKY212" i="3" s="1"/>
  <c r="IKO212" i="3"/>
  <c r="IKQ212" i="3" s="1"/>
  <c r="IKI212" i="3"/>
  <c r="IKG212" i="3"/>
  <c r="IKA212" i="3"/>
  <c r="IJY212" i="3"/>
  <c r="IJS212" i="3"/>
  <c r="IJQ212" i="3"/>
  <c r="IJI212" i="3"/>
  <c r="IJK212" i="3" s="1"/>
  <c r="IJA212" i="3"/>
  <c r="IJC212" i="3" s="1"/>
  <c r="IIU212" i="3"/>
  <c r="IIS212" i="3"/>
  <c r="IIK212" i="3"/>
  <c r="IIM212" i="3" s="1"/>
  <c r="IIC212" i="3"/>
  <c r="IIE212" i="3" s="1"/>
  <c r="IHU212" i="3"/>
  <c r="IHW212" i="3" s="1"/>
  <c r="IHM212" i="3"/>
  <c r="IHO212" i="3" s="1"/>
  <c r="IHE212" i="3"/>
  <c r="IHG212" i="3" s="1"/>
  <c r="IGW212" i="3"/>
  <c r="IGY212" i="3" s="1"/>
  <c r="IGQ212" i="3"/>
  <c r="IGO212" i="3"/>
  <c r="IGI212" i="3"/>
  <c r="IGG212" i="3"/>
  <c r="IGA212" i="3"/>
  <c r="IFY212" i="3"/>
  <c r="IFS212" i="3"/>
  <c r="IFQ212" i="3"/>
  <c r="IFI212" i="3"/>
  <c r="IFK212" i="3" s="1"/>
  <c r="IFA212" i="3"/>
  <c r="IFC212" i="3" s="1"/>
  <c r="IES212" i="3"/>
  <c r="IEU212" i="3" s="1"/>
  <c r="IEK212" i="3"/>
  <c r="IEM212" i="3" s="1"/>
  <c r="IEC212" i="3"/>
  <c r="IEE212" i="3" s="1"/>
  <c r="IDU212" i="3"/>
  <c r="IDW212" i="3" s="1"/>
  <c r="IDM212" i="3"/>
  <c r="IDO212" i="3" s="1"/>
  <c r="IDE212" i="3"/>
  <c r="IDG212" i="3" s="1"/>
  <c r="ICW212" i="3"/>
  <c r="ICY212" i="3" s="1"/>
  <c r="ICO212" i="3"/>
  <c r="ICQ212" i="3" s="1"/>
  <c r="ICI212" i="3"/>
  <c r="ICG212" i="3"/>
  <c r="ICA212" i="3"/>
  <c r="IBY212" i="3"/>
  <c r="IBQ212" i="3"/>
  <c r="IBS212" i="3" s="1"/>
  <c r="IBI212" i="3"/>
  <c r="IBK212" i="3" s="1"/>
  <c r="IBA212" i="3"/>
  <c r="IBC212" i="3" s="1"/>
  <c r="IAU212" i="3"/>
  <c r="IAS212" i="3"/>
  <c r="IAK212" i="3"/>
  <c r="IAM212" i="3" s="1"/>
  <c r="IAC212" i="3"/>
  <c r="IAE212" i="3" s="1"/>
  <c r="HZU212" i="3"/>
  <c r="HZW212" i="3" s="1"/>
  <c r="HZO212" i="3"/>
  <c r="HZM212" i="3"/>
  <c r="HZE212" i="3"/>
  <c r="HZG212" i="3" s="1"/>
  <c r="HYY212" i="3"/>
  <c r="HYW212" i="3"/>
  <c r="HYO212" i="3"/>
  <c r="HYQ212" i="3" s="1"/>
  <c r="HYI212" i="3"/>
  <c r="HYG212" i="3"/>
  <c r="HXY212" i="3"/>
  <c r="HYA212" i="3" s="1"/>
  <c r="HXQ212" i="3"/>
  <c r="HXS212" i="3" s="1"/>
  <c r="HXI212" i="3"/>
  <c r="HXK212" i="3" s="1"/>
  <c r="HXA212" i="3"/>
  <c r="HXC212" i="3" s="1"/>
  <c r="HWS212" i="3"/>
  <c r="HWU212" i="3" s="1"/>
  <c r="HWK212" i="3"/>
  <c r="HWM212" i="3" s="1"/>
  <c r="HWC212" i="3"/>
  <c r="HWE212" i="3" s="1"/>
  <c r="HVW212" i="3"/>
  <c r="HVU212" i="3"/>
  <c r="HVO212" i="3"/>
  <c r="HVM212" i="3"/>
  <c r="HVE212" i="3"/>
  <c r="HVG212" i="3" s="1"/>
  <c r="HUW212" i="3"/>
  <c r="HUY212" i="3" s="1"/>
  <c r="HUO212" i="3"/>
  <c r="HUQ212" i="3" s="1"/>
  <c r="HUG212" i="3"/>
  <c r="HUI212" i="3" s="1"/>
  <c r="HTY212" i="3"/>
  <c r="HUA212" i="3" s="1"/>
  <c r="HTQ212" i="3"/>
  <c r="HTS212" i="3" s="1"/>
  <c r="HTI212" i="3"/>
  <c r="HTK212" i="3" s="1"/>
  <c r="HTA212" i="3"/>
  <c r="HTC212" i="3" s="1"/>
  <c r="HSS212" i="3"/>
  <c r="HSU212" i="3" s="1"/>
  <c r="HSK212" i="3"/>
  <c r="HSM212" i="3" s="1"/>
  <c r="HSE212" i="3"/>
  <c r="HSC212" i="3"/>
  <c r="HRW212" i="3"/>
  <c r="HRU212" i="3"/>
  <c r="HRO212" i="3"/>
  <c r="HRM212" i="3"/>
  <c r="HRE212" i="3"/>
  <c r="HRG212" i="3" s="1"/>
  <c r="HQW212" i="3"/>
  <c r="HQY212" i="3" s="1"/>
  <c r="HQO212" i="3"/>
  <c r="HQQ212" i="3" s="1"/>
  <c r="HQI212" i="3"/>
  <c r="HQG212" i="3"/>
  <c r="HPY212" i="3"/>
  <c r="HQA212" i="3" s="1"/>
  <c r="HPQ212" i="3"/>
  <c r="HPS212" i="3" s="1"/>
  <c r="HPI212" i="3"/>
  <c r="HPK212" i="3" s="1"/>
  <c r="HPA212" i="3"/>
  <c r="HPC212" i="3" s="1"/>
  <c r="HOS212" i="3"/>
  <c r="HOU212" i="3" s="1"/>
  <c r="HOM212" i="3"/>
  <c r="HOK212" i="3"/>
  <c r="HOE212" i="3"/>
  <c r="HOC212" i="3"/>
  <c r="HNW212" i="3"/>
  <c r="HNU212" i="3"/>
  <c r="HNO212" i="3"/>
  <c r="HNM212" i="3"/>
  <c r="HNE212" i="3"/>
  <c r="HNG212" i="3" s="1"/>
  <c r="HMW212" i="3"/>
  <c r="HMY212" i="3" s="1"/>
  <c r="HMO212" i="3"/>
  <c r="HMQ212" i="3" s="1"/>
  <c r="HMI212" i="3"/>
  <c r="HMG212" i="3"/>
  <c r="HLY212" i="3"/>
  <c r="HMA212" i="3" s="1"/>
  <c r="HLQ212" i="3"/>
  <c r="HLS212" i="3" s="1"/>
  <c r="HLI212" i="3"/>
  <c r="HLK212" i="3" s="1"/>
  <c r="HLA212" i="3"/>
  <c r="HLC212" i="3" s="1"/>
  <c r="HKU212" i="3"/>
  <c r="HKS212" i="3"/>
  <c r="HKM212" i="3"/>
  <c r="HKK212" i="3"/>
  <c r="HKE212" i="3"/>
  <c r="HKC212" i="3"/>
  <c r="HJW212" i="3"/>
  <c r="HJU212" i="3"/>
  <c r="HJO212" i="3"/>
  <c r="HJM212" i="3"/>
  <c r="HJE212" i="3"/>
  <c r="HJG212" i="3" s="1"/>
  <c r="HIW212" i="3"/>
  <c r="HIY212" i="3" s="1"/>
  <c r="HIO212" i="3"/>
  <c r="HIQ212" i="3" s="1"/>
  <c r="HIG212" i="3"/>
  <c r="HII212" i="3" s="1"/>
  <c r="HHY212" i="3"/>
  <c r="HIA212" i="3" s="1"/>
  <c r="HHQ212" i="3"/>
  <c r="HHS212" i="3" s="1"/>
  <c r="HHI212" i="3"/>
  <c r="HHK212" i="3" s="1"/>
  <c r="HHA212" i="3"/>
  <c r="HHC212" i="3" s="1"/>
  <c r="HGU212" i="3"/>
  <c r="HGS212" i="3"/>
  <c r="HGK212" i="3"/>
  <c r="HGM212" i="3" s="1"/>
  <c r="HGE212" i="3"/>
  <c r="HGC212" i="3"/>
  <c r="HFW212" i="3"/>
  <c r="HFU212" i="3"/>
  <c r="HFM212" i="3"/>
  <c r="HFO212" i="3" s="1"/>
  <c r="HFE212" i="3"/>
  <c r="HFG212" i="3" s="1"/>
  <c r="HEW212" i="3"/>
  <c r="HEY212" i="3" s="1"/>
  <c r="HEO212" i="3"/>
  <c r="HEQ212" i="3" s="1"/>
  <c r="HEG212" i="3"/>
  <c r="HEI212" i="3" s="1"/>
  <c r="HDY212" i="3"/>
  <c r="HEA212" i="3" s="1"/>
  <c r="HDQ212" i="3"/>
  <c r="HDS212" i="3" s="1"/>
  <c r="HDK212" i="3"/>
  <c r="HDI212" i="3"/>
  <c r="HDA212" i="3"/>
  <c r="HDC212" i="3" s="1"/>
  <c r="HCU212" i="3"/>
  <c r="HCS212" i="3"/>
  <c r="HCM212" i="3"/>
  <c r="HCK212" i="3"/>
  <c r="HCE212" i="3"/>
  <c r="HCC212" i="3"/>
  <c r="HBU212" i="3"/>
  <c r="HBW212" i="3" s="1"/>
  <c r="HBM212" i="3"/>
  <c r="HBO212" i="3" s="1"/>
  <c r="HBE212" i="3"/>
  <c r="HBG212" i="3" s="1"/>
  <c r="HAW212" i="3"/>
  <c r="HAY212" i="3" s="1"/>
  <c r="HAO212" i="3"/>
  <c r="HAQ212" i="3" s="1"/>
  <c r="HAG212" i="3"/>
  <c r="HAI212" i="3" s="1"/>
  <c r="GZY212" i="3"/>
  <c r="HAA212" i="3" s="1"/>
  <c r="GZS212" i="3"/>
  <c r="GZQ212" i="3"/>
  <c r="GZK212" i="3"/>
  <c r="GZI212" i="3"/>
  <c r="GZA212" i="3"/>
  <c r="GZC212" i="3" s="1"/>
  <c r="GYS212" i="3"/>
  <c r="GYU212" i="3" s="1"/>
  <c r="GYM212" i="3"/>
  <c r="GYK212" i="3"/>
  <c r="GYC212" i="3"/>
  <c r="GYE212" i="3" s="1"/>
  <c r="GXU212" i="3"/>
  <c r="GXW212" i="3" s="1"/>
  <c r="GXM212" i="3"/>
  <c r="GXO212" i="3" s="1"/>
  <c r="GXE212" i="3"/>
  <c r="GXG212" i="3" s="1"/>
  <c r="GWW212" i="3"/>
  <c r="GWY212" i="3" s="1"/>
  <c r="GWO212" i="3"/>
  <c r="GWQ212" i="3" s="1"/>
  <c r="GWG212" i="3"/>
  <c r="GWI212" i="3" s="1"/>
  <c r="GWA212" i="3"/>
  <c r="GVY212" i="3"/>
  <c r="GVS212" i="3"/>
  <c r="GVQ212" i="3"/>
  <c r="GVK212" i="3"/>
  <c r="GVI212" i="3"/>
  <c r="GVA212" i="3"/>
  <c r="GVC212" i="3" s="1"/>
  <c r="GUS212" i="3"/>
  <c r="GUU212" i="3" s="1"/>
  <c r="GUK212" i="3"/>
  <c r="GUM212" i="3" s="1"/>
  <c r="GUC212" i="3"/>
  <c r="GUE212" i="3" s="1"/>
  <c r="GTU212" i="3"/>
  <c r="GTW212" i="3" s="1"/>
  <c r="GTM212" i="3"/>
  <c r="GTO212" i="3" s="1"/>
  <c r="GTE212" i="3"/>
  <c r="GTG212" i="3" s="1"/>
  <c r="GSW212" i="3"/>
  <c r="GSY212" i="3" s="1"/>
  <c r="GSO212" i="3"/>
  <c r="GSQ212" i="3" s="1"/>
  <c r="GSI212" i="3"/>
  <c r="GSG212" i="3"/>
  <c r="GSA212" i="3"/>
  <c r="GRY212" i="3"/>
  <c r="GRS212" i="3"/>
  <c r="GRQ212" i="3"/>
  <c r="GRK212" i="3"/>
  <c r="GRI212" i="3"/>
  <c r="GRA212" i="3"/>
  <c r="GRC212" i="3" s="1"/>
  <c r="GQS212" i="3"/>
  <c r="GQU212" i="3" s="1"/>
  <c r="GQK212" i="3"/>
  <c r="GQM212" i="3" s="1"/>
  <c r="GQE212" i="3"/>
  <c r="GQC212" i="3"/>
  <c r="GPU212" i="3"/>
  <c r="GPW212" i="3" s="1"/>
  <c r="GPM212" i="3"/>
  <c r="GPO212" i="3" s="1"/>
  <c r="GPE212" i="3"/>
  <c r="GPG212" i="3" s="1"/>
  <c r="GOW212" i="3"/>
  <c r="GOY212" i="3" s="1"/>
  <c r="GOO212" i="3"/>
  <c r="GOQ212" i="3" s="1"/>
  <c r="GOI212" i="3"/>
  <c r="GOG212" i="3"/>
  <c r="GOA212" i="3"/>
  <c r="GNY212" i="3"/>
  <c r="GNS212" i="3"/>
  <c r="GNQ212" i="3"/>
  <c r="GNK212" i="3"/>
  <c r="GNI212" i="3"/>
  <c r="GNA212" i="3"/>
  <c r="GNC212" i="3" s="1"/>
  <c r="GMS212" i="3"/>
  <c r="GMU212" i="3" s="1"/>
  <c r="GMM212" i="3"/>
  <c r="GMK212" i="3"/>
  <c r="GMC212" i="3"/>
  <c r="GME212" i="3" s="1"/>
  <c r="GLU212" i="3"/>
  <c r="GLW212" i="3" s="1"/>
  <c r="GLM212" i="3"/>
  <c r="GLO212" i="3" s="1"/>
  <c r="GLE212" i="3"/>
  <c r="GLG212" i="3" s="1"/>
  <c r="GKY212" i="3"/>
  <c r="GKW212" i="3"/>
  <c r="GKQ212" i="3"/>
  <c r="GKO212" i="3"/>
  <c r="GKG212" i="3"/>
  <c r="GKI212" i="3" s="1"/>
  <c r="GKA212" i="3"/>
  <c r="GJY212" i="3"/>
  <c r="GJS212" i="3"/>
  <c r="GJQ212" i="3"/>
  <c r="GJI212" i="3"/>
  <c r="GJK212" i="3" s="1"/>
  <c r="GJA212" i="3"/>
  <c r="GJC212" i="3" s="1"/>
  <c r="GIU212" i="3"/>
  <c r="GIS212" i="3"/>
  <c r="GIM212" i="3"/>
  <c r="GIK212" i="3"/>
  <c r="GIC212" i="3"/>
  <c r="GIE212" i="3" s="1"/>
  <c r="GHU212" i="3"/>
  <c r="GHW212" i="3" s="1"/>
  <c r="GHM212" i="3"/>
  <c r="GHO212" i="3" s="1"/>
  <c r="GHG212" i="3"/>
  <c r="GHE212" i="3"/>
  <c r="GGY212" i="3"/>
  <c r="GGW212" i="3"/>
  <c r="GGQ212" i="3"/>
  <c r="GGO212" i="3"/>
  <c r="GGI212" i="3"/>
  <c r="GGG212" i="3"/>
  <c r="GGA212" i="3"/>
  <c r="GFY212" i="3"/>
  <c r="GFQ212" i="3"/>
  <c r="GFS212" i="3" s="1"/>
  <c r="GFI212" i="3"/>
  <c r="GFK212" i="3" s="1"/>
  <c r="GFA212" i="3"/>
  <c r="GFC212" i="3" s="1"/>
  <c r="GES212" i="3"/>
  <c r="GEU212" i="3" s="1"/>
  <c r="GEK212" i="3"/>
  <c r="GEM212" i="3" s="1"/>
  <c r="GEC212" i="3"/>
  <c r="GEE212" i="3" s="1"/>
  <c r="GDU212" i="3"/>
  <c r="GDW212" i="3" s="1"/>
  <c r="GDO212" i="3"/>
  <c r="GDM212" i="3"/>
  <c r="GDG212" i="3"/>
  <c r="GDE212" i="3"/>
  <c r="GCY212" i="3"/>
  <c r="GCW212" i="3"/>
  <c r="GCQ212" i="3"/>
  <c r="GCO212" i="3"/>
  <c r="GCI212" i="3"/>
  <c r="GCG212" i="3"/>
  <c r="GBY212" i="3"/>
  <c r="GCA212" i="3" s="1"/>
  <c r="GBQ212" i="3"/>
  <c r="GBS212" i="3" s="1"/>
  <c r="GBI212" i="3"/>
  <c r="GBK212" i="3" s="1"/>
  <c r="GBA212" i="3"/>
  <c r="GBC212" i="3" s="1"/>
  <c r="GAU212" i="3"/>
  <c r="GAS212" i="3"/>
  <c r="GAM212" i="3"/>
  <c r="GAK212" i="3"/>
  <c r="GAC212" i="3"/>
  <c r="GAE212" i="3" s="1"/>
  <c r="FZW212" i="3"/>
  <c r="FZU212" i="3"/>
  <c r="FZO212" i="3"/>
  <c r="FZM212" i="3"/>
  <c r="FZG212" i="3"/>
  <c r="FZE212" i="3"/>
  <c r="FYW212" i="3"/>
  <c r="FYY212" i="3" s="1"/>
  <c r="FYO212" i="3"/>
  <c r="FYQ212" i="3" s="1"/>
  <c r="FYG212" i="3"/>
  <c r="FYI212" i="3" s="1"/>
  <c r="FYA212" i="3"/>
  <c r="FXY212" i="3"/>
  <c r="FXQ212" i="3"/>
  <c r="FXS212" i="3" s="1"/>
  <c r="FXI212" i="3"/>
  <c r="FXK212" i="3" s="1"/>
  <c r="FXA212" i="3"/>
  <c r="FXC212" i="3" s="1"/>
  <c r="FWS212" i="3"/>
  <c r="FWU212" i="3" s="1"/>
  <c r="FWK212" i="3"/>
  <c r="FWM212" i="3" s="1"/>
  <c r="FWE212" i="3"/>
  <c r="FWC212" i="3"/>
  <c r="FVW212" i="3"/>
  <c r="FVU212" i="3"/>
  <c r="FVO212" i="3"/>
  <c r="FVM212" i="3"/>
  <c r="FVG212" i="3"/>
  <c r="FVE212" i="3"/>
  <c r="FUW212" i="3"/>
  <c r="FUY212" i="3" s="1"/>
  <c r="FUO212" i="3"/>
  <c r="FUQ212" i="3" s="1"/>
  <c r="FUI212" i="3"/>
  <c r="FUG212" i="3"/>
  <c r="FTY212" i="3"/>
  <c r="FUA212" i="3" s="1"/>
  <c r="FTQ212" i="3"/>
  <c r="FTS212" i="3" s="1"/>
  <c r="FTI212" i="3"/>
  <c r="FTK212" i="3" s="1"/>
  <c r="FTA212" i="3"/>
  <c r="FTC212" i="3" s="1"/>
  <c r="FSS212" i="3"/>
  <c r="FSU212" i="3" s="1"/>
  <c r="FSK212" i="3"/>
  <c r="FSM212" i="3" s="1"/>
  <c r="FSE212" i="3"/>
  <c r="FSC212" i="3"/>
  <c r="FRW212" i="3"/>
  <c r="FRU212" i="3"/>
  <c r="FRO212" i="3"/>
  <c r="FRM212" i="3"/>
  <c r="FRG212" i="3"/>
  <c r="FRE212" i="3"/>
  <c r="FQW212" i="3"/>
  <c r="FQY212" i="3" s="1"/>
  <c r="FQQ212" i="3"/>
  <c r="FQO212" i="3"/>
  <c r="FQG212" i="3"/>
  <c r="FQI212" i="3" s="1"/>
  <c r="FPY212" i="3"/>
  <c r="FQA212" i="3" s="1"/>
  <c r="FPQ212" i="3"/>
  <c r="FPS212" i="3" s="1"/>
  <c r="FPI212" i="3"/>
  <c r="FPK212" i="3" s="1"/>
  <c r="FPA212" i="3"/>
  <c r="FPC212" i="3" s="1"/>
  <c r="FOS212" i="3"/>
  <c r="FOU212" i="3" s="1"/>
  <c r="FOK212" i="3"/>
  <c r="FOM212" i="3" s="1"/>
  <c r="FOC212" i="3"/>
  <c r="FOE212" i="3" s="1"/>
  <c r="FNW212" i="3"/>
  <c r="FNU212" i="3"/>
  <c r="FNO212" i="3"/>
  <c r="FNM212" i="3"/>
  <c r="FNE212" i="3"/>
  <c r="FNG212" i="3" s="1"/>
  <c r="FMW212" i="3"/>
  <c r="FMY212" i="3" s="1"/>
  <c r="FMQ212" i="3"/>
  <c r="FMO212" i="3"/>
  <c r="FMG212" i="3"/>
  <c r="FMI212" i="3" s="1"/>
  <c r="FLY212" i="3"/>
  <c r="FMA212" i="3" s="1"/>
  <c r="FLQ212" i="3"/>
  <c r="FLS212" i="3" s="1"/>
  <c r="FLI212" i="3"/>
  <c r="FLK212" i="3" s="1"/>
  <c r="FLC212" i="3"/>
  <c r="FLA212" i="3"/>
  <c r="FKS212" i="3"/>
  <c r="FKU212" i="3" s="1"/>
  <c r="FKK212" i="3"/>
  <c r="FKM212" i="3" s="1"/>
  <c r="FKC212" i="3"/>
  <c r="FKE212" i="3" s="1"/>
  <c r="FJW212" i="3"/>
  <c r="FJU212" i="3"/>
  <c r="FJM212" i="3"/>
  <c r="FJO212" i="3" s="1"/>
  <c r="FJE212" i="3"/>
  <c r="FJG212" i="3" s="1"/>
  <c r="FIW212" i="3"/>
  <c r="FIY212" i="3" s="1"/>
  <c r="FIQ212" i="3"/>
  <c r="FIO212" i="3"/>
  <c r="FII212" i="3"/>
  <c r="FIG212" i="3"/>
  <c r="FIA212" i="3"/>
  <c r="FHY212" i="3"/>
  <c r="FHQ212" i="3"/>
  <c r="FHS212" i="3" s="1"/>
  <c r="FHK212" i="3"/>
  <c r="FHI212" i="3"/>
  <c r="FHC212" i="3"/>
  <c r="FHA212" i="3"/>
  <c r="FGU212" i="3"/>
  <c r="FGS212" i="3"/>
  <c r="FGK212" i="3"/>
  <c r="FGM212" i="3" s="1"/>
  <c r="FGE212" i="3"/>
  <c r="FGC212" i="3"/>
  <c r="FFU212" i="3"/>
  <c r="FFW212" i="3" s="1"/>
  <c r="FFM212" i="3"/>
  <c r="FFO212" i="3" s="1"/>
  <c r="FFE212" i="3"/>
  <c r="FFG212" i="3" s="1"/>
  <c r="FEW212" i="3"/>
  <c r="FEY212" i="3" s="1"/>
  <c r="FEO212" i="3"/>
  <c r="FEQ212" i="3" s="1"/>
  <c r="FEG212" i="3"/>
  <c r="FEI212" i="3" s="1"/>
  <c r="FDY212" i="3"/>
  <c r="FEA212" i="3" s="1"/>
  <c r="FDS212" i="3"/>
  <c r="FDQ212" i="3"/>
  <c r="FDK212" i="3"/>
  <c r="FDI212" i="3"/>
  <c r="FDC212" i="3"/>
  <c r="FDA212" i="3"/>
  <c r="FCU212" i="3"/>
  <c r="FCS212" i="3"/>
  <c r="FCK212" i="3"/>
  <c r="FCM212" i="3" s="1"/>
  <c r="FCC212" i="3"/>
  <c r="FCE212" i="3" s="1"/>
  <c r="FBU212" i="3"/>
  <c r="FBW212" i="3" s="1"/>
  <c r="FBM212" i="3"/>
  <c r="FBO212" i="3" s="1"/>
  <c r="FBE212" i="3"/>
  <c r="FBG212" i="3" s="1"/>
  <c r="FAW212" i="3"/>
  <c r="FAY212" i="3" s="1"/>
  <c r="FAO212" i="3"/>
  <c r="FAQ212" i="3" s="1"/>
  <c r="FAG212" i="3"/>
  <c r="FAI212" i="3" s="1"/>
  <c r="FAA212" i="3"/>
  <c r="EZY212" i="3"/>
  <c r="EZS212" i="3"/>
  <c r="EZQ212" i="3"/>
  <c r="EZK212" i="3"/>
  <c r="EZI212" i="3"/>
  <c r="EZC212" i="3"/>
  <c r="EZA212" i="3"/>
  <c r="EYS212" i="3"/>
  <c r="EYU212" i="3" s="1"/>
  <c r="EYK212" i="3"/>
  <c r="EYM212" i="3" s="1"/>
  <c r="EYE212" i="3"/>
  <c r="EYC212" i="3"/>
  <c r="EXW212" i="3"/>
  <c r="EXU212" i="3"/>
  <c r="EXM212" i="3"/>
  <c r="EXO212" i="3" s="1"/>
  <c r="EXE212" i="3"/>
  <c r="EXG212" i="3" s="1"/>
  <c r="EWW212" i="3"/>
  <c r="EWY212" i="3" s="1"/>
  <c r="EWO212" i="3"/>
  <c r="EWQ212" i="3" s="1"/>
  <c r="EWI212" i="3"/>
  <c r="EWG212" i="3"/>
  <c r="EWA212" i="3"/>
  <c r="EVY212" i="3"/>
  <c r="EVS212" i="3"/>
  <c r="EVQ212" i="3"/>
  <c r="EVK212" i="3"/>
  <c r="EVI212" i="3"/>
  <c r="EVC212" i="3"/>
  <c r="EVA212" i="3"/>
  <c r="EUS212" i="3"/>
  <c r="EUU212" i="3" s="1"/>
  <c r="EUK212" i="3"/>
  <c r="EUM212" i="3" s="1"/>
  <c r="EUC212" i="3"/>
  <c r="EUE212" i="3" s="1"/>
  <c r="ETW212" i="3"/>
  <c r="ETU212" i="3"/>
  <c r="ETM212" i="3"/>
  <c r="ETO212" i="3" s="1"/>
  <c r="ETE212" i="3"/>
  <c r="ETG212" i="3" s="1"/>
  <c r="ESW212" i="3"/>
  <c r="ESY212" i="3" s="1"/>
  <c r="ESQ212" i="3"/>
  <c r="ESO212" i="3"/>
  <c r="ESG212" i="3"/>
  <c r="ESI212" i="3" s="1"/>
  <c r="ESA212" i="3"/>
  <c r="ERY212" i="3"/>
  <c r="ERS212" i="3"/>
  <c r="ERQ212" i="3"/>
  <c r="ERK212" i="3"/>
  <c r="ERI212" i="3"/>
  <c r="ERA212" i="3"/>
  <c r="ERC212" i="3" s="1"/>
  <c r="EQS212" i="3"/>
  <c r="EQU212" i="3" s="1"/>
  <c r="EQM212" i="3"/>
  <c r="EQK212" i="3"/>
  <c r="EQC212" i="3"/>
  <c r="EQE212" i="3" s="1"/>
  <c r="EPW212" i="3"/>
  <c r="EPU212" i="3"/>
  <c r="EPM212" i="3"/>
  <c r="EPO212" i="3" s="1"/>
  <c r="EPE212" i="3"/>
  <c r="EPG212" i="3" s="1"/>
  <c r="EOY212" i="3"/>
  <c r="EOW212" i="3"/>
  <c r="EOO212" i="3"/>
  <c r="EOQ212" i="3" s="1"/>
  <c r="EOI212" i="3"/>
  <c r="EOG212" i="3"/>
  <c r="ENY212" i="3"/>
  <c r="EOA212" i="3" s="1"/>
  <c r="ENS212" i="3"/>
  <c r="ENQ212" i="3"/>
  <c r="ENI212" i="3"/>
  <c r="ENK212" i="3" s="1"/>
  <c r="ENA212" i="3"/>
  <c r="ENC212" i="3" s="1"/>
  <c r="EMS212" i="3"/>
  <c r="EMU212" i="3" s="1"/>
  <c r="EMM212" i="3"/>
  <c r="EMK212" i="3"/>
  <c r="EME212" i="3"/>
  <c r="EMC212" i="3"/>
  <c r="ELU212" i="3"/>
  <c r="ELW212" i="3" s="1"/>
  <c r="ELM212" i="3"/>
  <c r="ELO212" i="3" s="1"/>
  <c r="ELG212" i="3"/>
  <c r="ELE212" i="3"/>
  <c r="EKY212" i="3"/>
  <c r="EKW212" i="3"/>
  <c r="EKQ212" i="3"/>
  <c r="EKO212" i="3"/>
  <c r="EKI212" i="3"/>
  <c r="EKG212" i="3"/>
  <c r="EKA212" i="3"/>
  <c r="EJY212" i="3"/>
  <c r="EJQ212" i="3"/>
  <c r="EJS212" i="3" s="1"/>
  <c r="EJI212" i="3"/>
  <c r="EJK212" i="3" s="1"/>
  <c r="EJA212" i="3"/>
  <c r="EJC212" i="3" s="1"/>
  <c r="EIS212" i="3"/>
  <c r="EIU212" i="3" s="1"/>
  <c r="EIK212" i="3"/>
  <c r="EIM212" i="3" s="1"/>
  <c r="EIE212" i="3"/>
  <c r="EIC212" i="3"/>
  <c r="EHU212" i="3"/>
  <c r="EHW212" i="3" s="1"/>
  <c r="EHO212" i="3"/>
  <c r="EHM212" i="3"/>
  <c r="EHE212" i="3"/>
  <c r="EHG212" i="3" s="1"/>
  <c r="EGY212" i="3"/>
  <c r="EGW212" i="3"/>
  <c r="EGO212" i="3"/>
  <c r="EGQ212" i="3" s="1"/>
  <c r="EGG212" i="3"/>
  <c r="EGI212" i="3" s="1"/>
  <c r="EFY212" i="3"/>
  <c r="EGA212" i="3" s="1"/>
  <c r="EFS212" i="3"/>
  <c r="EFQ212" i="3"/>
  <c r="EFI212" i="3"/>
  <c r="EFK212" i="3" s="1"/>
  <c r="EFA212" i="3"/>
  <c r="EFC212" i="3" s="1"/>
  <c r="EES212" i="3"/>
  <c r="EEU212" i="3" s="1"/>
  <c r="EEM212" i="3"/>
  <c r="EEK212" i="3"/>
  <c r="EEC212" i="3"/>
  <c r="EEE212" i="3" s="1"/>
  <c r="EDW212" i="3"/>
  <c r="EDU212" i="3"/>
  <c r="EDO212" i="3"/>
  <c r="EDM212" i="3"/>
  <c r="EDG212" i="3"/>
  <c r="EDE212" i="3"/>
  <c r="ECY212" i="3"/>
  <c r="ECW212" i="3"/>
  <c r="ECQ212" i="3"/>
  <c r="ECO212" i="3"/>
  <c r="ECG212" i="3"/>
  <c r="ECI212" i="3" s="1"/>
  <c r="EBY212" i="3"/>
  <c r="ECA212" i="3" s="1"/>
  <c r="EBQ212" i="3"/>
  <c r="EBS212" i="3" s="1"/>
  <c r="EBI212" i="3"/>
  <c r="EBK212" i="3" s="1"/>
  <c r="EBC212" i="3"/>
  <c r="EBA212" i="3"/>
  <c r="EAS212" i="3"/>
  <c r="EAU212" i="3" s="1"/>
  <c r="EAK212" i="3"/>
  <c r="EAM212" i="3" s="1"/>
  <c r="EAE212" i="3"/>
  <c r="EAC212" i="3"/>
  <c r="DZU212" i="3"/>
  <c r="DZW212" i="3" s="1"/>
  <c r="DZM212" i="3"/>
  <c r="DZO212" i="3" s="1"/>
  <c r="DZE212" i="3"/>
  <c r="DZG212" i="3" s="1"/>
  <c r="DYY212" i="3"/>
  <c r="DYW212" i="3"/>
  <c r="DYO212" i="3"/>
  <c r="DYQ212" i="3" s="1"/>
  <c r="DYI212" i="3"/>
  <c r="DYG212" i="3"/>
  <c r="DXY212" i="3"/>
  <c r="DYA212" i="3" s="1"/>
  <c r="DXQ212" i="3"/>
  <c r="DXS212" i="3" s="1"/>
  <c r="DXI212" i="3"/>
  <c r="DXK212" i="3" s="1"/>
  <c r="DXC212" i="3"/>
  <c r="DXA212" i="3"/>
  <c r="DWS212" i="3"/>
  <c r="DWU212" i="3" s="1"/>
  <c r="DWK212" i="3"/>
  <c r="DWM212" i="3" s="1"/>
  <c r="DWE212" i="3"/>
  <c r="DWC212" i="3"/>
  <c r="DVW212" i="3"/>
  <c r="DVU212" i="3"/>
  <c r="DVO212" i="3"/>
  <c r="DVM212" i="3"/>
  <c r="DVE212" i="3"/>
  <c r="DVG212" i="3" s="1"/>
  <c r="DUW212" i="3"/>
  <c r="DUY212" i="3" s="1"/>
  <c r="DUO212" i="3"/>
  <c r="DUQ212" i="3" s="1"/>
  <c r="DUG212" i="3"/>
  <c r="DUI212" i="3" s="1"/>
  <c r="DUA212" i="3"/>
  <c r="DTY212" i="3"/>
  <c r="DTS212" i="3"/>
  <c r="DTQ212" i="3"/>
  <c r="DTK212" i="3"/>
  <c r="DTI212" i="3"/>
  <c r="DTA212" i="3"/>
  <c r="DTC212" i="3" s="1"/>
  <c r="DSU212" i="3"/>
  <c r="DSS212" i="3"/>
  <c r="DSK212" i="3"/>
  <c r="DSM212" i="3" s="1"/>
  <c r="DSC212" i="3"/>
  <c r="DSE212" i="3" s="1"/>
  <c r="DRU212" i="3"/>
  <c r="DRW212" i="3" s="1"/>
  <c r="DRM212" i="3"/>
  <c r="DRO212" i="3" s="1"/>
  <c r="DRE212" i="3"/>
  <c r="DRG212" i="3" s="1"/>
  <c r="DQW212" i="3"/>
  <c r="DQY212" i="3" s="1"/>
  <c r="DQO212" i="3"/>
  <c r="DQQ212" i="3" s="1"/>
  <c r="DQG212" i="3"/>
  <c r="DQI212" i="3" s="1"/>
  <c r="DQA212" i="3"/>
  <c r="DPY212" i="3"/>
  <c r="DPQ212" i="3"/>
  <c r="DPS212" i="3" s="1"/>
  <c r="DPI212" i="3"/>
  <c r="DPK212" i="3" s="1"/>
  <c r="DPA212" i="3"/>
  <c r="DPC212" i="3" s="1"/>
  <c r="DOS212" i="3"/>
  <c r="DOU212" i="3" s="1"/>
  <c r="DOM212" i="3"/>
  <c r="DOK212" i="3"/>
  <c r="DOE212" i="3"/>
  <c r="DOC212" i="3"/>
  <c r="DNW212" i="3"/>
  <c r="DNU212" i="3"/>
  <c r="DNO212" i="3"/>
  <c r="DNM212" i="3"/>
  <c r="DNG212" i="3"/>
  <c r="DNE212" i="3"/>
  <c r="DMW212" i="3"/>
  <c r="DMY212" i="3" s="1"/>
  <c r="DMO212" i="3"/>
  <c r="DMQ212" i="3" s="1"/>
  <c r="DMG212" i="3"/>
  <c r="DMI212" i="3" s="1"/>
  <c r="DMA212" i="3"/>
  <c r="DLY212" i="3"/>
  <c r="DLQ212" i="3"/>
  <c r="DLS212" i="3" s="1"/>
  <c r="DLI212" i="3"/>
  <c r="DLK212" i="3" s="1"/>
  <c r="DLA212" i="3"/>
  <c r="DLC212" i="3" s="1"/>
  <c r="DKU212" i="3"/>
  <c r="DKS212" i="3"/>
  <c r="DKM212" i="3"/>
  <c r="DKK212" i="3"/>
  <c r="DKC212" i="3"/>
  <c r="DKE212" i="3" s="1"/>
  <c r="DJW212" i="3"/>
  <c r="DJU212" i="3"/>
  <c r="DJO212" i="3"/>
  <c r="DJM212" i="3"/>
  <c r="DJE212" i="3"/>
  <c r="DJG212" i="3" s="1"/>
  <c r="DIY212" i="3"/>
  <c r="DIW212" i="3"/>
  <c r="DIO212" i="3"/>
  <c r="DIQ212" i="3" s="1"/>
  <c r="DIG212" i="3"/>
  <c r="DII212" i="3" s="1"/>
  <c r="DIA212" i="3"/>
  <c r="DHY212" i="3"/>
  <c r="DHQ212" i="3"/>
  <c r="DHS212" i="3" s="1"/>
  <c r="DHI212" i="3"/>
  <c r="DHK212" i="3" s="1"/>
  <c r="DHC212" i="3"/>
  <c r="DHA212" i="3"/>
  <c r="DGS212" i="3"/>
  <c r="DGU212" i="3" s="1"/>
  <c r="DGM212" i="3"/>
  <c r="DGK212" i="3"/>
  <c r="DGC212" i="3"/>
  <c r="DGE212" i="3" s="1"/>
  <c r="DFW212" i="3"/>
  <c r="DFU212" i="3"/>
  <c r="DFM212" i="3"/>
  <c r="DFO212" i="3" s="1"/>
  <c r="DFE212" i="3"/>
  <c r="DFG212" i="3" s="1"/>
  <c r="DEW212" i="3"/>
  <c r="DEY212" i="3" s="1"/>
  <c r="DEO212" i="3"/>
  <c r="DEQ212" i="3" s="1"/>
  <c r="DEG212" i="3"/>
  <c r="DEI212" i="3" s="1"/>
  <c r="DDY212" i="3"/>
  <c r="DEA212" i="3" s="1"/>
  <c r="DDQ212" i="3"/>
  <c r="DDS212" i="3" s="1"/>
  <c r="DDK212" i="3"/>
  <c r="DDI212" i="3"/>
  <c r="DDC212" i="3"/>
  <c r="DDA212" i="3"/>
  <c r="DCS212" i="3"/>
  <c r="DCU212" i="3" s="1"/>
  <c r="DCM212" i="3"/>
  <c r="DCK212" i="3"/>
  <c r="DCC212" i="3"/>
  <c r="DCE212" i="3" s="1"/>
  <c r="DBU212" i="3"/>
  <c r="DBW212" i="3" s="1"/>
  <c r="DBM212" i="3"/>
  <c r="DBO212" i="3" s="1"/>
  <c r="DBE212" i="3"/>
  <c r="DBG212" i="3" s="1"/>
  <c r="DAY212" i="3"/>
  <c r="DAW212" i="3"/>
  <c r="DAO212" i="3"/>
  <c r="DAQ212" i="3" s="1"/>
  <c r="DAG212" i="3"/>
  <c r="DAI212" i="3" s="1"/>
  <c r="CZY212" i="3"/>
  <c r="DAA212" i="3" s="1"/>
  <c r="CZS212" i="3"/>
  <c r="CZQ212" i="3"/>
  <c r="CZK212" i="3"/>
  <c r="CZI212" i="3"/>
  <c r="CZA212" i="3"/>
  <c r="CZC212" i="3" s="1"/>
  <c r="CYS212" i="3"/>
  <c r="CYU212" i="3" s="1"/>
  <c r="CYM212" i="3"/>
  <c r="CYK212" i="3"/>
  <c r="CYC212" i="3"/>
  <c r="CYE212" i="3" s="1"/>
  <c r="CXW212" i="3"/>
  <c r="CXU212" i="3"/>
  <c r="CXM212" i="3"/>
  <c r="CXO212" i="3" s="1"/>
  <c r="CXE212" i="3"/>
  <c r="CXG212" i="3" s="1"/>
  <c r="CWW212" i="3"/>
  <c r="CWY212" i="3" s="1"/>
  <c r="CWO212" i="3"/>
  <c r="CWQ212" i="3" s="1"/>
  <c r="CWG212" i="3"/>
  <c r="CWI212" i="3" s="1"/>
  <c r="CWA212" i="3"/>
  <c r="CVY212" i="3"/>
  <c r="CVS212" i="3"/>
  <c r="CVQ212" i="3"/>
  <c r="CVI212" i="3"/>
  <c r="CVK212" i="3" s="1"/>
  <c r="CVC212" i="3"/>
  <c r="CVA212" i="3"/>
  <c r="CUS212" i="3"/>
  <c r="CUU212" i="3" s="1"/>
  <c r="CUM212" i="3"/>
  <c r="CUK212" i="3"/>
  <c r="CUE212" i="3"/>
  <c r="CUC212" i="3"/>
  <c r="CTW212" i="3"/>
  <c r="CTU212" i="3"/>
  <c r="CTM212" i="3"/>
  <c r="CTO212" i="3" s="1"/>
  <c r="CTG212" i="3"/>
  <c r="CTE212" i="3"/>
  <c r="CSW212" i="3"/>
  <c r="CSY212" i="3" s="1"/>
  <c r="CSQ212" i="3"/>
  <c r="CSO212" i="3"/>
  <c r="CSI212" i="3"/>
  <c r="CSG212" i="3"/>
  <c r="CSA212" i="3"/>
  <c r="CRY212" i="3"/>
  <c r="CRQ212" i="3"/>
  <c r="CRS212" i="3" s="1"/>
  <c r="CRK212" i="3"/>
  <c r="CRI212" i="3"/>
  <c r="CRA212" i="3"/>
  <c r="CRC212" i="3" s="1"/>
  <c r="CQU212" i="3"/>
  <c r="CQS212" i="3"/>
  <c r="CQM212" i="3"/>
  <c r="CQK212" i="3"/>
  <c r="CQE212" i="3"/>
  <c r="CQC212" i="3"/>
  <c r="CPU212" i="3"/>
  <c r="CPW212" i="3" s="1"/>
  <c r="CPO212" i="3"/>
  <c r="CPM212" i="3"/>
  <c r="CPE212" i="3"/>
  <c r="CPG212" i="3" s="1"/>
  <c r="COY212" i="3"/>
  <c r="COW212" i="3"/>
  <c r="COQ212" i="3"/>
  <c r="COO212" i="3"/>
  <c r="COI212" i="3"/>
  <c r="COG212" i="3"/>
  <c r="CNY212" i="3"/>
  <c r="COA212" i="3" s="1"/>
  <c r="CNS212" i="3"/>
  <c r="CNQ212" i="3"/>
  <c r="CNI212" i="3"/>
  <c r="CNK212" i="3" s="1"/>
  <c r="CNC212" i="3"/>
  <c r="CNA212" i="3"/>
  <c r="CMU212" i="3"/>
  <c r="CMS212" i="3"/>
  <c r="CMM212" i="3"/>
  <c r="CMK212" i="3"/>
  <c r="CMC212" i="3"/>
  <c r="CME212" i="3" s="1"/>
  <c r="CLW212" i="3"/>
  <c r="CLU212" i="3"/>
  <c r="CLM212" i="3"/>
  <c r="CLO212" i="3" s="1"/>
  <c r="CLG212" i="3"/>
  <c r="CLE212" i="3"/>
  <c r="CKY212" i="3"/>
  <c r="CKW212" i="3"/>
  <c r="CKQ212" i="3"/>
  <c r="CKO212" i="3"/>
  <c r="CKG212" i="3"/>
  <c r="CKI212" i="3" s="1"/>
  <c r="CKA212" i="3"/>
  <c r="CJY212" i="3"/>
  <c r="CJQ212" i="3"/>
  <c r="CJS212" i="3" s="1"/>
  <c r="CJK212" i="3"/>
  <c r="CJI212" i="3"/>
  <c r="CJC212" i="3"/>
  <c r="CJA212" i="3"/>
  <c r="CIU212" i="3"/>
  <c r="CIS212" i="3"/>
  <c r="CIK212" i="3"/>
  <c r="CIM212" i="3" s="1"/>
  <c r="CIE212" i="3"/>
  <c r="CIC212" i="3"/>
  <c r="CHU212" i="3"/>
  <c r="CHW212" i="3" s="1"/>
  <c r="CHO212" i="3"/>
  <c r="CHM212" i="3"/>
  <c r="CHG212" i="3"/>
  <c r="CHE212" i="3"/>
  <c r="CGY212" i="3"/>
  <c r="CGW212" i="3"/>
  <c r="CGO212" i="3"/>
  <c r="CGQ212" i="3" s="1"/>
  <c r="CGI212" i="3"/>
  <c r="CGG212" i="3"/>
  <c r="CFY212" i="3"/>
  <c r="CGA212" i="3" s="1"/>
  <c r="CFS212" i="3"/>
  <c r="CFQ212" i="3"/>
  <c r="CFK212" i="3"/>
  <c r="CFI212" i="3"/>
  <c r="CFC212" i="3"/>
  <c r="CFA212" i="3"/>
  <c r="CES212" i="3"/>
  <c r="CEU212" i="3" s="1"/>
  <c r="CEM212" i="3"/>
  <c r="CEK212" i="3"/>
  <c r="CEC212" i="3"/>
  <c r="CEE212" i="3" s="1"/>
  <c r="CDW212" i="3"/>
  <c r="CDU212" i="3"/>
  <c r="CDO212" i="3"/>
  <c r="CDM212" i="3"/>
  <c r="CDG212" i="3"/>
  <c r="CDE212" i="3"/>
  <c r="CCW212" i="3"/>
  <c r="CCY212" i="3" s="1"/>
  <c r="CCQ212" i="3"/>
  <c r="CCO212" i="3"/>
  <c r="CCG212" i="3"/>
  <c r="CCI212" i="3" s="1"/>
  <c r="CCA212" i="3"/>
  <c r="CBY212" i="3"/>
  <c r="CBS212" i="3"/>
  <c r="CBQ212" i="3"/>
  <c r="CBK212" i="3"/>
  <c r="CBI212" i="3"/>
  <c r="CBA212" i="3"/>
  <c r="CBC212" i="3" s="1"/>
  <c r="CAU212" i="3"/>
  <c r="CAS212" i="3"/>
  <c r="CAK212" i="3"/>
  <c r="CAM212" i="3" s="1"/>
  <c r="CAE212" i="3"/>
  <c r="CAC212" i="3"/>
  <c r="BZW212" i="3"/>
  <c r="BZU212" i="3"/>
  <c r="BZO212" i="3"/>
  <c r="BZM212" i="3"/>
  <c r="BZE212" i="3"/>
  <c r="BZG212" i="3" s="1"/>
  <c r="BYY212" i="3"/>
  <c r="BYW212" i="3"/>
  <c r="BYO212" i="3"/>
  <c r="BYQ212" i="3" s="1"/>
  <c r="BYI212" i="3"/>
  <c r="BYG212" i="3"/>
  <c r="BYA212" i="3"/>
  <c r="BXY212" i="3"/>
  <c r="BXS212" i="3"/>
  <c r="BXQ212" i="3"/>
  <c r="BXI212" i="3"/>
  <c r="BXK212" i="3" s="1"/>
  <c r="BXC212" i="3"/>
  <c r="BXA212" i="3"/>
  <c r="BWS212" i="3"/>
  <c r="BWU212" i="3" s="1"/>
  <c r="BWM212" i="3"/>
  <c r="BWK212" i="3"/>
  <c r="BWE212" i="3"/>
  <c r="BWC212" i="3"/>
  <c r="BVW212" i="3"/>
  <c r="BVU212" i="3"/>
  <c r="BVM212" i="3"/>
  <c r="BVO212" i="3" s="1"/>
  <c r="BVG212" i="3"/>
  <c r="BVE212" i="3"/>
  <c r="BUW212" i="3"/>
  <c r="BUY212" i="3" s="1"/>
  <c r="BUQ212" i="3"/>
  <c r="BUO212" i="3"/>
  <c r="BUI212" i="3"/>
  <c r="BUG212" i="3"/>
  <c r="BUA212" i="3"/>
  <c r="BTY212" i="3"/>
  <c r="BTQ212" i="3"/>
  <c r="BTS212" i="3" s="1"/>
  <c r="BTK212" i="3"/>
  <c r="BTI212" i="3"/>
  <c r="BTA212" i="3"/>
  <c r="BTC212" i="3" s="1"/>
  <c r="BSU212" i="3"/>
  <c r="BSS212" i="3"/>
  <c r="BSM212" i="3"/>
  <c r="BSK212" i="3"/>
  <c r="BSE212" i="3"/>
  <c r="BSC212" i="3"/>
  <c r="BRU212" i="3"/>
  <c r="BRW212" i="3" s="1"/>
  <c r="BRO212" i="3"/>
  <c r="BRM212" i="3"/>
  <c r="BRE212" i="3"/>
  <c r="BRG212" i="3" s="1"/>
  <c r="BQY212" i="3"/>
  <c r="BQW212" i="3"/>
  <c r="BQQ212" i="3"/>
  <c r="BQO212" i="3"/>
  <c r="BQI212" i="3"/>
  <c r="BQG212" i="3"/>
  <c r="BPY212" i="3"/>
  <c r="BQA212" i="3" s="1"/>
  <c r="BPS212" i="3"/>
  <c r="BPQ212" i="3"/>
  <c r="BPI212" i="3"/>
  <c r="BPK212" i="3" s="1"/>
  <c r="BPC212" i="3"/>
  <c r="BPA212" i="3"/>
  <c r="BOU212" i="3"/>
  <c r="BOS212" i="3"/>
  <c r="BOM212" i="3"/>
  <c r="BOK212" i="3"/>
  <c r="BOC212" i="3"/>
  <c r="BOE212" i="3" s="1"/>
  <c r="BNW212" i="3"/>
  <c r="BNU212" i="3"/>
  <c r="BNM212" i="3"/>
  <c r="BNO212" i="3" s="1"/>
  <c r="BNG212" i="3"/>
  <c r="BNE212" i="3"/>
  <c r="BMY212" i="3"/>
  <c r="BMW212" i="3"/>
  <c r="BMQ212" i="3"/>
  <c r="BMO212" i="3"/>
  <c r="BMG212" i="3"/>
  <c r="BMI212" i="3" s="1"/>
  <c r="BMA212" i="3"/>
  <c r="BLY212" i="3"/>
  <c r="BLQ212" i="3"/>
  <c r="BLS212" i="3" s="1"/>
  <c r="BLK212" i="3"/>
  <c r="BLI212" i="3"/>
  <c r="BLC212" i="3"/>
  <c r="BLA212" i="3"/>
  <c r="BKU212" i="3"/>
  <c r="BKS212" i="3"/>
  <c r="BKK212" i="3"/>
  <c r="BKM212" i="3" s="1"/>
  <c r="BKE212" i="3"/>
  <c r="BKC212" i="3"/>
  <c r="BJU212" i="3"/>
  <c r="BJW212" i="3" s="1"/>
  <c r="BJO212" i="3"/>
  <c r="BJM212" i="3"/>
  <c r="BJG212" i="3"/>
  <c r="BJE212" i="3"/>
  <c r="BIY212" i="3"/>
  <c r="BIW212" i="3"/>
  <c r="BIO212" i="3"/>
  <c r="BIQ212" i="3" s="1"/>
  <c r="BII212" i="3"/>
  <c r="BIG212" i="3"/>
  <c r="BHY212" i="3"/>
  <c r="BIA212" i="3" s="1"/>
  <c r="BHS212" i="3"/>
  <c r="BHQ212" i="3"/>
  <c r="BHK212" i="3"/>
  <c r="BHI212" i="3"/>
  <c r="BHC212" i="3"/>
  <c r="BHA212" i="3"/>
  <c r="BGS212" i="3"/>
  <c r="BGU212" i="3" s="1"/>
  <c r="BGM212" i="3"/>
  <c r="BGK212" i="3"/>
  <c r="BGC212" i="3"/>
  <c r="BGE212" i="3" s="1"/>
  <c r="BFW212" i="3"/>
  <c r="BFU212" i="3"/>
  <c r="BFO212" i="3"/>
  <c r="BFM212" i="3"/>
  <c r="BFG212" i="3"/>
  <c r="BFE212" i="3"/>
  <c r="BEW212" i="3"/>
  <c r="BEY212" i="3" s="1"/>
  <c r="BEQ212" i="3"/>
  <c r="BEO212" i="3"/>
  <c r="BEG212" i="3"/>
  <c r="BEI212" i="3" s="1"/>
  <c r="BEA212" i="3"/>
  <c r="BDY212" i="3"/>
  <c r="BDS212" i="3"/>
  <c r="BDQ212" i="3"/>
  <c r="BDK212" i="3"/>
  <c r="BDI212" i="3"/>
  <c r="BDA212" i="3"/>
  <c r="BDC212" i="3" s="1"/>
  <c r="BCU212" i="3"/>
  <c r="BCS212" i="3"/>
  <c r="BCK212" i="3"/>
  <c r="BCM212" i="3" s="1"/>
  <c r="BCE212" i="3"/>
  <c r="BCC212" i="3"/>
  <c r="BBW212" i="3"/>
  <c r="BBU212" i="3"/>
  <c r="BBO212" i="3"/>
  <c r="BBM212" i="3"/>
  <c r="BBE212" i="3"/>
  <c r="BBG212" i="3" s="1"/>
  <c r="BAY212" i="3"/>
  <c r="BAW212" i="3"/>
  <c r="BAO212" i="3"/>
  <c r="BAQ212" i="3" s="1"/>
  <c r="BAI212" i="3"/>
  <c r="BAG212" i="3"/>
  <c r="BAA212" i="3"/>
  <c r="AZY212" i="3"/>
  <c r="AZS212" i="3"/>
  <c r="AZQ212" i="3"/>
  <c r="AZI212" i="3"/>
  <c r="AZK212" i="3" s="1"/>
  <c r="AZC212" i="3"/>
  <c r="AZA212" i="3"/>
  <c r="AYS212" i="3"/>
  <c r="AYU212" i="3" s="1"/>
  <c r="AYM212" i="3"/>
  <c r="AYK212" i="3"/>
  <c r="AYE212" i="3"/>
  <c r="AYC212" i="3"/>
  <c r="AXW212" i="3"/>
  <c r="AXU212" i="3"/>
  <c r="AXM212" i="3"/>
  <c r="AXO212" i="3" s="1"/>
  <c r="AXG212" i="3"/>
  <c r="AXE212" i="3"/>
  <c r="AWW212" i="3"/>
  <c r="AWY212" i="3" s="1"/>
  <c r="AWQ212" i="3"/>
  <c r="AWO212" i="3"/>
  <c r="AWI212" i="3"/>
  <c r="AWG212" i="3"/>
  <c r="AWA212" i="3"/>
  <c r="AVY212" i="3"/>
  <c r="AVQ212" i="3"/>
  <c r="AVS212" i="3" s="1"/>
  <c r="AVK212" i="3"/>
  <c r="AVI212" i="3"/>
  <c r="AVA212" i="3"/>
  <c r="AVC212" i="3" s="1"/>
  <c r="AUU212" i="3"/>
  <c r="AUS212" i="3"/>
  <c r="AUM212" i="3"/>
  <c r="AUK212" i="3"/>
  <c r="AUE212" i="3"/>
  <c r="AUC212" i="3"/>
  <c r="ATU212" i="3"/>
  <c r="ATW212" i="3" s="1"/>
  <c r="ATO212" i="3"/>
  <c r="ATM212" i="3"/>
  <c r="ATE212" i="3"/>
  <c r="ATG212" i="3" s="1"/>
  <c r="ASY212" i="3"/>
  <c r="ASW212" i="3"/>
  <c r="ASQ212" i="3"/>
  <c r="ASO212" i="3"/>
  <c r="ASI212" i="3"/>
  <c r="ASG212" i="3"/>
  <c r="ARY212" i="3"/>
  <c r="ASA212" i="3" s="1"/>
  <c r="ARS212" i="3"/>
  <c r="ARQ212" i="3"/>
  <c r="ARI212" i="3"/>
  <c r="ARK212" i="3" s="1"/>
  <c r="ARC212" i="3"/>
  <c r="ARA212" i="3"/>
  <c r="AQS212" i="3"/>
  <c r="AQU212" i="3" s="1"/>
  <c r="AQM212" i="3"/>
  <c r="AQK212" i="3"/>
  <c r="AQC212" i="3"/>
  <c r="AQE212" i="3" s="1"/>
  <c r="APW212" i="3"/>
  <c r="APU212" i="3"/>
  <c r="APM212" i="3"/>
  <c r="APO212" i="3" s="1"/>
  <c r="APG212" i="3"/>
  <c r="APE212" i="3"/>
  <c r="AOW212" i="3"/>
  <c r="AOY212" i="3" s="1"/>
  <c r="AOQ212" i="3"/>
  <c r="AOO212" i="3"/>
  <c r="AOG212" i="3"/>
  <c r="AOI212" i="3" s="1"/>
  <c r="AOA212" i="3"/>
  <c r="ANY212" i="3"/>
  <c r="ANQ212" i="3"/>
  <c r="ANS212" i="3" s="1"/>
  <c r="ANK212" i="3"/>
  <c r="ANI212" i="3"/>
  <c r="ANA212" i="3"/>
  <c r="ANC212" i="3" s="1"/>
  <c r="AMU212" i="3"/>
  <c r="AMS212" i="3"/>
  <c r="AMK212" i="3"/>
  <c r="AMM212" i="3" s="1"/>
  <c r="AME212" i="3"/>
  <c r="AMC212" i="3"/>
  <c r="ALU212" i="3"/>
  <c r="ALW212" i="3" s="1"/>
  <c r="ALO212" i="3"/>
  <c r="ALM212" i="3"/>
  <c r="ALE212" i="3"/>
  <c r="ALG212" i="3" s="1"/>
  <c r="AKY212" i="3"/>
  <c r="AKW212" i="3"/>
  <c r="AKO212" i="3"/>
  <c r="AKQ212" i="3" s="1"/>
  <c r="AKI212" i="3"/>
  <c r="AKG212" i="3"/>
  <c r="AJY212" i="3"/>
  <c r="AKA212" i="3" s="1"/>
  <c r="AJS212" i="3"/>
  <c r="AJQ212" i="3"/>
  <c r="AJI212" i="3"/>
  <c r="AJK212" i="3" s="1"/>
  <c r="AJC212" i="3"/>
  <c r="AJA212" i="3"/>
  <c r="AIS212" i="3"/>
  <c r="AIU212" i="3" s="1"/>
  <c r="AIM212" i="3"/>
  <c r="AIK212" i="3"/>
  <c r="AIC212" i="3"/>
  <c r="AIE212" i="3" s="1"/>
  <c r="AHW212" i="3"/>
  <c r="AHU212" i="3"/>
  <c r="AHM212" i="3"/>
  <c r="AHO212" i="3" s="1"/>
  <c r="AHG212" i="3"/>
  <c r="AHE212" i="3"/>
  <c r="AGW212" i="3"/>
  <c r="AGY212" i="3" s="1"/>
  <c r="AGQ212" i="3"/>
  <c r="AGO212" i="3"/>
  <c r="AGG212" i="3"/>
  <c r="AGI212" i="3" s="1"/>
  <c r="AGA212" i="3"/>
  <c r="AFY212" i="3"/>
  <c r="AFQ212" i="3"/>
  <c r="AFS212" i="3" s="1"/>
  <c r="AFK212" i="3"/>
  <c r="AFI212" i="3"/>
  <c r="AFA212" i="3"/>
  <c r="AFC212" i="3" s="1"/>
  <c r="AEU212" i="3"/>
  <c r="AES212" i="3"/>
  <c r="AEK212" i="3"/>
  <c r="AEM212" i="3" s="1"/>
  <c r="AEE212" i="3"/>
  <c r="AEC212" i="3"/>
  <c r="ADU212" i="3"/>
  <c r="ADW212" i="3" s="1"/>
  <c r="ADO212" i="3"/>
  <c r="ADM212" i="3"/>
  <c r="ADE212" i="3"/>
  <c r="ADG212" i="3" s="1"/>
  <c r="ACY212" i="3"/>
  <c r="ACW212" i="3"/>
  <c r="ACO212" i="3"/>
  <c r="ACQ212" i="3" s="1"/>
  <c r="ACI212" i="3"/>
  <c r="ACG212" i="3"/>
  <c r="ABY212" i="3"/>
  <c r="ACA212" i="3" s="1"/>
  <c r="ABS212" i="3"/>
  <c r="ABQ212" i="3"/>
  <c r="ABI212" i="3"/>
  <c r="ABK212" i="3" s="1"/>
  <c r="ABC212" i="3"/>
  <c r="ABA212" i="3"/>
  <c r="AAS212" i="3"/>
  <c r="AAU212" i="3" s="1"/>
  <c r="AAM212" i="3"/>
  <c r="AAK212" i="3"/>
  <c r="AAC212" i="3"/>
  <c r="AAE212" i="3" s="1"/>
  <c r="ZW212" i="3"/>
  <c r="ZU212" i="3"/>
  <c r="ZM212" i="3"/>
  <c r="ZO212" i="3" s="1"/>
  <c r="ZG212" i="3"/>
  <c r="ZE212" i="3"/>
  <c r="YW212" i="3"/>
  <c r="YY212" i="3" s="1"/>
  <c r="YQ212" i="3"/>
  <c r="YO212" i="3"/>
  <c r="YG212" i="3"/>
  <c r="YI212" i="3" s="1"/>
  <c r="YA212" i="3"/>
  <c r="XY212" i="3"/>
  <c r="XQ212" i="3"/>
  <c r="XS212" i="3" s="1"/>
  <c r="XK212" i="3"/>
  <c r="XI212" i="3"/>
  <c r="XA212" i="3"/>
  <c r="XC212" i="3" s="1"/>
  <c r="WU212" i="3"/>
  <c r="WS212" i="3"/>
  <c r="WK212" i="3"/>
  <c r="WM212" i="3" s="1"/>
  <c r="WE212" i="3"/>
  <c r="WC212" i="3"/>
  <c r="VU212" i="3"/>
  <c r="VW212" i="3" s="1"/>
  <c r="VO212" i="3"/>
  <c r="VM212" i="3"/>
  <c r="VE212" i="3"/>
  <c r="VG212" i="3" s="1"/>
  <c r="UY212" i="3"/>
  <c r="UW212" i="3"/>
  <c r="UO212" i="3"/>
  <c r="UQ212" i="3" s="1"/>
  <c r="UI212" i="3"/>
  <c r="UG212" i="3"/>
  <c r="TY212" i="3"/>
  <c r="UA212" i="3" s="1"/>
  <c r="TS212" i="3"/>
  <c r="TQ212" i="3"/>
  <c r="TI212" i="3"/>
  <c r="TK212" i="3" s="1"/>
  <c r="TC212" i="3"/>
  <c r="TA212" i="3"/>
  <c r="SS212" i="3"/>
  <c r="SU212" i="3" s="1"/>
  <c r="SM212" i="3"/>
  <c r="SK212" i="3"/>
  <c r="SC212" i="3"/>
  <c r="SE212" i="3" s="1"/>
  <c r="RW212" i="3"/>
  <c r="RU212" i="3"/>
  <c r="RM212" i="3"/>
  <c r="RO212" i="3" s="1"/>
  <c r="RG212" i="3"/>
  <c r="RE212" i="3"/>
  <c r="QW212" i="3"/>
  <c r="QY212" i="3" s="1"/>
  <c r="QQ212" i="3"/>
  <c r="QO212" i="3"/>
  <c r="QG212" i="3"/>
  <c r="QI212" i="3" s="1"/>
  <c r="QA212" i="3"/>
  <c r="PY212" i="3"/>
  <c r="PQ212" i="3"/>
  <c r="PS212" i="3" s="1"/>
  <c r="PK212" i="3"/>
  <c r="PI212" i="3"/>
  <c r="PA212" i="3"/>
  <c r="PC212" i="3" s="1"/>
  <c r="OU212" i="3"/>
  <c r="OS212" i="3"/>
  <c r="OK212" i="3"/>
  <c r="OM212" i="3" s="1"/>
  <c r="OE212" i="3"/>
  <c r="OC212" i="3"/>
  <c r="NU212" i="3"/>
  <c r="NW212" i="3" s="1"/>
  <c r="NO212" i="3"/>
  <c r="NM212" i="3"/>
  <c r="NE212" i="3"/>
  <c r="NG212" i="3" s="1"/>
  <c r="MY212" i="3"/>
  <c r="MW212" i="3"/>
  <c r="MO212" i="3"/>
  <c r="MQ212" i="3" s="1"/>
  <c r="MI212" i="3"/>
  <c r="MG212" i="3"/>
  <c r="LY212" i="3"/>
  <c r="MA212" i="3" s="1"/>
  <c r="LS212" i="3"/>
  <c r="LQ212" i="3"/>
  <c r="LI212" i="3"/>
  <c r="LK212" i="3" s="1"/>
  <c r="LC212" i="3"/>
  <c r="LA212" i="3"/>
  <c r="KS212" i="3"/>
  <c r="KU212" i="3" s="1"/>
  <c r="KM212" i="3"/>
  <c r="KK212" i="3"/>
  <c r="KC212" i="3"/>
  <c r="KE212" i="3" s="1"/>
  <c r="JW212" i="3"/>
  <c r="JU212" i="3"/>
  <c r="JM212" i="3"/>
  <c r="JO212" i="3" s="1"/>
  <c r="JG212" i="3"/>
  <c r="JE212" i="3"/>
  <c r="IW212" i="3"/>
  <c r="IY212" i="3" s="1"/>
  <c r="IQ212" i="3"/>
  <c r="IO212" i="3"/>
  <c r="IG212" i="3"/>
  <c r="II212" i="3" s="1"/>
  <c r="IA212" i="3"/>
  <c r="HY212" i="3"/>
  <c r="HQ212" i="3"/>
  <c r="HS212" i="3" s="1"/>
  <c r="HK212" i="3"/>
  <c r="HI212" i="3"/>
  <c r="HA212" i="3"/>
  <c r="HC212" i="3" s="1"/>
  <c r="GU212" i="3"/>
  <c r="GS212" i="3"/>
  <c r="GK212" i="3"/>
  <c r="GM212" i="3" s="1"/>
  <c r="GE212" i="3"/>
  <c r="GC212" i="3"/>
  <c r="FU212" i="3"/>
  <c r="FW212" i="3" s="1"/>
  <c r="FO212" i="3"/>
  <c r="FM212" i="3"/>
  <c r="FE212" i="3"/>
  <c r="FG212" i="3" s="1"/>
  <c r="EY212" i="3"/>
  <c r="EW212" i="3"/>
  <c r="EO212" i="3"/>
  <c r="EQ212" i="3" s="1"/>
  <c r="EI212" i="3"/>
  <c r="EG212" i="3"/>
  <c r="DY212" i="3"/>
  <c r="EA212" i="3" s="1"/>
  <c r="DS212" i="3"/>
  <c r="DQ212" i="3"/>
  <c r="DI212" i="3"/>
  <c r="DK212" i="3" s="1"/>
  <c r="DC212" i="3"/>
  <c r="DA212" i="3"/>
  <c r="CS212" i="3"/>
  <c r="CU212" i="3" s="1"/>
  <c r="CM212" i="3"/>
  <c r="CK212" i="3"/>
  <c r="CC212" i="3"/>
  <c r="CE212" i="3" s="1"/>
  <c r="BW212" i="3"/>
  <c r="BU212" i="3"/>
  <c r="BM212" i="3"/>
  <c r="BO212" i="3" s="1"/>
  <c r="BG212" i="3"/>
  <c r="BE212" i="3"/>
  <c r="AW212" i="3"/>
  <c r="AY212" i="3" s="1"/>
  <c r="AQ212" i="3"/>
  <c r="AO212" i="3"/>
  <c r="AG212" i="3"/>
  <c r="AI212" i="3" s="1"/>
  <c r="AA212" i="3"/>
  <c r="F212" i="3"/>
  <c r="H212" i="3" s="1"/>
  <c r="H215" i="3" s="1"/>
  <c r="G217" i="3" s="1"/>
  <c r="H217" i="3" s="1"/>
  <c r="H218" i="3" s="1"/>
  <c r="H210" i="3"/>
  <c r="H206" i="3"/>
  <c r="H203" i="3" s="1"/>
  <c r="H205" i="3"/>
  <c r="F195" i="3"/>
  <c r="H195" i="3" s="1"/>
  <c r="F194" i="3"/>
  <c r="H194" i="3" s="1"/>
  <c r="XBU193" i="3"/>
  <c r="XBW193" i="3" s="1"/>
  <c r="XBM193" i="3"/>
  <c r="XBO193" i="3" s="1"/>
  <c r="XBG193" i="3"/>
  <c r="XBE193" i="3"/>
  <c r="XAW193" i="3"/>
  <c r="XAY193" i="3" s="1"/>
  <c r="XAQ193" i="3"/>
  <c r="XAO193" i="3"/>
  <c r="XAI193" i="3"/>
  <c r="XAG193" i="3"/>
  <c r="XAA193" i="3"/>
  <c r="WZY193" i="3"/>
  <c r="WZS193" i="3"/>
  <c r="WZQ193" i="3"/>
  <c r="WZI193" i="3"/>
  <c r="WZK193" i="3" s="1"/>
  <c r="WZA193" i="3"/>
  <c r="WZC193" i="3" s="1"/>
  <c r="WYS193" i="3"/>
  <c r="WYU193" i="3" s="1"/>
  <c r="WYK193" i="3"/>
  <c r="WYM193" i="3" s="1"/>
  <c r="WYE193" i="3"/>
  <c r="WYC193" i="3"/>
  <c r="WXU193" i="3"/>
  <c r="WXW193" i="3" s="1"/>
  <c r="WXO193" i="3"/>
  <c r="WXM193" i="3"/>
  <c r="WXE193" i="3"/>
  <c r="WXG193" i="3" s="1"/>
  <c r="WWW193" i="3"/>
  <c r="WWY193" i="3" s="1"/>
  <c r="WWQ193" i="3"/>
  <c r="WWO193" i="3"/>
  <c r="WWG193" i="3"/>
  <c r="WWI193" i="3" s="1"/>
  <c r="WWA193" i="3"/>
  <c r="WVY193" i="3"/>
  <c r="WVQ193" i="3"/>
  <c r="WVS193" i="3" s="1"/>
  <c r="WVI193" i="3"/>
  <c r="WVK193" i="3" s="1"/>
  <c r="WVA193" i="3"/>
  <c r="WVC193" i="3" s="1"/>
  <c r="WUU193" i="3"/>
  <c r="WUS193" i="3"/>
  <c r="WUK193" i="3"/>
  <c r="WUM193" i="3" s="1"/>
  <c r="WUC193" i="3"/>
  <c r="WUE193" i="3" s="1"/>
  <c r="WTU193" i="3"/>
  <c r="WTW193" i="3" s="1"/>
  <c r="WTM193" i="3"/>
  <c r="WTO193" i="3" s="1"/>
  <c r="WTE193" i="3"/>
  <c r="WTG193" i="3" s="1"/>
  <c r="WSY193" i="3"/>
  <c r="WSW193" i="3"/>
  <c r="WSQ193" i="3"/>
  <c r="WSO193" i="3"/>
  <c r="WSI193" i="3"/>
  <c r="WSG193" i="3"/>
  <c r="WSA193" i="3"/>
  <c r="WRY193" i="3"/>
  <c r="WRQ193" i="3"/>
  <c r="WRS193" i="3" s="1"/>
  <c r="WRI193" i="3"/>
  <c r="WRK193" i="3" s="1"/>
  <c r="WRA193" i="3"/>
  <c r="WRC193" i="3" s="1"/>
  <c r="WQS193" i="3"/>
  <c r="WQU193" i="3" s="1"/>
  <c r="WQK193" i="3"/>
  <c r="WQM193" i="3" s="1"/>
  <c r="WQE193" i="3"/>
  <c r="WQC193" i="3"/>
  <c r="WPU193" i="3"/>
  <c r="WPW193" i="3" s="1"/>
  <c r="WPO193" i="3"/>
  <c r="WPM193" i="3"/>
  <c r="WPE193" i="3"/>
  <c r="WPG193" i="3" s="1"/>
  <c r="WOW193" i="3"/>
  <c r="WOY193" i="3" s="1"/>
  <c r="WOQ193" i="3"/>
  <c r="WOO193" i="3"/>
  <c r="WOI193" i="3"/>
  <c r="WOG193" i="3"/>
  <c r="WNY193" i="3"/>
  <c r="WOA193" i="3" s="1"/>
  <c r="WNQ193" i="3"/>
  <c r="WNS193" i="3" s="1"/>
  <c r="WNK193" i="3"/>
  <c r="WNI193" i="3"/>
  <c r="WNA193" i="3"/>
  <c r="WNC193" i="3" s="1"/>
  <c r="WMU193" i="3"/>
  <c r="WMS193" i="3"/>
  <c r="WMK193" i="3"/>
  <c r="WMM193" i="3" s="1"/>
  <c r="WMC193" i="3"/>
  <c r="WME193" i="3" s="1"/>
  <c r="WLW193" i="3"/>
  <c r="WLU193" i="3"/>
  <c r="WLM193" i="3"/>
  <c r="WLO193" i="3" s="1"/>
  <c r="WLE193" i="3"/>
  <c r="WLG193" i="3" s="1"/>
  <c r="WKW193" i="3"/>
  <c r="WKY193" i="3" s="1"/>
  <c r="WKQ193" i="3"/>
  <c r="WKO193" i="3"/>
  <c r="WKG193" i="3"/>
  <c r="WKI193" i="3" s="1"/>
  <c r="WJY193" i="3"/>
  <c r="WKA193" i="3" s="1"/>
  <c r="WJQ193" i="3"/>
  <c r="WJS193" i="3" s="1"/>
  <c r="WJI193" i="3"/>
  <c r="WJK193" i="3" s="1"/>
  <c r="WJC193" i="3"/>
  <c r="WJA193" i="3"/>
  <c r="WIS193" i="3"/>
  <c r="WIU193" i="3" s="1"/>
  <c r="WIK193" i="3"/>
  <c r="WIM193" i="3" s="1"/>
  <c r="WIE193" i="3"/>
  <c r="WIC193" i="3"/>
  <c r="WHW193" i="3"/>
  <c r="WHU193" i="3"/>
  <c r="WHO193" i="3"/>
  <c r="WHM193" i="3"/>
  <c r="WHG193" i="3"/>
  <c r="WHE193" i="3"/>
  <c r="WGY193" i="3"/>
  <c r="WGW193" i="3"/>
  <c r="WGO193" i="3"/>
  <c r="WGQ193" i="3" s="1"/>
  <c r="WGG193" i="3"/>
  <c r="WGI193" i="3" s="1"/>
  <c r="WGA193" i="3"/>
  <c r="WFY193" i="3"/>
  <c r="WFQ193" i="3"/>
  <c r="WFS193" i="3" s="1"/>
  <c r="WFI193" i="3"/>
  <c r="WFK193" i="3" s="1"/>
  <c r="WFA193" i="3"/>
  <c r="WFC193" i="3" s="1"/>
  <c r="WES193" i="3"/>
  <c r="WEU193" i="3" s="1"/>
  <c r="WEM193" i="3"/>
  <c r="WEK193" i="3"/>
  <c r="WEC193" i="3"/>
  <c r="WEE193" i="3" s="1"/>
  <c r="WDW193" i="3"/>
  <c r="WDU193" i="3"/>
  <c r="WDM193" i="3"/>
  <c r="WDO193" i="3" s="1"/>
  <c r="WDG193" i="3"/>
  <c r="WDE193" i="3"/>
  <c r="WCW193" i="3"/>
  <c r="WCY193" i="3" s="1"/>
  <c r="WCO193" i="3"/>
  <c r="WCQ193" i="3" s="1"/>
  <c r="WCG193" i="3"/>
  <c r="WCI193" i="3" s="1"/>
  <c r="WBY193" i="3"/>
  <c r="WCA193" i="3" s="1"/>
  <c r="WBQ193" i="3"/>
  <c r="WBS193" i="3" s="1"/>
  <c r="WBI193" i="3"/>
  <c r="WBK193" i="3" s="1"/>
  <c r="WBA193" i="3"/>
  <c r="WBC193" i="3" s="1"/>
  <c r="WAU193" i="3"/>
  <c r="WAS193" i="3"/>
  <c r="WAM193" i="3"/>
  <c r="WAK193" i="3"/>
  <c r="WAE193" i="3"/>
  <c r="WAC193" i="3"/>
  <c r="VZW193" i="3"/>
  <c r="VZU193" i="3"/>
  <c r="VZO193" i="3"/>
  <c r="VZM193" i="3"/>
  <c r="VZE193" i="3"/>
  <c r="VZG193" i="3" s="1"/>
  <c r="VYW193" i="3"/>
  <c r="VYY193" i="3" s="1"/>
  <c r="VYO193" i="3"/>
  <c r="VYQ193" i="3" s="1"/>
  <c r="VYG193" i="3"/>
  <c r="VYI193" i="3" s="1"/>
  <c r="VYA193" i="3"/>
  <c r="VXY193" i="3"/>
  <c r="VXQ193" i="3"/>
  <c r="VXS193" i="3" s="1"/>
  <c r="VXI193" i="3"/>
  <c r="VXK193" i="3" s="1"/>
  <c r="VXC193" i="3"/>
  <c r="VXA193" i="3"/>
  <c r="VWU193" i="3"/>
  <c r="VWS193" i="3"/>
  <c r="VWM193" i="3"/>
  <c r="VWK193" i="3"/>
  <c r="VWE193" i="3"/>
  <c r="VWC193" i="3"/>
  <c r="VVW193" i="3"/>
  <c r="VVU193" i="3"/>
  <c r="VVM193" i="3"/>
  <c r="VVO193" i="3" s="1"/>
  <c r="VVG193" i="3"/>
  <c r="VVE193" i="3"/>
  <c r="VUW193" i="3"/>
  <c r="VUY193" i="3" s="1"/>
  <c r="VUQ193" i="3"/>
  <c r="VUO193" i="3"/>
  <c r="VUG193" i="3"/>
  <c r="VUI193" i="3" s="1"/>
  <c r="VTY193" i="3"/>
  <c r="VUA193" i="3" s="1"/>
  <c r="VTQ193" i="3"/>
  <c r="VTS193" i="3" s="1"/>
  <c r="VTI193" i="3"/>
  <c r="VTK193" i="3" s="1"/>
  <c r="VTC193" i="3"/>
  <c r="VTA193" i="3"/>
  <c r="VSS193" i="3"/>
  <c r="VSU193" i="3" s="1"/>
  <c r="VSM193" i="3"/>
  <c r="VSK193" i="3"/>
  <c r="VSC193" i="3"/>
  <c r="VSE193" i="3" s="1"/>
  <c r="VRU193" i="3"/>
  <c r="VRW193" i="3" s="1"/>
  <c r="VRM193" i="3"/>
  <c r="VRO193" i="3" s="1"/>
  <c r="VRE193" i="3"/>
  <c r="VRG193" i="3" s="1"/>
  <c r="VQY193" i="3"/>
  <c r="VQW193" i="3"/>
  <c r="VQO193" i="3"/>
  <c r="VQQ193" i="3" s="1"/>
  <c r="VQG193" i="3"/>
  <c r="VQI193" i="3" s="1"/>
  <c r="VPY193" i="3"/>
  <c r="VQA193" i="3" s="1"/>
  <c r="VPS193" i="3"/>
  <c r="VPQ193" i="3"/>
  <c r="VPK193" i="3"/>
  <c r="VPI193" i="3"/>
  <c r="VPA193" i="3"/>
  <c r="VPC193" i="3" s="1"/>
  <c r="VOS193" i="3"/>
  <c r="VOU193" i="3" s="1"/>
  <c r="VOM193" i="3"/>
  <c r="VOK193" i="3"/>
  <c r="VOC193" i="3"/>
  <c r="VOE193" i="3" s="1"/>
  <c r="VNW193" i="3"/>
  <c r="VNU193" i="3"/>
  <c r="VNM193" i="3"/>
  <c r="VNO193" i="3" s="1"/>
  <c r="VNE193" i="3"/>
  <c r="VNG193" i="3" s="1"/>
  <c r="VMW193" i="3"/>
  <c r="VMY193" i="3" s="1"/>
  <c r="VMO193" i="3"/>
  <c r="VMQ193" i="3" s="1"/>
  <c r="VMG193" i="3"/>
  <c r="VMI193" i="3" s="1"/>
  <c r="VMA193" i="3"/>
  <c r="VLY193" i="3"/>
  <c r="VLS193" i="3"/>
  <c r="VLQ193" i="3"/>
  <c r="VLI193" i="3"/>
  <c r="VLK193" i="3" s="1"/>
  <c r="VLC193" i="3"/>
  <c r="VLA193" i="3"/>
  <c r="VKU193" i="3"/>
  <c r="VKS193" i="3"/>
  <c r="VKK193" i="3"/>
  <c r="VKM193" i="3" s="1"/>
  <c r="VKC193" i="3"/>
  <c r="VKE193" i="3" s="1"/>
  <c r="VJW193" i="3"/>
  <c r="VJU193" i="3"/>
  <c r="VJM193" i="3"/>
  <c r="VJO193" i="3" s="1"/>
  <c r="VJE193" i="3"/>
  <c r="VJG193" i="3" s="1"/>
  <c r="VIW193" i="3"/>
  <c r="VIY193" i="3" s="1"/>
  <c r="VIO193" i="3"/>
  <c r="VIQ193" i="3" s="1"/>
  <c r="VII193" i="3"/>
  <c r="VIG193" i="3"/>
  <c r="VIA193" i="3"/>
  <c r="VHY193" i="3"/>
  <c r="VHS193" i="3"/>
  <c r="VHQ193" i="3"/>
  <c r="VHK193" i="3"/>
  <c r="VHI193" i="3"/>
  <c r="VHC193" i="3"/>
  <c r="VHA193" i="3"/>
  <c r="VGS193" i="3"/>
  <c r="VGU193" i="3" s="1"/>
  <c r="VGK193" i="3"/>
  <c r="VGM193" i="3" s="1"/>
  <c r="VGC193" i="3"/>
  <c r="VGE193" i="3" s="1"/>
  <c r="VFW193" i="3"/>
  <c r="VFU193" i="3"/>
  <c r="VFM193" i="3"/>
  <c r="VFO193" i="3" s="1"/>
  <c r="VFE193" i="3"/>
  <c r="VFG193" i="3" s="1"/>
  <c r="VEW193" i="3"/>
  <c r="VEY193" i="3" s="1"/>
  <c r="VEQ193" i="3"/>
  <c r="VEO193" i="3"/>
  <c r="VEI193" i="3"/>
  <c r="VEG193" i="3"/>
  <c r="VDY193" i="3"/>
  <c r="VEA193" i="3" s="1"/>
  <c r="VDS193" i="3"/>
  <c r="VDQ193" i="3"/>
  <c r="VDI193" i="3"/>
  <c r="VDK193" i="3" s="1"/>
  <c r="VDA193" i="3"/>
  <c r="VDC193" i="3" s="1"/>
  <c r="VCS193" i="3"/>
  <c r="VCU193" i="3" s="1"/>
  <c r="VCM193" i="3"/>
  <c r="VCK193" i="3"/>
  <c r="VCC193" i="3"/>
  <c r="VCE193" i="3" s="1"/>
  <c r="VBW193" i="3"/>
  <c r="VBU193" i="3"/>
  <c r="VBO193" i="3"/>
  <c r="VBM193" i="3"/>
  <c r="VBE193" i="3"/>
  <c r="VBG193" i="3" s="1"/>
  <c r="VAW193" i="3"/>
  <c r="VAY193" i="3" s="1"/>
  <c r="VAO193" i="3"/>
  <c r="VAQ193" i="3" s="1"/>
  <c r="VAI193" i="3"/>
  <c r="VAG193" i="3"/>
  <c r="UZY193" i="3"/>
  <c r="VAA193" i="3" s="1"/>
  <c r="UZQ193" i="3"/>
  <c r="UZS193" i="3" s="1"/>
  <c r="UZI193" i="3"/>
  <c r="UZK193" i="3" s="1"/>
  <c r="UZC193" i="3"/>
  <c r="UZA193" i="3"/>
  <c r="UYU193" i="3"/>
  <c r="UYS193" i="3"/>
  <c r="UYM193" i="3"/>
  <c r="UYK193" i="3"/>
  <c r="UYC193" i="3"/>
  <c r="UYE193" i="3" s="1"/>
  <c r="UXU193" i="3"/>
  <c r="UXW193" i="3" s="1"/>
  <c r="UXM193" i="3"/>
  <c r="UXO193" i="3" s="1"/>
  <c r="UXG193" i="3"/>
  <c r="UXE193" i="3"/>
  <c r="UWW193" i="3"/>
  <c r="UWY193" i="3" s="1"/>
  <c r="UWQ193" i="3"/>
  <c r="UWO193" i="3"/>
  <c r="UWI193" i="3"/>
  <c r="UWG193" i="3"/>
  <c r="UWA193" i="3"/>
  <c r="UVY193" i="3"/>
  <c r="UVQ193" i="3"/>
  <c r="UVS193" i="3" s="1"/>
  <c r="UVK193" i="3"/>
  <c r="UVI193" i="3"/>
  <c r="UVA193" i="3"/>
  <c r="UVC193" i="3" s="1"/>
  <c r="UUS193" i="3"/>
  <c r="UUU193" i="3" s="1"/>
  <c r="UUK193" i="3"/>
  <c r="UUM193" i="3" s="1"/>
  <c r="UUC193" i="3"/>
  <c r="UUE193" i="3" s="1"/>
  <c r="UTU193" i="3"/>
  <c r="UTW193" i="3" s="1"/>
  <c r="UTM193" i="3"/>
  <c r="UTO193" i="3" s="1"/>
  <c r="UTG193" i="3"/>
  <c r="UTE193" i="3"/>
  <c r="USW193" i="3"/>
  <c r="USY193" i="3" s="1"/>
  <c r="USQ193" i="3"/>
  <c r="USO193" i="3"/>
  <c r="USI193" i="3"/>
  <c r="USG193" i="3"/>
  <c r="URY193" i="3"/>
  <c r="USA193" i="3" s="1"/>
  <c r="URS193" i="3"/>
  <c r="URQ193" i="3"/>
  <c r="URI193" i="3"/>
  <c r="URK193" i="3" s="1"/>
  <c r="URC193" i="3"/>
  <c r="URA193" i="3"/>
  <c r="UQU193" i="3"/>
  <c r="UQS193" i="3"/>
  <c r="UQM193" i="3"/>
  <c r="UQK193" i="3"/>
  <c r="UQC193" i="3"/>
  <c r="UQE193" i="3" s="1"/>
  <c r="UPW193" i="3"/>
  <c r="UPU193" i="3"/>
  <c r="UPM193" i="3"/>
  <c r="UPO193" i="3" s="1"/>
  <c r="UPE193" i="3"/>
  <c r="UPG193" i="3" s="1"/>
  <c r="UOW193" i="3"/>
  <c r="UOY193" i="3" s="1"/>
  <c r="UOQ193" i="3"/>
  <c r="UOO193" i="3"/>
  <c r="UOG193" i="3"/>
  <c r="UOI193" i="3" s="1"/>
  <c r="UNY193" i="3"/>
  <c r="UOA193" i="3" s="1"/>
  <c r="UNS193" i="3"/>
  <c r="UNQ193" i="3"/>
  <c r="UNI193" i="3"/>
  <c r="UNK193" i="3" s="1"/>
  <c r="UNC193" i="3"/>
  <c r="UNA193" i="3"/>
  <c r="UMS193" i="3"/>
  <c r="UMU193" i="3" s="1"/>
  <c r="UMK193" i="3"/>
  <c r="UMM193" i="3" s="1"/>
  <c r="UME193" i="3"/>
  <c r="UMC193" i="3"/>
  <c r="ULW193" i="3"/>
  <c r="ULU193" i="3"/>
  <c r="ULO193" i="3"/>
  <c r="ULM193" i="3"/>
  <c r="ULE193" i="3"/>
  <c r="ULG193" i="3" s="1"/>
  <c r="UKY193" i="3"/>
  <c r="UKW193" i="3"/>
  <c r="UKO193" i="3"/>
  <c r="UKQ193" i="3" s="1"/>
  <c r="UKG193" i="3"/>
  <c r="UKI193" i="3" s="1"/>
  <c r="UJY193" i="3"/>
  <c r="UKA193" i="3" s="1"/>
  <c r="UJS193" i="3"/>
  <c r="UJQ193" i="3"/>
  <c r="UJK193" i="3"/>
  <c r="UJI193" i="3"/>
  <c r="UJA193" i="3"/>
  <c r="UJC193" i="3" s="1"/>
  <c r="UIS193" i="3"/>
  <c r="UIU193" i="3" s="1"/>
  <c r="UIK193" i="3"/>
  <c r="UIM193" i="3" s="1"/>
  <c r="UIE193" i="3"/>
  <c r="UIC193" i="3"/>
  <c r="UHU193" i="3"/>
  <c r="UHW193" i="3" s="1"/>
  <c r="UHO193" i="3"/>
  <c r="UHM193" i="3"/>
  <c r="UHE193" i="3"/>
  <c r="UHG193" i="3" s="1"/>
  <c r="UGW193" i="3"/>
  <c r="UGY193" i="3" s="1"/>
  <c r="UGQ193" i="3"/>
  <c r="UGO193" i="3"/>
  <c r="UGI193" i="3"/>
  <c r="UGG193" i="3"/>
  <c r="UFY193" i="3"/>
  <c r="UGA193" i="3" s="1"/>
  <c r="UFQ193" i="3"/>
  <c r="UFS193" i="3" s="1"/>
  <c r="UFK193" i="3"/>
  <c r="UFI193" i="3"/>
  <c r="UFA193" i="3"/>
  <c r="UFC193" i="3" s="1"/>
  <c r="UEU193" i="3"/>
  <c r="UES193" i="3"/>
  <c r="UEM193" i="3"/>
  <c r="UEK193" i="3"/>
  <c r="UEE193" i="3"/>
  <c r="UEC193" i="3"/>
  <c r="UDW193" i="3"/>
  <c r="UDU193" i="3"/>
  <c r="UDM193" i="3"/>
  <c r="UDO193" i="3" s="1"/>
  <c r="UDE193" i="3"/>
  <c r="UDG193" i="3" s="1"/>
  <c r="UCW193" i="3"/>
  <c r="UCY193" i="3" s="1"/>
  <c r="UCQ193" i="3"/>
  <c r="UCO193" i="3"/>
  <c r="UCG193" i="3"/>
  <c r="UCI193" i="3" s="1"/>
  <c r="UBY193" i="3"/>
  <c r="UCA193" i="3" s="1"/>
  <c r="UBS193" i="3"/>
  <c r="UBQ193" i="3"/>
  <c r="UBI193" i="3"/>
  <c r="UBK193" i="3" s="1"/>
  <c r="UBA193" i="3"/>
  <c r="UBC193" i="3" s="1"/>
  <c r="UAS193" i="3"/>
  <c r="UAU193" i="3" s="1"/>
  <c r="UAM193" i="3"/>
  <c r="UAK193" i="3"/>
  <c r="UAE193" i="3"/>
  <c r="UAC193" i="3"/>
  <c r="TZU193" i="3"/>
  <c r="TZW193" i="3" s="1"/>
  <c r="TZM193" i="3"/>
  <c r="TZO193" i="3" s="1"/>
  <c r="TZG193" i="3"/>
  <c r="TZE193" i="3"/>
  <c r="TYY193" i="3"/>
  <c r="TYW193" i="3"/>
  <c r="TYQ193" i="3"/>
  <c r="TYO193" i="3"/>
  <c r="TYI193" i="3"/>
  <c r="TYG193" i="3"/>
  <c r="TXY193" i="3"/>
  <c r="TYA193" i="3" s="1"/>
  <c r="TXQ193" i="3"/>
  <c r="TXS193" i="3" s="1"/>
  <c r="TXK193" i="3"/>
  <c r="TXI193" i="3"/>
  <c r="TXC193" i="3"/>
  <c r="TXA193" i="3"/>
  <c r="TWU193" i="3"/>
  <c r="TWS193" i="3"/>
  <c r="TWM193" i="3"/>
  <c r="TWK193" i="3"/>
  <c r="TWE193" i="3"/>
  <c r="TWC193" i="3"/>
  <c r="TVU193" i="3"/>
  <c r="TVW193" i="3" s="1"/>
  <c r="TVM193" i="3"/>
  <c r="TVO193" i="3" s="1"/>
  <c r="TVE193" i="3"/>
  <c r="TVG193" i="3" s="1"/>
  <c r="TUY193" i="3"/>
  <c r="TUW193" i="3"/>
  <c r="TUO193" i="3"/>
  <c r="TUQ193" i="3" s="1"/>
  <c r="TUG193" i="3"/>
  <c r="TUI193" i="3" s="1"/>
  <c r="TTY193" i="3"/>
  <c r="TUA193" i="3" s="1"/>
  <c r="TTS193" i="3"/>
  <c r="TTQ193" i="3"/>
  <c r="TTK193" i="3"/>
  <c r="TTI193" i="3"/>
  <c r="TTC193" i="3"/>
  <c r="TTA193" i="3"/>
  <c r="TSU193" i="3"/>
  <c r="TSS193" i="3"/>
  <c r="TSK193" i="3"/>
  <c r="TSM193" i="3" s="1"/>
  <c r="TSC193" i="3"/>
  <c r="TSE193" i="3" s="1"/>
  <c r="TRU193" i="3"/>
  <c r="TRW193" i="3" s="1"/>
  <c r="TRO193" i="3"/>
  <c r="TRM193" i="3"/>
  <c r="TRE193" i="3"/>
  <c r="TRG193" i="3" s="1"/>
  <c r="TQW193" i="3"/>
  <c r="TQY193" i="3" s="1"/>
  <c r="TQO193" i="3"/>
  <c r="TQQ193" i="3" s="1"/>
  <c r="TQG193" i="3"/>
  <c r="TQI193" i="3" s="1"/>
  <c r="TQA193" i="3"/>
  <c r="TPY193" i="3"/>
  <c r="TPQ193" i="3"/>
  <c r="TPS193" i="3" s="1"/>
  <c r="TPK193" i="3"/>
  <c r="TPI193" i="3"/>
  <c r="TPC193" i="3"/>
  <c r="TPA193" i="3"/>
  <c r="TOU193" i="3"/>
  <c r="TOS193" i="3"/>
  <c r="TOK193" i="3"/>
  <c r="TOM193" i="3" s="1"/>
  <c r="TOE193" i="3"/>
  <c r="TOC193" i="3"/>
  <c r="TNU193" i="3"/>
  <c r="TNW193" i="3" s="1"/>
  <c r="TNM193" i="3"/>
  <c r="TNO193" i="3" s="1"/>
  <c r="TNE193" i="3"/>
  <c r="TNG193" i="3" s="1"/>
  <c r="TMY193" i="3"/>
  <c r="TMW193" i="3"/>
  <c r="TMO193" i="3"/>
  <c r="TMQ193" i="3" s="1"/>
  <c r="TMG193" i="3"/>
  <c r="TMI193" i="3" s="1"/>
  <c r="TMA193" i="3"/>
  <c r="TLY193" i="3"/>
  <c r="TLS193" i="3"/>
  <c r="TLQ193" i="3"/>
  <c r="TLK193" i="3"/>
  <c r="TLI193" i="3"/>
  <c r="TLC193" i="3"/>
  <c r="TLA193" i="3"/>
  <c r="TKS193" i="3"/>
  <c r="TKU193" i="3" s="1"/>
  <c r="TKK193" i="3"/>
  <c r="TKM193" i="3" s="1"/>
  <c r="TKC193" i="3"/>
  <c r="TKE193" i="3" s="1"/>
  <c r="TJU193" i="3"/>
  <c r="TJW193" i="3" s="1"/>
  <c r="TJO193" i="3"/>
  <c r="TJM193" i="3"/>
  <c r="TJE193" i="3"/>
  <c r="TJG193" i="3" s="1"/>
  <c r="TIW193" i="3"/>
  <c r="TIY193" i="3" s="1"/>
  <c r="TIQ193" i="3"/>
  <c r="TIO193" i="3"/>
  <c r="TII193" i="3"/>
  <c r="TIG193" i="3"/>
  <c r="TIA193" i="3"/>
  <c r="THY193" i="3"/>
  <c r="THS193" i="3"/>
  <c r="THQ193" i="3"/>
  <c r="THK193" i="3"/>
  <c r="THI193" i="3"/>
  <c r="THA193" i="3"/>
  <c r="THC193" i="3" s="1"/>
  <c r="TGS193" i="3"/>
  <c r="TGU193" i="3" s="1"/>
  <c r="TGK193" i="3"/>
  <c r="TGM193" i="3" s="1"/>
  <c r="TGE193" i="3"/>
  <c r="TGC193" i="3"/>
  <c r="TFU193" i="3"/>
  <c r="TFW193" i="3" s="1"/>
  <c r="TFM193" i="3"/>
  <c r="TFO193" i="3" s="1"/>
  <c r="TFE193" i="3"/>
  <c r="TFG193" i="3" s="1"/>
  <c r="TEY193" i="3"/>
  <c r="TEW193" i="3"/>
  <c r="TEQ193" i="3"/>
  <c r="TEO193" i="3"/>
  <c r="TEI193" i="3"/>
  <c r="TEG193" i="3"/>
  <c r="TEA193" i="3"/>
  <c r="TDY193" i="3"/>
  <c r="TDS193" i="3"/>
  <c r="TDQ193" i="3"/>
  <c r="TDI193" i="3"/>
  <c r="TDK193" i="3" s="1"/>
  <c r="TDA193" i="3"/>
  <c r="TDC193" i="3" s="1"/>
  <c r="TCU193" i="3"/>
  <c r="TCS193" i="3"/>
  <c r="TCK193" i="3"/>
  <c r="TCM193" i="3" s="1"/>
  <c r="TCC193" i="3"/>
  <c r="TCE193" i="3" s="1"/>
  <c r="TBU193" i="3"/>
  <c r="TBW193" i="3" s="1"/>
  <c r="TBM193" i="3"/>
  <c r="TBO193" i="3" s="1"/>
  <c r="TBG193" i="3"/>
  <c r="TBE193" i="3"/>
  <c r="TAW193" i="3"/>
  <c r="TAY193" i="3" s="1"/>
  <c r="TAQ193" i="3"/>
  <c r="TAO193" i="3"/>
  <c r="TAI193" i="3"/>
  <c r="TAG193" i="3"/>
  <c r="TAA193" i="3"/>
  <c r="SZY193" i="3"/>
  <c r="SZQ193" i="3"/>
  <c r="SZS193" i="3" s="1"/>
  <c r="SZK193" i="3"/>
  <c r="SZI193" i="3"/>
  <c r="SZA193" i="3"/>
  <c r="SZC193" i="3" s="1"/>
  <c r="SYS193" i="3"/>
  <c r="SYU193" i="3" s="1"/>
  <c r="SYK193" i="3"/>
  <c r="SYM193" i="3" s="1"/>
  <c r="SYE193" i="3"/>
  <c r="SYC193" i="3"/>
  <c r="SXU193" i="3"/>
  <c r="SXW193" i="3" s="1"/>
  <c r="SXM193" i="3"/>
  <c r="SXO193" i="3" s="1"/>
  <c r="SXG193" i="3"/>
  <c r="SXE193" i="3"/>
  <c r="SWY193" i="3"/>
  <c r="SWW193" i="3"/>
  <c r="SWQ193" i="3"/>
  <c r="SWO193" i="3"/>
  <c r="SWG193" i="3"/>
  <c r="SWI193" i="3" s="1"/>
  <c r="SVY193" i="3"/>
  <c r="SWA193" i="3" s="1"/>
  <c r="SVQ193" i="3"/>
  <c r="SVS193" i="3" s="1"/>
  <c r="SVI193" i="3"/>
  <c r="SVK193" i="3" s="1"/>
  <c r="SVA193" i="3"/>
  <c r="SVC193" i="3" s="1"/>
  <c r="SUU193" i="3"/>
  <c r="SUS193" i="3"/>
  <c r="SUK193" i="3"/>
  <c r="SUM193" i="3" s="1"/>
  <c r="SUC193" i="3"/>
  <c r="SUE193" i="3" s="1"/>
  <c r="STW193" i="3"/>
  <c r="STU193" i="3"/>
  <c r="STO193" i="3"/>
  <c r="STM193" i="3"/>
  <c r="STG193" i="3"/>
  <c r="STE193" i="3"/>
  <c r="SSW193" i="3"/>
  <c r="SSY193" i="3" s="1"/>
  <c r="SSQ193" i="3"/>
  <c r="SSO193" i="3"/>
  <c r="SSG193" i="3"/>
  <c r="SSI193" i="3" s="1"/>
  <c r="SRY193" i="3"/>
  <c r="SSA193" i="3" s="1"/>
  <c r="SRQ193" i="3"/>
  <c r="SRS193" i="3" s="1"/>
  <c r="SRK193" i="3"/>
  <c r="SRI193" i="3"/>
  <c r="SRA193" i="3"/>
  <c r="SRC193" i="3" s="1"/>
  <c r="SQS193" i="3"/>
  <c r="SQU193" i="3" s="1"/>
  <c r="SQK193" i="3"/>
  <c r="SQM193" i="3" s="1"/>
  <c r="SQE193" i="3"/>
  <c r="SQC193" i="3"/>
  <c r="SPW193" i="3"/>
  <c r="SPU193" i="3"/>
  <c r="SPO193" i="3"/>
  <c r="SPM193" i="3"/>
  <c r="SPG193" i="3"/>
  <c r="SPE193" i="3"/>
  <c r="SOW193" i="3"/>
  <c r="SOY193" i="3" s="1"/>
  <c r="SOO193" i="3"/>
  <c r="SOQ193" i="3" s="1"/>
  <c r="SOG193" i="3"/>
  <c r="SOI193" i="3" s="1"/>
  <c r="SOA193" i="3"/>
  <c r="SNY193" i="3"/>
  <c r="SNQ193" i="3"/>
  <c r="SNS193" i="3" s="1"/>
  <c r="SNI193" i="3"/>
  <c r="SNK193" i="3" s="1"/>
  <c r="SNA193" i="3"/>
  <c r="SNC193" i="3" s="1"/>
  <c r="SMS193" i="3"/>
  <c r="SMU193" i="3" s="1"/>
  <c r="SMM193" i="3"/>
  <c r="SMK193" i="3"/>
  <c r="SMC193" i="3"/>
  <c r="SME193" i="3" s="1"/>
  <c r="SLW193" i="3"/>
  <c r="SLU193" i="3"/>
  <c r="SLO193" i="3"/>
  <c r="SLM193" i="3"/>
  <c r="SLG193" i="3"/>
  <c r="SLE193" i="3"/>
  <c r="SKW193" i="3"/>
  <c r="SKY193" i="3" s="1"/>
  <c r="SKQ193" i="3"/>
  <c r="SKO193" i="3"/>
  <c r="SKG193" i="3"/>
  <c r="SKI193" i="3" s="1"/>
  <c r="SJY193" i="3"/>
  <c r="SKA193" i="3" s="1"/>
  <c r="SJQ193" i="3"/>
  <c r="SJS193" i="3" s="1"/>
  <c r="SJK193" i="3"/>
  <c r="SJI193" i="3"/>
  <c r="SJA193" i="3"/>
  <c r="SJC193" i="3" s="1"/>
  <c r="SIS193" i="3"/>
  <c r="SIU193" i="3" s="1"/>
  <c r="SIM193" i="3"/>
  <c r="SIK193" i="3"/>
  <c r="SIE193" i="3"/>
  <c r="SIC193" i="3"/>
  <c r="SHW193" i="3"/>
  <c r="SHU193" i="3"/>
  <c r="SHO193" i="3"/>
  <c r="SHM193" i="3"/>
  <c r="SHE193" i="3"/>
  <c r="SHG193" i="3" s="1"/>
  <c r="SGW193" i="3"/>
  <c r="SGY193" i="3" s="1"/>
  <c r="SGO193" i="3"/>
  <c r="SGQ193" i="3" s="1"/>
  <c r="SGG193" i="3"/>
  <c r="SGI193" i="3" s="1"/>
  <c r="SGA193" i="3"/>
  <c r="SFY193" i="3"/>
  <c r="SFQ193" i="3"/>
  <c r="SFS193" i="3" s="1"/>
  <c r="SFI193" i="3"/>
  <c r="SFK193" i="3" s="1"/>
  <c r="SFC193" i="3"/>
  <c r="SFA193" i="3"/>
  <c r="SEU193" i="3"/>
  <c r="SES193" i="3"/>
  <c r="SEM193" i="3"/>
  <c r="SEK193" i="3"/>
  <c r="SEE193" i="3"/>
  <c r="SEC193" i="3"/>
  <c r="SDW193" i="3"/>
  <c r="SDU193" i="3"/>
  <c r="SDM193" i="3"/>
  <c r="SDO193" i="3" s="1"/>
  <c r="SDE193" i="3"/>
  <c r="SDG193" i="3" s="1"/>
  <c r="SCW193" i="3"/>
  <c r="SCY193" i="3" s="1"/>
  <c r="SCQ193" i="3"/>
  <c r="SCO193" i="3"/>
  <c r="SCG193" i="3"/>
  <c r="SCI193" i="3" s="1"/>
  <c r="SBY193" i="3"/>
  <c r="SCA193" i="3" s="1"/>
  <c r="SBQ193" i="3"/>
  <c r="SBS193" i="3" s="1"/>
  <c r="SBK193" i="3"/>
  <c r="SBI193" i="3"/>
  <c r="SBC193" i="3"/>
  <c r="SBA193" i="3"/>
  <c r="SAU193" i="3"/>
  <c r="SAS193" i="3"/>
  <c r="SAM193" i="3"/>
  <c r="SAK193" i="3"/>
  <c r="SAE193" i="3"/>
  <c r="SAC193" i="3"/>
  <c r="RZU193" i="3"/>
  <c r="RZW193" i="3" s="1"/>
  <c r="RZM193" i="3"/>
  <c r="RZO193" i="3" s="1"/>
  <c r="RZG193" i="3"/>
  <c r="RZE193" i="3"/>
  <c r="RYW193" i="3"/>
  <c r="RYY193" i="3" s="1"/>
  <c r="RYO193" i="3"/>
  <c r="RYQ193" i="3" s="1"/>
  <c r="RYG193" i="3"/>
  <c r="RYI193" i="3" s="1"/>
  <c r="RXY193" i="3"/>
  <c r="RYA193" i="3" s="1"/>
  <c r="RXS193" i="3"/>
  <c r="RXQ193" i="3"/>
  <c r="RXI193" i="3"/>
  <c r="RXK193" i="3" s="1"/>
  <c r="RXC193" i="3"/>
  <c r="RXA193" i="3"/>
  <c r="RWU193" i="3"/>
  <c r="RWS193" i="3"/>
  <c r="RWM193" i="3"/>
  <c r="RWK193" i="3"/>
  <c r="RWC193" i="3"/>
  <c r="RWE193" i="3" s="1"/>
  <c r="RVW193" i="3"/>
  <c r="RVU193" i="3"/>
  <c r="RVM193" i="3"/>
  <c r="RVO193" i="3" s="1"/>
  <c r="RVE193" i="3"/>
  <c r="RVG193" i="3" s="1"/>
  <c r="RUW193" i="3"/>
  <c r="RUY193" i="3" s="1"/>
  <c r="RUQ193" i="3"/>
  <c r="RUO193" i="3"/>
  <c r="RUG193" i="3"/>
  <c r="RUI193" i="3" s="1"/>
  <c r="RTY193" i="3"/>
  <c r="RUA193" i="3" s="1"/>
  <c r="RTS193" i="3"/>
  <c r="RTQ193" i="3"/>
  <c r="RTK193" i="3"/>
  <c r="RTI193" i="3"/>
  <c r="RTC193" i="3"/>
  <c r="RTA193" i="3"/>
  <c r="RSS193" i="3"/>
  <c r="RSU193" i="3" s="1"/>
  <c r="RSK193" i="3"/>
  <c r="RSM193" i="3" s="1"/>
  <c r="RSC193" i="3"/>
  <c r="RSE193" i="3" s="1"/>
  <c r="RRU193" i="3"/>
  <c r="RRW193" i="3" s="1"/>
  <c r="RRM193" i="3"/>
  <c r="RRO193" i="3" s="1"/>
  <c r="RRG193" i="3"/>
  <c r="RRE193" i="3"/>
  <c r="RQW193" i="3"/>
  <c r="RQY193" i="3" s="1"/>
  <c r="RQO193" i="3"/>
  <c r="RQQ193" i="3" s="1"/>
  <c r="RQI193" i="3"/>
  <c r="RQG193" i="3"/>
  <c r="RQA193" i="3"/>
  <c r="RPY193" i="3"/>
  <c r="RPS193" i="3"/>
  <c r="RPQ193" i="3"/>
  <c r="RPI193" i="3"/>
  <c r="RPK193" i="3" s="1"/>
  <c r="RPC193" i="3"/>
  <c r="RPA193" i="3"/>
  <c r="ROS193" i="3"/>
  <c r="ROU193" i="3" s="1"/>
  <c r="ROK193" i="3"/>
  <c r="ROM193" i="3" s="1"/>
  <c r="ROC193" i="3"/>
  <c r="ROE193" i="3" s="1"/>
  <c r="RNW193" i="3"/>
  <c r="RNU193" i="3"/>
  <c r="RNM193" i="3"/>
  <c r="RNO193" i="3" s="1"/>
  <c r="RNE193" i="3"/>
  <c r="RNG193" i="3" s="1"/>
  <c r="RMW193" i="3"/>
  <c r="RMY193" i="3" s="1"/>
  <c r="RMQ193" i="3"/>
  <c r="RMO193" i="3"/>
  <c r="RMI193" i="3"/>
  <c r="RMG193" i="3"/>
  <c r="RLY193" i="3"/>
  <c r="RMA193" i="3" s="1"/>
  <c r="RLS193" i="3"/>
  <c r="RLQ193" i="3"/>
  <c r="RLI193" i="3"/>
  <c r="RLK193" i="3" s="1"/>
  <c r="RLA193" i="3"/>
  <c r="RLC193" i="3" s="1"/>
  <c r="RKS193" i="3"/>
  <c r="RKU193" i="3" s="1"/>
  <c r="RKM193" i="3"/>
  <c r="RKK193" i="3"/>
  <c r="RKC193" i="3"/>
  <c r="RKE193" i="3" s="1"/>
  <c r="RJU193" i="3"/>
  <c r="RJW193" i="3" s="1"/>
  <c r="RJM193" i="3"/>
  <c r="RJO193" i="3" s="1"/>
  <c r="RJE193" i="3"/>
  <c r="RJG193" i="3" s="1"/>
  <c r="RIY193" i="3"/>
  <c r="RIW193" i="3"/>
  <c r="RIQ193" i="3"/>
  <c r="RIO193" i="3"/>
  <c r="RII193" i="3"/>
  <c r="RIG193" i="3"/>
  <c r="RIA193" i="3"/>
  <c r="RHY193" i="3"/>
  <c r="RHQ193" i="3"/>
  <c r="RHS193" i="3" s="1"/>
  <c r="RHI193" i="3"/>
  <c r="RHK193" i="3" s="1"/>
  <c r="RHC193" i="3"/>
  <c r="RHA193" i="3"/>
  <c r="RGS193" i="3"/>
  <c r="RGU193" i="3" s="1"/>
  <c r="RGK193" i="3"/>
  <c r="RGM193" i="3" s="1"/>
  <c r="RGC193" i="3"/>
  <c r="RGE193" i="3" s="1"/>
  <c r="RFW193" i="3"/>
  <c r="RFU193" i="3"/>
  <c r="RFM193" i="3"/>
  <c r="RFO193" i="3" s="1"/>
  <c r="RFE193" i="3"/>
  <c r="RFG193" i="3" s="1"/>
  <c r="REY193" i="3"/>
  <c r="REW193" i="3"/>
  <c r="REO193" i="3"/>
  <c r="REQ193" i="3" s="1"/>
  <c r="REI193" i="3"/>
  <c r="REG193" i="3"/>
  <c r="REA193" i="3"/>
  <c r="RDY193" i="3"/>
  <c r="RDQ193" i="3"/>
  <c r="RDS193" i="3" s="1"/>
  <c r="RDI193" i="3"/>
  <c r="RDK193" i="3" s="1"/>
  <c r="RDC193" i="3"/>
  <c r="RDA193" i="3"/>
  <c r="RCS193" i="3"/>
  <c r="RCU193" i="3" s="1"/>
  <c r="RCK193" i="3"/>
  <c r="RCM193" i="3" s="1"/>
  <c r="RCC193" i="3"/>
  <c r="RCE193" i="3" s="1"/>
  <c r="RBU193" i="3"/>
  <c r="RBW193" i="3" s="1"/>
  <c r="RBO193" i="3"/>
  <c r="RBM193" i="3"/>
  <c r="RBG193" i="3"/>
  <c r="RBE193" i="3"/>
  <c r="RAY193" i="3"/>
  <c r="RAW193" i="3"/>
  <c r="RAQ193" i="3"/>
  <c r="RAO193" i="3"/>
  <c r="RAI193" i="3"/>
  <c r="RAG193" i="3"/>
  <c r="QZY193" i="3"/>
  <c r="RAA193" i="3" s="1"/>
  <c r="QZQ193" i="3"/>
  <c r="QZS193" i="3" s="1"/>
  <c r="QZK193" i="3"/>
  <c r="QZI193" i="3"/>
  <c r="QZA193" i="3"/>
  <c r="QZC193" i="3" s="1"/>
  <c r="QYS193" i="3"/>
  <c r="QYU193" i="3" s="1"/>
  <c r="QYM193" i="3"/>
  <c r="QYK193" i="3"/>
  <c r="QYC193" i="3"/>
  <c r="QYE193" i="3" s="1"/>
  <c r="QXU193" i="3"/>
  <c r="QXW193" i="3" s="1"/>
  <c r="QXM193" i="3"/>
  <c r="QXO193" i="3" s="1"/>
  <c r="QXG193" i="3"/>
  <c r="QXE193" i="3"/>
  <c r="QWY193" i="3"/>
  <c r="QWW193" i="3"/>
  <c r="QWQ193" i="3"/>
  <c r="QWO193" i="3"/>
  <c r="QWG193" i="3"/>
  <c r="QWI193" i="3" s="1"/>
  <c r="QVY193" i="3"/>
  <c r="QWA193" i="3" s="1"/>
  <c r="QVQ193" i="3"/>
  <c r="QVS193" i="3" s="1"/>
  <c r="QVI193" i="3"/>
  <c r="QVK193" i="3" s="1"/>
  <c r="QVC193" i="3"/>
  <c r="QVA193" i="3"/>
  <c r="QUS193" i="3"/>
  <c r="QUU193" i="3" s="1"/>
  <c r="QUK193" i="3"/>
  <c r="QUM193" i="3" s="1"/>
  <c r="QUE193" i="3"/>
  <c r="QUC193" i="3"/>
  <c r="QTW193" i="3"/>
  <c r="QTU193" i="3"/>
  <c r="QTM193" i="3"/>
  <c r="QTO193" i="3" s="1"/>
  <c r="QTE193" i="3"/>
  <c r="QTG193" i="3" s="1"/>
  <c r="QSY193" i="3"/>
  <c r="QSW193" i="3"/>
  <c r="QSO193" i="3"/>
  <c r="QSQ193" i="3" s="1"/>
  <c r="QSG193" i="3"/>
  <c r="QSI193" i="3" s="1"/>
  <c r="QRY193" i="3"/>
  <c r="QSA193" i="3" s="1"/>
  <c r="QRS193" i="3"/>
  <c r="QRQ193" i="3"/>
  <c r="QRI193" i="3"/>
  <c r="QRK193" i="3" s="1"/>
  <c r="QRC193" i="3"/>
  <c r="QRA193" i="3"/>
  <c r="QQS193" i="3"/>
  <c r="QQU193" i="3" s="1"/>
  <c r="QQM193" i="3"/>
  <c r="QQK193" i="3"/>
  <c r="QQE193" i="3"/>
  <c r="QQC193" i="3"/>
  <c r="QPW193" i="3"/>
  <c r="QPU193" i="3"/>
  <c r="QPM193" i="3"/>
  <c r="QPO193" i="3" s="1"/>
  <c r="QPG193" i="3"/>
  <c r="QPE193" i="3"/>
  <c r="QOW193" i="3"/>
  <c r="QOY193" i="3" s="1"/>
  <c r="QOO193" i="3"/>
  <c r="QOQ193" i="3" s="1"/>
  <c r="QOI193" i="3"/>
  <c r="QOG193" i="3"/>
  <c r="QNY193" i="3"/>
  <c r="QOA193" i="3" s="1"/>
  <c r="QNS193" i="3"/>
  <c r="QNQ193" i="3"/>
  <c r="QNK193" i="3"/>
  <c r="QNI193" i="3"/>
  <c r="QNA193" i="3"/>
  <c r="QNC193" i="3" s="1"/>
  <c r="QMU193" i="3"/>
  <c r="QMS193" i="3"/>
  <c r="QMM193" i="3"/>
  <c r="QMK193" i="3"/>
  <c r="QME193" i="3"/>
  <c r="QMC193" i="3"/>
  <c r="QLU193" i="3"/>
  <c r="QLW193" i="3" s="1"/>
  <c r="QLO193" i="3"/>
  <c r="QLM193" i="3"/>
  <c r="QLE193" i="3"/>
  <c r="QLG193" i="3" s="1"/>
  <c r="QKW193" i="3"/>
  <c r="QKY193" i="3" s="1"/>
  <c r="QKO193" i="3"/>
  <c r="QKQ193" i="3" s="1"/>
  <c r="QKI193" i="3"/>
  <c r="QKG193" i="3"/>
  <c r="QJY193" i="3"/>
  <c r="QKA193" i="3" s="1"/>
  <c r="QJQ193" i="3"/>
  <c r="QJS193" i="3" s="1"/>
  <c r="QJI193" i="3"/>
  <c r="QJK193" i="3" s="1"/>
  <c r="QJC193" i="3"/>
  <c r="QJA193" i="3"/>
  <c r="QIU193" i="3"/>
  <c r="QIS193" i="3"/>
  <c r="QIM193" i="3"/>
  <c r="QIK193" i="3"/>
  <c r="QIE193" i="3"/>
  <c r="QIC193" i="3"/>
  <c r="QHW193" i="3"/>
  <c r="QHU193" i="3"/>
  <c r="QHM193" i="3"/>
  <c r="QHO193" i="3" s="1"/>
  <c r="QHE193" i="3"/>
  <c r="QHG193" i="3" s="1"/>
  <c r="QGY193" i="3"/>
  <c r="QGW193" i="3"/>
  <c r="QGO193" i="3"/>
  <c r="QGQ193" i="3" s="1"/>
  <c r="QGI193" i="3"/>
  <c r="QGG193" i="3"/>
  <c r="QFY193" i="3"/>
  <c r="QGA193" i="3" s="1"/>
  <c r="QFQ193" i="3"/>
  <c r="QFS193" i="3" s="1"/>
  <c r="QFK193" i="3"/>
  <c r="QFI193" i="3"/>
  <c r="QFA193" i="3"/>
  <c r="QFC193" i="3" s="1"/>
  <c r="QEU193" i="3"/>
  <c r="QES193" i="3"/>
  <c r="QEK193" i="3"/>
  <c r="QEM193" i="3" s="1"/>
  <c r="QEE193" i="3"/>
  <c r="QEC193" i="3"/>
  <c r="QDU193" i="3"/>
  <c r="QDW193" i="3" s="1"/>
  <c r="QDO193" i="3"/>
  <c r="QDM193" i="3"/>
  <c r="QDE193" i="3"/>
  <c r="QDG193" i="3" s="1"/>
  <c r="QCW193" i="3"/>
  <c r="QCY193" i="3" s="1"/>
  <c r="QCO193" i="3"/>
  <c r="QCQ193" i="3" s="1"/>
  <c r="QCG193" i="3"/>
  <c r="QCI193" i="3" s="1"/>
  <c r="QBY193" i="3"/>
  <c r="QCA193" i="3" s="1"/>
  <c r="QBQ193" i="3"/>
  <c r="QBS193" i="3" s="1"/>
  <c r="QBK193" i="3"/>
  <c r="QBI193" i="3"/>
  <c r="QBA193" i="3"/>
  <c r="QBC193" i="3" s="1"/>
  <c r="QAU193" i="3"/>
  <c r="QAS193" i="3"/>
  <c r="QAM193" i="3"/>
  <c r="QAK193" i="3"/>
  <c r="QAC193" i="3"/>
  <c r="QAE193" i="3" s="1"/>
  <c r="PZU193" i="3"/>
  <c r="PZW193" i="3" s="1"/>
  <c r="PZM193" i="3"/>
  <c r="PZO193" i="3" s="1"/>
  <c r="PZG193" i="3"/>
  <c r="PZE193" i="3"/>
  <c r="PYW193" i="3"/>
  <c r="PYY193" i="3" s="1"/>
  <c r="PYO193" i="3"/>
  <c r="PYQ193" i="3" s="1"/>
  <c r="PYG193" i="3"/>
  <c r="PYI193" i="3" s="1"/>
  <c r="PYA193" i="3"/>
  <c r="PXY193" i="3"/>
  <c r="PXQ193" i="3"/>
  <c r="PXS193" i="3" s="1"/>
  <c r="PXK193" i="3"/>
  <c r="PXI193" i="3"/>
  <c r="PXC193" i="3"/>
  <c r="PXA193" i="3"/>
  <c r="PWU193" i="3"/>
  <c r="PWS193" i="3"/>
  <c r="PWK193" i="3"/>
  <c r="PWM193" i="3" s="1"/>
  <c r="PWE193" i="3"/>
  <c r="PWC193" i="3"/>
  <c r="PVU193" i="3"/>
  <c r="PVW193" i="3" s="1"/>
  <c r="PVM193" i="3"/>
  <c r="PVO193" i="3" s="1"/>
  <c r="PVG193" i="3"/>
  <c r="PVE193" i="3"/>
  <c r="PUY193" i="3"/>
  <c r="PUW193" i="3"/>
  <c r="PUO193" i="3"/>
  <c r="PUQ193" i="3" s="1"/>
  <c r="PUI193" i="3"/>
  <c r="PUG193" i="3"/>
  <c r="PUA193" i="3"/>
  <c r="PTY193" i="3"/>
  <c r="PTQ193" i="3"/>
  <c r="PTS193" i="3" s="1"/>
  <c r="PTK193" i="3"/>
  <c r="PTI193" i="3"/>
  <c r="PTC193" i="3"/>
  <c r="PTA193" i="3"/>
  <c r="PSS193" i="3"/>
  <c r="PSU193" i="3" s="1"/>
  <c r="PSK193" i="3"/>
  <c r="PSM193" i="3" s="1"/>
  <c r="PSC193" i="3"/>
  <c r="PSE193" i="3" s="1"/>
  <c r="PRU193" i="3"/>
  <c r="PRW193" i="3" s="1"/>
  <c r="PRO193" i="3"/>
  <c r="PRM193" i="3"/>
  <c r="PRE193" i="3"/>
  <c r="PRG193" i="3" s="1"/>
  <c r="PQW193" i="3"/>
  <c r="PQY193" i="3" s="1"/>
  <c r="PQQ193" i="3"/>
  <c r="PQO193" i="3"/>
  <c r="PQI193" i="3"/>
  <c r="PQG193" i="3"/>
  <c r="PQA193" i="3"/>
  <c r="PPY193" i="3"/>
  <c r="PPS193" i="3"/>
  <c r="PPQ193" i="3"/>
  <c r="PPI193" i="3"/>
  <c r="PPK193" i="3" s="1"/>
  <c r="PPA193" i="3"/>
  <c r="PPC193" i="3" s="1"/>
  <c r="POS193" i="3"/>
  <c r="POU193" i="3" s="1"/>
  <c r="POK193" i="3"/>
  <c r="POM193" i="3" s="1"/>
  <c r="POE193" i="3"/>
  <c r="POC193" i="3"/>
  <c r="PNU193" i="3"/>
  <c r="PNW193" i="3" s="1"/>
  <c r="PNM193" i="3"/>
  <c r="PNO193" i="3" s="1"/>
  <c r="PNE193" i="3"/>
  <c r="PNG193" i="3" s="1"/>
  <c r="PMW193" i="3"/>
  <c r="PMY193" i="3" s="1"/>
  <c r="PMQ193" i="3"/>
  <c r="PMO193" i="3"/>
  <c r="PMG193" i="3"/>
  <c r="PMI193" i="3" s="1"/>
  <c r="PMA193" i="3"/>
  <c r="PLY193" i="3"/>
  <c r="PLS193" i="3"/>
  <c r="PLQ193" i="3"/>
  <c r="PLI193" i="3"/>
  <c r="PLK193" i="3" s="1"/>
  <c r="PLC193" i="3"/>
  <c r="PLA193" i="3"/>
  <c r="PKS193" i="3"/>
  <c r="PKU193" i="3" s="1"/>
  <c r="PKK193" i="3"/>
  <c r="PKM193" i="3" s="1"/>
  <c r="PKC193" i="3"/>
  <c r="PKE193" i="3" s="1"/>
  <c r="PJU193" i="3"/>
  <c r="PJW193" i="3" s="1"/>
  <c r="PJM193" i="3"/>
  <c r="PJO193" i="3" s="1"/>
  <c r="PJG193" i="3"/>
  <c r="PJE193" i="3"/>
  <c r="PIY193" i="3"/>
  <c r="PIW193" i="3"/>
  <c r="PIQ193" i="3"/>
  <c r="PIO193" i="3"/>
  <c r="PIG193" i="3"/>
  <c r="PII193" i="3" s="1"/>
  <c r="PIA193" i="3"/>
  <c r="PHY193" i="3"/>
  <c r="PHQ193" i="3"/>
  <c r="PHS193" i="3" s="1"/>
  <c r="PHI193" i="3"/>
  <c r="PHK193" i="3" s="1"/>
  <c r="PHC193" i="3"/>
  <c r="PHA193" i="3"/>
  <c r="PGU193" i="3"/>
  <c r="PGS193" i="3"/>
  <c r="PGK193" i="3"/>
  <c r="PGM193" i="3" s="1"/>
  <c r="PGE193" i="3"/>
  <c r="PGC193" i="3"/>
  <c r="PFU193" i="3"/>
  <c r="PFW193" i="3" s="1"/>
  <c r="PFM193" i="3"/>
  <c r="PFO193" i="3" s="1"/>
  <c r="PFE193" i="3"/>
  <c r="PFG193" i="3" s="1"/>
  <c r="PEW193" i="3"/>
  <c r="PEY193" i="3" s="1"/>
  <c r="PEQ193" i="3"/>
  <c r="PEO193" i="3"/>
  <c r="PEG193" i="3"/>
  <c r="PEI193" i="3" s="1"/>
  <c r="PDY193" i="3"/>
  <c r="PEA193" i="3" s="1"/>
  <c r="PDQ193" i="3"/>
  <c r="PDS193" i="3" s="1"/>
  <c r="PDI193" i="3"/>
  <c r="PDK193" i="3" s="1"/>
  <c r="PDA193" i="3"/>
  <c r="PDC193" i="3" s="1"/>
  <c r="PCS193" i="3"/>
  <c r="PCU193" i="3" s="1"/>
  <c r="PCK193" i="3"/>
  <c r="PCM193" i="3" s="1"/>
  <c r="PCC193" i="3"/>
  <c r="PCE193" i="3" s="1"/>
  <c r="PBW193" i="3"/>
  <c r="PBU193" i="3"/>
  <c r="PBM193" i="3"/>
  <c r="PBO193" i="3" s="1"/>
  <c r="PBE193" i="3"/>
  <c r="PBG193" i="3" s="1"/>
  <c r="PAW193" i="3"/>
  <c r="PAY193" i="3" s="1"/>
  <c r="PAQ193" i="3"/>
  <c r="PAO193" i="3"/>
  <c r="PAG193" i="3"/>
  <c r="PAI193" i="3" s="1"/>
  <c r="OZY193" i="3"/>
  <c r="PAA193" i="3" s="1"/>
  <c r="OZQ193" i="3"/>
  <c r="OZS193" i="3" s="1"/>
  <c r="OZK193" i="3"/>
  <c r="OZI193" i="3"/>
  <c r="OZA193" i="3"/>
  <c r="OZC193" i="3" s="1"/>
  <c r="OYS193" i="3"/>
  <c r="OYU193" i="3" s="1"/>
  <c r="OYK193" i="3"/>
  <c r="OYM193" i="3" s="1"/>
  <c r="OYE193" i="3"/>
  <c r="OYC193" i="3"/>
  <c r="OXW193" i="3"/>
  <c r="OXU193" i="3"/>
  <c r="OXM193" i="3"/>
  <c r="OXO193" i="3" s="1"/>
  <c r="OXG193" i="3"/>
  <c r="OXE193" i="3"/>
  <c r="OWY193" i="3"/>
  <c r="OWW193" i="3"/>
  <c r="OWO193" i="3"/>
  <c r="OWQ193" i="3" s="1"/>
  <c r="OWG193" i="3"/>
  <c r="OWI193" i="3" s="1"/>
  <c r="OWA193" i="3"/>
  <c r="OVY193" i="3"/>
  <c r="OVQ193" i="3"/>
  <c r="OVS193" i="3" s="1"/>
  <c r="OVI193" i="3"/>
  <c r="OVK193" i="3" s="1"/>
  <c r="OVA193" i="3"/>
  <c r="OVC193" i="3" s="1"/>
  <c r="OUS193" i="3"/>
  <c r="OUU193" i="3" s="1"/>
  <c r="OUM193" i="3"/>
  <c r="OUK193" i="3"/>
  <c r="OUC193" i="3"/>
  <c r="OUE193" i="3" s="1"/>
  <c r="OTW193" i="3"/>
  <c r="OTU193" i="3"/>
  <c r="OTM193" i="3"/>
  <c r="OTO193" i="3" s="1"/>
  <c r="OTE193" i="3"/>
  <c r="OTG193" i="3" s="1"/>
  <c r="OSW193" i="3"/>
  <c r="OSY193" i="3" s="1"/>
  <c r="OSQ193" i="3"/>
  <c r="OSO193" i="3"/>
  <c r="OSG193" i="3"/>
  <c r="OSI193" i="3" s="1"/>
  <c r="ORY193" i="3"/>
  <c r="OSA193" i="3" s="1"/>
  <c r="ORQ193" i="3"/>
  <c r="ORS193" i="3" s="1"/>
  <c r="ORK193" i="3"/>
  <c r="ORI193" i="3"/>
  <c r="ORA193" i="3"/>
  <c r="ORC193" i="3" s="1"/>
  <c r="OQS193" i="3"/>
  <c r="OQU193" i="3" s="1"/>
  <c r="OQM193" i="3"/>
  <c r="OQK193" i="3"/>
  <c r="OQE193" i="3"/>
  <c r="OQC193" i="3"/>
  <c r="OPW193" i="3"/>
  <c r="OPU193" i="3"/>
  <c r="OPO193" i="3"/>
  <c r="OPM193" i="3"/>
  <c r="OPE193" i="3"/>
  <c r="OPG193" i="3" s="1"/>
  <c r="OOW193" i="3"/>
  <c r="OOY193" i="3" s="1"/>
  <c r="OOO193" i="3"/>
  <c r="OOQ193" i="3" s="1"/>
  <c r="OOG193" i="3"/>
  <c r="OOI193" i="3" s="1"/>
  <c r="OOA193" i="3"/>
  <c r="ONY193" i="3"/>
  <c r="ONQ193" i="3"/>
  <c r="ONS193" i="3" s="1"/>
  <c r="ONI193" i="3"/>
  <c r="ONK193" i="3" s="1"/>
  <c r="ONC193" i="3"/>
  <c r="ONA193" i="3"/>
  <c r="OMS193" i="3"/>
  <c r="OMU193" i="3" s="1"/>
  <c r="OMM193" i="3"/>
  <c r="OMK193" i="3"/>
  <c r="OMC193" i="3"/>
  <c r="OME193" i="3" s="1"/>
  <c r="OLW193" i="3"/>
  <c r="OLU193" i="3"/>
  <c r="OLM193" i="3"/>
  <c r="OLO193" i="3" s="1"/>
  <c r="OLE193" i="3"/>
  <c r="OLG193" i="3" s="1"/>
  <c r="OKY193" i="3"/>
  <c r="OKW193" i="3"/>
  <c r="OKO193" i="3"/>
  <c r="OKQ193" i="3" s="1"/>
  <c r="OKG193" i="3"/>
  <c r="OKI193" i="3" s="1"/>
  <c r="OKA193" i="3"/>
  <c r="OJY193" i="3"/>
  <c r="OJQ193" i="3"/>
  <c r="OJS193" i="3" s="1"/>
  <c r="OJI193" i="3"/>
  <c r="OJK193" i="3" s="1"/>
  <c r="OJC193" i="3"/>
  <c r="OJA193" i="3"/>
  <c r="OIU193" i="3"/>
  <c r="OIS193" i="3"/>
  <c r="OIM193" i="3"/>
  <c r="OIK193" i="3"/>
  <c r="OIE193" i="3"/>
  <c r="OIC193" i="3"/>
  <c r="OHU193" i="3"/>
  <c r="OHW193" i="3" s="1"/>
  <c r="OHM193" i="3"/>
  <c r="OHO193" i="3" s="1"/>
  <c r="OHE193" i="3"/>
  <c r="OHG193" i="3" s="1"/>
  <c r="OGW193" i="3"/>
  <c r="OGY193" i="3" s="1"/>
  <c r="OGQ193" i="3"/>
  <c r="OGO193" i="3"/>
  <c r="OGG193" i="3"/>
  <c r="OGI193" i="3" s="1"/>
  <c r="OFY193" i="3"/>
  <c r="OGA193" i="3" s="1"/>
  <c r="OFS193" i="3"/>
  <c r="OFQ193" i="3"/>
  <c r="OFK193" i="3"/>
  <c r="OFI193" i="3"/>
  <c r="OFA193" i="3"/>
  <c r="OFC193" i="3" s="1"/>
  <c r="OEU193" i="3"/>
  <c r="OES193" i="3"/>
  <c r="OEM193" i="3"/>
  <c r="OEK193" i="3"/>
  <c r="OEC193" i="3"/>
  <c r="OEE193" i="3" s="1"/>
  <c r="ODU193" i="3"/>
  <c r="ODW193" i="3" s="1"/>
  <c r="ODM193" i="3"/>
  <c r="ODO193" i="3" s="1"/>
  <c r="ODG193" i="3"/>
  <c r="ODE193" i="3"/>
  <c r="OCW193" i="3"/>
  <c r="OCY193" i="3" s="1"/>
  <c r="OCO193" i="3"/>
  <c r="OCQ193" i="3" s="1"/>
  <c r="OCG193" i="3"/>
  <c r="OCI193" i="3" s="1"/>
  <c r="OBY193" i="3"/>
  <c r="OCA193" i="3" s="1"/>
  <c r="OBS193" i="3"/>
  <c r="OBQ193" i="3"/>
  <c r="OBI193" i="3"/>
  <c r="OBK193" i="3" s="1"/>
  <c r="OBC193" i="3"/>
  <c r="OBA193" i="3"/>
  <c r="OAU193" i="3"/>
  <c r="OAS193" i="3"/>
  <c r="OAK193" i="3"/>
  <c r="OAM193" i="3" s="1"/>
  <c r="OAC193" i="3"/>
  <c r="OAE193" i="3" s="1"/>
  <c r="NZU193" i="3"/>
  <c r="NZW193" i="3" s="1"/>
  <c r="NZM193" i="3"/>
  <c r="NZO193" i="3" s="1"/>
  <c r="NZG193" i="3"/>
  <c r="NZE193" i="3"/>
  <c r="NYW193" i="3"/>
  <c r="NYY193" i="3" s="1"/>
  <c r="NYO193" i="3"/>
  <c r="NYQ193" i="3" s="1"/>
  <c r="NYI193" i="3"/>
  <c r="NYG193" i="3"/>
  <c r="NYA193" i="3"/>
  <c r="NXY193" i="3"/>
  <c r="NXS193" i="3"/>
  <c r="NXQ193" i="3"/>
  <c r="NXK193" i="3"/>
  <c r="NXI193" i="3"/>
  <c r="NXA193" i="3"/>
  <c r="NXC193" i="3" s="1"/>
  <c r="NWS193" i="3"/>
  <c r="NWU193" i="3" s="1"/>
  <c r="NWK193" i="3"/>
  <c r="NWM193" i="3" s="1"/>
  <c r="NWC193" i="3"/>
  <c r="NWE193" i="3" s="1"/>
  <c r="NVW193" i="3"/>
  <c r="NVU193" i="3"/>
  <c r="NVM193" i="3"/>
  <c r="NVO193" i="3" s="1"/>
  <c r="NVE193" i="3"/>
  <c r="NVG193" i="3" s="1"/>
  <c r="NUW193" i="3"/>
  <c r="NUY193" i="3" s="1"/>
  <c r="NUQ193" i="3"/>
  <c r="NUO193" i="3"/>
  <c r="NUI193" i="3"/>
  <c r="NUG193" i="3"/>
  <c r="NTY193" i="3"/>
  <c r="NUA193" i="3" s="1"/>
  <c r="NTS193" i="3"/>
  <c r="NTQ193" i="3"/>
  <c r="NTI193" i="3"/>
  <c r="NTK193" i="3" s="1"/>
  <c r="NTA193" i="3"/>
  <c r="NTC193" i="3" s="1"/>
  <c r="NSU193" i="3"/>
  <c r="NSS193" i="3"/>
  <c r="NSM193" i="3"/>
  <c r="NSK193" i="3"/>
  <c r="NSC193" i="3"/>
  <c r="NSE193" i="3" s="1"/>
  <c r="NRU193" i="3"/>
  <c r="NRW193" i="3" s="1"/>
  <c r="NRM193" i="3"/>
  <c r="NRO193" i="3" s="1"/>
  <c r="NRE193" i="3"/>
  <c r="NRG193" i="3" s="1"/>
  <c r="NQW193" i="3"/>
  <c r="NQY193" i="3" s="1"/>
  <c r="NQQ193" i="3"/>
  <c r="NQO193" i="3"/>
  <c r="NQI193" i="3"/>
  <c r="NQG193" i="3"/>
  <c r="NQA193" i="3"/>
  <c r="NPY193" i="3"/>
  <c r="NPS193" i="3"/>
  <c r="NPQ193" i="3"/>
  <c r="NPI193" i="3"/>
  <c r="NPK193" i="3" s="1"/>
  <c r="NPC193" i="3"/>
  <c r="NPA193" i="3"/>
  <c r="NOS193" i="3"/>
  <c r="NOU193" i="3" s="1"/>
  <c r="NOM193" i="3"/>
  <c r="NOK193" i="3"/>
  <c r="NOC193" i="3"/>
  <c r="NOE193" i="3" s="1"/>
  <c r="NNW193" i="3"/>
  <c r="NNU193" i="3"/>
  <c r="NNM193" i="3"/>
  <c r="NNO193" i="3" s="1"/>
  <c r="NNE193" i="3"/>
  <c r="NNG193" i="3" s="1"/>
  <c r="NMY193" i="3"/>
  <c r="NMW193" i="3"/>
  <c r="NMO193" i="3"/>
  <c r="NMQ193" i="3" s="1"/>
  <c r="NMI193" i="3"/>
  <c r="NMG193" i="3"/>
  <c r="NLY193" i="3"/>
  <c r="NMA193" i="3" s="1"/>
  <c r="NLQ193" i="3"/>
  <c r="NLS193" i="3" s="1"/>
  <c r="NLI193" i="3"/>
  <c r="NLK193" i="3" s="1"/>
  <c r="NLC193" i="3"/>
  <c r="NLA193" i="3"/>
  <c r="NKU193" i="3"/>
  <c r="NKS193" i="3"/>
  <c r="NKK193" i="3"/>
  <c r="NKM193" i="3" s="1"/>
  <c r="NKC193" i="3"/>
  <c r="NKE193" i="3" s="1"/>
  <c r="NJU193" i="3"/>
  <c r="NJW193" i="3" s="1"/>
  <c r="NJO193" i="3"/>
  <c r="NJM193" i="3"/>
  <c r="NJE193" i="3"/>
  <c r="NJG193" i="3" s="1"/>
  <c r="NIW193" i="3"/>
  <c r="NIY193" i="3" s="1"/>
  <c r="NIQ193" i="3"/>
  <c r="NIO193" i="3"/>
  <c r="NII193" i="3"/>
  <c r="NIG193" i="3"/>
  <c r="NHY193" i="3"/>
  <c r="NIA193" i="3" s="1"/>
  <c r="NHS193" i="3"/>
  <c r="NHQ193" i="3"/>
  <c r="NHI193" i="3"/>
  <c r="NHK193" i="3" s="1"/>
  <c r="NHA193" i="3"/>
  <c r="NHC193" i="3" s="1"/>
  <c r="NGU193" i="3"/>
  <c r="NGS193" i="3"/>
  <c r="NGM193" i="3"/>
  <c r="NGK193" i="3"/>
  <c r="NGC193" i="3"/>
  <c r="NGE193" i="3" s="1"/>
  <c r="NFU193" i="3"/>
  <c r="NFW193" i="3" s="1"/>
  <c r="NFO193" i="3"/>
  <c r="NFM193" i="3"/>
  <c r="NFG193" i="3"/>
  <c r="NFE193" i="3"/>
  <c r="NEW193" i="3"/>
  <c r="NEY193" i="3" s="1"/>
  <c r="NEQ193" i="3"/>
  <c r="NEO193" i="3"/>
  <c r="NEG193" i="3"/>
  <c r="NEI193" i="3" s="1"/>
  <c r="NDY193" i="3"/>
  <c r="NEA193" i="3" s="1"/>
  <c r="NDQ193" i="3"/>
  <c r="NDS193" i="3" s="1"/>
  <c r="NDI193" i="3"/>
  <c r="NDK193" i="3" s="1"/>
  <c r="NDC193" i="3"/>
  <c r="NDA193" i="3"/>
  <c r="NCS193" i="3"/>
  <c r="NCU193" i="3" s="1"/>
  <c r="NCK193" i="3"/>
  <c r="NCM193" i="3" s="1"/>
  <c r="NCE193" i="3"/>
  <c r="NCC193" i="3"/>
  <c r="NBU193" i="3"/>
  <c r="NBW193" i="3" s="1"/>
  <c r="NBO193" i="3"/>
  <c r="NBM193" i="3"/>
  <c r="NBE193" i="3"/>
  <c r="NBG193" i="3" s="1"/>
  <c r="NAY193" i="3"/>
  <c r="NAW193" i="3"/>
  <c r="NAO193" i="3"/>
  <c r="NAQ193" i="3" s="1"/>
  <c r="NAI193" i="3"/>
  <c r="NAG193" i="3"/>
  <c r="MZY193" i="3"/>
  <c r="NAA193" i="3" s="1"/>
  <c r="MZQ193" i="3"/>
  <c r="MZS193" i="3" s="1"/>
  <c r="MZI193" i="3"/>
  <c r="MZK193" i="3" s="1"/>
  <c r="MZC193" i="3"/>
  <c r="MZA193" i="3"/>
  <c r="MYS193" i="3"/>
  <c r="MYU193" i="3" s="1"/>
  <c r="MYM193" i="3"/>
  <c r="MYK193" i="3"/>
  <c r="MYE193" i="3"/>
  <c r="MYC193" i="3"/>
  <c r="MXW193" i="3"/>
  <c r="MXU193" i="3"/>
  <c r="MXO193" i="3"/>
  <c r="MXM193" i="3"/>
  <c r="MXG193" i="3"/>
  <c r="MXE193" i="3"/>
  <c r="MWW193" i="3"/>
  <c r="MWY193" i="3" s="1"/>
  <c r="MWO193" i="3"/>
  <c r="MWQ193" i="3" s="1"/>
  <c r="MWG193" i="3"/>
  <c r="MWI193" i="3" s="1"/>
  <c r="MVY193" i="3"/>
  <c r="MWA193" i="3" s="1"/>
  <c r="MVS193" i="3"/>
  <c r="MVQ193" i="3"/>
  <c r="MVI193" i="3"/>
  <c r="MVK193" i="3" s="1"/>
  <c r="MVA193" i="3"/>
  <c r="MVC193" i="3" s="1"/>
  <c r="MUS193" i="3"/>
  <c r="MUU193" i="3" s="1"/>
  <c r="MUM193" i="3"/>
  <c r="MUK193" i="3"/>
  <c r="MUE193" i="3"/>
  <c r="MUC193" i="3"/>
  <c r="MTW193" i="3"/>
  <c r="MTU193" i="3"/>
  <c r="MTO193" i="3"/>
  <c r="MTM193" i="3"/>
  <c r="MTE193" i="3"/>
  <c r="MTG193" i="3" s="1"/>
  <c r="MSW193" i="3"/>
  <c r="MSY193" i="3" s="1"/>
  <c r="MSO193" i="3"/>
  <c r="MSQ193" i="3" s="1"/>
  <c r="MSI193" i="3"/>
  <c r="MSG193" i="3"/>
  <c r="MRY193" i="3"/>
  <c r="MSA193" i="3" s="1"/>
  <c r="MRQ193" i="3"/>
  <c r="MRS193" i="3" s="1"/>
  <c r="MRI193" i="3"/>
  <c r="MRK193" i="3" s="1"/>
  <c r="MRC193" i="3"/>
  <c r="MRA193" i="3"/>
  <c r="MQS193" i="3"/>
  <c r="MQU193" i="3" s="1"/>
  <c r="MQM193" i="3"/>
  <c r="MQK193" i="3"/>
  <c r="MQE193" i="3"/>
  <c r="MQC193" i="3"/>
  <c r="MPU193" i="3"/>
  <c r="MPW193" i="3" s="1"/>
  <c r="MPM193" i="3"/>
  <c r="MPO193" i="3" s="1"/>
  <c r="MPE193" i="3"/>
  <c r="MPG193" i="3" s="1"/>
  <c r="MOY193" i="3"/>
  <c r="MOW193" i="3"/>
  <c r="MOO193" i="3"/>
  <c r="MOQ193" i="3" s="1"/>
  <c r="MOI193" i="3"/>
  <c r="MOG193" i="3"/>
  <c r="MNY193" i="3"/>
  <c r="MOA193" i="3" s="1"/>
  <c r="MNQ193" i="3"/>
  <c r="MNS193" i="3" s="1"/>
  <c r="MNK193" i="3"/>
  <c r="MNI193" i="3"/>
  <c r="MNA193" i="3"/>
  <c r="MNC193" i="3" s="1"/>
  <c r="MMU193" i="3"/>
  <c r="MMS193" i="3"/>
  <c r="MMK193" i="3"/>
  <c r="MMM193" i="3" s="1"/>
  <c r="MME193" i="3"/>
  <c r="MMC193" i="3"/>
  <c r="MLU193" i="3"/>
  <c r="MLW193" i="3" s="1"/>
  <c r="MLO193" i="3"/>
  <c r="MLM193" i="3"/>
  <c r="MLE193" i="3"/>
  <c r="MLG193" i="3" s="1"/>
  <c r="MKY193" i="3"/>
  <c r="MKW193" i="3"/>
  <c r="MKQ193" i="3"/>
  <c r="MKO193" i="3"/>
  <c r="MKG193" i="3"/>
  <c r="MKI193" i="3" s="1"/>
  <c r="MJY193" i="3"/>
  <c r="MKA193" i="3" s="1"/>
  <c r="MJS193" i="3"/>
  <c r="MJQ193" i="3"/>
  <c r="MJK193" i="3"/>
  <c r="MJI193" i="3"/>
  <c r="MJA193" i="3"/>
  <c r="MJC193" i="3" s="1"/>
  <c r="MIU193" i="3"/>
  <c r="MIS193" i="3"/>
  <c r="MIK193" i="3"/>
  <c r="MIM193" i="3" s="1"/>
  <c r="MIC193" i="3"/>
  <c r="MIE193" i="3" s="1"/>
  <c r="MHU193" i="3"/>
  <c r="MHW193" i="3" s="1"/>
  <c r="MHO193" i="3"/>
  <c r="MHM193" i="3"/>
  <c r="MHE193" i="3"/>
  <c r="MHG193" i="3" s="1"/>
  <c r="MGW193" i="3"/>
  <c r="MGY193" i="3" s="1"/>
  <c r="MGQ193" i="3"/>
  <c r="MGO193" i="3"/>
  <c r="MGG193" i="3"/>
  <c r="MGI193" i="3" s="1"/>
  <c r="MGA193" i="3"/>
  <c r="MFY193" i="3"/>
  <c r="MFQ193" i="3"/>
  <c r="MFS193" i="3" s="1"/>
  <c r="MFK193" i="3"/>
  <c r="MFI193" i="3"/>
  <c r="MFC193" i="3"/>
  <c r="MFA193" i="3"/>
  <c r="MES193" i="3"/>
  <c r="MEU193" i="3" s="1"/>
  <c r="MEK193" i="3"/>
  <c r="MEM193" i="3" s="1"/>
  <c r="MEE193" i="3"/>
  <c r="MEC193" i="3"/>
  <c r="MDU193" i="3"/>
  <c r="MDW193" i="3" s="1"/>
  <c r="MDM193" i="3"/>
  <c r="MDO193" i="3" s="1"/>
  <c r="MDE193" i="3"/>
  <c r="MDG193" i="3" s="1"/>
  <c r="MCY193" i="3"/>
  <c r="MCW193" i="3"/>
  <c r="MCO193" i="3"/>
  <c r="MCQ193" i="3" s="1"/>
  <c r="MCG193" i="3"/>
  <c r="MCI193" i="3" s="1"/>
  <c r="MCA193" i="3"/>
  <c r="MBY193" i="3"/>
  <c r="MBQ193" i="3"/>
  <c r="MBS193" i="3" s="1"/>
  <c r="MBK193" i="3"/>
  <c r="MBI193" i="3"/>
  <c r="MBA193" i="3"/>
  <c r="MBC193" i="3" s="1"/>
  <c r="MAS193" i="3"/>
  <c r="MAU193" i="3" s="1"/>
  <c r="MAK193" i="3"/>
  <c r="MAM193" i="3" s="1"/>
  <c r="MAE193" i="3"/>
  <c r="MAC193" i="3"/>
  <c r="LZU193" i="3"/>
  <c r="LZW193" i="3" s="1"/>
  <c r="LZM193" i="3"/>
  <c r="LZO193" i="3" s="1"/>
  <c r="LZE193" i="3"/>
  <c r="LZG193" i="3" s="1"/>
  <c r="LYW193" i="3"/>
  <c r="LYY193" i="3" s="1"/>
  <c r="LYO193" i="3"/>
  <c r="LYQ193" i="3" s="1"/>
  <c r="LYI193" i="3"/>
  <c r="LYG193" i="3"/>
  <c r="LYA193" i="3"/>
  <c r="LXY193" i="3"/>
  <c r="LXS193" i="3"/>
  <c r="LXQ193" i="3"/>
  <c r="LXK193" i="3"/>
  <c r="LXI193" i="3"/>
  <c r="LXA193" i="3"/>
  <c r="LXC193" i="3" s="1"/>
  <c r="LWU193" i="3"/>
  <c r="LWS193" i="3"/>
  <c r="LWK193" i="3"/>
  <c r="LWM193" i="3" s="1"/>
  <c r="LWC193" i="3"/>
  <c r="LWE193" i="3" s="1"/>
  <c r="LVU193" i="3"/>
  <c r="LVW193" i="3" s="1"/>
  <c r="LVO193" i="3"/>
  <c r="LVM193" i="3"/>
  <c r="LVE193" i="3"/>
  <c r="LVG193" i="3" s="1"/>
  <c r="LUW193" i="3"/>
  <c r="LUY193" i="3" s="1"/>
  <c r="LUO193" i="3"/>
  <c r="LUQ193" i="3" s="1"/>
  <c r="LUI193" i="3"/>
  <c r="LUG193" i="3"/>
  <c r="LUA193" i="3"/>
  <c r="LTY193" i="3"/>
  <c r="LTS193" i="3"/>
  <c r="LTQ193" i="3"/>
  <c r="LTI193" i="3"/>
  <c r="LTK193" i="3" s="1"/>
  <c r="LTA193" i="3"/>
  <c r="LTC193" i="3" s="1"/>
  <c r="LSS193" i="3"/>
  <c r="LSU193" i="3" s="1"/>
  <c r="LSM193" i="3"/>
  <c r="LSK193" i="3"/>
  <c r="LSE193" i="3"/>
  <c r="LSC193" i="3"/>
  <c r="LRU193" i="3"/>
  <c r="LRW193" i="3" s="1"/>
  <c r="LRM193" i="3"/>
  <c r="LRO193" i="3" s="1"/>
  <c r="LRG193" i="3"/>
  <c r="LRE193" i="3"/>
  <c r="LQY193" i="3"/>
  <c r="LQW193" i="3"/>
  <c r="LQO193" i="3"/>
  <c r="LQQ193" i="3" s="1"/>
  <c r="LQG193" i="3"/>
  <c r="LQI193" i="3" s="1"/>
  <c r="LQA193" i="3"/>
  <c r="LPY193" i="3"/>
  <c r="LPQ193" i="3"/>
  <c r="LPS193" i="3" s="1"/>
  <c r="LPI193" i="3"/>
  <c r="LPK193" i="3" s="1"/>
  <c r="LPA193" i="3"/>
  <c r="LPC193" i="3" s="1"/>
  <c r="LOU193" i="3"/>
  <c r="LOS193" i="3"/>
  <c r="LOK193" i="3"/>
  <c r="LOM193" i="3" s="1"/>
  <c r="LOE193" i="3"/>
  <c r="LOC193" i="3"/>
  <c r="LNU193" i="3"/>
  <c r="LNW193" i="3" s="1"/>
  <c r="LNO193" i="3"/>
  <c r="LNM193" i="3"/>
  <c r="LNG193" i="3"/>
  <c r="LNE193" i="3"/>
  <c r="LMY193" i="3"/>
  <c r="LMW193" i="3"/>
  <c r="LMO193" i="3"/>
  <c r="LMQ193" i="3" s="1"/>
  <c r="LMG193" i="3"/>
  <c r="LMI193" i="3" s="1"/>
  <c r="LLY193" i="3"/>
  <c r="LMA193" i="3" s="1"/>
  <c r="LLQ193" i="3"/>
  <c r="LLS193" i="3" s="1"/>
  <c r="LLK193" i="3"/>
  <c r="LLI193" i="3"/>
  <c r="LLA193" i="3"/>
  <c r="LLC193" i="3" s="1"/>
  <c r="LKU193" i="3"/>
  <c r="LKS193" i="3"/>
  <c r="LKM193" i="3"/>
  <c r="LKK193" i="3"/>
  <c r="LKC193" i="3"/>
  <c r="LKE193" i="3" s="1"/>
  <c r="LJW193" i="3"/>
  <c r="LJU193" i="3"/>
  <c r="LJO193" i="3"/>
  <c r="LJM193" i="3"/>
  <c r="LJG193" i="3"/>
  <c r="LJE193" i="3"/>
  <c r="LIY193" i="3"/>
  <c r="LIW193" i="3"/>
  <c r="LIQ193" i="3"/>
  <c r="LIO193" i="3"/>
  <c r="LIG193" i="3"/>
  <c r="LII193" i="3" s="1"/>
  <c r="LHY193" i="3"/>
  <c r="LIA193" i="3" s="1"/>
  <c r="LHQ193" i="3"/>
  <c r="LHS193" i="3" s="1"/>
  <c r="LHK193" i="3"/>
  <c r="LHI193" i="3"/>
  <c r="LHA193" i="3"/>
  <c r="LHC193" i="3" s="1"/>
  <c r="LGS193" i="3"/>
  <c r="LGU193" i="3" s="1"/>
  <c r="LGK193" i="3"/>
  <c r="LGM193" i="3" s="1"/>
  <c r="LGE193" i="3"/>
  <c r="LGC193" i="3"/>
  <c r="LFW193" i="3"/>
  <c r="LFU193" i="3"/>
  <c r="LFM193" i="3"/>
  <c r="LFO193" i="3" s="1"/>
  <c r="LFG193" i="3"/>
  <c r="LFE193" i="3"/>
  <c r="LEY193" i="3"/>
  <c r="LEW193" i="3"/>
  <c r="LEO193" i="3"/>
  <c r="LEQ193" i="3" s="1"/>
  <c r="LEG193" i="3"/>
  <c r="LEI193" i="3" s="1"/>
  <c r="LEA193" i="3"/>
  <c r="LDY193" i="3"/>
  <c r="LDQ193" i="3"/>
  <c r="LDS193" i="3" s="1"/>
  <c r="LDI193" i="3"/>
  <c r="LDK193" i="3" s="1"/>
  <c r="LDA193" i="3"/>
  <c r="LDC193" i="3" s="1"/>
  <c r="LCS193" i="3"/>
  <c r="LCU193" i="3" s="1"/>
  <c r="LCM193" i="3"/>
  <c r="LCK193" i="3"/>
  <c r="LCE193" i="3"/>
  <c r="LCC193" i="3"/>
  <c r="LBW193" i="3"/>
  <c r="LBU193" i="3"/>
  <c r="LBM193" i="3"/>
  <c r="LBO193" i="3" s="1"/>
  <c r="LBG193" i="3"/>
  <c r="LBE193" i="3"/>
  <c r="LAW193" i="3"/>
  <c r="LAY193" i="3" s="1"/>
  <c r="LAO193" i="3"/>
  <c r="LAQ193" i="3" s="1"/>
  <c r="LAG193" i="3"/>
  <c r="LAI193" i="3" s="1"/>
  <c r="KZY193" i="3"/>
  <c r="LAA193" i="3" s="1"/>
  <c r="KZQ193" i="3"/>
  <c r="KZS193" i="3" s="1"/>
  <c r="KZI193" i="3"/>
  <c r="KZK193" i="3" s="1"/>
  <c r="KZA193" i="3"/>
  <c r="KZC193" i="3" s="1"/>
  <c r="KYS193" i="3"/>
  <c r="KYU193" i="3" s="1"/>
  <c r="KYK193" i="3"/>
  <c r="KYM193" i="3" s="1"/>
  <c r="KYC193" i="3"/>
  <c r="KYE193" i="3" s="1"/>
  <c r="KXW193" i="3"/>
  <c r="KXU193" i="3"/>
  <c r="KXO193" i="3"/>
  <c r="KXM193" i="3"/>
  <c r="KXE193" i="3"/>
  <c r="KXG193" i="3" s="1"/>
  <c r="KWW193" i="3"/>
  <c r="KWY193" i="3" s="1"/>
  <c r="KWQ193" i="3"/>
  <c r="KWO193" i="3"/>
  <c r="KWG193" i="3"/>
  <c r="KWI193" i="3" s="1"/>
  <c r="KVY193" i="3"/>
  <c r="KWA193" i="3" s="1"/>
  <c r="KVQ193" i="3"/>
  <c r="KVS193" i="3" s="1"/>
  <c r="KVI193" i="3"/>
  <c r="KVK193" i="3" s="1"/>
  <c r="KVC193" i="3"/>
  <c r="KVA193" i="3"/>
  <c r="KUS193" i="3"/>
  <c r="KUU193" i="3" s="1"/>
  <c r="KUK193" i="3"/>
  <c r="KUM193" i="3" s="1"/>
  <c r="KUE193" i="3"/>
  <c r="KUC193" i="3"/>
  <c r="KTW193" i="3"/>
  <c r="KTU193" i="3"/>
  <c r="KTM193" i="3"/>
  <c r="KTO193" i="3" s="1"/>
  <c r="KTG193" i="3"/>
  <c r="KTE193" i="3"/>
  <c r="KSW193" i="3"/>
  <c r="KSY193" i="3" s="1"/>
  <c r="KSO193" i="3"/>
  <c r="KSQ193" i="3" s="1"/>
  <c r="KSI193" i="3"/>
  <c r="KSG193" i="3"/>
  <c r="KSA193" i="3"/>
  <c r="KRY193" i="3"/>
  <c r="KRQ193" i="3"/>
  <c r="KRS193" i="3" s="1"/>
  <c r="KRI193" i="3"/>
  <c r="KRK193" i="3" s="1"/>
  <c r="KRC193" i="3"/>
  <c r="KRA193" i="3"/>
  <c r="KQS193" i="3"/>
  <c r="KQU193" i="3" s="1"/>
  <c r="KQM193" i="3"/>
  <c r="KQK193" i="3"/>
  <c r="KQE193" i="3"/>
  <c r="KQC193" i="3"/>
  <c r="KPU193" i="3"/>
  <c r="KPW193" i="3" s="1"/>
  <c r="KPM193" i="3"/>
  <c r="KPO193" i="3" s="1"/>
  <c r="KPE193" i="3"/>
  <c r="KPG193" i="3" s="1"/>
  <c r="KOW193" i="3"/>
  <c r="KOY193" i="3" s="1"/>
  <c r="KOQ193" i="3"/>
  <c r="KOO193" i="3"/>
  <c r="KOG193" i="3"/>
  <c r="KOI193" i="3" s="1"/>
  <c r="KNY193" i="3"/>
  <c r="KOA193" i="3" s="1"/>
  <c r="KNS193" i="3"/>
  <c r="KNQ193" i="3"/>
  <c r="KNK193" i="3"/>
  <c r="KNI193" i="3"/>
  <c r="KNC193" i="3"/>
  <c r="KNA193" i="3"/>
  <c r="KMU193" i="3"/>
  <c r="KMS193" i="3"/>
  <c r="KMK193" i="3"/>
  <c r="KMM193" i="3" s="1"/>
  <c r="KMC193" i="3"/>
  <c r="KME193" i="3" s="1"/>
  <c r="KLW193" i="3"/>
  <c r="KLU193" i="3"/>
  <c r="KLM193" i="3"/>
  <c r="KLO193" i="3" s="1"/>
  <c r="KLG193" i="3"/>
  <c r="KLE193" i="3"/>
  <c r="KKW193" i="3"/>
  <c r="KKY193" i="3" s="1"/>
  <c r="KKQ193" i="3"/>
  <c r="KKO193" i="3"/>
  <c r="KKG193" i="3"/>
  <c r="KKI193" i="3" s="1"/>
  <c r="KJY193" i="3"/>
  <c r="KKA193" i="3" s="1"/>
  <c r="KJS193" i="3"/>
  <c r="KJQ193" i="3"/>
  <c r="KJK193" i="3"/>
  <c r="KJI193" i="3"/>
  <c r="KJC193" i="3"/>
  <c r="KJA193" i="3"/>
  <c r="KIS193" i="3"/>
  <c r="KIU193" i="3" s="1"/>
  <c r="KIK193" i="3"/>
  <c r="KIM193" i="3" s="1"/>
  <c r="KIE193" i="3"/>
  <c r="KIC193" i="3"/>
  <c r="KHU193" i="3"/>
  <c r="KHW193" i="3" s="1"/>
  <c r="KHM193" i="3"/>
  <c r="KHO193" i="3" s="1"/>
  <c r="KHG193" i="3"/>
  <c r="KHE193" i="3"/>
  <c r="KGW193" i="3"/>
  <c r="KGY193" i="3" s="1"/>
  <c r="KGO193" i="3"/>
  <c r="KGQ193" i="3" s="1"/>
  <c r="KGI193" i="3"/>
  <c r="KGG193" i="3"/>
  <c r="KGA193" i="3"/>
  <c r="KFY193" i="3"/>
  <c r="KFS193" i="3"/>
  <c r="KFQ193" i="3"/>
  <c r="KFI193" i="3"/>
  <c r="KFK193" i="3" s="1"/>
  <c r="KFC193" i="3"/>
  <c r="KFA193" i="3"/>
  <c r="KES193" i="3"/>
  <c r="KEU193" i="3" s="1"/>
  <c r="KEK193" i="3"/>
  <c r="KEM193" i="3" s="1"/>
  <c r="KEE193" i="3"/>
  <c r="KEC193" i="3"/>
  <c r="KDW193" i="3"/>
  <c r="KDU193" i="3"/>
  <c r="KDM193" i="3"/>
  <c r="KDO193" i="3" s="1"/>
  <c r="KDE193" i="3"/>
  <c r="KDG193" i="3" s="1"/>
  <c r="KCW193" i="3"/>
  <c r="KCY193" i="3" s="1"/>
  <c r="KCO193" i="3"/>
  <c r="KCQ193" i="3" s="1"/>
  <c r="KCG193" i="3"/>
  <c r="KCI193" i="3" s="1"/>
  <c r="KBY193" i="3"/>
  <c r="KCA193" i="3" s="1"/>
  <c r="KBQ193" i="3"/>
  <c r="KBS193" i="3" s="1"/>
  <c r="KBI193" i="3"/>
  <c r="KBK193" i="3" s="1"/>
  <c r="KBA193" i="3"/>
  <c r="KBC193" i="3" s="1"/>
  <c r="KAS193" i="3"/>
  <c r="KAU193" i="3" s="1"/>
  <c r="KAK193" i="3"/>
  <c r="KAM193" i="3" s="1"/>
  <c r="KAC193" i="3"/>
  <c r="KAE193" i="3" s="1"/>
  <c r="JZU193" i="3"/>
  <c r="JZW193" i="3" s="1"/>
  <c r="JZO193" i="3"/>
  <c r="JZM193" i="3"/>
  <c r="JZE193" i="3"/>
  <c r="JZG193" i="3" s="1"/>
  <c r="JYW193" i="3"/>
  <c r="JYY193" i="3" s="1"/>
  <c r="JYQ193" i="3"/>
  <c r="JYO193" i="3"/>
  <c r="JYG193" i="3"/>
  <c r="JYI193" i="3" s="1"/>
  <c r="JXY193" i="3"/>
  <c r="JYA193" i="3" s="1"/>
  <c r="JXQ193" i="3"/>
  <c r="JXS193" i="3" s="1"/>
  <c r="JXI193" i="3"/>
  <c r="JXK193" i="3" s="1"/>
  <c r="JXC193" i="3"/>
  <c r="JXA193" i="3"/>
  <c r="JWS193" i="3"/>
  <c r="JWU193" i="3" s="1"/>
  <c r="JWK193" i="3"/>
  <c r="JWM193" i="3" s="1"/>
  <c r="JWC193" i="3"/>
  <c r="JWE193" i="3" s="1"/>
  <c r="JVW193" i="3"/>
  <c r="JVU193" i="3"/>
  <c r="JVM193" i="3"/>
  <c r="JVO193" i="3" s="1"/>
  <c r="JVG193" i="3"/>
  <c r="JVE193" i="3"/>
  <c r="JUY193" i="3"/>
  <c r="JUW193" i="3"/>
  <c r="JUO193" i="3"/>
  <c r="JUQ193" i="3" s="1"/>
  <c r="JUG193" i="3"/>
  <c r="JUI193" i="3" s="1"/>
  <c r="JTY193" i="3"/>
  <c r="JUA193" i="3" s="1"/>
  <c r="JTQ193" i="3"/>
  <c r="JTS193" i="3" s="1"/>
  <c r="JTI193" i="3"/>
  <c r="JTK193" i="3" s="1"/>
  <c r="JTA193" i="3"/>
  <c r="JTC193" i="3" s="1"/>
  <c r="JSU193" i="3"/>
  <c r="JSS193" i="3"/>
  <c r="JSK193" i="3"/>
  <c r="JSM193" i="3" s="1"/>
  <c r="JSC193" i="3"/>
  <c r="JSE193" i="3" s="1"/>
  <c r="JRU193" i="3"/>
  <c r="JRW193" i="3" s="1"/>
  <c r="JRO193" i="3"/>
  <c r="JRM193" i="3"/>
  <c r="JRE193" i="3"/>
  <c r="JRG193" i="3" s="1"/>
  <c r="JQW193" i="3"/>
  <c r="JQY193" i="3" s="1"/>
  <c r="JQO193" i="3"/>
  <c r="JQQ193" i="3" s="1"/>
  <c r="JQG193" i="3"/>
  <c r="JQI193" i="3" s="1"/>
  <c r="JPY193" i="3"/>
  <c r="JQA193" i="3" s="1"/>
  <c r="JPQ193" i="3"/>
  <c r="JPS193" i="3" s="1"/>
  <c r="JPI193" i="3"/>
  <c r="JPK193" i="3" s="1"/>
  <c r="JPC193" i="3"/>
  <c r="JPA193" i="3"/>
  <c r="JOS193" i="3"/>
  <c r="JOU193" i="3" s="1"/>
  <c r="JOM193" i="3"/>
  <c r="JOK193" i="3"/>
  <c r="JOC193" i="3"/>
  <c r="JOE193" i="3" s="1"/>
  <c r="JNU193" i="3"/>
  <c r="JNW193" i="3" s="1"/>
  <c r="JNM193" i="3"/>
  <c r="JNO193" i="3" s="1"/>
  <c r="JNG193" i="3"/>
  <c r="JNE193" i="3"/>
  <c r="JMW193" i="3"/>
  <c r="JMY193" i="3" s="1"/>
  <c r="JMQ193" i="3"/>
  <c r="JMO193" i="3"/>
  <c r="JMG193" i="3"/>
  <c r="JMI193" i="3" s="1"/>
  <c r="JMA193" i="3"/>
  <c r="JLY193" i="3"/>
  <c r="JLQ193" i="3"/>
  <c r="JLS193" i="3" s="1"/>
  <c r="JLK193" i="3"/>
  <c r="JLI193" i="3"/>
  <c r="JLA193" i="3"/>
  <c r="JLC193" i="3" s="1"/>
  <c r="JKU193" i="3"/>
  <c r="JKS193" i="3"/>
  <c r="JKK193" i="3"/>
  <c r="JKM193" i="3" s="1"/>
  <c r="JKE193" i="3"/>
  <c r="JKC193" i="3"/>
  <c r="JJW193" i="3"/>
  <c r="JJU193" i="3"/>
  <c r="JJM193" i="3"/>
  <c r="JJO193" i="3" s="1"/>
  <c r="JJE193" i="3"/>
  <c r="JJG193" i="3" s="1"/>
  <c r="JIY193" i="3"/>
  <c r="JIW193" i="3"/>
  <c r="JIO193" i="3"/>
  <c r="JIQ193" i="3" s="1"/>
  <c r="JII193" i="3"/>
  <c r="JIG193" i="3"/>
  <c r="JIA193" i="3"/>
  <c r="JHY193" i="3"/>
  <c r="JHS193" i="3"/>
  <c r="JHQ193" i="3"/>
  <c r="JHI193" i="3"/>
  <c r="JHK193" i="3" s="1"/>
  <c r="JHA193" i="3"/>
  <c r="JHC193" i="3" s="1"/>
  <c r="JGS193" i="3"/>
  <c r="JGU193" i="3" s="1"/>
  <c r="JGK193" i="3"/>
  <c r="JGM193" i="3" s="1"/>
  <c r="JGE193" i="3"/>
  <c r="JGC193" i="3"/>
  <c r="JFW193" i="3"/>
  <c r="JFU193" i="3"/>
  <c r="JFM193" i="3"/>
  <c r="JFO193" i="3" s="1"/>
  <c r="JFE193" i="3"/>
  <c r="JFG193" i="3" s="1"/>
  <c r="JEW193" i="3"/>
  <c r="JEY193" i="3" s="1"/>
  <c r="JEO193" i="3"/>
  <c r="JEQ193" i="3" s="1"/>
  <c r="JEI193" i="3"/>
  <c r="JEG193" i="3"/>
  <c r="JDY193" i="3"/>
  <c r="JEA193" i="3" s="1"/>
  <c r="JDQ193" i="3"/>
  <c r="JDS193" i="3" s="1"/>
  <c r="JDK193" i="3"/>
  <c r="JDI193" i="3"/>
  <c r="JDA193" i="3"/>
  <c r="JDC193" i="3" s="1"/>
  <c r="JCS193" i="3"/>
  <c r="JCU193" i="3" s="1"/>
  <c r="JCK193" i="3"/>
  <c r="JCM193" i="3" s="1"/>
  <c r="JCC193" i="3"/>
  <c r="JCE193" i="3" s="1"/>
  <c r="JBU193" i="3"/>
  <c r="JBW193" i="3" s="1"/>
  <c r="JBM193" i="3"/>
  <c r="JBO193" i="3" s="1"/>
  <c r="JBE193" i="3"/>
  <c r="JBG193" i="3" s="1"/>
  <c r="JAY193" i="3"/>
  <c r="JAW193" i="3"/>
  <c r="JAO193" i="3"/>
  <c r="JAQ193" i="3" s="1"/>
  <c r="JAG193" i="3"/>
  <c r="JAI193" i="3" s="1"/>
  <c r="IZY193" i="3"/>
  <c r="JAA193" i="3" s="1"/>
  <c r="IZS193" i="3"/>
  <c r="IZQ193" i="3"/>
  <c r="IZI193" i="3"/>
  <c r="IZK193" i="3" s="1"/>
  <c r="IZC193" i="3"/>
  <c r="IZA193" i="3"/>
  <c r="IYU193" i="3"/>
  <c r="IYS193" i="3"/>
  <c r="IYK193" i="3"/>
  <c r="IYM193" i="3" s="1"/>
  <c r="IYC193" i="3"/>
  <c r="IYE193" i="3" s="1"/>
  <c r="IXU193" i="3"/>
  <c r="IXW193" i="3" s="1"/>
  <c r="IXM193" i="3"/>
  <c r="IXO193" i="3" s="1"/>
  <c r="IXE193" i="3"/>
  <c r="IXG193" i="3" s="1"/>
  <c r="IWW193" i="3"/>
  <c r="IWY193" i="3" s="1"/>
  <c r="IWQ193" i="3"/>
  <c r="IWO193" i="3"/>
  <c r="IWG193" i="3"/>
  <c r="IWI193" i="3" s="1"/>
  <c r="IWA193" i="3"/>
  <c r="IVY193" i="3"/>
  <c r="IVQ193" i="3"/>
  <c r="IVS193" i="3" s="1"/>
  <c r="IVI193" i="3"/>
  <c r="IVK193" i="3" s="1"/>
  <c r="IVC193" i="3"/>
  <c r="IVA193" i="3"/>
  <c r="IUU193" i="3"/>
  <c r="IUS193" i="3"/>
  <c r="IUK193" i="3"/>
  <c r="IUM193" i="3" s="1"/>
  <c r="IUC193" i="3"/>
  <c r="IUE193" i="3" s="1"/>
  <c r="ITU193" i="3"/>
  <c r="ITW193" i="3" s="1"/>
  <c r="ITO193" i="3"/>
  <c r="ITM193" i="3"/>
  <c r="ITE193" i="3"/>
  <c r="ITG193" i="3" s="1"/>
  <c r="ISW193" i="3"/>
  <c r="ISY193" i="3" s="1"/>
  <c r="ISO193" i="3"/>
  <c r="ISQ193" i="3" s="1"/>
  <c r="ISI193" i="3"/>
  <c r="ISG193" i="3"/>
  <c r="IRY193" i="3"/>
  <c r="ISA193" i="3" s="1"/>
  <c r="IRQ193" i="3"/>
  <c r="IRS193" i="3" s="1"/>
  <c r="IRK193" i="3"/>
  <c r="IRI193" i="3"/>
  <c r="IRA193" i="3"/>
  <c r="IRC193" i="3" s="1"/>
  <c r="IQS193" i="3"/>
  <c r="IQU193" i="3" s="1"/>
  <c r="IQM193" i="3"/>
  <c r="IQK193" i="3"/>
  <c r="IQC193" i="3"/>
  <c r="IQE193" i="3" s="1"/>
  <c r="IPW193" i="3"/>
  <c r="IPU193" i="3"/>
  <c r="IPM193" i="3"/>
  <c r="IPO193" i="3" s="1"/>
  <c r="IPE193" i="3"/>
  <c r="IPG193" i="3" s="1"/>
  <c r="IOW193" i="3"/>
  <c r="IOY193" i="3" s="1"/>
  <c r="IOO193" i="3"/>
  <c r="IOQ193" i="3" s="1"/>
  <c r="IOG193" i="3"/>
  <c r="IOI193" i="3" s="1"/>
  <c r="INY193" i="3"/>
  <c r="IOA193" i="3" s="1"/>
  <c r="INS193" i="3"/>
  <c r="INQ193" i="3"/>
  <c r="INI193" i="3"/>
  <c r="INK193" i="3" s="1"/>
  <c r="INA193" i="3"/>
  <c r="INC193" i="3" s="1"/>
  <c r="IMU193" i="3"/>
  <c r="IMS193" i="3"/>
  <c r="IMK193" i="3"/>
  <c r="IMM193" i="3" s="1"/>
  <c r="IMC193" i="3"/>
  <c r="IME193" i="3" s="1"/>
  <c r="ILU193" i="3"/>
  <c r="ILW193" i="3" s="1"/>
  <c r="ILO193" i="3"/>
  <c r="ILM193" i="3"/>
  <c r="ILE193" i="3"/>
  <c r="ILG193" i="3" s="1"/>
  <c r="IKW193" i="3"/>
  <c r="IKY193" i="3" s="1"/>
  <c r="IKO193" i="3"/>
  <c r="IKQ193" i="3" s="1"/>
  <c r="IKI193" i="3"/>
  <c r="IKG193" i="3"/>
  <c r="IJY193" i="3"/>
  <c r="IKA193" i="3" s="1"/>
  <c r="IJQ193" i="3"/>
  <c r="IJS193" i="3" s="1"/>
  <c r="IJI193" i="3"/>
  <c r="IJK193" i="3" s="1"/>
  <c r="IJA193" i="3"/>
  <c r="IJC193" i="3" s="1"/>
  <c r="IIS193" i="3"/>
  <c r="IIU193" i="3" s="1"/>
  <c r="IIK193" i="3"/>
  <c r="IIM193" i="3" s="1"/>
  <c r="IIC193" i="3"/>
  <c r="IIE193" i="3" s="1"/>
  <c r="IHW193" i="3"/>
  <c r="IHU193" i="3"/>
  <c r="IHM193" i="3"/>
  <c r="IHO193" i="3" s="1"/>
  <c r="IHG193" i="3"/>
  <c r="IHE193" i="3"/>
  <c r="IGW193" i="3"/>
  <c r="IGY193" i="3" s="1"/>
  <c r="IGO193" i="3"/>
  <c r="IGQ193" i="3" s="1"/>
  <c r="IGG193" i="3"/>
  <c r="IGI193" i="3" s="1"/>
  <c r="IGA193" i="3"/>
  <c r="IFY193" i="3"/>
  <c r="IFQ193" i="3"/>
  <c r="IFS193" i="3" s="1"/>
  <c r="IFK193" i="3"/>
  <c r="IFI193" i="3"/>
  <c r="IFA193" i="3"/>
  <c r="IFC193" i="3" s="1"/>
  <c r="IES193" i="3"/>
  <c r="IEU193" i="3" s="1"/>
  <c r="IEM193" i="3"/>
  <c r="IEK193" i="3"/>
  <c r="IEC193" i="3"/>
  <c r="IEE193" i="3" s="1"/>
  <c r="IDW193" i="3"/>
  <c r="IDU193" i="3"/>
  <c r="IDM193" i="3"/>
  <c r="IDO193" i="3" s="1"/>
  <c r="IDE193" i="3"/>
  <c r="IDG193" i="3" s="1"/>
  <c r="ICW193" i="3"/>
  <c r="ICY193" i="3" s="1"/>
  <c r="ICQ193" i="3"/>
  <c r="ICO193" i="3"/>
  <c r="ICG193" i="3"/>
  <c r="ICI193" i="3" s="1"/>
  <c r="IBY193" i="3"/>
  <c r="ICA193" i="3" s="1"/>
  <c r="IBS193" i="3"/>
  <c r="IBQ193" i="3"/>
  <c r="IBI193" i="3"/>
  <c r="IBK193" i="3" s="1"/>
  <c r="IBC193" i="3"/>
  <c r="IBA193" i="3"/>
  <c r="IAS193" i="3"/>
  <c r="IAU193" i="3" s="1"/>
  <c r="IAM193" i="3"/>
  <c r="IAK193" i="3"/>
  <c r="IAC193" i="3"/>
  <c r="IAE193" i="3" s="1"/>
  <c r="HZU193" i="3"/>
  <c r="HZW193" i="3" s="1"/>
  <c r="HZM193" i="3"/>
  <c r="HZO193" i="3" s="1"/>
  <c r="HZG193" i="3"/>
  <c r="HZE193" i="3"/>
  <c r="HYW193" i="3"/>
  <c r="HYY193" i="3" s="1"/>
  <c r="HYO193" i="3"/>
  <c r="HYQ193" i="3" s="1"/>
  <c r="HYG193" i="3"/>
  <c r="HYI193" i="3" s="1"/>
  <c r="HXY193" i="3"/>
  <c r="HYA193" i="3" s="1"/>
  <c r="HXQ193" i="3"/>
  <c r="HXS193" i="3" s="1"/>
  <c r="HXI193" i="3"/>
  <c r="HXK193" i="3" s="1"/>
  <c r="HXC193" i="3"/>
  <c r="HXA193" i="3"/>
  <c r="HWS193" i="3"/>
  <c r="HWU193" i="3" s="1"/>
  <c r="HWK193" i="3"/>
  <c r="HWM193" i="3" s="1"/>
  <c r="HWE193" i="3"/>
  <c r="HWC193" i="3"/>
  <c r="HVU193" i="3"/>
  <c r="HVW193" i="3" s="1"/>
  <c r="HVM193" i="3"/>
  <c r="HVO193" i="3" s="1"/>
  <c r="HVG193" i="3"/>
  <c r="HVE193" i="3"/>
  <c r="HUW193" i="3"/>
  <c r="HUY193" i="3" s="1"/>
  <c r="HUO193" i="3"/>
  <c r="HUQ193" i="3" s="1"/>
  <c r="HUG193" i="3"/>
  <c r="HUI193" i="3" s="1"/>
  <c r="HTY193" i="3"/>
  <c r="HUA193" i="3" s="1"/>
  <c r="HTS193" i="3"/>
  <c r="HTQ193" i="3"/>
  <c r="HTI193" i="3"/>
  <c r="HTK193" i="3" s="1"/>
  <c r="HTC193" i="3"/>
  <c r="HTA193" i="3"/>
  <c r="HSS193" i="3"/>
  <c r="HSU193" i="3" s="1"/>
  <c r="HSK193" i="3"/>
  <c r="HSM193" i="3" s="1"/>
  <c r="HSC193" i="3"/>
  <c r="HSE193" i="3" s="1"/>
  <c r="HRU193" i="3"/>
  <c r="HRW193" i="3" s="1"/>
  <c r="HRM193" i="3"/>
  <c r="HRO193" i="3" s="1"/>
  <c r="HRG193" i="3"/>
  <c r="HRE193" i="3"/>
  <c r="HQW193" i="3"/>
  <c r="HQY193" i="3" s="1"/>
  <c r="HQQ193" i="3"/>
  <c r="HQO193" i="3"/>
  <c r="HQG193" i="3"/>
  <c r="HQI193" i="3" s="1"/>
  <c r="HPY193" i="3"/>
  <c r="HQA193" i="3" s="1"/>
  <c r="HPQ193" i="3"/>
  <c r="HPS193" i="3" s="1"/>
  <c r="HPK193" i="3"/>
  <c r="HPI193" i="3"/>
  <c r="HPC193" i="3"/>
  <c r="HPA193" i="3"/>
  <c r="HOS193" i="3"/>
  <c r="HOU193" i="3" s="1"/>
  <c r="HOK193" i="3"/>
  <c r="HOM193" i="3" s="1"/>
  <c r="HOE193" i="3"/>
  <c r="HOC193" i="3"/>
  <c r="HNU193" i="3"/>
  <c r="HNW193" i="3" s="1"/>
  <c r="HNM193" i="3"/>
  <c r="HNO193" i="3" s="1"/>
  <c r="HNE193" i="3"/>
  <c r="HNG193" i="3" s="1"/>
  <c r="HMW193" i="3"/>
  <c r="HMY193" i="3" s="1"/>
  <c r="HMO193" i="3"/>
  <c r="HMQ193" i="3" s="1"/>
  <c r="HMI193" i="3"/>
  <c r="HMG193" i="3"/>
  <c r="HMA193" i="3"/>
  <c r="HLY193" i="3"/>
  <c r="HLQ193" i="3"/>
  <c r="HLS193" i="3" s="1"/>
  <c r="HLK193" i="3"/>
  <c r="HLI193" i="3"/>
  <c r="HLC193" i="3"/>
  <c r="HLA193" i="3"/>
  <c r="HKS193" i="3"/>
  <c r="HKU193" i="3" s="1"/>
  <c r="HKK193" i="3"/>
  <c r="HKM193" i="3" s="1"/>
  <c r="HKE193" i="3"/>
  <c r="HKC193" i="3"/>
  <c r="HJU193" i="3"/>
  <c r="HJW193" i="3" s="1"/>
  <c r="HJM193" i="3"/>
  <c r="HJO193" i="3" s="1"/>
  <c r="HJE193" i="3"/>
  <c r="HJG193" i="3" s="1"/>
  <c r="HIW193" i="3"/>
  <c r="HIY193" i="3" s="1"/>
  <c r="HIO193" i="3"/>
  <c r="HIQ193" i="3" s="1"/>
  <c r="HIG193" i="3"/>
  <c r="HII193" i="3" s="1"/>
  <c r="HIA193" i="3"/>
  <c r="HHY193" i="3"/>
  <c r="HHQ193" i="3"/>
  <c r="HHS193" i="3" s="1"/>
  <c r="HHI193" i="3"/>
  <c r="HHK193" i="3" s="1"/>
  <c r="HHA193" i="3"/>
  <c r="HHC193" i="3" s="1"/>
  <c r="HGS193" i="3"/>
  <c r="HGU193" i="3" s="1"/>
  <c r="HGK193" i="3"/>
  <c r="HGM193" i="3" s="1"/>
  <c r="HGC193" i="3"/>
  <c r="HGE193" i="3" s="1"/>
  <c r="HFW193" i="3"/>
  <c r="HFU193" i="3"/>
  <c r="HFM193" i="3"/>
  <c r="HFO193" i="3" s="1"/>
  <c r="HFE193" i="3"/>
  <c r="HFG193" i="3" s="1"/>
  <c r="HEY193" i="3"/>
  <c r="HEW193" i="3"/>
  <c r="HEO193" i="3"/>
  <c r="HEQ193" i="3" s="1"/>
  <c r="HEG193" i="3"/>
  <c r="HEI193" i="3" s="1"/>
  <c r="HEA193" i="3"/>
  <c r="HDY193" i="3"/>
  <c r="HDS193" i="3"/>
  <c r="HDQ193" i="3"/>
  <c r="HDI193" i="3"/>
  <c r="HDK193" i="3" s="1"/>
  <c r="HDA193" i="3"/>
  <c r="HDC193" i="3" s="1"/>
  <c r="HCS193" i="3"/>
  <c r="HCU193" i="3" s="1"/>
  <c r="HCM193" i="3"/>
  <c r="HCK193" i="3"/>
  <c r="HCE193" i="3"/>
  <c r="HCC193" i="3"/>
  <c r="HBU193" i="3"/>
  <c r="HBW193" i="3" s="1"/>
  <c r="HBM193" i="3"/>
  <c r="HBO193" i="3" s="1"/>
  <c r="HBG193" i="3"/>
  <c r="HBE193" i="3"/>
  <c r="HAY193" i="3"/>
  <c r="HAW193" i="3"/>
  <c r="HAO193" i="3"/>
  <c r="HAQ193" i="3" s="1"/>
  <c r="HAI193" i="3"/>
  <c r="HAG193" i="3"/>
  <c r="HAA193" i="3"/>
  <c r="GZY193" i="3"/>
  <c r="GZQ193" i="3"/>
  <c r="GZS193" i="3" s="1"/>
  <c r="GZK193" i="3"/>
  <c r="GZI193" i="3"/>
  <c r="GZC193" i="3"/>
  <c r="GZA193" i="3"/>
  <c r="GYS193" i="3"/>
  <c r="GYU193" i="3" s="1"/>
  <c r="GYK193" i="3"/>
  <c r="GYM193" i="3" s="1"/>
  <c r="GYE193" i="3"/>
  <c r="GYC193" i="3"/>
  <c r="GXU193" i="3"/>
  <c r="GXW193" i="3" s="1"/>
  <c r="GXO193" i="3"/>
  <c r="GXM193" i="3"/>
  <c r="GXE193" i="3"/>
  <c r="GXG193" i="3" s="1"/>
  <c r="GWY193" i="3"/>
  <c r="GWW193" i="3"/>
  <c r="GWO193" i="3"/>
  <c r="GWQ193" i="3" s="1"/>
  <c r="GWG193" i="3"/>
  <c r="GWI193" i="3" s="1"/>
  <c r="GVY193" i="3"/>
  <c r="GWA193" i="3" s="1"/>
  <c r="GVQ193" i="3"/>
  <c r="GVS193" i="3" s="1"/>
  <c r="GVI193" i="3"/>
  <c r="GVK193" i="3" s="1"/>
  <c r="GVA193" i="3"/>
  <c r="GVC193" i="3" s="1"/>
  <c r="GUS193" i="3"/>
  <c r="GUU193" i="3" s="1"/>
  <c r="GUK193" i="3"/>
  <c r="GUM193" i="3" s="1"/>
  <c r="GUC193" i="3"/>
  <c r="GUE193" i="3" s="1"/>
  <c r="GTU193" i="3"/>
  <c r="GTW193" i="3" s="1"/>
  <c r="GTM193" i="3"/>
  <c r="GTO193" i="3" s="1"/>
  <c r="GTG193" i="3"/>
  <c r="GTE193" i="3"/>
  <c r="GSY193" i="3"/>
  <c r="GSW193" i="3"/>
  <c r="GSO193" i="3"/>
  <c r="GSQ193" i="3" s="1"/>
  <c r="GSG193" i="3"/>
  <c r="GSI193" i="3" s="1"/>
  <c r="GRY193" i="3"/>
  <c r="GSA193" i="3" s="1"/>
  <c r="GRQ193" i="3"/>
  <c r="GRS193" i="3" s="1"/>
  <c r="GRK193" i="3"/>
  <c r="GRI193" i="3"/>
  <c r="GRA193" i="3"/>
  <c r="GRC193" i="3" s="1"/>
  <c r="GQS193" i="3"/>
  <c r="GQU193" i="3" s="1"/>
  <c r="GQK193" i="3"/>
  <c r="GQM193" i="3" s="1"/>
  <c r="GQE193" i="3"/>
  <c r="GQC193" i="3"/>
  <c r="GPU193" i="3"/>
  <c r="GPW193" i="3" s="1"/>
  <c r="GPO193" i="3"/>
  <c r="GPM193" i="3"/>
  <c r="GPE193" i="3"/>
  <c r="GPG193" i="3" s="1"/>
  <c r="GOY193" i="3"/>
  <c r="GOW193" i="3"/>
  <c r="GOO193" i="3"/>
  <c r="GOQ193" i="3" s="1"/>
  <c r="GOI193" i="3"/>
  <c r="GOG193" i="3"/>
  <c r="GNY193" i="3"/>
  <c r="GOA193" i="3" s="1"/>
  <c r="GNQ193" i="3"/>
  <c r="GNS193" i="3" s="1"/>
  <c r="GNK193" i="3"/>
  <c r="GNI193" i="3"/>
  <c r="GNA193" i="3"/>
  <c r="GNC193" i="3" s="1"/>
  <c r="GMS193" i="3"/>
  <c r="GMU193" i="3" s="1"/>
  <c r="GMK193" i="3"/>
  <c r="GMM193" i="3" s="1"/>
  <c r="GME193" i="3"/>
  <c r="GMC193" i="3"/>
  <c r="GLU193" i="3"/>
  <c r="GLW193" i="3" s="1"/>
  <c r="GLM193" i="3"/>
  <c r="GLO193" i="3" s="1"/>
  <c r="GLE193" i="3"/>
  <c r="GLG193" i="3" s="1"/>
  <c r="GKW193" i="3"/>
  <c r="GKY193" i="3" s="1"/>
  <c r="GKO193" i="3"/>
  <c r="GKQ193" i="3" s="1"/>
  <c r="GKG193" i="3"/>
  <c r="GKI193" i="3" s="1"/>
  <c r="GKA193" i="3"/>
  <c r="GJY193" i="3"/>
  <c r="GJQ193" i="3"/>
  <c r="GJS193" i="3" s="1"/>
  <c r="GJI193" i="3"/>
  <c r="GJK193" i="3" s="1"/>
  <c r="GJA193" i="3"/>
  <c r="GJC193" i="3" s="1"/>
  <c r="GIU193" i="3"/>
  <c r="GIS193" i="3"/>
  <c r="GIK193" i="3"/>
  <c r="GIM193" i="3" s="1"/>
  <c r="GIE193" i="3"/>
  <c r="GIC193" i="3"/>
  <c r="GHW193" i="3"/>
  <c r="GHU193" i="3"/>
  <c r="GHM193" i="3"/>
  <c r="GHO193" i="3" s="1"/>
  <c r="GHE193" i="3"/>
  <c r="GHG193" i="3" s="1"/>
  <c r="GGW193" i="3"/>
  <c r="GGY193" i="3" s="1"/>
  <c r="GGO193" i="3"/>
  <c r="GGQ193" i="3" s="1"/>
  <c r="GGI193" i="3"/>
  <c r="GGG193" i="3"/>
  <c r="GFY193" i="3"/>
  <c r="GGA193" i="3" s="1"/>
  <c r="GFS193" i="3"/>
  <c r="GFQ193" i="3"/>
  <c r="GFI193" i="3"/>
  <c r="GFK193" i="3" s="1"/>
  <c r="GFA193" i="3"/>
  <c r="GFC193" i="3" s="1"/>
  <c r="GEU193" i="3"/>
  <c r="GES193" i="3"/>
  <c r="GEK193" i="3"/>
  <c r="GEM193" i="3" s="1"/>
  <c r="GEC193" i="3"/>
  <c r="GEE193" i="3" s="1"/>
  <c r="GDU193" i="3"/>
  <c r="GDW193" i="3" s="1"/>
  <c r="GDM193" i="3"/>
  <c r="GDO193" i="3" s="1"/>
  <c r="GDG193" i="3"/>
  <c r="GDE193" i="3"/>
  <c r="GCW193" i="3"/>
  <c r="GCY193" i="3" s="1"/>
  <c r="GCO193" i="3"/>
  <c r="GCQ193" i="3" s="1"/>
  <c r="GCG193" i="3"/>
  <c r="GCI193" i="3" s="1"/>
  <c r="GCA193" i="3"/>
  <c r="GBY193" i="3"/>
  <c r="GBQ193" i="3"/>
  <c r="GBS193" i="3" s="1"/>
  <c r="GBI193" i="3"/>
  <c r="GBK193" i="3" s="1"/>
  <c r="GBC193" i="3"/>
  <c r="GBA193" i="3"/>
  <c r="GAU193" i="3"/>
  <c r="GAS193" i="3"/>
  <c r="GAK193" i="3"/>
  <c r="GAM193" i="3" s="1"/>
  <c r="GAC193" i="3"/>
  <c r="GAE193" i="3" s="1"/>
  <c r="FZU193" i="3"/>
  <c r="FZW193" i="3" s="1"/>
  <c r="FZM193" i="3"/>
  <c r="FZO193" i="3" s="1"/>
  <c r="FZE193" i="3"/>
  <c r="FZG193" i="3" s="1"/>
  <c r="FYY193" i="3"/>
  <c r="FYW193" i="3"/>
  <c r="FYO193" i="3"/>
  <c r="FYQ193" i="3" s="1"/>
  <c r="FYG193" i="3"/>
  <c r="FYI193" i="3" s="1"/>
  <c r="FXY193" i="3"/>
  <c r="FYA193" i="3" s="1"/>
  <c r="FXQ193" i="3"/>
  <c r="FXS193" i="3" s="1"/>
  <c r="FXK193" i="3"/>
  <c r="FXI193" i="3"/>
  <c r="FXC193" i="3"/>
  <c r="FXA193" i="3"/>
  <c r="FWU193" i="3"/>
  <c r="FWS193" i="3"/>
  <c r="FWK193" i="3"/>
  <c r="FWM193" i="3" s="1"/>
  <c r="FWC193" i="3"/>
  <c r="FWE193" i="3" s="1"/>
  <c r="FVU193" i="3"/>
  <c r="FVW193" i="3" s="1"/>
  <c r="FVM193" i="3"/>
  <c r="FVO193" i="3" s="1"/>
  <c r="FVG193" i="3"/>
  <c r="FVE193" i="3"/>
  <c r="FUY193" i="3"/>
  <c r="FUW193" i="3"/>
  <c r="FUO193" i="3"/>
  <c r="FUQ193" i="3" s="1"/>
  <c r="FUG193" i="3"/>
  <c r="FUI193" i="3" s="1"/>
  <c r="FUA193" i="3"/>
  <c r="FTY193" i="3"/>
  <c r="FTQ193" i="3"/>
  <c r="FTS193" i="3" s="1"/>
  <c r="FTI193" i="3"/>
  <c r="FTK193" i="3" s="1"/>
  <c r="FTC193" i="3"/>
  <c r="FTA193" i="3"/>
  <c r="FSU193" i="3"/>
  <c r="FSS193" i="3"/>
  <c r="FSK193" i="3"/>
  <c r="FSM193" i="3" s="1"/>
  <c r="FSC193" i="3"/>
  <c r="FSE193" i="3" s="1"/>
  <c r="FRU193" i="3"/>
  <c r="FRW193" i="3" s="1"/>
  <c r="FRM193" i="3"/>
  <c r="FRO193" i="3" s="1"/>
  <c r="FRG193" i="3"/>
  <c r="FRE193" i="3"/>
  <c r="FQY193" i="3"/>
  <c r="FQW193" i="3"/>
  <c r="FQO193" i="3"/>
  <c r="FQQ193" i="3" s="1"/>
  <c r="FQG193" i="3"/>
  <c r="FQI193" i="3" s="1"/>
  <c r="FPY193" i="3"/>
  <c r="FQA193" i="3" s="1"/>
  <c r="FPQ193" i="3"/>
  <c r="FPS193" i="3" s="1"/>
  <c r="FPK193" i="3"/>
  <c r="FPI193" i="3"/>
  <c r="FPA193" i="3"/>
  <c r="FPC193" i="3" s="1"/>
  <c r="FOS193" i="3"/>
  <c r="FOU193" i="3" s="1"/>
  <c r="FOK193" i="3"/>
  <c r="FOM193" i="3" s="1"/>
  <c r="FOE193" i="3"/>
  <c r="FOC193" i="3"/>
  <c r="FNU193" i="3"/>
  <c r="FNW193" i="3" s="1"/>
  <c r="FNM193" i="3"/>
  <c r="FNO193" i="3" s="1"/>
  <c r="FNE193" i="3"/>
  <c r="FNG193" i="3" s="1"/>
  <c r="FMW193" i="3"/>
  <c r="FMY193" i="3" s="1"/>
  <c r="FMQ193" i="3"/>
  <c r="FMO193" i="3"/>
  <c r="FMG193" i="3"/>
  <c r="FMI193" i="3" s="1"/>
  <c r="FMA193" i="3"/>
  <c r="FLY193" i="3"/>
  <c r="FLQ193" i="3"/>
  <c r="FLS193" i="3" s="1"/>
  <c r="FLI193" i="3"/>
  <c r="FLK193" i="3" s="1"/>
  <c r="FLA193" i="3"/>
  <c r="FLC193" i="3" s="1"/>
  <c r="FKU193" i="3"/>
  <c r="FKS193" i="3"/>
  <c r="FKK193" i="3"/>
  <c r="FKM193" i="3" s="1"/>
  <c r="FKE193" i="3"/>
  <c r="FKC193" i="3"/>
  <c r="FJW193" i="3"/>
  <c r="FJU193" i="3"/>
  <c r="FJM193" i="3"/>
  <c r="FJO193" i="3" s="1"/>
  <c r="FJE193" i="3"/>
  <c r="FJG193" i="3" s="1"/>
  <c r="FIY193" i="3"/>
  <c r="FIW193" i="3"/>
  <c r="FIQ193" i="3"/>
  <c r="FIO193" i="3"/>
  <c r="FIG193" i="3"/>
  <c r="FII193" i="3" s="1"/>
  <c r="FIA193" i="3"/>
  <c r="FHY193" i="3"/>
  <c r="FHS193" i="3"/>
  <c r="FHQ193" i="3"/>
  <c r="FHI193" i="3"/>
  <c r="FHK193" i="3" s="1"/>
  <c r="FHA193" i="3"/>
  <c r="FHC193" i="3" s="1"/>
  <c r="FGU193" i="3"/>
  <c r="FGS193" i="3"/>
  <c r="FGK193" i="3"/>
  <c r="FGM193" i="3" s="1"/>
  <c r="FGE193" i="3"/>
  <c r="FGC193" i="3"/>
  <c r="FFU193" i="3"/>
  <c r="FFW193" i="3" s="1"/>
  <c r="FFM193" i="3"/>
  <c r="FFO193" i="3" s="1"/>
  <c r="FFE193" i="3"/>
  <c r="FFG193" i="3" s="1"/>
  <c r="FEW193" i="3"/>
  <c r="FEY193" i="3" s="1"/>
  <c r="FEQ193" i="3"/>
  <c r="FEO193" i="3"/>
  <c r="FEG193" i="3"/>
  <c r="FEI193" i="3" s="1"/>
  <c r="FDY193" i="3"/>
  <c r="FEA193" i="3" s="1"/>
  <c r="FDQ193" i="3"/>
  <c r="FDS193" i="3" s="1"/>
  <c r="FDK193" i="3"/>
  <c r="FDI193" i="3"/>
  <c r="FDC193" i="3"/>
  <c r="FDA193" i="3"/>
  <c r="FCS193" i="3"/>
  <c r="FCU193" i="3" s="1"/>
  <c r="FCK193" i="3"/>
  <c r="FCM193" i="3" s="1"/>
  <c r="FCC193" i="3"/>
  <c r="FCE193" i="3" s="1"/>
  <c r="FBU193" i="3"/>
  <c r="FBW193" i="3" s="1"/>
  <c r="FBO193" i="3"/>
  <c r="FBM193" i="3"/>
  <c r="FBG193" i="3"/>
  <c r="FBE193" i="3"/>
  <c r="FAY193" i="3"/>
  <c r="FAW193" i="3"/>
  <c r="FAQ193" i="3"/>
  <c r="FAO193" i="3"/>
  <c r="FAG193" i="3"/>
  <c r="FAI193" i="3" s="1"/>
  <c r="EZY193" i="3"/>
  <c r="FAA193" i="3" s="1"/>
  <c r="EZQ193" i="3"/>
  <c r="EZS193" i="3" s="1"/>
  <c r="EZK193" i="3"/>
  <c r="EZI193" i="3"/>
  <c r="EZA193" i="3"/>
  <c r="EZC193" i="3" s="1"/>
  <c r="EYS193" i="3"/>
  <c r="EYU193" i="3" s="1"/>
  <c r="EYK193" i="3"/>
  <c r="EYM193" i="3" s="1"/>
  <c r="EYC193" i="3"/>
  <c r="EYE193" i="3" s="1"/>
  <c r="EXW193" i="3"/>
  <c r="EXU193" i="3"/>
  <c r="EXM193" i="3"/>
  <c r="EXO193" i="3" s="1"/>
  <c r="EXG193" i="3"/>
  <c r="EXE193" i="3"/>
  <c r="EWW193" i="3"/>
  <c r="EWY193" i="3" s="1"/>
  <c r="EWQ193" i="3"/>
  <c r="EWO193" i="3"/>
  <c r="EWG193" i="3"/>
  <c r="EWI193" i="3" s="1"/>
  <c r="EVY193" i="3"/>
  <c r="EWA193" i="3" s="1"/>
  <c r="EVS193" i="3"/>
  <c r="EVQ193" i="3"/>
  <c r="EVK193" i="3"/>
  <c r="EVI193" i="3"/>
  <c r="EVC193" i="3"/>
  <c r="EVA193" i="3"/>
  <c r="EUU193" i="3"/>
  <c r="EUS193" i="3"/>
  <c r="EUK193" i="3"/>
  <c r="EUM193" i="3" s="1"/>
  <c r="EUE193" i="3"/>
  <c r="EUC193" i="3"/>
  <c r="ETU193" i="3"/>
  <c r="ETW193" i="3" s="1"/>
  <c r="ETM193" i="3"/>
  <c r="ETO193" i="3" s="1"/>
  <c r="ETG193" i="3"/>
  <c r="ETE193" i="3"/>
  <c r="ESW193" i="3"/>
  <c r="ESY193" i="3" s="1"/>
  <c r="ESO193" i="3"/>
  <c r="ESQ193" i="3" s="1"/>
  <c r="ESG193" i="3"/>
  <c r="ESI193" i="3" s="1"/>
  <c r="ESA193" i="3"/>
  <c r="ERY193" i="3"/>
  <c r="ERQ193" i="3"/>
  <c r="ERS193" i="3" s="1"/>
  <c r="ERI193" i="3"/>
  <c r="ERK193" i="3" s="1"/>
  <c r="ERC193" i="3"/>
  <c r="ERA193" i="3"/>
  <c r="EQS193" i="3"/>
  <c r="EQU193" i="3" s="1"/>
  <c r="EQK193" i="3"/>
  <c r="EQM193" i="3" s="1"/>
  <c r="EQC193" i="3"/>
  <c r="EQE193" i="3" s="1"/>
  <c r="EPW193" i="3"/>
  <c r="EPU193" i="3"/>
  <c r="EPM193" i="3"/>
  <c r="EPO193" i="3" s="1"/>
  <c r="EPG193" i="3"/>
  <c r="EPE193" i="3"/>
  <c r="EOW193" i="3"/>
  <c r="EOY193" i="3" s="1"/>
  <c r="EOQ193" i="3"/>
  <c r="EOO193" i="3"/>
  <c r="EOG193" i="3"/>
  <c r="EOI193" i="3" s="1"/>
  <c r="EOA193" i="3"/>
  <c r="ENY193" i="3"/>
  <c r="ENQ193" i="3"/>
  <c r="ENS193" i="3" s="1"/>
  <c r="ENK193" i="3"/>
  <c r="ENI193" i="3"/>
  <c r="ENA193" i="3"/>
  <c r="ENC193" i="3" s="1"/>
  <c r="EMS193" i="3"/>
  <c r="EMU193" i="3" s="1"/>
  <c r="EMK193" i="3"/>
  <c r="EMM193" i="3" s="1"/>
  <c r="EME193" i="3"/>
  <c r="EMC193" i="3"/>
  <c r="ELU193" i="3"/>
  <c r="ELW193" i="3" s="1"/>
  <c r="ELO193" i="3"/>
  <c r="ELM193" i="3"/>
  <c r="ELE193" i="3"/>
  <c r="ELG193" i="3" s="1"/>
  <c r="EKY193" i="3"/>
  <c r="EKW193" i="3"/>
  <c r="EKQ193" i="3"/>
  <c r="EKO193" i="3"/>
  <c r="EKG193" i="3"/>
  <c r="EKI193" i="3" s="1"/>
  <c r="EJY193" i="3"/>
  <c r="EKA193" i="3" s="1"/>
  <c r="EJS193" i="3"/>
  <c r="EJQ193" i="3"/>
  <c r="EJI193" i="3"/>
  <c r="EJK193" i="3" s="1"/>
  <c r="EJC193" i="3"/>
  <c r="EJA193" i="3"/>
  <c r="EIS193" i="3"/>
  <c r="EIU193" i="3" s="1"/>
  <c r="EIK193" i="3"/>
  <c r="EIM193" i="3" s="1"/>
  <c r="EIE193" i="3"/>
  <c r="EIC193" i="3"/>
  <c r="EHW193" i="3"/>
  <c r="EHU193" i="3"/>
  <c r="EHM193" i="3"/>
  <c r="EHO193" i="3" s="1"/>
  <c r="EHG193" i="3"/>
  <c r="EHE193" i="3"/>
  <c r="EGY193" i="3"/>
  <c r="EGW193" i="3"/>
  <c r="EGQ193" i="3"/>
  <c r="EGO193" i="3"/>
  <c r="EGI193" i="3"/>
  <c r="EGG193" i="3"/>
  <c r="EFY193" i="3"/>
  <c r="EGA193" i="3" s="1"/>
  <c r="EFQ193" i="3"/>
  <c r="EFS193" i="3" s="1"/>
  <c r="EFI193" i="3"/>
  <c r="EFK193" i="3" s="1"/>
  <c r="EFC193" i="3"/>
  <c r="EFA193" i="3"/>
  <c r="EES193" i="3"/>
  <c r="EEU193" i="3" s="1"/>
  <c r="EEK193" i="3"/>
  <c r="EEM193" i="3" s="1"/>
  <c r="EEC193" i="3"/>
  <c r="EEE193" i="3" s="1"/>
  <c r="EDU193" i="3"/>
  <c r="EDW193" i="3" s="1"/>
  <c r="EDM193" i="3"/>
  <c r="EDO193" i="3" s="1"/>
  <c r="EDE193" i="3"/>
  <c r="EDG193" i="3" s="1"/>
  <c r="ECY193" i="3"/>
  <c r="ECW193" i="3"/>
  <c r="ECQ193" i="3"/>
  <c r="ECO193" i="3"/>
  <c r="ECI193" i="3"/>
  <c r="ECG193" i="3"/>
  <c r="EBY193" i="3"/>
  <c r="ECA193" i="3" s="1"/>
  <c r="EBS193" i="3"/>
  <c r="EBQ193" i="3"/>
  <c r="EBK193" i="3"/>
  <c r="EBI193" i="3"/>
  <c r="EBC193" i="3"/>
  <c r="EBA193" i="3"/>
  <c r="EAS193" i="3"/>
  <c r="EAU193" i="3" s="1"/>
  <c r="EAK193" i="3"/>
  <c r="EAM193" i="3" s="1"/>
  <c r="EAC193" i="3"/>
  <c r="EAE193" i="3" s="1"/>
  <c r="DZW193" i="3"/>
  <c r="DZU193" i="3"/>
  <c r="DZO193" i="3"/>
  <c r="DZM193" i="3"/>
  <c r="DZE193" i="3"/>
  <c r="DZG193" i="3" s="1"/>
  <c r="DYY193" i="3"/>
  <c r="DYW193" i="3"/>
  <c r="DYQ193" i="3"/>
  <c r="DYO193" i="3"/>
  <c r="DYG193" i="3"/>
  <c r="DYI193" i="3" s="1"/>
  <c r="DXY193" i="3"/>
  <c r="DYA193" i="3" s="1"/>
  <c r="DXQ193" i="3"/>
  <c r="DXS193" i="3" s="1"/>
  <c r="DXK193" i="3"/>
  <c r="DXI193" i="3"/>
  <c r="DXC193" i="3"/>
  <c r="DXA193" i="3"/>
  <c r="DWS193" i="3"/>
  <c r="DWU193" i="3" s="1"/>
  <c r="DWK193" i="3"/>
  <c r="DWM193" i="3" s="1"/>
  <c r="DWE193" i="3"/>
  <c r="DWC193" i="3"/>
  <c r="DVU193" i="3"/>
  <c r="DVW193" i="3" s="1"/>
  <c r="DVM193" i="3"/>
  <c r="DVO193" i="3" s="1"/>
  <c r="DVG193" i="3"/>
  <c r="DVE193" i="3"/>
  <c r="DUY193" i="3"/>
  <c r="DUW193" i="3"/>
  <c r="DUO193" i="3"/>
  <c r="DUQ193" i="3" s="1"/>
  <c r="DUG193" i="3"/>
  <c r="DUI193" i="3" s="1"/>
  <c r="DUA193" i="3"/>
  <c r="DTY193" i="3"/>
  <c r="DTQ193" i="3"/>
  <c r="DTS193" i="3" s="1"/>
  <c r="DTI193" i="3"/>
  <c r="DTK193" i="3" s="1"/>
  <c r="DTC193" i="3"/>
  <c r="DTA193" i="3"/>
  <c r="DSS193" i="3"/>
  <c r="DSU193" i="3" s="1"/>
  <c r="DSK193" i="3"/>
  <c r="DSM193" i="3" s="1"/>
  <c r="DSC193" i="3"/>
  <c r="DSE193" i="3" s="1"/>
  <c r="DRW193" i="3"/>
  <c r="DRU193" i="3"/>
  <c r="DRM193" i="3"/>
  <c r="DRO193" i="3" s="1"/>
  <c r="DRG193" i="3"/>
  <c r="DRE193" i="3"/>
  <c r="DQW193" i="3"/>
  <c r="DQY193" i="3" s="1"/>
  <c r="DQO193" i="3"/>
  <c r="DQQ193" i="3" s="1"/>
  <c r="DQI193" i="3"/>
  <c r="DQG193" i="3"/>
  <c r="DPY193" i="3"/>
  <c r="DQA193" i="3" s="1"/>
  <c r="DPS193" i="3"/>
  <c r="DPQ193" i="3"/>
  <c r="DPK193" i="3"/>
  <c r="DPI193" i="3"/>
  <c r="DPA193" i="3"/>
  <c r="DPC193" i="3" s="1"/>
  <c r="DOS193" i="3"/>
  <c r="DOU193" i="3" s="1"/>
  <c r="DOM193" i="3"/>
  <c r="DOK193" i="3"/>
  <c r="DOE193" i="3"/>
  <c r="DOC193" i="3"/>
  <c r="DNU193" i="3"/>
  <c r="DNW193" i="3" s="1"/>
  <c r="DNO193" i="3"/>
  <c r="DNM193" i="3"/>
  <c r="DNE193" i="3"/>
  <c r="DNG193" i="3" s="1"/>
  <c r="DMW193" i="3"/>
  <c r="DMY193" i="3" s="1"/>
  <c r="DMO193" i="3"/>
  <c r="DMQ193" i="3" s="1"/>
  <c r="DMI193" i="3"/>
  <c r="DMG193" i="3"/>
  <c r="DMA193" i="3"/>
  <c r="DLY193" i="3"/>
  <c r="DLQ193" i="3"/>
  <c r="DLS193" i="3" s="1"/>
  <c r="DLI193" i="3"/>
  <c r="DLK193" i="3" s="1"/>
  <c r="DLA193" i="3"/>
  <c r="DLC193" i="3" s="1"/>
  <c r="DKS193" i="3"/>
  <c r="DKU193" i="3" s="1"/>
  <c r="DKK193" i="3"/>
  <c r="DKM193" i="3" s="1"/>
  <c r="DKE193" i="3"/>
  <c r="DKC193" i="3"/>
  <c r="DJW193" i="3"/>
  <c r="DJU193" i="3"/>
  <c r="DJM193" i="3"/>
  <c r="DJO193" i="3" s="1"/>
  <c r="DJE193" i="3"/>
  <c r="DJG193" i="3" s="1"/>
  <c r="DIY193" i="3"/>
  <c r="DIW193" i="3"/>
  <c r="DIO193" i="3"/>
  <c r="DIQ193" i="3" s="1"/>
  <c r="DIG193" i="3"/>
  <c r="DII193" i="3" s="1"/>
  <c r="DIA193" i="3"/>
  <c r="DHY193" i="3"/>
  <c r="DHQ193" i="3"/>
  <c r="DHS193" i="3" s="1"/>
  <c r="DHI193" i="3"/>
  <c r="DHK193" i="3" s="1"/>
  <c r="DHA193" i="3"/>
  <c r="DHC193" i="3" s="1"/>
  <c r="DGU193" i="3"/>
  <c r="DGS193" i="3"/>
  <c r="DGK193" i="3"/>
  <c r="DGM193" i="3" s="1"/>
  <c r="DGC193" i="3"/>
  <c r="DGE193" i="3" s="1"/>
  <c r="DFU193" i="3"/>
  <c r="DFW193" i="3" s="1"/>
  <c r="DFM193" i="3"/>
  <c r="DFO193" i="3" s="1"/>
  <c r="DFG193" i="3"/>
  <c r="DFE193" i="3"/>
  <c r="DEW193" i="3"/>
  <c r="DEY193" i="3" s="1"/>
  <c r="DEQ193" i="3"/>
  <c r="DEO193" i="3"/>
  <c r="DEG193" i="3"/>
  <c r="DEI193" i="3" s="1"/>
  <c r="DDY193" i="3"/>
  <c r="DEA193" i="3" s="1"/>
  <c r="DDQ193" i="3"/>
  <c r="DDS193" i="3" s="1"/>
  <c r="DDK193" i="3"/>
  <c r="DDI193" i="3"/>
  <c r="DDC193" i="3"/>
  <c r="DDA193" i="3"/>
  <c r="DCS193" i="3"/>
  <c r="DCU193" i="3" s="1"/>
  <c r="DCM193" i="3"/>
  <c r="DCK193" i="3"/>
  <c r="DCC193" i="3"/>
  <c r="DCE193" i="3" s="1"/>
  <c r="DBU193" i="3"/>
  <c r="DBW193" i="3" s="1"/>
  <c r="DBM193" i="3"/>
  <c r="DBO193" i="3" s="1"/>
  <c r="DBG193" i="3"/>
  <c r="DBE193" i="3"/>
  <c r="DAY193" i="3"/>
  <c r="DAW193" i="3"/>
  <c r="DAO193" i="3"/>
  <c r="DAQ193" i="3" s="1"/>
  <c r="DAG193" i="3"/>
  <c r="DAI193" i="3" s="1"/>
  <c r="CZY193" i="3"/>
  <c r="DAA193" i="3" s="1"/>
  <c r="CZQ193" i="3"/>
  <c r="CZS193" i="3" s="1"/>
  <c r="CZI193" i="3"/>
  <c r="CZK193" i="3" s="1"/>
  <c r="CZC193" i="3"/>
  <c r="CZA193" i="3"/>
  <c r="CYU193" i="3"/>
  <c r="CYS193" i="3"/>
  <c r="CYK193" i="3"/>
  <c r="CYM193" i="3" s="1"/>
  <c r="CYC193" i="3"/>
  <c r="CYE193" i="3" s="1"/>
  <c r="CXW193" i="3"/>
  <c r="CXU193" i="3"/>
  <c r="CXM193" i="3"/>
  <c r="CXO193" i="3" s="1"/>
  <c r="CXE193" i="3"/>
  <c r="CXG193" i="3" s="1"/>
  <c r="CWY193" i="3"/>
  <c r="CWW193" i="3"/>
  <c r="CWO193" i="3"/>
  <c r="CWQ193" i="3" s="1"/>
  <c r="CWG193" i="3"/>
  <c r="CWI193" i="3" s="1"/>
  <c r="CVY193" i="3"/>
  <c r="CWA193" i="3" s="1"/>
  <c r="CVS193" i="3"/>
  <c r="CVQ193" i="3"/>
  <c r="CVI193" i="3"/>
  <c r="CVK193" i="3" s="1"/>
  <c r="CVA193" i="3"/>
  <c r="CVC193" i="3" s="1"/>
  <c r="CUS193" i="3"/>
  <c r="CUU193" i="3" s="1"/>
  <c r="CUK193" i="3"/>
  <c r="CUM193" i="3" s="1"/>
  <c r="CUE193" i="3"/>
  <c r="CUC193" i="3"/>
  <c r="CTU193" i="3"/>
  <c r="CTW193" i="3" s="1"/>
  <c r="CTO193" i="3"/>
  <c r="CTM193" i="3"/>
  <c r="CTE193" i="3"/>
  <c r="CTG193" i="3" s="1"/>
  <c r="CSW193" i="3"/>
  <c r="CSY193" i="3" s="1"/>
  <c r="CSO193" i="3"/>
  <c r="CSQ193" i="3" s="1"/>
  <c r="CSI193" i="3"/>
  <c r="CSG193" i="3"/>
  <c r="CSA193" i="3"/>
  <c r="CRY193" i="3"/>
  <c r="CRQ193" i="3"/>
  <c r="CRS193" i="3" s="1"/>
  <c r="CRK193" i="3"/>
  <c r="CRI193" i="3"/>
  <c r="CRA193" i="3"/>
  <c r="CRC193" i="3" s="1"/>
  <c r="CQS193" i="3"/>
  <c r="CQU193" i="3" s="1"/>
  <c r="CQK193" i="3"/>
  <c r="CQM193" i="3" s="1"/>
  <c r="CQE193" i="3"/>
  <c r="CQC193" i="3"/>
  <c r="CPW193" i="3"/>
  <c r="CPU193" i="3"/>
  <c r="CPM193" i="3"/>
  <c r="CPO193" i="3" s="1"/>
  <c r="CPE193" i="3"/>
  <c r="CPG193" i="3" s="1"/>
  <c r="COW193" i="3"/>
  <c r="COY193" i="3" s="1"/>
  <c r="COO193" i="3"/>
  <c r="COQ193" i="3" s="1"/>
  <c r="COG193" i="3"/>
  <c r="COI193" i="3" s="1"/>
  <c r="COA193" i="3"/>
  <c r="CNY193" i="3"/>
  <c r="CNS193" i="3"/>
  <c r="CNQ193" i="3"/>
  <c r="CNI193" i="3"/>
  <c r="CNK193" i="3" s="1"/>
  <c r="CNA193" i="3"/>
  <c r="CNC193" i="3" s="1"/>
  <c r="CMU193" i="3"/>
  <c r="CMS193" i="3"/>
  <c r="CMK193" i="3"/>
  <c r="CMM193" i="3" s="1"/>
  <c r="CMC193" i="3"/>
  <c r="CME193" i="3" s="1"/>
  <c r="CLW193" i="3"/>
  <c r="CLU193" i="3"/>
  <c r="CLM193" i="3"/>
  <c r="CLO193" i="3" s="1"/>
  <c r="CLE193" i="3"/>
  <c r="CLG193" i="3" s="1"/>
  <c r="CKW193" i="3"/>
  <c r="CKY193" i="3" s="1"/>
  <c r="CKQ193" i="3"/>
  <c r="CKO193" i="3"/>
  <c r="CKG193" i="3"/>
  <c r="CKI193" i="3" s="1"/>
  <c r="CJY193" i="3"/>
  <c r="CKA193" i="3" s="1"/>
  <c r="CJQ193" i="3"/>
  <c r="CJS193" i="3" s="1"/>
  <c r="CJI193" i="3"/>
  <c r="CJK193" i="3" s="1"/>
  <c r="CJC193" i="3"/>
  <c r="CJA193" i="3"/>
  <c r="CIS193" i="3"/>
  <c r="CIU193" i="3" s="1"/>
  <c r="CIM193" i="3"/>
  <c r="CIK193" i="3"/>
  <c r="CIC193" i="3"/>
  <c r="CIE193" i="3" s="1"/>
  <c r="CHU193" i="3"/>
  <c r="CHW193" i="3" s="1"/>
  <c r="CHM193" i="3"/>
  <c r="CHO193" i="3" s="1"/>
  <c r="CHG193" i="3"/>
  <c r="CHE193" i="3"/>
  <c r="CGY193" i="3"/>
  <c r="CGW193" i="3"/>
  <c r="CGO193" i="3"/>
  <c r="CGQ193" i="3" s="1"/>
  <c r="CGI193" i="3"/>
  <c r="CGG193" i="3"/>
  <c r="CFY193" i="3"/>
  <c r="CGA193" i="3" s="1"/>
  <c r="CFQ193" i="3"/>
  <c r="CFS193" i="3" s="1"/>
  <c r="CFI193" i="3"/>
  <c r="CFK193" i="3" s="1"/>
  <c r="CFC193" i="3"/>
  <c r="CFA193" i="3"/>
  <c r="CEU193" i="3"/>
  <c r="CES193" i="3"/>
  <c r="CEK193" i="3"/>
  <c r="CEM193" i="3" s="1"/>
  <c r="CEC193" i="3"/>
  <c r="CEE193" i="3" s="1"/>
  <c r="CDU193" i="3"/>
  <c r="CDW193" i="3" s="1"/>
  <c r="CDM193" i="3"/>
  <c r="CDO193" i="3" s="1"/>
  <c r="CDE193" i="3"/>
  <c r="CDG193" i="3" s="1"/>
  <c r="CCY193" i="3"/>
  <c r="CCW193" i="3"/>
  <c r="CCQ193" i="3"/>
  <c r="CCO193" i="3"/>
  <c r="CCG193" i="3"/>
  <c r="CCI193" i="3" s="1"/>
  <c r="CBY193" i="3"/>
  <c r="CCA193" i="3" s="1"/>
  <c r="CBS193" i="3"/>
  <c r="CBQ193" i="3"/>
  <c r="CBI193" i="3"/>
  <c r="CBK193" i="3" s="1"/>
  <c r="CBA193" i="3"/>
  <c r="CBC193" i="3" s="1"/>
  <c r="CAU193" i="3"/>
  <c r="CAS193" i="3"/>
  <c r="CAK193" i="3"/>
  <c r="CAM193" i="3" s="1"/>
  <c r="CAC193" i="3"/>
  <c r="CAE193" i="3" s="1"/>
  <c r="BZU193" i="3"/>
  <c r="BZW193" i="3" s="1"/>
  <c r="BZO193" i="3"/>
  <c r="BZM193" i="3"/>
  <c r="BZE193" i="3"/>
  <c r="BZG193" i="3" s="1"/>
  <c r="BYW193" i="3"/>
  <c r="BYY193" i="3" s="1"/>
  <c r="BYO193" i="3"/>
  <c r="BYQ193" i="3" s="1"/>
  <c r="BYG193" i="3"/>
  <c r="BYI193" i="3" s="1"/>
  <c r="BYA193" i="3"/>
  <c r="BXY193" i="3"/>
  <c r="BXQ193" i="3"/>
  <c r="BXS193" i="3" s="1"/>
  <c r="BXK193" i="3"/>
  <c r="BXI193" i="3"/>
  <c r="BXA193" i="3"/>
  <c r="BXC193" i="3" s="1"/>
  <c r="BWS193" i="3"/>
  <c r="BWU193" i="3" s="1"/>
  <c r="BWK193" i="3"/>
  <c r="BWM193" i="3" s="1"/>
  <c r="BWE193" i="3"/>
  <c r="BWC193" i="3"/>
  <c r="BVW193" i="3"/>
  <c r="BVU193" i="3"/>
  <c r="BVM193" i="3"/>
  <c r="BVO193" i="3" s="1"/>
  <c r="BVG193" i="3"/>
  <c r="BVE193" i="3"/>
  <c r="BUW193" i="3"/>
  <c r="BUY193" i="3" s="1"/>
  <c r="BUO193" i="3"/>
  <c r="BUQ193" i="3" s="1"/>
  <c r="BUG193" i="3"/>
  <c r="BUI193" i="3" s="1"/>
  <c r="BUA193" i="3"/>
  <c r="BTY193" i="3"/>
  <c r="BTS193" i="3"/>
  <c r="BTQ193" i="3"/>
  <c r="BTI193" i="3"/>
  <c r="BTK193" i="3" s="1"/>
  <c r="BTA193" i="3"/>
  <c r="BTC193" i="3" s="1"/>
  <c r="BSS193" i="3"/>
  <c r="BSU193" i="3" s="1"/>
  <c r="BSK193" i="3"/>
  <c r="BSM193" i="3" s="1"/>
  <c r="BSC193" i="3"/>
  <c r="BSE193" i="3" s="1"/>
  <c r="BRW193" i="3"/>
  <c r="BRU193" i="3"/>
  <c r="BRO193" i="3"/>
  <c r="BRM193" i="3"/>
  <c r="BRE193" i="3"/>
  <c r="BRG193" i="3" s="1"/>
  <c r="BQW193" i="3"/>
  <c r="BQY193" i="3" s="1"/>
  <c r="BQQ193" i="3"/>
  <c r="BQO193" i="3"/>
  <c r="BQG193" i="3"/>
  <c r="BQI193" i="3" s="1"/>
  <c r="BPY193" i="3"/>
  <c r="BQA193" i="3" s="1"/>
  <c r="BPS193" i="3"/>
  <c r="BPQ193" i="3"/>
  <c r="BPI193" i="3"/>
  <c r="BPK193" i="3" s="1"/>
  <c r="BPA193" i="3"/>
  <c r="BPC193" i="3" s="1"/>
  <c r="BOS193" i="3"/>
  <c r="BOU193" i="3" s="1"/>
  <c r="BOM193" i="3"/>
  <c r="BOK193" i="3"/>
  <c r="BOC193" i="3"/>
  <c r="BOE193" i="3" s="1"/>
  <c r="BNU193" i="3"/>
  <c r="BNW193" i="3" s="1"/>
  <c r="BNM193" i="3"/>
  <c r="BNO193" i="3" s="1"/>
  <c r="BNE193" i="3"/>
  <c r="BNG193" i="3" s="1"/>
  <c r="BMY193" i="3"/>
  <c r="BMW193" i="3"/>
  <c r="BMO193" i="3"/>
  <c r="BMQ193" i="3" s="1"/>
  <c r="BMI193" i="3"/>
  <c r="BMG193" i="3"/>
  <c r="BLY193" i="3"/>
  <c r="BMA193" i="3" s="1"/>
  <c r="BLQ193" i="3"/>
  <c r="BLS193" i="3" s="1"/>
  <c r="BLI193" i="3"/>
  <c r="BLK193" i="3" s="1"/>
  <c r="BLC193" i="3"/>
  <c r="BLA193" i="3"/>
  <c r="BKU193" i="3"/>
  <c r="BKS193" i="3"/>
  <c r="BKK193" i="3"/>
  <c r="BKM193" i="3" s="1"/>
  <c r="BKE193" i="3"/>
  <c r="BKC193" i="3"/>
  <c r="BJU193" i="3"/>
  <c r="BJW193" i="3" s="1"/>
  <c r="BJM193" i="3"/>
  <c r="BJO193" i="3" s="1"/>
  <c r="BJE193" i="3"/>
  <c r="BJG193" i="3" s="1"/>
  <c r="BIY193" i="3"/>
  <c r="BIW193" i="3"/>
  <c r="BIQ193" i="3"/>
  <c r="BIO193" i="3"/>
  <c r="BIG193" i="3"/>
  <c r="BII193" i="3" s="1"/>
  <c r="BHY193" i="3"/>
  <c r="BIA193" i="3" s="1"/>
  <c r="BHQ193" i="3"/>
  <c r="BHS193" i="3" s="1"/>
  <c r="BHI193" i="3"/>
  <c r="BHK193" i="3" s="1"/>
  <c r="BHA193" i="3"/>
  <c r="BHC193" i="3" s="1"/>
  <c r="BGU193" i="3"/>
  <c r="BGS193" i="3"/>
  <c r="BGM193" i="3"/>
  <c r="BGK193" i="3"/>
  <c r="BGC193" i="3"/>
  <c r="BGE193" i="3" s="1"/>
  <c r="BFU193" i="3"/>
  <c r="BFW193" i="3" s="1"/>
  <c r="BFO193" i="3"/>
  <c r="BFM193" i="3"/>
  <c r="BFE193" i="3"/>
  <c r="BFG193" i="3" s="1"/>
  <c r="BEW193" i="3"/>
  <c r="BEY193" i="3" s="1"/>
  <c r="BEQ193" i="3"/>
  <c r="BEO193" i="3"/>
  <c r="BEG193" i="3"/>
  <c r="BEI193" i="3" s="1"/>
  <c r="BDY193" i="3"/>
  <c r="BEA193" i="3" s="1"/>
  <c r="BDQ193" i="3"/>
  <c r="BDS193" i="3" s="1"/>
  <c r="BDK193" i="3"/>
  <c r="BDI193" i="3"/>
  <c r="BDA193" i="3"/>
  <c r="BDC193" i="3" s="1"/>
  <c r="BCS193" i="3"/>
  <c r="BCU193" i="3" s="1"/>
  <c r="BCK193" i="3"/>
  <c r="BCM193" i="3" s="1"/>
  <c r="BCC193" i="3"/>
  <c r="BCE193" i="3" s="1"/>
  <c r="BBW193" i="3"/>
  <c r="BBU193" i="3"/>
  <c r="BBM193" i="3"/>
  <c r="BBO193" i="3" s="1"/>
  <c r="BBG193" i="3"/>
  <c r="BBE193" i="3"/>
  <c r="BAW193" i="3"/>
  <c r="BAY193" i="3" s="1"/>
  <c r="BAO193" i="3"/>
  <c r="BAQ193" i="3" s="1"/>
  <c r="BAG193" i="3"/>
  <c r="BAI193" i="3" s="1"/>
  <c r="BAA193" i="3"/>
  <c r="AZY193" i="3"/>
  <c r="AZS193" i="3"/>
  <c r="AZQ193" i="3"/>
  <c r="AZI193" i="3"/>
  <c r="AZK193" i="3" s="1"/>
  <c r="AZC193" i="3"/>
  <c r="AZA193" i="3"/>
  <c r="AYS193" i="3"/>
  <c r="AYU193" i="3" s="1"/>
  <c r="AYK193" i="3"/>
  <c r="AYM193" i="3" s="1"/>
  <c r="AYC193" i="3"/>
  <c r="AYE193" i="3" s="1"/>
  <c r="AXU193" i="3"/>
  <c r="AXW193" i="3" s="1"/>
  <c r="AXO193" i="3"/>
  <c r="AXM193" i="3"/>
  <c r="AXE193" i="3"/>
  <c r="AXG193" i="3" s="1"/>
  <c r="AWW193" i="3"/>
  <c r="AWY193" i="3" s="1"/>
  <c r="AWO193" i="3"/>
  <c r="AWQ193" i="3" s="1"/>
  <c r="AWG193" i="3"/>
  <c r="AWI193" i="3" s="1"/>
  <c r="AVY193" i="3"/>
  <c r="AWA193" i="3" s="1"/>
  <c r="AVQ193" i="3"/>
  <c r="AVS193" i="3" s="1"/>
  <c r="AVK193" i="3"/>
  <c r="AVI193" i="3"/>
  <c r="AVA193" i="3"/>
  <c r="AVC193" i="3" s="1"/>
  <c r="AUS193" i="3"/>
  <c r="AUU193" i="3" s="1"/>
  <c r="AUM193" i="3"/>
  <c r="AUK193" i="3"/>
  <c r="AUC193" i="3"/>
  <c r="AUE193" i="3" s="1"/>
  <c r="ATU193" i="3"/>
  <c r="ATW193" i="3" s="1"/>
  <c r="ATM193" i="3"/>
  <c r="ATO193" i="3" s="1"/>
  <c r="ATE193" i="3"/>
  <c r="ATG193" i="3" s="1"/>
  <c r="ASY193" i="3"/>
  <c r="ASW193" i="3"/>
  <c r="ASQ193" i="3"/>
  <c r="ASO193" i="3"/>
  <c r="ASG193" i="3"/>
  <c r="ASI193" i="3" s="1"/>
  <c r="ASA193" i="3"/>
  <c r="ARY193" i="3"/>
  <c r="ARQ193" i="3"/>
  <c r="ARS193" i="3" s="1"/>
  <c r="ARI193" i="3"/>
  <c r="ARK193" i="3" s="1"/>
  <c r="ARC193" i="3"/>
  <c r="ARA193" i="3"/>
  <c r="AQS193" i="3"/>
  <c r="AQU193" i="3" s="1"/>
  <c r="AQM193" i="3"/>
  <c r="AQK193" i="3"/>
  <c r="AQC193" i="3"/>
  <c r="AQE193" i="3" s="1"/>
  <c r="APU193" i="3"/>
  <c r="APW193" i="3" s="1"/>
  <c r="APM193" i="3"/>
  <c r="APO193" i="3" s="1"/>
  <c r="APG193" i="3"/>
  <c r="APE193" i="3"/>
  <c r="AOY193" i="3"/>
  <c r="AOW193" i="3"/>
  <c r="AOQ193" i="3"/>
  <c r="AOO193" i="3"/>
  <c r="AOG193" i="3"/>
  <c r="AOI193" i="3" s="1"/>
  <c r="AOA193" i="3"/>
  <c r="ANY193" i="3"/>
  <c r="ANQ193" i="3"/>
  <c r="ANS193" i="3" s="1"/>
  <c r="ANK193" i="3"/>
  <c r="ANI193" i="3"/>
  <c r="ANC193" i="3"/>
  <c r="ANA193" i="3"/>
  <c r="AMS193" i="3"/>
  <c r="AMU193" i="3" s="1"/>
  <c r="AMM193" i="3"/>
  <c r="AMK193" i="3"/>
  <c r="AMC193" i="3"/>
  <c r="AME193" i="3" s="1"/>
  <c r="ALU193" i="3"/>
  <c r="ALW193" i="3" s="1"/>
  <c r="ALO193" i="3"/>
  <c r="ALM193" i="3"/>
  <c r="ALG193" i="3"/>
  <c r="ALE193" i="3"/>
  <c r="AKY193" i="3"/>
  <c r="AKW193" i="3"/>
  <c r="AKQ193" i="3"/>
  <c r="AKO193" i="3"/>
  <c r="AKG193" i="3"/>
  <c r="AKI193" i="3" s="1"/>
  <c r="AJY193" i="3"/>
  <c r="AKA193" i="3" s="1"/>
  <c r="AJQ193" i="3"/>
  <c r="AJS193" i="3" s="1"/>
  <c r="AJI193" i="3"/>
  <c r="AJK193" i="3" s="1"/>
  <c r="AJC193" i="3"/>
  <c r="AJA193" i="3"/>
  <c r="AIS193" i="3"/>
  <c r="AIU193" i="3" s="1"/>
  <c r="AIM193" i="3"/>
  <c r="AIK193" i="3"/>
  <c r="AIC193" i="3"/>
  <c r="AIE193" i="3" s="1"/>
  <c r="AHW193" i="3"/>
  <c r="AHU193" i="3"/>
  <c r="AHO193" i="3"/>
  <c r="AHM193" i="3"/>
  <c r="AHE193" i="3"/>
  <c r="AHG193" i="3" s="1"/>
  <c r="AGY193" i="3"/>
  <c r="AGW193" i="3"/>
  <c r="AGQ193" i="3"/>
  <c r="AGO193" i="3"/>
  <c r="AGG193" i="3"/>
  <c r="AGI193" i="3" s="1"/>
  <c r="AFY193" i="3"/>
  <c r="AGA193" i="3" s="1"/>
  <c r="AFQ193" i="3"/>
  <c r="AFS193" i="3" s="1"/>
  <c r="AFI193" i="3"/>
  <c r="AFK193" i="3" s="1"/>
  <c r="AFC193" i="3"/>
  <c r="AFA193" i="3"/>
  <c r="AES193" i="3"/>
  <c r="AEU193" i="3" s="1"/>
  <c r="AEK193" i="3"/>
  <c r="AEM193" i="3" s="1"/>
  <c r="AEC193" i="3"/>
  <c r="AEE193" i="3" s="1"/>
  <c r="ADW193" i="3"/>
  <c r="ADU193" i="3"/>
  <c r="ADO193" i="3"/>
  <c r="ADM193" i="3"/>
  <c r="ADG193" i="3"/>
  <c r="ADE193" i="3"/>
  <c r="ACY193" i="3"/>
  <c r="ACW193" i="3"/>
  <c r="ACO193" i="3"/>
  <c r="ACQ193" i="3" s="1"/>
  <c r="ACI193" i="3"/>
  <c r="ACG193" i="3"/>
  <c r="ABY193" i="3"/>
  <c r="ACA193" i="3" s="1"/>
  <c r="ABQ193" i="3"/>
  <c r="ABS193" i="3" s="1"/>
  <c r="ABI193" i="3"/>
  <c r="ABK193" i="3" s="1"/>
  <c r="ABC193" i="3"/>
  <c r="ABA193" i="3"/>
  <c r="AAS193" i="3"/>
  <c r="AAU193" i="3" s="1"/>
  <c r="AAM193" i="3"/>
  <c r="AAK193" i="3"/>
  <c r="AAC193" i="3"/>
  <c r="AAE193" i="3" s="1"/>
  <c r="ZW193" i="3"/>
  <c r="ZU193" i="3"/>
  <c r="ZO193" i="3"/>
  <c r="ZM193" i="3"/>
  <c r="ZE193" i="3"/>
  <c r="ZG193" i="3" s="1"/>
  <c r="YW193" i="3"/>
  <c r="YY193" i="3" s="1"/>
  <c r="YO193" i="3"/>
  <c r="YQ193" i="3" s="1"/>
  <c r="YI193" i="3"/>
  <c r="YG193" i="3"/>
  <c r="XY193" i="3"/>
  <c r="YA193" i="3" s="1"/>
  <c r="XQ193" i="3"/>
  <c r="XS193" i="3" s="1"/>
  <c r="XK193" i="3"/>
  <c r="XI193" i="3"/>
  <c r="XA193" i="3"/>
  <c r="XC193" i="3" s="1"/>
  <c r="WU193" i="3"/>
  <c r="WS193" i="3"/>
  <c r="WM193" i="3"/>
  <c r="WK193" i="3"/>
  <c r="WC193" i="3"/>
  <c r="WE193" i="3" s="1"/>
  <c r="VW193" i="3"/>
  <c r="VU193" i="3"/>
  <c r="VM193" i="3"/>
  <c r="VO193" i="3" s="1"/>
  <c r="VE193" i="3"/>
  <c r="VG193" i="3" s="1"/>
  <c r="UY193" i="3"/>
  <c r="UW193" i="3"/>
  <c r="UO193" i="3"/>
  <c r="UQ193" i="3" s="1"/>
  <c r="UI193" i="3"/>
  <c r="UG193" i="3"/>
  <c r="TY193" i="3"/>
  <c r="UA193" i="3" s="1"/>
  <c r="TQ193" i="3"/>
  <c r="TS193" i="3" s="1"/>
  <c r="TI193" i="3"/>
  <c r="TK193" i="3" s="1"/>
  <c r="TC193" i="3"/>
  <c r="TA193" i="3"/>
  <c r="SU193" i="3"/>
  <c r="SS193" i="3"/>
  <c r="SM193" i="3"/>
  <c r="SK193" i="3"/>
  <c r="SC193" i="3"/>
  <c r="SE193" i="3" s="1"/>
  <c r="RW193" i="3"/>
  <c r="RU193" i="3"/>
  <c r="RM193" i="3"/>
  <c r="RO193" i="3" s="1"/>
  <c r="RG193" i="3"/>
  <c r="RE193" i="3"/>
  <c r="QY193" i="3"/>
  <c r="QW193" i="3"/>
  <c r="QO193" i="3"/>
  <c r="QQ193" i="3" s="1"/>
  <c r="QI193" i="3"/>
  <c r="QG193" i="3"/>
  <c r="PY193" i="3"/>
  <c r="QA193" i="3" s="1"/>
  <c r="PQ193" i="3"/>
  <c r="PS193" i="3" s="1"/>
  <c r="PI193" i="3"/>
  <c r="PK193" i="3" s="1"/>
  <c r="PA193" i="3"/>
  <c r="PC193" i="3" s="1"/>
  <c r="OU193" i="3"/>
  <c r="OS193" i="3"/>
  <c r="OM193" i="3"/>
  <c r="OK193" i="3"/>
  <c r="OC193" i="3"/>
  <c r="OE193" i="3" s="1"/>
  <c r="NU193" i="3"/>
  <c r="NW193" i="3" s="1"/>
  <c r="NM193" i="3"/>
  <c r="NO193" i="3" s="1"/>
  <c r="NG193" i="3"/>
  <c r="NE193" i="3"/>
  <c r="MY193" i="3"/>
  <c r="MW193" i="3"/>
  <c r="MO193" i="3"/>
  <c r="MQ193" i="3" s="1"/>
  <c r="MI193" i="3"/>
  <c r="MG193" i="3"/>
  <c r="LY193" i="3"/>
  <c r="MA193" i="3" s="1"/>
  <c r="LS193" i="3"/>
  <c r="LQ193" i="3"/>
  <c r="LI193" i="3"/>
  <c r="LK193" i="3" s="1"/>
  <c r="LC193" i="3"/>
  <c r="LA193" i="3"/>
  <c r="KU193" i="3"/>
  <c r="KS193" i="3"/>
  <c r="KM193" i="3"/>
  <c r="KK193" i="3"/>
  <c r="KC193" i="3"/>
  <c r="KE193" i="3" s="1"/>
  <c r="JU193" i="3"/>
  <c r="JW193" i="3" s="1"/>
  <c r="JM193" i="3"/>
  <c r="JO193" i="3" s="1"/>
  <c r="JG193" i="3"/>
  <c r="JE193" i="3"/>
  <c r="IY193" i="3"/>
  <c r="IW193" i="3"/>
  <c r="IO193" i="3"/>
  <c r="IQ193" i="3" s="1"/>
  <c r="IG193" i="3"/>
  <c r="II193" i="3" s="1"/>
  <c r="HY193" i="3"/>
  <c r="IA193" i="3" s="1"/>
  <c r="HS193" i="3"/>
  <c r="HQ193" i="3"/>
  <c r="HK193" i="3"/>
  <c r="HI193" i="3"/>
  <c r="HA193" i="3"/>
  <c r="HC193" i="3" s="1"/>
  <c r="GU193" i="3"/>
  <c r="GS193" i="3"/>
  <c r="GK193" i="3"/>
  <c r="GM193" i="3" s="1"/>
  <c r="GE193" i="3"/>
  <c r="GC193" i="3"/>
  <c r="FU193" i="3"/>
  <c r="FW193" i="3" s="1"/>
  <c r="FM193" i="3"/>
  <c r="FO193" i="3" s="1"/>
  <c r="FE193" i="3"/>
  <c r="FG193" i="3" s="1"/>
  <c r="EY193" i="3"/>
  <c r="EW193" i="3"/>
  <c r="EO193" i="3"/>
  <c r="EQ193" i="3" s="1"/>
  <c r="EI193" i="3"/>
  <c r="EG193" i="3"/>
  <c r="DY193" i="3"/>
  <c r="EA193" i="3" s="1"/>
  <c r="DS193" i="3"/>
  <c r="DQ193" i="3"/>
  <c r="DI193" i="3"/>
  <c r="DK193" i="3" s="1"/>
  <c r="DA193" i="3"/>
  <c r="DC193" i="3" s="1"/>
  <c r="CS193" i="3"/>
  <c r="CU193" i="3" s="1"/>
  <c r="CK193" i="3"/>
  <c r="CM193" i="3" s="1"/>
  <c r="CE193" i="3"/>
  <c r="CC193" i="3"/>
  <c r="BU193" i="3"/>
  <c r="BW193" i="3" s="1"/>
  <c r="BM193" i="3"/>
  <c r="BO193" i="3" s="1"/>
  <c r="BE193" i="3"/>
  <c r="BG193" i="3" s="1"/>
  <c r="AW193" i="3"/>
  <c r="AY193" i="3" s="1"/>
  <c r="AQ193" i="3"/>
  <c r="AO193" i="3"/>
  <c r="AI193" i="3"/>
  <c r="AG193" i="3"/>
  <c r="AA193" i="3"/>
  <c r="F193" i="3"/>
  <c r="H193" i="3" s="1"/>
  <c r="H196" i="3" s="1"/>
  <c r="F183" i="3"/>
  <c r="H183" i="3" s="1"/>
  <c r="F182" i="3"/>
  <c r="H182" i="3" s="1"/>
  <c r="XBW181" i="3"/>
  <c r="XBU181" i="3"/>
  <c r="XBM181" i="3"/>
  <c r="XBO181" i="3" s="1"/>
  <c r="XBE181" i="3"/>
  <c r="XBG181" i="3" s="1"/>
  <c r="XAW181" i="3"/>
  <c r="XAY181" i="3" s="1"/>
  <c r="XAQ181" i="3"/>
  <c r="XAO181" i="3"/>
  <c r="XAI181" i="3"/>
  <c r="XAG181" i="3"/>
  <c r="XAA181" i="3"/>
  <c r="WZY181" i="3"/>
  <c r="WZQ181" i="3"/>
  <c r="WZS181" i="3" s="1"/>
  <c r="WZK181" i="3"/>
  <c r="WZI181" i="3"/>
  <c r="WZA181" i="3"/>
  <c r="WZC181" i="3" s="1"/>
  <c r="WYS181" i="3"/>
  <c r="WYU181" i="3" s="1"/>
  <c r="WYM181" i="3"/>
  <c r="WYK181" i="3"/>
  <c r="WYC181" i="3"/>
  <c r="WYE181" i="3" s="1"/>
  <c r="WXW181" i="3"/>
  <c r="WXU181" i="3"/>
  <c r="WXM181" i="3"/>
  <c r="WXO181" i="3" s="1"/>
  <c r="WXE181" i="3"/>
  <c r="WXG181" i="3" s="1"/>
  <c r="WWY181" i="3"/>
  <c r="WWW181" i="3"/>
  <c r="WWQ181" i="3"/>
  <c r="WWO181" i="3"/>
  <c r="WWI181" i="3"/>
  <c r="WWG181" i="3"/>
  <c r="WWA181" i="3"/>
  <c r="WVY181" i="3"/>
  <c r="WVQ181" i="3"/>
  <c r="WVS181" i="3" s="1"/>
  <c r="WVI181" i="3"/>
  <c r="WVK181" i="3" s="1"/>
  <c r="WVC181" i="3"/>
  <c r="WVA181" i="3"/>
  <c r="WUU181" i="3"/>
  <c r="WUS181" i="3"/>
  <c r="WUM181" i="3"/>
  <c r="WUK181" i="3"/>
  <c r="WUC181" i="3"/>
  <c r="WUE181" i="3" s="1"/>
  <c r="WTW181" i="3"/>
  <c r="WTU181" i="3"/>
  <c r="WTM181" i="3"/>
  <c r="WTO181" i="3" s="1"/>
  <c r="WTG181" i="3"/>
  <c r="WTE181" i="3"/>
  <c r="WSY181" i="3"/>
  <c r="WSW181" i="3"/>
  <c r="WSQ181" i="3"/>
  <c r="WSO181" i="3"/>
  <c r="WSI181" i="3"/>
  <c r="WSG181" i="3"/>
  <c r="WSA181" i="3"/>
  <c r="WRY181" i="3"/>
  <c r="WRQ181" i="3"/>
  <c r="WRS181" i="3" s="1"/>
  <c r="WRI181" i="3"/>
  <c r="WRK181" i="3" s="1"/>
  <c r="WRC181" i="3"/>
  <c r="WRA181" i="3"/>
  <c r="WQU181" i="3"/>
  <c r="WQS181" i="3"/>
  <c r="WQM181" i="3"/>
  <c r="WQK181" i="3"/>
  <c r="WQC181" i="3"/>
  <c r="WQE181" i="3" s="1"/>
  <c r="WPU181" i="3"/>
  <c r="WPW181" i="3" s="1"/>
  <c r="WPM181" i="3"/>
  <c r="WPO181" i="3" s="1"/>
  <c r="WPG181" i="3"/>
  <c r="WPE181" i="3"/>
  <c r="WOY181" i="3"/>
  <c r="WOW181" i="3"/>
  <c r="WOO181" i="3"/>
  <c r="WOQ181" i="3" s="1"/>
  <c r="WOI181" i="3"/>
  <c r="WOG181" i="3"/>
  <c r="WNY181" i="3"/>
  <c r="WOA181" i="3" s="1"/>
  <c r="WNS181" i="3"/>
  <c r="WNQ181" i="3"/>
  <c r="WNI181" i="3"/>
  <c r="WNK181" i="3" s="1"/>
  <c r="WNC181" i="3"/>
  <c r="WNA181" i="3"/>
  <c r="WMU181" i="3"/>
  <c r="WMS181" i="3"/>
  <c r="WMK181" i="3"/>
  <c r="WMM181" i="3" s="1"/>
  <c r="WMC181" i="3"/>
  <c r="WME181" i="3" s="1"/>
  <c r="WLW181" i="3"/>
  <c r="WLU181" i="3"/>
  <c r="WLM181" i="3"/>
  <c r="WLO181" i="3" s="1"/>
  <c r="WLE181" i="3"/>
  <c r="WLG181" i="3" s="1"/>
  <c r="WKY181" i="3"/>
  <c r="WKW181" i="3"/>
  <c r="WKQ181" i="3"/>
  <c r="WKO181" i="3"/>
  <c r="WKG181" i="3"/>
  <c r="WKI181" i="3" s="1"/>
  <c r="WJY181" i="3"/>
  <c r="WKA181" i="3" s="1"/>
  <c r="WJS181" i="3"/>
  <c r="WJQ181" i="3"/>
  <c r="WJI181" i="3"/>
  <c r="WJK181" i="3" s="1"/>
  <c r="WJC181" i="3"/>
  <c r="WJA181" i="3"/>
  <c r="WIS181" i="3"/>
  <c r="WIU181" i="3" s="1"/>
  <c r="WIK181" i="3"/>
  <c r="WIM181" i="3" s="1"/>
  <c r="WIE181" i="3"/>
  <c r="WIC181" i="3"/>
  <c r="WHW181" i="3"/>
  <c r="WHU181" i="3"/>
  <c r="WHM181" i="3"/>
  <c r="WHO181" i="3" s="1"/>
  <c r="WHG181" i="3"/>
  <c r="WHE181" i="3"/>
  <c r="WGY181" i="3"/>
  <c r="WGW181" i="3"/>
  <c r="WGO181" i="3"/>
  <c r="WGQ181" i="3" s="1"/>
  <c r="WGI181" i="3"/>
  <c r="WGG181" i="3"/>
  <c r="WFY181" i="3"/>
  <c r="WGA181" i="3" s="1"/>
  <c r="WFS181" i="3"/>
  <c r="WFQ181" i="3"/>
  <c r="WFI181" i="3"/>
  <c r="WFK181" i="3" s="1"/>
  <c r="WFA181" i="3"/>
  <c r="WFC181" i="3" s="1"/>
  <c r="WES181" i="3"/>
  <c r="WEU181" i="3" s="1"/>
  <c r="WEM181" i="3"/>
  <c r="WEK181" i="3"/>
  <c r="WEE181" i="3"/>
  <c r="WEC181" i="3"/>
  <c r="WDW181" i="3"/>
  <c r="WDU181" i="3"/>
  <c r="WDM181" i="3"/>
  <c r="WDO181" i="3" s="1"/>
  <c r="WDE181" i="3"/>
  <c r="WDG181" i="3" s="1"/>
  <c r="WCW181" i="3"/>
  <c r="WCY181" i="3" s="1"/>
  <c r="WCQ181" i="3"/>
  <c r="WCO181" i="3"/>
  <c r="WCI181" i="3"/>
  <c r="WCG181" i="3"/>
  <c r="WBY181" i="3"/>
  <c r="WCA181" i="3" s="1"/>
  <c r="WBS181" i="3"/>
  <c r="WBQ181" i="3"/>
  <c r="WBI181" i="3"/>
  <c r="WBK181" i="3" s="1"/>
  <c r="WBA181" i="3"/>
  <c r="WBC181" i="3" s="1"/>
  <c r="WAS181" i="3"/>
  <c r="WAU181" i="3" s="1"/>
  <c r="WAK181" i="3"/>
  <c r="WAM181" i="3" s="1"/>
  <c r="WAE181" i="3"/>
  <c r="WAC181" i="3"/>
  <c r="VZW181" i="3"/>
  <c r="VZU181" i="3"/>
  <c r="VZM181" i="3"/>
  <c r="VZO181" i="3" s="1"/>
  <c r="VZE181" i="3"/>
  <c r="VZG181" i="3" s="1"/>
  <c r="VYY181" i="3"/>
  <c r="VYW181" i="3"/>
  <c r="VYO181" i="3"/>
  <c r="VYQ181" i="3" s="1"/>
  <c r="VYG181" i="3"/>
  <c r="VYI181" i="3" s="1"/>
  <c r="VXY181" i="3"/>
  <c r="VYA181" i="3" s="1"/>
  <c r="VXS181" i="3"/>
  <c r="VXQ181" i="3"/>
  <c r="VXI181" i="3"/>
  <c r="VXK181" i="3" s="1"/>
  <c r="VXC181" i="3"/>
  <c r="VXA181" i="3"/>
  <c r="VWU181" i="3"/>
  <c r="VWS181" i="3"/>
  <c r="VWK181" i="3"/>
  <c r="VWM181" i="3" s="1"/>
  <c r="VWE181" i="3"/>
  <c r="VWC181" i="3"/>
  <c r="VVW181" i="3"/>
  <c r="VVU181" i="3"/>
  <c r="VVM181" i="3"/>
  <c r="VVO181" i="3" s="1"/>
  <c r="VVE181" i="3"/>
  <c r="VVG181" i="3" s="1"/>
  <c r="VUY181" i="3"/>
  <c r="VUW181" i="3"/>
  <c r="VUQ181" i="3"/>
  <c r="VUO181" i="3"/>
  <c r="VUG181" i="3"/>
  <c r="VUI181" i="3" s="1"/>
  <c r="VTY181" i="3"/>
  <c r="VUA181" i="3" s="1"/>
  <c r="VTQ181" i="3"/>
  <c r="VTS181" i="3" s="1"/>
  <c r="VTI181" i="3"/>
  <c r="VTK181" i="3" s="1"/>
  <c r="VTC181" i="3"/>
  <c r="VTA181" i="3"/>
  <c r="VSS181" i="3"/>
  <c r="VSU181" i="3" s="1"/>
  <c r="VSK181" i="3"/>
  <c r="VSM181" i="3" s="1"/>
  <c r="VSE181" i="3"/>
  <c r="VSC181" i="3"/>
  <c r="VRU181" i="3"/>
  <c r="VRW181" i="3" s="1"/>
  <c r="VRO181" i="3"/>
  <c r="VRM181" i="3"/>
  <c r="VRE181" i="3"/>
  <c r="VRG181" i="3" s="1"/>
  <c r="VQY181" i="3"/>
  <c r="VQW181" i="3"/>
  <c r="VQO181" i="3"/>
  <c r="VQQ181" i="3" s="1"/>
  <c r="VQG181" i="3"/>
  <c r="VQI181" i="3" s="1"/>
  <c r="VPY181" i="3"/>
  <c r="VQA181" i="3" s="1"/>
  <c r="VPS181" i="3"/>
  <c r="VPQ181" i="3"/>
  <c r="VPI181" i="3"/>
  <c r="VPK181" i="3" s="1"/>
  <c r="VPC181" i="3"/>
  <c r="VPA181" i="3"/>
  <c r="VOU181" i="3"/>
  <c r="VOS181" i="3"/>
  <c r="VOK181" i="3"/>
  <c r="VOM181" i="3" s="1"/>
  <c r="VOC181" i="3"/>
  <c r="VOE181" i="3" s="1"/>
  <c r="VNU181" i="3"/>
  <c r="VNW181" i="3" s="1"/>
  <c r="VNO181" i="3"/>
  <c r="VNM181" i="3"/>
  <c r="VNE181" i="3"/>
  <c r="VNG181" i="3" s="1"/>
  <c r="VMW181" i="3"/>
  <c r="VMY181" i="3" s="1"/>
  <c r="VMO181" i="3"/>
  <c r="VMQ181" i="3" s="1"/>
  <c r="VMG181" i="3"/>
  <c r="VMI181" i="3" s="1"/>
  <c r="VMA181" i="3"/>
  <c r="VLY181" i="3"/>
  <c r="VLS181" i="3"/>
  <c r="VLQ181" i="3"/>
  <c r="VLI181" i="3"/>
  <c r="VLK181" i="3" s="1"/>
  <c r="VLA181" i="3"/>
  <c r="VLC181" i="3" s="1"/>
  <c r="VKS181" i="3"/>
  <c r="VKU181" i="3" s="1"/>
  <c r="VKK181" i="3"/>
  <c r="VKM181" i="3" s="1"/>
  <c r="VKE181" i="3"/>
  <c r="VKC181" i="3"/>
  <c r="VJU181" i="3"/>
  <c r="VJW181" i="3" s="1"/>
  <c r="VJO181" i="3"/>
  <c r="VJM181" i="3"/>
  <c r="VJE181" i="3"/>
  <c r="VJG181" i="3" s="1"/>
  <c r="VIY181" i="3"/>
  <c r="VIW181" i="3"/>
  <c r="VIO181" i="3"/>
  <c r="VIQ181" i="3" s="1"/>
  <c r="VIG181" i="3"/>
  <c r="VII181" i="3" s="1"/>
  <c r="VIA181" i="3"/>
  <c r="VHY181" i="3"/>
  <c r="VHQ181" i="3"/>
  <c r="VHS181" i="3" s="1"/>
  <c r="VHI181" i="3"/>
  <c r="VHK181" i="3" s="1"/>
  <c r="VHA181" i="3"/>
  <c r="VHC181" i="3" s="1"/>
  <c r="VGS181" i="3"/>
  <c r="VGU181" i="3" s="1"/>
  <c r="VGK181" i="3"/>
  <c r="VGM181" i="3" s="1"/>
  <c r="VGC181" i="3"/>
  <c r="VGE181" i="3" s="1"/>
  <c r="VFU181" i="3"/>
  <c r="VFW181" i="3" s="1"/>
  <c r="VFO181" i="3"/>
  <c r="VFM181" i="3"/>
  <c r="VFE181" i="3"/>
  <c r="VFG181" i="3" s="1"/>
  <c r="VEW181" i="3"/>
  <c r="VEY181" i="3" s="1"/>
  <c r="VEO181" i="3"/>
  <c r="VEQ181" i="3" s="1"/>
  <c r="VEI181" i="3"/>
  <c r="VEG181" i="3"/>
  <c r="VEA181" i="3"/>
  <c r="VDY181" i="3"/>
  <c r="VDS181" i="3"/>
  <c r="VDQ181" i="3"/>
  <c r="VDI181" i="3"/>
  <c r="VDK181" i="3" s="1"/>
  <c r="VDA181" i="3"/>
  <c r="VDC181" i="3" s="1"/>
  <c r="VCS181" i="3"/>
  <c r="VCU181" i="3" s="1"/>
  <c r="VCK181" i="3"/>
  <c r="VCM181" i="3" s="1"/>
  <c r="VCE181" i="3"/>
  <c r="VCC181" i="3"/>
  <c r="VBU181" i="3"/>
  <c r="VBW181" i="3" s="1"/>
  <c r="VBO181" i="3"/>
  <c r="VBM181" i="3"/>
  <c r="VBE181" i="3"/>
  <c r="VBG181" i="3" s="1"/>
  <c r="VAY181" i="3"/>
  <c r="VAW181" i="3"/>
  <c r="VAO181" i="3"/>
  <c r="VAQ181" i="3" s="1"/>
  <c r="VAG181" i="3"/>
  <c r="VAI181" i="3" s="1"/>
  <c r="VAA181" i="3"/>
  <c r="UZY181" i="3"/>
  <c r="UZS181" i="3"/>
  <c r="UZQ181" i="3"/>
  <c r="UZI181" i="3"/>
  <c r="UZK181" i="3" s="1"/>
  <c r="UZA181" i="3"/>
  <c r="UZC181" i="3" s="1"/>
  <c r="UYU181" i="3"/>
  <c r="UYS181" i="3"/>
  <c r="UYK181" i="3"/>
  <c r="UYM181" i="3" s="1"/>
  <c r="UYC181" i="3"/>
  <c r="UYE181" i="3" s="1"/>
  <c r="UXU181" i="3"/>
  <c r="UXW181" i="3" s="1"/>
  <c r="UXM181" i="3"/>
  <c r="UXO181" i="3" s="1"/>
  <c r="UXE181" i="3"/>
  <c r="UXG181" i="3" s="1"/>
  <c r="UWW181" i="3"/>
  <c r="UWY181" i="3" s="1"/>
  <c r="UWQ181" i="3"/>
  <c r="UWO181" i="3"/>
  <c r="UWG181" i="3"/>
  <c r="UWI181" i="3" s="1"/>
  <c r="UWA181" i="3"/>
  <c r="UVY181" i="3"/>
  <c r="UVQ181" i="3"/>
  <c r="UVS181" i="3" s="1"/>
  <c r="UVK181" i="3"/>
  <c r="UVI181" i="3"/>
  <c r="UVA181" i="3"/>
  <c r="UVC181" i="3" s="1"/>
  <c r="UUS181" i="3"/>
  <c r="UUU181" i="3" s="1"/>
  <c r="UUM181" i="3"/>
  <c r="UUK181" i="3"/>
  <c r="UUC181" i="3"/>
  <c r="UUE181" i="3" s="1"/>
  <c r="UTU181" i="3"/>
  <c r="UTW181" i="3" s="1"/>
  <c r="UTM181" i="3"/>
  <c r="UTO181" i="3" s="1"/>
  <c r="UTE181" i="3"/>
  <c r="UTG181" i="3" s="1"/>
  <c r="USW181" i="3"/>
  <c r="USY181" i="3" s="1"/>
  <c r="USO181" i="3"/>
  <c r="USQ181" i="3" s="1"/>
  <c r="USI181" i="3"/>
  <c r="USG181" i="3"/>
  <c r="URY181" i="3"/>
  <c r="USA181" i="3" s="1"/>
  <c r="URQ181" i="3"/>
  <c r="URS181" i="3" s="1"/>
  <c r="URK181" i="3"/>
  <c r="URI181" i="3"/>
  <c r="URA181" i="3"/>
  <c r="URC181" i="3" s="1"/>
  <c r="UQU181" i="3"/>
  <c r="UQS181" i="3"/>
  <c r="UQM181" i="3"/>
  <c r="UQK181" i="3"/>
  <c r="UQC181" i="3"/>
  <c r="UQE181" i="3" s="1"/>
  <c r="UPW181" i="3"/>
  <c r="UPU181" i="3"/>
  <c r="UPM181" i="3"/>
  <c r="UPO181" i="3" s="1"/>
  <c r="UPE181" i="3"/>
  <c r="UPG181" i="3" s="1"/>
  <c r="UOW181" i="3"/>
  <c r="UOY181" i="3" s="1"/>
  <c r="UOQ181" i="3"/>
  <c r="UOO181" i="3"/>
  <c r="UOG181" i="3"/>
  <c r="UOI181" i="3" s="1"/>
  <c r="UNY181" i="3"/>
  <c r="UOA181" i="3" s="1"/>
  <c r="UNQ181" i="3"/>
  <c r="UNS181" i="3" s="1"/>
  <c r="UNK181" i="3"/>
  <c r="UNI181" i="3"/>
  <c r="UNA181" i="3"/>
  <c r="UNC181" i="3" s="1"/>
  <c r="UMU181" i="3"/>
  <c r="UMS181" i="3"/>
  <c r="UMK181" i="3"/>
  <c r="UMM181" i="3" s="1"/>
  <c r="UME181" i="3"/>
  <c r="UMC181" i="3"/>
  <c r="ULW181" i="3"/>
  <c r="ULU181" i="3"/>
  <c r="ULO181" i="3"/>
  <c r="ULM181" i="3"/>
  <c r="ULE181" i="3"/>
  <c r="ULG181" i="3" s="1"/>
  <c r="UKW181" i="3"/>
  <c r="UKY181" i="3" s="1"/>
  <c r="UKO181" i="3"/>
  <c r="UKQ181" i="3" s="1"/>
  <c r="UKG181" i="3"/>
  <c r="UKI181" i="3" s="1"/>
  <c r="UKA181" i="3"/>
  <c r="UJY181" i="3"/>
  <c r="UJQ181" i="3"/>
  <c r="UJS181" i="3" s="1"/>
  <c r="UJK181" i="3"/>
  <c r="UJI181" i="3"/>
  <c r="UJA181" i="3"/>
  <c r="UJC181" i="3" s="1"/>
  <c r="UIS181" i="3"/>
  <c r="UIU181" i="3" s="1"/>
  <c r="UIK181" i="3"/>
  <c r="UIM181" i="3" s="1"/>
  <c r="UIE181" i="3"/>
  <c r="UIC181" i="3"/>
  <c r="UHW181" i="3"/>
  <c r="UHU181" i="3"/>
  <c r="UHM181" i="3"/>
  <c r="UHO181" i="3" s="1"/>
  <c r="UHE181" i="3"/>
  <c r="UHG181" i="3" s="1"/>
  <c r="UGW181" i="3"/>
  <c r="UGY181" i="3" s="1"/>
  <c r="UGQ181" i="3"/>
  <c r="UGO181" i="3"/>
  <c r="UGG181" i="3"/>
  <c r="UGI181" i="3" s="1"/>
  <c r="UGA181" i="3"/>
  <c r="UFY181" i="3"/>
  <c r="UFQ181" i="3"/>
  <c r="UFS181" i="3" s="1"/>
  <c r="UFK181" i="3"/>
  <c r="UFI181" i="3"/>
  <c r="UFA181" i="3"/>
  <c r="UFC181" i="3" s="1"/>
  <c r="UES181" i="3"/>
  <c r="UEU181" i="3" s="1"/>
  <c r="UEM181" i="3"/>
  <c r="UEK181" i="3"/>
  <c r="UEC181" i="3"/>
  <c r="UEE181" i="3" s="1"/>
  <c r="UDW181" i="3"/>
  <c r="UDU181" i="3"/>
  <c r="UDO181" i="3"/>
  <c r="UDM181" i="3"/>
  <c r="UDE181" i="3"/>
  <c r="UDG181" i="3" s="1"/>
  <c r="UCW181" i="3"/>
  <c r="UCY181" i="3" s="1"/>
  <c r="UCO181" i="3"/>
  <c r="UCQ181" i="3" s="1"/>
  <c r="UCI181" i="3"/>
  <c r="UCG181" i="3"/>
  <c r="UBY181" i="3"/>
  <c r="UCA181" i="3" s="1"/>
  <c r="UBQ181" i="3"/>
  <c r="UBS181" i="3" s="1"/>
  <c r="UBI181" i="3"/>
  <c r="UBK181" i="3" s="1"/>
  <c r="UBA181" i="3"/>
  <c r="UBC181" i="3" s="1"/>
  <c r="UAS181" i="3"/>
  <c r="UAU181" i="3" s="1"/>
  <c r="UAM181" i="3"/>
  <c r="UAK181" i="3"/>
  <c r="UAE181" i="3"/>
  <c r="UAC181" i="3"/>
  <c r="TZW181" i="3"/>
  <c r="TZU181" i="3"/>
  <c r="TZM181" i="3"/>
  <c r="TZO181" i="3" s="1"/>
  <c r="TZG181" i="3"/>
  <c r="TZE181" i="3"/>
  <c r="TYW181" i="3"/>
  <c r="TYY181" i="3" s="1"/>
  <c r="TYO181" i="3"/>
  <c r="TYQ181" i="3" s="1"/>
  <c r="TYI181" i="3"/>
  <c r="TYG181" i="3"/>
  <c r="TYA181" i="3"/>
  <c r="TXY181" i="3"/>
  <c r="TXQ181" i="3"/>
  <c r="TXS181" i="3" s="1"/>
  <c r="TXI181" i="3"/>
  <c r="TXK181" i="3" s="1"/>
  <c r="TXA181" i="3"/>
  <c r="TXC181" i="3" s="1"/>
  <c r="TWS181" i="3"/>
  <c r="TWU181" i="3" s="1"/>
  <c r="TWK181" i="3"/>
  <c r="TWM181" i="3" s="1"/>
  <c r="TWE181" i="3"/>
  <c r="TWC181" i="3"/>
  <c r="TVU181" i="3"/>
  <c r="TVW181" i="3" s="1"/>
  <c r="TVM181" i="3"/>
  <c r="TVO181" i="3" s="1"/>
  <c r="TVG181" i="3"/>
  <c r="TVE181" i="3"/>
  <c r="TUW181" i="3"/>
  <c r="TUY181" i="3" s="1"/>
  <c r="TUQ181" i="3"/>
  <c r="TUO181" i="3"/>
  <c r="TUI181" i="3"/>
  <c r="TUG181" i="3"/>
  <c r="TTY181" i="3"/>
  <c r="TUA181" i="3" s="1"/>
  <c r="TTS181" i="3"/>
  <c r="TTQ181" i="3"/>
  <c r="TTK181" i="3"/>
  <c r="TTI181" i="3"/>
  <c r="TTA181" i="3"/>
  <c r="TTC181" i="3" s="1"/>
  <c r="TSS181" i="3"/>
  <c r="TSU181" i="3" s="1"/>
  <c r="TSM181" i="3"/>
  <c r="TSK181" i="3"/>
  <c r="TSC181" i="3"/>
  <c r="TSE181" i="3" s="1"/>
  <c r="TRU181" i="3"/>
  <c r="TRW181" i="3" s="1"/>
  <c r="TRM181" i="3"/>
  <c r="TRO181" i="3" s="1"/>
  <c r="TRG181" i="3"/>
  <c r="TRE181" i="3"/>
  <c r="TQW181" i="3"/>
  <c r="TQY181" i="3" s="1"/>
  <c r="TQQ181" i="3"/>
  <c r="TQO181" i="3"/>
  <c r="TQG181" i="3"/>
  <c r="TQI181" i="3" s="1"/>
  <c r="TQA181" i="3"/>
  <c r="TPY181" i="3"/>
  <c r="TPS181" i="3"/>
  <c r="TPQ181" i="3"/>
  <c r="TPI181" i="3"/>
  <c r="TPK181" i="3" s="1"/>
  <c r="TPA181" i="3"/>
  <c r="TPC181" i="3" s="1"/>
  <c r="TOU181" i="3"/>
  <c r="TOS181" i="3"/>
  <c r="TOK181" i="3"/>
  <c r="TOM181" i="3" s="1"/>
  <c r="TOC181" i="3"/>
  <c r="TOE181" i="3" s="1"/>
  <c r="TNW181" i="3"/>
  <c r="TNU181" i="3"/>
  <c r="TNM181" i="3"/>
  <c r="TNO181" i="3" s="1"/>
  <c r="TNG181" i="3"/>
  <c r="TNE181" i="3"/>
  <c r="TMW181" i="3"/>
  <c r="TMY181" i="3" s="1"/>
  <c r="TMO181" i="3"/>
  <c r="TMQ181" i="3" s="1"/>
  <c r="TMI181" i="3"/>
  <c r="TMG181" i="3"/>
  <c r="TMA181" i="3"/>
  <c r="TLY181" i="3"/>
  <c r="TLS181" i="3"/>
  <c r="TLQ181" i="3"/>
  <c r="TLI181" i="3"/>
  <c r="TLK181" i="3" s="1"/>
  <c r="TLA181" i="3"/>
  <c r="TLC181" i="3" s="1"/>
  <c r="TKS181" i="3"/>
  <c r="TKU181" i="3" s="1"/>
  <c r="TKM181" i="3"/>
  <c r="TKK181" i="3"/>
  <c r="TKE181" i="3"/>
  <c r="TKC181" i="3"/>
  <c r="TJW181" i="3"/>
  <c r="TJU181" i="3"/>
  <c r="TJM181" i="3"/>
  <c r="TJO181" i="3" s="1"/>
  <c r="TJG181" i="3"/>
  <c r="TJE181" i="3"/>
  <c r="TIW181" i="3"/>
  <c r="TIY181" i="3" s="1"/>
  <c r="TIO181" i="3"/>
  <c r="TIQ181" i="3" s="1"/>
  <c r="TII181" i="3"/>
  <c r="TIG181" i="3"/>
  <c r="TIA181" i="3"/>
  <c r="THY181" i="3"/>
  <c r="THS181" i="3"/>
  <c r="THQ181" i="3"/>
  <c r="THI181" i="3"/>
  <c r="THK181" i="3" s="1"/>
  <c r="THA181" i="3"/>
  <c r="THC181" i="3" s="1"/>
  <c r="TGS181" i="3"/>
  <c r="TGU181" i="3" s="1"/>
  <c r="TGK181" i="3"/>
  <c r="TGM181" i="3" s="1"/>
  <c r="TGE181" i="3"/>
  <c r="TGC181" i="3"/>
  <c r="TFW181" i="3"/>
  <c r="TFU181" i="3"/>
  <c r="TFM181" i="3"/>
  <c r="TFO181" i="3" s="1"/>
  <c r="TFE181" i="3"/>
  <c r="TFG181" i="3" s="1"/>
  <c r="TEW181" i="3"/>
  <c r="TEY181" i="3" s="1"/>
  <c r="TEQ181" i="3"/>
  <c r="TEO181" i="3"/>
  <c r="TEI181" i="3"/>
  <c r="TEG181" i="3"/>
  <c r="TEA181" i="3"/>
  <c r="TDY181" i="3"/>
  <c r="TDS181" i="3"/>
  <c r="TDQ181" i="3"/>
  <c r="TDI181" i="3"/>
  <c r="TDK181" i="3" s="1"/>
  <c r="TDC181" i="3"/>
  <c r="TDA181" i="3"/>
  <c r="TCS181" i="3"/>
  <c r="TCU181" i="3" s="1"/>
  <c r="TCM181" i="3"/>
  <c r="TCK181" i="3"/>
  <c r="TCE181" i="3"/>
  <c r="TCC181" i="3"/>
  <c r="TBW181" i="3"/>
  <c r="TBU181" i="3"/>
  <c r="TBM181" i="3"/>
  <c r="TBO181" i="3" s="1"/>
  <c r="TBG181" i="3"/>
  <c r="TBE181" i="3"/>
  <c r="TAW181" i="3"/>
  <c r="TAY181" i="3" s="1"/>
  <c r="TAO181" i="3"/>
  <c r="TAQ181" i="3" s="1"/>
  <c r="TAI181" i="3"/>
  <c r="TAG181" i="3"/>
  <c r="TAA181" i="3"/>
  <c r="SZY181" i="3"/>
  <c r="SZQ181" i="3"/>
  <c r="SZS181" i="3" s="1"/>
  <c r="SZI181" i="3"/>
  <c r="SZK181" i="3" s="1"/>
  <c r="SZC181" i="3"/>
  <c r="SZA181" i="3"/>
  <c r="SYS181" i="3"/>
  <c r="SYU181" i="3" s="1"/>
  <c r="SYM181" i="3"/>
  <c r="SYK181" i="3"/>
  <c r="SYC181" i="3"/>
  <c r="SYE181" i="3" s="1"/>
  <c r="SXU181" i="3"/>
  <c r="SXW181" i="3" s="1"/>
  <c r="SXO181" i="3"/>
  <c r="SXM181" i="3"/>
  <c r="SXG181" i="3"/>
  <c r="SXE181" i="3"/>
  <c r="SWW181" i="3"/>
  <c r="SWY181" i="3" s="1"/>
  <c r="SWQ181" i="3"/>
  <c r="SWO181" i="3"/>
  <c r="SWI181" i="3"/>
  <c r="SWG181" i="3"/>
  <c r="SVY181" i="3"/>
  <c r="SWA181" i="3" s="1"/>
  <c r="SVS181" i="3"/>
  <c r="SVQ181" i="3"/>
  <c r="SVI181" i="3"/>
  <c r="SVK181" i="3" s="1"/>
  <c r="SVC181" i="3"/>
  <c r="SVA181" i="3"/>
  <c r="SUS181" i="3"/>
  <c r="SUU181" i="3" s="1"/>
  <c r="SUK181" i="3"/>
  <c r="SUM181" i="3" s="1"/>
  <c r="SUC181" i="3"/>
  <c r="SUE181" i="3" s="1"/>
  <c r="STW181" i="3"/>
  <c r="STU181" i="3"/>
  <c r="STO181" i="3"/>
  <c r="STM181" i="3"/>
  <c r="STE181" i="3"/>
  <c r="STG181" i="3" s="1"/>
  <c r="SSW181" i="3"/>
  <c r="SSY181" i="3" s="1"/>
  <c r="SSQ181" i="3"/>
  <c r="SSO181" i="3"/>
  <c r="SSG181" i="3"/>
  <c r="SSI181" i="3" s="1"/>
  <c r="SSA181" i="3"/>
  <c r="SRY181" i="3"/>
  <c r="SRS181" i="3"/>
  <c r="SRQ181" i="3"/>
  <c r="SRI181" i="3"/>
  <c r="SRK181" i="3" s="1"/>
  <c r="SRC181" i="3"/>
  <c r="SRA181" i="3"/>
  <c r="SQS181" i="3"/>
  <c r="SQU181" i="3" s="1"/>
  <c r="SQK181" i="3"/>
  <c r="SQM181" i="3" s="1"/>
  <c r="SQE181" i="3"/>
  <c r="SQC181" i="3"/>
  <c r="SPU181" i="3"/>
  <c r="SPW181" i="3" s="1"/>
  <c r="SPO181" i="3"/>
  <c r="SPM181" i="3"/>
  <c r="SPE181" i="3"/>
  <c r="SPG181" i="3" s="1"/>
  <c r="SOW181" i="3"/>
  <c r="SOY181" i="3" s="1"/>
  <c r="SOO181" i="3"/>
  <c r="SOQ181" i="3" s="1"/>
  <c r="SOI181" i="3"/>
  <c r="SOG181" i="3"/>
  <c r="SOA181" i="3"/>
  <c r="SNY181" i="3"/>
  <c r="SNQ181" i="3"/>
  <c r="SNS181" i="3" s="1"/>
  <c r="SNI181" i="3"/>
  <c r="SNK181" i="3" s="1"/>
  <c r="SNC181" i="3"/>
  <c r="SNA181" i="3"/>
  <c r="SMS181" i="3"/>
  <c r="SMU181" i="3" s="1"/>
  <c r="SMM181" i="3"/>
  <c r="SMK181" i="3"/>
  <c r="SME181" i="3"/>
  <c r="SMC181" i="3"/>
  <c r="SLU181" i="3"/>
  <c r="SLW181" i="3" s="1"/>
  <c r="SLO181" i="3"/>
  <c r="SLM181" i="3"/>
  <c r="SLG181" i="3"/>
  <c r="SLE181" i="3"/>
  <c r="SKW181" i="3"/>
  <c r="SKY181" i="3" s="1"/>
  <c r="SKO181" i="3"/>
  <c r="SKQ181" i="3" s="1"/>
  <c r="SKI181" i="3"/>
  <c r="SKG181" i="3"/>
  <c r="SKA181" i="3"/>
  <c r="SJY181" i="3"/>
  <c r="SJQ181" i="3"/>
  <c r="SJS181" i="3" s="1"/>
  <c r="SJI181" i="3"/>
  <c r="SJK181" i="3" s="1"/>
  <c r="SJA181" i="3"/>
  <c r="SJC181" i="3" s="1"/>
  <c r="SIS181" i="3"/>
  <c r="SIU181" i="3" s="1"/>
  <c r="SIM181" i="3"/>
  <c r="SIK181" i="3"/>
  <c r="SIC181" i="3"/>
  <c r="SIE181" i="3" s="1"/>
  <c r="SHU181" i="3"/>
  <c r="SHW181" i="3" s="1"/>
  <c r="SHO181" i="3"/>
  <c r="SHM181" i="3"/>
  <c r="SHE181" i="3"/>
  <c r="SHG181" i="3" s="1"/>
  <c r="SGY181" i="3"/>
  <c r="SGW181" i="3"/>
  <c r="SGQ181" i="3"/>
  <c r="SGO181" i="3"/>
  <c r="SGG181" i="3"/>
  <c r="SGI181" i="3" s="1"/>
  <c r="SGA181" i="3"/>
  <c r="SFY181" i="3"/>
  <c r="SFS181" i="3"/>
  <c r="SFQ181" i="3"/>
  <c r="SFI181" i="3"/>
  <c r="SFK181" i="3" s="1"/>
  <c r="SFC181" i="3"/>
  <c r="SFA181" i="3"/>
  <c r="SES181" i="3"/>
  <c r="SEU181" i="3" s="1"/>
  <c r="SEM181" i="3"/>
  <c r="SEK181" i="3"/>
  <c r="SEC181" i="3"/>
  <c r="SEE181" i="3" s="1"/>
  <c r="SDW181" i="3"/>
  <c r="SDU181" i="3"/>
  <c r="SDM181" i="3"/>
  <c r="SDO181" i="3" s="1"/>
  <c r="SDE181" i="3"/>
  <c r="SDG181" i="3" s="1"/>
  <c r="SCY181" i="3"/>
  <c r="SCW181" i="3"/>
  <c r="SCO181" i="3"/>
  <c r="SCQ181" i="3" s="1"/>
  <c r="SCI181" i="3"/>
  <c r="SCG181" i="3"/>
  <c r="SBY181" i="3"/>
  <c r="SCA181" i="3" s="1"/>
  <c r="SBQ181" i="3"/>
  <c r="SBS181" i="3" s="1"/>
  <c r="SBK181" i="3"/>
  <c r="SBI181" i="3"/>
  <c r="SBA181" i="3"/>
  <c r="SBC181" i="3" s="1"/>
  <c r="SAS181" i="3"/>
  <c r="SAU181" i="3" s="1"/>
  <c r="SAK181" i="3"/>
  <c r="SAM181" i="3" s="1"/>
  <c r="SAE181" i="3"/>
  <c r="SAC181" i="3"/>
  <c r="RZU181" i="3"/>
  <c r="RZW181" i="3" s="1"/>
  <c r="RZM181" i="3"/>
  <c r="RZO181" i="3" s="1"/>
  <c r="RZE181" i="3"/>
  <c r="RZG181" i="3" s="1"/>
  <c r="RYY181" i="3"/>
  <c r="RYW181" i="3"/>
  <c r="RYQ181" i="3"/>
  <c r="RYO181" i="3"/>
  <c r="RYG181" i="3"/>
  <c r="RYI181" i="3" s="1"/>
  <c r="RXY181" i="3"/>
  <c r="RYA181" i="3" s="1"/>
  <c r="RXS181" i="3"/>
  <c r="RXQ181" i="3"/>
  <c r="RXK181" i="3"/>
  <c r="RXI181" i="3"/>
  <c r="RXA181" i="3"/>
  <c r="RXC181" i="3" s="1"/>
  <c r="RWS181" i="3"/>
  <c r="RWU181" i="3" s="1"/>
  <c r="RWM181" i="3"/>
  <c r="RWK181" i="3"/>
  <c r="RWC181" i="3"/>
  <c r="RWE181" i="3" s="1"/>
  <c r="RVW181" i="3"/>
  <c r="RVU181" i="3"/>
  <c r="RVO181" i="3"/>
  <c r="RVM181" i="3"/>
  <c r="RVE181" i="3"/>
  <c r="RVG181" i="3" s="1"/>
  <c r="RUY181" i="3"/>
  <c r="RUW181" i="3"/>
  <c r="RUQ181" i="3"/>
  <c r="RUO181" i="3"/>
  <c r="RUG181" i="3"/>
  <c r="RUI181" i="3" s="1"/>
  <c r="RUA181" i="3"/>
  <c r="RTY181" i="3"/>
  <c r="RTS181" i="3"/>
  <c r="RTQ181" i="3"/>
  <c r="RTK181" i="3"/>
  <c r="RTI181" i="3"/>
  <c r="RTA181" i="3"/>
  <c r="RTC181" i="3" s="1"/>
  <c r="RSS181" i="3"/>
  <c r="RSU181" i="3" s="1"/>
  <c r="RSK181" i="3"/>
  <c r="RSM181" i="3" s="1"/>
  <c r="RSE181" i="3"/>
  <c r="RSC181" i="3"/>
  <c r="RRW181" i="3"/>
  <c r="RRU181" i="3"/>
  <c r="RRO181" i="3"/>
  <c r="RRM181" i="3"/>
  <c r="RRE181" i="3"/>
  <c r="RRG181" i="3" s="1"/>
  <c r="RQY181" i="3"/>
  <c r="RQW181" i="3"/>
  <c r="RQO181" i="3"/>
  <c r="RQQ181" i="3" s="1"/>
  <c r="RQG181" i="3"/>
  <c r="RQI181" i="3" s="1"/>
  <c r="RPY181" i="3"/>
  <c r="RQA181" i="3" s="1"/>
  <c r="RPS181" i="3"/>
  <c r="RPQ181" i="3"/>
  <c r="RPK181" i="3"/>
  <c r="RPI181" i="3"/>
  <c r="RPC181" i="3"/>
  <c r="RPA181" i="3"/>
  <c r="ROS181" i="3"/>
  <c r="ROU181" i="3" s="1"/>
  <c r="ROM181" i="3"/>
  <c r="ROK181" i="3"/>
  <c r="ROC181" i="3"/>
  <c r="ROE181" i="3" s="1"/>
  <c r="RNW181" i="3"/>
  <c r="RNU181" i="3"/>
  <c r="RNM181" i="3"/>
  <c r="RNO181" i="3" s="1"/>
  <c r="RNE181" i="3"/>
  <c r="RNG181" i="3" s="1"/>
  <c r="RMW181" i="3"/>
  <c r="RMY181" i="3" s="1"/>
  <c r="RMO181" i="3"/>
  <c r="RMQ181" i="3" s="1"/>
  <c r="RMG181" i="3"/>
  <c r="RMI181" i="3" s="1"/>
  <c r="RLY181" i="3"/>
  <c r="RMA181" i="3" s="1"/>
  <c r="RLS181" i="3"/>
  <c r="RLQ181" i="3"/>
  <c r="RLK181" i="3"/>
  <c r="RLI181" i="3"/>
  <c r="RLA181" i="3"/>
  <c r="RLC181" i="3" s="1"/>
  <c r="RKU181" i="3"/>
  <c r="RKS181" i="3"/>
  <c r="RKK181" i="3"/>
  <c r="RKM181" i="3" s="1"/>
  <c r="RKE181" i="3"/>
  <c r="RKC181" i="3"/>
  <c r="RJW181" i="3"/>
  <c r="RJU181" i="3"/>
  <c r="RJO181" i="3"/>
  <c r="RJM181" i="3"/>
  <c r="RJE181" i="3"/>
  <c r="RJG181" i="3" s="1"/>
  <c r="RIY181" i="3"/>
  <c r="RIW181" i="3"/>
  <c r="RIO181" i="3"/>
  <c r="RIQ181" i="3" s="1"/>
  <c r="RIG181" i="3"/>
  <c r="RII181" i="3" s="1"/>
  <c r="RIA181" i="3"/>
  <c r="RHY181" i="3"/>
  <c r="RHQ181" i="3"/>
  <c r="RHS181" i="3" s="1"/>
  <c r="RHI181" i="3"/>
  <c r="RHK181" i="3" s="1"/>
  <c r="RHA181" i="3"/>
  <c r="RHC181" i="3" s="1"/>
  <c r="RGU181" i="3"/>
  <c r="RGS181" i="3"/>
  <c r="RGM181" i="3"/>
  <c r="RGK181" i="3"/>
  <c r="RGC181" i="3"/>
  <c r="RGE181" i="3" s="1"/>
  <c r="RFW181" i="3"/>
  <c r="RFU181" i="3"/>
  <c r="RFM181" i="3"/>
  <c r="RFO181" i="3" s="1"/>
  <c r="RFG181" i="3"/>
  <c r="RFE181" i="3"/>
  <c r="REY181" i="3"/>
  <c r="REW181" i="3"/>
  <c r="REO181" i="3"/>
  <c r="REQ181" i="3" s="1"/>
  <c r="REI181" i="3"/>
  <c r="REG181" i="3"/>
  <c r="RDY181" i="3"/>
  <c r="REA181" i="3" s="1"/>
  <c r="RDQ181" i="3"/>
  <c r="RDS181" i="3" s="1"/>
  <c r="RDI181" i="3"/>
  <c r="RDK181" i="3" s="1"/>
  <c r="RDA181" i="3"/>
  <c r="RDC181" i="3" s="1"/>
  <c r="RCU181" i="3"/>
  <c r="RCS181" i="3"/>
  <c r="RCK181" i="3"/>
  <c r="RCM181" i="3" s="1"/>
  <c r="RCE181" i="3"/>
  <c r="RCC181" i="3"/>
  <c r="RBU181" i="3"/>
  <c r="RBW181" i="3" s="1"/>
  <c r="RBM181" i="3"/>
  <c r="RBO181" i="3" s="1"/>
  <c r="RBG181" i="3"/>
  <c r="RBE181" i="3"/>
  <c r="RAW181" i="3"/>
  <c r="RAY181" i="3" s="1"/>
  <c r="RAO181" i="3"/>
  <c r="RAQ181" i="3" s="1"/>
  <c r="RAG181" i="3"/>
  <c r="RAI181" i="3" s="1"/>
  <c r="QZY181" i="3"/>
  <c r="RAA181" i="3" s="1"/>
  <c r="QZS181" i="3"/>
  <c r="QZQ181" i="3"/>
  <c r="QZI181" i="3"/>
  <c r="QZK181" i="3" s="1"/>
  <c r="QZA181" i="3"/>
  <c r="QZC181" i="3" s="1"/>
  <c r="QYU181" i="3"/>
  <c r="QYS181" i="3"/>
  <c r="QYM181" i="3"/>
  <c r="QYK181" i="3"/>
  <c r="QYC181" i="3"/>
  <c r="QYE181" i="3" s="1"/>
  <c r="QXW181" i="3"/>
  <c r="QXU181" i="3"/>
  <c r="QXO181" i="3"/>
  <c r="QXM181" i="3"/>
  <c r="QXG181" i="3"/>
  <c r="QXE181" i="3"/>
  <c r="QWW181" i="3"/>
  <c r="QWY181" i="3" s="1"/>
  <c r="QWO181" i="3"/>
  <c r="QWQ181" i="3" s="1"/>
  <c r="QWG181" i="3"/>
  <c r="QWI181" i="3" s="1"/>
  <c r="QWA181" i="3"/>
  <c r="QVY181" i="3"/>
  <c r="QVS181" i="3"/>
  <c r="QVQ181" i="3"/>
  <c r="QVK181" i="3"/>
  <c r="QVI181" i="3"/>
  <c r="QVA181" i="3"/>
  <c r="QVC181" i="3" s="1"/>
  <c r="QUU181" i="3"/>
  <c r="QUS181" i="3"/>
  <c r="QUK181" i="3"/>
  <c r="QUM181" i="3" s="1"/>
  <c r="QUC181" i="3"/>
  <c r="QUE181" i="3" s="1"/>
  <c r="QTW181" i="3"/>
  <c r="QTU181" i="3"/>
  <c r="QTO181" i="3"/>
  <c r="QTM181" i="3"/>
  <c r="QTG181" i="3"/>
  <c r="QTE181" i="3"/>
  <c r="QSW181" i="3"/>
  <c r="QSY181" i="3" s="1"/>
  <c r="QSO181" i="3"/>
  <c r="QSQ181" i="3" s="1"/>
  <c r="QSI181" i="3"/>
  <c r="QSG181" i="3"/>
  <c r="QRY181" i="3"/>
  <c r="QSA181" i="3" s="1"/>
  <c r="QRQ181" i="3"/>
  <c r="QRS181" i="3" s="1"/>
  <c r="QRK181" i="3"/>
  <c r="QRI181" i="3"/>
  <c r="QRA181" i="3"/>
  <c r="QRC181" i="3" s="1"/>
  <c r="QQS181" i="3"/>
  <c r="QQU181" i="3" s="1"/>
  <c r="QQK181" i="3"/>
  <c r="QQM181" i="3" s="1"/>
  <c r="QQC181" i="3"/>
  <c r="QQE181" i="3" s="1"/>
  <c r="QPW181" i="3"/>
  <c r="QPU181" i="3"/>
  <c r="QPO181" i="3"/>
  <c r="QPM181" i="3"/>
  <c r="QPG181" i="3"/>
  <c r="QPE181" i="3"/>
  <c r="QOW181" i="3"/>
  <c r="QOY181" i="3" s="1"/>
  <c r="QOQ181" i="3"/>
  <c r="QOO181" i="3"/>
  <c r="QOI181" i="3"/>
  <c r="QOG181" i="3"/>
  <c r="QOA181" i="3"/>
  <c r="QNY181" i="3"/>
  <c r="QNS181" i="3"/>
  <c r="QNQ181" i="3"/>
  <c r="QNI181" i="3"/>
  <c r="QNK181" i="3" s="1"/>
  <c r="QNA181" i="3"/>
  <c r="QNC181" i="3" s="1"/>
  <c r="QMU181" i="3"/>
  <c r="QMS181" i="3"/>
  <c r="QMK181" i="3"/>
  <c r="QMM181" i="3" s="1"/>
  <c r="QME181" i="3"/>
  <c r="QMC181" i="3"/>
  <c r="QLU181" i="3"/>
  <c r="QLW181" i="3" s="1"/>
  <c r="QLO181" i="3"/>
  <c r="QLM181" i="3"/>
  <c r="QLE181" i="3"/>
  <c r="QLG181" i="3" s="1"/>
  <c r="QKW181" i="3"/>
  <c r="QKY181" i="3" s="1"/>
  <c r="QKQ181" i="3"/>
  <c r="QKO181" i="3"/>
  <c r="QKG181" i="3"/>
  <c r="QKI181" i="3" s="1"/>
  <c r="QKA181" i="3"/>
  <c r="QJY181" i="3"/>
  <c r="QJS181" i="3"/>
  <c r="QJQ181" i="3"/>
  <c r="QJI181" i="3"/>
  <c r="QJK181" i="3" s="1"/>
  <c r="QJC181" i="3"/>
  <c r="QJA181" i="3"/>
  <c r="QIU181" i="3"/>
  <c r="QIS181" i="3"/>
  <c r="QIK181" i="3"/>
  <c r="QIM181" i="3" s="1"/>
  <c r="QIC181" i="3"/>
  <c r="QIE181" i="3" s="1"/>
  <c r="QHW181" i="3"/>
  <c r="QHU181" i="3"/>
  <c r="QHM181" i="3"/>
  <c r="QHO181" i="3" s="1"/>
  <c r="QHG181" i="3"/>
  <c r="QHE181" i="3"/>
  <c r="QGW181" i="3"/>
  <c r="QGY181" i="3" s="1"/>
  <c r="QGQ181" i="3"/>
  <c r="QGO181" i="3"/>
  <c r="QGI181" i="3"/>
  <c r="QGG181" i="3"/>
  <c r="QFY181" i="3"/>
  <c r="QGA181" i="3" s="1"/>
  <c r="QFQ181" i="3"/>
  <c r="QFS181" i="3" s="1"/>
  <c r="QFI181" i="3"/>
  <c r="QFK181" i="3" s="1"/>
  <c r="QFC181" i="3"/>
  <c r="QFA181" i="3"/>
  <c r="QEU181" i="3"/>
  <c r="QES181" i="3"/>
  <c r="QEK181" i="3"/>
  <c r="QEM181" i="3" s="1"/>
  <c r="QEE181" i="3"/>
  <c r="QEC181" i="3"/>
  <c r="QDU181" i="3"/>
  <c r="QDW181" i="3" s="1"/>
  <c r="QDM181" i="3"/>
  <c r="QDO181" i="3" s="1"/>
  <c r="QDE181" i="3"/>
  <c r="QDG181" i="3" s="1"/>
  <c r="QCW181" i="3"/>
  <c r="QCY181" i="3" s="1"/>
  <c r="QCQ181" i="3"/>
  <c r="QCO181" i="3"/>
  <c r="QCG181" i="3"/>
  <c r="QCI181" i="3" s="1"/>
  <c r="QBY181" i="3"/>
  <c r="QCA181" i="3" s="1"/>
  <c r="QBS181" i="3"/>
  <c r="QBQ181" i="3"/>
  <c r="QBI181" i="3"/>
  <c r="QBK181" i="3" s="1"/>
  <c r="QBC181" i="3"/>
  <c r="QBA181" i="3"/>
  <c r="QAS181" i="3"/>
  <c r="QAU181" i="3" s="1"/>
  <c r="QAK181" i="3"/>
  <c r="QAM181" i="3" s="1"/>
  <c r="QAC181" i="3"/>
  <c r="QAE181" i="3" s="1"/>
  <c r="PZW181" i="3"/>
  <c r="PZU181" i="3"/>
  <c r="PZO181" i="3"/>
  <c r="PZM181" i="3"/>
  <c r="PZE181" i="3"/>
  <c r="PZG181" i="3" s="1"/>
  <c r="PYW181" i="3"/>
  <c r="PYY181" i="3" s="1"/>
  <c r="PYQ181" i="3"/>
  <c r="PYO181" i="3"/>
  <c r="PYG181" i="3"/>
  <c r="PYI181" i="3" s="1"/>
  <c r="PYA181" i="3"/>
  <c r="PXY181" i="3"/>
  <c r="PXS181" i="3"/>
  <c r="PXQ181" i="3"/>
  <c r="PXK181" i="3"/>
  <c r="PXI181" i="3"/>
  <c r="PXC181" i="3"/>
  <c r="PXA181" i="3"/>
  <c r="PWS181" i="3"/>
  <c r="PWU181" i="3" s="1"/>
  <c r="PWK181" i="3"/>
  <c r="PWM181" i="3" s="1"/>
  <c r="PWC181" i="3"/>
  <c r="PWE181" i="3" s="1"/>
  <c r="PVU181" i="3"/>
  <c r="PVW181" i="3" s="1"/>
  <c r="PVO181" i="3"/>
  <c r="PVM181" i="3"/>
  <c r="PVE181" i="3"/>
  <c r="PVG181" i="3" s="1"/>
  <c r="PUW181" i="3"/>
  <c r="PUY181" i="3" s="1"/>
  <c r="PUO181" i="3"/>
  <c r="PUQ181" i="3" s="1"/>
  <c r="PUG181" i="3"/>
  <c r="PUI181" i="3" s="1"/>
  <c r="PUA181" i="3"/>
  <c r="PTY181" i="3"/>
  <c r="PTS181" i="3"/>
  <c r="PTQ181" i="3"/>
  <c r="PTK181" i="3"/>
  <c r="PTI181" i="3"/>
  <c r="PTC181" i="3"/>
  <c r="PTA181" i="3"/>
  <c r="PSS181" i="3"/>
  <c r="PSU181" i="3" s="1"/>
  <c r="PSM181" i="3"/>
  <c r="PSK181" i="3"/>
  <c r="PSC181" i="3"/>
  <c r="PSE181" i="3" s="1"/>
  <c r="PRW181" i="3"/>
  <c r="PRU181" i="3"/>
  <c r="PRM181" i="3"/>
  <c r="PRO181" i="3" s="1"/>
  <c r="PRG181" i="3"/>
  <c r="PRE181" i="3"/>
  <c r="PQW181" i="3"/>
  <c r="PQY181" i="3" s="1"/>
  <c r="PQO181" i="3"/>
  <c r="PQQ181" i="3" s="1"/>
  <c r="PQG181" i="3"/>
  <c r="PQI181" i="3" s="1"/>
  <c r="PQA181" i="3"/>
  <c r="PPY181" i="3"/>
  <c r="PPS181" i="3"/>
  <c r="PPQ181" i="3"/>
  <c r="PPK181" i="3"/>
  <c r="PPI181" i="3"/>
  <c r="PPA181" i="3"/>
  <c r="PPC181" i="3" s="1"/>
  <c r="POS181" i="3"/>
  <c r="POU181" i="3" s="1"/>
  <c r="POM181" i="3"/>
  <c r="POK181" i="3"/>
  <c r="POE181" i="3"/>
  <c r="POC181" i="3"/>
  <c r="PNW181" i="3"/>
  <c r="PNU181" i="3"/>
  <c r="PNO181" i="3"/>
  <c r="PNM181" i="3"/>
  <c r="PNE181" i="3"/>
  <c r="PNG181" i="3" s="1"/>
  <c r="PMY181" i="3"/>
  <c r="PMW181" i="3"/>
  <c r="PMQ181" i="3"/>
  <c r="PMO181" i="3"/>
  <c r="PMG181" i="3"/>
  <c r="PMI181" i="3" s="1"/>
  <c r="PMA181" i="3"/>
  <c r="PLY181" i="3"/>
  <c r="PLS181" i="3"/>
  <c r="PLQ181" i="3"/>
  <c r="PLI181" i="3"/>
  <c r="PLK181" i="3" s="1"/>
  <c r="PLC181" i="3"/>
  <c r="PLA181" i="3"/>
  <c r="PKS181" i="3"/>
  <c r="PKU181" i="3" s="1"/>
  <c r="PKM181" i="3"/>
  <c r="PKK181" i="3"/>
  <c r="PKC181" i="3"/>
  <c r="PKE181" i="3" s="1"/>
  <c r="PJW181" i="3"/>
  <c r="PJU181" i="3"/>
  <c r="PJM181" i="3"/>
  <c r="PJO181" i="3" s="1"/>
  <c r="PJG181" i="3"/>
  <c r="PJE181" i="3"/>
  <c r="PIY181" i="3"/>
  <c r="PIW181" i="3"/>
  <c r="PIQ181" i="3"/>
  <c r="PIO181" i="3"/>
  <c r="PIG181" i="3"/>
  <c r="PII181" i="3" s="1"/>
  <c r="PHY181" i="3"/>
  <c r="PIA181" i="3" s="1"/>
  <c r="PHQ181" i="3"/>
  <c r="PHS181" i="3" s="1"/>
  <c r="PHI181" i="3"/>
  <c r="PHK181" i="3" s="1"/>
  <c r="PHA181" i="3"/>
  <c r="PHC181" i="3" s="1"/>
  <c r="PGS181" i="3"/>
  <c r="PGU181" i="3" s="1"/>
  <c r="PGM181" i="3"/>
  <c r="PGK181" i="3"/>
  <c r="PGE181" i="3"/>
  <c r="PGC181" i="3"/>
  <c r="PFU181" i="3"/>
  <c r="PFW181" i="3" s="1"/>
  <c r="PFM181" i="3"/>
  <c r="PFO181" i="3" s="1"/>
  <c r="PFE181" i="3"/>
  <c r="PFG181" i="3" s="1"/>
  <c r="PEY181" i="3"/>
  <c r="PEW181" i="3"/>
  <c r="PEO181" i="3"/>
  <c r="PEQ181" i="3" s="1"/>
  <c r="PEG181" i="3"/>
  <c r="PEI181" i="3" s="1"/>
  <c r="PDY181" i="3"/>
  <c r="PEA181" i="3" s="1"/>
  <c r="PDS181" i="3"/>
  <c r="PDQ181" i="3"/>
  <c r="PDI181" i="3"/>
  <c r="PDK181" i="3" s="1"/>
  <c r="PDA181" i="3"/>
  <c r="PDC181" i="3" s="1"/>
  <c r="PCS181" i="3"/>
  <c r="PCU181" i="3" s="1"/>
  <c r="PCM181" i="3"/>
  <c r="PCK181" i="3"/>
  <c r="PCC181" i="3"/>
  <c r="PCE181" i="3" s="1"/>
  <c r="PBU181" i="3"/>
  <c r="PBW181" i="3" s="1"/>
  <c r="PBO181" i="3"/>
  <c r="PBM181" i="3"/>
  <c r="PBE181" i="3"/>
  <c r="PBG181" i="3" s="1"/>
  <c r="PAY181" i="3"/>
  <c r="PAW181" i="3"/>
  <c r="PAO181" i="3"/>
  <c r="PAQ181" i="3" s="1"/>
  <c r="PAG181" i="3"/>
  <c r="PAI181" i="3" s="1"/>
  <c r="PAA181" i="3"/>
  <c r="OZY181" i="3"/>
  <c r="OZS181" i="3"/>
  <c r="OZQ181" i="3"/>
  <c r="OZI181" i="3"/>
  <c r="OZK181" i="3" s="1"/>
  <c r="OZC181" i="3"/>
  <c r="OZA181" i="3"/>
  <c r="OYS181" i="3"/>
  <c r="OYU181" i="3" s="1"/>
  <c r="OYK181" i="3"/>
  <c r="OYM181" i="3" s="1"/>
  <c r="OYC181" i="3"/>
  <c r="OYE181" i="3" s="1"/>
  <c r="OXU181" i="3"/>
  <c r="OXW181" i="3" s="1"/>
  <c r="OXO181" i="3"/>
  <c r="OXM181" i="3"/>
  <c r="OXG181" i="3"/>
  <c r="OXE181" i="3"/>
  <c r="OWY181" i="3"/>
  <c r="OWW181" i="3"/>
  <c r="OWO181" i="3"/>
  <c r="OWQ181" i="3" s="1"/>
  <c r="OWI181" i="3"/>
  <c r="OWG181" i="3"/>
  <c r="OVY181" i="3"/>
  <c r="OWA181" i="3" s="1"/>
  <c r="OVQ181" i="3"/>
  <c r="OVS181" i="3" s="1"/>
  <c r="OVK181" i="3"/>
  <c r="OVI181" i="3"/>
  <c r="OVA181" i="3"/>
  <c r="OVC181" i="3" s="1"/>
  <c r="OUS181" i="3"/>
  <c r="OUU181" i="3" s="1"/>
  <c r="OUK181" i="3"/>
  <c r="OUM181" i="3" s="1"/>
  <c r="OUC181" i="3"/>
  <c r="OUE181" i="3" s="1"/>
  <c r="OTW181" i="3"/>
  <c r="OTU181" i="3"/>
  <c r="OTM181" i="3"/>
  <c r="OTO181" i="3" s="1"/>
  <c r="OTG181" i="3"/>
  <c r="OTE181" i="3"/>
  <c r="OSW181" i="3"/>
  <c r="OSY181" i="3" s="1"/>
  <c r="OSO181" i="3"/>
  <c r="OSQ181" i="3" s="1"/>
  <c r="OSI181" i="3"/>
  <c r="OSG181" i="3"/>
  <c r="ORY181" i="3"/>
  <c r="OSA181" i="3" s="1"/>
  <c r="ORS181" i="3"/>
  <c r="ORQ181" i="3"/>
  <c r="ORI181" i="3"/>
  <c r="ORK181" i="3" s="1"/>
  <c r="ORA181" i="3"/>
  <c r="ORC181" i="3" s="1"/>
  <c r="OQU181" i="3"/>
  <c r="OQS181" i="3"/>
  <c r="OQK181" i="3"/>
  <c r="OQM181" i="3" s="1"/>
  <c r="OQC181" i="3"/>
  <c r="OQE181" i="3" s="1"/>
  <c r="OPW181" i="3"/>
  <c r="OPU181" i="3"/>
  <c r="OPO181" i="3"/>
  <c r="OPM181" i="3"/>
  <c r="OPE181" i="3"/>
  <c r="OPG181" i="3" s="1"/>
  <c r="OOW181" i="3"/>
  <c r="OOY181" i="3" s="1"/>
  <c r="OOO181" i="3"/>
  <c r="OOQ181" i="3" s="1"/>
  <c r="OOI181" i="3"/>
  <c r="OOG181" i="3"/>
  <c r="OOA181" i="3"/>
  <c r="ONY181" i="3"/>
  <c r="ONS181" i="3"/>
  <c r="ONQ181" i="3"/>
  <c r="ONI181" i="3"/>
  <c r="ONK181" i="3" s="1"/>
  <c r="ONC181" i="3"/>
  <c r="ONA181" i="3"/>
  <c r="OMU181" i="3"/>
  <c r="OMS181" i="3"/>
  <c r="OMM181" i="3"/>
  <c r="OMK181" i="3"/>
  <c r="OMC181" i="3"/>
  <c r="OME181" i="3" s="1"/>
  <c r="OLW181" i="3"/>
  <c r="OLU181" i="3"/>
  <c r="OLM181" i="3"/>
  <c r="OLO181" i="3" s="1"/>
  <c r="OLE181" i="3"/>
  <c r="OLG181" i="3" s="1"/>
  <c r="OKY181" i="3"/>
  <c r="OKW181" i="3"/>
  <c r="OKO181" i="3"/>
  <c r="OKQ181" i="3" s="1"/>
  <c r="OKI181" i="3"/>
  <c r="OKG181" i="3"/>
  <c r="OJY181" i="3"/>
  <c r="OKA181" i="3" s="1"/>
  <c r="OJQ181" i="3"/>
  <c r="OJS181" i="3" s="1"/>
  <c r="OJI181" i="3"/>
  <c r="OJK181" i="3" s="1"/>
  <c r="OJC181" i="3"/>
  <c r="OJA181" i="3"/>
  <c r="OIU181" i="3"/>
  <c r="OIS181" i="3"/>
  <c r="OIM181" i="3"/>
  <c r="OIK181" i="3"/>
  <c r="OIC181" i="3"/>
  <c r="OIE181" i="3" s="1"/>
  <c r="OHU181" i="3"/>
  <c r="OHW181" i="3" s="1"/>
  <c r="OHM181" i="3"/>
  <c r="OHO181" i="3" s="1"/>
  <c r="OHE181" i="3"/>
  <c r="OHG181" i="3" s="1"/>
  <c r="OGW181" i="3"/>
  <c r="OGY181" i="3" s="1"/>
  <c r="OGO181" i="3"/>
  <c r="OGQ181" i="3" s="1"/>
  <c r="OGI181" i="3"/>
  <c r="OGG181" i="3"/>
  <c r="OFY181" i="3"/>
  <c r="OGA181" i="3" s="1"/>
  <c r="OFS181" i="3"/>
  <c r="OFQ181" i="3"/>
  <c r="OFI181" i="3"/>
  <c r="OFK181" i="3" s="1"/>
  <c r="OFA181" i="3"/>
  <c r="OFC181" i="3" s="1"/>
  <c r="OEU181" i="3"/>
  <c r="OES181" i="3"/>
  <c r="OEK181" i="3"/>
  <c r="OEM181" i="3" s="1"/>
  <c r="OEC181" i="3"/>
  <c r="OEE181" i="3" s="1"/>
  <c r="ODW181" i="3"/>
  <c r="ODU181" i="3"/>
  <c r="ODM181" i="3"/>
  <c r="ODO181" i="3" s="1"/>
  <c r="ODG181" i="3"/>
  <c r="ODE181" i="3"/>
  <c r="OCW181" i="3"/>
  <c r="OCY181" i="3" s="1"/>
  <c r="OCO181" i="3"/>
  <c r="OCQ181" i="3" s="1"/>
  <c r="OCG181" i="3"/>
  <c r="OCI181" i="3" s="1"/>
  <c r="OBY181" i="3"/>
  <c r="OCA181" i="3" s="1"/>
  <c r="OBQ181" i="3"/>
  <c r="OBS181" i="3" s="1"/>
  <c r="OBK181" i="3"/>
  <c r="OBI181" i="3"/>
  <c r="OBA181" i="3"/>
  <c r="OBC181" i="3" s="1"/>
  <c r="OAU181" i="3"/>
  <c r="OAS181" i="3"/>
  <c r="OAK181" i="3"/>
  <c r="OAM181" i="3" s="1"/>
  <c r="OAE181" i="3"/>
  <c r="OAC181" i="3"/>
  <c r="NZW181" i="3"/>
  <c r="NZU181" i="3"/>
  <c r="NZO181" i="3"/>
  <c r="NZM181" i="3"/>
  <c r="NZE181" i="3"/>
  <c r="NZG181" i="3" s="1"/>
  <c r="NYY181" i="3"/>
  <c r="NYW181" i="3"/>
  <c r="NYO181" i="3"/>
  <c r="NYQ181" i="3" s="1"/>
  <c r="NYI181" i="3"/>
  <c r="NYG181" i="3"/>
  <c r="NXY181" i="3"/>
  <c r="NYA181" i="3" s="1"/>
  <c r="NXQ181" i="3"/>
  <c r="NXS181" i="3" s="1"/>
  <c r="NXK181" i="3"/>
  <c r="NXI181" i="3"/>
  <c r="NXA181" i="3"/>
  <c r="NXC181" i="3" s="1"/>
  <c r="NWS181" i="3"/>
  <c r="NWU181" i="3" s="1"/>
  <c r="NWK181" i="3"/>
  <c r="NWM181" i="3" s="1"/>
  <c r="NWE181" i="3"/>
  <c r="NWC181" i="3"/>
  <c r="NVW181" i="3"/>
  <c r="NVU181" i="3"/>
  <c r="NVM181" i="3"/>
  <c r="NVO181" i="3" s="1"/>
  <c r="NVG181" i="3"/>
  <c r="NVE181" i="3"/>
  <c r="NUW181" i="3"/>
  <c r="NUY181" i="3" s="1"/>
  <c r="NUQ181" i="3"/>
  <c r="NUO181" i="3"/>
  <c r="NUG181" i="3"/>
  <c r="NUI181" i="3" s="1"/>
  <c r="NTY181" i="3"/>
  <c r="NUA181" i="3" s="1"/>
  <c r="NTS181" i="3"/>
  <c r="NTQ181" i="3"/>
  <c r="NTI181" i="3"/>
  <c r="NTK181" i="3" s="1"/>
  <c r="NTA181" i="3"/>
  <c r="NTC181" i="3" s="1"/>
  <c r="NSS181" i="3"/>
  <c r="NSU181" i="3" s="1"/>
  <c r="NSM181" i="3"/>
  <c r="NSK181" i="3"/>
  <c r="NSE181" i="3"/>
  <c r="NSC181" i="3"/>
  <c r="NRW181" i="3"/>
  <c r="NRU181" i="3"/>
  <c r="NRO181" i="3"/>
  <c r="NRM181" i="3"/>
  <c r="NRE181" i="3"/>
  <c r="NRG181" i="3" s="1"/>
  <c r="NQY181" i="3"/>
  <c r="NQW181" i="3"/>
  <c r="NQO181" i="3"/>
  <c r="NQQ181" i="3" s="1"/>
  <c r="NQG181" i="3"/>
  <c r="NQI181" i="3" s="1"/>
  <c r="NPY181" i="3"/>
  <c r="NQA181" i="3" s="1"/>
  <c r="NPS181" i="3"/>
  <c r="NPQ181" i="3"/>
  <c r="NPI181" i="3"/>
  <c r="NPK181" i="3" s="1"/>
  <c r="NPC181" i="3"/>
  <c r="NPA181" i="3"/>
  <c r="NOU181" i="3"/>
  <c r="NOS181" i="3"/>
  <c r="NOK181" i="3"/>
  <c r="NOM181" i="3" s="1"/>
  <c r="NOE181" i="3"/>
  <c r="NOC181" i="3"/>
  <c r="NNW181" i="3"/>
  <c r="NNU181" i="3"/>
  <c r="NNM181" i="3"/>
  <c r="NNO181" i="3" s="1"/>
  <c r="NNE181" i="3"/>
  <c r="NNG181" i="3" s="1"/>
  <c r="NMY181" i="3"/>
  <c r="NMW181" i="3"/>
  <c r="NMO181" i="3"/>
  <c r="NMQ181" i="3" s="1"/>
  <c r="NMI181" i="3"/>
  <c r="NMG181" i="3"/>
  <c r="NLY181" i="3"/>
  <c r="NMA181" i="3" s="1"/>
  <c r="NLQ181" i="3"/>
  <c r="NLS181" i="3" s="1"/>
  <c r="NLK181" i="3"/>
  <c r="NLI181" i="3"/>
  <c r="NLC181" i="3"/>
  <c r="NLA181" i="3"/>
  <c r="NKU181" i="3"/>
  <c r="NKS181" i="3"/>
  <c r="NKK181" i="3"/>
  <c r="NKM181" i="3" s="1"/>
  <c r="NKE181" i="3"/>
  <c r="NKC181" i="3"/>
  <c r="NJU181" i="3"/>
  <c r="NJW181" i="3" s="1"/>
  <c r="NJO181" i="3"/>
  <c r="NJM181" i="3"/>
  <c r="NJG181" i="3"/>
  <c r="NJE181" i="3"/>
  <c r="NIY181" i="3"/>
  <c r="NIW181" i="3"/>
  <c r="NIQ181" i="3"/>
  <c r="NIO181" i="3"/>
  <c r="NIG181" i="3"/>
  <c r="NII181" i="3" s="1"/>
  <c r="NHY181" i="3"/>
  <c r="NIA181" i="3" s="1"/>
  <c r="NHQ181" i="3"/>
  <c r="NHS181" i="3" s="1"/>
  <c r="NHK181" i="3"/>
  <c r="NHI181" i="3"/>
  <c r="NHA181" i="3"/>
  <c r="NHC181" i="3" s="1"/>
  <c r="NGU181" i="3"/>
  <c r="NGS181" i="3"/>
  <c r="NGK181" i="3"/>
  <c r="NGM181" i="3" s="1"/>
  <c r="NGC181" i="3"/>
  <c r="NGE181" i="3" s="1"/>
  <c r="NFU181" i="3"/>
  <c r="NFW181" i="3" s="1"/>
  <c r="NFM181" i="3"/>
  <c r="NFO181" i="3" s="1"/>
  <c r="NFE181" i="3"/>
  <c r="NFG181" i="3" s="1"/>
  <c r="NEW181" i="3"/>
  <c r="NEY181" i="3" s="1"/>
  <c r="NEQ181" i="3"/>
  <c r="NEO181" i="3"/>
  <c r="NEG181" i="3"/>
  <c r="NEI181" i="3" s="1"/>
  <c r="NEA181" i="3"/>
  <c r="NDY181" i="3"/>
  <c r="NDQ181" i="3"/>
  <c r="NDS181" i="3" s="1"/>
  <c r="NDI181" i="3"/>
  <c r="NDK181" i="3" s="1"/>
  <c r="NDA181" i="3"/>
  <c r="NDC181" i="3" s="1"/>
  <c r="NCS181" i="3"/>
  <c r="NCU181" i="3" s="1"/>
  <c r="NCK181" i="3"/>
  <c r="NCM181" i="3" s="1"/>
  <c r="NCC181" i="3"/>
  <c r="NCE181" i="3" s="1"/>
  <c r="NBU181" i="3"/>
  <c r="NBW181" i="3" s="1"/>
  <c r="NBM181" i="3"/>
  <c r="NBO181" i="3" s="1"/>
  <c r="NBG181" i="3"/>
  <c r="NBE181" i="3"/>
  <c r="NAW181" i="3"/>
  <c r="NAY181" i="3" s="1"/>
  <c r="NAO181" i="3"/>
  <c r="NAQ181" i="3" s="1"/>
  <c r="NAI181" i="3"/>
  <c r="NAG181" i="3"/>
  <c r="NAA181" i="3"/>
  <c r="MZY181" i="3"/>
  <c r="MZS181" i="3"/>
  <c r="MZQ181" i="3"/>
  <c r="MZK181" i="3"/>
  <c r="MZI181" i="3"/>
  <c r="MZC181" i="3"/>
  <c r="MZA181" i="3"/>
  <c r="MYS181" i="3"/>
  <c r="MYU181" i="3" s="1"/>
  <c r="MYK181" i="3"/>
  <c r="MYM181" i="3" s="1"/>
  <c r="MYE181" i="3"/>
  <c r="MYC181" i="3"/>
  <c r="MXU181" i="3"/>
  <c r="MXW181" i="3" s="1"/>
  <c r="MXO181" i="3"/>
  <c r="MXM181" i="3"/>
  <c r="MXG181" i="3"/>
  <c r="MXE181" i="3"/>
  <c r="MWW181" i="3"/>
  <c r="MWY181" i="3" s="1"/>
  <c r="MWO181" i="3"/>
  <c r="MWQ181" i="3" s="1"/>
  <c r="MWG181" i="3"/>
  <c r="MWI181" i="3" s="1"/>
  <c r="MWA181" i="3"/>
  <c r="MVY181" i="3"/>
  <c r="MVQ181" i="3"/>
  <c r="MVS181" i="3" s="1"/>
  <c r="MVI181" i="3"/>
  <c r="MVK181" i="3" s="1"/>
  <c r="MVA181" i="3"/>
  <c r="MVC181" i="3" s="1"/>
  <c r="MUU181" i="3"/>
  <c r="MUS181" i="3"/>
  <c r="MUM181" i="3"/>
  <c r="MUK181" i="3"/>
  <c r="MUE181" i="3"/>
  <c r="MUC181" i="3"/>
  <c r="MTU181" i="3"/>
  <c r="MTW181" i="3" s="1"/>
  <c r="MTM181" i="3"/>
  <c r="MTO181" i="3" s="1"/>
  <c r="MTE181" i="3"/>
  <c r="MTG181" i="3" s="1"/>
  <c r="MSY181" i="3"/>
  <c r="MSW181" i="3"/>
  <c r="MSO181" i="3"/>
  <c r="MSQ181" i="3" s="1"/>
  <c r="MSI181" i="3"/>
  <c r="MSG181" i="3"/>
  <c r="MSA181" i="3"/>
  <c r="MRY181" i="3"/>
  <c r="MRQ181" i="3"/>
  <c r="MRS181" i="3" s="1"/>
  <c r="MRI181" i="3"/>
  <c r="MRK181" i="3" s="1"/>
  <c r="MRA181" i="3"/>
  <c r="MRC181" i="3" s="1"/>
  <c r="MQU181" i="3"/>
  <c r="MQS181" i="3"/>
  <c r="MQM181" i="3"/>
  <c r="MQK181" i="3"/>
  <c r="MQE181" i="3"/>
  <c r="MQC181" i="3"/>
  <c r="MPU181" i="3"/>
  <c r="MPW181" i="3" s="1"/>
  <c r="MPM181" i="3"/>
  <c r="MPO181" i="3" s="1"/>
  <c r="MPE181" i="3"/>
  <c r="MPG181" i="3" s="1"/>
  <c r="MOW181" i="3"/>
  <c r="MOY181" i="3" s="1"/>
  <c r="MOQ181" i="3"/>
  <c r="MOO181" i="3"/>
  <c r="MOI181" i="3"/>
  <c r="MOG181" i="3"/>
  <c r="MOA181" i="3"/>
  <c r="MNY181" i="3"/>
  <c r="MNQ181" i="3"/>
  <c r="MNS181" i="3" s="1"/>
  <c r="MNI181" i="3"/>
  <c r="MNK181" i="3" s="1"/>
  <c r="MNC181" i="3"/>
  <c r="MNA181" i="3"/>
  <c r="MMS181" i="3"/>
  <c r="MMU181" i="3" s="1"/>
  <c r="MMM181" i="3"/>
  <c r="MMK181" i="3"/>
  <c r="MMC181" i="3"/>
  <c r="MME181" i="3" s="1"/>
  <c r="MLU181" i="3"/>
  <c r="MLW181" i="3" s="1"/>
  <c r="MLO181" i="3"/>
  <c r="MLM181" i="3"/>
  <c r="MLE181" i="3"/>
  <c r="MLG181" i="3" s="1"/>
  <c r="MKW181" i="3"/>
  <c r="MKY181" i="3" s="1"/>
  <c r="MKO181" i="3"/>
  <c r="MKQ181" i="3" s="1"/>
  <c r="MKG181" i="3"/>
  <c r="MKI181" i="3" s="1"/>
  <c r="MJY181" i="3"/>
  <c r="MKA181" i="3" s="1"/>
  <c r="MJQ181" i="3"/>
  <c r="MJS181" i="3" s="1"/>
  <c r="MJK181" i="3"/>
  <c r="MJI181" i="3"/>
  <c r="MJA181" i="3"/>
  <c r="MJC181" i="3" s="1"/>
  <c r="MIS181" i="3"/>
  <c r="MIU181" i="3" s="1"/>
  <c r="MIM181" i="3"/>
  <c r="MIK181" i="3"/>
  <c r="MIC181" i="3"/>
  <c r="MIE181" i="3" s="1"/>
  <c r="MHW181" i="3"/>
  <c r="MHU181" i="3"/>
  <c r="MHO181" i="3"/>
  <c r="MHM181" i="3"/>
  <c r="MHE181" i="3"/>
  <c r="MHG181" i="3" s="1"/>
  <c r="MGY181" i="3"/>
  <c r="MGW181" i="3"/>
  <c r="MGO181" i="3"/>
  <c r="MGQ181" i="3" s="1"/>
  <c r="MGG181" i="3"/>
  <c r="MGI181" i="3" s="1"/>
  <c r="MGA181" i="3"/>
  <c r="MFY181" i="3"/>
  <c r="MFQ181" i="3"/>
  <c r="MFS181" i="3" s="1"/>
  <c r="MFK181" i="3"/>
  <c r="MFI181" i="3"/>
  <c r="MFA181" i="3"/>
  <c r="MFC181" i="3" s="1"/>
  <c r="MEU181" i="3"/>
  <c r="MES181" i="3"/>
  <c r="MEK181" i="3"/>
  <c r="MEM181" i="3" s="1"/>
  <c r="MEC181" i="3"/>
  <c r="MEE181" i="3" s="1"/>
  <c r="MDW181" i="3"/>
  <c r="MDU181" i="3"/>
  <c r="MDM181" i="3"/>
  <c r="MDO181" i="3" s="1"/>
  <c r="MDG181" i="3"/>
  <c r="MDE181" i="3"/>
  <c r="MCW181" i="3"/>
  <c r="MCY181" i="3" s="1"/>
  <c r="MCO181" i="3"/>
  <c r="MCQ181" i="3" s="1"/>
  <c r="MCI181" i="3"/>
  <c r="MCG181" i="3"/>
  <c r="MBY181" i="3"/>
  <c r="MCA181" i="3" s="1"/>
  <c r="MBQ181" i="3"/>
  <c r="MBS181" i="3" s="1"/>
  <c r="MBK181" i="3"/>
  <c r="MBI181" i="3"/>
  <c r="MBC181" i="3"/>
  <c r="MBA181" i="3"/>
  <c r="MAS181" i="3"/>
  <c r="MAU181" i="3" s="1"/>
  <c r="MAM181" i="3"/>
  <c r="MAK181" i="3"/>
  <c r="MAE181" i="3"/>
  <c r="MAC181" i="3"/>
  <c r="LZW181" i="3"/>
  <c r="LZU181" i="3"/>
  <c r="LZO181" i="3"/>
  <c r="LZM181" i="3"/>
  <c r="LZG181" i="3"/>
  <c r="LZE181" i="3"/>
  <c r="LYW181" i="3"/>
  <c r="LYY181" i="3" s="1"/>
  <c r="LYO181" i="3"/>
  <c r="LYQ181" i="3" s="1"/>
  <c r="LYG181" i="3"/>
  <c r="LYI181" i="3" s="1"/>
  <c r="LXY181" i="3"/>
  <c r="LYA181" i="3" s="1"/>
  <c r="LXQ181" i="3"/>
  <c r="LXS181" i="3" s="1"/>
  <c r="LXI181" i="3"/>
  <c r="LXK181" i="3" s="1"/>
  <c r="LXA181" i="3"/>
  <c r="LXC181" i="3" s="1"/>
  <c r="LWU181" i="3"/>
  <c r="LWS181" i="3"/>
  <c r="LWK181" i="3"/>
  <c r="LWM181" i="3" s="1"/>
  <c r="LWC181" i="3"/>
  <c r="LWE181" i="3" s="1"/>
  <c r="LVW181" i="3"/>
  <c r="LVU181" i="3"/>
  <c r="LVO181" i="3"/>
  <c r="LVM181" i="3"/>
  <c r="LVE181" i="3"/>
  <c r="LVG181" i="3" s="1"/>
  <c r="LUY181" i="3"/>
  <c r="LUW181" i="3"/>
  <c r="LUO181" i="3"/>
  <c r="LUQ181" i="3" s="1"/>
  <c r="LUI181" i="3"/>
  <c r="LUG181" i="3"/>
  <c r="LTY181" i="3"/>
  <c r="LUA181" i="3" s="1"/>
  <c r="LTQ181" i="3"/>
  <c r="LTS181" i="3" s="1"/>
  <c r="LTI181" i="3"/>
  <c r="LTK181" i="3" s="1"/>
  <c r="LTA181" i="3"/>
  <c r="LTC181" i="3" s="1"/>
  <c r="LSU181" i="3"/>
  <c r="LSS181" i="3"/>
  <c r="LSK181" i="3"/>
  <c r="LSM181" i="3" s="1"/>
  <c r="LSE181" i="3"/>
  <c r="LSC181" i="3"/>
  <c r="LRW181" i="3"/>
  <c r="LRU181" i="3"/>
  <c r="LRM181" i="3"/>
  <c r="LRO181" i="3" s="1"/>
  <c r="LRG181" i="3"/>
  <c r="LRE181" i="3"/>
  <c r="LQW181" i="3"/>
  <c r="LQY181" i="3" s="1"/>
  <c r="LQQ181" i="3"/>
  <c r="LQO181" i="3"/>
  <c r="LQG181" i="3"/>
  <c r="LQI181" i="3" s="1"/>
  <c r="LPY181" i="3"/>
  <c r="LQA181" i="3" s="1"/>
  <c r="LPQ181" i="3"/>
  <c r="LPS181" i="3" s="1"/>
  <c r="LPI181" i="3"/>
  <c r="LPK181" i="3" s="1"/>
  <c r="LPA181" i="3"/>
  <c r="LPC181" i="3" s="1"/>
  <c r="LOU181" i="3"/>
  <c r="LOS181" i="3"/>
  <c r="LOK181" i="3"/>
  <c r="LOM181" i="3" s="1"/>
  <c r="LOE181" i="3"/>
  <c r="LOC181" i="3"/>
  <c r="LNU181" i="3"/>
  <c r="LNW181" i="3" s="1"/>
  <c r="LNM181" i="3"/>
  <c r="LNO181" i="3" s="1"/>
  <c r="LNG181" i="3"/>
  <c r="LNE181" i="3"/>
  <c r="LMW181" i="3"/>
  <c r="LMY181" i="3" s="1"/>
  <c r="LMQ181" i="3"/>
  <c r="LMO181" i="3"/>
  <c r="LMG181" i="3"/>
  <c r="LMI181" i="3" s="1"/>
  <c r="LLY181" i="3"/>
  <c r="LMA181" i="3" s="1"/>
  <c r="LLS181" i="3"/>
  <c r="LLQ181" i="3"/>
  <c r="LLK181" i="3"/>
  <c r="LLI181" i="3"/>
  <c r="LLC181" i="3"/>
  <c r="LLA181" i="3"/>
  <c r="LKS181" i="3"/>
  <c r="LKU181" i="3" s="1"/>
  <c r="LKM181" i="3"/>
  <c r="LKK181" i="3"/>
  <c r="LKC181" i="3"/>
  <c r="LKE181" i="3" s="1"/>
  <c r="LJW181" i="3"/>
  <c r="LJU181" i="3"/>
  <c r="LJM181" i="3"/>
  <c r="LJO181" i="3" s="1"/>
  <c r="LJG181" i="3"/>
  <c r="LJE181" i="3"/>
  <c r="LIY181" i="3"/>
  <c r="LIW181" i="3"/>
  <c r="LIO181" i="3"/>
  <c r="LIQ181" i="3" s="1"/>
  <c r="LIG181" i="3"/>
  <c r="LII181" i="3" s="1"/>
  <c r="LHY181" i="3"/>
  <c r="LIA181" i="3" s="1"/>
  <c r="LHS181" i="3"/>
  <c r="LHQ181" i="3"/>
  <c r="LHK181" i="3"/>
  <c r="LHI181" i="3"/>
  <c r="LHC181" i="3"/>
  <c r="LHA181" i="3"/>
  <c r="LGU181" i="3"/>
  <c r="LGS181" i="3"/>
  <c r="LGK181" i="3"/>
  <c r="LGM181" i="3" s="1"/>
  <c r="LGE181" i="3"/>
  <c r="LGC181" i="3"/>
  <c r="LFU181" i="3"/>
  <c r="LFW181" i="3" s="1"/>
  <c r="LFM181" i="3"/>
  <c r="LFO181" i="3" s="1"/>
  <c r="LFG181" i="3"/>
  <c r="LFE181" i="3"/>
  <c r="LEW181" i="3"/>
  <c r="LEY181" i="3" s="1"/>
  <c r="LEO181" i="3"/>
  <c r="LEQ181" i="3" s="1"/>
  <c r="LEI181" i="3"/>
  <c r="LEG181" i="3"/>
  <c r="LEA181" i="3"/>
  <c r="LDY181" i="3"/>
  <c r="LDS181" i="3"/>
  <c r="LDQ181" i="3"/>
  <c r="LDK181" i="3"/>
  <c r="LDI181" i="3"/>
  <c r="LDC181" i="3"/>
  <c r="LDA181" i="3"/>
  <c r="LCS181" i="3"/>
  <c r="LCU181" i="3" s="1"/>
  <c r="LCM181" i="3"/>
  <c r="LCK181" i="3"/>
  <c r="LCC181" i="3"/>
  <c r="LCE181" i="3" s="1"/>
  <c r="LBU181" i="3"/>
  <c r="LBW181" i="3" s="1"/>
  <c r="LBM181" i="3"/>
  <c r="LBO181" i="3" s="1"/>
  <c r="LBE181" i="3"/>
  <c r="LBG181" i="3" s="1"/>
  <c r="LAW181" i="3"/>
  <c r="LAY181" i="3" s="1"/>
  <c r="LAQ181" i="3"/>
  <c r="LAO181" i="3"/>
  <c r="LAI181" i="3"/>
  <c r="LAG181" i="3"/>
  <c r="LAA181" i="3"/>
  <c r="KZY181" i="3"/>
  <c r="KZS181" i="3"/>
  <c r="KZQ181" i="3"/>
  <c r="KZK181" i="3"/>
  <c r="KZI181" i="3"/>
  <c r="KZA181" i="3"/>
  <c r="KZC181" i="3" s="1"/>
  <c r="KYU181" i="3"/>
  <c r="KYS181" i="3"/>
  <c r="KYK181" i="3"/>
  <c r="KYM181" i="3" s="1"/>
  <c r="KYE181" i="3"/>
  <c r="KYC181" i="3"/>
  <c r="KXW181" i="3"/>
  <c r="KXU181" i="3"/>
  <c r="KXM181" i="3"/>
  <c r="KXO181" i="3" s="1"/>
  <c r="KXE181" i="3"/>
  <c r="KXG181" i="3" s="1"/>
  <c r="KWW181" i="3"/>
  <c r="KWY181" i="3" s="1"/>
  <c r="KWQ181" i="3"/>
  <c r="KWO181" i="3"/>
  <c r="KWG181" i="3"/>
  <c r="KWI181" i="3" s="1"/>
  <c r="KWA181" i="3"/>
  <c r="KVY181" i="3"/>
  <c r="KVS181" i="3"/>
  <c r="KVQ181" i="3"/>
  <c r="KVI181" i="3"/>
  <c r="KVK181" i="3" s="1"/>
  <c r="KVC181" i="3"/>
  <c r="KVA181" i="3"/>
  <c r="KUU181" i="3"/>
  <c r="KUS181" i="3"/>
  <c r="KUM181" i="3"/>
  <c r="KUK181" i="3"/>
  <c r="KUE181" i="3"/>
  <c r="KUC181" i="3"/>
  <c r="KTW181" i="3"/>
  <c r="KTU181" i="3"/>
  <c r="KTM181" i="3"/>
  <c r="KTO181" i="3" s="1"/>
  <c r="KTE181" i="3"/>
  <c r="KTG181" i="3" s="1"/>
  <c r="KSY181" i="3"/>
  <c r="KSW181" i="3"/>
  <c r="KSQ181" i="3"/>
  <c r="KSO181" i="3"/>
  <c r="KSI181" i="3"/>
  <c r="KSG181" i="3"/>
  <c r="KSA181" i="3"/>
  <c r="KRY181" i="3"/>
  <c r="KRQ181" i="3"/>
  <c r="KRS181" i="3" s="1"/>
  <c r="KRI181" i="3"/>
  <c r="KRK181" i="3" s="1"/>
  <c r="KRA181" i="3"/>
  <c r="KRC181" i="3" s="1"/>
  <c r="KQU181" i="3"/>
  <c r="KQS181" i="3"/>
  <c r="KQK181" i="3"/>
  <c r="KQM181" i="3" s="1"/>
  <c r="KQE181" i="3"/>
  <c r="KQC181" i="3"/>
  <c r="KPU181" i="3"/>
  <c r="KPW181" i="3" s="1"/>
  <c r="KPO181" i="3"/>
  <c r="KPM181" i="3"/>
  <c r="KPE181" i="3"/>
  <c r="KPG181" i="3" s="1"/>
  <c r="KOW181" i="3"/>
  <c r="KOY181" i="3" s="1"/>
  <c r="KOQ181" i="3"/>
  <c r="KOO181" i="3"/>
  <c r="KOI181" i="3"/>
  <c r="KOG181" i="3"/>
  <c r="KNY181" i="3"/>
  <c r="KOA181" i="3" s="1"/>
  <c r="KNQ181" i="3"/>
  <c r="KNS181" i="3" s="1"/>
  <c r="KNI181" i="3"/>
  <c r="KNK181" i="3" s="1"/>
  <c r="KNC181" i="3"/>
  <c r="KNA181" i="3"/>
  <c r="KMS181" i="3"/>
  <c r="KMU181" i="3" s="1"/>
  <c r="KMM181" i="3"/>
  <c r="KMK181" i="3"/>
  <c r="KMC181" i="3"/>
  <c r="KME181" i="3" s="1"/>
  <c r="KLW181" i="3"/>
  <c r="KLU181" i="3"/>
  <c r="KLO181" i="3"/>
  <c r="KLM181" i="3"/>
  <c r="KLE181" i="3"/>
  <c r="KLG181" i="3" s="1"/>
  <c r="KKY181" i="3"/>
  <c r="KKW181" i="3"/>
  <c r="KKO181" i="3"/>
  <c r="KKQ181" i="3" s="1"/>
  <c r="KKG181" i="3"/>
  <c r="KKI181" i="3" s="1"/>
  <c r="KJY181" i="3"/>
  <c r="KKA181" i="3" s="1"/>
  <c r="KJS181" i="3"/>
  <c r="KJQ181" i="3"/>
  <c r="KJI181" i="3"/>
  <c r="KJK181" i="3" s="1"/>
  <c r="KJC181" i="3"/>
  <c r="KJA181" i="3"/>
  <c r="KIU181" i="3"/>
  <c r="KIS181" i="3"/>
  <c r="KIK181" i="3"/>
  <c r="KIM181" i="3" s="1"/>
  <c r="KIC181" i="3"/>
  <c r="KIE181" i="3" s="1"/>
  <c r="KHU181" i="3"/>
  <c r="KHW181" i="3" s="1"/>
  <c r="KHO181" i="3"/>
  <c r="KHM181" i="3"/>
  <c r="KHE181" i="3"/>
  <c r="KHG181" i="3" s="1"/>
  <c r="KGY181" i="3"/>
  <c r="KGW181" i="3"/>
  <c r="KGO181" i="3"/>
  <c r="KGQ181" i="3" s="1"/>
  <c r="KGI181" i="3"/>
  <c r="KGG181" i="3"/>
  <c r="KFY181" i="3"/>
  <c r="KGA181" i="3" s="1"/>
  <c r="KFQ181" i="3"/>
  <c r="KFS181" i="3" s="1"/>
  <c r="KFI181" i="3"/>
  <c r="KFK181" i="3" s="1"/>
  <c r="KFC181" i="3"/>
  <c r="KFA181" i="3"/>
  <c r="KES181" i="3"/>
  <c r="KEU181" i="3" s="1"/>
  <c r="KEM181" i="3"/>
  <c r="KEK181" i="3"/>
  <c r="KEE181" i="3"/>
  <c r="KEC181" i="3"/>
  <c r="KDU181" i="3"/>
  <c r="KDW181" i="3" s="1"/>
  <c r="KDO181" i="3"/>
  <c r="KDM181" i="3"/>
  <c r="KDE181" i="3"/>
  <c r="KDG181" i="3" s="1"/>
  <c r="KCW181" i="3"/>
  <c r="KCY181" i="3" s="1"/>
  <c r="KCO181" i="3"/>
  <c r="KCQ181" i="3" s="1"/>
  <c r="KCI181" i="3"/>
  <c r="KCG181" i="3"/>
  <c r="KCA181" i="3"/>
  <c r="KBY181" i="3"/>
  <c r="KBQ181" i="3"/>
  <c r="KBS181" i="3" s="1"/>
  <c r="KBI181" i="3"/>
  <c r="KBK181" i="3" s="1"/>
  <c r="KBA181" i="3"/>
  <c r="KBC181" i="3" s="1"/>
  <c r="KAU181" i="3"/>
  <c r="KAS181" i="3"/>
  <c r="KAK181" i="3"/>
  <c r="KAM181" i="3" s="1"/>
  <c r="KAE181" i="3"/>
  <c r="KAC181" i="3"/>
  <c r="JZW181" i="3"/>
  <c r="JZU181" i="3"/>
  <c r="JZO181" i="3"/>
  <c r="JZM181" i="3"/>
  <c r="JZE181" i="3"/>
  <c r="JZG181" i="3" s="1"/>
  <c r="JYY181" i="3"/>
  <c r="JYW181" i="3"/>
  <c r="JYQ181" i="3"/>
  <c r="JYO181" i="3"/>
  <c r="JYI181" i="3"/>
  <c r="JYG181" i="3"/>
  <c r="JYA181" i="3"/>
  <c r="JXY181" i="3"/>
  <c r="JXQ181" i="3"/>
  <c r="JXS181" i="3" s="1"/>
  <c r="JXI181" i="3"/>
  <c r="JXK181" i="3" s="1"/>
  <c r="JXA181" i="3"/>
  <c r="JXC181" i="3" s="1"/>
  <c r="JWU181" i="3"/>
  <c r="JWS181" i="3"/>
  <c r="JWM181" i="3"/>
  <c r="JWK181" i="3"/>
  <c r="JWE181" i="3"/>
  <c r="JWC181" i="3"/>
  <c r="JVW181" i="3"/>
  <c r="JVU181" i="3"/>
  <c r="JVM181" i="3"/>
  <c r="JVO181" i="3" s="1"/>
  <c r="JVE181" i="3"/>
  <c r="JVG181" i="3" s="1"/>
  <c r="JUY181" i="3"/>
  <c r="JUW181" i="3"/>
  <c r="JUQ181" i="3"/>
  <c r="JUO181" i="3"/>
  <c r="JUI181" i="3"/>
  <c r="JUG181" i="3"/>
  <c r="JUA181" i="3"/>
  <c r="JTY181" i="3"/>
  <c r="JTQ181" i="3"/>
  <c r="JTS181" i="3" s="1"/>
  <c r="JTK181" i="3"/>
  <c r="JTI181" i="3"/>
  <c r="JTA181" i="3"/>
  <c r="JTC181" i="3" s="1"/>
  <c r="JSU181" i="3"/>
  <c r="JSS181" i="3"/>
  <c r="JSM181" i="3"/>
  <c r="JSK181" i="3"/>
  <c r="JSE181" i="3"/>
  <c r="JSC181" i="3"/>
  <c r="JRU181" i="3"/>
  <c r="JRW181" i="3" s="1"/>
  <c r="JRO181" i="3"/>
  <c r="JRM181" i="3"/>
  <c r="JRE181" i="3"/>
  <c r="JRG181" i="3" s="1"/>
  <c r="JQW181" i="3"/>
  <c r="JQY181" i="3" s="1"/>
  <c r="JQQ181" i="3"/>
  <c r="JQO181" i="3"/>
  <c r="JQI181" i="3"/>
  <c r="JQG181" i="3"/>
  <c r="JPY181" i="3"/>
  <c r="JQA181" i="3" s="1"/>
  <c r="JPQ181" i="3"/>
  <c r="JPS181" i="3" s="1"/>
  <c r="JPK181" i="3"/>
  <c r="JPI181" i="3"/>
  <c r="JPC181" i="3"/>
  <c r="JPA181" i="3"/>
  <c r="JOS181" i="3"/>
  <c r="JOU181" i="3" s="1"/>
  <c r="JOK181" i="3"/>
  <c r="JOM181" i="3" s="1"/>
  <c r="JOC181" i="3"/>
  <c r="JOE181" i="3" s="1"/>
  <c r="JNW181" i="3"/>
  <c r="JNU181" i="3"/>
  <c r="JNO181" i="3"/>
  <c r="JNM181" i="3"/>
  <c r="JNE181" i="3"/>
  <c r="JNG181" i="3" s="1"/>
  <c r="JMY181" i="3"/>
  <c r="JMW181" i="3"/>
  <c r="JMO181" i="3"/>
  <c r="JMQ181" i="3" s="1"/>
  <c r="JMG181" i="3"/>
  <c r="JMI181" i="3" s="1"/>
  <c r="JMA181" i="3"/>
  <c r="JLY181" i="3"/>
  <c r="JLQ181" i="3"/>
  <c r="JLS181" i="3" s="1"/>
  <c r="JLI181" i="3"/>
  <c r="JLK181" i="3" s="1"/>
  <c r="JLC181" i="3"/>
  <c r="JLA181" i="3"/>
  <c r="JKS181" i="3"/>
  <c r="JKU181" i="3" s="1"/>
  <c r="JKM181" i="3"/>
  <c r="JKK181" i="3"/>
  <c r="JKC181" i="3"/>
  <c r="JKE181" i="3" s="1"/>
  <c r="JJW181" i="3"/>
  <c r="JJU181" i="3"/>
  <c r="JJM181" i="3"/>
  <c r="JJO181" i="3" s="1"/>
  <c r="JJG181" i="3"/>
  <c r="JJE181" i="3"/>
  <c r="JIY181" i="3"/>
  <c r="JIW181" i="3"/>
  <c r="JIO181" i="3"/>
  <c r="JIQ181" i="3" s="1"/>
  <c r="JIG181" i="3"/>
  <c r="JII181" i="3" s="1"/>
  <c r="JIA181" i="3"/>
  <c r="JHY181" i="3"/>
  <c r="JHQ181" i="3"/>
  <c r="JHS181" i="3" s="1"/>
  <c r="JHK181" i="3"/>
  <c r="JHI181" i="3"/>
  <c r="JHC181" i="3"/>
  <c r="JHA181" i="3"/>
  <c r="JGU181" i="3"/>
  <c r="JGS181" i="3"/>
  <c r="JGM181" i="3"/>
  <c r="JGK181" i="3"/>
  <c r="JGC181" i="3"/>
  <c r="JGE181" i="3" s="1"/>
  <c r="JFU181" i="3"/>
  <c r="JFW181" i="3" s="1"/>
  <c r="JFM181" i="3"/>
  <c r="JFO181" i="3" s="1"/>
  <c r="JFG181" i="3"/>
  <c r="JFE181" i="3"/>
  <c r="JEY181" i="3"/>
  <c r="JEW181" i="3"/>
  <c r="JEO181" i="3"/>
  <c r="JEQ181" i="3" s="1"/>
  <c r="JEG181" i="3"/>
  <c r="JEI181" i="3" s="1"/>
  <c r="JDY181" i="3"/>
  <c r="JEA181" i="3" s="1"/>
  <c r="JDS181" i="3"/>
  <c r="JDQ181" i="3"/>
  <c r="JDK181" i="3"/>
  <c r="JDI181" i="3"/>
  <c r="JDC181" i="3"/>
  <c r="JDA181" i="3"/>
  <c r="JCU181" i="3"/>
  <c r="JCS181" i="3"/>
  <c r="JCM181" i="3"/>
  <c r="JCK181" i="3"/>
  <c r="JCC181" i="3"/>
  <c r="JCE181" i="3" s="1"/>
  <c r="JBW181" i="3"/>
  <c r="JBU181" i="3"/>
  <c r="JBM181" i="3"/>
  <c r="JBO181" i="3" s="1"/>
  <c r="JBG181" i="3"/>
  <c r="JBE181" i="3"/>
  <c r="JAY181" i="3"/>
  <c r="JAW181" i="3"/>
  <c r="JAO181" i="3"/>
  <c r="JAQ181" i="3" s="1"/>
  <c r="JAG181" i="3"/>
  <c r="JAI181" i="3" s="1"/>
  <c r="IZY181" i="3"/>
  <c r="JAA181" i="3" s="1"/>
  <c r="IZS181" i="3"/>
  <c r="IZQ181" i="3"/>
  <c r="IZK181" i="3"/>
  <c r="IZI181" i="3"/>
  <c r="IZC181" i="3"/>
  <c r="IZA181" i="3"/>
  <c r="IYU181" i="3"/>
  <c r="IYS181" i="3"/>
  <c r="IYK181" i="3"/>
  <c r="IYM181" i="3" s="1"/>
  <c r="IYC181" i="3"/>
  <c r="IYE181" i="3" s="1"/>
  <c r="IXW181" i="3"/>
  <c r="IXU181" i="3"/>
  <c r="IXM181" i="3"/>
  <c r="IXO181" i="3" s="1"/>
  <c r="IXG181" i="3"/>
  <c r="IXE181" i="3"/>
  <c r="IWY181" i="3"/>
  <c r="IWW181" i="3"/>
  <c r="IWO181" i="3"/>
  <c r="IWQ181" i="3" s="1"/>
  <c r="IWI181" i="3"/>
  <c r="IWG181" i="3"/>
  <c r="IVY181" i="3"/>
  <c r="IWA181" i="3" s="1"/>
  <c r="IVS181" i="3"/>
  <c r="IVQ181" i="3"/>
  <c r="IVK181" i="3"/>
  <c r="IVI181" i="3"/>
  <c r="IVA181" i="3"/>
  <c r="IVC181" i="3" s="1"/>
  <c r="IUS181" i="3"/>
  <c r="IUU181" i="3" s="1"/>
  <c r="IUK181" i="3"/>
  <c r="IUM181" i="3" s="1"/>
  <c r="IUC181" i="3"/>
  <c r="IUE181" i="3" s="1"/>
  <c r="ITW181" i="3"/>
  <c r="ITU181" i="3"/>
  <c r="ITM181" i="3"/>
  <c r="ITO181" i="3" s="1"/>
  <c r="ITG181" i="3"/>
  <c r="ITE181" i="3"/>
  <c r="ISW181" i="3"/>
  <c r="ISY181" i="3" s="1"/>
  <c r="ISQ181" i="3"/>
  <c r="ISO181" i="3"/>
  <c r="ISI181" i="3"/>
  <c r="ISG181" i="3"/>
  <c r="ISA181" i="3"/>
  <c r="IRY181" i="3"/>
  <c r="IRS181" i="3"/>
  <c r="IRQ181" i="3"/>
  <c r="IRK181" i="3"/>
  <c r="IRI181" i="3"/>
  <c r="IRA181" i="3"/>
  <c r="IRC181" i="3" s="1"/>
  <c r="IQU181" i="3"/>
  <c r="IQS181" i="3"/>
  <c r="IQK181" i="3"/>
  <c r="IQM181" i="3" s="1"/>
  <c r="IQC181" i="3"/>
  <c r="IQE181" i="3" s="1"/>
  <c r="IPW181" i="3"/>
  <c r="IPU181" i="3"/>
  <c r="IPM181" i="3"/>
  <c r="IPO181" i="3" s="1"/>
  <c r="IPE181" i="3"/>
  <c r="IPG181" i="3" s="1"/>
  <c r="IOW181" i="3"/>
  <c r="IOY181" i="3" s="1"/>
  <c r="IOQ181" i="3"/>
  <c r="IOO181" i="3"/>
  <c r="IOI181" i="3"/>
  <c r="IOG181" i="3"/>
  <c r="IOA181" i="3"/>
  <c r="INY181" i="3"/>
  <c r="INS181" i="3"/>
  <c r="INQ181" i="3"/>
  <c r="INI181" i="3"/>
  <c r="INK181" i="3" s="1"/>
  <c r="INC181" i="3"/>
  <c r="INA181" i="3"/>
  <c r="IMU181" i="3"/>
  <c r="IMS181" i="3"/>
  <c r="IMK181" i="3"/>
  <c r="IMM181" i="3" s="1"/>
  <c r="IMC181" i="3"/>
  <c r="IME181" i="3" s="1"/>
  <c r="ILW181" i="3"/>
  <c r="ILU181" i="3"/>
  <c r="ILM181" i="3"/>
  <c r="ILO181" i="3" s="1"/>
  <c r="ILG181" i="3"/>
  <c r="ILE181" i="3"/>
  <c r="IKW181" i="3"/>
  <c r="IKY181" i="3" s="1"/>
  <c r="IKQ181" i="3"/>
  <c r="IKO181" i="3"/>
  <c r="IKI181" i="3"/>
  <c r="IKG181" i="3"/>
  <c r="IKA181" i="3"/>
  <c r="IJY181" i="3"/>
  <c r="IJQ181" i="3"/>
  <c r="IJS181" i="3" s="1"/>
  <c r="IJI181" i="3"/>
  <c r="IJK181" i="3" s="1"/>
  <c r="IJC181" i="3"/>
  <c r="IJA181" i="3"/>
  <c r="IIU181" i="3"/>
  <c r="IIS181" i="3"/>
  <c r="IIK181" i="3"/>
  <c r="IIM181" i="3" s="1"/>
  <c r="IIC181" i="3"/>
  <c r="IIE181" i="3" s="1"/>
  <c r="IHU181" i="3"/>
  <c r="IHW181" i="3" s="1"/>
  <c r="IHO181" i="3"/>
  <c r="IHM181" i="3"/>
  <c r="IHG181" i="3"/>
  <c r="IHE181" i="3"/>
  <c r="IGW181" i="3"/>
  <c r="IGY181" i="3" s="1"/>
  <c r="IGQ181" i="3"/>
  <c r="IGO181" i="3"/>
  <c r="IGI181" i="3"/>
  <c r="IGG181" i="3"/>
  <c r="IFY181" i="3"/>
  <c r="IGA181" i="3" s="1"/>
  <c r="IFS181" i="3"/>
  <c r="IFQ181" i="3"/>
  <c r="IFI181" i="3"/>
  <c r="IFK181" i="3" s="1"/>
  <c r="IFC181" i="3"/>
  <c r="IFA181" i="3"/>
  <c r="IEU181" i="3"/>
  <c r="IES181" i="3"/>
  <c r="IEK181" i="3"/>
  <c r="IEM181" i="3" s="1"/>
  <c r="IEC181" i="3"/>
  <c r="IEE181" i="3" s="1"/>
  <c r="IDU181" i="3"/>
  <c r="IDW181" i="3" s="1"/>
  <c r="IDO181" i="3"/>
  <c r="IDM181" i="3"/>
  <c r="IDG181" i="3"/>
  <c r="IDE181" i="3"/>
  <c r="ICW181" i="3"/>
  <c r="ICY181" i="3" s="1"/>
  <c r="ICQ181" i="3"/>
  <c r="ICO181" i="3"/>
  <c r="ICG181" i="3"/>
  <c r="ICI181" i="3" s="1"/>
  <c r="IBY181" i="3"/>
  <c r="ICA181" i="3" s="1"/>
  <c r="IBS181" i="3"/>
  <c r="IBQ181" i="3"/>
  <c r="IBI181" i="3"/>
  <c r="IBK181" i="3" s="1"/>
  <c r="IBC181" i="3"/>
  <c r="IBA181" i="3"/>
  <c r="IAU181" i="3"/>
  <c r="IAS181" i="3"/>
  <c r="IAK181" i="3"/>
  <c r="IAM181" i="3" s="1"/>
  <c r="IAE181" i="3"/>
  <c r="IAC181" i="3"/>
  <c r="HZW181" i="3"/>
  <c r="HZU181" i="3"/>
  <c r="HZO181" i="3"/>
  <c r="HZM181" i="3"/>
  <c r="HZG181" i="3"/>
  <c r="HZE181" i="3"/>
  <c r="HYW181" i="3"/>
  <c r="HYY181" i="3" s="1"/>
  <c r="HYO181" i="3"/>
  <c r="HYQ181" i="3" s="1"/>
  <c r="HYG181" i="3"/>
  <c r="HYI181" i="3" s="1"/>
  <c r="HXY181" i="3"/>
  <c r="HYA181" i="3" s="1"/>
  <c r="HXS181" i="3"/>
  <c r="HXQ181" i="3"/>
  <c r="HXI181" i="3"/>
  <c r="HXK181" i="3" s="1"/>
  <c r="HXC181" i="3"/>
  <c r="HXA181" i="3"/>
  <c r="HWS181" i="3"/>
  <c r="HWU181" i="3" s="1"/>
  <c r="HWM181" i="3"/>
  <c r="HWK181" i="3"/>
  <c r="HWE181" i="3"/>
  <c r="HWC181" i="3"/>
  <c r="HVU181" i="3"/>
  <c r="HVW181" i="3" s="1"/>
  <c r="HVO181" i="3"/>
  <c r="HVM181" i="3"/>
  <c r="HVG181" i="3"/>
  <c r="HVE181" i="3"/>
  <c r="HUW181" i="3"/>
  <c r="HUY181" i="3" s="1"/>
  <c r="HUQ181" i="3"/>
  <c r="HUO181" i="3"/>
  <c r="HUG181" i="3"/>
  <c r="HUI181" i="3" s="1"/>
  <c r="HTY181" i="3"/>
  <c r="HUA181" i="3" s="1"/>
  <c r="HTS181" i="3"/>
  <c r="HTQ181" i="3"/>
  <c r="HTI181" i="3"/>
  <c r="HTK181" i="3" s="1"/>
  <c r="HTA181" i="3"/>
  <c r="HTC181" i="3" s="1"/>
  <c r="HSS181" i="3"/>
  <c r="HSU181" i="3" s="1"/>
  <c r="HSM181" i="3"/>
  <c r="HSK181" i="3"/>
  <c r="HSE181" i="3"/>
  <c r="HSC181" i="3"/>
  <c r="HRW181" i="3"/>
  <c r="HRU181" i="3"/>
  <c r="HRO181" i="3"/>
  <c r="HRM181" i="3"/>
  <c r="HRE181" i="3"/>
  <c r="HRG181" i="3" s="1"/>
  <c r="HQY181" i="3"/>
  <c r="HQW181" i="3"/>
  <c r="HQQ181" i="3"/>
  <c r="HQO181" i="3"/>
  <c r="HQG181" i="3"/>
  <c r="HQI181" i="3" s="1"/>
  <c r="HPY181" i="3"/>
  <c r="HQA181" i="3" s="1"/>
  <c r="HPS181" i="3"/>
  <c r="HPQ181" i="3"/>
  <c r="HPI181" i="3"/>
  <c r="HPK181" i="3" s="1"/>
  <c r="HPC181" i="3"/>
  <c r="HPA181" i="3"/>
  <c r="HOS181" i="3"/>
  <c r="HOU181" i="3" s="1"/>
  <c r="HOM181" i="3"/>
  <c r="HOK181" i="3"/>
  <c r="HOE181" i="3"/>
  <c r="HOC181" i="3"/>
  <c r="HNW181" i="3"/>
  <c r="HNU181" i="3"/>
  <c r="HNM181" i="3"/>
  <c r="HNO181" i="3" s="1"/>
  <c r="HNE181" i="3"/>
  <c r="HNG181" i="3" s="1"/>
  <c r="HMY181" i="3"/>
  <c r="HMW181" i="3"/>
  <c r="HMQ181" i="3"/>
  <c r="HMO181" i="3"/>
  <c r="HMG181" i="3"/>
  <c r="HMI181" i="3" s="1"/>
  <c r="HLY181" i="3"/>
  <c r="HMA181" i="3" s="1"/>
  <c r="HLQ181" i="3"/>
  <c r="HLS181" i="3" s="1"/>
  <c r="HLK181" i="3"/>
  <c r="HLI181" i="3"/>
  <c r="HLC181" i="3"/>
  <c r="HLA181" i="3"/>
  <c r="HKS181" i="3"/>
  <c r="HKU181" i="3" s="1"/>
  <c r="HKM181" i="3"/>
  <c r="HKK181" i="3"/>
  <c r="HKE181" i="3"/>
  <c r="HKC181" i="3"/>
  <c r="HJU181" i="3"/>
  <c r="HJW181" i="3" s="1"/>
  <c r="HJO181" i="3"/>
  <c r="HJM181" i="3"/>
  <c r="HJE181" i="3"/>
  <c r="HJG181" i="3" s="1"/>
  <c r="HIY181" i="3"/>
  <c r="HIW181" i="3"/>
  <c r="HIQ181" i="3"/>
  <c r="HIO181" i="3"/>
  <c r="HIG181" i="3"/>
  <c r="HII181" i="3" s="1"/>
  <c r="HHY181" i="3"/>
  <c r="HIA181" i="3" s="1"/>
  <c r="HHQ181" i="3"/>
  <c r="HHS181" i="3" s="1"/>
  <c r="HHK181" i="3"/>
  <c r="HHI181" i="3"/>
  <c r="HHC181" i="3"/>
  <c r="HHA181" i="3"/>
  <c r="HGS181" i="3"/>
  <c r="HGU181" i="3" s="1"/>
  <c r="HGM181" i="3"/>
  <c r="HGK181" i="3"/>
  <c r="HGC181" i="3"/>
  <c r="HGE181" i="3" s="1"/>
  <c r="HFU181" i="3"/>
  <c r="HFW181" i="3" s="1"/>
  <c r="HFO181" i="3"/>
  <c r="HFM181" i="3"/>
  <c r="HFE181" i="3"/>
  <c r="HFG181" i="3" s="1"/>
  <c r="HEY181" i="3"/>
  <c r="HEW181" i="3"/>
  <c r="HEQ181" i="3"/>
  <c r="HEO181" i="3"/>
  <c r="HEG181" i="3"/>
  <c r="HEI181" i="3" s="1"/>
  <c r="HEA181" i="3"/>
  <c r="HDY181" i="3"/>
  <c r="HDS181" i="3"/>
  <c r="HDQ181" i="3"/>
  <c r="HDK181" i="3"/>
  <c r="HDI181" i="3"/>
  <c r="HDC181" i="3"/>
  <c r="HDA181" i="3"/>
  <c r="HCS181" i="3"/>
  <c r="HCU181" i="3" s="1"/>
  <c r="HCK181" i="3"/>
  <c r="HCM181" i="3" s="1"/>
  <c r="HCC181" i="3"/>
  <c r="HCE181" i="3" s="1"/>
  <c r="HBU181" i="3"/>
  <c r="HBW181" i="3" s="1"/>
  <c r="HBO181" i="3"/>
  <c r="HBM181" i="3"/>
  <c r="HBE181" i="3"/>
  <c r="HBG181" i="3" s="1"/>
  <c r="HAY181" i="3"/>
  <c r="HAW181" i="3"/>
  <c r="HAO181" i="3"/>
  <c r="HAQ181" i="3" s="1"/>
  <c r="HAI181" i="3"/>
  <c r="HAG181" i="3"/>
  <c r="HAA181" i="3"/>
  <c r="GZY181" i="3"/>
  <c r="GZS181" i="3"/>
  <c r="GZQ181" i="3"/>
  <c r="GZK181" i="3"/>
  <c r="GZI181" i="3"/>
  <c r="GZC181" i="3"/>
  <c r="GZA181" i="3"/>
  <c r="GYS181" i="3"/>
  <c r="GYU181" i="3" s="1"/>
  <c r="GYM181" i="3"/>
  <c r="GYK181" i="3"/>
  <c r="GYC181" i="3"/>
  <c r="GYE181" i="3" s="1"/>
  <c r="GXU181" i="3"/>
  <c r="GXW181" i="3" s="1"/>
  <c r="GXO181" i="3"/>
  <c r="GXM181" i="3"/>
  <c r="GXE181" i="3"/>
  <c r="GXG181" i="3" s="1"/>
  <c r="GWW181" i="3"/>
  <c r="GWY181" i="3" s="1"/>
  <c r="GWO181" i="3"/>
  <c r="GWQ181" i="3" s="1"/>
  <c r="GWI181" i="3"/>
  <c r="GWG181" i="3"/>
  <c r="GWA181" i="3"/>
  <c r="GVY181" i="3"/>
  <c r="GVQ181" i="3"/>
  <c r="GVS181" i="3" s="1"/>
  <c r="GVK181" i="3"/>
  <c r="GVI181" i="3"/>
  <c r="GVA181" i="3"/>
  <c r="GVC181" i="3" s="1"/>
  <c r="GUU181" i="3"/>
  <c r="GUS181" i="3"/>
  <c r="GUM181" i="3"/>
  <c r="GUK181" i="3"/>
  <c r="GUC181" i="3"/>
  <c r="GUE181" i="3" s="1"/>
  <c r="GTU181" i="3"/>
  <c r="GTW181" i="3" s="1"/>
  <c r="GTO181" i="3"/>
  <c r="GTM181" i="3"/>
  <c r="GTE181" i="3"/>
  <c r="GTG181" i="3" s="1"/>
  <c r="GSY181" i="3"/>
  <c r="GSW181" i="3"/>
  <c r="GSO181" i="3"/>
  <c r="GSQ181" i="3" s="1"/>
  <c r="GSI181" i="3"/>
  <c r="GSG181" i="3"/>
  <c r="GSA181" i="3"/>
  <c r="GRY181" i="3"/>
  <c r="GRQ181" i="3"/>
  <c r="GRS181" i="3" s="1"/>
  <c r="GRI181" i="3"/>
  <c r="GRK181" i="3" s="1"/>
  <c r="GRA181" i="3"/>
  <c r="GRC181" i="3" s="1"/>
  <c r="GQU181" i="3"/>
  <c r="GQS181" i="3"/>
  <c r="GQM181" i="3"/>
  <c r="GQK181" i="3"/>
  <c r="GQC181" i="3"/>
  <c r="GQE181" i="3" s="1"/>
  <c r="GPU181" i="3"/>
  <c r="GPW181" i="3" s="1"/>
  <c r="GPM181" i="3"/>
  <c r="GPO181" i="3" s="1"/>
  <c r="GPG181" i="3"/>
  <c r="GPE181" i="3"/>
  <c r="GOY181" i="3"/>
  <c r="GOW181" i="3"/>
  <c r="GOO181" i="3"/>
  <c r="GOQ181" i="3" s="1"/>
  <c r="GOI181" i="3"/>
  <c r="GOG181" i="3"/>
  <c r="GOA181" i="3"/>
  <c r="GNY181" i="3"/>
  <c r="GNQ181" i="3"/>
  <c r="GNS181" i="3" s="1"/>
  <c r="GNK181" i="3"/>
  <c r="GNI181" i="3"/>
  <c r="GNA181" i="3"/>
  <c r="GNC181" i="3" s="1"/>
  <c r="GMU181" i="3"/>
  <c r="GMS181" i="3"/>
  <c r="GMM181" i="3"/>
  <c r="GMK181" i="3"/>
  <c r="GMC181" i="3"/>
  <c r="GME181" i="3" s="1"/>
  <c r="GLU181" i="3"/>
  <c r="GLW181" i="3" s="1"/>
  <c r="GLM181" i="3"/>
  <c r="GLO181" i="3" s="1"/>
  <c r="GLG181" i="3"/>
  <c r="GLE181" i="3"/>
  <c r="GKY181" i="3"/>
  <c r="GKW181" i="3"/>
  <c r="GKO181" i="3"/>
  <c r="GKQ181" i="3" s="1"/>
  <c r="GKI181" i="3"/>
  <c r="GKG181" i="3"/>
  <c r="GJY181" i="3"/>
  <c r="GKA181" i="3" s="1"/>
  <c r="GJQ181" i="3"/>
  <c r="GJS181" i="3" s="1"/>
  <c r="GJK181" i="3"/>
  <c r="GJI181" i="3"/>
  <c r="GJA181" i="3"/>
  <c r="GJC181" i="3" s="1"/>
  <c r="GIU181" i="3"/>
  <c r="GIS181" i="3"/>
  <c r="GIM181" i="3"/>
  <c r="GIK181" i="3"/>
  <c r="GIC181" i="3"/>
  <c r="GIE181" i="3" s="1"/>
  <c r="GHW181" i="3"/>
  <c r="GHU181" i="3"/>
  <c r="GHM181" i="3"/>
  <c r="GHO181" i="3" s="1"/>
  <c r="GHG181" i="3"/>
  <c r="GHE181" i="3"/>
  <c r="GGY181" i="3"/>
  <c r="GGW181" i="3"/>
  <c r="GGO181" i="3"/>
  <c r="GGQ181" i="3" s="1"/>
  <c r="GGG181" i="3"/>
  <c r="GGI181" i="3" s="1"/>
  <c r="GFY181" i="3"/>
  <c r="GGA181" i="3" s="1"/>
  <c r="GFQ181" i="3"/>
  <c r="GFS181" i="3" s="1"/>
  <c r="GFK181" i="3"/>
  <c r="GFI181" i="3"/>
  <c r="GFA181" i="3"/>
  <c r="GFC181" i="3" s="1"/>
  <c r="GEU181" i="3"/>
  <c r="GES181" i="3"/>
  <c r="GEK181" i="3"/>
  <c r="GEM181" i="3" s="1"/>
  <c r="GEE181" i="3"/>
  <c r="GEC181" i="3"/>
  <c r="GDW181" i="3"/>
  <c r="GDU181" i="3"/>
  <c r="GDO181" i="3"/>
  <c r="GDM181" i="3"/>
  <c r="GDG181" i="3"/>
  <c r="GDE181" i="3"/>
  <c r="GCY181" i="3"/>
  <c r="GCW181" i="3"/>
  <c r="GCO181" i="3"/>
  <c r="GCQ181" i="3" s="1"/>
  <c r="GCI181" i="3"/>
  <c r="GCG181" i="3"/>
  <c r="GBY181" i="3"/>
  <c r="GCA181" i="3" s="1"/>
  <c r="GBQ181" i="3"/>
  <c r="GBS181" i="3" s="1"/>
  <c r="GBK181" i="3"/>
  <c r="GBI181" i="3"/>
  <c r="GBA181" i="3"/>
  <c r="GBC181" i="3" s="1"/>
  <c r="GAS181" i="3"/>
  <c r="GAU181" i="3" s="1"/>
  <c r="GAK181" i="3"/>
  <c r="GAM181" i="3" s="1"/>
  <c r="GAE181" i="3"/>
  <c r="GAC181" i="3"/>
  <c r="FZW181" i="3"/>
  <c r="FZU181" i="3"/>
  <c r="FZO181" i="3"/>
  <c r="FZM181" i="3"/>
  <c r="FZG181" i="3"/>
  <c r="FZE181" i="3"/>
  <c r="FYW181" i="3"/>
  <c r="FYY181" i="3" s="1"/>
  <c r="FYQ181" i="3"/>
  <c r="FYO181" i="3"/>
  <c r="FYI181" i="3"/>
  <c r="FYG181" i="3"/>
  <c r="FXY181" i="3"/>
  <c r="FYA181" i="3" s="1"/>
  <c r="FXQ181" i="3"/>
  <c r="FXS181" i="3" s="1"/>
  <c r="FXK181" i="3"/>
  <c r="FXI181" i="3"/>
  <c r="FXA181" i="3"/>
  <c r="FXC181" i="3" s="1"/>
  <c r="FWU181" i="3"/>
  <c r="FWS181" i="3"/>
  <c r="FWK181" i="3"/>
  <c r="FWM181" i="3" s="1"/>
  <c r="FWE181" i="3"/>
  <c r="FWC181" i="3"/>
  <c r="FVW181" i="3"/>
  <c r="FVU181" i="3"/>
  <c r="FVO181" i="3"/>
  <c r="FVM181" i="3"/>
  <c r="FVE181" i="3"/>
  <c r="FVG181" i="3" s="1"/>
  <c r="FUW181" i="3"/>
  <c r="FUY181" i="3" s="1"/>
  <c r="FUQ181" i="3"/>
  <c r="FUO181" i="3"/>
  <c r="FUI181" i="3"/>
  <c r="FUG181" i="3"/>
  <c r="FTY181" i="3"/>
  <c r="FUA181" i="3" s="1"/>
  <c r="FTQ181" i="3"/>
  <c r="FTS181" i="3" s="1"/>
  <c r="FTI181" i="3"/>
  <c r="FTK181" i="3" s="1"/>
  <c r="FTC181" i="3"/>
  <c r="FTA181" i="3"/>
  <c r="FSU181" i="3"/>
  <c r="FSS181" i="3"/>
  <c r="FSK181" i="3"/>
  <c r="FSM181" i="3" s="1"/>
  <c r="FSE181" i="3"/>
  <c r="FSC181" i="3"/>
  <c r="FRW181" i="3"/>
  <c r="FRU181" i="3"/>
  <c r="FRM181" i="3"/>
  <c r="FRO181" i="3" s="1"/>
  <c r="FRG181" i="3"/>
  <c r="FRE181" i="3"/>
  <c r="FQW181" i="3"/>
  <c r="FQY181" i="3" s="1"/>
  <c r="FQQ181" i="3"/>
  <c r="FQO181" i="3"/>
  <c r="FQI181" i="3"/>
  <c r="FQG181" i="3"/>
  <c r="FPY181" i="3"/>
  <c r="FQA181" i="3" s="1"/>
  <c r="FPQ181" i="3"/>
  <c r="FPS181" i="3" s="1"/>
  <c r="FPI181" i="3"/>
  <c r="FPK181" i="3" s="1"/>
  <c r="FPC181" i="3"/>
  <c r="FPA181" i="3"/>
  <c r="FOS181" i="3"/>
  <c r="FOU181" i="3" s="1"/>
  <c r="FOK181" i="3"/>
  <c r="FOM181" i="3" s="1"/>
  <c r="FOE181" i="3"/>
  <c r="FOC181" i="3"/>
  <c r="FNU181" i="3"/>
  <c r="FNW181" i="3" s="1"/>
  <c r="FNM181" i="3"/>
  <c r="FNO181" i="3" s="1"/>
  <c r="FNG181" i="3"/>
  <c r="FNE181" i="3"/>
  <c r="FMW181" i="3"/>
  <c r="FMY181" i="3" s="1"/>
  <c r="FMQ181" i="3"/>
  <c r="FMO181" i="3"/>
  <c r="FMI181" i="3"/>
  <c r="FMG181" i="3"/>
  <c r="FLY181" i="3"/>
  <c r="FMA181" i="3" s="1"/>
  <c r="FLS181" i="3"/>
  <c r="FLQ181" i="3"/>
  <c r="FLK181" i="3"/>
  <c r="FLI181" i="3"/>
  <c r="FLC181" i="3"/>
  <c r="FLA181" i="3"/>
  <c r="FKU181" i="3"/>
  <c r="FKS181" i="3"/>
  <c r="FKK181" i="3"/>
  <c r="FKM181" i="3" s="1"/>
  <c r="FKC181" i="3"/>
  <c r="FKE181" i="3" s="1"/>
  <c r="FJU181" i="3"/>
  <c r="FJW181" i="3" s="1"/>
  <c r="FJM181" i="3"/>
  <c r="FJO181" i="3" s="1"/>
  <c r="FJE181" i="3"/>
  <c r="FJG181" i="3" s="1"/>
  <c r="FIW181" i="3"/>
  <c r="FIY181" i="3" s="1"/>
  <c r="FIQ181" i="3"/>
  <c r="FIO181" i="3"/>
  <c r="FIG181" i="3"/>
  <c r="FII181" i="3" s="1"/>
  <c r="FIA181" i="3"/>
  <c r="FHY181" i="3"/>
  <c r="FHS181" i="3"/>
  <c r="FHQ181" i="3"/>
  <c r="FHI181" i="3"/>
  <c r="FHK181" i="3" s="1"/>
  <c r="FHC181" i="3"/>
  <c r="FHA181" i="3"/>
  <c r="FGU181" i="3"/>
  <c r="FGS181" i="3"/>
  <c r="FGK181" i="3"/>
  <c r="FGM181" i="3" s="1"/>
  <c r="FGE181" i="3"/>
  <c r="FGC181" i="3"/>
  <c r="FFU181" i="3"/>
  <c r="FFW181" i="3" s="1"/>
  <c r="FFM181" i="3"/>
  <c r="FFO181" i="3" s="1"/>
  <c r="FFE181" i="3"/>
  <c r="FFG181" i="3" s="1"/>
  <c r="FEW181" i="3"/>
  <c r="FEY181" i="3" s="1"/>
  <c r="FEO181" i="3"/>
  <c r="FEQ181" i="3" s="1"/>
  <c r="FEG181" i="3"/>
  <c r="FEI181" i="3" s="1"/>
  <c r="FEA181" i="3"/>
  <c r="FDY181" i="3"/>
  <c r="FDS181" i="3"/>
  <c r="FDQ181" i="3"/>
  <c r="FDK181" i="3"/>
  <c r="FDI181" i="3"/>
  <c r="FDC181" i="3"/>
  <c r="FDA181" i="3"/>
  <c r="FCS181" i="3"/>
  <c r="FCU181" i="3" s="1"/>
  <c r="FCM181" i="3"/>
  <c r="FCK181" i="3"/>
  <c r="FCE181" i="3"/>
  <c r="FCC181" i="3"/>
  <c r="FBU181" i="3"/>
  <c r="FBW181" i="3" s="1"/>
  <c r="FBM181" i="3"/>
  <c r="FBO181" i="3" s="1"/>
  <c r="FBE181" i="3"/>
  <c r="FBG181" i="3" s="1"/>
  <c r="FAW181" i="3"/>
  <c r="FAY181" i="3" s="1"/>
  <c r="FAQ181" i="3"/>
  <c r="FAO181" i="3"/>
  <c r="FAG181" i="3"/>
  <c r="FAI181" i="3" s="1"/>
  <c r="FAA181" i="3"/>
  <c r="EZY181" i="3"/>
  <c r="EZS181" i="3"/>
  <c r="EZQ181" i="3"/>
  <c r="EZK181" i="3"/>
  <c r="EZI181" i="3"/>
  <c r="EZA181" i="3"/>
  <c r="EZC181" i="3" s="1"/>
  <c r="EYS181" i="3"/>
  <c r="EYU181" i="3" s="1"/>
  <c r="EYM181" i="3"/>
  <c r="EYK181" i="3"/>
  <c r="EYE181" i="3"/>
  <c r="EYC181" i="3"/>
  <c r="EXU181" i="3"/>
  <c r="EXW181" i="3" s="1"/>
  <c r="EXM181" i="3"/>
  <c r="EXO181" i="3" s="1"/>
  <c r="EXE181" i="3"/>
  <c r="EXG181" i="3" s="1"/>
  <c r="EWY181" i="3"/>
  <c r="EWW181" i="3"/>
  <c r="EWQ181" i="3"/>
  <c r="EWO181" i="3"/>
  <c r="EWG181" i="3"/>
  <c r="EWI181" i="3" s="1"/>
  <c r="EWA181" i="3"/>
  <c r="EVY181" i="3"/>
  <c r="EVS181" i="3"/>
  <c r="EVQ181" i="3"/>
  <c r="EVI181" i="3"/>
  <c r="EVK181" i="3" s="1"/>
  <c r="EVA181" i="3"/>
  <c r="EVC181" i="3" s="1"/>
  <c r="EUS181" i="3"/>
  <c r="EUU181" i="3" s="1"/>
  <c r="EUM181" i="3"/>
  <c r="EUK181" i="3"/>
  <c r="EUE181" i="3"/>
  <c r="EUC181" i="3"/>
  <c r="ETU181" i="3"/>
  <c r="ETW181" i="3" s="1"/>
  <c r="ETM181" i="3"/>
  <c r="ETO181" i="3" s="1"/>
  <c r="ETE181" i="3"/>
  <c r="ETG181" i="3" s="1"/>
  <c r="ESY181" i="3"/>
  <c r="ESW181" i="3"/>
  <c r="ESO181" i="3"/>
  <c r="ESQ181" i="3" s="1"/>
  <c r="ESG181" i="3"/>
  <c r="ESI181" i="3" s="1"/>
  <c r="ESA181" i="3"/>
  <c r="ERY181" i="3"/>
  <c r="ERQ181" i="3"/>
  <c r="ERS181" i="3" s="1"/>
  <c r="ERI181" i="3"/>
  <c r="ERK181" i="3" s="1"/>
  <c r="ERC181" i="3"/>
  <c r="ERA181" i="3"/>
  <c r="EQS181" i="3"/>
  <c r="EQU181" i="3" s="1"/>
  <c r="EQM181" i="3"/>
  <c r="EQK181" i="3"/>
  <c r="EQE181" i="3"/>
  <c r="EQC181" i="3"/>
  <c r="EPU181" i="3"/>
  <c r="EPW181" i="3" s="1"/>
  <c r="EPO181" i="3"/>
  <c r="EPM181" i="3"/>
  <c r="EPG181" i="3"/>
  <c r="EPE181" i="3"/>
  <c r="EOY181" i="3"/>
  <c r="EOW181" i="3"/>
  <c r="EOO181" i="3"/>
  <c r="EOQ181" i="3" s="1"/>
  <c r="EOG181" i="3"/>
  <c r="EOI181" i="3" s="1"/>
  <c r="ENY181" i="3"/>
  <c r="EOA181" i="3" s="1"/>
  <c r="ENQ181" i="3"/>
  <c r="ENS181" i="3" s="1"/>
  <c r="ENI181" i="3"/>
  <c r="ENK181" i="3" s="1"/>
  <c r="ENC181" i="3"/>
  <c r="ENA181" i="3"/>
  <c r="EMS181" i="3"/>
  <c r="EMU181" i="3" s="1"/>
  <c r="EMM181" i="3"/>
  <c r="EMK181" i="3"/>
  <c r="EMC181" i="3"/>
  <c r="EME181" i="3" s="1"/>
  <c r="ELW181" i="3"/>
  <c r="ELU181" i="3"/>
  <c r="ELO181" i="3"/>
  <c r="ELM181" i="3"/>
  <c r="ELG181" i="3"/>
  <c r="ELE181" i="3"/>
  <c r="EKY181" i="3"/>
  <c r="EKW181" i="3"/>
  <c r="EKQ181" i="3"/>
  <c r="EKO181" i="3"/>
  <c r="EKG181" i="3"/>
  <c r="EKI181" i="3" s="1"/>
  <c r="EKA181" i="3"/>
  <c r="EJY181" i="3"/>
  <c r="EJQ181" i="3"/>
  <c r="EJS181" i="3" s="1"/>
  <c r="EJI181" i="3"/>
  <c r="EJK181" i="3" s="1"/>
  <c r="EJC181" i="3"/>
  <c r="EJA181" i="3"/>
  <c r="EIS181" i="3"/>
  <c r="EIU181" i="3" s="1"/>
  <c r="EIK181" i="3"/>
  <c r="EIM181" i="3" s="1"/>
  <c r="EIC181" i="3"/>
  <c r="EIE181" i="3" s="1"/>
  <c r="EHW181" i="3"/>
  <c r="EHU181" i="3"/>
  <c r="EHO181" i="3"/>
  <c r="EHM181" i="3"/>
  <c r="EHE181" i="3"/>
  <c r="EHG181" i="3" s="1"/>
  <c r="EGY181" i="3"/>
  <c r="EGW181" i="3"/>
  <c r="EGO181" i="3"/>
  <c r="EGQ181" i="3" s="1"/>
  <c r="EGI181" i="3"/>
  <c r="EGG181" i="3"/>
  <c r="EGA181" i="3"/>
  <c r="EFY181" i="3"/>
  <c r="EFQ181" i="3"/>
  <c r="EFS181" i="3" s="1"/>
  <c r="EFI181" i="3"/>
  <c r="EFK181" i="3" s="1"/>
  <c r="EFA181" i="3"/>
  <c r="EFC181" i="3" s="1"/>
  <c r="EES181" i="3"/>
  <c r="EEU181" i="3" s="1"/>
  <c r="EEK181" i="3"/>
  <c r="EEM181" i="3" s="1"/>
  <c r="EEC181" i="3"/>
  <c r="EEE181" i="3" s="1"/>
  <c r="EDW181" i="3"/>
  <c r="EDU181" i="3"/>
  <c r="EDO181" i="3"/>
  <c r="EDM181" i="3"/>
  <c r="EDE181" i="3"/>
  <c r="EDG181" i="3" s="1"/>
  <c r="ECW181" i="3"/>
  <c r="ECY181" i="3" s="1"/>
  <c r="ECO181" i="3"/>
  <c r="ECQ181" i="3" s="1"/>
  <c r="ECI181" i="3"/>
  <c r="ECG181" i="3"/>
  <c r="ECA181" i="3"/>
  <c r="EBY181" i="3"/>
  <c r="EBQ181" i="3"/>
  <c r="EBS181" i="3" s="1"/>
  <c r="EBI181" i="3"/>
  <c r="EBK181" i="3" s="1"/>
  <c r="EBA181" i="3"/>
  <c r="EBC181" i="3" s="1"/>
  <c r="EAU181" i="3"/>
  <c r="EAS181" i="3"/>
  <c r="EAM181" i="3"/>
  <c r="EAK181" i="3"/>
  <c r="EAC181" i="3"/>
  <c r="EAE181" i="3" s="1"/>
  <c r="DZW181" i="3"/>
  <c r="DZU181" i="3"/>
  <c r="DZO181" i="3"/>
  <c r="DZM181" i="3"/>
  <c r="DZE181" i="3"/>
  <c r="DZG181" i="3" s="1"/>
  <c r="DYY181" i="3"/>
  <c r="DYW181" i="3"/>
  <c r="DYO181" i="3"/>
  <c r="DYQ181" i="3" s="1"/>
  <c r="DYI181" i="3"/>
  <c r="DYG181" i="3"/>
  <c r="DYA181" i="3"/>
  <c r="DXY181" i="3"/>
  <c r="DXQ181" i="3"/>
  <c r="DXS181" i="3" s="1"/>
  <c r="DXI181" i="3"/>
  <c r="DXK181" i="3" s="1"/>
  <c r="DXA181" i="3"/>
  <c r="DXC181" i="3" s="1"/>
  <c r="DWU181" i="3"/>
  <c r="DWS181" i="3"/>
  <c r="DWK181" i="3"/>
  <c r="DWM181" i="3" s="1"/>
  <c r="DWC181" i="3"/>
  <c r="DWE181" i="3" s="1"/>
  <c r="DVW181" i="3"/>
  <c r="DVU181" i="3"/>
  <c r="DVM181" i="3"/>
  <c r="DVO181" i="3" s="1"/>
  <c r="DVE181" i="3"/>
  <c r="DVG181" i="3" s="1"/>
  <c r="DUW181" i="3"/>
  <c r="DUY181" i="3" s="1"/>
  <c r="DUO181" i="3"/>
  <c r="DUQ181" i="3" s="1"/>
  <c r="DUI181" i="3"/>
  <c r="DUG181" i="3"/>
  <c r="DUA181" i="3"/>
  <c r="DTY181" i="3"/>
  <c r="DTQ181" i="3"/>
  <c r="DTS181" i="3" s="1"/>
  <c r="DTK181" i="3"/>
  <c r="DTI181" i="3"/>
  <c r="DTA181" i="3"/>
  <c r="DTC181" i="3" s="1"/>
  <c r="DSU181" i="3"/>
  <c r="DSS181" i="3"/>
  <c r="DSM181" i="3"/>
  <c r="DSK181" i="3"/>
  <c r="DSC181" i="3"/>
  <c r="DSE181" i="3" s="1"/>
  <c r="DRU181" i="3"/>
  <c r="DRW181" i="3" s="1"/>
  <c r="DRM181" i="3"/>
  <c r="DRO181" i="3" s="1"/>
  <c r="DRE181" i="3"/>
  <c r="DRG181" i="3" s="1"/>
  <c r="DQY181" i="3"/>
  <c r="DQW181" i="3"/>
  <c r="DQO181" i="3"/>
  <c r="DQQ181" i="3" s="1"/>
  <c r="DQI181" i="3"/>
  <c r="DQG181" i="3"/>
  <c r="DPY181" i="3"/>
  <c r="DQA181" i="3" s="1"/>
  <c r="DPS181" i="3"/>
  <c r="DPQ181" i="3"/>
  <c r="DPK181" i="3"/>
  <c r="DPI181" i="3"/>
  <c r="DPC181" i="3"/>
  <c r="DPA181" i="3"/>
  <c r="DOU181" i="3"/>
  <c r="DOS181" i="3"/>
  <c r="DOK181" i="3"/>
  <c r="DOM181" i="3" s="1"/>
  <c r="DOC181" i="3"/>
  <c r="DOE181" i="3" s="1"/>
  <c r="DNW181" i="3"/>
  <c r="DNU181" i="3"/>
  <c r="DNM181" i="3"/>
  <c r="DNO181" i="3" s="1"/>
  <c r="DNE181" i="3"/>
  <c r="DNG181" i="3" s="1"/>
  <c r="DMW181" i="3"/>
  <c r="DMY181" i="3" s="1"/>
  <c r="DMO181" i="3"/>
  <c r="DMQ181" i="3" s="1"/>
  <c r="DMG181" i="3"/>
  <c r="DMI181" i="3" s="1"/>
  <c r="DLY181" i="3"/>
  <c r="DMA181" i="3" s="1"/>
  <c r="DLS181" i="3"/>
  <c r="DLQ181" i="3"/>
  <c r="DLK181" i="3"/>
  <c r="DLI181" i="3"/>
  <c r="DLC181" i="3"/>
  <c r="DLA181" i="3"/>
  <c r="DKU181" i="3"/>
  <c r="DKS181" i="3"/>
  <c r="DKK181" i="3"/>
  <c r="DKM181" i="3" s="1"/>
  <c r="DKE181" i="3"/>
  <c r="DKC181" i="3"/>
  <c r="DJW181" i="3"/>
  <c r="DJU181" i="3"/>
  <c r="DJM181" i="3"/>
  <c r="DJO181" i="3" s="1"/>
  <c r="DJE181" i="3"/>
  <c r="DJG181" i="3" s="1"/>
  <c r="DIW181" i="3"/>
  <c r="DIY181" i="3" s="1"/>
  <c r="DIO181" i="3"/>
  <c r="DIQ181" i="3" s="1"/>
  <c r="DII181" i="3"/>
  <c r="DIG181" i="3"/>
  <c r="DHY181" i="3"/>
  <c r="DIA181" i="3" s="1"/>
  <c r="DHS181" i="3"/>
  <c r="DHQ181" i="3"/>
  <c r="DHK181" i="3"/>
  <c r="DHI181" i="3"/>
  <c r="DHC181" i="3"/>
  <c r="DHA181" i="3"/>
  <c r="DGS181" i="3"/>
  <c r="DGU181" i="3" s="1"/>
  <c r="DGK181" i="3"/>
  <c r="DGM181" i="3" s="1"/>
  <c r="DGE181" i="3"/>
  <c r="DGC181" i="3"/>
  <c r="DFW181" i="3"/>
  <c r="DFU181" i="3"/>
  <c r="DFM181" i="3"/>
  <c r="DFO181" i="3" s="1"/>
  <c r="DFE181" i="3"/>
  <c r="DFG181" i="3" s="1"/>
  <c r="DEW181" i="3"/>
  <c r="DEY181" i="3" s="1"/>
  <c r="DEQ181" i="3"/>
  <c r="DEO181" i="3"/>
  <c r="DEG181" i="3"/>
  <c r="DEI181" i="3" s="1"/>
  <c r="DDY181" i="3"/>
  <c r="DEA181" i="3" s="1"/>
  <c r="DDS181" i="3"/>
  <c r="DDQ181" i="3"/>
  <c r="DDK181" i="3"/>
  <c r="DDI181" i="3"/>
  <c r="DDA181" i="3"/>
  <c r="DDC181" i="3" s="1"/>
  <c r="DCU181" i="3"/>
  <c r="DCS181" i="3"/>
  <c r="DCK181" i="3"/>
  <c r="DCM181" i="3" s="1"/>
  <c r="DCE181" i="3"/>
  <c r="DCC181" i="3"/>
  <c r="DBW181" i="3"/>
  <c r="DBU181" i="3"/>
  <c r="DBM181" i="3"/>
  <c r="DBO181" i="3" s="1"/>
  <c r="DBE181" i="3"/>
  <c r="DBG181" i="3" s="1"/>
  <c r="DAW181" i="3"/>
  <c r="DAY181" i="3" s="1"/>
  <c r="DAQ181" i="3"/>
  <c r="DAO181" i="3"/>
  <c r="DAG181" i="3"/>
  <c r="DAI181" i="3" s="1"/>
  <c r="CZY181" i="3"/>
  <c r="DAA181" i="3" s="1"/>
  <c r="CZS181" i="3"/>
  <c r="CZQ181" i="3"/>
  <c r="CZI181" i="3"/>
  <c r="CZK181" i="3" s="1"/>
  <c r="CZA181" i="3"/>
  <c r="CZC181" i="3" s="1"/>
  <c r="CYU181" i="3"/>
  <c r="CYS181" i="3"/>
  <c r="CYK181" i="3"/>
  <c r="CYM181" i="3" s="1"/>
  <c r="CYE181" i="3"/>
  <c r="CYC181" i="3"/>
  <c r="CXW181" i="3"/>
  <c r="CXU181" i="3"/>
  <c r="CXM181" i="3"/>
  <c r="CXO181" i="3" s="1"/>
  <c r="CXG181" i="3"/>
  <c r="CXE181" i="3"/>
  <c r="CWY181" i="3"/>
  <c r="CWW181" i="3"/>
  <c r="CWQ181" i="3"/>
  <c r="CWO181" i="3"/>
  <c r="CWI181" i="3"/>
  <c r="CWG181" i="3"/>
  <c r="CVY181" i="3"/>
  <c r="CWA181" i="3" s="1"/>
  <c r="CVQ181" i="3"/>
  <c r="CVS181" i="3" s="1"/>
  <c r="CVI181" i="3"/>
  <c r="CVK181" i="3" s="1"/>
  <c r="CVA181" i="3"/>
  <c r="CVC181" i="3" s="1"/>
  <c r="CUS181" i="3"/>
  <c r="CUU181" i="3" s="1"/>
  <c r="CUK181" i="3"/>
  <c r="CUM181" i="3" s="1"/>
  <c r="CUE181" i="3"/>
  <c r="CUC181" i="3"/>
  <c r="CTU181" i="3"/>
  <c r="CTW181" i="3" s="1"/>
  <c r="CTO181" i="3"/>
  <c r="CTM181" i="3"/>
  <c r="CTG181" i="3"/>
  <c r="CTE181" i="3"/>
  <c r="CSW181" i="3"/>
  <c r="CSY181" i="3" s="1"/>
  <c r="CSQ181" i="3"/>
  <c r="CSO181" i="3"/>
  <c r="CSI181" i="3"/>
  <c r="CSG181" i="3"/>
  <c r="CRY181" i="3"/>
  <c r="CSA181" i="3" s="1"/>
  <c r="CRS181" i="3"/>
  <c r="CRQ181" i="3"/>
  <c r="CRI181" i="3"/>
  <c r="CRK181" i="3" s="1"/>
  <c r="CRA181" i="3"/>
  <c r="CRC181" i="3" s="1"/>
  <c r="CQS181" i="3"/>
  <c r="CQU181" i="3" s="1"/>
  <c r="CQK181" i="3"/>
  <c r="CQM181" i="3" s="1"/>
  <c r="CQC181" i="3"/>
  <c r="CQE181" i="3" s="1"/>
  <c r="CPU181" i="3"/>
  <c r="CPW181" i="3" s="1"/>
  <c r="CPO181" i="3"/>
  <c r="CPM181" i="3"/>
  <c r="CPG181" i="3"/>
  <c r="CPE181" i="3"/>
  <c r="COY181" i="3"/>
  <c r="COW181" i="3"/>
  <c r="COQ181" i="3"/>
  <c r="COO181" i="3"/>
  <c r="COG181" i="3"/>
  <c r="COI181" i="3" s="1"/>
  <c r="COA181" i="3"/>
  <c r="CNY181" i="3"/>
  <c r="CNS181" i="3"/>
  <c r="CNQ181" i="3"/>
  <c r="CNI181" i="3"/>
  <c r="CNK181" i="3" s="1"/>
  <c r="CNA181" i="3"/>
  <c r="CNC181" i="3" s="1"/>
  <c r="CMS181" i="3"/>
  <c r="CMU181" i="3" s="1"/>
  <c r="CMK181" i="3"/>
  <c r="CMM181" i="3" s="1"/>
  <c r="CME181" i="3"/>
  <c r="CMC181" i="3"/>
  <c r="CLU181" i="3"/>
  <c r="CLW181" i="3" s="1"/>
  <c r="CLO181" i="3"/>
  <c r="CLM181" i="3"/>
  <c r="CLG181" i="3"/>
  <c r="CLE181" i="3"/>
  <c r="CKY181" i="3"/>
  <c r="CKW181" i="3"/>
  <c r="CKO181" i="3"/>
  <c r="CKQ181" i="3" s="1"/>
  <c r="CKG181" i="3"/>
  <c r="CKI181" i="3" s="1"/>
  <c r="CKA181" i="3"/>
  <c r="CJY181" i="3"/>
  <c r="CJS181" i="3"/>
  <c r="CJQ181" i="3"/>
  <c r="CJI181" i="3"/>
  <c r="CJK181" i="3" s="1"/>
  <c r="CJA181" i="3"/>
  <c r="CJC181" i="3" s="1"/>
  <c r="CIS181" i="3"/>
  <c r="CIU181" i="3" s="1"/>
  <c r="CIM181" i="3"/>
  <c r="CIK181" i="3"/>
  <c r="CIE181" i="3"/>
  <c r="CIC181" i="3"/>
  <c r="CHU181" i="3"/>
  <c r="CHW181" i="3" s="1"/>
  <c r="CHO181" i="3"/>
  <c r="CHM181" i="3"/>
  <c r="CHG181" i="3"/>
  <c r="CHE181" i="3"/>
  <c r="CGW181" i="3"/>
  <c r="CGY181" i="3" s="1"/>
  <c r="CGO181" i="3"/>
  <c r="CGQ181" i="3" s="1"/>
  <c r="CGG181" i="3"/>
  <c r="CGI181" i="3" s="1"/>
  <c r="CGA181" i="3"/>
  <c r="CFY181" i="3"/>
  <c r="CFS181" i="3"/>
  <c r="CFQ181" i="3"/>
  <c r="CFI181" i="3"/>
  <c r="CFK181" i="3" s="1"/>
  <c r="CFA181" i="3"/>
  <c r="CFC181" i="3" s="1"/>
  <c r="CES181" i="3"/>
  <c r="CEU181" i="3" s="1"/>
  <c r="CEM181" i="3"/>
  <c r="CEK181" i="3"/>
  <c r="CEE181" i="3"/>
  <c r="CEC181" i="3"/>
  <c r="CDU181" i="3"/>
  <c r="CDW181" i="3" s="1"/>
  <c r="CDO181" i="3"/>
  <c r="CDM181" i="3"/>
  <c r="CDE181" i="3"/>
  <c r="CDG181" i="3" s="1"/>
  <c r="CCW181" i="3"/>
  <c r="CCY181" i="3" s="1"/>
  <c r="CCQ181" i="3"/>
  <c r="CCO181" i="3"/>
  <c r="CCG181" i="3"/>
  <c r="CCI181" i="3" s="1"/>
  <c r="CCA181" i="3"/>
  <c r="CBY181" i="3"/>
  <c r="CBS181" i="3"/>
  <c r="CBQ181" i="3"/>
  <c r="CBI181" i="3"/>
  <c r="CBK181" i="3" s="1"/>
  <c r="CBC181" i="3"/>
  <c r="CBA181" i="3"/>
  <c r="CAU181" i="3"/>
  <c r="CAS181" i="3"/>
  <c r="CAM181" i="3"/>
  <c r="CAK181" i="3"/>
  <c r="CAC181" i="3"/>
  <c r="CAE181" i="3" s="1"/>
  <c r="BZU181" i="3"/>
  <c r="BZW181" i="3" s="1"/>
  <c r="BZM181" i="3"/>
  <c r="BZO181" i="3" s="1"/>
  <c r="BZE181" i="3"/>
  <c r="BZG181" i="3" s="1"/>
  <c r="BYW181" i="3"/>
  <c r="BYY181" i="3" s="1"/>
  <c r="BYQ181" i="3"/>
  <c r="BYO181" i="3"/>
  <c r="BYG181" i="3"/>
  <c r="BYI181" i="3" s="1"/>
  <c r="BYA181" i="3"/>
  <c r="BXY181" i="3"/>
  <c r="BXQ181" i="3"/>
  <c r="BXS181" i="3" s="1"/>
  <c r="BXK181" i="3"/>
  <c r="BXI181" i="3"/>
  <c r="BXC181" i="3"/>
  <c r="BXA181" i="3"/>
  <c r="BWU181" i="3"/>
  <c r="BWS181" i="3"/>
  <c r="BWM181" i="3"/>
  <c r="BWK181" i="3"/>
  <c r="BWE181" i="3"/>
  <c r="BWC181" i="3"/>
  <c r="BVU181" i="3"/>
  <c r="BVW181" i="3" s="1"/>
  <c r="BVO181" i="3"/>
  <c r="BVM181" i="3"/>
  <c r="BVE181" i="3"/>
  <c r="BVG181" i="3" s="1"/>
  <c r="BUW181" i="3"/>
  <c r="BUY181" i="3" s="1"/>
  <c r="BUO181" i="3"/>
  <c r="BUQ181" i="3" s="1"/>
  <c r="BUI181" i="3"/>
  <c r="BUG181" i="3"/>
  <c r="BTY181" i="3"/>
  <c r="BUA181" i="3" s="1"/>
  <c r="BTQ181" i="3"/>
  <c r="BTS181" i="3" s="1"/>
  <c r="BTK181" i="3"/>
  <c r="BTI181" i="3"/>
  <c r="BTC181" i="3"/>
  <c r="BTA181" i="3"/>
  <c r="BSU181" i="3"/>
  <c r="BSS181" i="3"/>
  <c r="BSK181" i="3"/>
  <c r="BSM181" i="3" s="1"/>
  <c r="BSC181" i="3"/>
  <c r="BSE181" i="3" s="1"/>
  <c r="BRW181" i="3"/>
  <c r="BRU181" i="3"/>
  <c r="BRO181" i="3"/>
  <c r="BRM181" i="3"/>
  <c r="BRE181" i="3"/>
  <c r="BRG181" i="3" s="1"/>
  <c r="BQW181" i="3"/>
  <c r="BQY181" i="3" s="1"/>
  <c r="BQO181" i="3"/>
  <c r="BQQ181" i="3" s="1"/>
  <c r="BQG181" i="3"/>
  <c r="BQI181" i="3" s="1"/>
  <c r="BQA181" i="3"/>
  <c r="BPY181" i="3"/>
  <c r="BPQ181" i="3"/>
  <c r="BPS181" i="3" s="1"/>
  <c r="BPK181" i="3"/>
  <c r="BPI181" i="3"/>
  <c r="BPC181" i="3"/>
  <c r="BPA181" i="3"/>
  <c r="BOU181" i="3"/>
  <c r="BOS181" i="3"/>
  <c r="BOK181" i="3"/>
  <c r="BOM181" i="3" s="1"/>
  <c r="BOE181" i="3"/>
  <c r="BOC181" i="3"/>
  <c r="BNW181" i="3"/>
  <c r="BNU181" i="3"/>
  <c r="BNO181" i="3"/>
  <c r="BNM181" i="3"/>
  <c r="BNE181" i="3"/>
  <c r="BNG181" i="3" s="1"/>
  <c r="BMW181" i="3"/>
  <c r="BMY181" i="3" s="1"/>
  <c r="BMO181" i="3"/>
  <c r="BMQ181" i="3" s="1"/>
  <c r="BMI181" i="3"/>
  <c r="BMG181" i="3"/>
  <c r="BLY181" i="3"/>
  <c r="BMA181" i="3" s="1"/>
  <c r="BLQ181" i="3"/>
  <c r="BLS181" i="3" s="1"/>
  <c r="BLK181" i="3"/>
  <c r="BLI181" i="3"/>
  <c r="BLC181" i="3"/>
  <c r="BLA181" i="3"/>
  <c r="BKS181" i="3"/>
  <c r="BKU181" i="3" s="1"/>
  <c r="BKM181" i="3"/>
  <c r="BKK181" i="3"/>
  <c r="BKE181" i="3"/>
  <c r="BKC181" i="3"/>
  <c r="BJW181" i="3"/>
  <c r="BJU181" i="3"/>
  <c r="BJO181" i="3"/>
  <c r="BJM181" i="3"/>
  <c r="BJE181" i="3"/>
  <c r="BJG181" i="3" s="1"/>
  <c r="BIW181" i="3"/>
  <c r="BIY181" i="3" s="1"/>
  <c r="BIQ181" i="3"/>
  <c r="BIO181" i="3"/>
  <c r="BII181" i="3"/>
  <c r="BIG181" i="3"/>
  <c r="BIA181" i="3"/>
  <c r="BHY181" i="3"/>
  <c r="BHQ181" i="3"/>
  <c r="BHS181" i="3" s="1"/>
  <c r="BHK181" i="3"/>
  <c r="BHI181" i="3"/>
  <c r="BHA181" i="3"/>
  <c r="BHC181" i="3" s="1"/>
  <c r="BGS181" i="3"/>
  <c r="BGU181" i="3" s="1"/>
  <c r="BGM181" i="3"/>
  <c r="BGK181" i="3"/>
  <c r="BGC181" i="3"/>
  <c r="BGE181" i="3" s="1"/>
  <c r="BFW181" i="3"/>
  <c r="BFU181" i="3"/>
  <c r="BFO181" i="3"/>
  <c r="BFM181" i="3"/>
  <c r="BFE181" i="3"/>
  <c r="BFG181" i="3" s="1"/>
  <c r="BEY181" i="3"/>
  <c r="BEW181" i="3"/>
  <c r="BEQ181" i="3"/>
  <c r="BEO181" i="3"/>
  <c r="BEI181" i="3"/>
  <c r="BEG181" i="3"/>
  <c r="BEA181" i="3"/>
  <c r="BDY181" i="3"/>
  <c r="BDQ181" i="3"/>
  <c r="BDS181" i="3" s="1"/>
  <c r="BDI181" i="3"/>
  <c r="BDK181" i="3" s="1"/>
  <c r="BDA181" i="3"/>
  <c r="BDC181" i="3" s="1"/>
  <c r="BCS181" i="3"/>
  <c r="BCU181" i="3" s="1"/>
  <c r="BCK181" i="3"/>
  <c r="BCM181" i="3" s="1"/>
  <c r="BCE181" i="3"/>
  <c r="BCC181" i="3"/>
  <c r="BBW181" i="3"/>
  <c r="BBU181" i="3"/>
  <c r="BBM181" i="3"/>
  <c r="BBO181" i="3" s="1"/>
  <c r="BBG181" i="3"/>
  <c r="BBE181" i="3"/>
  <c r="BAY181" i="3"/>
  <c r="BAW181" i="3"/>
  <c r="BAQ181" i="3"/>
  <c r="BAO181" i="3"/>
  <c r="BAG181" i="3"/>
  <c r="BAI181" i="3" s="1"/>
  <c r="BAA181" i="3"/>
  <c r="AZY181" i="3"/>
  <c r="AZQ181" i="3"/>
  <c r="AZS181" i="3" s="1"/>
  <c r="AZK181" i="3"/>
  <c r="AZI181" i="3"/>
  <c r="AZA181" i="3"/>
  <c r="AZC181" i="3" s="1"/>
  <c r="AYS181" i="3"/>
  <c r="AYU181" i="3" s="1"/>
  <c r="AYK181" i="3"/>
  <c r="AYM181" i="3" s="1"/>
  <c r="AYC181" i="3"/>
  <c r="AYE181" i="3" s="1"/>
  <c r="AXU181" i="3"/>
  <c r="AXW181" i="3" s="1"/>
  <c r="AXM181" i="3"/>
  <c r="AXO181" i="3" s="1"/>
  <c r="AXG181" i="3"/>
  <c r="AXE181" i="3"/>
  <c r="AWY181" i="3"/>
  <c r="AWW181" i="3"/>
  <c r="AWQ181" i="3"/>
  <c r="AWO181" i="3"/>
  <c r="AWG181" i="3"/>
  <c r="AWI181" i="3" s="1"/>
  <c r="AVY181" i="3"/>
  <c r="AWA181" i="3" s="1"/>
  <c r="AVS181" i="3"/>
  <c r="AVQ181" i="3"/>
  <c r="AVK181" i="3"/>
  <c r="AVI181" i="3"/>
  <c r="AVA181" i="3"/>
  <c r="AVC181" i="3" s="1"/>
  <c r="AUS181" i="3"/>
  <c r="AUU181" i="3" s="1"/>
  <c r="AUK181" i="3"/>
  <c r="AUM181" i="3" s="1"/>
  <c r="AUC181" i="3"/>
  <c r="AUE181" i="3" s="1"/>
  <c r="ATU181" i="3"/>
  <c r="ATW181" i="3" s="1"/>
  <c r="ATM181" i="3"/>
  <c r="ATO181" i="3" s="1"/>
  <c r="ATG181" i="3"/>
  <c r="ATE181" i="3"/>
  <c r="ASY181" i="3"/>
  <c r="ASW181" i="3"/>
  <c r="ASO181" i="3"/>
  <c r="ASQ181" i="3" s="1"/>
  <c r="ASG181" i="3"/>
  <c r="ASI181" i="3" s="1"/>
  <c r="ASA181" i="3"/>
  <c r="ARY181" i="3"/>
  <c r="ARS181" i="3"/>
  <c r="ARQ181" i="3"/>
  <c r="ARK181" i="3"/>
  <c r="ARI181" i="3"/>
  <c r="ARA181" i="3"/>
  <c r="ARC181" i="3" s="1"/>
  <c r="AQS181" i="3"/>
  <c r="AQU181" i="3" s="1"/>
  <c r="AQK181" i="3"/>
  <c r="AQM181" i="3" s="1"/>
  <c r="AQC181" i="3"/>
  <c r="AQE181" i="3" s="1"/>
  <c r="APU181" i="3"/>
  <c r="APW181" i="3" s="1"/>
  <c r="APM181" i="3"/>
  <c r="APO181" i="3" s="1"/>
  <c r="APG181" i="3"/>
  <c r="APE181" i="3"/>
  <c r="AOY181" i="3"/>
  <c r="AOW181" i="3"/>
  <c r="AOO181" i="3"/>
  <c r="AOQ181" i="3" s="1"/>
  <c r="AOI181" i="3"/>
  <c r="AOG181" i="3"/>
  <c r="ANY181" i="3"/>
  <c r="AOA181" i="3" s="1"/>
  <c r="ANS181" i="3"/>
  <c r="ANQ181" i="3"/>
  <c r="ANK181" i="3"/>
  <c r="ANI181" i="3"/>
  <c r="ANA181" i="3"/>
  <c r="ANC181" i="3" s="1"/>
  <c r="AMS181" i="3"/>
  <c r="AMU181" i="3" s="1"/>
  <c r="AMM181" i="3"/>
  <c r="AMK181" i="3"/>
  <c r="AME181" i="3"/>
  <c r="AMC181" i="3"/>
  <c r="ALU181" i="3"/>
  <c r="ALW181" i="3" s="1"/>
  <c r="ALM181" i="3"/>
  <c r="ALO181" i="3" s="1"/>
  <c r="ALG181" i="3"/>
  <c r="ALE181" i="3"/>
  <c r="AKW181" i="3"/>
  <c r="AKY181" i="3" s="1"/>
  <c r="AKO181" i="3"/>
  <c r="AKQ181" i="3" s="1"/>
  <c r="AKG181" i="3"/>
  <c r="AKI181" i="3" s="1"/>
  <c r="AKA181" i="3"/>
  <c r="AJY181" i="3"/>
  <c r="AJS181" i="3"/>
  <c r="AJQ181" i="3"/>
  <c r="AJK181" i="3"/>
  <c r="AJI181" i="3"/>
  <c r="AJA181" i="3"/>
  <c r="AJC181" i="3" s="1"/>
  <c r="AIU181" i="3"/>
  <c r="AIS181" i="3"/>
  <c r="AIM181" i="3"/>
  <c r="AIK181" i="3"/>
  <c r="AIC181" i="3"/>
  <c r="AIE181" i="3" s="1"/>
  <c r="AHW181" i="3"/>
  <c r="AHU181" i="3"/>
  <c r="AHM181" i="3"/>
  <c r="AHO181" i="3" s="1"/>
  <c r="AHE181" i="3"/>
  <c r="AHG181" i="3" s="1"/>
  <c r="AGW181" i="3"/>
  <c r="AGY181" i="3" s="1"/>
  <c r="AGO181" i="3"/>
  <c r="AGQ181" i="3" s="1"/>
  <c r="AGG181" i="3"/>
  <c r="AGI181" i="3" s="1"/>
  <c r="AGA181" i="3"/>
  <c r="AFY181" i="3"/>
  <c r="AFS181" i="3"/>
  <c r="AFQ181" i="3"/>
  <c r="AFI181" i="3"/>
  <c r="AFK181" i="3" s="1"/>
  <c r="AFC181" i="3"/>
  <c r="AFA181" i="3"/>
  <c r="AEU181" i="3"/>
  <c r="AES181" i="3"/>
  <c r="AEM181" i="3"/>
  <c r="AEK181" i="3"/>
  <c r="AEC181" i="3"/>
  <c r="AEE181" i="3" s="1"/>
  <c r="ADU181" i="3"/>
  <c r="ADW181" i="3" s="1"/>
  <c r="ADM181" i="3"/>
  <c r="ADO181" i="3" s="1"/>
  <c r="ADG181" i="3"/>
  <c r="ADE181" i="3"/>
  <c r="ACW181" i="3"/>
  <c r="ACY181" i="3" s="1"/>
  <c r="ACO181" i="3"/>
  <c r="ACQ181" i="3" s="1"/>
  <c r="ACG181" i="3"/>
  <c r="ACI181" i="3" s="1"/>
  <c r="ABY181" i="3"/>
  <c r="ACA181" i="3" s="1"/>
  <c r="ABQ181" i="3"/>
  <c r="ABS181" i="3" s="1"/>
  <c r="ABI181" i="3"/>
  <c r="ABK181" i="3" s="1"/>
  <c r="ABC181" i="3"/>
  <c r="ABA181" i="3"/>
  <c r="AAU181" i="3"/>
  <c r="AAS181" i="3"/>
  <c r="AAK181" i="3"/>
  <c r="AAM181" i="3" s="1"/>
  <c r="AAC181" i="3"/>
  <c r="AAE181" i="3" s="1"/>
  <c r="ZU181" i="3"/>
  <c r="ZW181" i="3" s="1"/>
  <c r="ZO181" i="3"/>
  <c r="ZM181" i="3"/>
  <c r="ZG181" i="3"/>
  <c r="ZE181" i="3"/>
  <c r="YW181" i="3"/>
  <c r="YY181" i="3" s="1"/>
  <c r="YO181" i="3"/>
  <c r="YQ181" i="3" s="1"/>
  <c r="YI181" i="3"/>
  <c r="YG181" i="3"/>
  <c r="XY181" i="3"/>
  <c r="YA181" i="3" s="1"/>
  <c r="XQ181" i="3"/>
  <c r="XS181" i="3" s="1"/>
  <c r="XI181" i="3"/>
  <c r="XK181" i="3" s="1"/>
  <c r="XC181" i="3"/>
  <c r="XA181" i="3"/>
  <c r="WU181" i="3"/>
  <c r="WS181" i="3"/>
  <c r="WM181" i="3"/>
  <c r="WK181" i="3"/>
  <c r="WC181" i="3"/>
  <c r="WE181" i="3" s="1"/>
  <c r="VU181" i="3"/>
  <c r="VW181" i="3" s="1"/>
  <c r="VO181" i="3"/>
  <c r="VM181" i="3"/>
  <c r="VG181" i="3"/>
  <c r="VE181" i="3"/>
  <c r="UW181" i="3"/>
  <c r="UY181" i="3" s="1"/>
  <c r="UO181" i="3"/>
  <c r="UQ181" i="3" s="1"/>
  <c r="UG181" i="3"/>
  <c r="UI181" i="3" s="1"/>
  <c r="UA181" i="3"/>
  <c r="TY181" i="3"/>
  <c r="TS181" i="3"/>
  <c r="TQ181" i="3"/>
  <c r="TI181" i="3"/>
  <c r="TK181" i="3" s="1"/>
  <c r="TC181" i="3"/>
  <c r="TA181" i="3"/>
  <c r="SU181" i="3"/>
  <c r="SS181" i="3"/>
  <c r="SK181" i="3"/>
  <c r="SM181" i="3" s="1"/>
  <c r="SC181" i="3"/>
  <c r="SE181" i="3" s="1"/>
  <c r="RW181" i="3"/>
  <c r="RU181" i="3"/>
  <c r="RO181" i="3"/>
  <c r="RM181" i="3"/>
  <c r="RG181" i="3"/>
  <c r="RE181" i="3"/>
  <c r="QW181" i="3"/>
  <c r="QY181" i="3" s="1"/>
  <c r="QO181" i="3"/>
  <c r="QQ181" i="3" s="1"/>
  <c r="QG181" i="3"/>
  <c r="QI181" i="3" s="1"/>
  <c r="PY181" i="3"/>
  <c r="QA181" i="3" s="1"/>
  <c r="PS181" i="3"/>
  <c r="PQ181" i="3"/>
  <c r="PI181" i="3"/>
  <c r="PK181" i="3" s="1"/>
  <c r="PC181" i="3"/>
  <c r="PA181" i="3"/>
  <c r="OS181" i="3"/>
  <c r="OU181" i="3" s="1"/>
  <c r="OK181" i="3"/>
  <c r="OM181" i="3" s="1"/>
  <c r="OC181" i="3"/>
  <c r="OE181" i="3" s="1"/>
  <c r="NU181" i="3"/>
  <c r="NW181" i="3" s="1"/>
  <c r="NO181" i="3"/>
  <c r="NM181" i="3"/>
  <c r="NG181" i="3"/>
  <c r="NE181" i="3"/>
  <c r="MW181" i="3"/>
  <c r="MY181" i="3" s="1"/>
  <c r="MQ181" i="3"/>
  <c r="MO181" i="3"/>
  <c r="MI181" i="3"/>
  <c r="MG181" i="3"/>
  <c r="LY181" i="3"/>
  <c r="MA181" i="3" s="1"/>
  <c r="LQ181" i="3"/>
  <c r="LS181" i="3" s="1"/>
  <c r="LI181" i="3"/>
  <c r="LK181" i="3" s="1"/>
  <c r="LA181" i="3"/>
  <c r="LC181" i="3" s="1"/>
  <c r="KS181" i="3"/>
  <c r="KU181" i="3" s="1"/>
  <c r="KK181" i="3"/>
  <c r="KM181" i="3" s="1"/>
  <c r="KE181" i="3"/>
  <c r="KC181" i="3"/>
  <c r="JW181" i="3"/>
  <c r="JU181" i="3"/>
  <c r="JO181" i="3"/>
  <c r="JM181" i="3"/>
  <c r="JE181" i="3"/>
  <c r="JG181" i="3" s="1"/>
  <c r="IY181" i="3"/>
  <c r="IW181" i="3"/>
  <c r="IQ181" i="3"/>
  <c r="IO181" i="3"/>
  <c r="IG181" i="3"/>
  <c r="II181" i="3" s="1"/>
  <c r="HY181" i="3"/>
  <c r="IA181" i="3" s="1"/>
  <c r="HQ181" i="3"/>
  <c r="HS181" i="3" s="1"/>
  <c r="HI181" i="3"/>
  <c r="HK181" i="3" s="1"/>
  <c r="HC181" i="3"/>
  <c r="HA181" i="3"/>
  <c r="GS181" i="3"/>
  <c r="GU181" i="3" s="1"/>
  <c r="GK181" i="3"/>
  <c r="GM181" i="3" s="1"/>
  <c r="GE181" i="3"/>
  <c r="GC181" i="3"/>
  <c r="FW181" i="3"/>
  <c r="FU181" i="3"/>
  <c r="FM181" i="3"/>
  <c r="FO181" i="3" s="1"/>
  <c r="FE181" i="3"/>
  <c r="FG181" i="3" s="1"/>
  <c r="EY181" i="3"/>
  <c r="EW181" i="3"/>
  <c r="EQ181" i="3"/>
  <c r="EO181" i="3"/>
  <c r="EI181" i="3"/>
  <c r="EG181" i="3"/>
  <c r="EA181" i="3"/>
  <c r="DY181" i="3"/>
  <c r="DQ181" i="3"/>
  <c r="DS181" i="3" s="1"/>
  <c r="DK181" i="3"/>
  <c r="DI181" i="3"/>
  <c r="DC181" i="3"/>
  <c r="DA181" i="3"/>
  <c r="CS181" i="3"/>
  <c r="CU181" i="3" s="1"/>
  <c r="CK181" i="3"/>
  <c r="CM181" i="3" s="1"/>
  <c r="CE181" i="3"/>
  <c r="CC181" i="3"/>
  <c r="BU181" i="3"/>
  <c r="BW181" i="3" s="1"/>
  <c r="BO181" i="3"/>
  <c r="BM181" i="3"/>
  <c r="BE181" i="3"/>
  <c r="BG181" i="3" s="1"/>
  <c r="AY181" i="3"/>
  <c r="AW181" i="3"/>
  <c r="AQ181" i="3"/>
  <c r="AO181" i="3"/>
  <c r="AG181" i="3"/>
  <c r="AI181" i="3" s="1"/>
  <c r="AA181" i="3"/>
  <c r="H181" i="3"/>
  <c r="H184" i="3" s="1"/>
  <c r="F181" i="3"/>
  <c r="F173" i="3"/>
  <c r="H173" i="3" s="1"/>
  <c r="F172" i="3"/>
  <c r="H172" i="3" s="1"/>
  <c r="H171" i="3"/>
  <c r="F171" i="3"/>
  <c r="H168" i="3"/>
  <c r="H169" i="3" s="1"/>
  <c r="F165" i="3"/>
  <c r="H165" i="3" s="1"/>
  <c r="H164" i="3"/>
  <c r="F164" i="3"/>
  <c r="H163" i="3"/>
  <c r="F163" i="3"/>
  <c r="XBW162" i="3"/>
  <c r="XBU162" i="3"/>
  <c r="XBM162" i="3"/>
  <c r="XBO162" i="3" s="1"/>
  <c r="XBE162" i="3"/>
  <c r="XBG162" i="3" s="1"/>
  <c r="XAY162" i="3"/>
  <c r="XAW162" i="3"/>
  <c r="XAQ162" i="3"/>
  <c r="XAO162" i="3"/>
  <c r="XAG162" i="3"/>
  <c r="XAI162" i="3" s="1"/>
  <c r="WZY162" i="3"/>
  <c r="XAA162" i="3" s="1"/>
  <c r="WZQ162" i="3"/>
  <c r="WZS162" i="3" s="1"/>
  <c r="WZK162" i="3"/>
  <c r="WZI162" i="3"/>
  <c r="WZC162" i="3"/>
  <c r="WZA162" i="3"/>
  <c r="WYS162" i="3"/>
  <c r="WYU162" i="3" s="1"/>
  <c r="WYM162" i="3"/>
  <c r="WYK162" i="3"/>
  <c r="WYE162" i="3"/>
  <c r="WYC162" i="3"/>
  <c r="WXU162" i="3"/>
  <c r="WXW162" i="3" s="1"/>
  <c r="WXO162" i="3"/>
  <c r="WXM162" i="3"/>
  <c r="WXG162" i="3"/>
  <c r="WXE162" i="3"/>
  <c r="WWY162" i="3"/>
  <c r="WWW162" i="3"/>
  <c r="WWQ162" i="3"/>
  <c r="WWO162" i="3"/>
  <c r="WWG162" i="3"/>
  <c r="WWI162" i="3" s="1"/>
  <c r="WVY162" i="3"/>
  <c r="WWA162" i="3" s="1"/>
  <c r="WVS162" i="3"/>
  <c r="WVQ162" i="3"/>
  <c r="WVK162" i="3"/>
  <c r="WVI162" i="3"/>
  <c r="WVC162" i="3"/>
  <c r="WVA162" i="3"/>
  <c r="WUS162" i="3"/>
  <c r="WUU162" i="3" s="1"/>
  <c r="WUM162" i="3"/>
  <c r="WUK162" i="3"/>
  <c r="WUC162" i="3"/>
  <c r="WUE162" i="3" s="1"/>
  <c r="WTU162" i="3"/>
  <c r="WTW162" i="3" s="1"/>
  <c r="WTM162" i="3"/>
  <c r="WTO162" i="3" s="1"/>
  <c r="WTG162" i="3"/>
  <c r="WTE162" i="3"/>
  <c r="WSY162" i="3"/>
  <c r="WSW162" i="3"/>
  <c r="WSQ162" i="3"/>
  <c r="WSO162" i="3"/>
  <c r="WSG162" i="3"/>
  <c r="WSI162" i="3" s="1"/>
  <c r="WSA162" i="3"/>
  <c r="WRY162" i="3"/>
  <c r="WRQ162" i="3"/>
  <c r="WRS162" i="3" s="1"/>
  <c r="WRK162" i="3"/>
  <c r="WRI162" i="3"/>
  <c r="WRC162" i="3"/>
  <c r="WRA162" i="3"/>
  <c r="WQS162" i="3"/>
  <c r="WQU162" i="3" s="1"/>
  <c r="WQK162" i="3"/>
  <c r="WQM162" i="3" s="1"/>
  <c r="WQC162" i="3"/>
  <c r="WQE162" i="3" s="1"/>
  <c r="WPU162" i="3"/>
  <c r="WPW162" i="3" s="1"/>
  <c r="WPM162" i="3"/>
  <c r="WPO162" i="3" s="1"/>
  <c r="WPE162" i="3"/>
  <c r="WPG162" i="3" s="1"/>
  <c r="WOY162" i="3"/>
  <c r="WOW162" i="3"/>
  <c r="WOO162" i="3"/>
  <c r="WOQ162" i="3" s="1"/>
  <c r="WOI162" i="3"/>
  <c r="WOG162" i="3"/>
  <c r="WOA162" i="3"/>
  <c r="WNY162" i="3"/>
  <c r="WNQ162" i="3"/>
  <c r="WNS162" i="3" s="1"/>
  <c r="WNI162" i="3"/>
  <c r="WNK162" i="3" s="1"/>
  <c r="WNC162" i="3"/>
  <c r="WNA162" i="3"/>
  <c r="WMS162" i="3"/>
  <c r="WMU162" i="3" s="1"/>
  <c r="WMM162" i="3"/>
  <c r="WMK162" i="3"/>
  <c r="WMC162" i="3"/>
  <c r="WME162" i="3" s="1"/>
  <c r="WLU162" i="3"/>
  <c r="WLW162" i="3" s="1"/>
  <c r="WLO162" i="3"/>
  <c r="WLM162" i="3"/>
  <c r="WLE162" i="3"/>
  <c r="WLG162" i="3" s="1"/>
  <c r="WKW162" i="3"/>
  <c r="WKY162" i="3" s="1"/>
  <c r="WKO162" i="3"/>
  <c r="WKQ162" i="3" s="1"/>
  <c r="WKI162" i="3"/>
  <c r="WKG162" i="3"/>
  <c r="WKA162" i="3"/>
  <c r="WJY162" i="3"/>
  <c r="WJS162" i="3"/>
  <c r="WJQ162" i="3"/>
  <c r="WJK162" i="3"/>
  <c r="WJI162" i="3"/>
  <c r="WJA162" i="3"/>
  <c r="WJC162" i="3" s="1"/>
  <c r="WIU162" i="3"/>
  <c r="WIS162" i="3"/>
  <c r="WIM162" i="3"/>
  <c r="WIK162" i="3"/>
  <c r="WIC162" i="3"/>
  <c r="WIE162" i="3" s="1"/>
  <c r="WHU162" i="3"/>
  <c r="WHW162" i="3" s="1"/>
  <c r="WHM162" i="3"/>
  <c r="WHO162" i="3" s="1"/>
  <c r="WHE162" i="3"/>
  <c r="WHG162" i="3" s="1"/>
  <c r="WGY162" i="3"/>
  <c r="WGW162" i="3"/>
  <c r="WGO162" i="3"/>
  <c r="WGQ162" i="3" s="1"/>
  <c r="WGI162" i="3"/>
  <c r="WGG162" i="3"/>
  <c r="WGA162" i="3"/>
  <c r="WFY162" i="3"/>
  <c r="WFS162" i="3"/>
  <c r="WFQ162" i="3"/>
  <c r="WFI162" i="3"/>
  <c r="WFK162" i="3" s="1"/>
  <c r="WFC162" i="3"/>
  <c r="WFA162" i="3"/>
  <c r="WEU162" i="3"/>
  <c r="WES162" i="3"/>
  <c r="WEM162" i="3"/>
  <c r="WEK162" i="3"/>
  <c r="WEC162" i="3"/>
  <c r="WEE162" i="3" s="1"/>
  <c r="WDU162" i="3"/>
  <c r="WDW162" i="3" s="1"/>
  <c r="WDM162" i="3"/>
  <c r="WDO162" i="3" s="1"/>
  <c r="WDG162" i="3"/>
  <c r="WDE162" i="3"/>
  <c r="WCW162" i="3"/>
  <c r="WCY162" i="3" s="1"/>
  <c r="WCO162" i="3"/>
  <c r="WCQ162" i="3" s="1"/>
  <c r="WCI162" i="3"/>
  <c r="WCG162" i="3"/>
  <c r="WCA162" i="3"/>
  <c r="WBY162" i="3"/>
  <c r="WBQ162" i="3"/>
  <c r="WBS162" i="3" s="1"/>
  <c r="WBI162" i="3"/>
  <c r="WBK162" i="3" s="1"/>
  <c r="WBC162" i="3"/>
  <c r="WBA162" i="3"/>
  <c r="WAU162" i="3"/>
  <c r="WAS162" i="3"/>
  <c r="WAM162" i="3"/>
  <c r="WAK162" i="3"/>
  <c r="WAC162" i="3"/>
  <c r="WAE162" i="3" s="1"/>
  <c r="VZU162" i="3"/>
  <c r="VZW162" i="3" s="1"/>
  <c r="VZM162" i="3"/>
  <c r="VZO162" i="3" s="1"/>
  <c r="VZG162" i="3"/>
  <c r="VZE162" i="3"/>
  <c r="VYY162" i="3"/>
  <c r="VYW162" i="3"/>
  <c r="VYO162" i="3"/>
  <c r="VYQ162" i="3" s="1"/>
  <c r="VYI162" i="3"/>
  <c r="VYG162" i="3"/>
  <c r="VXY162" i="3"/>
  <c r="VYA162" i="3" s="1"/>
  <c r="VXQ162" i="3"/>
  <c r="VXS162" i="3" s="1"/>
  <c r="VXI162" i="3"/>
  <c r="VXK162" i="3" s="1"/>
  <c r="VXA162" i="3"/>
  <c r="VXC162" i="3" s="1"/>
  <c r="VWU162" i="3"/>
  <c r="VWS162" i="3"/>
  <c r="VWM162" i="3"/>
  <c r="VWK162" i="3"/>
  <c r="VWC162" i="3"/>
  <c r="VWE162" i="3" s="1"/>
  <c r="VVW162" i="3"/>
  <c r="VVU162" i="3"/>
  <c r="VVM162" i="3"/>
  <c r="VVO162" i="3" s="1"/>
  <c r="VVE162" i="3"/>
  <c r="VVG162" i="3" s="1"/>
  <c r="VUW162" i="3"/>
  <c r="VUY162" i="3" s="1"/>
  <c r="VUO162" i="3"/>
  <c r="VUQ162" i="3" s="1"/>
  <c r="VUG162" i="3"/>
  <c r="VUI162" i="3" s="1"/>
  <c r="VTY162" i="3"/>
  <c r="VUA162" i="3" s="1"/>
  <c r="VTQ162" i="3"/>
  <c r="VTS162" i="3" s="1"/>
  <c r="VTI162" i="3"/>
  <c r="VTK162" i="3" s="1"/>
  <c r="VTA162" i="3"/>
  <c r="VTC162" i="3" s="1"/>
  <c r="VSU162" i="3"/>
  <c r="VSS162" i="3"/>
  <c r="VSK162" i="3"/>
  <c r="VSM162" i="3" s="1"/>
  <c r="VSE162" i="3"/>
  <c r="VSC162" i="3"/>
  <c r="VRW162" i="3"/>
  <c r="VRU162" i="3"/>
  <c r="VRO162" i="3"/>
  <c r="VRM162" i="3"/>
  <c r="VRG162" i="3"/>
  <c r="VRE162" i="3"/>
  <c r="VQW162" i="3"/>
  <c r="VQY162" i="3" s="1"/>
  <c r="VQO162" i="3"/>
  <c r="VQQ162" i="3" s="1"/>
  <c r="VQI162" i="3"/>
  <c r="VQG162" i="3"/>
  <c r="VPY162" i="3"/>
  <c r="VQA162" i="3" s="1"/>
  <c r="VPQ162" i="3"/>
  <c r="VPS162" i="3" s="1"/>
  <c r="VPI162" i="3"/>
  <c r="VPK162" i="3" s="1"/>
  <c r="VPA162" i="3"/>
  <c r="VPC162" i="3" s="1"/>
  <c r="VOS162" i="3"/>
  <c r="VOU162" i="3" s="1"/>
  <c r="VOK162" i="3"/>
  <c r="VOM162" i="3" s="1"/>
  <c r="VOE162" i="3"/>
  <c r="VOC162" i="3"/>
  <c r="VNW162" i="3"/>
  <c r="VNU162" i="3"/>
  <c r="VNO162" i="3"/>
  <c r="VNM162" i="3"/>
  <c r="VNE162" i="3"/>
  <c r="VNG162" i="3" s="1"/>
  <c r="VMW162" i="3"/>
  <c r="VMY162" i="3" s="1"/>
  <c r="VMQ162" i="3"/>
  <c r="VMO162" i="3"/>
  <c r="VMI162" i="3"/>
  <c r="VMG162" i="3"/>
  <c r="VLY162" i="3"/>
  <c r="VMA162" i="3" s="1"/>
  <c r="VLQ162" i="3"/>
  <c r="VLS162" i="3" s="1"/>
  <c r="VLK162" i="3"/>
  <c r="VLI162" i="3"/>
  <c r="VLA162" i="3"/>
  <c r="VLC162" i="3" s="1"/>
  <c r="VKS162" i="3"/>
  <c r="VKU162" i="3" s="1"/>
  <c r="VKK162" i="3"/>
  <c r="VKM162" i="3" s="1"/>
  <c r="VKE162" i="3"/>
  <c r="VKC162" i="3"/>
  <c r="VJW162" i="3"/>
  <c r="VJU162" i="3"/>
  <c r="VJM162" i="3"/>
  <c r="VJO162" i="3" s="1"/>
  <c r="VJE162" i="3"/>
  <c r="VJG162" i="3" s="1"/>
  <c r="VIY162" i="3"/>
  <c r="VIW162" i="3"/>
  <c r="VIQ162" i="3"/>
  <c r="VIO162" i="3"/>
  <c r="VII162" i="3"/>
  <c r="VIG162" i="3"/>
  <c r="VHY162" i="3"/>
  <c r="VIA162" i="3" s="1"/>
  <c r="VHQ162" i="3"/>
  <c r="VHS162" i="3" s="1"/>
  <c r="VHI162" i="3"/>
  <c r="VHK162" i="3" s="1"/>
  <c r="VHA162" i="3"/>
  <c r="VHC162" i="3" s="1"/>
  <c r="VGU162" i="3"/>
  <c r="VGS162" i="3"/>
  <c r="VGK162" i="3"/>
  <c r="VGM162" i="3" s="1"/>
  <c r="VGE162" i="3"/>
  <c r="VGC162" i="3"/>
  <c r="VFW162" i="3"/>
  <c r="VFU162" i="3"/>
  <c r="VFM162" i="3"/>
  <c r="VFO162" i="3" s="1"/>
  <c r="VFE162" i="3"/>
  <c r="VFG162" i="3" s="1"/>
  <c r="VEW162" i="3"/>
  <c r="VEY162" i="3" s="1"/>
  <c r="VEQ162" i="3"/>
  <c r="VEO162" i="3"/>
  <c r="VEI162" i="3"/>
  <c r="VEG162" i="3"/>
  <c r="VDY162" i="3"/>
  <c r="VEA162" i="3" s="1"/>
  <c r="VDQ162" i="3"/>
  <c r="VDS162" i="3" s="1"/>
  <c r="VDK162" i="3"/>
  <c r="VDI162" i="3"/>
  <c r="VDA162" i="3"/>
  <c r="VDC162" i="3" s="1"/>
  <c r="VCS162" i="3"/>
  <c r="VCU162" i="3" s="1"/>
  <c r="VCK162" i="3"/>
  <c r="VCM162" i="3" s="1"/>
  <c r="VCE162" i="3"/>
  <c r="VCC162" i="3"/>
  <c r="VBU162" i="3"/>
  <c r="VBW162" i="3" s="1"/>
  <c r="VBM162" i="3"/>
  <c r="VBO162" i="3" s="1"/>
  <c r="VBE162" i="3"/>
  <c r="VBG162" i="3" s="1"/>
  <c r="VAW162" i="3"/>
  <c r="VAY162" i="3" s="1"/>
  <c r="VAQ162" i="3"/>
  <c r="VAO162" i="3"/>
  <c r="VAI162" i="3"/>
  <c r="VAG162" i="3"/>
  <c r="UZY162" i="3"/>
  <c r="VAA162" i="3" s="1"/>
  <c r="UZS162" i="3"/>
  <c r="UZQ162" i="3"/>
  <c r="UZK162" i="3"/>
  <c r="UZI162" i="3"/>
  <c r="UZC162" i="3"/>
  <c r="UZA162" i="3"/>
  <c r="UYS162" i="3"/>
  <c r="UYU162" i="3" s="1"/>
  <c r="UYK162" i="3"/>
  <c r="UYM162" i="3" s="1"/>
  <c r="UYC162" i="3"/>
  <c r="UYE162" i="3" s="1"/>
  <c r="UXU162" i="3"/>
  <c r="UXW162" i="3" s="1"/>
  <c r="UXM162" i="3"/>
  <c r="UXO162" i="3" s="1"/>
  <c r="UXG162" i="3"/>
  <c r="UXE162" i="3"/>
  <c r="UWY162" i="3"/>
  <c r="UWW162" i="3"/>
  <c r="UWQ162" i="3"/>
  <c r="UWO162" i="3"/>
  <c r="UWG162" i="3"/>
  <c r="UWI162" i="3" s="1"/>
  <c r="UWA162" i="3"/>
  <c r="UVY162" i="3"/>
  <c r="UVS162" i="3"/>
  <c r="UVQ162" i="3"/>
  <c r="UVK162" i="3"/>
  <c r="UVI162" i="3"/>
  <c r="UVA162" i="3"/>
  <c r="UVC162" i="3" s="1"/>
  <c r="UUS162" i="3"/>
  <c r="UUU162" i="3" s="1"/>
  <c r="UUK162" i="3"/>
  <c r="UUM162" i="3" s="1"/>
  <c r="UUC162" i="3"/>
  <c r="UUE162" i="3" s="1"/>
  <c r="UTU162" i="3"/>
  <c r="UTW162" i="3" s="1"/>
  <c r="UTM162" i="3"/>
  <c r="UTO162" i="3" s="1"/>
  <c r="UTG162" i="3"/>
  <c r="UTE162" i="3"/>
  <c r="USY162" i="3"/>
  <c r="USW162" i="3"/>
  <c r="USO162" i="3"/>
  <c r="USQ162" i="3" s="1"/>
  <c r="USG162" i="3"/>
  <c r="USI162" i="3" s="1"/>
  <c r="USA162" i="3"/>
  <c r="URY162" i="3"/>
  <c r="URS162" i="3"/>
  <c r="URQ162" i="3"/>
  <c r="URK162" i="3"/>
  <c r="URI162" i="3"/>
  <c r="URC162" i="3"/>
  <c r="URA162" i="3"/>
  <c r="UQS162" i="3"/>
  <c r="UQU162" i="3" s="1"/>
  <c r="UQM162" i="3"/>
  <c r="UQK162" i="3"/>
  <c r="UQC162" i="3"/>
  <c r="UQE162" i="3" s="1"/>
  <c r="UPU162" i="3"/>
  <c r="UPW162" i="3" s="1"/>
  <c r="UPM162" i="3"/>
  <c r="UPO162" i="3" s="1"/>
  <c r="UPE162" i="3"/>
  <c r="UPG162" i="3" s="1"/>
  <c r="UOW162" i="3"/>
  <c r="UOY162" i="3" s="1"/>
  <c r="UOQ162" i="3"/>
  <c r="UOO162" i="3"/>
  <c r="UOG162" i="3"/>
  <c r="UOI162" i="3" s="1"/>
  <c r="UOA162" i="3"/>
  <c r="UNY162" i="3"/>
  <c r="UNS162" i="3"/>
  <c r="UNQ162" i="3"/>
  <c r="UNI162" i="3"/>
  <c r="UNK162" i="3" s="1"/>
  <c r="UNA162" i="3"/>
  <c r="UNC162" i="3" s="1"/>
  <c r="UMS162" i="3"/>
  <c r="UMU162" i="3" s="1"/>
  <c r="UMM162" i="3"/>
  <c r="UMK162" i="3"/>
  <c r="UME162" i="3"/>
  <c r="UMC162" i="3"/>
  <c r="ULU162" i="3"/>
  <c r="ULW162" i="3" s="1"/>
  <c r="ULM162" i="3"/>
  <c r="ULO162" i="3" s="1"/>
  <c r="ULE162" i="3"/>
  <c r="ULG162" i="3" s="1"/>
  <c r="UKW162" i="3"/>
  <c r="UKY162" i="3" s="1"/>
  <c r="UKO162" i="3"/>
  <c r="UKQ162" i="3" s="1"/>
  <c r="UKG162" i="3"/>
  <c r="UKI162" i="3" s="1"/>
  <c r="UKA162" i="3"/>
  <c r="UJY162" i="3"/>
  <c r="UJS162" i="3"/>
  <c r="UJQ162" i="3"/>
  <c r="UJI162" i="3"/>
  <c r="UJK162" i="3" s="1"/>
  <c r="UJA162" i="3"/>
  <c r="UJC162" i="3" s="1"/>
  <c r="UIS162" i="3"/>
  <c r="UIU162" i="3" s="1"/>
  <c r="UIM162" i="3"/>
  <c r="UIK162" i="3"/>
  <c r="UIC162" i="3"/>
  <c r="UIE162" i="3" s="1"/>
  <c r="UHU162" i="3"/>
  <c r="UHW162" i="3" s="1"/>
  <c r="UHM162" i="3"/>
  <c r="UHO162" i="3" s="1"/>
  <c r="UHE162" i="3"/>
  <c r="UHG162" i="3" s="1"/>
  <c r="UGW162" i="3"/>
  <c r="UGY162" i="3" s="1"/>
  <c r="UGO162" i="3"/>
  <c r="UGQ162" i="3" s="1"/>
  <c r="UGG162" i="3"/>
  <c r="UGI162" i="3" s="1"/>
  <c r="UGA162" i="3"/>
  <c r="UFY162" i="3"/>
  <c r="UFQ162" i="3"/>
  <c r="UFS162" i="3" s="1"/>
  <c r="UFI162" i="3"/>
  <c r="UFK162" i="3" s="1"/>
  <c r="UFC162" i="3"/>
  <c r="UFA162" i="3"/>
  <c r="UEU162" i="3"/>
  <c r="UES162" i="3"/>
  <c r="UEM162" i="3"/>
  <c r="UEK162" i="3"/>
  <c r="UEC162" i="3"/>
  <c r="UEE162" i="3" s="1"/>
  <c r="UDU162" i="3"/>
  <c r="UDW162" i="3" s="1"/>
  <c r="UDO162" i="3"/>
  <c r="UDM162" i="3"/>
  <c r="UDG162" i="3"/>
  <c r="UDE162" i="3"/>
  <c r="UCW162" i="3"/>
  <c r="UCY162" i="3" s="1"/>
  <c r="UCO162" i="3"/>
  <c r="UCQ162" i="3" s="1"/>
  <c r="UCG162" i="3"/>
  <c r="UCI162" i="3" s="1"/>
  <c r="UBY162" i="3"/>
  <c r="UCA162" i="3" s="1"/>
  <c r="UBQ162" i="3"/>
  <c r="UBS162" i="3" s="1"/>
  <c r="UBI162" i="3"/>
  <c r="UBK162" i="3" s="1"/>
  <c r="UBC162" i="3"/>
  <c r="UBA162" i="3"/>
  <c r="UAU162" i="3"/>
  <c r="UAS162" i="3"/>
  <c r="UAM162" i="3"/>
  <c r="UAK162" i="3"/>
  <c r="UAC162" i="3"/>
  <c r="UAE162" i="3" s="1"/>
  <c r="TZW162" i="3"/>
  <c r="TZU162" i="3"/>
  <c r="TZO162" i="3"/>
  <c r="TZM162" i="3"/>
  <c r="TZE162" i="3"/>
  <c r="TZG162" i="3" s="1"/>
  <c r="TYW162" i="3"/>
  <c r="TYY162" i="3" s="1"/>
  <c r="TYQ162" i="3"/>
  <c r="TYO162" i="3"/>
  <c r="TYG162" i="3"/>
  <c r="TYI162" i="3" s="1"/>
  <c r="TXY162" i="3"/>
  <c r="TYA162" i="3" s="1"/>
  <c r="TXQ162" i="3"/>
  <c r="TXS162" i="3" s="1"/>
  <c r="TXI162" i="3"/>
  <c r="TXK162" i="3" s="1"/>
  <c r="TXA162" i="3"/>
  <c r="TXC162" i="3" s="1"/>
  <c r="TWU162" i="3"/>
  <c r="TWS162" i="3"/>
  <c r="TWK162" i="3"/>
  <c r="TWM162" i="3" s="1"/>
  <c r="TWC162" i="3"/>
  <c r="TWE162" i="3" s="1"/>
  <c r="TVW162" i="3"/>
  <c r="TVU162" i="3"/>
  <c r="TVO162" i="3"/>
  <c r="TVM162" i="3"/>
  <c r="TVE162" i="3"/>
  <c r="TVG162" i="3" s="1"/>
  <c r="TUW162" i="3"/>
  <c r="TUY162" i="3" s="1"/>
  <c r="TUO162" i="3"/>
  <c r="TUQ162" i="3" s="1"/>
  <c r="TUI162" i="3"/>
  <c r="TUG162" i="3"/>
  <c r="TUA162" i="3"/>
  <c r="TTY162" i="3"/>
  <c r="TTQ162" i="3"/>
  <c r="TTS162" i="3" s="1"/>
  <c r="TTI162" i="3"/>
  <c r="TTK162" i="3" s="1"/>
  <c r="TTC162" i="3"/>
  <c r="TTA162" i="3"/>
  <c r="TSS162" i="3"/>
  <c r="TSU162" i="3" s="1"/>
  <c r="TSK162" i="3"/>
  <c r="TSM162" i="3" s="1"/>
  <c r="TSC162" i="3"/>
  <c r="TSE162" i="3" s="1"/>
  <c r="TRW162" i="3"/>
  <c r="TRU162" i="3"/>
  <c r="TRO162" i="3"/>
  <c r="TRM162" i="3"/>
  <c r="TRG162" i="3"/>
  <c r="TRE162" i="3"/>
  <c r="TQW162" i="3"/>
  <c r="TQY162" i="3" s="1"/>
  <c r="TQO162" i="3"/>
  <c r="TQQ162" i="3" s="1"/>
  <c r="TQI162" i="3"/>
  <c r="TQG162" i="3"/>
  <c r="TPY162" i="3"/>
  <c r="TQA162" i="3" s="1"/>
  <c r="TPQ162" i="3"/>
  <c r="TPS162" i="3" s="1"/>
  <c r="TPI162" i="3"/>
  <c r="TPK162" i="3" s="1"/>
  <c r="TPA162" i="3"/>
  <c r="TPC162" i="3" s="1"/>
  <c r="TOU162" i="3"/>
  <c r="TOS162" i="3"/>
  <c r="TOM162" i="3"/>
  <c r="TOK162" i="3"/>
  <c r="TOC162" i="3"/>
  <c r="TOE162" i="3" s="1"/>
  <c r="TNW162" i="3"/>
  <c r="TNU162" i="3"/>
  <c r="TNO162" i="3"/>
  <c r="TNM162" i="3"/>
  <c r="TNE162" i="3"/>
  <c r="TNG162" i="3" s="1"/>
  <c r="TMY162" i="3"/>
  <c r="TMW162" i="3"/>
  <c r="TMQ162" i="3"/>
  <c r="TMO162" i="3"/>
  <c r="TMI162" i="3"/>
  <c r="TMG162" i="3"/>
  <c r="TLY162" i="3"/>
  <c r="TMA162" i="3" s="1"/>
  <c r="TLQ162" i="3"/>
  <c r="TLS162" i="3" s="1"/>
  <c r="TLI162" i="3"/>
  <c r="TLK162" i="3" s="1"/>
  <c r="TLA162" i="3"/>
  <c r="TLC162" i="3" s="1"/>
  <c r="TKU162" i="3"/>
  <c r="TKS162" i="3"/>
  <c r="TKM162" i="3"/>
  <c r="TKK162" i="3"/>
  <c r="TKC162" i="3"/>
  <c r="TKE162" i="3" s="1"/>
  <c r="TJW162" i="3"/>
  <c r="TJU162" i="3"/>
  <c r="TJM162" i="3"/>
  <c r="TJO162" i="3" s="1"/>
  <c r="TJE162" i="3"/>
  <c r="TJG162" i="3" s="1"/>
  <c r="TIW162" i="3"/>
  <c r="TIY162" i="3" s="1"/>
  <c r="TIQ162" i="3"/>
  <c r="TIO162" i="3"/>
  <c r="TII162" i="3"/>
  <c r="TIG162" i="3"/>
  <c r="THY162" i="3"/>
  <c r="TIA162" i="3" s="1"/>
  <c r="THQ162" i="3"/>
  <c r="THS162" i="3" s="1"/>
  <c r="THK162" i="3"/>
  <c r="THI162" i="3"/>
  <c r="THC162" i="3"/>
  <c r="THA162" i="3"/>
  <c r="TGS162" i="3"/>
  <c r="TGU162" i="3" s="1"/>
  <c r="TGM162" i="3"/>
  <c r="TGK162" i="3"/>
  <c r="TGC162" i="3"/>
  <c r="TGE162" i="3" s="1"/>
  <c r="TFU162" i="3"/>
  <c r="TFW162" i="3" s="1"/>
  <c r="TFM162" i="3"/>
  <c r="TFO162" i="3" s="1"/>
  <c r="TFE162" i="3"/>
  <c r="TFG162" i="3" s="1"/>
  <c r="TEW162" i="3"/>
  <c r="TEY162" i="3" s="1"/>
  <c r="TEQ162" i="3"/>
  <c r="TEO162" i="3"/>
  <c r="TEI162" i="3"/>
  <c r="TEG162" i="3"/>
  <c r="TDY162" i="3"/>
  <c r="TEA162" i="3" s="1"/>
  <c r="TDS162" i="3"/>
  <c r="TDQ162" i="3"/>
  <c r="TDK162" i="3"/>
  <c r="TDI162" i="3"/>
  <c r="TDA162" i="3"/>
  <c r="TDC162" i="3" s="1"/>
  <c r="TCS162" i="3"/>
  <c r="TCU162" i="3" s="1"/>
  <c r="TCK162" i="3"/>
  <c r="TCM162" i="3" s="1"/>
  <c r="TCC162" i="3"/>
  <c r="TCE162" i="3" s="1"/>
  <c r="TBW162" i="3"/>
  <c r="TBU162" i="3"/>
  <c r="TBM162" i="3"/>
  <c r="TBO162" i="3" s="1"/>
  <c r="TBE162" i="3"/>
  <c r="TBG162" i="3" s="1"/>
  <c r="TAY162" i="3"/>
  <c r="TAW162" i="3"/>
  <c r="TAO162" i="3"/>
  <c r="TAQ162" i="3" s="1"/>
  <c r="TAG162" i="3"/>
  <c r="TAI162" i="3" s="1"/>
  <c r="SZY162" i="3"/>
  <c r="TAA162" i="3" s="1"/>
  <c r="SZS162" i="3"/>
  <c r="SZQ162" i="3"/>
  <c r="SZK162" i="3"/>
  <c r="SZI162" i="3"/>
  <c r="SZC162" i="3"/>
  <c r="SZA162" i="3"/>
  <c r="SYU162" i="3"/>
  <c r="SYS162" i="3"/>
  <c r="SYK162" i="3"/>
  <c r="SYM162" i="3" s="1"/>
  <c r="SYE162" i="3"/>
  <c r="SYC162" i="3"/>
  <c r="SXW162" i="3"/>
  <c r="SXU162" i="3"/>
  <c r="SXM162" i="3"/>
  <c r="SXO162" i="3" s="1"/>
  <c r="SXE162" i="3"/>
  <c r="SXG162" i="3" s="1"/>
  <c r="SWW162" i="3"/>
  <c r="SWY162" i="3" s="1"/>
  <c r="SWO162" i="3"/>
  <c r="SWQ162" i="3" s="1"/>
  <c r="SWI162" i="3"/>
  <c r="SWG162" i="3"/>
  <c r="SVY162" i="3"/>
  <c r="SWA162" i="3" s="1"/>
  <c r="SVS162" i="3"/>
  <c r="SVQ162" i="3"/>
  <c r="SVK162" i="3"/>
  <c r="SVI162" i="3"/>
  <c r="SVC162" i="3"/>
  <c r="SVA162" i="3"/>
  <c r="SUS162" i="3"/>
  <c r="SUU162" i="3" s="1"/>
  <c r="SUM162" i="3"/>
  <c r="SUK162" i="3"/>
  <c r="SUE162" i="3"/>
  <c r="SUC162" i="3"/>
  <c r="STU162" i="3"/>
  <c r="STW162" i="3" s="1"/>
  <c r="STM162" i="3"/>
  <c r="STO162" i="3" s="1"/>
  <c r="STE162" i="3"/>
  <c r="STG162" i="3" s="1"/>
  <c r="SSW162" i="3"/>
  <c r="SSY162" i="3" s="1"/>
  <c r="SSQ162" i="3"/>
  <c r="SSO162" i="3"/>
  <c r="SSI162" i="3"/>
  <c r="SSG162" i="3"/>
  <c r="SSA162" i="3"/>
  <c r="SRY162" i="3"/>
  <c r="SRS162" i="3"/>
  <c r="SRQ162" i="3"/>
  <c r="SRI162" i="3"/>
  <c r="SRK162" i="3" s="1"/>
  <c r="SRA162" i="3"/>
  <c r="SRC162" i="3" s="1"/>
  <c r="SQU162" i="3"/>
  <c r="SQS162" i="3"/>
  <c r="SQK162" i="3"/>
  <c r="SQM162" i="3" s="1"/>
  <c r="SQC162" i="3"/>
  <c r="SQE162" i="3" s="1"/>
  <c r="SPU162" i="3"/>
  <c r="SPW162" i="3" s="1"/>
  <c r="SPM162" i="3"/>
  <c r="SPO162" i="3" s="1"/>
  <c r="SPE162" i="3"/>
  <c r="SPG162" i="3" s="1"/>
  <c r="SOY162" i="3"/>
  <c r="SOW162" i="3"/>
  <c r="SOQ162" i="3"/>
  <c r="SOO162" i="3"/>
  <c r="SOG162" i="3"/>
  <c r="SOI162" i="3" s="1"/>
  <c r="SNY162" i="3"/>
  <c r="SOA162" i="3" s="1"/>
  <c r="SNS162" i="3"/>
  <c r="SNQ162" i="3"/>
  <c r="SNI162" i="3"/>
  <c r="SNK162" i="3" s="1"/>
  <c r="SNC162" i="3"/>
  <c r="SNA162" i="3"/>
  <c r="SMS162" i="3"/>
  <c r="SMU162" i="3" s="1"/>
  <c r="SMM162" i="3"/>
  <c r="SMK162" i="3"/>
  <c r="SME162" i="3"/>
  <c r="SMC162" i="3"/>
  <c r="SLW162" i="3"/>
  <c r="SLU162" i="3"/>
  <c r="SLM162" i="3"/>
  <c r="SLO162" i="3" s="1"/>
  <c r="SLE162" i="3"/>
  <c r="SLG162" i="3" s="1"/>
  <c r="SKY162" i="3"/>
  <c r="SKW162" i="3"/>
  <c r="SKQ162" i="3"/>
  <c r="SKO162" i="3"/>
  <c r="SKG162" i="3"/>
  <c r="SKI162" i="3" s="1"/>
  <c r="SJY162" i="3"/>
  <c r="SKA162" i="3" s="1"/>
  <c r="SJQ162" i="3"/>
  <c r="SJS162" i="3" s="1"/>
  <c r="SJI162" i="3"/>
  <c r="SJK162" i="3" s="1"/>
  <c r="SJA162" i="3"/>
  <c r="SJC162" i="3" s="1"/>
  <c r="SIS162" i="3"/>
  <c r="SIU162" i="3" s="1"/>
  <c r="SIM162" i="3"/>
  <c r="SIK162" i="3"/>
  <c r="SIC162" i="3"/>
  <c r="SIE162" i="3" s="1"/>
  <c r="SHU162" i="3"/>
  <c r="SHW162" i="3" s="1"/>
  <c r="SHO162" i="3"/>
  <c r="SHM162" i="3"/>
  <c r="SHE162" i="3"/>
  <c r="SHG162" i="3" s="1"/>
  <c r="SGY162" i="3"/>
  <c r="SGW162" i="3"/>
  <c r="SGQ162" i="3"/>
  <c r="SGO162" i="3"/>
  <c r="SGI162" i="3"/>
  <c r="SGG162" i="3"/>
  <c r="SFY162" i="3"/>
  <c r="SGA162" i="3" s="1"/>
  <c r="SFQ162" i="3"/>
  <c r="SFS162" i="3" s="1"/>
  <c r="SFI162" i="3"/>
  <c r="SFK162" i="3" s="1"/>
  <c r="SFA162" i="3"/>
  <c r="SFC162" i="3" s="1"/>
  <c r="SES162" i="3"/>
  <c r="SEU162" i="3" s="1"/>
  <c r="SEK162" i="3"/>
  <c r="SEM162" i="3" s="1"/>
  <c r="SEC162" i="3"/>
  <c r="SEE162" i="3" s="1"/>
  <c r="SDU162" i="3"/>
  <c r="SDW162" i="3" s="1"/>
  <c r="SDO162" i="3"/>
  <c r="SDM162" i="3"/>
  <c r="SDE162" i="3"/>
  <c r="SDG162" i="3" s="1"/>
  <c r="SCW162" i="3"/>
  <c r="SCY162" i="3" s="1"/>
  <c r="SCO162" i="3"/>
  <c r="SCQ162" i="3" s="1"/>
  <c r="SCG162" i="3"/>
  <c r="SCI162" i="3" s="1"/>
  <c r="SCA162" i="3"/>
  <c r="SBY162" i="3"/>
  <c r="SBS162" i="3"/>
  <c r="SBQ162" i="3"/>
  <c r="SBI162" i="3"/>
  <c r="SBK162" i="3" s="1"/>
  <c r="SBA162" i="3"/>
  <c r="SBC162" i="3" s="1"/>
  <c r="SAS162" i="3"/>
  <c r="SAU162" i="3" s="1"/>
  <c r="SAK162" i="3"/>
  <c r="SAM162" i="3" s="1"/>
  <c r="SAC162" i="3"/>
  <c r="SAE162" i="3" s="1"/>
  <c r="RZW162" i="3"/>
  <c r="RZU162" i="3"/>
  <c r="RZO162" i="3"/>
  <c r="RZM162" i="3"/>
  <c r="RZG162" i="3"/>
  <c r="RZE162" i="3"/>
  <c r="RYW162" i="3"/>
  <c r="RYY162" i="3" s="1"/>
  <c r="RYO162" i="3"/>
  <c r="RYQ162" i="3" s="1"/>
  <c r="RYI162" i="3"/>
  <c r="RYG162" i="3"/>
  <c r="RYA162" i="3"/>
  <c r="RXY162" i="3"/>
  <c r="RXQ162" i="3"/>
  <c r="RXS162" i="3" s="1"/>
  <c r="RXI162" i="3"/>
  <c r="RXK162" i="3" s="1"/>
  <c r="RXC162" i="3"/>
  <c r="RXA162" i="3"/>
  <c r="RWS162" i="3"/>
  <c r="RWU162" i="3" s="1"/>
  <c r="RWM162" i="3"/>
  <c r="RWK162" i="3"/>
  <c r="RWE162" i="3"/>
  <c r="RWC162" i="3"/>
  <c r="RVW162" i="3"/>
  <c r="RVU162" i="3"/>
  <c r="RVO162" i="3"/>
  <c r="RVM162" i="3"/>
  <c r="RVE162" i="3"/>
  <c r="RVG162" i="3" s="1"/>
  <c r="RUW162" i="3"/>
  <c r="RUY162" i="3" s="1"/>
  <c r="RUO162" i="3"/>
  <c r="RUQ162" i="3" s="1"/>
  <c r="RUG162" i="3"/>
  <c r="RUI162" i="3" s="1"/>
  <c r="RTY162" i="3"/>
  <c r="RUA162" i="3" s="1"/>
  <c r="RTS162" i="3"/>
  <c r="RTQ162" i="3"/>
  <c r="RTI162" i="3"/>
  <c r="RTK162" i="3" s="1"/>
  <c r="RTA162" i="3"/>
  <c r="RTC162" i="3" s="1"/>
  <c r="RSU162" i="3"/>
  <c r="RSS162" i="3"/>
  <c r="RSK162" i="3"/>
  <c r="RSM162" i="3" s="1"/>
  <c r="RSE162" i="3"/>
  <c r="RSC162" i="3"/>
  <c r="RRW162" i="3"/>
  <c r="RRU162" i="3"/>
  <c r="RRO162" i="3"/>
  <c r="RRM162" i="3"/>
  <c r="RRE162" i="3"/>
  <c r="RRG162" i="3" s="1"/>
  <c r="RQW162" i="3"/>
  <c r="RQY162" i="3" s="1"/>
  <c r="RQO162" i="3"/>
  <c r="RQQ162" i="3" s="1"/>
  <c r="RQI162" i="3"/>
  <c r="RQG162" i="3"/>
  <c r="RPY162" i="3"/>
  <c r="RQA162" i="3" s="1"/>
  <c r="RPS162" i="3"/>
  <c r="RPQ162" i="3"/>
  <c r="RPI162" i="3"/>
  <c r="RPK162" i="3" s="1"/>
  <c r="RPC162" i="3"/>
  <c r="RPA162" i="3"/>
  <c r="ROU162" i="3"/>
  <c r="ROS162" i="3"/>
  <c r="ROK162" i="3"/>
  <c r="ROM162" i="3" s="1"/>
  <c r="ROE162" i="3"/>
  <c r="ROC162" i="3"/>
  <c r="RNU162" i="3"/>
  <c r="RNW162" i="3" s="1"/>
  <c r="RNM162" i="3"/>
  <c r="RNO162" i="3" s="1"/>
  <c r="RNE162" i="3"/>
  <c r="RNG162" i="3" s="1"/>
  <c r="RMY162" i="3"/>
  <c r="RMW162" i="3"/>
  <c r="RMQ162" i="3"/>
  <c r="RMO162" i="3"/>
  <c r="RMG162" i="3"/>
  <c r="RMI162" i="3" s="1"/>
  <c r="RLY162" i="3"/>
  <c r="RMA162" i="3" s="1"/>
  <c r="RLQ162" i="3"/>
  <c r="RLS162" i="3" s="1"/>
  <c r="RLK162" i="3"/>
  <c r="RLI162" i="3"/>
  <c r="RLA162" i="3"/>
  <c r="RLC162" i="3" s="1"/>
  <c r="RKS162" i="3"/>
  <c r="RKU162" i="3" s="1"/>
  <c r="RKK162" i="3"/>
  <c r="RKM162" i="3" s="1"/>
  <c r="RKE162" i="3"/>
  <c r="RKC162" i="3"/>
  <c r="RJU162" i="3"/>
  <c r="RJW162" i="3" s="1"/>
  <c r="RJM162" i="3"/>
  <c r="RJO162" i="3" s="1"/>
  <c r="RJE162" i="3"/>
  <c r="RJG162" i="3" s="1"/>
  <c r="RIW162" i="3"/>
  <c r="RIY162" i="3" s="1"/>
  <c r="RIO162" i="3"/>
  <c r="RIQ162" i="3" s="1"/>
  <c r="RIG162" i="3"/>
  <c r="RII162" i="3" s="1"/>
  <c r="RHY162" i="3"/>
  <c r="RIA162" i="3" s="1"/>
  <c r="RHS162" i="3"/>
  <c r="RHQ162" i="3"/>
  <c r="RHK162" i="3"/>
  <c r="RHI162" i="3"/>
  <c r="RHC162" i="3"/>
  <c r="RHA162" i="3"/>
  <c r="RGU162" i="3"/>
  <c r="RGS162" i="3"/>
  <c r="RGM162" i="3"/>
  <c r="RGK162" i="3"/>
  <c r="RGC162" i="3"/>
  <c r="RGE162" i="3" s="1"/>
  <c r="RFU162" i="3"/>
  <c r="RFW162" i="3" s="1"/>
  <c r="RFM162" i="3"/>
  <c r="RFO162" i="3" s="1"/>
  <c r="RFE162" i="3"/>
  <c r="RFG162" i="3" s="1"/>
  <c r="REY162" i="3"/>
  <c r="REW162" i="3"/>
  <c r="REQ162" i="3"/>
  <c r="REO162" i="3"/>
  <c r="REG162" i="3"/>
  <c r="REI162" i="3" s="1"/>
  <c r="RDY162" i="3"/>
  <c r="REA162" i="3" s="1"/>
  <c r="RDQ162" i="3"/>
  <c r="RDS162" i="3" s="1"/>
  <c r="RDK162" i="3"/>
  <c r="RDI162" i="3"/>
  <c r="RDC162" i="3"/>
  <c r="RDA162" i="3"/>
  <c r="RCS162" i="3"/>
  <c r="RCU162" i="3" s="1"/>
  <c r="RCK162" i="3"/>
  <c r="RCM162" i="3" s="1"/>
  <c r="RCE162" i="3"/>
  <c r="RCC162" i="3"/>
  <c r="RBU162" i="3"/>
  <c r="RBW162" i="3" s="1"/>
  <c r="RBM162" i="3"/>
  <c r="RBO162" i="3" s="1"/>
  <c r="RBE162" i="3"/>
  <c r="RBG162" i="3" s="1"/>
  <c r="RAY162" i="3"/>
  <c r="RAW162" i="3"/>
  <c r="RAO162" i="3"/>
  <c r="RAQ162" i="3" s="1"/>
  <c r="RAI162" i="3"/>
  <c r="RAG162" i="3"/>
  <c r="RAA162" i="3"/>
  <c r="QZY162" i="3"/>
  <c r="QZQ162" i="3"/>
  <c r="QZS162" i="3" s="1"/>
  <c r="QZK162" i="3"/>
  <c r="QZI162" i="3"/>
  <c r="QZA162" i="3"/>
  <c r="QZC162" i="3" s="1"/>
  <c r="QYS162" i="3"/>
  <c r="QYU162" i="3" s="1"/>
  <c r="QYK162" i="3"/>
  <c r="QYM162" i="3" s="1"/>
  <c r="QYC162" i="3"/>
  <c r="QYE162" i="3" s="1"/>
  <c r="QXU162" i="3"/>
  <c r="QXW162" i="3" s="1"/>
  <c r="QXO162" i="3"/>
  <c r="QXM162" i="3"/>
  <c r="QXE162" i="3"/>
  <c r="QXG162" i="3" s="1"/>
  <c r="QWW162" i="3"/>
  <c r="QWY162" i="3" s="1"/>
  <c r="QWQ162" i="3"/>
  <c r="QWO162" i="3"/>
  <c r="QWG162" i="3"/>
  <c r="QWI162" i="3" s="1"/>
  <c r="QVY162" i="3"/>
  <c r="QWA162" i="3" s="1"/>
  <c r="QVQ162" i="3"/>
  <c r="QVS162" i="3" s="1"/>
  <c r="QVK162" i="3"/>
  <c r="QVI162" i="3"/>
  <c r="QVA162" i="3"/>
  <c r="QVC162" i="3" s="1"/>
  <c r="QUU162" i="3"/>
  <c r="QUS162" i="3"/>
  <c r="QUM162" i="3"/>
  <c r="QUK162" i="3"/>
  <c r="QUE162" i="3"/>
  <c r="QUC162" i="3"/>
  <c r="QTW162" i="3"/>
  <c r="QTU162" i="3"/>
  <c r="QTM162" i="3"/>
  <c r="QTO162" i="3" s="1"/>
  <c r="QTE162" i="3"/>
  <c r="QTG162" i="3" s="1"/>
  <c r="QSY162" i="3"/>
  <c r="QSW162" i="3"/>
  <c r="QSQ162" i="3"/>
  <c r="QSO162" i="3"/>
  <c r="QSG162" i="3"/>
  <c r="QSI162" i="3" s="1"/>
  <c r="QRY162" i="3"/>
  <c r="QSA162" i="3" s="1"/>
  <c r="QRQ162" i="3"/>
  <c r="QRS162" i="3" s="1"/>
  <c r="QRI162" i="3"/>
  <c r="QRK162" i="3" s="1"/>
  <c r="QRA162" i="3"/>
  <c r="QRC162" i="3" s="1"/>
  <c r="QQS162" i="3"/>
  <c r="QQU162" i="3" s="1"/>
  <c r="QQM162" i="3"/>
  <c r="QQK162" i="3"/>
  <c r="QQC162" i="3"/>
  <c r="QQE162" i="3" s="1"/>
  <c r="QPU162" i="3"/>
  <c r="QPW162" i="3" s="1"/>
  <c r="QPM162" i="3"/>
  <c r="QPO162" i="3" s="1"/>
  <c r="QPG162" i="3"/>
  <c r="QPE162" i="3"/>
  <c r="QOW162" i="3"/>
  <c r="QOY162" i="3" s="1"/>
  <c r="QOO162" i="3"/>
  <c r="QOQ162" i="3" s="1"/>
  <c r="QOI162" i="3"/>
  <c r="QOG162" i="3"/>
  <c r="QOA162" i="3"/>
  <c r="QNY162" i="3"/>
  <c r="QNQ162" i="3"/>
  <c r="QNS162" i="3" s="1"/>
  <c r="QNI162" i="3"/>
  <c r="QNK162" i="3" s="1"/>
  <c r="QNA162" i="3"/>
  <c r="QNC162" i="3" s="1"/>
  <c r="QMU162" i="3"/>
  <c r="QMS162" i="3"/>
  <c r="QMK162" i="3"/>
  <c r="QMM162" i="3" s="1"/>
  <c r="QME162" i="3"/>
  <c r="QMC162" i="3"/>
  <c r="QLU162" i="3"/>
  <c r="QLW162" i="3" s="1"/>
  <c r="QLM162" i="3"/>
  <c r="QLO162" i="3" s="1"/>
  <c r="QLG162" i="3"/>
  <c r="QLE162" i="3"/>
  <c r="QKW162" i="3"/>
  <c r="QKY162" i="3" s="1"/>
  <c r="QKQ162" i="3"/>
  <c r="QKO162" i="3"/>
  <c r="QKI162" i="3"/>
  <c r="QKG162" i="3"/>
  <c r="QJY162" i="3"/>
  <c r="QKA162" i="3" s="1"/>
  <c r="QJS162" i="3"/>
  <c r="QJQ162" i="3"/>
  <c r="QJK162" i="3"/>
  <c r="QJI162" i="3"/>
  <c r="QJA162" i="3"/>
  <c r="QJC162" i="3" s="1"/>
  <c r="QIS162" i="3"/>
  <c r="QIU162" i="3" s="1"/>
  <c r="QIM162" i="3"/>
  <c r="QIK162" i="3"/>
  <c r="QIC162" i="3"/>
  <c r="QIE162" i="3" s="1"/>
  <c r="QHW162" i="3"/>
  <c r="QHU162" i="3"/>
  <c r="QHO162" i="3"/>
  <c r="QHM162" i="3"/>
  <c r="QHG162" i="3"/>
  <c r="QHE162" i="3"/>
  <c r="QGW162" i="3"/>
  <c r="QGY162" i="3" s="1"/>
  <c r="QGO162" i="3"/>
  <c r="QGQ162" i="3" s="1"/>
  <c r="QGG162" i="3"/>
  <c r="QGI162" i="3" s="1"/>
  <c r="QGA162" i="3"/>
  <c r="QFY162" i="3"/>
  <c r="QFQ162" i="3"/>
  <c r="QFS162" i="3" s="1"/>
  <c r="QFI162" i="3"/>
  <c r="QFK162" i="3" s="1"/>
  <c r="QFA162" i="3"/>
  <c r="QFC162" i="3" s="1"/>
  <c r="QES162" i="3"/>
  <c r="QEU162" i="3" s="1"/>
  <c r="QEK162" i="3"/>
  <c r="QEM162" i="3" s="1"/>
  <c r="QEE162" i="3"/>
  <c r="QEC162" i="3"/>
  <c r="QDW162" i="3"/>
  <c r="QDU162" i="3"/>
  <c r="QDM162" i="3"/>
  <c r="QDO162" i="3" s="1"/>
  <c r="QDG162" i="3"/>
  <c r="QDE162" i="3"/>
  <c r="QCW162" i="3"/>
  <c r="QCY162" i="3" s="1"/>
  <c r="QCO162" i="3"/>
  <c r="QCQ162" i="3" s="1"/>
  <c r="QCI162" i="3"/>
  <c r="QCG162" i="3"/>
  <c r="QCA162" i="3"/>
  <c r="QBY162" i="3"/>
  <c r="QBS162" i="3"/>
  <c r="QBQ162" i="3"/>
  <c r="QBK162" i="3"/>
  <c r="QBI162" i="3"/>
  <c r="QBA162" i="3"/>
  <c r="QBC162" i="3" s="1"/>
  <c r="QAS162" i="3"/>
  <c r="QAU162" i="3" s="1"/>
  <c r="QAK162" i="3"/>
  <c r="QAM162" i="3" s="1"/>
  <c r="QAC162" i="3"/>
  <c r="QAE162" i="3" s="1"/>
  <c r="PZU162" i="3"/>
  <c r="PZW162" i="3" s="1"/>
  <c r="PZO162" i="3"/>
  <c r="PZM162" i="3"/>
  <c r="PZG162" i="3"/>
  <c r="PZE162" i="3"/>
  <c r="PYW162" i="3"/>
  <c r="PYY162" i="3" s="1"/>
  <c r="PYO162" i="3"/>
  <c r="PYQ162" i="3" s="1"/>
  <c r="PYG162" i="3"/>
  <c r="PYI162" i="3" s="1"/>
  <c r="PYA162" i="3"/>
  <c r="PXY162" i="3"/>
  <c r="PXS162" i="3"/>
  <c r="PXQ162" i="3"/>
  <c r="PXI162" i="3"/>
  <c r="PXK162" i="3" s="1"/>
  <c r="PXA162" i="3"/>
  <c r="PXC162" i="3" s="1"/>
  <c r="PWU162" i="3"/>
  <c r="PWS162" i="3"/>
  <c r="PWK162" i="3"/>
  <c r="PWM162" i="3" s="1"/>
  <c r="PWC162" i="3"/>
  <c r="PWE162" i="3" s="1"/>
  <c r="PVU162" i="3"/>
  <c r="PVW162" i="3" s="1"/>
  <c r="PVO162" i="3"/>
  <c r="PVM162" i="3"/>
  <c r="PVE162" i="3"/>
  <c r="PVG162" i="3" s="1"/>
  <c r="PUW162" i="3"/>
  <c r="PUY162" i="3" s="1"/>
  <c r="PUQ162" i="3"/>
  <c r="PUO162" i="3"/>
  <c r="PUG162" i="3"/>
  <c r="PUI162" i="3" s="1"/>
  <c r="PUA162" i="3"/>
  <c r="PTY162" i="3"/>
  <c r="PTQ162" i="3"/>
  <c r="PTS162" i="3" s="1"/>
  <c r="PTI162" i="3"/>
  <c r="PTK162" i="3" s="1"/>
  <c r="PTC162" i="3"/>
  <c r="PTA162" i="3"/>
  <c r="PSS162" i="3"/>
  <c r="PSU162" i="3" s="1"/>
  <c r="PSK162" i="3"/>
  <c r="PSM162" i="3" s="1"/>
  <c r="PSE162" i="3"/>
  <c r="PSC162" i="3"/>
  <c r="PRU162" i="3"/>
  <c r="PRW162" i="3" s="1"/>
  <c r="PRM162" i="3"/>
  <c r="PRO162" i="3" s="1"/>
  <c r="PRG162" i="3"/>
  <c r="PRE162" i="3"/>
  <c r="PQW162" i="3"/>
  <c r="PQY162" i="3" s="1"/>
  <c r="PQO162" i="3"/>
  <c r="PQQ162" i="3" s="1"/>
  <c r="PQG162" i="3"/>
  <c r="PQI162" i="3" s="1"/>
  <c r="PQA162" i="3"/>
  <c r="PPY162" i="3"/>
  <c r="PPQ162" i="3"/>
  <c r="PPS162" i="3" s="1"/>
  <c r="PPI162" i="3"/>
  <c r="PPK162" i="3" s="1"/>
  <c r="PPC162" i="3"/>
  <c r="PPA162" i="3"/>
  <c r="POU162" i="3"/>
  <c r="POS162" i="3"/>
  <c r="POM162" i="3"/>
  <c r="POK162" i="3"/>
  <c r="POC162" i="3"/>
  <c r="POE162" i="3" s="1"/>
  <c r="PNU162" i="3"/>
  <c r="PNW162" i="3" s="1"/>
  <c r="PNO162" i="3"/>
  <c r="PNM162" i="3"/>
  <c r="PNG162" i="3"/>
  <c r="PNE162" i="3"/>
  <c r="PMW162" i="3"/>
  <c r="PMY162" i="3" s="1"/>
  <c r="PMQ162" i="3"/>
  <c r="PMO162" i="3"/>
  <c r="PMI162" i="3"/>
  <c r="PMG162" i="3"/>
  <c r="PLY162" i="3"/>
  <c r="PMA162" i="3" s="1"/>
  <c r="PLQ162" i="3"/>
  <c r="PLS162" i="3" s="1"/>
  <c r="PLK162" i="3"/>
  <c r="PLI162" i="3"/>
  <c r="PLC162" i="3"/>
  <c r="PLA162" i="3"/>
  <c r="PKS162" i="3"/>
  <c r="PKU162" i="3" s="1"/>
  <c r="PKK162" i="3"/>
  <c r="PKM162" i="3" s="1"/>
  <c r="PKC162" i="3"/>
  <c r="PKE162" i="3" s="1"/>
  <c r="PJU162" i="3"/>
  <c r="PJW162" i="3" s="1"/>
  <c r="PJM162" i="3"/>
  <c r="PJO162" i="3" s="1"/>
  <c r="PJE162" i="3"/>
  <c r="PJG162" i="3" s="1"/>
  <c r="PIW162" i="3"/>
  <c r="PIY162" i="3" s="1"/>
  <c r="PIO162" i="3"/>
  <c r="PIQ162" i="3" s="1"/>
  <c r="PIG162" i="3"/>
  <c r="PII162" i="3" s="1"/>
  <c r="PIA162" i="3"/>
  <c r="PHY162" i="3"/>
  <c r="PHQ162" i="3"/>
  <c r="PHS162" i="3" s="1"/>
  <c r="PHI162" i="3"/>
  <c r="PHK162" i="3" s="1"/>
  <c r="PHC162" i="3"/>
  <c r="PHA162" i="3"/>
  <c r="PGU162" i="3"/>
  <c r="PGS162" i="3"/>
  <c r="PGK162" i="3"/>
  <c r="PGM162" i="3" s="1"/>
  <c r="PGC162" i="3"/>
  <c r="PGE162" i="3" s="1"/>
  <c r="PFU162" i="3"/>
  <c r="PFW162" i="3" s="1"/>
  <c r="PFM162" i="3"/>
  <c r="PFO162" i="3" s="1"/>
  <c r="PFE162" i="3"/>
  <c r="PFG162" i="3" s="1"/>
  <c r="PEW162" i="3"/>
  <c r="PEY162" i="3" s="1"/>
  <c r="PEO162" i="3"/>
  <c r="PEQ162" i="3" s="1"/>
  <c r="PEG162" i="3"/>
  <c r="PEI162" i="3" s="1"/>
  <c r="PDY162" i="3"/>
  <c r="PEA162" i="3" s="1"/>
  <c r="PDQ162" i="3"/>
  <c r="PDS162" i="3" s="1"/>
  <c r="PDK162" i="3"/>
  <c r="PDI162" i="3"/>
  <c r="PDC162" i="3"/>
  <c r="PDA162" i="3"/>
  <c r="PCS162" i="3"/>
  <c r="PCU162" i="3" s="1"/>
  <c r="PCM162" i="3"/>
  <c r="PCK162" i="3"/>
  <c r="PCE162" i="3"/>
  <c r="PCC162" i="3"/>
  <c r="PBW162" i="3"/>
  <c r="PBU162" i="3"/>
  <c r="PBM162" i="3"/>
  <c r="PBO162" i="3" s="1"/>
  <c r="PBG162" i="3"/>
  <c r="PBE162" i="3"/>
  <c r="PAW162" i="3"/>
  <c r="PAY162" i="3" s="1"/>
  <c r="PAQ162" i="3"/>
  <c r="PAO162" i="3"/>
  <c r="PAG162" i="3"/>
  <c r="PAI162" i="3" s="1"/>
  <c r="OZY162" i="3"/>
  <c r="PAA162" i="3" s="1"/>
  <c r="OZQ162" i="3"/>
  <c r="OZS162" i="3" s="1"/>
  <c r="OZI162" i="3"/>
  <c r="OZK162" i="3" s="1"/>
  <c r="OZA162" i="3"/>
  <c r="OZC162" i="3" s="1"/>
  <c r="OYS162" i="3"/>
  <c r="OYU162" i="3" s="1"/>
  <c r="OYM162" i="3"/>
  <c r="OYK162" i="3"/>
  <c r="OYC162" i="3"/>
  <c r="OYE162" i="3" s="1"/>
  <c r="OXU162" i="3"/>
  <c r="OXW162" i="3" s="1"/>
  <c r="OXM162" i="3"/>
  <c r="OXO162" i="3" s="1"/>
  <c r="OXE162" i="3"/>
  <c r="OXG162" i="3" s="1"/>
  <c r="OWY162" i="3"/>
  <c r="OWW162" i="3"/>
  <c r="OWO162" i="3"/>
  <c r="OWQ162" i="3" s="1"/>
  <c r="OWI162" i="3"/>
  <c r="OWG162" i="3"/>
  <c r="OWA162" i="3"/>
  <c r="OVY162" i="3"/>
  <c r="OVS162" i="3"/>
  <c r="OVQ162" i="3"/>
  <c r="OVI162" i="3"/>
  <c r="OVK162" i="3" s="1"/>
  <c r="OVA162" i="3"/>
  <c r="OVC162" i="3" s="1"/>
  <c r="OUS162" i="3"/>
  <c r="OUU162" i="3" s="1"/>
  <c r="OUK162" i="3"/>
  <c r="OUM162" i="3" s="1"/>
  <c r="OUE162" i="3"/>
  <c r="OUC162" i="3"/>
  <c r="OTW162" i="3"/>
  <c r="OTU162" i="3"/>
  <c r="OTM162" i="3"/>
  <c r="OTO162" i="3" s="1"/>
  <c r="OTE162" i="3"/>
  <c r="OTG162" i="3" s="1"/>
  <c r="OSY162" i="3"/>
  <c r="OSW162" i="3"/>
  <c r="OSO162" i="3"/>
  <c r="OSQ162" i="3" s="1"/>
  <c r="OSI162" i="3"/>
  <c r="OSG162" i="3"/>
  <c r="ORY162" i="3"/>
  <c r="OSA162" i="3" s="1"/>
  <c r="ORQ162" i="3"/>
  <c r="ORS162" i="3" s="1"/>
  <c r="ORK162" i="3"/>
  <c r="ORI162" i="3"/>
  <c r="ORA162" i="3"/>
  <c r="ORC162" i="3" s="1"/>
  <c r="OQS162" i="3"/>
  <c r="OQU162" i="3" s="1"/>
  <c r="OQM162" i="3"/>
  <c r="OQK162" i="3"/>
  <c r="OQE162" i="3"/>
  <c r="OQC162" i="3"/>
  <c r="OPU162" i="3"/>
  <c r="OPW162" i="3" s="1"/>
  <c r="OPO162" i="3"/>
  <c r="OPM162" i="3"/>
  <c r="OPG162" i="3"/>
  <c r="OPE162" i="3"/>
  <c r="OOY162" i="3"/>
  <c r="OOW162" i="3"/>
  <c r="OOO162" i="3"/>
  <c r="OOQ162" i="3" s="1"/>
  <c r="OOG162" i="3"/>
  <c r="OOI162" i="3" s="1"/>
  <c r="ONY162" i="3"/>
  <c r="OOA162" i="3" s="1"/>
  <c r="ONQ162" i="3"/>
  <c r="ONS162" i="3" s="1"/>
  <c r="ONI162" i="3"/>
  <c r="ONK162" i="3" s="1"/>
  <c r="ONA162" i="3"/>
  <c r="ONC162" i="3" s="1"/>
  <c r="OMS162" i="3"/>
  <c r="OMU162" i="3" s="1"/>
  <c r="OMM162" i="3"/>
  <c r="OMK162" i="3"/>
  <c r="OMC162" i="3"/>
  <c r="OME162" i="3" s="1"/>
  <c r="OLW162" i="3"/>
  <c r="OLU162" i="3"/>
  <c r="OLM162" i="3"/>
  <c r="OLO162" i="3" s="1"/>
  <c r="OLE162" i="3"/>
  <c r="OLG162" i="3" s="1"/>
  <c r="OKY162" i="3"/>
  <c r="OKW162" i="3"/>
  <c r="OKQ162" i="3"/>
  <c r="OKO162" i="3"/>
  <c r="OKG162" i="3"/>
  <c r="OKI162" i="3" s="1"/>
  <c r="OKA162" i="3"/>
  <c r="OJY162" i="3"/>
  <c r="OJS162" i="3"/>
  <c r="OJQ162" i="3"/>
  <c r="OJK162" i="3"/>
  <c r="OJI162" i="3"/>
  <c r="OJC162" i="3"/>
  <c r="OJA162" i="3"/>
  <c r="OIS162" i="3"/>
  <c r="OIU162" i="3" s="1"/>
  <c r="OIK162" i="3"/>
  <c r="OIM162" i="3" s="1"/>
  <c r="OIC162" i="3"/>
  <c r="OIE162" i="3" s="1"/>
  <c r="OHW162" i="3"/>
  <c r="OHU162" i="3"/>
  <c r="OHO162" i="3"/>
  <c r="OHM162" i="3"/>
  <c r="OHG162" i="3"/>
  <c r="OHE162" i="3"/>
  <c r="OGY162" i="3"/>
  <c r="OGW162" i="3"/>
  <c r="OGO162" i="3"/>
  <c r="OGQ162" i="3" s="1"/>
  <c r="OGI162" i="3"/>
  <c r="OGG162" i="3"/>
  <c r="OGA162" i="3"/>
  <c r="OFY162" i="3"/>
  <c r="OFS162" i="3"/>
  <c r="OFQ162" i="3"/>
  <c r="OFI162" i="3"/>
  <c r="OFK162" i="3" s="1"/>
  <c r="OFA162" i="3"/>
  <c r="OFC162" i="3" s="1"/>
  <c r="OES162" i="3"/>
  <c r="OEU162" i="3" s="1"/>
  <c r="OEK162" i="3"/>
  <c r="OEM162" i="3" s="1"/>
  <c r="OEC162" i="3"/>
  <c r="OEE162" i="3" s="1"/>
  <c r="ODW162" i="3"/>
  <c r="ODU162" i="3"/>
  <c r="ODO162" i="3"/>
  <c r="ODM162" i="3"/>
  <c r="ODG162" i="3"/>
  <c r="ODE162" i="3"/>
  <c r="OCW162" i="3"/>
  <c r="OCY162" i="3" s="1"/>
  <c r="OCO162" i="3"/>
  <c r="OCQ162" i="3" s="1"/>
  <c r="OCG162" i="3"/>
  <c r="OCI162" i="3" s="1"/>
  <c r="OBY162" i="3"/>
  <c r="OCA162" i="3" s="1"/>
  <c r="OBQ162" i="3"/>
  <c r="OBS162" i="3" s="1"/>
  <c r="OBK162" i="3"/>
  <c r="OBI162" i="3"/>
  <c r="OBA162" i="3"/>
  <c r="OBC162" i="3" s="1"/>
  <c r="OAU162" i="3"/>
  <c r="OAS162" i="3"/>
  <c r="OAK162" i="3"/>
  <c r="OAM162" i="3" s="1"/>
  <c r="OAE162" i="3"/>
  <c r="OAC162" i="3"/>
  <c r="NZU162" i="3"/>
  <c r="NZW162" i="3" s="1"/>
  <c r="NZO162" i="3"/>
  <c r="NZM162" i="3"/>
  <c r="NZE162" i="3"/>
  <c r="NZG162" i="3" s="1"/>
  <c r="NYY162" i="3"/>
  <c r="NYW162" i="3"/>
  <c r="NYQ162" i="3"/>
  <c r="NYO162" i="3"/>
  <c r="NYG162" i="3"/>
  <c r="NYI162" i="3" s="1"/>
  <c r="NYA162" i="3"/>
  <c r="NXY162" i="3"/>
  <c r="NXQ162" i="3"/>
  <c r="NXS162" i="3" s="1"/>
  <c r="NXI162" i="3"/>
  <c r="NXK162" i="3" s="1"/>
  <c r="NXA162" i="3"/>
  <c r="NXC162" i="3" s="1"/>
  <c r="NWS162" i="3"/>
  <c r="NWU162" i="3" s="1"/>
  <c r="NWK162" i="3"/>
  <c r="NWM162" i="3" s="1"/>
  <c r="NWE162" i="3"/>
  <c r="NWC162" i="3"/>
  <c r="NVU162" i="3"/>
  <c r="NVW162" i="3" s="1"/>
  <c r="NVM162" i="3"/>
  <c r="NVO162" i="3" s="1"/>
  <c r="NVG162" i="3"/>
  <c r="NVE162" i="3"/>
  <c r="NUY162" i="3"/>
  <c r="NUW162" i="3"/>
  <c r="NUQ162" i="3"/>
  <c r="NUO162" i="3"/>
  <c r="NUG162" i="3"/>
  <c r="NUI162" i="3" s="1"/>
  <c r="NUA162" i="3"/>
  <c r="NTY162" i="3"/>
  <c r="NTQ162" i="3"/>
  <c r="NTS162" i="3" s="1"/>
  <c r="NTK162" i="3"/>
  <c r="NTI162" i="3"/>
  <c r="NTA162" i="3"/>
  <c r="NTC162" i="3" s="1"/>
  <c r="NSS162" i="3"/>
  <c r="NSU162" i="3" s="1"/>
  <c r="NSK162" i="3"/>
  <c r="NSM162" i="3" s="1"/>
  <c r="NSC162" i="3"/>
  <c r="NSE162" i="3" s="1"/>
  <c r="NRU162" i="3"/>
  <c r="NRW162" i="3" s="1"/>
  <c r="NRO162" i="3"/>
  <c r="NRM162" i="3"/>
  <c r="NRG162" i="3"/>
  <c r="NRE162" i="3"/>
  <c r="NQY162" i="3"/>
  <c r="NQW162" i="3"/>
  <c r="NQQ162" i="3"/>
  <c r="NQO162" i="3"/>
  <c r="NQG162" i="3"/>
  <c r="NQI162" i="3" s="1"/>
  <c r="NPY162" i="3"/>
  <c r="NQA162" i="3" s="1"/>
  <c r="NPQ162" i="3"/>
  <c r="NPS162" i="3" s="1"/>
  <c r="NPK162" i="3"/>
  <c r="NPI162" i="3"/>
  <c r="NPC162" i="3"/>
  <c r="NPA162" i="3"/>
  <c r="NOU162" i="3"/>
  <c r="NOS162" i="3"/>
  <c r="NOK162" i="3"/>
  <c r="NOM162" i="3" s="1"/>
  <c r="NOE162" i="3"/>
  <c r="NOC162" i="3"/>
  <c r="NNW162" i="3"/>
  <c r="NNU162" i="3"/>
  <c r="NNO162" i="3"/>
  <c r="NNM162" i="3"/>
  <c r="NNG162" i="3"/>
  <c r="NNE162" i="3"/>
  <c r="NMY162" i="3"/>
  <c r="NMW162" i="3"/>
  <c r="NMO162" i="3"/>
  <c r="NMQ162" i="3" s="1"/>
  <c r="NMG162" i="3"/>
  <c r="NMI162" i="3" s="1"/>
  <c r="NMA162" i="3"/>
  <c r="NLY162" i="3"/>
  <c r="NLS162" i="3"/>
  <c r="NLQ162" i="3"/>
  <c r="NLK162" i="3"/>
  <c r="NLI162" i="3"/>
  <c r="NLC162" i="3"/>
  <c r="NLA162" i="3"/>
  <c r="NKS162" i="3"/>
  <c r="NKU162" i="3" s="1"/>
  <c r="NKK162" i="3"/>
  <c r="NKM162" i="3" s="1"/>
  <c r="NKC162" i="3"/>
  <c r="NKE162" i="3" s="1"/>
  <c r="NJW162" i="3"/>
  <c r="NJU162" i="3"/>
  <c r="NJO162" i="3"/>
  <c r="NJM162" i="3"/>
  <c r="NJG162" i="3"/>
  <c r="NJE162" i="3"/>
  <c r="NIW162" i="3"/>
  <c r="NIY162" i="3" s="1"/>
  <c r="NIQ162" i="3"/>
  <c r="NIO162" i="3"/>
  <c r="NIG162" i="3"/>
  <c r="NII162" i="3" s="1"/>
  <c r="NIA162" i="3"/>
  <c r="NHY162" i="3"/>
  <c r="NHS162" i="3"/>
  <c r="NHQ162" i="3"/>
  <c r="NHK162" i="3"/>
  <c r="NHI162" i="3"/>
  <c r="NHA162" i="3"/>
  <c r="NHC162" i="3" s="1"/>
  <c r="NGS162" i="3"/>
  <c r="NGU162" i="3" s="1"/>
  <c r="NGK162" i="3"/>
  <c r="NGM162" i="3" s="1"/>
  <c r="NGE162" i="3"/>
  <c r="NGC162" i="3"/>
  <c r="NFW162" i="3"/>
  <c r="NFU162" i="3"/>
  <c r="NFO162" i="3"/>
  <c r="NFM162" i="3"/>
  <c r="NFE162" i="3"/>
  <c r="NFG162" i="3" s="1"/>
  <c r="NEW162" i="3"/>
  <c r="NEY162" i="3" s="1"/>
  <c r="NEQ162" i="3"/>
  <c r="NEO162" i="3"/>
  <c r="NEI162" i="3"/>
  <c r="NEG162" i="3"/>
  <c r="NEA162" i="3"/>
  <c r="NDY162" i="3"/>
  <c r="NDS162" i="3"/>
  <c r="NDQ162" i="3"/>
  <c r="NDI162" i="3"/>
  <c r="NDK162" i="3" s="1"/>
  <c r="NDC162" i="3"/>
  <c r="NDA162" i="3"/>
  <c r="NCS162" i="3"/>
  <c r="NCU162" i="3" s="1"/>
  <c r="NCM162" i="3"/>
  <c r="NCK162" i="3"/>
  <c r="NCE162" i="3"/>
  <c r="NCC162" i="3"/>
  <c r="NBW162" i="3"/>
  <c r="NBU162" i="3"/>
  <c r="NBM162" i="3"/>
  <c r="NBO162" i="3" s="1"/>
  <c r="NBG162" i="3"/>
  <c r="NBE162" i="3"/>
  <c r="NAW162" i="3"/>
  <c r="NAY162" i="3" s="1"/>
  <c r="NAQ162" i="3"/>
  <c r="NAO162" i="3"/>
  <c r="NAI162" i="3"/>
  <c r="NAG162" i="3"/>
  <c r="NAA162" i="3"/>
  <c r="MZY162" i="3"/>
  <c r="MZQ162" i="3"/>
  <c r="MZS162" i="3" s="1"/>
  <c r="MZK162" i="3"/>
  <c r="MZI162" i="3"/>
  <c r="MZC162" i="3"/>
  <c r="MZA162" i="3"/>
  <c r="MYU162" i="3"/>
  <c r="MYS162" i="3"/>
  <c r="MYM162" i="3"/>
  <c r="MYK162" i="3"/>
  <c r="MYE162" i="3"/>
  <c r="MYC162" i="3"/>
  <c r="MXU162" i="3"/>
  <c r="MXW162" i="3" s="1"/>
  <c r="MXM162" i="3"/>
  <c r="MXO162" i="3" s="1"/>
  <c r="MXG162" i="3"/>
  <c r="MXE162" i="3"/>
  <c r="MWY162" i="3"/>
  <c r="MWW162" i="3"/>
  <c r="MWQ162" i="3"/>
  <c r="MWO162" i="3"/>
  <c r="MWI162" i="3"/>
  <c r="MWG162" i="3"/>
  <c r="MVY162" i="3"/>
  <c r="MWA162" i="3" s="1"/>
  <c r="MVS162" i="3"/>
  <c r="MVQ162" i="3"/>
  <c r="MVK162" i="3"/>
  <c r="MVI162" i="3"/>
  <c r="MVC162" i="3"/>
  <c r="MVA162" i="3"/>
  <c r="MUU162" i="3"/>
  <c r="MUS162" i="3"/>
  <c r="MUM162" i="3"/>
  <c r="MUK162" i="3"/>
  <c r="MUC162" i="3"/>
  <c r="MUE162" i="3" s="1"/>
  <c r="MTW162" i="3"/>
  <c r="MTU162" i="3"/>
  <c r="MTM162" i="3"/>
  <c r="MTO162" i="3" s="1"/>
  <c r="MTG162" i="3"/>
  <c r="MTE162" i="3"/>
  <c r="MSY162" i="3"/>
  <c r="MSW162" i="3"/>
  <c r="MSQ162" i="3"/>
  <c r="MSO162" i="3"/>
  <c r="MSG162" i="3"/>
  <c r="MSI162" i="3" s="1"/>
  <c r="MRY162" i="3"/>
  <c r="MSA162" i="3" s="1"/>
  <c r="MRS162" i="3"/>
  <c r="MRQ162" i="3"/>
  <c r="MRK162" i="3"/>
  <c r="MRI162" i="3"/>
  <c r="MRC162" i="3"/>
  <c r="MRA162" i="3"/>
  <c r="MQU162" i="3"/>
  <c r="MQS162" i="3"/>
  <c r="MQK162" i="3"/>
  <c r="MQM162" i="3" s="1"/>
  <c r="MQC162" i="3"/>
  <c r="MQE162" i="3" s="1"/>
  <c r="MPU162" i="3"/>
  <c r="MPW162" i="3" s="1"/>
  <c r="MPO162" i="3"/>
  <c r="MPM162" i="3"/>
  <c r="MPG162" i="3"/>
  <c r="MPE162" i="3"/>
  <c r="MOY162" i="3"/>
  <c r="MOW162" i="3"/>
  <c r="MOO162" i="3"/>
  <c r="MOQ162" i="3" s="1"/>
  <c r="MOG162" i="3"/>
  <c r="MOI162" i="3" s="1"/>
  <c r="MOA162" i="3"/>
  <c r="MNY162" i="3"/>
  <c r="MNS162" i="3"/>
  <c r="MNQ162" i="3"/>
  <c r="MNK162" i="3"/>
  <c r="MNI162" i="3"/>
  <c r="MNC162" i="3"/>
  <c r="MNA162" i="3"/>
  <c r="MMS162" i="3"/>
  <c r="MMU162" i="3" s="1"/>
  <c r="MMM162" i="3"/>
  <c r="MMK162" i="3"/>
  <c r="MMC162" i="3"/>
  <c r="MME162" i="3" s="1"/>
  <c r="MLW162" i="3"/>
  <c r="MLU162" i="3"/>
  <c r="MLO162" i="3"/>
  <c r="MLM162" i="3"/>
  <c r="MLG162" i="3"/>
  <c r="MLE162" i="3"/>
  <c r="MKW162" i="3"/>
  <c r="MKY162" i="3" s="1"/>
  <c r="MKO162" i="3"/>
  <c r="MKQ162" i="3" s="1"/>
  <c r="MKG162" i="3"/>
  <c r="MKI162" i="3" s="1"/>
  <c r="MKA162" i="3"/>
  <c r="MJY162" i="3"/>
  <c r="MJS162" i="3"/>
  <c r="MJQ162" i="3"/>
  <c r="MJK162" i="3"/>
  <c r="MJI162" i="3"/>
  <c r="MJA162" i="3"/>
  <c r="MJC162" i="3" s="1"/>
  <c r="MIS162" i="3"/>
  <c r="MIU162" i="3" s="1"/>
  <c r="MIM162" i="3"/>
  <c r="MIK162" i="3"/>
  <c r="MIE162" i="3"/>
  <c r="MIC162" i="3"/>
  <c r="MHW162" i="3"/>
  <c r="MHU162" i="3"/>
  <c r="MHO162" i="3"/>
  <c r="MHM162" i="3"/>
  <c r="MHE162" i="3"/>
  <c r="MHG162" i="3" s="1"/>
  <c r="MGY162" i="3"/>
  <c r="MGW162" i="3"/>
  <c r="MGO162" i="3"/>
  <c r="MGQ162" i="3" s="1"/>
  <c r="MGI162" i="3"/>
  <c r="MGG162" i="3"/>
  <c r="MGA162" i="3"/>
  <c r="MFY162" i="3"/>
  <c r="MFS162" i="3"/>
  <c r="MFQ162" i="3"/>
  <c r="MFI162" i="3"/>
  <c r="MFK162" i="3" s="1"/>
  <c r="MFC162" i="3"/>
  <c r="MFA162" i="3"/>
  <c r="MES162" i="3"/>
  <c r="MEU162" i="3" s="1"/>
  <c r="MEM162" i="3"/>
  <c r="MEK162" i="3"/>
  <c r="MEE162" i="3"/>
  <c r="MEC162" i="3"/>
  <c r="MDW162" i="3"/>
  <c r="MDU162" i="3"/>
  <c r="MDM162" i="3"/>
  <c r="MDO162" i="3" s="1"/>
  <c r="MDG162" i="3"/>
  <c r="MDE162" i="3"/>
  <c r="MCY162" i="3"/>
  <c r="MCW162" i="3"/>
  <c r="MCQ162" i="3"/>
  <c r="MCO162" i="3"/>
  <c r="MCI162" i="3"/>
  <c r="MCG162" i="3"/>
  <c r="MCA162" i="3"/>
  <c r="MBY162" i="3"/>
  <c r="MBQ162" i="3"/>
  <c r="MBS162" i="3" s="1"/>
  <c r="MBI162" i="3"/>
  <c r="MBK162" i="3" s="1"/>
  <c r="MBC162" i="3"/>
  <c r="MBA162" i="3"/>
  <c r="MAU162" i="3"/>
  <c r="MAS162" i="3"/>
  <c r="MAM162" i="3"/>
  <c r="MAK162" i="3"/>
  <c r="MAE162" i="3"/>
  <c r="MAC162" i="3"/>
  <c r="LZU162" i="3"/>
  <c r="LZW162" i="3" s="1"/>
  <c r="LZO162" i="3"/>
  <c r="LZM162" i="3"/>
  <c r="LZG162" i="3"/>
  <c r="LZE162" i="3"/>
  <c r="LYY162" i="3"/>
  <c r="LYW162" i="3"/>
  <c r="LYQ162" i="3"/>
  <c r="LYO162" i="3"/>
  <c r="LYI162" i="3"/>
  <c r="LYG162" i="3"/>
  <c r="LXY162" i="3"/>
  <c r="LYA162" i="3" s="1"/>
  <c r="LXQ162" i="3"/>
  <c r="LXS162" i="3" s="1"/>
  <c r="LXI162" i="3"/>
  <c r="LXK162" i="3" s="1"/>
  <c r="LXC162" i="3"/>
  <c r="LXA162" i="3"/>
  <c r="LWU162" i="3"/>
  <c r="LWS162" i="3"/>
  <c r="LWM162" i="3"/>
  <c r="LWK162" i="3"/>
  <c r="LWC162" i="3"/>
  <c r="LWE162" i="3" s="1"/>
  <c r="LVW162" i="3"/>
  <c r="LVU162" i="3"/>
  <c r="LVO162" i="3"/>
  <c r="LVM162" i="3"/>
  <c r="LVG162" i="3"/>
  <c r="LVE162" i="3"/>
  <c r="LUY162" i="3"/>
  <c r="LUW162" i="3"/>
  <c r="LUQ162" i="3"/>
  <c r="LUO162" i="3"/>
  <c r="LUG162" i="3"/>
  <c r="LUI162" i="3" s="1"/>
  <c r="LTY162" i="3"/>
  <c r="LUA162" i="3" s="1"/>
  <c r="LTS162" i="3"/>
  <c r="LTQ162" i="3"/>
  <c r="LTK162" i="3"/>
  <c r="LTI162" i="3"/>
  <c r="LTC162" i="3"/>
  <c r="LTA162" i="3"/>
  <c r="LSU162" i="3"/>
  <c r="LSS162" i="3"/>
  <c r="LSK162" i="3"/>
  <c r="LSM162" i="3" s="1"/>
  <c r="LSC162" i="3"/>
  <c r="LSE162" i="3" s="1"/>
  <c r="LRU162" i="3"/>
  <c r="LRW162" i="3" s="1"/>
  <c r="LRO162" i="3"/>
  <c r="LRM162" i="3"/>
  <c r="LRG162" i="3"/>
  <c r="LRE162" i="3"/>
  <c r="LQY162" i="3"/>
  <c r="LQW162" i="3"/>
  <c r="LQO162" i="3"/>
  <c r="LQQ162" i="3" s="1"/>
  <c r="LQI162" i="3"/>
  <c r="LQG162" i="3"/>
  <c r="LPY162" i="3"/>
  <c r="LQA162" i="3" s="1"/>
  <c r="LPS162" i="3"/>
  <c r="LPQ162" i="3"/>
  <c r="LPK162" i="3"/>
  <c r="LPI162" i="3"/>
  <c r="LPC162" i="3"/>
  <c r="LPA162" i="3"/>
  <c r="LOS162" i="3"/>
  <c r="LOU162" i="3" s="1"/>
  <c r="LOK162" i="3"/>
  <c r="LOM162" i="3" s="1"/>
  <c r="LOC162" i="3"/>
  <c r="LOE162" i="3" s="1"/>
  <c r="LNW162" i="3"/>
  <c r="LNU162" i="3"/>
  <c r="LNO162" i="3"/>
  <c r="LNM162" i="3"/>
  <c r="LNG162" i="3"/>
  <c r="LNE162" i="3"/>
  <c r="LMW162" i="3"/>
  <c r="LMY162" i="3" s="1"/>
  <c r="LMO162" i="3"/>
  <c r="LMQ162" i="3" s="1"/>
  <c r="LMI162" i="3"/>
  <c r="LMG162" i="3"/>
  <c r="LMA162" i="3"/>
  <c r="LLY162" i="3"/>
  <c r="LLS162" i="3"/>
  <c r="LLQ162" i="3"/>
  <c r="LLK162" i="3"/>
  <c r="LLI162" i="3"/>
  <c r="LLA162" i="3"/>
  <c r="LLC162" i="3" s="1"/>
  <c r="LKU162" i="3"/>
  <c r="LKS162" i="3"/>
  <c r="LKK162" i="3"/>
  <c r="LKM162" i="3" s="1"/>
  <c r="LKE162" i="3"/>
  <c r="LKC162" i="3"/>
  <c r="LJW162" i="3"/>
  <c r="LJU162" i="3"/>
  <c r="LJO162" i="3"/>
  <c r="LJM162" i="3"/>
  <c r="LJE162" i="3"/>
  <c r="LJG162" i="3" s="1"/>
  <c r="LIY162" i="3"/>
  <c r="LIW162" i="3"/>
  <c r="LIO162" i="3"/>
  <c r="LIQ162" i="3" s="1"/>
  <c r="LII162" i="3"/>
  <c r="LIG162" i="3"/>
  <c r="LIA162" i="3"/>
  <c r="LHY162" i="3"/>
  <c r="LHS162" i="3"/>
  <c r="LHQ162" i="3"/>
  <c r="LHI162" i="3"/>
  <c r="LHK162" i="3" s="1"/>
  <c r="LHA162" i="3"/>
  <c r="LHC162" i="3" s="1"/>
  <c r="LGU162" i="3"/>
  <c r="LGS162" i="3"/>
  <c r="LGM162" i="3"/>
  <c r="LGK162" i="3"/>
  <c r="LGE162" i="3"/>
  <c r="LGC162" i="3"/>
  <c r="LFW162" i="3"/>
  <c r="LFU162" i="3"/>
  <c r="LFM162" i="3"/>
  <c r="LFO162" i="3" s="1"/>
  <c r="LFE162" i="3"/>
  <c r="LFG162" i="3" s="1"/>
  <c r="LEY162" i="3"/>
  <c r="LEW162" i="3"/>
  <c r="LEQ162" i="3"/>
  <c r="LEO162" i="3"/>
  <c r="LEI162" i="3"/>
  <c r="LEG162" i="3"/>
  <c r="LEA162" i="3"/>
  <c r="LDY162" i="3"/>
  <c r="LDQ162" i="3"/>
  <c r="LDS162" i="3" s="1"/>
  <c r="LDK162" i="3"/>
  <c r="LDI162" i="3"/>
  <c r="LDA162" i="3"/>
  <c r="LDC162" i="3" s="1"/>
  <c r="LCU162" i="3"/>
  <c r="LCS162" i="3"/>
  <c r="LCM162" i="3"/>
  <c r="LCK162" i="3"/>
  <c r="LCE162" i="3"/>
  <c r="LCC162" i="3"/>
  <c r="LBU162" i="3"/>
  <c r="LBW162" i="3" s="1"/>
  <c r="LBM162" i="3"/>
  <c r="LBO162" i="3" s="1"/>
  <c r="LBE162" i="3"/>
  <c r="LBG162" i="3" s="1"/>
  <c r="LAY162" i="3"/>
  <c r="LAW162" i="3"/>
  <c r="LAQ162" i="3"/>
  <c r="LAO162" i="3"/>
  <c r="LAI162" i="3"/>
  <c r="LAG162" i="3"/>
  <c r="KZY162" i="3"/>
  <c r="LAA162" i="3" s="1"/>
  <c r="KZS162" i="3"/>
  <c r="KZQ162" i="3"/>
  <c r="KZK162" i="3"/>
  <c r="KZI162" i="3"/>
  <c r="KZC162" i="3"/>
  <c r="KZA162" i="3"/>
  <c r="KYU162" i="3"/>
  <c r="KYS162" i="3"/>
  <c r="KYM162" i="3"/>
  <c r="KYK162" i="3"/>
  <c r="KYC162" i="3"/>
  <c r="KYE162" i="3" s="1"/>
  <c r="KXU162" i="3"/>
  <c r="KXW162" i="3" s="1"/>
  <c r="KXO162" i="3"/>
  <c r="KXM162" i="3"/>
  <c r="KXG162" i="3"/>
  <c r="KXE162" i="3"/>
  <c r="KWY162" i="3"/>
  <c r="KWW162" i="3"/>
  <c r="KWQ162" i="3"/>
  <c r="KWO162" i="3"/>
  <c r="KWG162" i="3"/>
  <c r="KWI162" i="3" s="1"/>
  <c r="KVY162" i="3"/>
  <c r="KWA162" i="3" s="1"/>
  <c r="KVQ162" i="3"/>
  <c r="KVS162" i="3" s="1"/>
  <c r="KVK162" i="3"/>
  <c r="KVI162" i="3"/>
  <c r="KVC162" i="3"/>
  <c r="KVA162" i="3"/>
  <c r="KUU162" i="3"/>
  <c r="KUS162" i="3"/>
  <c r="KUK162" i="3"/>
  <c r="KUM162" i="3" s="1"/>
  <c r="KUE162" i="3"/>
  <c r="KUC162" i="3"/>
  <c r="KTU162" i="3"/>
  <c r="KTW162" i="3" s="1"/>
  <c r="KTO162" i="3"/>
  <c r="KTM162" i="3"/>
  <c r="KTG162" i="3"/>
  <c r="KTE162" i="3"/>
  <c r="KSY162" i="3"/>
  <c r="KSW162" i="3"/>
  <c r="KSO162" i="3"/>
  <c r="KSQ162" i="3" s="1"/>
  <c r="KSG162" i="3"/>
  <c r="KSI162" i="3" s="1"/>
  <c r="KRY162" i="3"/>
  <c r="KSA162" i="3" s="1"/>
  <c r="KRS162" i="3"/>
  <c r="KRQ162" i="3"/>
  <c r="KRK162" i="3"/>
  <c r="KRI162" i="3"/>
  <c r="KRC162" i="3"/>
  <c r="KRA162" i="3"/>
  <c r="KQS162" i="3"/>
  <c r="KQU162" i="3" s="1"/>
  <c r="KQK162" i="3"/>
  <c r="KQM162" i="3" s="1"/>
  <c r="KQE162" i="3"/>
  <c r="KQC162" i="3"/>
  <c r="KPW162" i="3"/>
  <c r="KPU162" i="3"/>
  <c r="KPO162" i="3"/>
  <c r="KPM162" i="3"/>
  <c r="KPG162" i="3"/>
  <c r="KPE162" i="3"/>
  <c r="KOW162" i="3"/>
  <c r="KOY162" i="3" s="1"/>
  <c r="KOQ162" i="3"/>
  <c r="KOO162" i="3"/>
  <c r="KOG162" i="3"/>
  <c r="KOI162" i="3" s="1"/>
  <c r="KOA162" i="3"/>
  <c r="KNY162" i="3"/>
  <c r="KNS162" i="3"/>
  <c r="KNQ162" i="3"/>
  <c r="KNK162" i="3"/>
  <c r="KNI162" i="3"/>
  <c r="KNA162" i="3"/>
  <c r="KNC162" i="3" s="1"/>
  <c r="KMU162" i="3"/>
  <c r="KMS162" i="3"/>
  <c r="KMK162" i="3"/>
  <c r="KMM162" i="3" s="1"/>
  <c r="KME162" i="3"/>
  <c r="KMC162" i="3"/>
  <c r="KLW162" i="3"/>
  <c r="KLU162" i="3"/>
  <c r="KLO162" i="3"/>
  <c r="KLM162" i="3"/>
  <c r="KLE162" i="3"/>
  <c r="KLG162" i="3" s="1"/>
  <c r="KKW162" i="3"/>
  <c r="KKY162" i="3" s="1"/>
  <c r="KKQ162" i="3"/>
  <c r="KKO162" i="3"/>
  <c r="KKI162" i="3"/>
  <c r="KKG162" i="3"/>
  <c r="KKA162" i="3"/>
  <c r="KJY162" i="3"/>
  <c r="KJS162" i="3"/>
  <c r="KJQ162" i="3"/>
  <c r="KJI162" i="3"/>
  <c r="KJK162" i="3" s="1"/>
  <c r="KJA162" i="3"/>
  <c r="KJC162" i="3" s="1"/>
  <c r="KIU162" i="3"/>
  <c r="KIS162" i="3"/>
  <c r="KIM162" i="3"/>
  <c r="KIK162" i="3"/>
  <c r="KIE162" i="3"/>
  <c r="KIC162" i="3"/>
  <c r="KHW162" i="3"/>
  <c r="KHU162" i="3"/>
  <c r="KHM162" i="3"/>
  <c r="KHO162" i="3" s="1"/>
  <c r="KHG162" i="3"/>
  <c r="KHE162" i="3"/>
  <c r="KGW162" i="3"/>
  <c r="KGY162" i="3" s="1"/>
  <c r="KGQ162" i="3"/>
  <c r="KGO162" i="3"/>
  <c r="KGI162" i="3"/>
  <c r="KGG162" i="3"/>
  <c r="KGA162" i="3"/>
  <c r="KFY162" i="3"/>
  <c r="KFQ162" i="3"/>
  <c r="KFS162" i="3" s="1"/>
  <c r="KFI162" i="3"/>
  <c r="KFK162" i="3" s="1"/>
  <c r="KFA162" i="3"/>
  <c r="KFC162" i="3" s="1"/>
  <c r="KEU162" i="3"/>
  <c r="KES162" i="3"/>
  <c r="KEM162" i="3"/>
  <c r="KEK162" i="3"/>
  <c r="KEE162" i="3"/>
  <c r="KEC162" i="3"/>
  <c r="KDU162" i="3"/>
  <c r="KDW162" i="3" s="1"/>
  <c r="KDO162" i="3"/>
  <c r="KDM162" i="3"/>
  <c r="KDG162" i="3"/>
  <c r="KDE162" i="3"/>
  <c r="KCY162" i="3"/>
  <c r="KCW162" i="3"/>
  <c r="KCQ162" i="3"/>
  <c r="KCO162" i="3"/>
  <c r="KCI162" i="3"/>
  <c r="KCG162" i="3"/>
  <c r="KBY162" i="3"/>
  <c r="KCA162" i="3" s="1"/>
  <c r="KBQ162" i="3"/>
  <c r="KBS162" i="3" s="1"/>
  <c r="KBK162" i="3"/>
  <c r="KBI162" i="3"/>
  <c r="KBC162" i="3"/>
  <c r="KBA162" i="3"/>
  <c r="KAU162" i="3"/>
  <c r="KAS162" i="3"/>
  <c r="KAM162" i="3"/>
  <c r="KAK162" i="3"/>
  <c r="KAC162" i="3"/>
  <c r="KAE162" i="3" s="1"/>
  <c r="JZU162" i="3"/>
  <c r="JZW162" i="3" s="1"/>
  <c r="JZM162" i="3"/>
  <c r="JZO162" i="3" s="1"/>
  <c r="JZG162" i="3"/>
  <c r="JZE162" i="3"/>
  <c r="JYY162" i="3"/>
  <c r="JYW162" i="3"/>
  <c r="JYQ162" i="3"/>
  <c r="JYO162" i="3"/>
  <c r="JYG162" i="3"/>
  <c r="JYI162" i="3" s="1"/>
  <c r="JYA162" i="3"/>
  <c r="JXY162" i="3"/>
  <c r="JXQ162" i="3"/>
  <c r="JXS162" i="3" s="1"/>
  <c r="JXK162" i="3"/>
  <c r="JXI162" i="3"/>
  <c r="JXC162" i="3"/>
  <c r="JXA162" i="3"/>
  <c r="JWU162" i="3"/>
  <c r="JWS162" i="3"/>
  <c r="JWK162" i="3"/>
  <c r="JWM162" i="3" s="1"/>
  <c r="JWC162" i="3"/>
  <c r="JWE162" i="3" s="1"/>
  <c r="JVU162" i="3"/>
  <c r="JVW162" i="3" s="1"/>
  <c r="JVO162" i="3"/>
  <c r="JVM162" i="3"/>
  <c r="JVG162" i="3"/>
  <c r="JVE162" i="3"/>
  <c r="JUY162" i="3"/>
  <c r="JUW162" i="3"/>
  <c r="JUO162" i="3"/>
  <c r="JUQ162" i="3" s="1"/>
  <c r="JUG162" i="3"/>
  <c r="JUI162" i="3" s="1"/>
  <c r="JUA162" i="3"/>
  <c r="JTY162" i="3"/>
  <c r="JTS162" i="3"/>
  <c r="JTQ162" i="3"/>
  <c r="JTK162" i="3"/>
  <c r="JTI162" i="3"/>
  <c r="JTC162" i="3"/>
  <c r="JTA162" i="3"/>
  <c r="JSS162" i="3"/>
  <c r="JSU162" i="3" s="1"/>
  <c r="JSM162" i="3"/>
  <c r="JSK162" i="3"/>
  <c r="JSC162" i="3"/>
  <c r="JSE162" i="3" s="1"/>
  <c r="JRW162" i="3"/>
  <c r="JRU162" i="3"/>
  <c r="JRO162" i="3"/>
  <c r="JRM162" i="3"/>
  <c r="JRG162" i="3"/>
  <c r="JRE162" i="3"/>
  <c r="JQW162" i="3"/>
  <c r="JQY162" i="3" s="1"/>
  <c r="JQQ162" i="3"/>
  <c r="JQO162" i="3"/>
  <c r="JQG162" i="3"/>
  <c r="JQI162" i="3" s="1"/>
  <c r="JQA162" i="3"/>
  <c r="JPY162" i="3"/>
  <c r="JPS162" i="3"/>
  <c r="JPQ162" i="3"/>
  <c r="JPK162" i="3"/>
  <c r="JPI162" i="3"/>
  <c r="JPA162" i="3"/>
  <c r="JPC162" i="3" s="1"/>
  <c r="JOS162" i="3"/>
  <c r="JOU162" i="3" s="1"/>
  <c r="JOM162" i="3"/>
  <c r="JOK162" i="3"/>
  <c r="JOE162" i="3"/>
  <c r="JOC162" i="3"/>
  <c r="JNW162" i="3"/>
  <c r="JNU162" i="3"/>
  <c r="JNO162" i="3"/>
  <c r="JNM162" i="3"/>
  <c r="JNE162" i="3"/>
  <c r="JNG162" i="3" s="1"/>
  <c r="JMW162" i="3"/>
  <c r="JMY162" i="3" s="1"/>
  <c r="JMQ162" i="3"/>
  <c r="JMO162" i="3"/>
  <c r="JMI162" i="3"/>
  <c r="JMG162" i="3"/>
  <c r="JMA162" i="3"/>
  <c r="JLY162" i="3"/>
  <c r="JLS162" i="3"/>
  <c r="JLQ162" i="3"/>
  <c r="JLI162" i="3"/>
  <c r="JLK162" i="3" s="1"/>
  <c r="JLC162" i="3"/>
  <c r="JLA162" i="3"/>
  <c r="JKS162" i="3"/>
  <c r="JKU162" i="3" s="1"/>
  <c r="JKM162" i="3"/>
  <c r="JKK162" i="3"/>
  <c r="JKE162" i="3"/>
  <c r="JKC162" i="3"/>
  <c r="JJW162" i="3"/>
  <c r="JJU162" i="3"/>
  <c r="JJM162" i="3"/>
  <c r="JJO162" i="3" s="1"/>
  <c r="JJE162" i="3"/>
  <c r="JJG162" i="3" s="1"/>
  <c r="JIW162" i="3"/>
  <c r="JIY162" i="3" s="1"/>
  <c r="JIQ162" i="3"/>
  <c r="JIO162" i="3"/>
  <c r="JII162" i="3"/>
  <c r="JIG162" i="3"/>
  <c r="JIA162" i="3"/>
  <c r="JHY162" i="3"/>
  <c r="JHQ162" i="3"/>
  <c r="JHS162" i="3" s="1"/>
  <c r="JHK162" i="3"/>
  <c r="JHI162" i="3"/>
  <c r="JHC162" i="3"/>
  <c r="JHA162" i="3"/>
  <c r="JGU162" i="3"/>
  <c r="JGS162" i="3"/>
  <c r="JGM162" i="3"/>
  <c r="JGK162" i="3"/>
  <c r="JGE162" i="3"/>
  <c r="JGC162" i="3"/>
  <c r="JFU162" i="3"/>
  <c r="JFW162" i="3" s="1"/>
  <c r="JFM162" i="3"/>
  <c r="JFO162" i="3" s="1"/>
  <c r="JFG162" i="3"/>
  <c r="JFE162" i="3"/>
  <c r="JEY162" i="3"/>
  <c r="JEW162" i="3"/>
  <c r="JEQ162" i="3"/>
  <c r="JEO162" i="3"/>
  <c r="JEI162" i="3"/>
  <c r="JEG162" i="3"/>
  <c r="JDY162" i="3"/>
  <c r="JEA162" i="3" s="1"/>
  <c r="JDQ162" i="3"/>
  <c r="JDS162" i="3" s="1"/>
  <c r="JDI162" i="3"/>
  <c r="JDK162" i="3" s="1"/>
  <c r="JDC162" i="3"/>
  <c r="JDA162" i="3"/>
  <c r="JCU162" i="3"/>
  <c r="JCS162" i="3"/>
  <c r="JCM162" i="3"/>
  <c r="JCK162" i="3"/>
  <c r="JCC162" i="3"/>
  <c r="JCE162" i="3" s="1"/>
  <c r="JBW162" i="3"/>
  <c r="JBU162" i="3"/>
  <c r="JBM162" i="3"/>
  <c r="JBO162" i="3" s="1"/>
  <c r="JBG162" i="3"/>
  <c r="JBE162" i="3"/>
  <c r="JAY162" i="3"/>
  <c r="JAW162" i="3"/>
  <c r="JAQ162" i="3"/>
  <c r="JAO162" i="3"/>
  <c r="JAG162" i="3"/>
  <c r="JAI162" i="3" s="1"/>
  <c r="IZY162" i="3"/>
  <c r="JAA162" i="3" s="1"/>
  <c r="IZQ162" i="3"/>
  <c r="IZS162" i="3" s="1"/>
  <c r="IZK162" i="3"/>
  <c r="IZI162" i="3"/>
  <c r="IZC162" i="3"/>
  <c r="IZA162" i="3"/>
  <c r="IYU162" i="3"/>
  <c r="IYS162" i="3"/>
  <c r="IYK162" i="3"/>
  <c r="IYM162" i="3" s="1"/>
  <c r="IYC162" i="3"/>
  <c r="IYE162" i="3" s="1"/>
  <c r="IXW162" i="3"/>
  <c r="IXU162" i="3"/>
  <c r="IXO162" i="3"/>
  <c r="IXM162" i="3"/>
  <c r="IXG162" i="3"/>
  <c r="IXE162" i="3"/>
  <c r="IWY162" i="3"/>
  <c r="IWW162" i="3"/>
  <c r="IWO162" i="3"/>
  <c r="IWQ162" i="3" s="1"/>
  <c r="IWI162" i="3"/>
  <c r="IWG162" i="3"/>
  <c r="IVY162" i="3"/>
  <c r="IWA162" i="3" s="1"/>
  <c r="IVS162" i="3"/>
  <c r="IVQ162" i="3"/>
  <c r="IVK162" i="3"/>
  <c r="IVI162" i="3"/>
  <c r="IVC162" i="3"/>
  <c r="IVA162" i="3"/>
  <c r="IUS162" i="3"/>
  <c r="IUU162" i="3" s="1"/>
  <c r="IUM162" i="3"/>
  <c r="IUK162" i="3"/>
  <c r="IUC162" i="3"/>
  <c r="IUE162" i="3" s="1"/>
  <c r="ITW162" i="3"/>
  <c r="ITU162" i="3"/>
  <c r="ITO162" i="3"/>
  <c r="ITM162" i="3"/>
  <c r="ITG162" i="3"/>
  <c r="ITE162" i="3"/>
  <c r="ISW162" i="3"/>
  <c r="ISY162" i="3" s="1"/>
  <c r="ISO162" i="3"/>
  <c r="ISQ162" i="3" s="1"/>
  <c r="ISI162" i="3"/>
  <c r="ISG162" i="3"/>
  <c r="ISA162" i="3"/>
  <c r="IRY162" i="3"/>
  <c r="IRS162" i="3"/>
  <c r="IRQ162" i="3"/>
  <c r="IRK162" i="3"/>
  <c r="IRI162" i="3"/>
  <c r="IRA162" i="3"/>
  <c r="IRC162" i="3" s="1"/>
  <c r="IQS162" i="3"/>
  <c r="IQU162" i="3" s="1"/>
  <c r="IQM162" i="3"/>
  <c r="IQK162" i="3"/>
  <c r="IQE162" i="3"/>
  <c r="IQC162" i="3"/>
  <c r="IPW162" i="3"/>
  <c r="IPU162" i="3"/>
  <c r="IPO162" i="3"/>
  <c r="IPM162" i="3"/>
  <c r="IPE162" i="3"/>
  <c r="IPG162" i="3" s="1"/>
  <c r="IOY162" i="3"/>
  <c r="IOW162" i="3"/>
  <c r="IOO162" i="3"/>
  <c r="IOQ162" i="3" s="1"/>
  <c r="IOI162" i="3"/>
  <c r="IOG162" i="3"/>
  <c r="IOA162" i="3"/>
  <c r="INY162" i="3"/>
  <c r="INS162" i="3"/>
  <c r="INQ162" i="3"/>
  <c r="INI162" i="3"/>
  <c r="INK162" i="3" s="1"/>
  <c r="INA162" i="3"/>
  <c r="INC162" i="3" s="1"/>
  <c r="IMS162" i="3"/>
  <c r="IMU162" i="3" s="1"/>
  <c r="IMM162" i="3"/>
  <c r="IMK162" i="3"/>
  <c r="IME162" i="3"/>
  <c r="IMC162" i="3"/>
  <c r="ILW162" i="3"/>
  <c r="ILU162" i="3"/>
  <c r="ILM162" i="3"/>
  <c r="ILO162" i="3" s="1"/>
  <c r="ILG162" i="3"/>
  <c r="ILE162" i="3"/>
  <c r="IKY162" i="3"/>
  <c r="IKW162" i="3"/>
  <c r="IKQ162" i="3"/>
  <c r="IKO162" i="3"/>
  <c r="IKI162" i="3"/>
  <c r="IKG162" i="3"/>
  <c r="IKA162" i="3"/>
  <c r="IJY162" i="3"/>
  <c r="IJQ162" i="3"/>
  <c r="IJS162" i="3" s="1"/>
  <c r="IJI162" i="3"/>
  <c r="IJK162" i="3" s="1"/>
  <c r="IJC162" i="3"/>
  <c r="IJA162" i="3"/>
  <c r="IIU162" i="3"/>
  <c r="IIS162" i="3"/>
  <c r="IIM162" i="3"/>
  <c r="IIK162" i="3"/>
  <c r="IIE162" i="3"/>
  <c r="IIC162" i="3"/>
  <c r="IHU162" i="3"/>
  <c r="IHW162" i="3" s="1"/>
  <c r="IHM162" i="3"/>
  <c r="IHO162" i="3" s="1"/>
  <c r="IHE162" i="3"/>
  <c r="IHG162" i="3" s="1"/>
  <c r="IGY162" i="3"/>
  <c r="IGW162" i="3"/>
  <c r="IGQ162" i="3"/>
  <c r="IGO162" i="3"/>
  <c r="IGI162" i="3"/>
  <c r="IGG162" i="3"/>
  <c r="IFY162" i="3"/>
  <c r="IGA162" i="3" s="1"/>
  <c r="IFS162" i="3"/>
  <c r="IFQ162" i="3"/>
  <c r="IFI162" i="3"/>
  <c r="IFK162" i="3" s="1"/>
  <c r="IFC162" i="3"/>
  <c r="IFA162" i="3"/>
  <c r="IEU162" i="3"/>
  <c r="IES162" i="3"/>
  <c r="IEM162" i="3"/>
  <c r="IEK162" i="3"/>
  <c r="IEC162" i="3"/>
  <c r="IEE162" i="3" s="1"/>
  <c r="IDU162" i="3"/>
  <c r="IDW162" i="3" s="1"/>
  <c r="IDM162" i="3"/>
  <c r="IDO162" i="3" s="1"/>
  <c r="IDG162" i="3"/>
  <c r="IDE162" i="3"/>
  <c r="ICY162" i="3"/>
  <c r="ICW162" i="3"/>
  <c r="ICQ162" i="3"/>
  <c r="ICO162" i="3"/>
  <c r="ICG162" i="3"/>
  <c r="ICI162" i="3" s="1"/>
  <c r="IBY162" i="3"/>
  <c r="ICA162" i="3" s="1"/>
  <c r="IBS162" i="3"/>
  <c r="IBQ162" i="3"/>
  <c r="IBK162" i="3"/>
  <c r="IBI162" i="3"/>
  <c r="IBC162" i="3"/>
  <c r="IBA162" i="3"/>
  <c r="IAU162" i="3"/>
  <c r="IAS162" i="3"/>
  <c r="IAK162" i="3"/>
  <c r="IAM162" i="3" s="1"/>
  <c r="IAE162" i="3"/>
  <c r="IAC162" i="3"/>
  <c r="HZU162" i="3"/>
  <c r="HZW162" i="3" s="1"/>
  <c r="HZO162" i="3"/>
  <c r="HZM162" i="3"/>
  <c r="HZG162" i="3"/>
  <c r="HZE162" i="3"/>
  <c r="HYY162" i="3"/>
  <c r="HYW162" i="3"/>
  <c r="HYO162" i="3"/>
  <c r="HYQ162" i="3" s="1"/>
  <c r="HYI162" i="3"/>
  <c r="HYG162" i="3"/>
  <c r="HXY162" i="3"/>
  <c r="HYA162" i="3" s="1"/>
  <c r="HXS162" i="3"/>
  <c r="HXQ162" i="3"/>
  <c r="HXK162" i="3"/>
  <c r="HXI162" i="3"/>
  <c r="HXC162" i="3"/>
  <c r="HXA162" i="3"/>
  <c r="HWS162" i="3"/>
  <c r="HWU162" i="3" s="1"/>
  <c r="HWK162" i="3"/>
  <c r="HWM162" i="3" s="1"/>
  <c r="HWE162" i="3"/>
  <c r="HWC162" i="3"/>
  <c r="HVW162" i="3"/>
  <c r="HVU162" i="3"/>
  <c r="HVO162" i="3"/>
  <c r="HVM162" i="3"/>
  <c r="HVG162" i="3"/>
  <c r="HVE162" i="3"/>
  <c r="HUW162" i="3"/>
  <c r="HUY162" i="3" s="1"/>
  <c r="HUO162" i="3"/>
  <c r="HUQ162" i="3" s="1"/>
  <c r="HUI162" i="3"/>
  <c r="HUG162" i="3"/>
  <c r="HUA162" i="3"/>
  <c r="HTY162" i="3"/>
  <c r="HTS162" i="3"/>
  <c r="HTQ162" i="3"/>
  <c r="HTK162" i="3"/>
  <c r="HTI162" i="3"/>
  <c r="HTA162" i="3"/>
  <c r="HTC162" i="3" s="1"/>
  <c r="HSU162" i="3"/>
  <c r="HSS162" i="3"/>
  <c r="HSK162" i="3"/>
  <c r="HSM162" i="3" s="1"/>
  <c r="HSE162" i="3"/>
  <c r="HSC162" i="3"/>
  <c r="HRW162" i="3"/>
  <c r="HRU162" i="3"/>
  <c r="HRO162" i="3"/>
  <c r="HRM162" i="3"/>
  <c r="HRE162" i="3"/>
  <c r="HRG162" i="3" s="1"/>
  <c r="HQW162" i="3"/>
  <c r="HQY162" i="3" s="1"/>
  <c r="HQO162" i="3"/>
  <c r="HQQ162" i="3" s="1"/>
  <c r="HQI162" i="3"/>
  <c r="HQG162" i="3"/>
  <c r="HQA162" i="3"/>
  <c r="HPY162" i="3"/>
  <c r="HPS162" i="3"/>
  <c r="HPQ162" i="3"/>
  <c r="HPI162" i="3"/>
  <c r="HPK162" i="3" s="1"/>
  <c r="HPC162" i="3"/>
  <c r="HPA162" i="3"/>
  <c r="HOU162" i="3"/>
  <c r="HOS162" i="3"/>
  <c r="HOM162" i="3"/>
  <c r="HOK162" i="3"/>
  <c r="HOE162" i="3"/>
  <c r="HOC162" i="3"/>
  <c r="HNW162" i="3"/>
  <c r="HNU162" i="3"/>
  <c r="HNM162" i="3"/>
  <c r="HNO162" i="3" s="1"/>
  <c r="HNE162" i="3"/>
  <c r="HNG162" i="3" s="1"/>
  <c r="HMY162" i="3"/>
  <c r="HMW162" i="3"/>
  <c r="HMQ162" i="3"/>
  <c r="HMO162" i="3"/>
  <c r="HMI162" i="3"/>
  <c r="HMG162" i="3"/>
  <c r="HMA162" i="3"/>
  <c r="HLY162" i="3"/>
  <c r="HLQ162" i="3"/>
  <c r="HLS162" i="3" s="1"/>
  <c r="HLI162" i="3"/>
  <c r="HLK162" i="3" s="1"/>
  <c r="HLA162" i="3"/>
  <c r="HLC162" i="3" s="1"/>
  <c r="HKU162" i="3"/>
  <c r="HKS162" i="3"/>
  <c r="HKM162" i="3"/>
  <c r="HKK162" i="3"/>
  <c r="HKE162" i="3"/>
  <c r="HKC162" i="3"/>
  <c r="HJU162" i="3"/>
  <c r="HJW162" i="3" s="1"/>
  <c r="HJO162" i="3"/>
  <c r="HJM162" i="3"/>
  <c r="HJE162" i="3"/>
  <c r="HJG162" i="3" s="1"/>
  <c r="HIY162" i="3"/>
  <c r="HIW162" i="3"/>
  <c r="HIQ162" i="3"/>
  <c r="HIO162" i="3"/>
  <c r="HII162" i="3"/>
  <c r="HIG162" i="3"/>
  <c r="HHY162" i="3"/>
  <c r="HIA162" i="3" s="1"/>
  <c r="HHQ162" i="3"/>
  <c r="HHS162" i="3" s="1"/>
  <c r="HHI162" i="3"/>
  <c r="HHK162" i="3" s="1"/>
  <c r="HHC162" i="3"/>
  <c r="HHA162" i="3"/>
  <c r="HGU162" i="3"/>
  <c r="HGS162" i="3"/>
  <c r="HGM162" i="3"/>
  <c r="HGK162" i="3"/>
  <c r="HGC162" i="3"/>
  <c r="HGE162" i="3" s="1"/>
  <c r="HFU162" i="3"/>
  <c r="HFW162" i="3" s="1"/>
  <c r="HFO162" i="3"/>
  <c r="HFM162" i="3"/>
  <c r="HFG162" i="3"/>
  <c r="HFE162" i="3"/>
  <c r="HEY162" i="3"/>
  <c r="HEW162" i="3"/>
  <c r="HEQ162" i="3"/>
  <c r="HEO162" i="3"/>
  <c r="HEG162" i="3"/>
  <c r="HEI162" i="3" s="1"/>
  <c r="HEA162" i="3"/>
  <c r="HDY162" i="3"/>
  <c r="HDQ162" i="3"/>
  <c r="HDS162" i="3" s="1"/>
  <c r="HDK162" i="3"/>
  <c r="HDI162" i="3"/>
  <c r="HDC162" i="3"/>
  <c r="HDA162" i="3"/>
  <c r="HCU162" i="3"/>
  <c r="HCS162" i="3"/>
  <c r="HCK162" i="3"/>
  <c r="HCM162" i="3" s="1"/>
  <c r="HCE162" i="3"/>
  <c r="HCC162" i="3"/>
  <c r="HBU162" i="3"/>
  <c r="HBW162" i="3" s="1"/>
  <c r="HBO162" i="3"/>
  <c r="HBM162" i="3"/>
  <c r="HBG162" i="3"/>
  <c r="HBE162" i="3"/>
  <c r="HAY162" i="3"/>
  <c r="HAW162" i="3"/>
  <c r="HAO162" i="3"/>
  <c r="HAQ162" i="3" s="1"/>
  <c r="HAI162" i="3"/>
  <c r="HAG162" i="3"/>
  <c r="HAA162" i="3"/>
  <c r="GZY162" i="3"/>
  <c r="GZS162" i="3"/>
  <c r="GZQ162" i="3"/>
  <c r="GZK162" i="3"/>
  <c r="GZI162" i="3"/>
  <c r="GZC162" i="3"/>
  <c r="GZA162" i="3"/>
  <c r="GYS162" i="3"/>
  <c r="GYU162" i="3" s="1"/>
  <c r="GYK162" i="3"/>
  <c r="GYM162" i="3" s="1"/>
  <c r="GYE162" i="3"/>
  <c r="GYC162" i="3"/>
  <c r="GXW162" i="3"/>
  <c r="GXU162" i="3"/>
  <c r="GXO162" i="3"/>
  <c r="GXM162" i="3"/>
  <c r="GXG162" i="3"/>
  <c r="GXE162" i="3"/>
  <c r="GWW162" i="3"/>
  <c r="GWY162" i="3" s="1"/>
  <c r="GWQ162" i="3"/>
  <c r="GWO162" i="3"/>
  <c r="GWI162" i="3"/>
  <c r="GWG162" i="3"/>
  <c r="GWA162" i="3"/>
  <c r="GVY162" i="3"/>
  <c r="GVS162" i="3"/>
  <c r="GVQ162" i="3"/>
  <c r="GVK162" i="3"/>
  <c r="GVI162" i="3"/>
  <c r="GVA162" i="3"/>
  <c r="GVC162" i="3" s="1"/>
  <c r="GUS162" i="3"/>
  <c r="GUU162" i="3" s="1"/>
  <c r="GUK162" i="3"/>
  <c r="GUM162" i="3" s="1"/>
  <c r="GUE162" i="3"/>
  <c r="GUC162" i="3"/>
  <c r="GTW162" i="3"/>
  <c r="GTU162" i="3"/>
  <c r="GTO162" i="3"/>
  <c r="GTM162" i="3"/>
  <c r="GTE162" i="3"/>
  <c r="GTG162" i="3" s="1"/>
  <c r="GSW162" i="3"/>
  <c r="GSY162" i="3" s="1"/>
  <c r="GSQ162" i="3"/>
  <c r="GSO162" i="3"/>
  <c r="GSI162" i="3"/>
  <c r="GSG162" i="3"/>
  <c r="GSA162" i="3"/>
  <c r="GRY162" i="3"/>
  <c r="GRS162" i="3"/>
  <c r="GRQ162" i="3"/>
  <c r="GRI162" i="3"/>
  <c r="GRK162" i="3" s="1"/>
  <c r="GRA162" i="3"/>
  <c r="GRC162" i="3" s="1"/>
  <c r="GQS162" i="3"/>
  <c r="GQU162" i="3" s="1"/>
  <c r="GQM162" i="3"/>
  <c r="GQK162" i="3"/>
  <c r="GQE162" i="3"/>
  <c r="GQC162" i="3"/>
  <c r="GPW162" i="3"/>
  <c r="GPU162" i="3"/>
  <c r="GPM162" i="3"/>
  <c r="GPO162" i="3" s="1"/>
  <c r="GPE162" i="3"/>
  <c r="GPG162" i="3" s="1"/>
  <c r="GOY162" i="3"/>
  <c r="GOW162" i="3"/>
  <c r="GOQ162" i="3"/>
  <c r="GOO162" i="3"/>
  <c r="GOI162" i="3"/>
  <c r="GOG162" i="3"/>
  <c r="GOA162" i="3"/>
  <c r="GNY162" i="3"/>
  <c r="GNQ162" i="3"/>
  <c r="GNS162" i="3" s="1"/>
  <c r="GNK162" i="3"/>
  <c r="GNI162" i="3"/>
  <c r="GNA162" i="3"/>
  <c r="GNC162" i="3" s="1"/>
  <c r="GMU162" i="3"/>
  <c r="GMS162" i="3"/>
  <c r="GMM162" i="3"/>
  <c r="GMK162" i="3"/>
  <c r="GME162" i="3"/>
  <c r="GMC162" i="3"/>
  <c r="GLU162" i="3"/>
  <c r="GLW162" i="3" s="1"/>
  <c r="GLM162" i="3"/>
  <c r="GLO162" i="3" s="1"/>
  <c r="GLE162" i="3"/>
  <c r="GLG162" i="3" s="1"/>
  <c r="GKY162" i="3"/>
  <c r="GKW162" i="3"/>
  <c r="GKQ162" i="3"/>
  <c r="GKO162" i="3"/>
  <c r="GKI162" i="3"/>
  <c r="GKG162" i="3"/>
  <c r="GJY162" i="3"/>
  <c r="GKA162" i="3" s="1"/>
  <c r="GJQ162" i="3"/>
  <c r="GJS162" i="3" s="1"/>
  <c r="GJK162" i="3"/>
  <c r="GJI162" i="3"/>
  <c r="GJC162" i="3"/>
  <c r="GJA162" i="3"/>
  <c r="GIU162" i="3"/>
  <c r="GIS162" i="3"/>
  <c r="GIM162" i="3"/>
  <c r="GIK162" i="3"/>
  <c r="GIC162" i="3"/>
  <c r="GIE162" i="3" s="1"/>
  <c r="GHW162" i="3"/>
  <c r="GHU162" i="3"/>
  <c r="GHM162" i="3"/>
  <c r="GHO162" i="3" s="1"/>
  <c r="GHG162" i="3"/>
  <c r="GHE162" i="3"/>
  <c r="GGY162" i="3"/>
  <c r="GGW162" i="3"/>
  <c r="GGQ162" i="3"/>
  <c r="GGO162" i="3"/>
  <c r="GGG162" i="3"/>
  <c r="GGI162" i="3" s="1"/>
  <c r="GGA162" i="3"/>
  <c r="GFY162" i="3"/>
  <c r="GFQ162" i="3"/>
  <c r="GFS162" i="3" s="1"/>
  <c r="GFK162" i="3"/>
  <c r="GFI162" i="3"/>
  <c r="GFC162" i="3"/>
  <c r="GFA162" i="3"/>
  <c r="GEU162" i="3"/>
  <c r="GES162" i="3"/>
  <c r="GEK162" i="3"/>
  <c r="GEM162" i="3" s="1"/>
  <c r="GEC162" i="3"/>
  <c r="GEE162" i="3" s="1"/>
  <c r="GDW162" i="3"/>
  <c r="GDU162" i="3"/>
  <c r="GDO162" i="3"/>
  <c r="GDM162" i="3"/>
  <c r="GDG162" i="3"/>
  <c r="GDE162" i="3"/>
  <c r="GCY162" i="3"/>
  <c r="GCW162" i="3"/>
  <c r="GCO162" i="3"/>
  <c r="GCQ162" i="3" s="1"/>
  <c r="GCG162" i="3"/>
  <c r="GCI162" i="3" s="1"/>
  <c r="GCA162" i="3"/>
  <c r="GBY162" i="3"/>
  <c r="GBS162" i="3"/>
  <c r="GBQ162" i="3"/>
  <c r="GBK162" i="3"/>
  <c r="GBI162" i="3"/>
  <c r="GBC162" i="3"/>
  <c r="GBA162" i="3"/>
  <c r="GAS162" i="3"/>
  <c r="GAU162" i="3" s="1"/>
  <c r="GAM162" i="3"/>
  <c r="GAK162" i="3"/>
  <c r="GAE162" i="3"/>
  <c r="GAC162" i="3"/>
  <c r="FZW162" i="3"/>
  <c r="FZU162" i="3"/>
  <c r="FZO162" i="3"/>
  <c r="FZM162" i="3"/>
  <c r="FZG162" i="3"/>
  <c r="FZE162" i="3"/>
  <c r="FYW162" i="3"/>
  <c r="FYY162" i="3" s="1"/>
  <c r="FYO162" i="3"/>
  <c r="FYQ162" i="3" s="1"/>
  <c r="FYG162" i="3"/>
  <c r="FYI162" i="3" s="1"/>
  <c r="FYA162" i="3"/>
  <c r="FXY162" i="3"/>
  <c r="FXS162" i="3"/>
  <c r="FXQ162" i="3"/>
  <c r="FXK162" i="3"/>
  <c r="FXI162" i="3"/>
  <c r="FXA162" i="3"/>
  <c r="FXC162" i="3" s="1"/>
  <c r="FWS162" i="3"/>
  <c r="FWU162" i="3" s="1"/>
  <c r="FWM162" i="3"/>
  <c r="FWK162" i="3"/>
  <c r="FWE162" i="3"/>
  <c r="FWC162" i="3"/>
  <c r="FVW162" i="3"/>
  <c r="FVU162" i="3"/>
  <c r="FVO162" i="3"/>
  <c r="FVM162" i="3"/>
  <c r="FVE162" i="3"/>
  <c r="FVG162" i="3" s="1"/>
  <c r="FUW162" i="3"/>
  <c r="FUY162" i="3" s="1"/>
  <c r="FUO162" i="3"/>
  <c r="FUQ162" i="3" s="1"/>
  <c r="FUI162" i="3"/>
  <c r="FUG162" i="3"/>
  <c r="FUA162" i="3"/>
  <c r="FTY162" i="3"/>
  <c r="FTS162" i="3"/>
  <c r="FTQ162" i="3"/>
  <c r="FTI162" i="3"/>
  <c r="FTK162" i="3" s="1"/>
  <c r="FTA162" i="3"/>
  <c r="FTC162" i="3" s="1"/>
  <c r="FSS162" i="3"/>
  <c r="FSU162" i="3" s="1"/>
  <c r="FSM162" i="3"/>
  <c r="FSK162" i="3"/>
  <c r="FSE162" i="3"/>
  <c r="FSC162" i="3"/>
  <c r="FRW162" i="3"/>
  <c r="FRU162" i="3"/>
  <c r="FRM162" i="3"/>
  <c r="FRO162" i="3" s="1"/>
  <c r="FRG162" i="3"/>
  <c r="FRE162" i="3"/>
  <c r="FQW162" i="3"/>
  <c r="FQY162" i="3" s="1"/>
  <c r="FQQ162" i="3"/>
  <c r="FQO162" i="3"/>
  <c r="FQI162" i="3"/>
  <c r="FQG162" i="3"/>
  <c r="FQA162" i="3"/>
  <c r="FPY162" i="3"/>
  <c r="FPQ162" i="3"/>
  <c r="FPS162" i="3" s="1"/>
  <c r="FPK162" i="3"/>
  <c r="FPI162" i="3"/>
  <c r="FPA162" i="3"/>
  <c r="FPC162" i="3" s="1"/>
  <c r="FOU162" i="3"/>
  <c r="FOS162" i="3"/>
  <c r="FOM162" i="3"/>
  <c r="FOK162" i="3"/>
  <c r="FOE162" i="3"/>
  <c r="FOC162" i="3"/>
  <c r="FNU162" i="3"/>
  <c r="FNW162" i="3" s="1"/>
  <c r="FNO162" i="3"/>
  <c r="FNM162" i="3"/>
  <c r="FNE162" i="3"/>
  <c r="FNG162" i="3" s="1"/>
  <c r="FMY162" i="3"/>
  <c r="FMW162" i="3"/>
  <c r="FMQ162" i="3"/>
  <c r="FMO162" i="3"/>
  <c r="FMI162" i="3"/>
  <c r="FMG162" i="3"/>
  <c r="FLY162" i="3"/>
  <c r="FMA162" i="3" s="1"/>
  <c r="FLS162" i="3"/>
  <c r="FLQ162" i="3"/>
  <c r="FLI162" i="3"/>
  <c r="FLK162" i="3" s="1"/>
  <c r="FLC162" i="3"/>
  <c r="FLA162" i="3"/>
  <c r="FKU162" i="3"/>
  <c r="FKS162" i="3"/>
  <c r="FKM162" i="3"/>
  <c r="FKK162" i="3"/>
  <c r="FKC162" i="3"/>
  <c r="FKE162" i="3" s="1"/>
  <c r="FJW162" i="3"/>
  <c r="FJU162" i="3"/>
  <c r="FJM162" i="3"/>
  <c r="FJO162" i="3" s="1"/>
  <c r="FJG162" i="3"/>
  <c r="FJE162" i="3"/>
  <c r="FIY162" i="3"/>
  <c r="FIW162" i="3"/>
  <c r="FIQ162" i="3"/>
  <c r="FIO162" i="3"/>
  <c r="FIG162" i="3"/>
  <c r="FII162" i="3" s="1"/>
  <c r="FIA162" i="3"/>
  <c r="FHY162" i="3"/>
  <c r="FHQ162" i="3"/>
  <c r="FHS162" i="3" s="1"/>
  <c r="FHK162" i="3"/>
  <c r="FHI162" i="3"/>
  <c r="FHC162" i="3"/>
  <c r="FHA162" i="3"/>
  <c r="FGU162" i="3"/>
  <c r="FGS162" i="3"/>
  <c r="FGK162" i="3"/>
  <c r="FGM162" i="3" s="1"/>
  <c r="FGE162" i="3"/>
  <c r="FGC162" i="3"/>
  <c r="FFU162" i="3"/>
  <c r="FFW162" i="3" s="1"/>
  <c r="FFO162" i="3"/>
  <c r="FFM162" i="3"/>
  <c r="FFG162" i="3"/>
  <c r="FFE162" i="3"/>
  <c r="FEY162" i="3"/>
  <c r="FEW162" i="3"/>
  <c r="FEO162" i="3"/>
  <c r="FEQ162" i="3" s="1"/>
  <c r="FEI162" i="3"/>
  <c r="FEG162" i="3"/>
  <c r="FDY162" i="3"/>
  <c r="FEA162" i="3" s="1"/>
  <c r="FDS162" i="3"/>
  <c r="FDQ162" i="3"/>
  <c r="FDK162" i="3"/>
  <c r="FDI162" i="3"/>
  <c r="FDC162" i="3"/>
  <c r="FDA162" i="3"/>
  <c r="FCS162" i="3"/>
  <c r="FCU162" i="3" s="1"/>
  <c r="FCM162" i="3"/>
  <c r="FCK162" i="3"/>
  <c r="FCC162" i="3"/>
  <c r="FCE162" i="3" s="1"/>
  <c r="FBW162" i="3"/>
  <c r="FBU162" i="3"/>
  <c r="FBO162" i="3"/>
  <c r="FBM162" i="3"/>
  <c r="FBG162" i="3"/>
  <c r="FBE162" i="3"/>
  <c r="FAW162" i="3"/>
  <c r="FAY162" i="3" s="1"/>
  <c r="FAQ162" i="3"/>
  <c r="FAO162" i="3"/>
  <c r="FAG162" i="3"/>
  <c r="FAI162" i="3" s="1"/>
  <c r="FAA162" i="3"/>
  <c r="EZY162" i="3"/>
  <c r="EZS162" i="3"/>
  <c r="EZQ162" i="3"/>
  <c r="EZK162" i="3"/>
  <c r="EZI162" i="3"/>
  <c r="EZA162" i="3"/>
  <c r="EZC162" i="3" s="1"/>
  <c r="EYU162" i="3"/>
  <c r="EYS162" i="3"/>
  <c r="EYK162" i="3"/>
  <c r="EYM162" i="3" s="1"/>
  <c r="EYE162" i="3"/>
  <c r="EYC162" i="3"/>
  <c r="EXW162" i="3"/>
  <c r="EXU162" i="3"/>
  <c r="EXO162" i="3"/>
  <c r="EXM162" i="3"/>
  <c r="EXE162" i="3"/>
  <c r="EXG162" i="3" s="1"/>
  <c r="EWY162" i="3"/>
  <c r="EWW162" i="3"/>
  <c r="EWO162" i="3"/>
  <c r="EWQ162" i="3" s="1"/>
  <c r="EWI162" i="3"/>
  <c r="EWG162" i="3"/>
  <c r="EWA162" i="3"/>
  <c r="EVY162" i="3"/>
  <c r="EVS162" i="3"/>
  <c r="EVQ162" i="3"/>
  <c r="EVI162" i="3"/>
  <c r="EVK162" i="3" s="1"/>
  <c r="EVC162" i="3"/>
  <c r="EVA162" i="3"/>
  <c r="EUS162" i="3"/>
  <c r="EUU162" i="3" s="1"/>
  <c r="EUM162" i="3"/>
  <c r="EUK162" i="3"/>
  <c r="EUE162" i="3"/>
  <c r="EUC162" i="3"/>
  <c r="ETW162" i="3"/>
  <c r="ETU162" i="3"/>
  <c r="ETM162" i="3"/>
  <c r="ETO162" i="3" s="1"/>
  <c r="ETG162" i="3"/>
  <c r="ETE162" i="3"/>
  <c r="ESW162" i="3"/>
  <c r="ESY162" i="3" s="1"/>
  <c r="ESQ162" i="3"/>
  <c r="ESO162" i="3"/>
  <c r="ESI162" i="3"/>
  <c r="ESG162" i="3"/>
  <c r="ESA162" i="3"/>
  <c r="ERY162" i="3"/>
  <c r="ERQ162" i="3"/>
  <c r="ERS162" i="3" s="1"/>
  <c r="ERK162" i="3"/>
  <c r="ERI162" i="3"/>
  <c r="ERA162" i="3"/>
  <c r="ERC162" i="3" s="1"/>
  <c r="EQU162" i="3"/>
  <c r="EQS162" i="3"/>
  <c r="EQM162" i="3"/>
  <c r="EQK162" i="3"/>
  <c r="EQE162" i="3"/>
  <c r="EQC162" i="3"/>
  <c r="EPU162" i="3"/>
  <c r="EPW162" i="3" s="1"/>
  <c r="EPO162" i="3"/>
  <c r="EPM162" i="3"/>
  <c r="EPE162" i="3"/>
  <c r="EPG162" i="3" s="1"/>
  <c r="EOY162" i="3"/>
  <c r="EOW162" i="3"/>
  <c r="EOQ162" i="3"/>
  <c r="EOO162" i="3"/>
  <c r="EOI162" i="3"/>
  <c r="EOG162" i="3"/>
  <c r="ENY162" i="3"/>
  <c r="EOA162" i="3" s="1"/>
  <c r="ENS162" i="3"/>
  <c r="ENQ162" i="3"/>
  <c r="ENI162" i="3"/>
  <c r="ENK162" i="3" s="1"/>
  <c r="ENC162" i="3"/>
  <c r="ENA162" i="3"/>
  <c r="EMU162" i="3"/>
  <c r="EMS162" i="3"/>
  <c r="EMM162" i="3"/>
  <c r="EMK162" i="3"/>
  <c r="EMC162" i="3"/>
  <c r="EME162" i="3" s="1"/>
  <c r="ELW162" i="3"/>
  <c r="ELU162" i="3"/>
  <c r="ELM162" i="3"/>
  <c r="ELO162" i="3" s="1"/>
  <c r="ELG162" i="3"/>
  <c r="ELE162" i="3"/>
  <c r="EKW162" i="3"/>
  <c r="EKY162" i="3" s="1"/>
  <c r="EKQ162" i="3"/>
  <c r="EKO162" i="3"/>
  <c r="EKG162" i="3"/>
  <c r="EKI162" i="3" s="1"/>
  <c r="EKA162" i="3"/>
  <c r="EJY162" i="3"/>
  <c r="EJQ162" i="3"/>
  <c r="EJS162" i="3" s="1"/>
  <c r="EJK162" i="3"/>
  <c r="EJI162" i="3"/>
  <c r="EJA162" i="3"/>
  <c r="EJC162" i="3" s="1"/>
  <c r="EIU162" i="3"/>
  <c r="EIS162" i="3"/>
  <c r="EIK162" i="3"/>
  <c r="EIM162" i="3" s="1"/>
  <c r="EIE162" i="3"/>
  <c r="EIC162" i="3"/>
  <c r="EHU162" i="3"/>
  <c r="EHW162" i="3" s="1"/>
  <c r="EHO162" i="3"/>
  <c r="EHM162" i="3"/>
  <c r="EHG162" i="3"/>
  <c r="EHE162" i="3"/>
  <c r="EGY162" i="3"/>
  <c r="EGW162" i="3"/>
  <c r="EGO162" i="3"/>
  <c r="EGQ162" i="3" s="1"/>
  <c r="EGI162" i="3"/>
  <c r="EGG162" i="3"/>
  <c r="EFY162" i="3"/>
  <c r="EGA162" i="3" s="1"/>
  <c r="EFS162" i="3"/>
  <c r="EFQ162" i="3"/>
  <c r="EFK162" i="3"/>
  <c r="EFI162" i="3"/>
  <c r="EFC162" i="3"/>
  <c r="EFA162" i="3"/>
  <c r="EES162" i="3"/>
  <c r="EEU162" i="3" s="1"/>
  <c r="EEM162" i="3"/>
  <c r="EEK162" i="3"/>
  <c r="EEC162" i="3"/>
  <c r="EEE162" i="3" s="1"/>
  <c r="EDW162" i="3"/>
  <c r="EDU162" i="3"/>
  <c r="EDM162" i="3"/>
  <c r="EDO162" i="3" s="1"/>
  <c r="EDG162" i="3"/>
  <c r="EDE162" i="3"/>
  <c r="ECW162" i="3"/>
  <c r="ECY162" i="3" s="1"/>
  <c r="ECQ162" i="3"/>
  <c r="ECO162" i="3"/>
  <c r="ECG162" i="3"/>
  <c r="ECI162" i="3" s="1"/>
  <c r="ECA162" i="3"/>
  <c r="EBY162" i="3"/>
  <c r="EBS162" i="3"/>
  <c r="EBQ162" i="3"/>
  <c r="EBK162" i="3"/>
  <c r="EBI162" i="3"/>
  <c r="EBA162" i="3"/>
  <c r="EBC162" i="3" s="1"/>
  <c r="EAU162" i="3"/>
  <c r="EAS162" i="3"/>
  <c r="EAK162" i="3"/>
  <c r="EAM162" i="3" s="1"/>
  <c r="EAE162" i="3"/>
  <c r="EAC162" i="3"/>
  <c r="DZU162" i="3"/>
  <c r="DZW162" i="3" s="1"/>
  <c r="DZO162" i="3"/>
  <c r="DZM162" i="3"/>
  <c r="DZE162" i="3"/>
  <c r="DZG162" i="3" s="1"/>
  <c r="DYY162" i="3"/>
  <c r="DYW162" i="3"/>
  <c r="DYO162" i="3"/>
  <c r="DYQ162" i="3" s="1"/>
  <c r="DYI162" i="3"/>
  <c r="DYG162" i="3"/>
  <c r="DXY162" i="3"/>
  <c r="DYA162" i="3" s="1"/>
  <c r="DXS162" i="3"/>
  <c r="DXQ162" i="3"/>
  <c r="DXI162" i="3"/>
  <c r="DXK162" i="3" s="1"/>
  <c r="DXC162" i="3"/>
  <c r="DXA162" i="3"/>
  <c r="DWS162" i="3"/>
  <c r="DWU162" i="3" s="1"/>
  <c r="DWM162" i="3"/>
  <c r="DWK162" i="3"/>
  <c r="DWC162" i="3"/>
  <c r="DWE162" i="3" s="1"/>
  <c r="DVW162" i="3"/>
  <c r="DVU162" i="3"/>
  <c r="DVM162" i="3"/>
  <c r="DVO162" i="3" s="1"/>
  <c r="DVG162" i="3"/>
  <c r="DVE162" i="3"/>
  <c r="DUW162" i="3"/>
  <c r="DUY162" i="3" s="1"/>
  <c r="DUQ162" i="3"/>
  <c r="DUO162" i="3"/>
  <c r="DUI162" i="3"/>
  <c r="DUG162" i="3"/>
  <c r="DUA162" i="3"/>
  <c r="DTY162" i="3"/>
  <c r="DTQ162" i="3"/>
  <c r="DTS162" i="3" s="1"/>
  <c r="DTK162" i="3"/>
  <c r="DTI162" i="3"/>
  <c r="DTA162" i="3"/>
  <c r="DTC162" i="3" s="1"/>
  <c r="DSU162" i="3"/>
  <c r="DSS162" i="3"/>
  <c r="DSK162" i="3"/>
  <c r="DSM162" i="3" s="1"/>
  <c r="DSE162" i="3"/>
  <c r="DSC162" i="3"/>
  <c r="DRU162" i="3"/>
  <c r="DRW162" i="3" s="1"/>
  <c r="DRO162" i="3"/>
  <c r="DRM162" i="3"/>
  <c r="DRE162" i="3"/>
  <c r="DRG162" i="3" s="1"/>
  <c r="DQY162" i="3"/>
  <c r="DQW162" i="3"/>
  <c r="DQQ162" i="3"/>
  <c r="DQO162" i="3"/>
  <c r="DQI162" i="3"/>
  <c r="DQG162" i="3"/>
  <c r="DPY162" i="3"/>
  <c r="DQA162" i="3" s="1"/>
  <c r="DPS162" i="3"/>
  <c r="DPQ162" i="3"/>
  <c r="DPI162" i="3"/>
  <c r="DPK162" i="3" s="1"/>
  <c r="DPC162" i="3"/>
  <c r="DPA162" i="3"/>
  <c r="DOS162" i="3"/>
  <c r="DOU162" i="3" s="1"/>
  <c r="DOM162" i="3"/>
  <c r="DOK162" i="3"/>
  <c r="DOC162" i="3"/>
  <c r="DOE162" i="3" s="1"/>
  <c r="DNW162" i="3"/>
  <c r="DNU162" i="3"/>
  <c r="DNM162" i="3"/>
  <c r="DNO162" i="3" s="1"/>
  <c r="DNG162" i="3"/>
  <c r="DNE162" i="3"/>
  <c r="DMW162" i="3"/>
  <c r="DMY162" i="3" s="1"/>
  <c r="DMQ162" i="3"/>
  <c r="DMO162" i="3"/>
  <c r="DMG162" i="3"/>
  <c r="DMI162" i="3" s="1"/>
  <c r="DMA162" i="3"/>
  <c r="DLY162" i="3"/>
  <c r="DLQ162" i="3"/>
  <c r="DLS162" i="3" s="1"/>
  <c r="DLK162" i="3"/>
  <c r="DLI162" i="3"/>
  <c r="DLA162" i="3"/>
  <c r="DLC162" i="3" s="1"/>
  <c r="DKU162" i="3"/>
  <c r="DKS162" i="3"/>
  <c r="DKK162" i="3"/>
  <c r="DKM162" i="3" s="1"/>
  <c r="DKE162" i="3"/>
  <c r="DKC162" i="3"/>
  <c r="DJU162" i="3"/>
  <c r="DJW162" i="3" s="1"/>
  <c r="DJO162" i="3"/>
  <c r="DJM162" i="3"/>
  <c r="DJG162" i="3"/>
  <c r="DJE162" i="3"/>
  <c r="DIY162" i="3"/>
  <c r="DIW162" i="3"/>
  <c r="DIO162" i="3"/>
  <c r="DIQ162" i="3" s="1"/>
  <c r="DII162" i="3"/>
  <c r="DIG162" i="3"/>
  <c r="DHY162" i="3"/>
  <c r="DIA162" i="3" s="1"/>
  <c r="DHS162" i="3"/>
  <c r="DHQ162" i="3"/>
  <c r="DHI162" i="3"/>
  <c r="DHK162" i="3" s="1"/>
  <c r="DHC162" i="3"/>
  <c r="DHA162" i="3"/>
  <c r="DGS162" i="3"/>
  <c r="DGU162" i="3" s="1"/>
  <c r="DGM162" i="3"/>
  <c r="DGK162" i="3"/>
  <c r="DGC162" i="3"/>
  <c r="DGE162" i="3" s="1"/>
  <c r="DFW162" i="3"/>
  <c r="DFU162" i="3"/>
  <c r="DFO162" i="3"/>
  <c r="DFM162" i="3"/>
  <c r="DFG162" i="3"/>
  <c r="DFE162" i="3"/>
  <c r="DEW162" i="3"/>
  <c r="DEY162" i="3" s="1"/>
  <c r="DEQ162" i="3"/>
  <c r="DEO162" i="3"/>
  <c r="DEG162" i="3"/>
  <c r="DEI162" i="3" s="1"/>
  <c r="DEA162" i="3"/>
  <c r="DDY162" i="3"/>
  <c r="DDQ162" i="3"/>
  <c r="DDS162" i="3" s="1"/>
  <c r="DDK162" i="3"/>
  <c r="DDI162" i="3"/>
  <c r="DDA162" i="3"/>
  <c r="DDC162" i="3" s="1"/>
  <c r="DCU162" i="3"/>
  <c r="DCS162" i="3"/>
  <c r="DCK162" i="3"/>
  <c r="DCM162" i="3" s="1"/>
  <c r="DCE162" i="3"/>
  <c r="DCC162" i="3"/>
  <c r="DBU162" i="3"/>
  <c r="DBW162" i="3" s="1"/>
  <c r="DBO162" i="3"/>
  <c r="DBM162" i="3"/>
  <c r="DBE162" i="3"/>
  <c r="DBG162" i="3" s="1"/>
  <c r="DAY162" i="3"/>
  <c r="DAW162" i="3"/>
  <c r="DAO162" i="3"/>
  <c r="DAQ162" i="3" s="1"/>
  <c r="DAI162" i="3"/>
  <c r="DAG162" i="3"/>
  <c r="CZY162" i="3"/>
  <c r="DAA162" i="3" s="1"/>
  <c r="CZS162" i="3"/>
  <c r="CZQ162" i="3"/>
  <c r="CZI162" i="3"/>
  <c r="CZK162" i="3" s="1"/>
  <c r="CZC162" i="3"/>
  <c r="CZA162" i="3"/>
  <c r="CYS162" i="3"/>
  <c r="CYU162" i="3" s="1"/>
  <c r="CYM162" i="3"/>
  <c r="CYK162" i="3"/>
  <c r="CYE162" i="3"/>
  <c r="CYC162" i="3"/>
  <c r="CXW162" i="3"/>
  <c r="CXU162" i="3"/>
  <c r="CXM162" i="3"/>
  <c r="CXO162" i="3" s="1"/>
  <c r="CXG162" i="3"/>
  <c r="CXE162" i="3"/>
  <c r="CWW162" i="3"/>
  <c r="CWY162" i="3" s="1"/>
  <c r="CWQ162" i="3"/>
  <c r="CWO162" i="3"/>
  <c r="CWG162" i="3"/>
  <c r="CWI162" i="3" s="1"/>
  <c r="CWA162" i="3"/>
  <c r="CVY162" i="3"/>
  <c r="CVQ162" i="3"/>
  <c r="CVS162" i="3" s="1"/>
  <c r="CVK162" i="3"/>
  <c r="CVI162" i="3"/>
  <c r="CVA162" i="3"/>
  <c r="CVC162" i="3" s="1"/>
  <c r="CUU162" i="3"/>
  <c r="CUS162" i="3"/>
  <c r="CUM162" i="3"/>
  <c r="CUK162" i="3"/>
  <c r="CUE162" i="3"/>
  <c r="CUC162" i="3"/>
  <c r="CTU162" i="3"/>
  <c r="CTW162" i="3" s="1"/>
  <c r="CTO162" i="3"/>
  <c r="CTM162" i="3"/>
  <c r="CTE162" i="3"/>
  <c r="CTG162" i="3" s="1"/>
  <c r="CSY162" i="3"/>
  <c r="CSW162" i="3"/>
  <c r="CSO162" i="3"/>
  <c r="CSQ162" i="3" s="1"/>
  <c r="CSI162" i="3"/>
  <c r="CSG162" i="3"/>
  <c r="CRY162" i="3"/>
  <c r="CSA162" i="3" s="1"/>
  <c r="CRS162" i="3"/>
  <c r="CRQ162" i="3"/>
  <c r="CRI162" i="3"/>
  <c r="CRK162" i="3" s="1"/>
  <c r="CRC162" i="3"/>
  <c r="CRA162" i="3"/>
  <c r="CQS162" i="3"/>
  <c r="CQU162" i="3" s="1"/>
  <c r="CQM162" i="3"/>
  <c r="CQK162" i="3"/>
  <c r="CQC162" i="3"/>
  <c r="CQE162" i="3" s="1"/>
  <c r="CPW162" i="3"/>
  <c r="CPU162" i="3"/>
  <c r="CPM162" i="3"/>
  <c r="CPO162" i="3" s="1"/>
  <c r="CPG162" i="3"/>
  <c r="CPE162" i="3"/>
  <c r="COW162" i="3"/>
  <c r="COY162" i="3" s="1"/>
  <c r="COQ162" i="3"/>
  <c r="COO162" i="3"/>
  <c r="COG162" i="3"/>
  <c r="COI162" i="3" s="1"/>
  <c r="COA162" i="3"/>
  <c r="CNY162" i="3"/>
  <c r="CNQ162" i="3"/>
  <c r="CNS162" i="3" s="1"/>
  <c r="CNK162" i="3"/>
  <c r="CNI162" i="3"/>
  <c r="CNC162" i="3"/>
  <c r="CNA162" i="3"/>
  <c r="CMU162" i="3"/>
  <c r="CMS162" i="3"/>
  <c r="CMK162" i="3"/>
  <c r="CMM162" i="3" s="1"/>
  <c r="CME162" i="3"/>
  <c r="CMC162" i="3"/>
  <c r="CLU162" i="3"/>
  <c r="CLW162" i="3" s="1"/>
  <c r="CLO162" i="3"/>
  <c r="CLM162" i="3"/>
  <c r="CLE162" i="3"/>
  <c r="CLG162" i="3" s="1"/>
  <c r="CKY162" i="3"/>
  <c r="CKW162" i="3"/>
  <c r="CKO162" i="3"/>
  <c r="CKQ162" i="3" s="1"/>
  <c r="CKI162" i="3"/>
  <c r="CKG162" i="3"/>
  <c r="CJY162" i="3"/>
  <c r="CKA162" i="3" s="1"/>
  <c r="CJS162" i="3"/>
  <c r="CJQ162" i="3"/>
  <c r="CJK162" i="3"/>
  <c r="CJI162" i="3"/>
  <c r="CJC162" i="3"/>
  <c r="CJA162" i="3"/>
  <c r="CIS162" i="3"/>
  <c r="CIU162" i="3" s="1"/>
  <c r="CIM162" i="3"/>
  <c r="CIK162" i="3"/>
  <c r="CIC162" i="3"/>
  <c r="CIE162" i="3" s="1"/>
  <c r="CHW162" i="3"/>
  <c r="CHU162" i="3"/>
  <c r="CHM162" i="3"/>
  <c r="CHO162" i="3" s="1"/>
  <c r="CHG162" i="3"/>
  <c r="CHE162" i="3"/>
  <c r="CGW162" i="3"/>
  <c r="CGY162" i="3" s="1"/>
  <c r="CGQ162" i="3"/>
  <c r="CGO162" i="3"/>
  <c r="CGG162" i="3"/>
  <c r="CGI162" i="3" s="1"/>
  <c r="CGA162" i="3"/>
  <c r="CFY162" i="3"/>
  <c r="CFQ162" i="3"/>
  <c r="CFS162" i="3" s="1"/>
  <c r="CFK162" i="3"/>
  <c r="CFI162" i="3"/>
  <c r="CFA162" i="3"/>
  <c r="CFC162" i="3" s="1"/>
  <c r="CEU162" i="3"/>
  <c r="CES162" i="3"/>
  <c r="CEK162" i="3"/>
  <c r="CEM162" i="3" s="1"/>
  <c r="CEE162" i="3"/>
  <c r="CEC162" i="3"/>
  <c r="CDU162" i="3"/>
  <c r="CDW162" i="3" s="1"/>
  <c r="CDO162" i="3"/>
  <c r="CDM162" i="3"/>
  <c r="CDE162" i="3"/>
  <c r="CDG162" i="3" s="1"/>
  <c r="CCY162" i="3"/>
  <c r="CCW162" i="3"/>
  <c r="CCO162" i="3"/>
  <c r="CCQ162" i="3" s="1"/>
  <c r="CCI162" i="3"/>
  <c r="CCG162" i="3"/>
  <c r="CCA162" i="3"/>
  <c r="CBY162" i="3"/>
  <c r="CBS162" i="3"/>
  <c r="CBQ162" i="3"/>
  <c r="CBI162" i="3"/>
  <c r="CBK162" i="3" s="1"/>
  <c r="CBC162" i="3"/>
  <c r="CBA162" i="3"/>
  <c r="CAS162" i="3"/>
  <c r="CAU162" i="3" s="1"/>
  <c r="CAM162" i="3"/>
  <c r="CAK162" i="3"/>
  <c r="CAC162" i="3"/>
  <c r="CAE162" i="3" s="1"/>
  <c r="BZW162" i="3"/>
  <c r="BZU162" i="3"/>
  <c r="BZM162" i="3"/>
  <c r="BZO162" i="3" s="1"/>
  <c r="BZG162" i="3"/>
  <c r="BZE162" i="3"/>
  <c r="BYW162" i="3"/>
  <c r="BYY162" i="3" s="1"/>
  <c r="BYQ162" i="3"/>
  <c r="BYO162" i="3"/>
  <c r="BYI162" i="3"/>
  <c r="BYG162" i="3"/>
  <c r="BYA162" i="3"/>
  <c r="BXY162" i="3"/>
  <c r="BXQ162" i="3"/>
  <c r="BXS162" i="3" s="1"/>
  <c r="BXK162" i="3"/>
  <c r="BXI162" i="3"/>
  <c r="BXA162" i="3"/>
  <c r="BXC162" i="3" s="1"/>
  <c r="BWU162" i="3"/>
  <c r="BWS162" i="3"/>
  <c r="BWK162" i="3"/>
  <c r="BWM162" i="3" s="1"/>
  <c r="BWE162" i="3"/>
  <c r="BWC162" i="3"/>
  <c r="BVU162" i="3"/>
  <c r="BVW162" i="3" s="1"/>
  <c r="BVO162" i="3"/>
  <c r="BVM162" i="3"/>
  <c r="BVE162" i="3"/>
  <c r="BVG162" i="3" s="1"/>
  <c r="BUY162" i="3"/>
  <c r="BUW162" i="3"/>
  <c r="BUO162" i="3"/>
  <c r="BUQ162" i="3" s="1"/>
  <c r="BUI162" i="3"/>
  <c r="BUG162" i="3"/>
  <c r="BTY162" i="3"/>
  <c r="BUA162" i="3" s="1"/>
  <c r="BTS162" i="3"/>
  <c r="BTQ162" i="3"/>
  <c r="BTI162" i="3"/>
  <c r="BTK162" i="3" s="1"/>
  <c r="BTC162" i="3"/>
  <c r="BTA162" i="3"/>
  <c r="BSS162" i="3"/>
  <c r="BSU162" i="3" s="1"/>
  <c r="BSM162" i="3"/>
  <c r="BSK162" i="3"/>
  <c r="BSC162" i="3"/>
  <c r="BSE162" i="3" s="1"/>
  <c r="BRW162" i="3"/>
  <c r="BRU162" i="3"/>
  <c r="BRM162" i="3"/>
  <c r="BRO162" i="3" s="1"/>
  <c r="BRG162" i="3"/>
  <c r="BRE162" i="3"/>
  <c r="BQY162" i="3"/>
  <c r="BQW162" i="3"/>
  <c r="BQQ162" i="3"/>
  <c r="BQO162" i="3"/>
  <c r="BQG162" i="3"/>
  <c r="BQI162" i="3" s="1"/>
  <c r="BQA162" i="3"/>
  <c r="BPY162" i="3"/>
  <c r="BPQ162" i="3"/>
  <c r="BPS162" i="3" s="1"/>
  <c r="BPK162" i="3"/>
  <c r="BPI162" i="3"/>
  <c r="BPA162" i="3"/>
  <c r="BPC162" i="3" s="1"/>
  <c r="BOU162" i="3"/>
  <c r="BOS162" i="3"/>
  <c r="BOK162" i="3"/>
  <c r="BOM162" i="3" s="1"/>
  <c r="BOE162" i="3"/>
  <c r="BOC162" i="3"/>
  <c r="BNU162" i="3"/>
  <c r="BNW162" i="3" s="1"/>
  <c r="BNO162" i="3"/>
  <c r="BNM162" i="3"/>
  <c r="BNG162" i="3"/>
  <c r="BNE162" i="3"/>
  <c r="BMY162" i="3"/>
  <c r="BMW162" i="3"/>
  <c r="BMO162" i="3"/>
  <c r="BMQ162" i="3" s="1"/>
  <c r="BMI162" i="3"/>
  <c r="BMG162" i="3"/>
  <c r="BLY162" i="3"/>
  <c r="BMA162" i="3" s="1"/>
  <c r="BLS162" i="3"/>
  <c r="BLQ162" i="3"/>
  <c r="BLI162" i="3"/>
  <c r="BLK162" i="3" s="1"/>
  <c r="BLC162" i="3"/>
  <c r="BLA162" i="3"/>
  <c r="BKS162" i="3"/>
  <c r="BKU162" i="3" s="1"/>
  <c r="BKM162" i="3"/>
  <c r="BKK162" i="3"/>
  <c r="BKC162" i="3"/>
  <c r="BKE162" i="3" s="1"/>
  <c r="BJW162" i="3"/>
  <c r="BJU162" i="3"/>
  <c r="BJM162" i="3"/>
  <c r="BJO162" i="3" s="1"/>
  <c r="BJG162" i="3"/>
  <c r="BJE162" i="3"/>
  <c r="BIW162" i="3"/>
  <c r="BIY162" i="3" s="1"/>
  <c r="BIQ162" i="3"/>
  <c r="BIO162" i="3"/>
  <c r="BIG162" i="3"/>
  <c r="BII162" i="3" s="1"/>
  <c r="BIA162" i="3"/>
  <c r="BHY162" i="3"/>
  <c r="BHQ162" i="3"/>
  <c r="BHS162" i="3" s="1"/>
  <c r="BHK162" i="3"/>
  <c r="BHI162" i="3"/>
  <c r="BHA162" i="3"/>
  <c r="BHC162" i="3" s="1"/>
  <c r="BGU162" i="3"/>
  <c r="BGS162" i="3"/>
  <c r="BGK162" i="3"/>
  <c r="BGM162" i="3" s="1"/>
  <c r="BGE162" i="3"/>
  <c r="BGC162" i="3"/>
  <c r="BFW162" i="3"/>
  <c r="BFU162" i="3"/>
  <c r="BFO162" i="3"/>
  <c r="BFM162" i="3"/>
  <c r="BFE162" i="3"/>
  <c r="BFG162" i="3" s="1"/>
  <c r="BEY162" i="3"/>
  <c r="BEW162" i="3"/>
  <c r="BEO162" i="3"/>
  <c r="BEQ162" i="3" s="1"/>
  <c r="BEI162" i="3"/>
  <c r="BEG162" i="3"/>
  <c r="BDY162" i="3"/>
  <c r="BEA162" i="3" s="1"/>
  <c r="BDS162" i="3"/>
  <c r="BDQ162" i="3"/>
  <c r="BDI162" i="3"/>
  <c r="BDK162" i="3" s="1"/>
  <c r="BDC162" i="3"/>
  <c r="BDA162" i="3"/>
  <c r="BCS162" i="3"/>
  <c r="BCU162" i="3" s="1"/>
  <c r="BCM162" i="3"/>
  <c r="BCK162" i="3"/>
  <c r="BCE162" i="3"/>
  <c r="BCC162" i="3"/>
  <c r="BBW162" i="3"/>
  <c r="BBU162" i="3"/>
  <c r="BBM162" i="3"/>
  <c r="BBO162" i="3" s="1"/>
  <c r="BBG162" i="3"/>
  <c r="BBE162" i="3"/>
  <c r="BAW162" i="3"/>
  <c r="BAY162" i="3" s="1"/>
  <c r="BAQ162" i="3"/>
  <c r="BAO162" i="3"/>
  <c r="BAG162" i="3"/>
  <c r="BAI162" i="3" s="1"/>
  <c r="BAA162" i="3"/>
  <c r="AZY162" i="3"/>
  <c r="AZQ162" i="3"/>
  <c r="AZS162" i="3" s="1"/>
  <c r="AZK162" i="3"/>
  <c r="AZI162" i="3"/>
  <c r="AZA162" i="3"/>
  <c r="AZC162" i="3" s="1"/>
  <c r="AYU162" i="3"/>
  <c r="AYS162" i="3"/>
  <c r="AYK162" i="3"/>
  <c r="AYM162" i="3" s="1"/>
  <c r="AYE162" i="3"/>
  <c r="AYC162" i="3"/>
  <c r="AXU162" i="3"/>
  <c r="AXW162" i="3" s="1"/>
  <c r="AXO162" i="3"/>
  <c r="AXM162" i="3"/>
  <c r="AXE162" i="3"/>
  <c r="AXG162" i="3" s="1"/>
  <c r="AWY162" i="3"/>
  <c r="AWW162" i="3"/>
  <c r="AWO162" i="3"/>
  <c r="AWQ162" i="3" s="1"/>
  <c r="AWI162" i="3"/>
  <c r="AWG162" i="3"/>
  <c r="AVY162" i="3"/>
  <c r="AWA162" i="3" s="1"/>
  <c r="AVS162" i="3"/>
  <c r="AVQ162" i="3"/>
  <c r="AVI162" i="3"/>
  <c r="AVK162" i="3" s="1"/>
  <c r="AVC162" i="3"/>
  <c r="AVA162" i="3"/>
  <c r="AUU162" i="3"/>
  <c r="AUS162" i="3"/>
  <c r="AUM162" i="3"/>
  <c r="AUK162" i="3"/>
  <c r="AUC162" i="3"/>
  <c r="AUE162" i="3" s="1"/>
  <c r="ATW162" i="3"/>
  <c r="ATU162" i="3"/>
  <c r="ATM162" i="3"/>
  <c r="ATO162" i="3" s="1"/>
  <c r="ATG162" i="3"/>
  <c r="ATE162" i="3"/>
  <c r="ASW162" i="3"/>
  <c r="ASY162" i="3" s="1"/>
  <c r="ASQ162" i="3"/>
  <c r="ASO162" i="3"/>
  <c r="ASG162" i="3"/>
  <c r="ASI162" i="3" s="1"/>
  <c r="ASA162" i="3"/>
  <c r="ARY162" i="3"/>
  <c r="ARQ162" i="3"/>
  <c r="ARS162" i="3" s="1"/>
  <c r="ARK162" i="3"/>
  <c r="ARI162" i="3"/>
  <c r="ARC162" i="3"/>
  <c r="ARA162" i="3"/>
  <c r="AQU162" i="3"/>
  <c r="AQS162" i="3"/>
  <c r="AQK162" i="3"/>
  <c r="AQM162" i="3" s="1"/>
  <c r="AQE162" i="3"/>
  <c r="AQC162" i="3"/>
  <c r="APU162" i="3"/>
  <c r="APW162" i="3" s="1"/>
  <c r="APO162" i="3"/>
  <c r="APM162" i="3"/>
  <c r="APE162" i="3"/>
  <c r="APG162" i="3" s="1"/>
  <c r="AOY162" i="3"/>
  <c r="AOW162" i="3"/>
  <c r="AOO162" i="3"/>
  <c r="AOQ162" i="3" s="1"/>
  <c r="AOI162" i="3"/>
  <c r="AOG162" i="3"/>
  <c r="ANY162" i="3"/>
  <c r="AOA162" i="3" s="1"/>
  <c r="ANS162" i="3"/>
  <c r="ANQ162" i="3"/>
  <c r="ANI162" i="3"/>
  <c r="ANK162" i="3" s="1"/>
  <c r="ANC162" i="3"/>
  <c r="ANA162" i="3"/>
  <c r="AMS162" i="3"/>
  <c r="AMU162" i="3" s="1"/>
  <c r="AMM162" i="3"/>
  <c r="AMK162" i="3"/>
  <c r="AMC162" i="3"/>
  <c r="AME162" i="3" s="1"/>
  <c r="ALW162" i="3"/>
  <c r="ALU162" i="3"/>
  <c r="ALM162" i="3"/>
  <c r="ALO162" i="3" s="1"/>
  <c r="ALG162" i="3"/>
  <c r="ALE162" i="3"/>
  <c r="AKW162" i="3"/>
  <c r="AKY162" i="3" s="1"/>
  <c r="AKQ162" i="3"/>
  <c r="AKO162" i="3"/>
  <c r="AKG162" i="3"/>
  <c r="AKI162" i="3" s="1"/>
  <c r="AKA162" i="3"/>
  <c r="AJY162" i="3"/>
  <c r="AJS162" i="3"/>
  <c r="AJQ162" i="3"/>
  <c r="AJK162" i="3"/>
  <c r="AJI162" i="3"/>
  <c r="AJA162" i="3"/>
  <c r="AJC162" i="3" s="1"/>
  <c r="AIU162" i="3"/>
  <c r="AIS162" i="3"/>
  <c r="AIK162" i="3"/>
  <c r="AIM162" i="3" s="1"/>
  <c r="AIE162" i="3"/>
  <c r="AIC162" i="3"/>
  <c r="AHU162" i="3"/>
  <c r="AHW162" i="3" s="1"/>
  <c r="AHO162" i="3"/>
  <c r="AHM162" i="3"/>
  <c r="AHE162" i="3"/>
  <c r="AHG162" i="3" s="1"/>
  <c r="AGY162" i="3"/>
  <c r="AGW162" i="3"/>
  <c r="AGO162" i="3"/>
  <c r="AGQ162" i="3" s="1"/>
  <c r="AGI162" i="3"/>
  <c r="AGG162" i="3"/>
  <c r="AGA162" i="3"/>
  <c r="AFY162" i="3"/>
  <c r="AFS162" i="3"/>
  <c r="AFQ162" i="3"/>
  <c r="AFI162" i="3"/>
  <c r="AFK162" i="3" s="1"/>
  <c r="AFC162" i="3"/>
  <c r="AFA162" i="3"/>
  <c r="AES162" i="3"/>
  <c r="AEU162" i="3" s="1"/>
  <c r="AEM162" i="3"/>
  <c r="AEK162" i="3"/>
  <c r="AEC162" i="3"/>
  <c r="AEE162" i="3" s="1"/>
  <c r="ADW162" i="3"/>
  <c r="ADU162" i="3"/>
  <c r="ADM162" i="3"/>
  <c r="ADO162" i="3" s="1"/>
  <c r="ADG162" i="3"/>
  <c r="ADE162" i="3"/>
  <c r="ACW162" i="3"/>
  <c r="ACY162" i="3" s="1"/>
  <c r="ACQ162" i="3"/>
  <c r="ACO162" i="3"/>
  <c r="ACG162" i="3"/>
  <c r="ACI162" i="3" s="1"/>
  <c r="ACA162" i="3"/>
  <c r="ABY162" i="3"/>
  <c r="ABQ162" i="3"/>
  <c r="ABS162" i="3" s="1"/>
  <c r="ABK162" i="3"/>
  <c r="ABI162" i="3"/>
  <c r="ABA162" i="3"/>
  <c r="ABC162" i="3" s="1"/>
  <c r="AAU162" i="3"/>
  <c r="AAS162" i="3"/>
  <c r="AAK162" i="3"/>
  <c r="AAM162" i="3" s="1"/>
  <c r="AAE162" i="3"/>
  <c r="AAC162" i="3"/>
  <c r="ZU162" i="3"/>
  <c r="ZW162" i="3" s="1"/>
  <c r="ZO162" i="3"/>
  <c r="ZM162" i="3"/>
  <c r="ZE162" i="3"/>
  <c r="ZG162" i="3" s="1"/>
  <c r="YY162" i="3"/>
  <c r="YW162" i="3"/>
  <c r="YQ162" i="3"/>
  <c r="YO162" i="3"/>
  <c r="YI162" i="3"/>
  <c r="YG162" i="3"/>
  <c r="XY162" i="3"/>
  <c r="YA162" i="3" s="1"/>
  <c r="XS162" i="3"/>
  <c r="XQ162" i="3"/>
  <c r="XI162" i="3"/>
  <c r="XK162" i="3" s="1"/>
  <c r="XC162" i="3"/>
  <c r="XA162" i="3"/>
  <c r="WS162" i="3"/>
  <c r="WU162" i="3" s="1"/>
  <c r="WM162" i="3"/>
  <c r="WK162" i="3"/>
  <c r="WC162" i="3"/>
  <c r="WE162" i="3" s="1"/>
  <c r="VW162" i="3"/>
  <c r="VU162" i="3"/>
  <c r="VM162" i="3"/>
  <c r="VO162" i="3" s="1"/>
  <c r="VG162" i="3"/>
  <c r="VE162" i="3"/>
  <c r="UY162" i="3"/>
  <c r="UW162" i="3"/>
  <c r="UQ162" i="3"/>
  <c r="UO162" i="3"/>
  <c r="UG162" i="3"/>
  <c r="UI162" i="3" s="1"/>
  <c r="UA162" i="3"/>
  <c r="TY162" i="3"/>
  <c r="TQ162" i="3"/>
  <c r="TS162" i="3" s="1"/>
  <c r="TK162" i="3"/>
  <c r="TI162" i="3"/>
  <c r="TA162" i="3"/>
  <c r="TC162" i="3" s="1"/>
  <c r="SU162" i="3"/>
  <c r="SS162" i="3"/>
  <c r="SK162" i="3"/>
  <c r="SM162" i="3" s="1"/>
  <c r="SE162" i="3"/>
  <c r="SC162" i="3"/>
  <c r="RU162" i="3"/>
  <c r="RW162" i="3" s="1"/>
  <c r="RO162" i="3"/>
  <c r="RM162" i="3"/>
  <c r="RE162" i="3"/>
  <c r="RG162" i="3" s="1"/>
  <c r="QY162" i="3"/>
  <c r="QW162" i="3"/>
  <c r="QO162" i="3"/>
  <c r="QQ162" i="3" s="1"/>
  <c r="QI162" i="3"/>
  <c r="QG162" i="3"/>
  <c r="PY162" i="3"/>
  <c r="QA162" i="3" s="1"/>
  <c r="PS162" i="3"/>
  <c r="PQ162" i="3"/>
  <c r="PI162" i="3"/>
  <c r="PK162" i="3" s="1"/>
  <c r="PC162" i="3"/>
  <c r="PA162" i="3"/>
  <c r="OS162" i="3"/>
  <c r="OU162" i="3" s="1"/>
  <c r="OM162" i="3"/>
  <c r="OK162" i="3"/>
  <c r="OC162" i="3"/>
  <c r="OE162" i="3" s="1"/>
  <c r="NW162" i="3"/>
  <c r="NU162" i="3"/>
  <c r="NO162" i="3"/>
  <c r="NM162" i="3"/>
  <c r="NG162" i="3"/>
  <c r="NE162" i="3"/>
  <c r="MW162" i="3"/>
  <c r="MY162" i="3" s="1"/>
  <c r="MQ162" i="3"/>
  <c r="MO162" i="3"/>
  <c r="MG162" i="3"/>
  <c r="MI162" i="3" s="1"/>
  <c r="MA162" i="3"/>
  <c r="LY162" i="3"/>
  <c r="LQ162" i="3"/>
  <c r="LS162" i="3" s="1"/>
  <c r="LK162" i="3"/>
  <c r="LI162" i="3"/>
  <c r="LA162" i="3"/>
  <c r="LC162" i="3" s="1"/>
  <c r="KU162" i="3"/>
  <c r="KS162" i="3"/>
  <c r="KK162" i="3"/>
  <c r="KM162" i="3" s="1"/>
  <c r="KE162" i="3"/>
  <c r="KC162" i="3"/>
  <c r="JW162" i="3"/>
  <c r="JU162" i="3"/>
  <c r="JO162" i="3"/>
  <c r="JM162" i="3"/>
  <c r="JE162" i="3"/>
  <c r="JG162" i="3" s="1"/>
  <c r="IY162" i="3"/>
  <c r="IW162" i="3"/>
  <c r="IO162" i="3"/>
  <c r="IQ162" i="3" s="1"/>
  <c r="II162" i="3"/>
  <c r="IG162" i="3"/>
  <c r="HY162" i="3"/>
  <c r="IA162" i="3" s="1"/>
  <c r="HS162" i="3"/>
  <c r="HQ162" i="3"/>
  <c r="HI162" i="3"/>
  <c r="HK162" i="3" s="1"/>
  <c r="HC162" i="3"/>
  <c r="HA162" i="3"/>
  <c r="GS162" i="3"/>
  <c r="GU162" i="3" s="1"/>
  <c r="GM162" i="3"/>
  <c r="GK162" i="3"/>
  <c r="GC162" i="3"/>
  <c r="GE162" i="3" s="1"/>
  <c r="FW162" i="3"/>
  <c r="FU162" i="3"/>
  <c r="FM162" i="3"/>
  <c r="FO162" i="3" s="1"/>
  <c r="FG162" i="3"/>
  <c r="FE162" i="3"/>
  <c r="EW162" i="3"/>
  <c r="EY162" i="3" s="1"/>
  <c r="EQ162" i="3"/>
  <c r="EO162" i="3"/>
  <c r="EG162" i="3"/>
  <c r="EI162" i="3" s="1"/>
  <c r="EA162" i="3"/>
  <c r="DY162" i="3"/>
  <c r="DQ162" i="3"/>
  <c r="DS162" i="3" s="1"/>
  <c r="DK162" i="3"/>
  <c r="DI162" i="3"/>
  <c r="DA162" i="3"/>
  <c r="DC162" i="3" s="1"/>
  <c r="CU162" i="3"/>
  <c r="CS162" i="3"/>
  <c r="CM162" i="3"/>
  <c r="CK162" i="3"/>
  <c r="CE162" i="3"/>
  <c r="CC162" i="3"/>
  <c r="BU162" i="3"/>
  <c r="BW162" i="3" s="1"/>
  <c r="BO162" i="3"/>
  <c r="BM162" i="3"/>
  <c r="BE162" i="3"/>
  <c r="BG162" i="3" s="1"/>
  <c r="AY162" i="3"/>
  <c r="AW162" i="3"/>
  <c r="AO162" i="3"/>
  <c r="AQ162" i="3" s="1"/>
  <c r="AI162" i="3"/>
  <c r="AG162" i="3"/>
  <c r="AA162" i="3"/>
  <c r="F162" i="3"/>
  <c r="H162" i="3" s="1"/>
  <c r="H166" i="3" s="1"/>
  <c r="F154" i="3"/>
  <c r="H154" i="3" s="1"/>
  <c r="H153" i="3"/>
  <c r="H150" i="3"/>
  <c r="F150" i="3"/>
  <c r="F149" i="3"/>
  <c r="H149" i="3" s="1"/>
  <c r="XBW148" i="3"/>
  <c r="XBU148" i="3"/>
  <c r="XBO148" i="3"/>
  <c r="XBM148" i="3"/>
  <c r="XBE148" i="3"/>
  <c r="XBG148" i="3" s="1"/>
  <c r="XAY148" i="3"/>
  <c r="XAW148" i="3"/>
  <c r="XAQ148" i="3"/>
  <c r="XAO148" i="3"/>
  <c r="XAG148" i="3"/>
  <c r="XAI148" i="3" s="1"/>
  <c r="XAA148" i="3"/>
  <c r="WZY148" i="3"/>
  <c r="WZS148" i="3"/>
  <c r="WZQ148" i="3"/>
  <c r="WZI148" i="3"/>
  <c r="WZK148" i="3" s="1"/>
  <c r="WZA148" i="3"/>
  <c r="WZC148" i="3" s="1"/>
  <c r="WYU148" i="3"/>
  <c r="WYS148" i="3"/>
  <c r="WYK148" i="3"/>
  <c r="WYM148" i="3" s="1"/>
  <c r="WYE148" i="3"/>
  <c r="WYC148" i="3"/>
  <c r="WXW148" i="3"/>
  <c r="WXU148" i="3"/>
  <c r="WXO148" i="3"/>
  <c r="WXM148" i="3"/>
  <c r="WXE148" i="3"/>
  <c r="WXG148" i="3" s="1"/>
  <c r="WWY148" i="3"/>
  <c r="WWW148" i="3"/>
  <c r="WWO148" i="3"/>
  <c r="WWQ148" i="3" s="1"/>
  <c r="WWI148" i="3"/>
  <c r="WWG148" i="3"/>
  <c r="WWA148" i="3"/>
  <c r="WVY148" i="3"/>
  <c r="WVQ148" i="3"/>
  <c r="WVS148" i="3" s="1"/>
  <c r="WVI148" i="3"/>
  <c r="WVK148" i="3" s="1"/>
  <c r="WVC148" i="3"/>
  <c r="WVA148" i="3"/>
  <c r="WUS148" i="3"/>
  <c r="WUU148" i="3" s="1"/>
  <c r="WUM148" i="3"/>
  <c r="WUK148" i="3"/>
  <c r="WUE148" i="3"/>
  <c r="WUC148" i="3"/>
  <c r="WTU148" i="3"/>
  <c r="WTW148" i="3" s="1"/>
  <c r="WTO148" i="3"/>
  <c r="WTM148" i="3"/>
  <c r="WTG148" i="3"/>
  <c r="WTE148" i="3"/>
  <c r="WSW148" i="3"/>
  <c r="WSY148" i="3" s="1"/>
  <c r="WSQ148" i="3"/>
  <c r="WSO148" i="3"/>
  <c r="WSI148" i="3"/>
  <c r="WSG148" i="3"/>
  <c r="WSA148" i="3"/>
  <c r="WRY148" i="3"/>
  <c r="WRQ148" i="3"/>
  <c r="WRS148" i="3" s="1"/>
  <c r="WRK148" i="3"/>
  <c r="WRI148" i="3"/>
  <c r="WRA148" i="3"/>
  <c r="WRC148" i="3" s="1"/>
  <c r="WQU148" i="3"/>
  <c r="WQS148" i="3"/>
  <c r="WQM148" i="3"/>
  <c r="WQK148" i="3"/>
  <c r="WQC148" i="3"/>
  <c r="WQE148" i="3" s="1"/>
  <c r="WPU148" i="3"/>
  <c r="WPW148" i="3" s="1"/>
  <c r="WPO148" i="3"/>
  <c r="WPM148" i="3"/>
  <c r="WPE148" i="3"/>
  <c r="WPG148" i="3" s="1"/>
  <c r="WOY148" i="3"/>
  <c r="WOW148" i="3"/>
  <c r="WOQ148" i="3"/>
  <c r="WOO148" i="3"/>
  <c r="WOG148" i="3"/>
  <c r="WOI148" i="3" s="1"/>
  <c r="WOA148" i="3"/>
  <c r="WNY148" i="3"/>
  <c r="WNS148" i="3"/>
  <c r="WNQ148" i="3"/>
  <c r="WNI148" i="3"/>
  <c r="WNK148" i="3" s="1"/>
  <c r="WNC148" i="3"/>
  <c r="WNA148" i="3"/>
  <c r="WMU148" i="3"/>
  <c r="WMS148" i="3"/>
  <c r="WMM148" i="3"/>
  <c r="WMK148" i="3"/>
  <c r="WMC148" i="3"/>
  <c r="WME148" i="3" s="1"/>
  <c r="WLW148" i="3"/>
  <c r="WLU148" i="3"/>
  <c r="WLM148" i="3"/>
  <c r="WLO148" i="3" s="1"/>
  <c r="WLG148" i="3"/>
  <c r="WLE148" i="3"/>
  <c r="WKY148" i="3"/>
  <c r="WKW148" i="3"/>
  <c r="WKQ148" i="3"/>
  <c r="WKO148" i="3"/>
  <c r="WKG148" i="3"/>
  <c r="WKI148" i="3" s="1"/>
  <c r="WKA148" i="3"/>
  <c r="WJY148" i="3"/>
  <c r="WJQ148" i="3"/>
  <c r="WJS148" i="3" s="1"/>
  <c r="WJK148" i="3"/>
  <c r="WJI148" i="3"/>
  <c r="WJC148" i="3"/>
  <c r="WJA148" i="3"/>
  <c r="WIU148" i="3"/>
  <c r="WIS148" i="3"/>
  <c r="WIM148" i="3"/>
  <c r="WIK148" i="3"/>
  <c r="WIE148" i="3"/>
  <c r="WIC148" i="3"/>
  <c r="WHU148" i="3"/>
  <c r="WHW148" i="3" s="1"/>
  <c r="WHO148" i="3"/>
  <c r="WHM148" i="3"/>
  <c r="WHG148" i="3"/>
  <c r="WHE148" i="3"/>
  <c r="WGW148" i="3"/>
  <c r="WGY148" i="3" s="1"/>
  <c r="WGQ148" i="3"/>
  <c r="WGO148" i="3"/>
  <c r="WGI148" i="3"/>
  <c r="WGG148" i="3"/>
  <c r="WFY148" i="3"/>
  <c r="WGA148" i="3" s="1"/>
  <c r="WFS148" i="3"/>
  <c r="WFQ148" i="3"/>
  <c r="WFK148" i="3"/>
  <c r="WFI148" i="3"/>
  <c r="WFA148" i="3"/>
  <c r="WFC148" i="3" s="1"/>
  <c r="WEU148" i="3"/>
  <c r="WES148" i="3"/>
  <c r="WEM148" i="3"/>
  <c r="WEK148" i="3"/>
  <c r="WEC148" i="3"/>
  <c r="WEE148" i="3" s="1"/>
  <c r="WDW148" i="3"/>
  <c r="WDU148" i="3"/>
  <c r="WDO148" i="3"/>
  <c r="WDM148" i="3"/>
  <c r="WDE148" i="3"/>
  <c r="WDG148" i="3" s="1"/>
  <c r="WCW148" i="3"/>
  <c r="WCY148" i="3" s="1"/>
  <c r="WCQ148" i="3"/>
  <c r="WCO148" i="3"/>
  <c r="WCG148" i="3"/>
  <c r="WCI148" i="3" s="1"/>
  <c r="WCA148" i="3"/>
  <c r="WBY148" i="3"/>
  <c r="WBS148" i="3"/>
  <c r="WBQ148" i="3"/>
  <c r="WBK148" i="3"/>
  <c r="WBI148" i="3"/>
  <c r="WBA148" i="3"/>
  <c r="WBC148" i="3" s="1"/>
  <c r="WAU148" i="3"/>
  <c r="WAS148" i="3"/>
  <c r="WAK148" i="3"/>
  <c r="WAM148" i="3" s="1"/>
  <c r="WAE148" i="3"/>
  <c r="WAC148" i="3"/>
  <c r="VZW148" i="3"/>
  <c r="VZU148" i="3"/>
  <c r="VZM148" i="3"/>
  <c r="VZO148" i="3" s="1"/>
  <c r="VZE148" i="3"/>
  <c r="VZG148" i="3" s="1"/>
  <c r="VYY148" i="3"/>
  <c r="VYW148" i="3"/>
  <c r="VYO148" i="3"/>
  <c r="VYQ148" i="3" s="1"/>
  <c r="VYI148" i="3"/>
  <c r="VYG148" i="3"/>
  <c r="VYA148" i="3"/>
  <c r="VXY148" i="3"/>
  <c r="VXQ148" i="3"/>
  <c r="VXS148" i="3" s="1"/>
  <c r="VXK148" i="3"/>
  <c r="VXI148" i="3"/>
  <c r="VXC148" i="3"/>
  <c r="VXA148" i="3"/>
  <c r="VWS148" i="3"/>
  <c r="VWU148" i="3" s="1"/>
  <c r="VWM148" i="3"/>
  <c r="VWK148" i="3"/>
  <c r="VWE148" i="3"/>
  <c r="VWC148" i="3"/>
  <c r="VVW148" i="3"/>
  <c r="VVU148" i="3"/>
  <c r="VVM148" i="3"/>
  <c r="VVO148" i="3" s="1"/>
  <c r="VVG148" i="3"/>
  <c r="VVE148" i="3"/>
  <c r="VUW148" i="3"/>
  <c r="VUY148" i="3" s="1"/>
  <c r="VUQ148" i="3"/>
  <c r="VUO148" i="3"/>
  <c r="VUI148" i="3"/>
  <c r="VUG148" i="3"/>
  <c r="VTY148" i="3"/>
  <c r="VUA148" i="3" s="1"/>
  <c r="VTQ148" i="3"/>
  <c r="VTS148" i="3" s="1"/>
  <c r="VTK148" i="3"/>
  <c r="VTI148" i="3"/>
  <c r="VTA148" i="3"/>
  <c r="VTC148" i="3" s="1"/>
  <c r="VSU148" i="3"/>
  <c r="VSS148" i="3"/>
  <c r="VSM148" i="3"/>
  <c r="VSK148" i="3"/>
  <c r="VSC148" i="3"/>
  <c r="VSE148" i="3" s="1"/>
  <c r="VRW148" i="3"/>
  <c r="VRU148" i="3"/>
  <c r="VRO148" i="3"/>
  <c r="VRM148" i="3"/>
  <c r="VRE148" i="3"/>
  <c r="VRG148" i="3" s="1"/>
  <c r="VQY148" i="3"/>
  <c r="VQW148" i="3"/>
  <c r="VQQ148" i="3"/>
  <c r="VQO148" i="3"/>
  <c r="VQI148" i="3"/>
  <c r="VQG148" i="3"/>
  <c r="VQA148" i="3"/>
  <c r="VPY148" i="3"/>
  <c r="VPS148" i="3"/>
  <c r="VPQ148" i="3"/>
  <c r="VPI148" i="3"/>
  <c r="VPK148" i="3" s="1"/>
  <c r="VPC148" i="3"/>
  <c r="VPA148" i="3"/>
  <c r="VOU148" i="3"/>
  <c r="VOS148" i="3"/>
  <c r="VOK148" i="3"/>
  <c r="VOM148" i="3" s="1"/>
  <c r="VOC148" i="3"/>
  <c r="VOE148" i="3" s="1"/>
  <c r="VNW148" i="3"/>
  <c r="VNU148" i="3"/>
  <c r="VNM148" i="3"/>
  <c r="VNO148" i="3" s="1"/>
  <c r="VNG148" i="3"/>
  <c r="VNE148" i="3"/>
  <c r="VMY148" i="3"/>
  <c r="VMW148" i="3"/>
  <c r="VMQ148" i="3"/>
  <c r="VMO148" i="3"/>
  <c r="VMI148" i="3"/>
  <c r="VMG148" i="3"/>
  <c r="VMA148" i="3"/>
  <c r="VLY148" i="3"/>
  <c r="VLQ148" i="3"/>
  <c r="VLS148" i="3" s="1"/>
  <c r="VLK148" i="3"/>
  <c r="VLI148" i="3"/>
  <c r="VLC148" i="3"/>
  <c r="VLA148" i="3"/>
  <c r="VKS148" i="3"/>
  <c r="VKU148" i="3" s="1"/>
  <c r="VKM148" i="3"/>
  <c r="VKK148" i="3"/>
  <c r="VKE148" i="3"/>
  <c r="VKC148" i="3"/>
  <c r="VJU148" i="3"/>
  <c r="VJW148" i="3" s="1"/>
  <c r="VJO148" i="3"/>
  <c r="VJM148" i="3"/>
  <c r="VJG148" i="3"/>
  <c r="VJE148" i="3"/>
  <c r="VIW148" i="3"/>
  <c r="VIY148" i="3" s="1"/>
  <c r="VIQ148" i="3"/>
  <c r="VIO148" i="3"/>
  <c r="VII148" i="3"/>
  <c r="VIG148" i="3"/>
  <c r="VHY148" i="3"/>
  <c r="VIA148" i="3" s="1"/>
  <c r="VHS148" i="3"/>
  <c r="VHQ148" i="3"/>
  <c r="VHK148" i="3"/>
  <c r="VHI148" i="3"/>
  <c r="VHA148" i="3"/>
  <c r="VHC148" i="3" s="1"/>
  <c r="VGS148" i="3"/>
  <c r="VGU148" i="3" s="1"/>
  <c r="VGM148" i="3"/>
  <c r="VGK148" i="3"/>
  <c r="VGC148" i="3"/>
  <c r="VGE148" i="3" s="1"/>
  <c r="VFW148" i="3"/>
  <c r="VFU148" i="3"/>
  <c r="VFO148" i="3"/>
  <c r="VFM148" i="3"/>
  <c r="VFG148" i="3"/>
  <c r="VFE148" i="3"/>
  <c r="VEW148" i="3"/>
  <c r="VEY148" i="3" s="1"/>
  <c r="VEQ148" i="3"/>
  <c r="VEO148" i="3"/>
  <c r="VEG148" i="3"/>
  <c r="VEI148" i="3" s="1"/>
  <c r="VEA148" i="3"/>
  <c r="VDY148" i="3"/>
  <c r="VDS148" i="3"/>
  <c r="VDQ148" i="3"/>
  <c r="VDI148" i="3"/>
  <c r="VDK148" i="3" s="1"/>
  <c r="VDA148" i="3"/>
  <c r="VDC148" i="3" s="1"/>
  <c r="VCU148" i="3"/>
  <c r="VCS148" i="3"/>
  <c r="VCK148" i="3"/>
  <c r="VCM148" i="3" s="1"/>
  <c r="VCE148" i="3"/>
  <c r="VCC148" i="3"/>
  <c r="VBW148" i="3"/>
  <c r="VBU148" i="3"/>
  <c r="VBM148" i="3"/>
  <c r="VBO148" i="3" s="1"/>
  <c r="VBG148" i="3"/>
  <c r="VBE148" i="3"/>
  <c r="VAY148" i="3"/>
  <c r="VAW148" i="3"/>
  <c r="VAO148" i="3"/>
  <c r="VAQ148" i="3" s="1"/>
  <c r="VAI148" i="3"/>
  <c r="VAG148" i="3"/>
  <c r="VAA148" i="3"/>
  <c r="UZY148" i="3"/>
  <c r="UZS148" i="3"/>
  <c r="UZQ148" i="3"/>
  <c r="UZI148" i="3"/>
  <c r="UZK148" i="3" s="1"/>
  <c r="UZC148" i="3"/>
  <c r="UZA148" i="3"/>
  <c r="UYS148" i="3"/>
  <c r="UYU148" i="3" s="1"/>
  <c r="UYM148" i="3"/>
  <c r="UYK148" i="3"/>
  <c r="UYE148" i="3"/>
  <c r="UYC148" i="3"/>
  <c r="UXW148" i="3"/>
  <c r="UXU148" i="3"/>
  <c r="UXM148" i="3"/>
  <c r="UXO148" i="3" s="1"/>
  <c r="UXG148" i="3"/>
  <c r="UXE148" i="3"/>
  <c r="UWW148" i="3"/>
  <c r="UWY148" i="3" s="1"/>
  <c r="UWQ148" i="3"/>
  <c r="UWO148" i="3"/>
  <c r="UWI148" i="3"/>
  <c r="UWG148" i="3"/>
  <c r="UVY148" i="3"/>
  <c r="UWA148" i="3" s="1"/>
  <c r="UVS148" i="3"/>
  <c r="UVQ148" i="3"/>
  <c r="UVK148" i="3"/>
  <c r="UVI148" i="3"/>
  <c r="UVA148" i="3"/>
  <c r="UVC148" i="3" s="1"/>
  <c r="UUU148" i="3"/>
  <c r="UUS148" i="3"/>
  <c r="UUM148" i="3"/>
  <c r="UUK148" i="3"/>
  <c r="UUE148" i="3"/>
  <c r="UUC148" i="3"/>
  <c r="UTU148" i="3"/>
  <c r="UTW148" i="3" s="1"/>
  <c r="UTO148" i="3"/>
  <c r="UTM148" i="3"/>
  <c r="UTE148" i="3"/>
  <c r="UTG148" i="3" s="1"/>
  <c r="USY148" i="3"/>
  <c r="USW148" i="3"/>
  <c r="USQ148" i="3"/>
  <c r="USO148" i="3"/>
  <c r="USG148" i="3"/>
  <c r="USI148" i="3" s="1"/>
  <c r="URY148" i="3"/>
  <c r="USA148" i="3" s="1"/>
  <c r="URS148" i="3"/>
  <c r="URQ148" i="3"/>
  <c r="URI148" i="3"/>
  <c r="URK148" i="3" s="1"/>
  <c r="URC148" i="3"/>
  <c r="URA148" i="3"/>
  <c r="UQU148" i="3"/>
  <c r="UQS148" i="3"/>
  <c r="UQM148" i="3"/>
  <c r="UQK148" i="3"/>
  <c r="UQE148" i="3"/>
  <c r="UQC148" i="3"/>
  <c r="UPW148" i="3"/>
  <c r="UPU148" i="3"/>
  <c r="UPM148" i="3"/>
  <c r="UPO148" i="3" s="1"/>
  <c r="UPG148" i="3"/>
  <c r="UPE148" i="3"/>
  <c r="UOY148" i="3"/>
  <c r="UOW148" i="3"/>
  <c r="UOO148" i="3"/>
  <c r="UOQ148" i="3" s="1"/>
  <c r="UOG148" i="3"/>
  <c r="UOI148" i="3" s="1"/>
  <c r="UOA148" i="3"/>
  <c r="UNY148" i="3"/>
  <c r="UNQ148" i="3"/>
  <c r="UNS148" i="3" s="1"/>
  <c r="UNK148" i="3"/>
  <c r="UNI148" i="3"/>
  <c r="UNC148" i="3"/>
  <c r="UNA148" i="3"/>
  <c r="UMS148" i="3"/>
  <c r="UMU148" i="3" s="1"/>
  <c r="UMK148" i="3"/>
  <c r="UMM148" i="3" s="1"/>
  <c r="UME148" i="3"/>
  <c r="UMC148" i="3"/>
  <c r="ULU148" i="3"/>
  <c r="ULW148" i="3" s="1"/>
  <c r="ULO148" i="3"/>
  <c r="ULM148" i="3"/>
  <c r="ULG148" i="3"/>
  <c r="ULE148" i="3"/>
  <c r="UKW148" i="3"/>
  <c r="UKY148" i="3" s="1"/>
  <c r="UKQ148" i="3"/>
  <c r="UKO148" i="3"/>
  <c r="UKI148" i="3"/>
  <c r="UKG148" i="3"/>
  <c r="UJY148" i="3"/>
  <c r="UKA148" i="3" s="1"/>
  <c r="UJS148" i="3"/>
  <c r="UJQ148" i="3"/>
  <c r="UJK148" i="3"/>
  <c r="UJI148" i="3"/>
  <c r="UJC148" i="3"/>
  <c r="UJA148" i="3"/>
  <c r="UIS148" i="3"/>
  <c r="UIU148" i="3" s="1"/>
  <c r="UIM148" i="3"/>
  <c r="UIK148" i="3"/>
  <c r="UIC148" i="3"/>
  <c r="UIE148" i="3" s="1"/>
  <c r="UHW148" i="3"/>
  <c r="UHU148" i="3"/>
  <c r="UHO148" i="3"/>
  <c r="UHM148" i="3"/>
  <c r="UHE148" i="3"/>
  <c r="UHG148" i="3" s="1"/>
  <c r="UGW148" i="3"/>
  <c r="UGY148" i="3" s="1"/>
  <c r="UGQ148" i="3"/>
  <c r="UGO148" i="3"/>
  <c r="UGG148" i="3"/>
  <c r="UGI148" i="3" s="1"/>
  <c r="UGA148" i="3"/>
  <c r="UFY148" i="3"/>
  <c r="UFS148" i="3"/>
  <c r="UFQ148" i="3"/>
  <c r="UFI148" i="3"/>
  <c r="UFK148" i="3" s="1"/>
  <c r="UFC148" i="3"/>
  <c r="UFA148" i="3"/>
  <c r="UEU148" i="3"/>
  <c r="UES148" i="3"/>
  <c r="UEK148" i="3"/>
  <c r="UEM148" i="3" s="1"/>
  <c r="UEE148" i="3"/>
  <c r="UEC148" i="3"/>
  <c r="UDW148" i="3"/>
  <c r="UDU148" i="3"/>
  <c r="UDO148" i="3"/>
  <c r="UDM148" i="3"/>
  <c r="UDE148" i="3"/>
  <c r="UDG148" i="3" s="1"/>
  <c r="UCY148" i="3"/>
  <c r="UCW148" i="3"/>
  <c r="UCO148" i="3"/>
  <c r="UCQ148" i="3" s="1"/>
  <c r="UCI148" i="3"/>
  <c r="UCG148" i="3"/>
  <c r="UCA148" i="3"/>
  <c r="UBY148" i="3"/>
  <c r="UBS148" i="3"/>
  <c r="UBQ148" i="3"/>
  <c r="UBI148" i="3"/>
  <c r="UBK148" i="3" s="1"/>
  <c r="UBC148" i="3"/>
  <c r="UBA148" i="3"/>
  <c r="UAS148" i="3"/>
  <c r="UAU148" i="3" s="1"/>
  <c r="UAM148" i="3"/>
  <c r="UAK148" i="3"/>
  <c r="UAE148" i="3"/>
  <c r="UAC148" i="3"/>
  <c r="TZU148" i="3"/>
  <c r="TZW148" i="3" s="1"/>
  <c r="TZO148" i="3"/>
  <c r="TZM148" i="3"/>
  <c r="TZG148" i="3"/>
  <c r="TZE148" i="3"/>
  <c r="TYW148" i="3"/>
  <c r="TYY148" i="3" s="1"/>
  <c r="TYQ148" i="3"/>
  <c r="TYO148" i="3"/>
  <c r="TYI148" i="3"/>
  <c r="TYG148" i="3"/>
  <c r="TYA148" i="3"/>
  <c r="TXY148" i="3"/>
  <c r="TXQ148" i="3"/>
  <c r="TXS148" i="3" s="1"/>
  <c r="TXK148" i="3"/>
  <c r="TXI148" i="3"/>
  <c r="TXA148" i="3"/>
  <c r="TXC148" i="3" s="1"/>
  <c r="TWU148" i="3"/>
  <c r="TWS148" i="3"/>
  <c r="TWM148" i="3"/>
  <c r="TWK148" i="3"/>
  <c r="TWC148" i="3"/>
  <c r="TWE148" i="3" s="1"/>
  <c r="TVU148" i="3"/>
  <c r="TVW148" i="3" s="1"/>
  <c r="TVO148" i="3"/>
  <c r="TVM148" i="3"/>
  <c r="TVE148" i="3"/>
  <c r="TVG148" i="3" s="1"/>
  <c r="TUY148" i="3"/>
  <c r="TUW148" i="3"/>
  <c r="TUQ148" i="3"/>
  <c r="TUO148" i="3"/>
  <c r="TUG148" i="3"/>
  <c r="TUI148" i="3" s="1"/>
  <c r="TUA148" i="3"/>
  <c r="TTY148" i="3"/>
  <c r="TTS148" i="3"/>
  <c r="TTQ148" i="3"/>
  <c r="TTI148" i="3"/>
  <c r="TTK148" i="3" s="1"/>
  <c r="TTC148" i="3"/>
  <c r="TTA148" i="3"/>
  <c r="TSU148" i="3"/>
  <c r="TSS148" i="3"/>
  <c r="TSK148" i="3"/>
  <c r="TSM148" i="3" s="1"/>
  <c r="TSE148" i="3"/>
  <c r="TSC148" i="3"/>
  <c r="TRW148" i="3"/>
  <c r="TRU148" i="3"/>
  <c r="TRM148" i="3"/>
  <c r="TRO148" i="3" s="1"/>
  <c r="TRG148" i="3"/>
  <c r="TRE148" i="3"/>
  <c r="TQY148" i="3"/>
  <c r="TQW148" i="3"/>
  <c r="TQO148" i="3"/>
  <c r="TQQ148" i="3" s="1"/>
  <c r="TQG148" i="3"/>
  <c r="TQI148" i="3" s="1"/>
  <c r="TQA148" i="3"/>
  <c r="TPY148" i="3"/>
  <c r="TPQ148" i="3"/>
  <c r="TPS148" i="3" s="1"/>
  <c r="TPK148" i="3"/>
  <c r="TPI148" i="3"/>
  <c r="TPC148" i="3"/>
  <c r="TPA148" i="3"/>
  <c r="TOS148" i="3"/>
  <c r="TOU148" i="3" s="1"/>
  <c r="TOK148" i="3"/>
  <c r="TOM148" i="3" s="1"/>
  <c r="TOE148" i="3"/>
  <c r="TOC148" i="3"/>
  <c r="TNU148" i="3"/>
  <c r="TNW148" i="3" s="1"/>
  <c r="TNO148" i="3"/>
  <c r="TNM148" i="3"/>
  <c r="TNG148" i="3"/>
  <c r="TNE148" i="3"/>
  <c r="TMY148" i="3"/>
  <c r="TMW148" i="3"/>
  <c r="TMO148" i="3"/>
  <c r="TMQ148" i="3" s="1"/>
  <c r="TMI148" i="3"/>
  <c r="TMG148" i="3"/>
  <c r="TLY148" i="3"/>
  <c r="TMA148" i="3" s="1"/>
  <c r="TLS148" i="3"/>
  <c r="TLQ148" i="3"/>
  <c r="TLK148" i="3"/>
  <c r="TLI148" i="3"/>
  <c r="TLA148" i="3"/>
  <c r="TLC148" i="3" s="1"/>
  <c r="TKS148" i="3"/>
  <c r="TKU148" i="3" s="1"/>
  <c r="TKM148" i="3"/>
  <c r="TKK148" i="3"/>
  <c r="TKC148" i="3"/>
  <c r="TKE148" i="3" s="1"/>
  <c r="TJW148" i="3"/>
  <c r="TJU148" i="3"/>
  <c r="TJO148" i="3"/>
  <c r="TJM148" i="3"/>
  <c r="TJE148" i="3"/>
  <c r="TJG148" i="3" s="1"/>
  <c r="TIY148" i="3"/>
  <c r="TIW148" i="3"/>
  <c r="TIQ148" i="3"/>
  <c r="TIO148" i="3"/>
  <c r="TIG148" i="3"/>
  <c r="TII148" i="3" s="1"/>
  <c r="TIA148" i="3"/>
  <c r="THY148" i="3"/>
  <c r="THS148" i="3"/>
  <c r="THQ148" i="3"/>
  <c r="THK148" i="3"/>
  <c r="THI148" i="3"/>
  <c r="THA148" i="3"/>
  <c r="THC148" i="3" s="1"/>
  <c r="TGU148" i="3"/>
  <c r="TGS148" i="3"/>
  <c r="TGK148" i="3"/>
  <c r="TGM148" i="3" s="1"/>
  <c r="TGE148" i="3"/>
  <c r="TGC148" i="3"/>
  <c r="TFW148" i="3"/>
  <c r="TFU148" i="3"/>
  <c r="TFM148" i="3"/>
  <c r="TFO148" i="3" s="1"/>
  <c r="TFE148" i="3"/>
  <c r="TFG148" i="3" s="1"/>
  <c r="TEY148" i="3"/>
  <c r="TEW148" i="3"/>
  <c r="TEO148" i="3"/>
  <c r="TEQ148" i="3" s="1"/>
  <c r="TEI148" i="3"/>
  <c r="TEG148" i="3"/>
  <c r="TEA148" i="3"/>
  <c r="TDY148" i="3"/>
  <c r="TDQ148" i="3"/>
  <c r="TDS148" i="3" s="1"/>
  <c r="TDK148" i="3"/>
  <c r="TDI148" i="3"/>
  <c r="TDC148" i="3"/>
  <c r="TDA148" i="3"/>
  <c r="TCS148" i="3"/>
  <c r="TCU148" i="3" s="1"/>
  <c r="TCM148" i="3"/>
  <c r="TCK148" i="3"/>
  <c r="TCE148" i="3"/>
  <c r="TCC148" i="3"/>
  <c r="TBW148" i="3"/>
  <c r="TBU148" i="3"/>
  <c r="TBO148" i="3"/>
  <c r="TBM148" i="3"/>
  <c r="TBG148" i="3"/>
  <c r="TBE148" i="3"/>
  <c r="TAW148" i="3"/>
  <c r="TAY148" i="3" s="1"/>
  <c r="TAQ148" i="3"/>
  <c r="TAO148" i="3"/>
  <c r="TAI148" i="3"/>
  <c r="TAG148" i="3"/>
  <c r="TAA148" i="3"/>
  <c r="SZY148" i="3"/>
  <c r="SZQ148" i="3"/>
  <c r="SZS148" i="3" s="1"/>
  <c r="SZK148" i="3"/>
  <c r="SZI148" i="3"/>
  <c r="SZA148" i="3"/>
  <c r="SZC148" i="3" s="1"/>
  <c r="SYU148" i="3"/>
  <c r="SYS148" i="3"/>
  <c r="SYM148" i="3"/>
  <c r="SYK148" i="3"/>
  <c r="SYC148" i="3"/>
  <c r="SYE148" i="3" s="1"/>
  <c r="SXW148" i="3"/>
  <c r="SXU148" i="3"/>
  <c r="SXO148" i="3"/>
  <c r="SXM148" i="3"/>
  <c r="SXE148" i="3"/>
  <c r="SXG148" i="3" s="1"/>
  <c r="SWY148" i="3"/>
  <c r="SWW148" i="3"/>
  <c r="SWQ148" i="3"/>
  <c r="SWO148" i="3"/>
  <c r="SWG148" i="3"/>
  <c r="SWI148" i="3" s="1"/>
  <c r="SWA148" i="3"/>
  <c r="SVY148" i="3"/>
  <c r="SVS148" i="3"/>
  <c r="SVQ148" i="3"/>
  <c r="SVI148" i="3"/>
  <c r="SVK148" i="3" s="1"/>
  <c r="SVC148" i="3"/>
  <c r="SVA148" i="3"/>
  <c r="SUU148" i="3"/>
  <c r="SUS148" i="3"/>
  <c r="SUK148" i="3"/>
  <c r="SUM148" i="3" s="1"/>
  <c r="SUC148" i="3"/>
  <c r="SUE148" i="3" s="1"/>
  <c r="STW148" i="3"/>
  <c r="STU148" i="3"/>
  <c r="STM148" i="3"/>
  <c r="STO148" i="3" s="1"/>
  <c r="STG148" i="3"/>
  <c r="STE148" i="3"/>
  <c r="SSY148" i="3"/>
  <c r="SSW148" i="3"/>
  <c r="SSO148" i="3"/>
  <c r="SSQ148" i="3" s="1"/>
  <c r="SSI148" i="3"/>
  <c r="SSG148" i="3"/>
  <c r="SSA148" i="3"/>
  <c r="SRY148" i="3"/>
  <c r="SRQ148" i="3"/>
  <c r="SRS148" i="3" s="1"/>
  <c r="SRK148" i="3"/>
  <c r="SRI148" i="3"/>
  <c r="SRC148" i="3"/>
  <c r="SRA148" i="3"/>
  <c r="SQU148" i="3"/>
  <c r="SQS148" i="3"/>
  <c r="SQK148" i="3"/>
  <c r="SQM148" i="3" s="1"/>
  <c r="SQE148" i="3"/>
  <c r="SQC148" i="3"/>
  <c r="SPU148" i="3"/>
  <c r="SPW148" i="3" s="1"/>
  <c r="SPO148" i="3"/>
  <c r="SPM148" i="3"/>
  <c r="SPG148" i="3"/>
  <c r="SPE148" i="3"/>
  <c r="SOW148" i="3"/>
  <c r="SOY148" i="3" s="1"/>
  <c r="SOO148" i="3"/>
  <c r="SOQ148" i="3" s="1"/>
  <c r="SOI148" i="3"/>
  <c r="SOG148" i="3"/>
  <c r="SNY148" i="3"/>
  <c r="SOA148" i="3" s="1"/>
  <c r="SNS148" i="3"/>
  <c r="SNQ148" i="3"/>
  <c r="SNK148" i="3"/>
  <c r="SNI148" i="3"/>
  <c r="SNA148" i="3"/>
  <c r="SNC148" i="3" s="1"/>
  <c r="SMU148" i="3"/>
  <c r="SMS148" i="3"/>
  <c r="SMM148" i="3"/>
  <c r="SMK148" i="3"/>
  <c r="SMC148" i="3"/>
  <c r="SME148" i="3" s="1"/>
  <c r="SLW148" i="3"/>
  <c r="SLU148" i="3"/>
  <c r="SLO148" i="3"/>
  <c r="SLM148" i="3"/>
  <c r="SLG148" i="3"/>
  <c r="SLE148" i="3"/>
  <c r="SKW148" i="3"/>
  <c r="SKY148" i="3" s="1"/>
  <c r="SKQ148" i="3"/>
  <c r="SKO148" i="3"/>
  <c r="SKG148" i="3"/>
  <c r="SKI148" i="3" s="1"/>
  <c r="SKA148" i="3"/>
  <c r="SJY148" i="3"/>
  <c r="SJS148" i="3"/>
  <c r="SJQ148" i="3"/>
  <c r="SJK148" i="3"/>
  <c r="SJI148" i="3"/>
  <c r="SJA148" i="3"/>
  <c r="SJC148" i="3" s="1"/>
  <c r="SIU148" i="3"/>
  <c r="SIS148" i="3"/>
  <c r="SIK148" i="3"/>
  <c r="SIM148" i="3" s="1"/>
  <c r="SIE148" i="3"/>
  <c r="SIC148" i="3"/>
  <c r="SHW148" i="3"/>
  <c r="SHU148" i="3"/>
  <c r="SHM148" i="3"/>
  <c r="SHO148" i="3" s="1"/>
  <c r="SHG148" i="3"/>
  <c r="SHE148" i="3"/>
  <c r="SGY148" i="3"/>
  <c r="SGW148" i="3"/>
  <c r="SGO148" i="3"/>
  <c r="SGQ148" i="3" s="1"/>
  <c r="SGI148" i="3"/>
  <c r="SGG148" i="3"/>
  <c r="SGA148" i="3"/>
  <c r="SFY148" i="3"/>
  <c r="SFS148" i="3"/>
  <c r="SFQ148" i="3"/>
  <c r="SFI148" i="3"/>
  <c r="SFK148" i="3" s="1"/>
  <c r="SFC148" i="3"/>
  <c r="SFA148" i="3"/>
  <c r="SES148" i="3"/>
  <c r="SEU148" i="3" s="1"/>
  <c r="SEM148" i="3"/>
  <c r="SEK148" i="3"/>
  <c r="SEE148" i="3"/>
  <c r="SEC148" i="3"/>
  <c r="SDU148" i="3"/>
  <c r="SDW148" i="3" s="1"/>
  <c r="SDM148" i="3"/>
  <c r="SDO148" i="3" s="1"/>
  <c r="SDG148" i="3"/>
  <c r="SDE148" i="3"/>
  <c r="SCW148" i="3"/>
  <c r="SCY148" i="3" s="1"/>
  <c r="SCQ148" i="3"/>
  <c r="SCO148" i="3"/>
  <c r="SCI148" i="3"/>
  <c r="SCG148" i="3"/>
  <c r="SCA148" i="3"/>
  <c r="SBY148" i="3"/>
  <c r="SBS148" i="3"/>
  <c r="SBQ148" i="3"/>
  <c r="SBK148" i="3"/>
  <c r="SBI148" i="3"/>
  <c r="SBA148" i="3"/>
  <c r="SBC148" i="3" s="1"/>
  <c r="SAU148" i="3"/>
  <c r="SAS148" i="3"/>
  <c r="SAM148" i="3"/>
  <c r="SAK148" i="3"/>
  <c r="SAC148" i="3"/>
  <c r="SAE148" i="3" s="1"/>
  <c r="RZU148" i="3"/>
  <c r="RZW148" i="3" s="1"/>
  <c r="RZO148" i="3"/>
  <c r="RZM148" i="3"/>
  <c r="RZE148" i="3"/>
  <c r="RZG148" i="3" s="1"/>
  <c r="RYY148" i="3"/>
  <c r="RYW148" i="3"/>
  <c r="RYQ148" i="3"/>
  <c r="RYO148" i="3"/>
  <c r="RYG148" i="3"/>
  <c r="RYI148" i="3" s="1"/>
  <c r="RXY148" i="3"/>
  <c r="RYA148" i="3" s="1"/>
  <c r="RXS148" i="3"/>
  <c r="RXQ148" i="3"/>
  <c r="RXI148" i="3"/>
  <c r="RXK148" i="3" s="1"/>
  <c r="RXC148" i="3"/>
  <c r="RXA148" i="3"/>
  <c r="RWU148" i="3"/>
  <c r="RWS148" i="3"/>
  <c r="RWK148" i="3"/>
  <c r="RWM148" i="3" s="1"/>
  <c r="RWE148" i="3"/>
  <c r="RWC148" i="3"/>
  <c r="RVW148" i="3"/>
  <c r="RVU148" i="3"/>
  <c r="RVM148" i="3"/>
  <c r="RVO148" i="3" s="1"/>
  <c r="RVG148" i="3"/>
  <c r="RVE148" i="3"/>
  <c r="RUY148" i="3"/>
  <c r="RUW148" i="3"/>
  <c r="RUQ148" i="3"/>
  <c r="RUO148" i="3"/>
  <c r="RUG148" i="3"/>
  <c r="RUI148" i="3" s="1"/>
  <c r="RUA148" i="3"/>
  <c r="RTY148" i="3"/>
  <c r="RTQ148" i="3"/>
  <c r="RTS148" i="3" s="1"/>
  <c r="RTK148" i="3"/>
  <c r="RTI148" i="3"/>
  <c r="RTC148" i="3"/>
  <c r="RTA148" i="3"/>
  <c r="RSS148" i="3"/>
  <c r="RSU148" i="3" s="1"/>
  <c r="RSK148" i="3"/>
  <c r="RSM148" i="3" s="1"/>
  <c r="RSE148" i="3"/>
  <c r="RSC148" i="3"/>
  <c r="RRU148" i="3"/>
  <c r="RRW148" i="3" s="1"/>
  <c r="RRO148" i="3"/>
  <c r="RRM148" i="3"/>
  <c r="RRG148" i="3"/>
  <c r="RRE148" i="3"/>
  <c r="RQW148" i="3"/>
  <c r="RQY148" i="3" s="1"/>
  <c r="RQQ148" i="3"/>
  <c r="RQO148" i="3"/>
  <c r="RQI148" i="3"/>
  <c r="RQG148" i="3"/>
  <c r="RPY148" i="3"/>
  <c r="RQA148" i="3" s="1"/>
  <c r="RPS148" i="3"/>
  <c r="RPQ148" i="3"/>
  <c r="RPK148" i="3"/>
  <c r="RPI148" i="3"/>
  <c r="RPC148" i="3"/>
  <c r="RPA148" i="3"/>
  <c r="ROS148" i="3"/>
  <c r="ROU148" i="3" s="1"/>
  <c r="ROM148" i="3"/>
  <c r="ROK148" i="3"/>
  <c r="ROC148" i="3"/>
  <c r="ROE148" i="3" s="1"/>
  <c r="RNW148" i="3"/>
  <c r="RNU148" i="3"/>
  <c r="RNO148" i="3"/>
  <c r="RNM148" i="3"/>
  <c r="RNG148" i="3"/>
  <c r="RNE148" i="3"/>
  <c r="RMW148" i="3"/>
  <c r="RMY148" i="3" s="1"/>
  <c r="RMQ148" i="3"/>
  <c r="RMO148" i="3"/>
  <c r="RMG148" i="3"/>
  <c r="RMI148" i="3" s="1"/>
  <c r="RMA148" i="3"/>
  <c r="RLY148" i="3"/>
  <c r="RLS148" i="3"/>
  <c r="RLQ148" i="3"/>
  <c r="RLI148" i="3"/>
  <c r="RLK148" i="3" s="1"/>
  <c r="RLC148" i="3"/>
  <c r="RLA148" i="3"/>
  <c r="RKU148" i="3"/>
  <c r="RKS148" i="3"/>
  <c r="RKK148" i="3"/>
  <c r="RKM148" i="3" s="1"/>
  <c r="RKE148" i="3"/>
  <c r="RKC148" i="3"/>
  <c r="RJW148" i="3"/>
  <c r="RJU148" i="3"/>
  <c r="RJO148" i="3"/>
  <c r="RJM148" i="3"/>
  <c r="RJE148" i="3"/>
  <c r="RJG148" i="3" s="1"/>
  <c r="RIY148" i="3"/>
  <c r="RIW148" i="3"/>
  <c r="RIO148" i="3"/>
  <c r="RIQ148" i="3" s="1"/>
  <c r="RII148" i="3"/>
  <c r="RIG148" i="3"/>
  <c r="RIA148" i="3"/>
  <c r="RHY148" i="3"/>
  <c r="RHQ148" i="3"/>
  <c r="RHS148" i="3" s="1"/>
  <c r="RHI148" i="3"/>
  <c r="RHK148" i="3" s="1"/>
  <c r="RHC148" i="3"/>
  <c r="RHA148" i="3"/>
  <c r="RGS148" i="3"/>
  <c r="RGU148" i="3" s="1"/>
  <c r="RGM148" i="3"/>
  <c r="RGK148" i="3"/>
  <c r="RGE148" i="3"/>
  <c r="RGC148" i="3"/>
  <c r="RFU148" i="3"/>
  <c r="RFW148" i="3" s="1"/>
  <c r="RFO148" i="3"/>
  <c r="RFM148" i="3"/>
  <c r="RFG148" i="3"/>
  <c r="RFE148" i="3"/>
  <c r="REW148" i="3"/>
  <c r="REY148" i="3" s="1"/>
  <c r="REQ148" i="3"/>
  <c r="REO148" i="3"/>
  <c r="REI148" i="3"/>
  <c r="REG148" i="3"/>
  <c r="RDY148" i="3"/>
  <c r="REA148" i="3" s="1"/>
  <c r="RDS148" i="3"/>
  <c r="RDQ148" i="3"/>
  <c r="RDK148" i="3"/>
  <c r="RDI148" i="3"/>
  <c r="RDA148" i="3"/>
  <c r="RDC148" i="3" s="1"/>
  <c r="RCU148" i="3"/>
  <c r="RCS148" i="3"/>
  <c r="RCM148" i="3"/>
  <c r="RCK148" i="3"/>
  <c r="RCC148" i="3"/>
  <c r="RCE148" i="3" s="1"/>
  <c r="RBU148" i="3"/>
  <c r="RBW148" i="3" s="1"/>
  <c r="RBO148" i="3"/>
  <c r="RBM148" i="3"/>
  <c r="RBE148" i="3"/>
  <c r="RBG148" i="3" s="1"/>
  <c r="RAY148" i="3"/>
  <c r="RAW148" i="3"/>
  <c r="RAQ148" i="3"/>
  <c r="RAO148" i="3"/>
  <c r="RAG148" i="3"/>
  <c r="RAI148" i="3" s="1"/>
  <c r="QZY148" i="3"/>
  <c r="RAA148" i="3" s="1"/>
  <c r="QZS148" i="3"/>
  <c r="QZQ148" i="3"/>
  <c r="QZI148" i="3"/>
  <c r="QZK148" i="3" s="1"/>
  <c r="QZC148" i="3"/>
  <c r="QZA148" i="3"/>
  <c r="QYU148" i="3"/>
  <c r="QYS148" i="3"/>
  <c r="QYM148" i="3"/>
  <c r="QYK148" i="3"/>
  <c r="QYC148" i="3"/>
  <c r="QYE148" i="3" s="1"/>
  <c r="QXW148" i="3"/>
  <c r="QXU148" i="3"/>
  <c r="QXM148" i="3"/>
  <c r="QXO148" i="3" s="1"/>
  <c r="QXG148" i="3"/>
  <c r="QXE148" i="3"/>
  <c r="QWY148" i="3"/>
  <c r="QWW148" i="3"/>
  <c r="QWO148" i="3"/>
  <c r="QWQ148" i="3" s="1"/>
  <c r="QWG148" i="3"/>
  <c r="QWI148" i="3" s="1"/>
  <c r="QWA148" i="3"/>
  <c r="QVY148" i="3"/>
  <c r="QVQ148" i="3"/>
  <c r="QVS148" i="3" s="1"/>
  <c r="QVK148" i="3"/>
  <c r="QVI148" i="3"/>
  <c r="QVC148" i="3"/>
  <c r="QVA148" i="3"/>
  <c r="QUS148" i="3"/>
  <c r="QUU148" i="3" s="1"/>
  <c r="QUM148" i="3"/>
  <c r="QUK148" i="3"/>
  <c r="QUE148" i="3"/>
  <c r="QUC148" i="3"/>
  <c r="QTU148" i="3"/>
  <c r="QTW148" i="3" s="1"/>
  <c r="QTO148" i="3"/>
  <c r="QTM148" i="3"/>
  <c r="QTG148" i="3"/>
  <c r="QTE148" i="3"/>
  <c r="QSY148" i="3"/>
  <c r="QSW148" i="3"/>
  <c r="QSO148" i="3"/>
  <c r="QSQ148" i="3" s="1"/>
  <c r="QSI148" i="3"/>
  <c r="QSG148" i="3"/>
  <c r="QRY148" i="3"/>
  <c r="QSA148" i="3" s="1"/>
  <c r="QRS148" i="3"/>
  <c r="QRQ148" i="3"/>
  <c r="QRK148" i="3"/>
  <c r="QRI148" i="3"/>
  <c r="QRC148" i="3"/>
  <c r="QRA148" i="3"/>
  <c r="QQS148" i="3"/>
  <c r="QQU148" i="3" s="1"/>
  <c r="QQM148" i="3"/>
  <c r="QQK148" i="3"/>
  <c r="QQC148" i="3"/>
  <c r="QQE148" i="3" s="1"/>
  <c r="QPW148" i="3"/>
  <c r="QPU148" i="3"/>
  <c r="QPO148" i="3"/>
  <c r="QPM148" i="3"/>
  <c r="QPE148" i="3"/>
  <c r="QPG148" i="3" s="1"/>
  <c r="QOY148" i="3"/>
  <c r="QOW148" i="3"/>
  <c r="QOQ148" i="3"/>
  <c r="QOO148" i="3"/>
  <c r="QOG148" i="3"/>
  <c r="QOI148" i="3" s="1"/>
  <c r="QOA148" i="3"/>
  <c r="QNY148" i="3"/>
  <c r="QNS148" i="3"/>
  <c r="QNQ148" i="3"/>
  <c r="QNI148" i="3"/>
  <c r="QNK148" i="3" s="1"/>
  <c r="QNC148" i="3"/>
  <c r="QNA148" i="3"/>
  <c r="QMU148" i="3"/>
  <c r="QMS148" i="3"/>
  <c r="QMK148" i="3"/>
  <c r="QMM148" i="3" s="1"/>
  <c r="QME148" i="3"/>
  <c r="QMC148" i="3"/>
  <c r="QLW148" i="3"/>
  <c r="QLU148" i="3"/>
  <c r="QLO148" i="3"/>
  <c r="QLM148" i="3"/>
  <c r="QLE148" i="3"/>
  <c r="QLG148" i="3" s="1"/>
  <c r="QKY148" i="3"/>
  <c r="QKW148" i="3"/>
  <c r="QKO148" i="3"/>
  <c r="QKQ148" i="3" s="1"/>
  <c r="QKI148" i="3"/>
  <c r="QKG148" i="3"/>
  <c r="QKA148" i="3"/>
  <c r="QJY148" i="3"/>
  <c r="QJQ148" i="3"/>
  <c r="QJS148" i="3" s="1"/>
  <c r="QJI148" i="3"/>
  <c r="QJK148" i="3" s="1"/>
  <c r="QJC148" i="3"/>
  <c r="QJA148" i="3"/>
  <c r="QIS148" i="3"/>
  <c r="QIU148" i="3" s="1"/>
  <c r="QIM148" i="3"/>
  <c r="QIK148" i="3"/>
  <c r="QIE148" i="3"/>
  <c r="QIC148" i="3"/>
  <c r="QHU148" i="3"/>
  <c r="QHW148" i="3" s="1"/>
  <c r="QHO148" i="3"/>
  <c r="QHM148" i="3"/>
  <c r="QHG148" i="3"/>
  <c r="QHE148" i="3"/>
  <c r="QGW148" i="3"/>
  <c r="QGY148" i="3" s="1"/>
  <c r="QGQ148" i="3"/>
  <c r="QGO148" i="3"/>
  <c r="QGI148" i="3"/>
  <c r="QGG148" i="3"/>
  <c r="QFY148" i="3"/>
  <c r="QGA148" i="3" s="1"/>
  <c r="QFQ148" i="3"/>
  <c r="QFS148" i="3" s="1"/>
  <c r="QFK148" i="3"/>
  <c r="QFI148" i="3"/>
  <c r="QFA148" i="3"/>
  <c r="QFC148" i="3" s="1"/>
  <c r="QEU148" i="3"/>
  <c r="QES148" i="3"/>
  <c r="QEM148" i="3"/>
  <c r="QEK148" i="3"/>
  <c r="QEC148" i="3"/>
  <c r="QEE148" i="3" s="1"/>
  <c r="QDU148" i="3"/>
  <c r="QDW148" i="3" s="1"/>
  <c r="QDO148" i="3"/>
  <c r="QDM148" i="3"/>
  <c r="QDE148" i="3"/>
  <c r="QDG148" i="3" s="1"/>
  <c r="QCY148" i="3"/>
  <c r="QCW148" i="3"/>
  <c r="QCQ148" i="3"/>
  <c r="QCO148" i="3"/>
  <c r="QCI148" i="3"/>
  <c r="QCG148" i="3"/>
  <c r="QBY148" i="3"/>
  <c r="QCA148" i="3" s="1"/>
  <c r="QBS148" i="3"/>
  <c r="QBQ148" i="3"/>
  <c r="QBI148" i="3"/>
  <c r="QBK148" i="3" s="1"/>
  <c r="QBC148" i="3"/>
  <c r="QBA148" i="3"/>
  <c r="QAU148" i="3"/>
  <c r="QAS148" i="3"/>
  <c r="QAK148" i="3"/>
  <c r="QAM148" i="3" s="1"/>
  <c r="QAC148" i="3"/>
  <c r="QAE148" i="3" s="1"/>
  <c r="PZW148" i="3"/>
  <c r="PZU148" i="3"/>
  <c r="PZM148" i="3"/>
  <c r="PZO148" i="3" s="1"/>
  <c r="PZG148" i="3"/>
  <c r="PZE148" i="3"/>
  <c r="PYY148" i="3"/>
  <c r="PYW148" i="3"/>
  <c r="PYO148" i="3"/>
  <c r="PYQ148" i="3" s="1"/>
  <c r="PYI148" i="3"/>
  <c r="PYG148" i="3"/>
  <c r="PYA148" i="3"/>
  <c r="PXY148" i="3"/>
  <c r="PXQ148" i="3"/>
  <c r="PXS148" i="3" s="1"/>
  <c r="PXK148" i="3"/>
  <c r="PXI148" i="3"/>
  <c r="PXC148" i="3"/>
  <c r="PXA148" i="3"/>
  <c r="PWU148" i="3"/>
  <c r="PWS148" i="3"/>
  <c r="PWK148" i="3"/>
  <c r="PWM148" i="3" s="1"/>
  <c r="PWE148" i="3"/>
  <c r="PWC148" i="3"/>
  <c r="PVU148" i="3"/>
  <c r="PVW148" i="3" s="1"/>
  <c r="PVO148" i="3"/>
  <c r="PVM148" i="3"/>
  <c r="PVG148" i="3"/>
  <c r="PVE148" i="3"/>
  <c r="PUW148" i="3"/>
  <c r="PUY148" i="3" s="1"/>
  <c r="PUO148" i="3"/>
  <c r="PUQ148" i="3" s="1"/>
  <c r="PUI148" i="3"/>
  <c r="PUG148" i="3"/>
  <c r="PTY148" i="3"/>
  <c r="PUA148" i="3" s="1"/>
  <c r="PTS148" i="3"/>
  <c r="PTQ148" i="3"/>
  <c r="PTK148" i="3"/>
  <c r="PTI148" i="3"/>
  <c r="PTA148" i="3"/>
  <c r="PTC148" i="3" s="1"/>
  <c r="PSU148" i="3"/>
  <c r="PSS148" i="3"/>
  <c r="PSM148" i="3"/>
  <c r="PSK148" i="3"/>
  <c r="PSC148" i="3"/>
  <c r="PSE148" i="3" s="1"/>
  <c r="PRW148" i="3"/>
  <c r="PRU148" i="3"/>
  <c r="PRO148" i="3"/>
  <c r="PRM148" i="3"/>
  <c r="PRE148" i="3"/>
  <c r="PRG148" i="3" s="1"/>
  <c r="PQW148" i="3"/>
  <c r="PQY148" i="3" s="1"/>
  <c r="PQQ148" i="3"/>
  <c r="PQO148" i="3"/>
  <c r="PQG148" i="3"/>
  <c r="PQI148" i="3" s="1"/>
  <c r="PPY148" i="3"/>
  <c r="PQA148" i="3" s="1"/>
  <c r="PPS148" i="3"/>
  <c r="PPQ148" i="3"/>
  <c r="PPK148" i="3"/>
  <c r="PPI148" i="3"/>
  <c r="PPA148" i="3"/>
  <c r="PPC148" i="3" s="1"/>
  <c r="POU148" i="3"/>
  <c r="POS148" i="3"/>
  <c r="POK148" i="3"/>
  <c r="POM148" i="3" s="1"/>
  <c r="POE148" i="3"/>
  <c r="POC148" i="3"/>
  <c r="PNW148" i="3"/>
  <c r="PNU148" i="3"/>
  <c r="PNM148" i="3"/>
  <c r="PNO148" i="3" s="1"/>
  <c r="PNG148" i="3"/>
  <c r="PNE148" i="3"/>
  <c r="PMY148" i="3"/>
  <c r="PMW148" i="3"/>
  <c r="PMO148" i="3"/>
  <c r="PMQ148" i="3" s="1"/>
  <c r="PMG148" i="3"/>
  <c r="PMI148" i="3" s="1"/>
  <c r="PMA148" i="3"/>
  <c r="PLY148" i="3"/>
  <c r="PLS148" i="3"/>
  <c r="PLQ148" i="3"/>
  <c r="PLI148" i="3"/>
  <c r="PLK148" i="3" s="1"/>
  <c r="PLC148" i="3"/>
  <c r="PLA148" i="3"/>
  <c r="PKS148" i="3"/>
  <c r="PKU148" i="3" s="1"/>
  <c r="PKK148" i="3"/>
  <c r="PKM148" i="3" s="1"/>
  <c r="PKE148" i="3"/>
  <c r="PKC148" i="3"/>
  <c r="PJU148" i="3"/>
  <c r="PJW148" i="3" s="1"/>
  <c r="PJM148" i="3"/>
  <c r="PJO148" i="3" s="1"/>
  <c r="PJG148" i="3"/>
  <c r="PJE148" i="3"/>
  <c r="PIW148" i="3"/>
  <c r="PIY148" i="3" s="1"/>
  <c r="PIQ148" i="3"/>
  <c r="PIO148" i="3"/>
  <c r="PII148" i="3"/>
  <c r="PIG148" i="3"/>
  <c r="PHY148" i="3"/>
  <c r="PIA148" i="3" s="1"/>
  <c r="PHS148" i="3"/>
  <c r="PHQ148" i="3"/>
  <c r="PHK148" i="3"/>
  <c r="PHI148" i="3"/>
  <c r="PHA148" i="3"/>
  <c r="PHC148" i="3" s="1"/>
  <c r="PGS148" i="3"/>
  <c r="PGU148" i="3" s="1"/>
  <c r="PGM148" i="3"/>
  <c r="PGK148" i="3"/>
  <c r="PGE148" i="3"/>
  <c r="PGC148" i="3"/>
  <c r="PFU148" i="3"/>
  <c r="PFW148" i="3" s="1"/>
  <c r="PFO148" i="3"/>
  <c r="PFM148" i="3"/>
  <c r="PFE148" i="3"/>
  <c r="PFG148" i="3" s="1"/>
  <c r="PEY148" i="3"/>
  <c r="PEW148" i="3"/>
  <c r="PEQ148" i="3"/>
  <c r="PEO148" i="3"/>
  <c r="PEG148" i="3"/>
  <c r="PEI148" i="3" s="1"/>
  <c r="PDY148" i="3"/>
  <c r="PEA148" i="3" s="1"/>
  <c r="PDS148" i="3"/>
  <c r="PDQ148" i="3"/>
  <c r="PDI148" i="3"/>
  <c r="PDK148" i="3" s="1"/>
  <c r="PDC148" i="3"/>
  <c r="PDA148" i="3"/>
  <c r="PCU148" i="3"/>
  <c r="PCS148" i="3"/>
  <c r="PCK148" i="3"/>
  <c r="PCM148" i="3" s="1"/>
  <c r="PCE148" i="3"/>
  <c r="PCC148" i="3"/>
  <c r="PBW148" i="3"/>
  <c r="PBU148" i="3"/>
  <c r="PBM148" i="3"/>
  <c r="PBO148" i="3" s="1"/>
  <c r="PBE148" i="3"/>
  <c r="PBG148" i="3" s="1"/>
  <c r="PAY148" i="3"/>
  <c r="PAW148" i="3"/>
  <c r="PAQ148" i="3"/>
  <c r="PAO148" i="3"/>
  <c r="PAG148" i="3"/>
  <c r="PAI148" i="3" s="1"/>
  <c r="PAA148" i="3"/>
  <c r="OZY148" i="3"/>
  <c r="OZQ148" i="3"/>
  <c r="OZS148" i="3" s="1"/>
  <c r="OZI148" i="3"/>
  <c r="OZK148" i="3" s="1"/>
  <c r="OZC148" i="3"/>
  <c r="OZA148" i="3"/>
  <c r="OYU148" i="3"/>
  <c r="OYS148" i="3"/>
  <c r="OYK148" i="3"/>
  <c r="OYM148" i="3" s="1"/>
  <c r="OYE148" i="3"/>
  <c r="OYC148" i="3"/>
  <c r="OXU148" i="3"/>
  <c r="OXW148" i="3" s="1"/>
  <c r="OXO148" i="3"/>
  <c r="OXM148" i="3"/>
  <c r="OXG148" i="3"/>
  <c r="OXE148" i="3"/>
  <c r="OWW148" i="3"/>
  <c r="OWY148" i="3" s="1"/>
  <c r="OWQ148" i="3"/>
  <c r="OWO148" i="3"/>
  <c r="OWI148" i="3"/>
  <c r="OWG148" i="3"/>
  <c r="OVY148" i="3"/>
  <c r="OWA148" i="3" s="1"/>
  <c r="OVQ148" i="3"/>
  <c r="OVS148" i="3" s="1"/>
  <c r="OVK148" i="3"/>
  <c r="OVI148" i="3"/>
  <c r="OVA148" i="3"/>
  <c r="OVC148" i="3" s="1"/>
  <c r="OUS148" i="3"/>
  <c r="OUU148" i="3" s="1"/>
  <c r="OUM148" i="3"/>
  <c r="OUK148" i="3"/>
  <c r="OUC148" i="3"/>
  <c r="OUE148" i="3" s="1"/>
  <c r="OTU148" i="3"/>
  <c r="OTW148" i="3" s="1"/>
  <c r="OTO148" i="3"/>
  <c r="OTM148" i="3"/>
  <c r="OTG148" i="3"/>
  <c r="OTE148" i="3"/>
  <c r="OSW148" i="3"/>
  <c r="OSY148" i="3" s="1"/>
  <c r="OSQ148" i="3"/>
  <c r="OSO148" i="3"/>
  <c r="OSG148" i="3"/>
  <c r="OSI148" i="3" s="1"/>
  <c r="OSA148" i="3"/>
  <c r="ORY148" i="3"/>
  <c r="ORS148" i="3"/>
  <c r="ORQ148" i="3"/>
  <c r="ORI148" i="3"/>
  <c r="ORK148" i="3" s="1"/>
  <c r="ORC148" i="3"/>
  <c r="ORA148" i="3"/>
  <c r="OQU148" i="3"/>
  <c r="OQS148" i="3"/>
  <c r="OQK148" i="3"/>
  <c r="OQM148" i="3" s="1"/>
  <c r="OQC148" i="3"/>
  <c r="OQE148" i="3" s="1"/>
  <c r="OPW148" i="3"/>
  <c r="OPU148" i="3"/>
  <c r="OPO148" i="3"/>
  <c r="OPM148" i="3"/>
  <c r="OPE148" i="3"/>
  <c r="OPG148" i="3" s="1"/>
  <c r="OOY148" i="3"/>
  <c r="OOW148" i="3"/>
  <c r="OOO148" i="3"/>
  <c r="OOQ148" i="3" s="1"/>
  <c r="OOG148" i="3"/>
  <c r="OOI148" i="3" s="1"/>
  <c r="OOA148" i="3"/>
  <c r="ONY148" i="3"/>
  <c r="ONQ148" i="3"/>
  <c r="ONS148" i="3" s="1"/>
  <c r="ONI148" i="3"/>
  <c r="ONK148" i="3" s="1"/>
  <c r="ONC148" i="3"/>
  <c r="ONA148" i="3"/>
  <c r="OMS148" i="3"/>
  <c r="OMU148" i="3" s="1"/>
  <c r="OMM148" i="3"/>
  <c r="OMK148" i="3"/>
  <c r="OME148" i="3"/>
  <c r="OMC148" i="3"/>
  <c r="OLU148" i="3"/>
  <c r="OLW148" i="3" s="1"/>
  <c r="OLO148" i="3"/>
  <c r="OLM148" i="3"/>
  <c r="OLG148" i="3"/>
  <c r="OLE148" i="3"/>
  <c r="OKW148" i="3"/>
  <c r="OKY148" i="3" s="1"/>
  <c r="OKO148" i="3"/>
  <c r="OKQ148" i="3" s="1"/>
  <c r="OKI148" i="3"/>
  <c r="OKG148" i="3"/>
  <c r="OKA148" i="3"/>
  <c r="OJY148" i="3"/>
  <c r="OJQ148" i="3"/>
  <c r="OJS148" i="3" s="1"/>
  <c r="OJK148" i="3"/>
  <c r="OJI148" i="3"/>
  <c r="OJA148" i="3"/>
  <c r="OJC148" i="3" s="1"/>
  <c r="OIU148" i="3"/>
  <c r="OIS148" i="3"/>
  <c r="OIM148" i="3"/>
  <c r="OIK148" i="3"/>
  <c r="OIC148" i="3"/>
  <c r="OIE148" i="3" s="1"/>
  <c r="OHU148" i="3"/>
  <c r="OHW148" i="3" s="1"/>
  <c r="OHO148" i="3"/>
  <c r="OHM148" i="3"/>
  <c r="OHE148" i="3"/>
  <c r="OHG148" i="3" s="1"/>
  <c r="OGY148" i="3"/>
  <c r="OGW148" i="3"/>
  <c r="OGQ148" i="3"/>
  <c r="OGO148" i="3"/>
  <c r="OGG148" i="3"/>
  <c r="OGI148" i="3" s="1"/>
  <c r="OGA148" i="3"/>
  <c r="OFY148" i="3"/>
  <c r="OFS148" i="3"/>
  <c r="OFQ148" i="3"/>
  <c r="OFI148" i="3"/>
  <c r="OFK148" i="3" s="1"/>
  <c r="OFA148" i="3"/>
  <c r="OFC148" i="3" s="1"/>
  <c r="OEU148" i="3"/>
  <c r="OES148" i="3"/>
  <c r="OEM148" i="3"/>
  <c r="OEK148" i="3"/>
  <c r="OEC148" i="3"/>
  <c r="OEE148" i="3" s="1"/>
  <c r="ODW148" i="3"/>
  <c r="ODU148" i="3"/>
  <c r="ODM148" i="3"/>
  <c r="ODO148" i="3" s="1"/>
  <c r="ODE148" i="3"/>
  <c r="ODG148" i="3" s="1"/>
  <c r="OCY148" i="3"/>
  <c r="OCW148" i="3"/>
  <c r="OCQ148" i="3"/>
  <c r="OCO148" i="3"/>
  <c r="OCG148" i="3"/>
  <c r="OCI148" i="3" s="1"/>
  <c r="OCA148" i="3"/>
  <c r="OBY148" i="3"/>
  <c r="OBQ148" i="3"/>
  <c r="OBS148" i="3" s="1"/>
  <c r="OBK148" i="3"/>
  <c r="OBI148" i="3"/>
  <c r="OBC148" i="3"/>
  <c r="OBA148" i="3"/>
  <c r="OAS148" i="3"/>
  <c r="OAU148" i="3" s="1"/>
  <c r="OAM148" i="3"/>
  <c r="OAK148" i="3"/>
  <c r="OAE148" i="3"/>
  <c r="OAC148" i="3"/>
  <c r="NZU148" i="3"/>
  <c r="NZW148" i="3" s="1"/>
  <c r="NZM148" i="3"/>
  <c r="NZO148" i="3" s="1"/>
  <c r="NZG148" i="3"/>
  <c r="NZE148" i="3"/>
  <c r="NYW148" i="3"/>
  <c r="NYY148" i="3" s="1"/>
  <c r="NYO148" i="3"/>
  <c r="NYQ148" i="3" s="1"/>
  <c r="NYI148" i="3"/>
  <c r="NYG148" i="3"/>
  <c r="NXY148" i="3"/>
  <c r="NYA148" i="3" s="1"/>
  <c r="NXQ148" i="3"/>
  <c r="NXS148" i="3" s="1"/>
  <c r="NXK148" i="3"/>
  <c r="NXI148" i="3"/>
  <c r="NXC148" i="3"/>
  <c r="NXA148" i="3"/>
  <c r="NWS148" i="3"/>
  <c r="NWU148" i="3" s="1"/>
  <c r="NWM148" i="3"/>
  <c r="NWK148" i="3"/>
  <c r="NWC148" i="3"/>
  <c r="NWE148" i="3" s="1"/>
  <c r="NVW148" i="3"/>
  <c r="NVU148" i="3"/>
  <c r="NVO148" i="3"/>
  <c r="NVM148" i="3"/>
  <c r="NVE148" i="3"/>
  <c r="NVG148" i="3" s="1"/>
  <c r="NUY148" i="3"/>
  <c r="NUW148" i="3"/>
  <c r="NUQ148" i="3"/>
  <c r="NUO148" i="3"/>
  <c r="NUG148" i="3"/>
  <c r="NUI148" i="3" s="1"/>
  <c r="NTY148" i="3"/>
  <c r="NUA148" i="3" s="1"/>
  <c r="NTS148" i="3"/>
  <c r="NTQ148" i="3"/>
  <c r="NTK148" i="3"/>
  <c r="NTI148" i="3"/>
  <c r="NTA148" i="3"/>
  <c r="NTC148" i="3" s="1"/>
  <c r="NSU148" i="3"/>
  <c r="NSS148" i="3"/>
  <c r="NSK148" i="3"/>
  <c r="NSM148" i="3" s="1"/>
  <c r="NSC148" i="3"/>
  <c r="NSE148" i="3" s="1"/>
  <c r="NRW148" i="3"/>
  <c r="NRU148" i="3"/>
  <c r="NRM148" i="3"/>
  <c r="NRO148" i="3" s="1"/>
  <c r="NRE148" i="3"/>
  <c r="NRG148" i="3" s="1"/>
  <c r="NQY148" i="3"/>
  <c r="NQW148" i="3"/>
  <c r="NQO148" i="3"/>
  <c r="NQQ148" i="3" s="1"/>
  <c r="NQI148" i="3"/>
  <c r="NQG148" i="3"/>
  <c r="NQA148" i="3"/>
  <c r="NPY148" i="3"/>
  <c r="NPQ148" i="3"/>
  <c r="NPS148" i="3" s="1"/>
  <c r="NPK148" i="3"/>
  <c r="NPI148" i="3"/>
  <c r="NPC148" i="3"/>
  <c r="NPA148" i="3"/>
  <c r="NOS148" i="3"/>
  <c r="NOU148" i="3" s="1"/>
  <c r="NOK148" i="3"/>
  <c r="NOM148" i="3" s="1"/>
  <c r="NOE148" i="3"/>
  <c r="NOC148" i="3"/>
  <c r="NNW148" i="3"/>
  <c r="NNU148" i="3"/>
  <c r="NNM148" i="3"/>
  <c r="NNO148" i="3" s="1"/>
  <c r="NNG148" i="3"/>
  <c r="NNE148" i="3"/>
  <c r="NMW148" i="3"/>
  <c r="NMY148" i="3" s="1"/>
  <c r="NMQ148" i="3"/>
  <c r="NMO148" i="3"/>
  <c r="NMI148" i="3"/>
  <c r="NMG148" i="3"/>
  <c r="NLY148" i="3"/>
  <c r="NMA148" i="3" s="1"/>
  <c r="NLQ148" i="3"/>
  <c r="NLS148" i="3" s="1"/>
  <c r="NLK148" i="3"/>
  <c r="NLI148" i="3"/>
  <c r="NLA148" i="3"/>
  <c r="NLC148" i="3" s="1"/>
  <c r="NKU148" i="3"/>
  <c r="NKS148" i="3"/>
  <c r="NKM148" i="3"/>
  <c r="NKK148" i="3"/>
  <c r="NKC148" i="3"/>
  <c r="NKE148" i="3" s="1"/>
  <c r="NJW148" i="3"/>
  <c r="NJU148" i="3"/>
  <c r="NJO148" i="3"/>
  <c r="NJM148" i="3"/>
  <c r="NJE148" i="3"/>
  <c r="NJG148" i="3" s="1"/>
  <c r="NIW148" i="3"/>
  <c r="NIY148" i="3" s="1"/>
  <c r="NIQ148" i="3"/>
  <c r="NIO148" i="3"/>
  <c r="NII148" i="3"/>
  <c r="NIG148" i="3"/>
  <c r="NHY148" i="3"/>
  <c r="NIA148" i="3" s="1"/>
  <c r="NHS148" i="3"/>
  <c r="NHQ148" i="3"/>
  <c r="NHI148" i="3"/>
  <c r="NHK148" i="3" s="1"/>
  <c r="NHA148" i="3"/>
  <c r="NHC148" i="3" s="1"/>
  <c r="NGU148" i="3"/>
  <c r="NGS148" i="3"/>
  <c r="NGM148" i="3"/>
  <c r="NGK148" i="3"/>
  <c r="NGC148" i="3"/>
  <c r="NGE148" i="3" s="1"/>
  <c r="NFW148" i="3"/>
  <c r="NFU148" i="3"/>
  <c r="NFM148" i="3"/>
  <c r="NFO148" i="3" s="1"/>
  <c r="NFG148" i="3"/>
  <c r="NFE148" i="3"/>
  <c r="NEY148" i="3"/>
  <c r="NEW148" i="3"/>
  <c r="NEO148" i="3"/>
  <c r="NEQ148" i="3" s="1"/>
  <c r="NEI148" i="3"/>
  <c r="NEG148" i="3"/>
  <c r="NEA148" i="3"/>
  <c r="NDY148" i="3"/>
  <c r="NDQ148" i="3"/>
  <c r="NDS148" i="3" s="1"/>
  <c r="NDI148" i="3"/>
  <c r="NDK148" i="3" s="1"/>
  <c r="NDC148" i="3"/>
  <c r="NDA148" i="3"/>
  <c r="NCS148" i="3"/>
  <c r="NCU148" i="3" s="1"/>
  <c r="NCK148" i="3"/>
  <c r="NCM148" i="3" s="1"/>
  <c r="NCE148" i="3"/>
  <c r="NCC148" i="3"/>
  <c r="NBW148" i="3"/>
  <c r="NBU148" i="3"/>
  <c r="NBM148" i="3"/>
  <c r="NBO148" i="3" s="1"/>
  <c r="NBG148" i="3"/>
  <c r="NBE148" i="3"/>
  <c r="NAY148" i="3"/>
  <c r="NAW148" i="3"/>
  <c r="NAO148" i="3"/>
  <c r="NAQ148" i="3" s="1"/>
  <c r="NAI148" i="3"/>
  <c r="NAG148" i="3"/>
  <c r="NAA148" i="3"/>
  <c r="MZY148" i="3"/>
  <c r="MZQ148" i="3"/>
  <c r="MZS148" i="3" s="1"/>
  <c r="MZK148" i="3"/>
  <c r="MZI148" i="3"/>
  <c r="MZC148" i="3"/>
  <c r="MZA148" i="3"/>
  <c r="MYS148" i="3"/>
  <c r="MYU148" i="3" s="1"/>
  <c r="MYM148" i="3"/>
  <c r="MYK148" i="3"/>
  <c r="MYE148" i="3"/>
  <c r="MYC148" i="3"/>
  <c r="MXU148" i="3"/>
  <c r="MXW148" i="3" s="1"/>
  <c r="MXO148" i="3"/>
  <c r="MXM148" i="3"/>
  <c r="MXE148" i="3"/>
  <c r="MXG148" i="3" s="1"/>
  <c r="MWY148" i="3"/>
  <c r="MWW148" i="3"/>
  <c r="MWQ148" i="3"/>
  <c r="MWO148" i="3"/>
  <c r="MWI148" i="3"/>
  <c r="MWG148" i="3"/>
  <c r="MVY148" i="3"/>
  <c r="MWA148" i="3" s="1"/>
  <c r="MVS148" i="3"/>
  <c r="MVQ148" i="3"/>
  <c r="MVK148" i="3"/>
  <c r="MVI148" i="3"/>
  <c r="MVC148" i="3"/>
  <c r="MVA148" i="3"/>
  <c r="MUU148" i="3"/>
  <c r="MUS148" i="3"/>
  <c r="MUM148" i="3"/>
  <c r="MUK148" i="3"/>
  <c r="MUC148" i="3"/>
  <c r="MUE148" i="3" s="1"/>
  <c r="MTW148" i="3"/>
  <c r="MTU148" i="3"/>
  <c r="MTO148" i="3"/>
  <c r="MTM148" i="3"/>
  <c r="MTE148" i="3"/>
  <c r="MTG148" i="3" s="1"/>
  <c r="MSY148" i="3"/>
  <c r="MSW148" i="3"/>
  <c r="MSQ148" i="3"/>
  <c r="MSO148" i="3"/>
  <c r="MSG148" i="3"/>
  <c r="MSI148" i="3" s="1"/>
  <c r="MSA148" i="3"/>
  <c r="MRY148" i="3"/>
  <c r="MRQ148" i="3"/>
  <c r="MRS148" i="3" s="1"/>
  <c r="MRK148" i="3"/>
  <c r="MRI148" i="3"/>
  <c r="MRC148" i="3"/>
  <c r="MRA148" i="3"/>
  <c r="MQU148" i="3"/>
  <c r="MQS148" i="3"/>
  <c r="MQK148" i="3"/>
  <c r="MQM148" i="3" s="1"/>
  <c r="MQE148" i="3"/>
  <c r="MQC148" i="3"/>
  <c r="MPU148" i="3"/>
  <c r="MPW148" i="3" s="1"/>
  <c r="MPO148" i="3"/>
  <c r="MPM148" i="3"/>
  <c r="MPG148" i="3"/>
  <c r="MPE148" i="3"/>
  <c r="MOY148" i="3"/>
  <c r="MOW148" i="3"/>
  <c r="MOO148" i="3"/>
  <c r="MOQ148" i="3" s="1"/>
  <c r="MOI148" i="3"/>
  <c r="MOG148" i="3"/>
  <c r="MOA148" i="3"/>
  <c r="MNY148" i="3"/>
  <c r="MNQ148" i="3"/>
  <c r="MNS148" i="3" s="1"/>
  <c r="MNK148" i="3"/>
  <c r="MNI148" i="3"/>
  <c r="MNC148" i="3"/>
  <c r="MNA148" i="3"/>
  <c r="MMS148" i="3"/>
  <c r="MMU148" i="3" s="1"/>
  <c r="MMM148" i="3"/>
  <c r="MMK148" i="3"/>
  <c r="MMC148" i="3"/>
  <c r="MME148" i="3" s="1"/>
  <c r="MLU148" i="3"/>
  <c r="MLW148" i="3" s="1"/>
  <c r="MLO148" i="3"/>
  <c r="MLM148" i="3"/>
  <c r="MLG148" i="3"/>
  <c r="MLE148" i="3"/>
  <c r="MKW148" i="3"/>
  <c r="MKY148" i="3" s="1"/>
  <c r="MKQ148" i="3"/>
  <c r="MKO148" i="3"/>
  <c r="MKG148" i="3"/>
  <c r="MKI148" i="3" s="1"/>
  <c r="MKA148" i="3"/>
  <c r="MJY148" i="3"/>
  <c r="MJS148" i="3"/>
  <c r="MJQ148" i="3"/>
  <c r="MJK148" i="3"/>
  <c r="MJI148" i="3"/>
  <c r="MJA148" i="3"/>
  <c r="MJC148" i="3" s="1"/>
  <c r="MIU148" i="3"/>
  <c r="MIS148" i="3"/>
  <c r="MIK148" i="3"/>
  <c r="MIM148" i="3" s="1"/>
  <c r="MIE148" i="3"/>
  <c r="MIC148" i="3"/>
  <c r="MHW148" i="3"/>
  <c r="MHU148" i="3"/>
  <c r="MHO148" i="3"/>
  <c r="MHM148" i="3"/>
  <c r="MHE148" i="3"/>
  <c r="MHG148" i="3" s="1"/>
  <c r="MGY148" i="3"/>
  <c r="MGW148" i="3"/>
  <c r="MGO148" i="3"/>
  <c r="MGQ148" i="3" s="1"/>
  <c r="MGG148" i="3"/>
  <c r="MGI148" i="3" s="1"/>
  <c r="MGA148" i="3"/>
  <c r="MFY148" i="3"/>
  <c r="MFS148" i="3"/>
  <c r="MFQ148" i="3"/>
  <c r="MFI148" i="3"/>
  <c r="MFK148" i="3" s="1"/>
  <c r="MFC148" i="3"/>
  <c r="MFA148" i="3"/>
  <c r="MEU148" i="3"/>
  <c r="MES148" i="3"/>
  <c r="MEK148" i="3"/>
  <c r="MEM148" i="3" s="1"/>
  <c r="MEE148" i="3"/>
  <c r="MEC148" i="3"/>
  <c r="MDW148" i="3"/>
  <c r="MDU148" i="3"/>
  <c r="MDM148" i="3"/>
  <c r="MDO148" i="3" s="1"/>
  <c r="MDG148" i="3"/>
  <c r="MDE148" i="3"/>
  <c r="MCY148" i="3"/>
  <c r="MCW148" i="3"/>
  <c r="MCO148" i="3"/>
  <c r="MCQ148" i="3" s="1"/>
  <c r="MCI148" i="3"/>
  <c r="MCG148" i="3"/>
  <c r="MCA148" i="3"/>
  <c r="MBY148" i="3"/>
  <c r="MBQ148" i="3"/>
  <c r="MBS148" i="3" s="1"/>
  <c r="MBK148" i="3"/>
  <c r="MBI148" i="3"/>
  <c r="MBA148" i="3"/>
  <c r="MBC148" i="3" s="1"/>
  <c r="MAU148" i="3"/>
  <c r="MAS148" i="3"/>
  <c r="MAM148" i="3"/>
  <c r="MAK148" i="3"/>
  <c r="MAE148" i="3"/>
  <c r="MAC148" i="3"/>
  <c r="LZU148" i="3"/>
  <c r="LZW148" i="3" s="1"/>
  <c r="LZO148" i="3"/>
  <c r="LZM148" i="3"/>
  <c r="LZG148" i="3"/>
  <c r="LZE148" i="3"/>
  <c r="LYY148" i="3"/>
  <c r="LYW148" i="3"/>
  <c r="LYQ148" i="3"/>
  <c r="LYO148" i="3"/>
  <c r="LYI148" i="3"/>
  <c r="LYG148" i="3"/>
  <c r="LXY148" i="3"/>
  <c r="LYA148" i="3" s="1"/>
  <c r="LXS148" i="3"/>
  <c r="LXQ148" i="3"/>
  <c r="LXK148" i="3"/>
  <c r="LXI148" i="3"/>
  <c r="LXA148" i="3"/>
  <c r="LXC148" i="3" s="1"/>
  <c r="LWU148" i="3"/>
  <c r="LWS148" i="3"/>
  <c r="LWM148" i="3"/>
  <c r="LWK148" i="3"/>
  <c r="LWC148" i="3"/>
  <c r="LWE148" i="3" s="1"/>
  <c r="LVW148" i="3"/>
  <c r="LVU148" i="3"/>
  <c r="LVM148" i="3"/>
  <c r="LVO148" i="3" s="1"/>
  <c r="LVG148" i="3"/>
  <c r="LVE148" i="3"/>
  <c r="LUY148" i="3"/>
  <c r="LUW148" i="3"/>
  <c r="LUQ148" i="3"/>
  <c r="LUO148" i="3"/>
  <c r="LUG148" i="3"/>
  <c r="LUI148" i="3" s="1"/>
  <c r="LUA148" i="3"/>
  <c r="LTY148" i="3"/>
  <c r="LTQ148" i="3"/>
  <c r="LTS148" i="3" s="1"/>
  <c r="LTK148" i="3"/>
  <c r="LTI148" i="3"/>
  <c r="LTC148" i="3"/>
  <c r="LTA148" i="3"/>
  <c r="LSU148" i="3"/>
  <c r="LSS148" i="3"/>
  <c r="LSK148" i="3"/>
  <c r="LSM148" i="3" s="1"/>
  <c r="LSE148" i="3"/>
  <c r="LSC148" i="3"/>
  <c r="LRW148" i="3"/>
  <c r="LRU148" i="3"/>
  <c r="LRM148" i="3"/>
  <c r="LRO148" i="3" s="1"/>
  <c r="LRG148" i="3"/>
  <c r="LRE148" i="3"/>
  <c r="LQY148" i="3"/>
  <c r="LQW148" i="3"/>
  <c r="LQO148" i="3"/>
  <c r="LQQ148" i="3" s="1"/>
  <c r="LQI148" i="3"/>
  <c r="LQG148" i="3"/>
  <c r="LPY148" i="3"/>
  <c r="LQA148" i="3" s="1"/>
  <c r="LPQ148" i="3"/>
  <c r="LPS148" i="3" s="1"/>
  <c r="LPK148" i="3"/>
  <c r="LPI148" i="3"/>
  <c r="LPC148" i="3"/>
  <c r="LPA148" i="3"/>
  <c r="LOS148" i="3"/>
  <c r="LOU148" i="3" s="1"/>
  <c r="LOM148" i="3"/>
  <c r="LOK148" i="3"/>
  <c r="LOC148" i="3"/>
  <c r="LOE148" i="3" s="1"/>
  <c r="LNW148" i="3"/>
  <c r="LNU148" i="3"/>
  <c r="LNO148" i="3"/>
  <c r="LNM148" i="3"/>
  <c r="LNG148" i="3"/>
  <c r="LNE148" i="3"/>
  <c r="LMW148" i="3"/>
  <c r="LMY148" i="3" s="1"/>
  <c r="LMQ148" i="3"/>
  <c r="LMO148" i="3"/>
  <c r="LMG148" i="3"/>
  <c r="LMI148" i="3" s="1"/>
  <c r="LMA148" i="3"/>
  <c r="LLY148" i="3"/>
  <c r="LLS148" i="3"/>
  <c r="LLQ148" i="3"/>
  <c r="LLK148" i="3"/>
  <c r="LLI148" i="3"/>
  <c r="LLA148" i="3"/>
  <c r="LLC148" i="3" s="1"/>
  <c r="LKU148" i="3"/>
  <c r="LKS148" i="3"/>
  <c r="LKK148" i="3"/>
  <c r="LKM148" i="3" s="1"/>
  <c r="LKC148" i="3"/>
  <c r="LKE148" i="3" s="1"/>
  <c r="LJW148" i="3"/>
  <c r="LJU148" i="3"/>
  <c r="LJO148" i="3"/>
  <c r="LJM148" i="3"/>
  <c r="LJE148" i="3"/>
  <c r="LJG148" i="3" s="1"/>
  <c r="LIY148" i="3"/>
  <c r="LIW148" i="3"/>
  <c r="LIQ148" i="3"/>
  <c r="LIO148" i="3"/>
  <c r="LIG148" i="3"/>
  <c r="LII148" i="3" s="1"/>
  <c r="LIA148" i="3"/>
  <c r="LHY148" i="3"/>
  <c r="LHS148" i="3"/>
  <c r="LHQ148" i="3"/>
  <c r="LHI148" i="3"/>
  <c r="LHK148" i="3" s="1"/>
  <c r="LHC148" i="3"/>
  <c r="LHA148" i="3"/>
  <c r="LGU148" i="3"/>
  <c r="LGS148" i="3"/>
  <c r="LGK148" i="3"/>
  <c r="LGM148" i="3" s="1"/>
  <c r="LGE148" i="3"/>
  <c r="LGC148" i="3"/>
  <c r="LFW148" i="3"/>
  <c r="LFU148" i="3"/>
  <c r="LFM148" i="3"/>
  <c r="LFO148" i="3" s="1"/>
  <c r="LFG148" i="3"/>
  <c r="LFE148" i="3"/>
  <c r="LEW148" i="3"/>
  <c r="LEY148" i="3" s="1"/>
  <c r="LEQ148" i="3"/>
  <c r="LEO148" i="3"/>
  <c r="LEI148" i="3"/>
  <c r="LEG148" i="3"/>
  <c r="LEA148" i="3"/>
  <c r="LDY148" i="3"/>
  <c r="LDQ148" i="3"/>
  <c r="LDS148" i="3" s="1"/>
  <c r="LDK148" i="3"/>
  <c r="LDI148" i="3"/>
  <c r="LDC148" i="3"/>
  <c r="LDA148" i="3"/>
  <c r="LCU148" i="3"/>
  <c r="LCS148" i="3"/>
  <c r="LCM148" i="3"/>
  <c r="LCK148" i="3"/>
  <c r="LCE148" i="3"/>
  <c r="LCC148" i="3"/>
  <c r="LBU148" i="3"/>
  <c r="LBW148" i="3" s="1"/>
  <c r="LBO148" i="3"/>
  <c r="LBM148" i="3"/>
  <c r="LBG148" i="3"/>
  <c r="LBE148" i="3"/>
  <c r="LAW148" i="3"/>
  <c r="LAY148" i="3" s="1"/>
  <c r="LAQ148" i="3"/>
  <c r="LAO148" i="3"/>
  <c r="LAI148" i="3"/>
  <c r="LAG148" i="3"/>
  <c r="KZY148" i="3"/>
  <c r="LAA148" i="3" s="1"/>
  <c r="KZS148" i="3"/>
  <c r="KZQ148" i="3"/>
  <c r="KZI148" i="3"/>
  <c r="KZK148" i="3" s="1"/>
  <c r="KZC148" i="3"/>
  <c r="KZA148" i="3"/>
  <c r="KYU148" i="3"/>
  <c r="KYS148" i="3"/>
  <c r="KYM148" i="3"/>
  <c r="KYK148" i="3"/>
  <c r="KYC148" i="3"/>
  <c r="KYE148" i="3" s="1"/>
  <c r="KXW148" i="3"/>
  <c r="KXU148" i="3"/>
  <c r="KXM148" i="3"/>
  <c r="KXO148" i="3" s="1"/>
  <c r="KXG148" i="3"/>
  <c r="KXE148" i="3"/>
  <c r="KWY148" i="3"/>
  <c r="KWW148" i="3"/>
  <c r="KWQ148" i="3"/>
  <c r="KWO148" i="3"/>
  <c r="KWG148" i="3"/>
  <c r="KWI148" i="3" s="1"/>
  <c r="KWA148" i="3"/>
  <c r="KVY148" i="3"/>
  <c r="KVS148" i="3"/>
  <c r="KVQ148" i="3"/>
  <c r="KVI148" i="3"/>
  <c r="KVK148" i="3" s="1"/>
  <c r="KVC148" i="3"/>
  <c r="KVA148" i="3"/>
  <c r="KUU148" i="3"/>
  <c r="KUS148" i="3"/>
  <c r="KUK148" i="3"/>
  <c r="KUM148" i="3" s="1"/>
  <c r="KUE148" i="3"/>
  <c r="KUC148" i="3"/>
  <c r="KTU148" i="3"/>
  <c r="KTW148" i="3" s="1"/>
  <c r="KTM148" i="3"/>
  <c r="KTO148" i="3" s="1"/>
  <c r="KTG148" i="3"/>
  <c r="KTE148" i="3"/>
  <c r="KSY148" i="3"/>
  <c r="KSW148" i="3"/>
  <c r="KSO148" i="3"/>
  <c r="KSQ148" i="3" s="1"/>
  <c r="KSI148" i="3"/>
  <c r="KSG148" i="3"/>
  <c r="KRY148" i="3"/>
  <c r="KSA148" i="3" s="1"/>
  <c r="KRS148" i="3"/>
  <c r="KRQ148" i="3"/>
  <c r="KRK148" i="3"/>
  <c r="KRI148" i="3"/>
  <c r="KRC148" i="3"/>
  <c r="KRA148" i="3"/>
  <c r="KQS148" i="3"/>
  <c r="KQU148" i="3" s="1"/>
  <c r="KQM148" i="3"/>
  <c r="KQK148" i="3"/>
  <c r="KQC148" i="3"/>
  <c r="KQE148" i="3" s="1"/>
  <c r="KPW148" i="3"/>
  <c r="KPU148" i="3"/>
  <c r="KPO148" i="3"/>
  <c r="KPM148" i="3"/>
  <c r="KPG148" i="3"/>
  <c r="KPE148" i="3"/>
  <c r="KOW148" i="3"/>
  <c r="KOY148" i="3" s="1"/>
  <c r="KOQ148" i="3"/>
  <c r="KOO148" i="3"/>
  <c r="KOG148" i="3"/>
  <c r="KOI148" i="3" s="1"/>
  <c r="KNY148" i="3"/>
  <c r="KOA148" i="3" s="1"/>
  <c r="KNS148" i="3"/>
  <c r="KNQ148" i="3"/>
  <c r="KNK148" i="3"/>
  <c r="KNI148" i="3"/>
  <c r="KNA148" i="3"/>
  <c r="KNC148" i="3" s="1"/>
  <c r="KMU148" i="3"/>
  <c r="KMS148" i="3"/>
  <c r="KMM148" i="3"/>
  <c r="KMK148" i="3"/>
  <c r="KMC148" i="3"/>
  <c r="KME148" i="3" s="1"/>
  <c r="KLW148" i="3"/>
  <c r="KLU148" i="3"/>
  <c r="KLO148" i="3"/>
  <c r="KLM148" i="3"/>
  <c r="KLE148" i="3"/>
  <c r="KLG148" i="3" s="1"/>
  <c r="KKY148" i="3"/>
  <c r="KKW148" i="3"/>
  <c r="KKQ148" i="3"/>
  <c r="KKO148" i="3"/>
  <c r="KKG148" i="3"/>
  <c r="KKI148" i="3" s="1"/>
  <c r="KKA148" i="3"/>
  <c r="KJY148" i="3"/>
  <c r="KJS148" i="3"/>
  <c r="KJQ148" i="3"/>
  <c r="KJI148" i="3"/>
  <c r="KJK148" i="3" s="1"/>
  <c r="KJC148" i="3"/>
  <c r="KJA148" i="3"/>
  <c r="KIS148" i="3"/>
  <c r="KIU148" i="3" s="1"/>
  <c r="KIM148" i="3"/>
  <c r="KIK148" i="3"/>
  <c r="KIE148" i="3"/>
  <c r="KIC148" i="3"/>
  <c r="KHW148" i="3"/>
  <c r="KHU148" i="3"/>
  <c r="KHM148" i="3"/>
  <c r="KHO148" i="3" s="1"/>
  <c r="KHG148" i="3"/>
  <c r="KHE148" i="3"/>
  <c r="KGY148" i="3"/>
  <c r="KGW148" i="3"/>
  <c r="KGQ148" i="3"/>
  <c r="KGO148" i="3"/>
  <c r="KGI148" i="3"/>
  <c r="KGG148" i="3"/>
  <c r="KGA148" i="3"/>
  <c r="KFY148" i="3"/>
  <c r="KFQ148" i="3"/>
  <c r="KFS148" i="3" s="1"/>
  <c r="KFK148" i="3"/>
  <c r="KFI148" i="3"/>
  <c r="KFC148" i="3"/>
  <c r="KFA148" i="3"/>
  <c r="KES148" i="3"/>
  <c r="KEU148" i="3" s="1"/>
  <c r="KEM148" i="3"/>
  <c r="KEK148" i="3"/>
  <c r="KEE148" i="3"/>
  <c r="KEC148" i="3"/>
  <c r="KDU148" i="3"/>
  <c r="KDW148" i="3" s="1"/>
  <c r="KDO148" i="3"/>
  <c r="KDM148" i="3"/>
  <c r="KDE148" i="3"/>
  <c r="KDG148" i="3" s="1"/>
  <c r="KCY148" i="3"/>
  <c r="KCW148" i="3"/>
  <c r="KCQ148" i="3"/>
  <c r="KCO148" i="3"/>
  <c r="KCI148" i="3"/>
  <c r="KCG148" i="3"/>
  <c r="KBY148" i="3"/>
  <c r="KCA148" i="3" s="1"/>
  <c r="KBS148" i="3"/>
  <c r="KBQ148" i="3"/>
  <c r="KBI148" i="3"/>
  <c r="KBK148" i="3" s="1"/>
  <c r="KBC148" i="3"/>
  <c r="KBA148" i="3"/>
  <c r="KAU148" i="3"/>
  <c r="KAS148" i="3"/>
  <c r="KAM148" i="3"/>
  <c r="KAK148" i="3"/>
  <c r="KAC148" i="3"/>
  <c r="KAE148" i="3" s="1"/>
  <c r="JZW148" i="3"/>
  <c r="JZU148" i="3"/>
  <c r="JZO148" i="3"/>
  <c r="JZM148" i="3"/>
  <c r="JZE148" i="3"/>
  <c r="JZG148" i="3" s="1"/>
  <c r="JYY148" i="3"/>
  <c r="JYW148" i="3"/>
  <c r="JYQ148" i="3"/>
  <c r="JYO148" i="3"/>
  <c r="JYG148" i="3"/>
  <c r="JYI148" i="3" s="1"/>
  <c r="JYA148" i="3"/>
  <c r="JXY148" i="3"/>
  <c r="JXQ148" i="3"/>
  <c r="JXS148" i="3" s="1"/>
  <c r="JXI148" i="3"/>
  <c r="JXK148" i="3" s="1"/>
  <c r="JXC148" i="3"/>
  <c r="JXA148" i="3"/>
  <c r="JWU148" i="3"/>
  <c r="JWS148" i="3"/>
  <c r="JWK148" i="3"/>
  <c r="JWM148" i="3" s="1"/>
  <c r="JWE148" i="3"/>
  <c r="JWC148" i="3"/>
  <c r="JVU148" i="3"/>
  <c r="JVW148" i="3" s="1"/>
  <c r="JVO148" i="3"/>
  <c r="JVM148" i="3"/>
  <c r="JVG148" i="3"/>
  <c r="JVE148" i="3"/>
  <c r="JUY148" i="3"/>
  <c r="JUW148" i="3"/>
  <c r="JUO148" i="3"/>
  <c r="JUQ148" i="3" s="1"/>
  <c r="JUI148" i="3"/>
  <c r="JUG148" i="3"/>
  <c r="JTY148" i="3"/>
  <c r="JUA148" i="3" s="1"/>
  <c r="JTS148" i="3"/>
  <c r="JTQ148" i="3"/>
  <c r="JTK148" i="3"/>
  <c r="JTI148" i="3"/>
  <c r="JTC148" i="3"/>
  <c r="JTA148" i="3"/>
  <c r="JSS148" i="3"/>
  <c r="JSU148" i="3" s="1"/>
  <c r="JSM148" i="3"/>
  <c r="JSK148" i="3"/>
  <c r="JSC148" i="3"/>
  <c r="JSE148" i="3" s="1"/>
  <c r="JRU148" i="3"/>
  <c r="JRW148" i="3" s="1"/>
  <c r="JRO148" i="3"/>
  <c r="JRM148" i="3"/>
  <c r="JRG148" i="3"/>
  <c r="JRE148" i="3"/>
  <c r="JQW148" i="3"/>
  <c r="JQY148" i="3" s="1"/>
  <c r="JQQ148" i="3"/>
  <c r="JQO148" i="3"/>
  <c r="JQI148" i="3"/>
  <c r="JQG148" i="3"/>
  <c r="JPY148" i="3"/>
  <c r="JQA148" i="3" s="1"/>
  <c r="JPS148" i="3"/>
  <c r="JPQ148" i="3"/>
  <c r="JPK148" i="3"/>
  <c r="JPI148" i="3"/>
  <c r="JPA148" i="3"/>
  <c r="JPC148" i="3" s="1"/>
  <c r="JOU148" i="3"/>
  <c r="JOS148" i="3"/>
  <c r="JOM148" i="3"/>
  <c r="JOK148" i="3"/>
  <c r="JOC148" i="3"/>
  <c r="JOE148" i="3" s="1"/>
  <c r="JNW148" i="3"/>
  <c r="JNU148" i="3"/>
  <c r="JNO148" i="3"/>
  <c r="JNM148" i="3"/>
  <c r="JNE148" i="3"/>
  <c r="JNG148" i="3" s="1"/>
  <c r="JMY148" i="3"/>
  <c r="JMW148" i="3"/>
  <c r="JMO148" i="3"/>
  <c r="JMQ148" i="3" s="1"/>
  <c r="JMI148" i="3"/>
  <c r="JMG148" i="3"/>
  <c r="JMA148" i="3"/>
  <c r="JLY148" i="3"/>
  <c r="JLS148" i="3"/>
  <c r="JLQ148" i="3"/>
  <c r="JLI148" i="3"/>
  <c r="JLK148" i="3" s="1"/>
  <c r="JLC148" i="3"/>
  <c r="JLA148" i="3"/>
  <c r="JKU148" i="3"/>
  <c r="JKS148" i="3"/>
  <c r="JKM148" i="3"/>
  <c r="JKK148" i="3"/>
  <c r="JKE148" i="3"/>
  <c r="JKC148" i="3"/>
  <c r="JJW148" i="3"/>
  <c r="JJU148" i="3"/>
  <c r="JJM148" i="3"/>
  <c r="JJO148" i="3" s="1"/>
  <c r="JJG148" i="3"/>
  <c r="JJE148" i="3"/>
  <c r="JIY148" i="3"/>
  <c r="JIW148" i="3"/>
  <c r="JIO148" i="3"/>
  <c r="JIQ148" i="3" s="1"/>
  <c r="JII148" i="3"/>
  <c r="JIG148" i="3"/>
  <c r="JIA148" i="3"/>
  <c r="JHY148" i="3"/>
  <c r="JHQ148" i="3"/>
  <c r="JHS148" i="3" s="1"/>
  <c r="JHK148" i="3"/>
  <c r="JHI148" i="3"/>
  <c r="JHA148" i="3"/>
  <c r="JHC148" i="3" s="1"/>
  <c r="JGU148" i="3"/>
  <c r="JGS148" i="3"/>
  <c r="JGM148" i="3"/>
  <c r="JGK148" i="3"/>
  <c r="JGE148" i="3"/>
  <c r="JGC148" i="3"/>
  <c r="JFU148" i="3"/>
  <c r="JFW148" i="3" s="1"/>
  <c r="JFO148" i="3"/>
  <c r="JFM148" i="3"/>
  <c r="JFE148" i="3"/>
  <c r="JFG148" i="3" s="1"/>
  <c r="JEY148" i="3"/>
  <c r="JEW148" i="3"/>
  <c r="JEQ148" i="3"/>
  <c r="JEO148" i="3"/>
  <c r="JEI148" i="3"/>
  <c r="JEG148" i="3"/>
  <c r="JDY148" i="3"/>
  <c r="JEA148" i="3" s="1"/>
  <c r="JDS148" i="3"/>
  <c r="JDQ148" i="3"/>
  <c r="JDK148" i="3"/>
  <c r="JDI148" i="3"/>
  <c r="JDA148" i="3"/>
  <c r="JDC148" i="3" s="1"/>
  <c r="JCU148" i="3"/>
  <c r="JCS148" i="3"/>
  <c r="JCM148" i="3"/>
  <c r="JCK148" i="3"/>
  <c r="JCC148" i="3"/>
  <c r="JCE148" i="3" s="1"/>
  <c r="JBW148" i="3"/>
  <c r="JBU148" i="3"/>
  <c r="JBM148" i="3"/>
  <c r="JBO148" i="3" s="1"/>
  <c r="JBE148" i="3"/>
  <c r="JBG148" i="3" s="1"/>
  <c r="JAY148" i="3"/>
  <c r="JAW148" i="3"/>
  <c r="JAQ148" i="3"/>
  <c r="JAO148" i="3"/>
  <c r="JAG148" i="3"/>
  <c r="JAI148" i="3" s="1"/>
  <c r="JAA148" i="3"/>
  <c r="IZY148" i="3"/>
  <c r="IZQ148" i="3"/>
  <c r="IZS148" i="3" s="1"/>
  <c r="IZK148" i="3"/>
  <c r="IZI148" i="3"/>
  <c r="IZC148" i="3"/>
  <c r="IZA148" i="3"/>
  <c r="IYU148" i="3"/>
  <c r="IYS148" i="3"/>
  <c r="IYK148" i="3"/>
  <c r="IYM148" i="3" s="1"/>
  <c r="IYE148" i="3"/>
  <c r="IYC148" i="3"/>
  <c r="IXU148" i="3"/>
  <c r="IXW148" i="3" s="1"/>
  <c r="IXO148" i="3"/>
  <c r="IXM148" i="3"/>
  <c r="IXG148" i="3"/>
  <c r="IXE148" i="3"/>
  <c r="IWY148" i="3"/>
  <c r="IWW148" i="3"/>
  <c r="IWO148" i="3"/>
  <c r="IWQ148" i="3" s="1"/>
  <c r="IWI148" i="3"/>
  <c r="IWG148" i="3"/>
  <c r="IVY148" i="3"/>
  <c r="IWA148" i="3" s="1"/>
  <c r="IVQ148" i="3"/>
  <c r="IVS148" i="3" s="1"/>
  <c r="IVK148" i="3"/>
  <c r="IVI148" i="3"/>
  <c r="IVC148" i="3"/>
  <c r="IVA148" i="3"/>
  <c r="IUS148" i="3"/>
  <c r="IUU148" i="3" s="1"/>
  <c r="IUM148" i="3"/>
  <c r="IUK148" i="3"/>
  <c r="IUE148" i="3"/>
  <c r="IUC148" i="3"/>
  <c r="ITU148" i="3"/>
  <c r="ITW148" i="3" s="1"/>
  <c r="ITO148" i="3"/>
  <c r="ITM148" i="3"/>
  <c r="ITG148" i="3"/>
  <c r="ITE148" i="3"/>
  <c r="ISW148" i="3"/>
  <c r="ISY148" i="3" s="1"/>
  <c r="ISQ148" i="3"/>
  <c r="ISO148" i="3"/>
  <c r="ISI148" i="3"/>
  <c r="ISG148" i="3"/>
  <c r="IRY148" i="3"/>
  <c r="ISA148" i="3" s="1"/>
  <c r="IRS148" i="3"/>
  <c r="IRQ148" i="3"/>
  <c r="IRK148" i="3"/>
  <c r="IRI148" i="3"/>
  <c r="IRA148" i="3"/>
  <c r="IRC148" i="3" s="1"/>
  <c r="IQU148" i="3"/>
  <c r="IQS148" i="3"/>
  <c r="IQK148" i="3"/>
  <c r="IQM148" i="3" s="1"/>
  <c r="IQE148" i="3"/>
  <c r="IQC148" i="3"/>
  <c r="IPW148" i="3"/>
  <c r="IPU148" i="3"/>
  <c r="IPO148" i="3"/>
  <c r="IPM148" i="3"/>
  <c r="IPE148" i="3"/>
  <c r="IPG148" i="3" s="1"/>
  <c r="IOY148" i="3"/>
  <c r="IOW148" i="3"/>
  <c r="IOQ148" i="3"/>
  <c r="IOO148" i="3"/>
  <c r="IOI148" i="3"/>
  <c r="IOG148" i="3"/>
  <c r="IOA148" i="3"/>
  <c r="INY148" i="3"/>
  <c r="INS148" i="3"/>
  <c r="INQ148" i="3"/>
  <c r="INI148" i="3"/>
  <c r="INK148" i="3" s="1"/>
  <c r="INC148" i="3"/>
  <c r="INA148" i="3"/>
  <c r="IMU148" i="3"/>
  <c r="IMS148" i="3"/>
  <c r="IMK148" i="3"/>
  <c r="IMM148" i="3" s="1"/>
  <c r="IME148" i="3"/>
  <c r="IMC148" i="3"/>
  <c r="ILW148" i="3"/>
  <c r="ILU148" i="3"/>
  <c r="ILM148" i="3"/>
  <c r="ILO148" i="3" s="1"/>
  <c r="ILG148" i="3"/>
  <c r="ILE148" i="3"/>
  <c r="IKW148" i="3"/>
  <c r="IKY148" i="3" s="1"/>
  <c r="IKQ148" i="3"/>
  <c r="IKO148" i="3"/>
  <c r="IKI148" i="3"/>
  <c r="IKG148" i="3"/>
  <c r="IKA148" i="3"/>
  <c r="IJY148" i="3"/>
  <c r="IJQ148" i="3"/>
  <c r="IJS148" i="3" s="1"/>
  <c r="IJK148" i="3"/>
  <c r="IJI148" i="3"/>
  <c r="IJA148" i="3"/>
  <c r="IJC148" i="3" s="1"/>
  <c r="IIU148" i="3"/>
  <c r="IIS148" i="3"/>
  <c r="IIM148" i="3"/>
  <c r="IIK148" i="3"/>
  <c r="IIE148" i="3"/>
  <c r="IIC148" i="3"/>
  <c r="IHU148" i="3"/>
  <c r="IHW148" i="3" s="1"/>
  <c r="IHO148" i="3"/>
  <c r="IHM148" i="3"/>
  <c r="IHG148" i="3"/>
  <c r="IHE148" i="3"/>
  <c r="IGW148" i="3"/>
  <c r="IGY148" i="3" s="1"/>
  <c r="IGQ148" i="3"/>
  <c r="IGO148" i="3"/>
  <c r="IGI148" i="3"/>
  <c r="IGG148" i="3"/>
  <c r="IFY148" i="3"/>
  <c r="IGA148" i="3" s="1"/>
  <c r="IFS148" i="3"/>
  <c r="IFQ148" i="3"/>
  <c r="IFI148" i="3"/>
  <c r="IFK148" i="3" s="1"/>
  <c r="IFA148" i="3"/>
  <c r="IFC148" i="3" s="1"/>
  <c r="IEU148" i="3"/>
  <c r="IES148" i="3"/>
  <c r="IEM148" i="3"/>
  <c r="IEK148" i="3"/>
  <c r="IEC148" i="3"/>
  <c r="IEE148" i="3" s="1"/>
  <c r="IDU148" i="3"/>
  <c r="IDW148" i="3" s="1"/>
  <c r="IDM148" i="3"/>
  <c r="IDO148" i="3" s="1"/>
  <c r="IDG148" i="3"/>
  <c r="IDE148" i="3"/>
  <c r="ICY148" i="3"/>
  <c r="ICW148" i="3"/>
  <c r="ICQ148" i="3"/>
  <c r="ICO148" i="3"/>
  <c r="ICG148" i="3"/>
  <c r="ICI148" i="3" s="1"/>
  <c r="ICA148" i="3"/>
  <c r="IBY148" i="3"/>
  <c r="IBQ148" i="3"/>
  <c r="IBS148" i="3" s="1"/>
  <c r="IBK148" i="3"/>
  <c r="IBI148" i="3"/>
  <c r="IBC148" i="3"/>
  <c r="IBA148" i="3"/>
  <c r="IAU148" i="3"/>
  <c r="IAS148" i="3"/>
  <c r="IAK148" i="3"/>
  <c r="IAM148" i="3" s="1"/>
  <c r="IAE148" i="3"/>
  <c r="IAC148" i="3"/>
  <c r="HZU148" i="3"/>
  <c r="HZW148" i="3" s="1"/>
  <c r="HZM148" i="3"/>
  <c r="HZO148" i="3" s="1"/>
  <c r="HZG148" i="3"/>
  <c r="HZE148" i="3"/>
  <c r="HYY148" i="3"/>
  <c r="HYW148" i="3"/>
  <c r="HYO148" i="3"/>
  <c r="HYQ148" i="3" s="1"/>
  <c r="HYG148" i="3"/>
  <c r="HYI148" i="3" s="1"/>
  <c r="HYA148" i="3"/>
  <c r="HXY148" i="3"/>
  <c r="HXQ148" i="3"/>
  <c r="HXS148" i="3" s="1"/>
  <c r="HXK148" i="3"/>
  <c r="HXI148" i="3"/>
  <c r="HXC148" i="3"/>
  <c r="HXA148" i="3"/>
  <c r="HWS148" i="3"/>
  <c r="HWU148" i="3" s="1"/>
  <c r="HWM148" i="3"/>
  <c r="HWK148" i="3"/>
  <c r="HWE148" i="3"/>
  <c r="HWC148" i="3"/>
  <c r="HVU148" i="3"/>
  <c r="HVW148" i="3" s="1"/>
  <c r="HVO148" i="3"/>
  <c r="HVM148" i="3"/>
  <c r="HVG148" i="3"/>
  <c r="HVE148" i="3"/>
  <c r="HUW148" i="3"/>
  <c r="HUY148" i="3" s="1"/>
  <c r="HUQ148" i="3"/>
  <c r="HUO148" i="3"/>
  <c r="HUG148" i="3"/>
  <c r="HUI148" i="3" s="1"/>
  <c r="HUA148" i="3"/>
  <c r="HTY148" i="3"/>
  <c r="HTS148" i="3"/>
  <c r="HTQ148" i="3"/>
  <c r="HTK148" i="3"/>
  <c r="HTI148" i="3"/>
  <c r="HTA148" i="3"/>
  <c r="HTC148" i="3" s="1"/>
  <c r="HSS148" i="3"/>
  <c r="HSU148" i="3" s="1"/>
  <c r="HSM148" i="3"/>
  <c r="HSK148" i="3"/>
  <c r="HSE148" i="3"/>
  <c r="HSC148" i="3"/>
  <c r="HRW148" i="3"/>
  <c r="HRU148" i="3"/>
  <c r="HRO148" i="3"/>
  <c r="HRM148" i="3"/>
  <c r="HRE148" i="3"/>
  <c r="HRG148" i="3" s="1"/>
  <c r="HQW148" i="3"/>
  <c r="HQY148" i="3" s="1"/>
  <c r="HQQ148" i="3"/>
  <c r="HQO148" i="3"/>
  <c r="HQG148" i="3"/>
  <c r="HQI148" i="3" s="1"/>
  <c r="HQA148" i="3"/>
  <c r="HPY148" i="3"/>
  <c r="HPS148" i="3"/>
  <c r="HPQ148" i="3"/>
  <c r="HPI148" i="3"/>
  <c r="HPK148" i="3" s="1"/>
  <c r="HPC148" i="3"/>
  <c r="HPA148" i="3"/>
  <c r="HOS148" i="3"/>
  <c r="HOU148" i="3" s="1"/>
  <c r="HOM148" i="3"/>
  <c r="HOK148" i="3"/>
  <c r="HOE148" i="3"/>
  <c r="HOC148" i="3"/>
  <c r="HNW148" i="3"/>
  <c r="HNU148" i="3"/>
  <c r="HNM148" i="3"/>
  <c r="HNO148" i="3" s="1"/>
  <c r="HNE148" i="3"/>
  <c r="HNG148" i="3" s="1"/>
  <c r="HMW148" i="3"/>
  <c r="HMY148" i="3" s="1"/>
  <c r="HMQ148" i="3"/>
  <c r="HMO148" i="3"/>
  <c r="HMI148" i="3"/>
  <c r="HMG148" i="3"/>
  <c r="HMA148" i="3"/>
  <c r="HLY148" i="3"/>
  <c r="HLQ148" i="3"/>
  <c r="HLS148" i="3" s="1"/>
  <c r="HLI148" i="3"/>
  <c r="HLK148" i="3" s="1"/>
  <c r="HLC148" i="3"/>
  <c r="HLA148" i="3"/>
  <c r="HKS148" i="3"/>
  <c r="HKU148" i="3" s="1"/>
  <c r="HKM148" i="3"/>
  <c r="HKK148" i="3"/>
  <c r="HKE148" i="3"/>
  <c r="HKC148" i="3"/>
  <c r="HJU148" i="3"/>
  <c r="HJW148" i="3" s="1"/>
  <c r="HJM148" i="3"/>
  <c r="HJO148" i="3" s="1"/>
  <c r="HJG148" i="3"/>
  <c r="HJE148" i="3"/>
  <c r="HIW148" i="3"/>
  <c r="HIY148" i="3" s="1"/>
  <c r="HIQ148" i="3"/>
  <c r="HIO148" i="3"/>
  <c r="HII148" i="3"/>
  <c r="HIG148" i="3"/>
  <c r="HHY148" i="3"/>
  <c r="HIA148" i="3" s="1"/>
  <c r="HHQ148" i="3"/>
  <c r="HHS148" i="3" s="1"/>
  <c r="HHI148" i="3"/>
  <c r="HHK148" i="3" s="1"/>
  <c r="HHC148" i="3"/>
  <c r="HHA148" i="3"/>
  <c r="HGU148" i="3"/>
  <c r="HGS148" i="3"/>
  <c r="HGM148" i="3"/>
  <c r="HGK148" i="3"/>
  <c r="HGC148" i="3"/>
  <c r="HGE148" i="3" s="1"/>
  <c r="HFW148" i="3"/>
  <c r="HFU148" i="3"/>
  <c r="HFM148" i="3"/>
  <c r="HFO148" i="3" s="1"/>
  <c r="HFE148" i="3"/>
  <c r="HFG148" i="3" s="1"/>
  <c r="HEY148" i="3"/>
  <c r="HEW148" i="3"/>
  <c r="HEQ148" i="3"/>
  <c r="HEO148" i="3"/>
  <c r="HEG148" i="3"/>
  <c r="HEI148" i="3" s="1"/>
  <c r="HEA148" i="3"/>
  <c r="HDY148" i="3"/>
  <c r="HDQ148" i="3"/>
  <c r="HDS148" i="3" s="1"/>
  <c r="HDI148" i="3"/>
  <c r="HDK148" i="3" s="1"/>
  <c r="HDC148" i="3"/>
  <c r="HDA148" i="3"/>
  <c r="HCU148" i="3"/>
  <c r="HCS148" i="3"/>
  <c r="HCK148" i="3"/>
  <c r="HCM148" i="3" s="1"/>
  <c r="HCC148" i="3"/>
  <c r="HCE148" i="3" s="1"/>
  <c r="HBW148" i="3"/>
  <c r="HBU148" i="3"/>
  <c r="HBM148" i="3"/>
  <c r="HBO148" i="3" s="1"/>
  <c r="HBG148" i="3"/>
  <c r="HBE148" i="3"/>
  <c r="HAY148" i="3"/>
  <c r="HAW148" i="3"/>
  <c r="HAO148" i="3"/>
  <c r="HAQ148" i="3" s="1"/>
  <c r="HAI148" i="3"/>
  <c r="HAG148" i="3"/>
  <c r="HAA148" i="3"/>
  <c r="GZY148" i="3"/>
  <c r="GZQ148" i="3"/>
  <c r="GZS148" i="3" s="1"/>
  <c r="GZK148" i="3"/>
  <c r="GZI148" i="3"/>
  <c r="GZC148" i="3"/>
  <c r="GZA148" i="3"/>
  <c r="GYS148" i="3"/>
  <c r="GYU148" i="3" s="1"/>
  <c r="GYM148" i="3"/>
  <c r="GYK148" i="3"/>
  <c r="GYC148" i="3"/>
  <c r="GYE148" i="3" s="1"/>
  <c r="GXW148" i="3"/>
  <c r="GXU148" i="3"/>
  <c r="GXO148" i="3"/>
  <c r="GXM148" i="3"/>
  <c r="GXG148" i="3"/>
  <c r="GXE148" i="3"/>
  <c r="GWW148" i="3"/>
  <c r="GWY148" i="3" s="1"/>
  <c r="GWO148" i="3"/>
  <c r="GWQ148" i="3" s="1"/>
  <c r="GWI148" i="3"/>
  <c r="GWG148" i="3"/>
  <c r="GWA148" i="3"/>
  <c r="GVY148" i="3"/>
  <c r="GVS148" i="3"/>
  <c r="GVQ148" i="3"/>
  <c r="GVK148" i="3"/>
  <c r="GVI148" i="3"/>
  <c r="GVA148" i="3"/>
  <c r="GVC148" i="3" s="1"/>
  <c r="GUS148" i="3"/>
  <c r="GUU148" i="3" s="1"/>
  <c r="GUM148" i="3"/>
  <c r="GUK148" i="3"/>
  <c r="GUC148" i="3"/>
  <c r="GUE148" i="3" s="1"/>
  <c r="GTW148" i="3"/>
  <c r="GTU148" i="3"/>
  <c r="GTO148" i="3"/>
  <c r="GTM148" i="3"/>
  <c r="GTE148" i="3"/>
  <c r="GTG148" i="3" s="1"/>
  <c r="GSY148" i="3"/>
  <c r="GSW148" i="3"/>
  <c r="GSO148" i="3"/>
  <c r="GSQ148" i="3" s="1"/>
  <c r="GSI148" i="3"/>
  <c r="GSG148" i="3"/>
  <c r="GSA148" i="3"/>
  <c r="GRY148" i="3"/>
  <c r="GRS148" i="3"/>
  <c r="GRQ148" i="3"/>
  <c r="GRI148" i="3"/>
  <c r="GRK148" i="3" s="1"/>
  <c r="GRA148" i="3"/>
  <c r="GRC148" i="3" s="1"/>
  <c r="GQS148" i="3"/>
  <c r="GQU148" i="3" s="1"/>
  <c r="GQM148" i="3"/>
  <c r="GQK148" i="3"/>
  <c r="GQE148" i="3"/>
  <c r="GQC148" i="3"/>
  <c r="GPW148" i="3"/>
  <c r="GPU148" i="3"/>
  <c r="GPM148" i="3"/>
  <c r="GPO148" i="3" s="1"/>
  <c r="GPE148" i="3"/>
  <c r="GPG148" i="3" s="1"/>
  <c r="GOY148" i="3"/>
  <c r="GOW148" i="3"/>
  <c r="GOO148" i="3"/>
  <c r="GOQ148" i="3" s="1"/>
  <c r="GOI148" i="3"/>
  <c r="GOG148" i="3"/>
  <c r="GOA148" i="3"/>
  <c r="GNY148" i="3"/>
  <c r="GNQ148" i="3"/>
  <c r="GNS148" i="3" s="1"/>
  <c r="GNI148" i="3"/>
  <c r="GNK148" i="3" s="1"/>
  <c r="GNA148" i="3"/>
  <c r="GNC148" i="3" s="1"/>
  <c r="GMS148" i="3"/>
  <c r="GMU148" i="3" s="1"/>
  <c r="GMM148" i="3"/>
  <c r="GMK148" i="3"/>
  <c r="GME148" i="3"/>
  <c r="GMC148" i="3"/>
  <c r="GLU148" i="3"/>
  <c r="GLW148" i="3" s="1"/>
  <c r="GLM148" i="3"/>
  <c r="GLO148" i="3" s="1"/>
  <c r="GLE148" i="3"/>
  <c r="GLG148" i="3" s="1"/>
  <c r="GKY148" i="3"/>
  <c r="GKW148" i="3"/>
  <c r="GKQ148" i="3"/>
  <c r="GKO148" i="3"/>
  <c r="GKI148" i="3"/>
  <c r="GKG148" i="3"/>
  <c r="GJY148" i="3"/>
  <c r="GKA148" i="3" s="1"/>
  <c r="GJS148" i="3"/>
  <c r="GJQ148" i="3"/>
  <c r="GJI148" i="3"/>
  <c r="GJK148" i="3" s="1"/>
  <c r="GJC148" i="3"/>
  <c r="GJA148" i="3"/>
  <c r="GIU148" i="3"/>
  <c r="GIS148" i="3"/>
  <c r="GIM148" i="3"/>
  <c r="GIK148" i="3"/>
  <c r="GIC148" i="3"/>
  <c r="GIE148" i="3" s="1"/>
  <c r="GHW148" i="3"/>
  <c r="GHU148" i="3"/>
  <c r="GHM148" i="3"/>
  <c r="GHO148" i="3" s="1"/>
  <c r="GHE148" i="3"/>
  <c r="GHG148" i="3" s="1"/>
  <c r="GGY148" i="3"/>
  <c r="GGW148" i="3"/>
  <c r="GGQ148" i="3"/>
  <c r="GGO148" i="3"/>
  <c r="GGG148" i="3"/>
  <c r="GGI148" i="3" s="1"/>
  <c r="GFY148" i="3"/>
  <c r="GGA148" i="3" s="1"/>
  <c r="GFS148" i="3"/>
  <c r="GFQ148" i="3"/>
  <c r="GFI148" i="3"/>
  <c r="GFK148" i="3" s="1"/>
  <c r="GFC148" i="3"/>
  <c r="GFA148" i="3"/>
  <c r="GEU148" i="3"/>
  <c r="GES148" i="3"/>
  <c r="GEK148" i="3"/>
  <c r="GEM148" i="3" s="1"/>
  <c r="GEE148" i="3"/>
  <c r="GEC148" i="3"/>
  <c r="GDW148" i="3"/>
  <c r="GDU148" i="3"/>
  <c r="GDM148" i="3"/>
  <c r="GDO148" i="3" s="1"/>
  <c r="GDG148" i="3"/>
  <c r="GDE148" i="3"/>
  <c r="GCY148" i="3"/>
  <c r="GCW148" i="3"/>
  <c r="GCO148" i="3"/>
  <c r="GCQ148" i="3" s="1"/>
  <c r="GCI148" i="3"/>
  <c r="GCG148" i="3"/>
  <c r="GBY148" i="3"/>
  <c r="GCA148" i="3" s="1"/>
  <c r="GBS148" i="3"/>
  <c r="GBQ148" i="3"/>
  <c r="GBK148" i="3"/>
  <c r="GBI148" i="3"/>
  <c r="GBC148" i="3"/>
  <c r="GBA148" i="3"/>
  <c r="GAS148" i="3"/>
  <c r="GAU148" i="3" s="1"/>
  <c r="GAM148" i="3"/>
  <c r="GAK148" i="3"/>
  <c r="GAE148" i="3"/>
  <c r="GAC148" i="3"/>
  <c r="FZW148" i="3"/>
  <c r="FZU148" i="3"/>
  <c r="FZO148" i="3"/>
  <c r="FZM148" i="3"/>
  <c r="FZG148" i="3"/>
  <c r="FZE148" i="3"/>
  <c r="FYW148" i="3"/>
  <c r="FYY148" i="3" s="1"/>
  <c r="FYO148" i="3"/>
  <c r="FYQ148" i="3" s="1"/>
  <c r="FYI148" i="3"/>
  <c r="FYG148" i="3"/>
  <c r="FXY148" i="3"/>
  <c r="FYA148" i="3" s="1"/>
  <c r="FXS148" i="3"/>
  <c r="FXQ148" i="3"/>
  <c r="FXK148" i="3"/>
  <c r="FXI148" i="3"/>
  <c r="FXA148" i="3"/>
  <c r="FXC148" i="3" s="1"/>
  <c r="FWU148" i="3"/>
  <c r="FWS148" i="3"/>
  <c r="FWM148" i="3"/>
  <c r="FWK148" i="3"/>
  <c r="FWE148" i="3"/>
  <c r="FWC148" i="3"/>
  <c r="FVW148" i="3"/>
  <c r="FVU148" i="3"/>
  <c r="FVO148" i="3"/>
  <c r="FVM148" i="3"/>
  <c r="FVE148" i="3"/>
  <c r="FVG148" i="3" s="1"/>
  <c r="FUW148" i="3"/>
  <c r="FUY148" i="3" s="1"/>
  <c r="FUO148" i="3"/>
  <c r="FUQ148" i="3" s="1"/>
  <c r="FUI148" i="3"/>
  <c r="FUG148" i="3"/>
  <c r="FUA148" i="3"/>
  <c r="FTY148" i="3"/>
  <c r="FTS148" i="3"/>
  <c r="FTQ148" i="3"/>
  <c r="FTI148" i="3"/>
  <c r="FTK148" i="3" s="1"/>
  <c r="FTA148" i="3"/>
  <c r="FTC148" i="3" s="1"/>
  <c r="FSU148" i="3"/>
  <c r="FSS148" i="3"/>
  <c r="FSK148" i="3"/>
  <c r="FSM148" i="3" s="1"/>
  <c r="FSE148" i="3"/>
  <c r="FSC148" i="3"/>
  <c r="FRW148" i="3"/>
  <c r="FRU148" i="3"/>
  <c r="FRM148" i="3"/>
  <c r="FRO148" i="3" s="1"/>
  <c r="FRE148" i="3"/>
  <c r="FRG148" i="3" s="1"/>
  <c r="FQY148" i="3"/>
  <c r="FQW148" i="3"/>
  <c r="FQO148" i="3"/>
  <c r="FQQ148" i="3" s="1"/>
  <c r="FQI148" i="3"/>
  <c r="FQG148" i="3"/>
  <c r="FQA148" i="3"/>
  <c r="FPY148" i="3"/>
  <c r="FPQ148" i="3"/>
  <c r="FPS148" i="3" s="1"/>
  <c r="FPI148" i="3"/>
  <c r="FPK148" i="3" s="1"/>
  <c r="FPA148" i="3"/>
  <c r="FPC148" i="3" s="1"/>
  <c r="FOU148" i="3"/>
  <c r="FOS148" i="3"/>
  <c r="FOM148" i="3"/>
  <c r="FOK148" i="3"/>
  <c r="FOE148" i="3"/>
  <c r="FOC148" i="3"/>
  <c r="FNU148" i="3"/>
  <c r="FNW148" i="3" s="1"/>
  <c r="FNO148" i="3"/>
  <c r="FNM148" i="3"/>
  <c r="FNE148" i="3"/>
  <c r="FNG148" i="3" s="1"/>
  <c r="FMY148" i="3"/>
  <c r="FMW148" i="3"/>
  <c r="FMQ148" i="3"/>
  <c r="FMO148" i="3"/>
  <c r="FMI148" i="3"/>
  <c r="FMG148" i="3"/>
  <c r="FLY148" i="3"/>
  <c r="FMA148" i="3" s="1"/>
  <c r="FLS148" i="3"/>
  <c r="FLQ148" i="3"/>
  <c r="FLI148" i="3"/>
  <c r="FLK148" i="3" s="1"/>
  <c r="FLA148" i="3"/>
  <c r="FLC148" i="3" s="1"/>
  <c r="FKU148" i="3"/>
  <c r="FKS148" i="3"/>
  <c r="FKM148" i="3"/>
  <c r="FKK148" i="3"/>
  <c r="FKC148" i="3"/>
  <c r="FKE148" i="3" s="1"/>
  <c r="FJU148" i="3"/>
  <c r="FJW148" i="3" s="1"/>
  <c r="FJO148" i="3"/>
  <c r="FJM148" i="3"/>
  <c r="FJE148" i="3"/>
  <c r="FJG148" i="3" s="1"/>
  <c r="FIY148" i="3"/>
  <c r="FIW148" i="3"/>
  <c r="FIQ148" i="3"/>
  <c r="FIO148" i="3"/>
  <c r="FIG148" i="3"/>
  <c r="FII148" i="3" s="1"/>
  <c r="FIA148" i="3"/>
  <c r="FHY148" i="3"/>
  <c r="FHS148" i="3"/>
  <c r="FHQ148" i="3"/>
  <c r="FHI148" i="3"/>
  <c r="FHK148" i="3" s="1"/>
  <c r="FHC148" i="3"/>
  <c r="FHA148" i="3"/>
  <c r="FGU148" i="3"/>
  <c r="FGS148" i="3"/>
  <c r="FGK148" i="3"/>
  <c r="FGM148" i="3" s="1"/>
  <c r="FGE148" i="3"/>
  <c r="FGC148" i="3"/>
  <c r="FFU148" i="3"/>
  <c r="FFW148" i="3" s="1"/>
  <c r="FFO148" i="3"/>
  <c r="FFM148" i="3"/>
  <c r="FFG148" i="3"/>
  <c r="FFE148" i="3"/>
  <c r="FEY148" i="3"/>
  <c r="FEW148" i="3"/>
  <c r="FEO148" i="3"/>
  <c r="FEQ148" i="3" s="1"/>
  <c r="FEG148" i="3"/>
  <c r="FEI148" i="3" s="1"/>
  <c r="FEA148" i="3"/>
  <c r="FDY148" i="3"/>
  <c r="FDS148" i="3"/>
  <c r="FDQ148" i="3"/>
  <c r="FDK148" i="3"/>
  <c r="FDI148" i="3"/>
  <c r="FDC148" i="3"/>
  <c r="FDA148" i="3"/>
  <c r="FCS148" i="3"/>
  <c r="FCU148" i="3" s="1"/>
  <c r="FCK148" i="3"/>
  <c r="FCM148" i="3" s="1"/>
  <c r="FCE148" i="3"/>
  <c r="FCC148" i="3"/>
  <c r="FBU148" i="3"/>
  <c r="FBW148" i="3" s="1"/>
  <c r="FBO148" i="3"/>
  <c r="FBM148" i="3"/>
  <c r="FBG148" i="3"/>
  <c r="FBE148" i="3"/>
  <c r="FAW148" i="3"/>
  <c r="FAY148" i="3" s="1"/>
  <c r="FAQ148" i="3"/>
  <c r="FAO148" i="3"/>
  <c r="FAG148" i="3"/>
  <c r="FAI148" i="3" s="1"/>
  <c r="FAA148" i="3"/>
  <c r="EZY148" i="3"/>
  <c r="EZS148" i="3"/>
  <c r="EZQ148" i="3"/>
  <c r="EZK148" i="3"/>
  <c r="EZI148" i="3"/>
  <c r="EZA148" i="3"/>
  <c r="EZC148" i="3" s="1"/>
  <c r="EYU148" i="3"/>
  <c r="EYS148" i="3"/>
  <c r="EYK148" i="3"/>
  <c r="EYM148" i="3" s="1"/>
  <c r="EYE148" i="3"/>
  <c r="EYC148" i="3"/>
  <c r="EXW148" i="3"/>
  <c r="EXU148" i="3"/>
  <c r="EXO148" i="3"/>
  <c r="EXM148" i="3"/>
  <c r="EXE148" i="3"/>
  <c r="EXG148" i="3" s="1"/>
  <c r="EWY148" i="3"/>
  <c r="EWW148" i="3"/>
  <c r="EWQ148" i="3"/>
  <c r="EWO148" i="3"/>
  <c r="EWI148" i="3"/>
  <c r="EWG148" i="3"/>
  <c r="EWA148" i="3"/>
  <c r="EVY148" i="3"/>
  <c r="EVS148" i="3"/>
  <c r="EVQ148" i="3"/>
  <c r="EVI148" i="3"/>
  <c r="EVK148" i="3" s="1"/>
  <c r="EVA148" i="3"/>
  <c r="EVC148" i="3" s="1"/>
  <c r="EUU148" i="3"/>
  <c r="EUS148" i="3"/>
  <c r="EUK148" i="3"/>
  <c r="EUM148" i="3" s="1"/>
  <c r="EUE148" i="3"/>
  <c r="EUC148" i="3"/>
  <c r="ETU148" i="3"/>
  <c r="ETW148" i="3" s="1"/>
  <c r="ETM148" i="3"/>
  <c r="ETO148" i="3" s="1"/>
  <c r="ETE148" i="3"/>
  <c r="ETG148" i="3" s="1"/>
  <c r="ESY148" i="3"/>
  <c r="ESW148" i="3"/>
  <c r="ESQ148" i="3"/>
  <c r="ESO148" i="3"/>
  <c r="ESI148" i="3"/>
  <c r="ESG148" i="3"/>
  <c r="ESA148" i="3"/>
  <c r="ERY148" i="3"/>
  <c r="ERQ148" i="3"/>
  <c r="ERS148" i="3" s="1"/>
  <c r="ERK148" i="3"/>
  <c r="ERI148" i="3"/>
  <c r="ERA148" i="3"/>
  <c r="ERC148" i="3" s="1"/>
  <c r="EQU148" i="3"/>
  <c r="EQS148" i="3"/>
  <c r="EQM148" i="3"/>
  <c r="EQK148" i="3"/>
  <c r="EQE148" i="3"/>
  <c r="EQC148" i="3"/>
  <c r="EPU148" i="3"/>
  <c r="EPW148" i="3" s="1"/>
  <c r="EPO148" i="3"/>
  <c r="EPM148" i="3"/>
  <c r="EPE148" i="3"/>
  <c r="EPG148" i="3" s="1"/>
  <c r="EOW148" i="3"/>
  <c r="EOY148" i="3" s="1"/>
  <c r="EOQ148" i="3"/>
  <c r="EOO148" i="3"/>
  <c r="EOI148" i="3"/>
  <c r="EOG148" i="3"/>
  <c r="ENY148" i="3"/>
  <c r="EOA148" i="3" s="1"/>
  <c r="ENQ148" i="3"/>
  <c r="ENS148" i="3" s="1"/>
  <c r="ENK148" i="3"/>
  <c r="ENI148" i="3"/>
  <c r="ENA148" i="3"/>
  <c r="ENC148" i="3" s="1"/>
  <c r="EMU148" i="3"/>
  <c r="EMS148" i="3"/>
  <c r="EMK148" i="3"/>
  <c r="EMM148" i="3" s="1"/>
  <c r="EMC148" i="3"/>
  <c r="EME148" i="3" s="1"/>
  <c r="ELW148" i="3"/>
  <c r="ELU148" i="3"/>
  <c r="ELO148" i="3"/>
  <c r="ELM148" i="3"/>
  <c r="ELE148" i="3"/>
  <c r="ELG148" i="3" s="1"/>
  <c r="EKY148" i="3"/>
  <c r="EKW148" i="3"/>
  <c r="EKQ148" i="3"/>
  <c r="EKO148" i="3"/>
  <c r="EKG148" i="3"/>
  <c r="EKI148" i="3" s="1"/>
  <c r="EKA148" i="3"/>
  <c r="EJY148" i="3"/>
  <c r="EJQ148" i="3"/>
  <c r="EJS148" i="3" s="1"/>
  <c r="EJK148" i="3"/>
  <c r="EJI148" i="3"/>
  <c r="EJC148" i="3"/>
  <c r="EJA148" i="3"/>
  <c r="EIU148" i="3"/>
  <c r="EIS148" i="3"/>
  <c r="EIK148" i="3"/>
  <c r="EIM148" i="3" s="1"/>
  <c r="EIC148" i="3"/>
  <c r="EIE148" i="3" s="1"/>
  <c r="EHW148" i="3"/>
  <c r="EHU148" i="3"/>
  <c r="EHO148" i="3"/>
  <c r="EHM148" i="3"/>
  <c r="EHG148" i="3"/>
  <c r="EHE148" i="3"/>
  <c r="EGY148" i="3"/>
  <c r="EGW148" i="3"/>
  <c r="EGO148" i="3"/>
  <c r="EGQ148" i="3" s="1"/>
  <c r="EGI148" i="3"/>
  <c r="EGG148" i="3"/>
  <c r="EGA148" i="3"/>
  <c r="EFY148" i="3"/>
  <c r="EFQ148" i="3"/>
  <c r="EFS148" i="3" s="1"/>
  <c r="EFK148" i="3"/>
  <c r="EFI148" i="3"/>
  <c r="EFA148" i="3"/>
  <c r="EFC148" i="3" s="1"/>
  <c r="EES148" i="3"/>
  <c r="EEU148" i="3" s="1"/>
  <c r="EEM148" i="3"/>
  <c r="EEK148" i="3"/>
  <c r="EEC148" i="3"/>
  <c r="EEE148" i="3" s="1"/>
  <c r="EDW148" i="3"/>
  <c r="EDU148" i="3"/>
  <c r="EDO148" i="3"/>
  <c r="EDM148" i="3"/>
  <c r="EDE148" i="3"/>
  <c r="EDG148" i="3" s="1"/>
  <c r="ECW148" i="3"/>
  <c r="ECY148" i="3" s="1"/>
  <c r="ECQ148" i="3"/>
  <c r="ECO148" i="3"/>
  <c r="ECI148" i="3"/>
  <c r="ECG148" i="3"/>
  <c r="ECA148" i="3"/>
  <c r="EBY148" i="3"/>
  <c r="EBS148" i="3"/>
  <c r="EBQ148" i="3"/>
  <c r="EBK148" i="3"/>
  <c r="EBI148" i="3"/>
  <c r="EBA148" i="3"/>
  <c r="EBC148" i="3" s="1"/>
  <c r="EAU148" i="3"/>
  <c r="EAS148" i="3"/>
  <c r="EAM148" i="3"/>
  <c r="EAK148" i="3"/>
  <c r="EAE148" i="3"/>
  <c r="EAC148" i="3"/>
  <c r="DZW148" i="3"/>
  <c r="DZU148" i="3"/>
  <c r="DZO148" i="3"/>
  <c r="DZM148" i="3"/>
  <c r="DZE148" i="3"/>
  <c r="DZG148" i="3" s="1"/>
  <c r="DYW148" i="3"/>
  <c r="DYY148" i="3" s="1"/>
  <c r="DYQ148" i="3"/>
  <c r="DYO148" i="3"/>
  <c r="DYI148" i="3"/>
  <c r="DYG148" i="3"/>
  <c r="DYA148" i="3"/>
  <c r="DXY148" i="3"/>
  <c r="DXQ148" i="3"/>
  <c r="DXS148" i="3" s="1"/>
  <c r="DXI148" i="3"/>
  <c r="DXK148" i="3" s="1"/>
  <c r="DXA148" i="3"/>
  <c r="DXC148" i="3" s="1"/>
  <c r="DWS148" i="3"/>
  <c r="DWU148" i="3" s="1"/>
  <c r="DWK148" i="3"/>
  <c r="DWM148" i="3" s="1"/>
  <c r="DWE148" i="3"/>
  <c r="DWC148" i="3"/>
  <c r="DVW148" i="3"/>
  <c r="DVU148" i="3"/>
  <c r="DVM148" i="3"/>
  <c r="DVO148" i="3" s="1"/>
  <c r="DVG148" i="3"/>
  <c r="DVE148" i="3"/>
  <c r="DUW148" i="3"/>
  <c r="DUY148" i="3" s="1"/>
  <c r="DUO148" i="3"/>
  <c r="DUQ148" i="3" s="1"/>
  <c r="DUI148" i="3"/>
  <c r="DUG148" i="3"/>
  <c r="DUA148" i="3"/>
  <c r="DTY148" i="3"/>
  <c r="DTQ148" i="3"/>
  <c r="DTS148" i="3" s="1"/>
  <c r="DTK148" i="3"/>
  <c r="DTI148" i="3"/>
  <c r="DTA148" i="3"/>
  <c r="DTC148" i="3" s="1"/>
  <c r="DSS148" i="3"/>
  <c r="DSU148" i="3" s="1"/>
  <c r="DSM148" i="3"/>
  <c r="DSK148" i="3"/>
  <c r="DSC148" i="3"/>
  <c r="DSE148" i="3" s="1"/>
  <c r="DRU148" i="3"/>
  <c r="DRW148" i="3" s="1"/>
  <c r="DRM148" i="3"/>
  <c r="DRO148" i="3" s="1"/>
  <c r="DRG148" i="3"/>
  <c r="DRE148" i="3"/>
  <c r="DQW148" i="3"/>
  <c r="DQY148" i="3" s="1"/>
  <c r="DQQ148" i="3"/>
  <c r="DQO148" i="3"/>
  <c r="DQG148" i="3"/>
  <c r="DQI148" i="3" s="1"/>
  <c r="DPY148" i="3"/>
  <c r="DQA148" i="3" s="1"/>
  <c r="DPS148" i="3"/>
  <c r="DPQ148" i="3"/>
  <c r="DPK148" i="3"/>
  <c r="DPI148" i="3"/>
  <c r="DPA148" i="3"/>
  <c r="DPC148" i="3" s="1"/>
  <c r="DOU148" i="3"/>
  <c r="DOS148" i="3"/>
  <c r="DOM148" i="3"/>
  <c r="DOK148" i="3"/>
  <c r="DOC148" i="3"/>
  <c r="DOE148" i="3" s="1"/>
  <c r="DNW148" i="3"/>
  <c r="DNU148" i="3"/>
  <c r="DNM148" i="3"/>
  <c r="DNO148" i="3" s="1"/>
  <c r="DNG148" i="3"/>
  <c r="DNE148" i="3"/>
  <c r="DMY148" i="3"/>
  <c r="DMW148" i="3"/>
  <c r="DMQ148" i="3"/>
  <c r="DMO148" i="3"/>
  <c r="DMG148" i="3"/>
  <c r="DMI148" i="3" s="1"/>
  <c r="DLY148" i="3"/>
  <c r="DMA148" i="3" s="1"/>
  <c r="DLS148" i="3"/>
  <c r="DLQ148" i="3"/>
  <c r="DLK148" i="3"/>
  <c r="DLI148" i="3"/>
  <c r="DLC148" i="3"/>
  <c r="DLA148" i="3"/>
  <c r="DKU148" i="3"/>
  <c r="DKS148" i="3"/>
  <c r="DKK148" i="3"/>
  <c r="DKM148" i="3" s="1"/>
  <c r="DKE148" i="3"/>
  <c r="DKC148" i="3"/>
  <c r="DJW148" i="3"/>
  <c r="DJU148" i="3"/>
  <c r="DJM148" i="3"/>
  <c r="DJO148" i="3" s="1"/>
  <c r="DJG148" i="3"/>
  <c r="DJE148" i="3"/>
  <c r="DIW148" i="3"/>
  <c r="DIY148" i="3" s="1"/>
  <c r="DIO148" i="3"/>
  <c r="DIQ148" i="3" s="1"/>
  <c r="DII148" i="3"/>
  <c r="DIG148" i="3"/>
  <c r="DHY148" i="3"/>
  <c r="DIA148" i="3" s="1"/>
  <c r="DHS148" i="3"/>
  <c r="DHQ148" i="3"/>
  <c r="DHK148" i="3"/>
  <c r="DHI148" i="3"/>
  <c r="DHA148" i="3"/>
  <c r="DHC148" i="3" s="1"/>
  <c r="DGS148" i="3"/>
  <c r="DGU148" i="3" s="1"/>
  <c r="DGM148" i="3"/>
  <c r="DGK148" i="3"/>
  <c r="DGE148" i="3"/>
  <c r="DGC148" i="3"/>
  <c r="DFW148" i="3"/>
  <c r="DFU148" i="3"/>
  <c r="DFO148" i="3"/>
  <c r="DFM148" i="3"/>
  <c r="DFG148" i="3"/>
  <c r="DFE148" i="3"/>
  <c r="DEW148" i="3"/>
  <c r="DEY148" i="3" s="1"/>
  <c r="DEO148" i="3"/>
  <c r="DEQ148" i="3" s="1"/>
  <c r="DEI148" i="3"/>
  <c r="DEG148" i="3"/>
  <c r="DEA148" i="3"/>
  <c r="DDY148" i="3"/>
  <c r="DDS148" i="3"/>
  <c r="DDQ148" i="3"/>
  <c r="DDK148" i="3"/>
  <c r="DDI148" i="3"/>
  <c r="DDA148" i="3"/>
  <c r="DDC148" i="3" s="1"/>
  <c r="DCS148" i="3"/>
  <c r="DCU148" i="3" s="1"/>
  <c r="DCK148" i="3"/>
  <c r="DCM148" i="3" s="1"/>
  <c r="DCE148" i="3"/>
  <c r="DCC148" i="3"/>
  <c r="DBW148" i="3"/>
  <c r="DBU148" i="3"/>
  <c r="DBM148" i="3"/>
  <c r="DBO148" i="3" s="1"/>
  <c r="DBE148" i="3"/>
  <c r="DBG148" i="3" s="1"/>
  <c r="DAW148" i="3"/>
  <c r="DAY148" i="3" s="1"/>
  <c r="DAO148" i="3"/>
  <c r="DAQ148" i="3" s="1"/>
  <c r="DAG148" i="3"/>
  <c r="DAI148" i="3" s="1"/>
  <c r="DAA148" i="3"/>
  <c r="CZY148" i="3"/>
  <c r="CZS148" i="3"/>
  <c r="CZQ148" i="3"/>
  <c r="CZK148" i="3"/>
  <c r="CZI148" i="3"/>
  <c r="CZA148" i="3"/>
  <c r="CZC148" i="3" s="1"/>
  <c r="CYS148" i="3"/>
  <c r="CYU148" i="3" s="1"/>
  <c r="CYM148" i="3"/>
  <c r="CYK148" i="3"/>
  <c r="CYE148" i="3"/>
  <c r="CYC148" i="3"/>
  <c r="CXW148" i="3"/>
  <c r="CXU148" i="3"/>
  <c r="CXO148" i="3"/>
  <c r="CXM148" i="3"/>
  <c r="CXE148" i="3"/>
  <c r="CXG148" i="3" s="1"/>
  <c r="CWW148" i="3"/>
  <c r="CWY148" i="3" s="1"/>
  <c r="CWO148" i="3"/>
  <c r="CWQ148" i="3" s="1"/>
  <c r="CWI148" i="3"/>
  <c r="CWG148" i="3"/>
  <c r="CWA148" i="3"/>
  <c r="CVY148" i="3"/>
  <c r="CVS148" i="3"/>
  <c r="CVQ148" i="3"/>
  <c r="CVI148" i="3"/>
  <c r="CVK148" i="3" s="1"/>
  <c r="CVC148" i="3"/>
  <c r="CVA148" i="3"/>
  <c r="CUS148" i="3"/>
  <c r="CUU148" i="3" s="1"/>
  <c r="CUM148" i="3"/>
  <c r="CUK148" i="3"/>
  <c r="CUE148" i="3"/>
  <c r="CUC148" i="3"/>
  <c r="CTW148" i="3"/>
  <c r="CTU148" i="3"/>
  <c r="CTM148" i="3"/>
  <c r="CTO148" i="3" s="1"/>
  <c r="CTE148" i="3"/>
  <c r="CTG148" i="3" s="1"/>
  <c r="CSW148" i="3"/>
  <c r="CSY148" i="3" s="1"/>
  <c r="CSQ148" i="3"/>
  <c r="CSO148" i="3"/>
  <c r="CSI148" i="3"/>
  <c r="CSG148" i="3"/>
  <c r="CSA148" i="3"/>
  <c r="CRY148" i="3"/>
  <c r="CRQ148" i="3"/>
  <c r="CRS148" i="3" s="1"/>
  <c r="CRK148" i="3"/>
  <c r="CRI148" i="3"/>
  <c r="CRC148" i="3"/>
  <c r="CRA148" i="3"/>
  <c r="CQU148" i="3"/>
  <c r="CQS148" i="3"/>
  <c r="CQM148" i="3"/>
  <c r="CQK148" i="3"/>
  <c r="CQE148" i="3"/>
  <c r="CQC148" i="3"/>
  <c r="CPU148" i="3"/>
  <c r="CPW148" i="3" s="1"/>
  <c r="CPO148" i="3"/>
  <c r="CPM148" i="3"/>
  <c r="CPE148" i="3"/>
  <c r="CPG148" i="3" s="1"/>
  <c r="COY148" i="3"/>
  <c r="COW148" i="3"/>
  <c r="COQ148" i="3"/>
  <c r="COO148" i="3"/>
  <c r="COI148" i="3"/>
  <c r="COG148" i="3"/>
  <c r="CNY148" i="3"/>
  <c r="COA148" i="3" s="1"/>
  <c r="CNS148" i="3"/>
  <c r="CNQ148" i="3"/>
  <c r="CNK148" i="3"/>
  <c r="CNI148" i="3"/>
  <c r="CNC148" i="3"/>
  <c r="CNA148" i="3"/>
  <c r="CMU148" i="3"/>
  <c r="CMS148" i="3"/>
  <c r="CMM148" i="3"/>
  <c r="CMK148" i="3"/>
  <c r="CMC148" i="3"/>
  <c r="CME148" i="3" s="1"/>
  <c r="CLW148" i="3"/>
  <c r="CLU148" i="3"/>
  <c r="CLO148" i="3"/>
  <c r="CLM148" i="3"/>
  <c r="CLG148" i="3"/>
  <c r="CLE148" i="3"/>
  <c r="CKY148" i="3"/>
  <c r="CKW148" i="3"/>
  <c r="CKQ148" i="3"/>
  <c r="CKO148" i="3"/>
  <c r="CKG148" i="3"/>
  <c r="CKI148" i="3" s="1"/>
  <c r="CKA148" i="3"/>
  <c r="CJY148" i="3"/>
  <c r="CJS148" i="3"/>
  <c r="CJQ148" i="3"/>
  <c r="CJK148" i="3"/>
  <c r="CJI148" i="3"/>
  <c r="CJC148" i="3"/>
  <c r="CJA148" i="3"/>
  <c r="CIU148" i="3"/>
  <c r="CIS148" i="3"/>
  <c r="CIK148" i="3"/>
  <c r="CIM148" i="3" s="1"/>
  <c r="CIC148" i="3"/>
  <c r="CIE148" i="3" s="1"/>
  <c r="CHW148" i="3"/>
  <c r="CHU148" i="3"/>
  <c r="CHO148" i="3"/>
  <c r="CHM148" i="3"/>
  <c r="CHG148" i="3"/>
  <c r="CHE148" i="3"/>
  <c r="CGY148" i="3"/>
  <c r="CGW148" i="3"/>
  <c r="CGO148" i="3"/>
  <c r="CGQ148" i="3" s="1"/>
  <c r="CGI148" i="3"/>
  <c r="CGG148" i="3"/>
  <c r="CFY148" i="3"/>
  <c r="CGA148" i="3" s="1"/>
  <c r="CFS148" i="3"/>
  <c r="CFQ148" i="3"/>
  <c r="CFK148" i="3"/>
  <c r="CFI148" i="3"/>
  <c r="CFC148" i="3"/>
  <c r="CFA148" i="3"/>
  <c r="CES148" i="3"/>
  <c r="CEU148" i="3" s="1"/>
  <c r="CEK148" i="3"/>
  <c r="CEM148" i="3" s="1"/>
  <c r="CEC148" i="3"/>
  <c r="CEE148" i="3" s="1"/>
  <c r="CDW148" i="3"/>
  <c r="CDU148" i="3"/>
  <c r="CDO148" i="3"/>
  <c r="CDM148" i="3"/>
  <c r="CDG148" i="3"/>
  <c r="CDE148" i="3"/>
  <c r="CCW148" i="3"/>
  <c r="CCY148" i="3" s="1"/>
  <c r="CCQ148" i="3"/>
  <c r="CCO148" i="3"/>
  <c r="CCI148" i="3"/>
  <c r="CCG148" i="3"/>
  <c r="CCA148" i="3"/>
  <c r="CBY148" i="3"/>
  <c r="CBS148" i="3"/>
  <c r="CBQ148" i="3"/>
  <c r="CBK148" i="3"/>
  <c r="CBI148" i="3"/>
  <c r="CBA148" i="3"/>
  <c r="CBC148" i="3" s="1"/>
  <c r="CAS148" i="3"/>
  <c r="CAU148" i="3" s="1"/>
  <c r="CAK148" i="3"/>
  <c r="CAM148" i="3" s="1"/>
  <c r="CAE148" i="3"/>
  <c r="CAC148" i="3"/>
  <c r="BZW148" i="3"/>
  <c r="BZU148" i="3"/>
  <c r="BZO148" i="3"/>
  <c r="BZM148" i="3"/>
  <c r="BZE148" i="3"/>
  <c r="BZG148" i="3" s="1"/>
  <c r="BYY148" i="3"/>
  <c r="BYW148" i="3"/>
  <c r="BYQ148" i="3"/>
  <c r="BYO148" i="3"/>
  <c r="BYI148" i="3"/>
  <c r="BYG148" i="3"/>
  <c r="BYA148" i="3"/>
  <c r="BXY148" i="3"/>
  <c r="BXS148" i="3"/>
  <c r="BXQ148" i="3"/>
  <c r="BXI148" i="3"/>
  <c r="BXK148" i="3" s="1"/>
  <c r="BXA148" i="3"/>
  <c r="BXC148" i="3" s="1"/>
  <c r="BWS148" i="3"/>
  <c r="BWU148" i="3" s="1"/>
  <c r="BWM148" i="3"/>
  <c r="BWK148" i="3"/>
  <c r="BWE148" i="3"/>
  <c r="BWC148" i="3"/>
  <c r="BVW148" i="3"/>
  <c r="BVU148" i="3"/>
  <c r="BVM148" i="3"/>
  <c r="BVO148" i="3" s="1"/>
  <c r="BVG148" i="3"/>
  <c r="BVE148" i="3"/>
  <c r="BUY148" i="3"/>
  <c r="BUW148" i="3"/>
  <c r="BUQ148" i="3"/>
  <c r="BUO148" i="3"/>
  <c r="BUI148" i="3"/>
  <c r="BUG148" i="3"/>
  <c r="BUA148" i="3"/>
  <c r="BTY148" i="3"/>
  <c r="BTQ148" i="3"/>
  <c r="BTS148" i="3" s="1"/>
  <c r="BTK148" i="3"/>
  <c r="BTI148" i="3"/>
  <c r="BTA148" i="3"/>
  <c r="BTC148" i="3" s="1"/>
  <c r="BSU148" i="3"/>
  <c r="BSS148" i="3"/>
  <c r="BSM148" i="3"/>
  <c r="BSK148" i="3"/>
  <c r="BSE148" i="3"/>
  <c r="BSC148" i="3"/>
  <c r="BRU148" i="3"/>
  <c r="BRW148" i="3" s="1"/>
  <c r="BRO148" i="3"/>
  <c r="BRM148" i="3"/>
  <c r="BRG148" i="3"/>
  <c r="BRE148" i="3"/>
  <c r="BQY148" i="3"/>
  <c r="BQW148" i="3"/>
  <c r="BQQ148" i="3"/>
  <c r="BQO148" i="3"/>
  <c r="BQI148" i="3"/>
  <c r="BQG148" i="3"/>
  <c r="BPY148" i="3"/>
  <c r="BQA148" i="3" s="1"/>
  <c r="BPS148" i="3"/>
  <c r="BPQ148" i="3"/>
  <c r="BPK148" i="3"/>
  <c r="BPI148" i="3"/>
  <c r="BPC148" i="3"/>
  <c r="BPA148" i="3"/>
  <c r="BOU148" i="3"/>
  <c r="BOS148" i="3"/>
  <c r="BOM148" i="3"/>
  <c r="BOK148" i="3"/>
  <c r="BOC148" i="3"/>
  <c r="BOE148" i="3" s="1"/>
  <c r="BNU148" i="3"/>
  <c r="BNW148" i="3" s="1"/>
  <c r="BNO148" i="3"/>
  <c r="BNM148" i="3"/>
  <c r="BNG148" i="3"/>
  <c r="BNE148" i="3"/>
  <c r="BMY148" i="3"/>
  <c r="BMW148" i="3"/>
  <c r="BMQ148" i="3"/>
  <c r="BMO148" i="3"/>
  <c r="BMG148" i="3"/>
  <c r="BMI148" i="3" s="1"/>
  <c r="BLY148" i="3"/>
  <c r="BMA148" i="3" s="1"/>
  <c r="BLS148" i="3"/>
  <c r="BLQ148" i="3"/>
  <c r="BLK148" i="3"/>
  <c r="BLI148" i="3"/>
  <c r="BLC148" i="3"/>
  <c r="BLA148" i="3"/>
  <c r="BKU148" i="3"/>
  <c r="BKS148" i="3"/>
  <c r="BKK148" i="3"/>
  <c r="BKM148" i="3" s="1"/>
  <c r="BKE148" i="3"/>
  <c r="BKC148" i="3"/>
  <c r="BJW148" i="3"/>
  <c r="BJU148" i="3"/>
  <c r="BJO148" i="3"/>
  <c r="BJM148" i="3"/>
  <c r="BJG148" i="3"/>
  <c r="BJE148" i="3"/>
  <c r="BIY148" i="3"/>
  <c r="BIW148" i="3"/>
  <c r="BIO148" i="3"/>
  <c r="BIQ148" i="3" s="1"/>
  <c r="BIG148" i="3"/>
  <c r="BII148" i="3" s="1"/>
  <c r="BHY148" i="3"/>
  <c r="BIA148" i="3" s="1"/>
  <c r="BHS148" i="3"/>
  <c r="BHQ148" i="3"/>
  <c r="BHK148" i="3"/>
  <c r="BHI148" i="3"/>
  <c r="BHC148" i="3"/>
  <c r="BHA148" i="3"/>
  <c r="BGS148" i="3"/>
  <c r="BGU148" i="3" s="1"/>
  <c r="BGM148" i="3"/>
  <c r="BGK148" i="3"/>
  <c r="BGE148" i="3"/>
  <c r="BGC148" i="3"/>
  <c r="BFW148" i="3"/>
  <c r="BFU148" i="3"/>
  <c r="BFO148" i="3"/>
  <c r="BFM148" i="3"/>
  <c r="BFG148" i="3"/>
  <c r="BFE148" i="3"/>
  <c r="BEW148" i="3"/>
  <c r="BEY148" i="3" s="1"/>
  <c r="BEO148" i="3"/>
  <c r="BEQ148" i="3" s="1"/>
  <c r="BEG148" i="3"/>
  <c r="BEI148" i="3" s="1"/>
  <c r="BEA148" i="3"/>
  <c r="BDY148" i="3"/>
  <c r="BDS148" i="3"/>
  <c r="BDQ148" i="3"/>
  <c r="BDK148" i="3"/>
  <c r="BDI148" i="3"/>
  <c r="BDA148" i="3"/>
  <c r="BDC148" i="3" s="1"/>
  <c r="BCU148" i="3"/>
  <c r="BCS148" i="3"/>
  <c r="BCM148" i="3"/>
  <c r="BCK148" i="3"/>
  <c r="BCE148" i="3"/>
  <c r="BCC148" i="3"/>
  <c r="BBW148" i="3"/>
  <c r="BBU148" i="3"/>
  <c r="BBO148" i="3"/>
  <c r="BBM148" i="3"/>
  <c r="BBE148" i="3"/>
  <c r="BBG148" i="3" s="1"/>
  <c r="BAW148" i="3"/>
  <c r="BAY148" i="3" s="1"/>
  <c r="BAO148" i="3"/>
  <c r="BAQ148" i="3" s="1"/>
  <c r="BAI148" i="3"/>
  <c r="BAG148" i="3"/>
  <c r="BAA148" i="3"/>
  <c r="AZY148" i="3"/>
  <c r="AZS148" i="3"/>
  <c r="AZQ148" i="3"/>
  <c r="AZI148" i="3"/>
  <c r="AZK148" i="3" s="1"/>
  <c r="AZC148" i="3"/>
  <c r="AZA148" i="3"/>
  <c r="AYU148" i="3"/>
  <c r="AYS148" i="3"/>
  <c r="AYM148" i="3"/>
  <c r="AYK148" i="3"/>
  <c r="AYE148" i="3"/>
  <c r="AYC148" i="3"/>
  <c r="AXW148" i="3"/>
  <c r="AXU148" i="3"/>
  <c r="AXM148" i="3"/>
  <c r="AXO148" i="3" s="1"/>
  <c r="AXG148" i="3"/>
  <c r="AXE148" i="3"/>
  <c r="AWW148" i="3"/>
  <c r="AWY148" i="3" s="1"/>
  <c r="AWQ148" i="3"/>
  <c r="AWO148" i="3"/>
  <c r="AWI148" i="3"/>
  <c r="AWG148" i="3"/>
  <c r="AWA148" i="3"/>
  <c r="AVY148" i="3"/>
  <c r="AVQ148" i="3"/>
  <c r="AVS148" i="3" s="1"/>
  <c r="AVI148" i="3"/>
  <c r="AVK148" i="3" s="1"/>
  <c r="AVC148" i="3"/>
  <c r="AVA148" i="3"/>
  <c r="AUU148" i="3"/>
  <c r="AUS148" i="3"/>
  <c r="AUM148" i="3"/>
  <c r="AUK148" i="3"/>
  <c r="AUE148" i="3"/>
  <c r="AUC148" i="3"/>
  <c r="ATU148" i="3"/>
  <c r="ATW148" i="3" s="1"/>
  <c r="ATO148" i="3"/>
  <c r="ATM148" i="3"/>
  <c r="ATG148" i="3"/>
  <c r="ATE148" i="3"/>
  <c r="ASY148" i="3"/>
  <c r="ASW148" i="3"/>
  <c r="ASQ148" i="3"/>
  <c r="ASO148" i="3"/>
  <c r="ASI148" i="3"/>
  <c r="ASG148" i="3"/>
  <c r="ARY148" i="3"/>
  <c r="ASA148" i="3" s="1"/>
  <c r="ARS148" i="3"/>
  <c r="ARQ148" i="3"/>
  <c r="ARI148" i="3"/>
  <c r="ARK148" i="3" s="1"/>
  <c r="ARC148" i="3"/>
  <c r="ARA148" i="3"/>
  <c r="AQU148" i="3"/>
  <c r="AQS148" i="3"/>
  <c r="AQM148" i="3"/>
  <c r="AQK148" i="3"/>
  <c r="AQC148" i="3"/>
  <c r="AQE148" i="3" s="1"/>
  <c r="APU148" i="3"/>
  <c r="APW148" i="3" s="1"/>
  <c r="APO148" i="3"/>
  <c r="APM148" i="3"/>
  <c r="APG148" i="3"/>
  <c r="APE148" i="3"/>
  <c r="AOY148" i="3"/>
  <c r="AOW148" i="3"/>
  <c r="AOQ148" i="3"/>
  <c r="AOO148" i="3"/>
  <c r="AOG148" i="3"/>
  <c r="AOI148" i="3" s="1"/>
  <c r="AOA148" i="3"/>
  <c r="ANY148" i="3"/>
  <c r="ANS148" i="3"/>
  <c r="ANQ148" i="3"/>
  <c r="ANK148" i="3"/>
  <c r="ANI148" i="3"/>
  <c r="ANC148" i="3"/>
  <c r="ANA148" i="3"/>
  <c r="AMU148" i="3"/>
  <c r="AMS148" i="3"/>
  <c r="AMK148" i="3"/>
  <c r="AMM148" i="3" s="1"/>
  <c r="AMC148" i="3"/>
  <c r="AME148" i="3" s="1"/>
  <c r="ALU148" i="3"/>
  <c r="ALW148" i="3" s="1"/>
  <c r="ALO148" i="3"/>
  <c r="ALM148" i="3"/>
  <c r="ALG148" i="3"/>
  <c r="ALE148" i="3"/>
  <c r="AKY148" i="3"/>
  <c r="AKW148" i="3"/>
  <c r="AKO148" i="3"/>
  <c r="AKQ148" i="3" s="1"/>
  <c r="AKI148" i="3"/>
  <c r="AKG148" i="3"/>
  <c r="AKA148" i="3"/>
  <c r="AJY148" i="3"/>
  <c r="AJS148" i="3"/>
  <c r="AJQ148" i="3"/>
  <c r="AJK148" i="3"/>
  <c r="AJI148" i="3"/>
  <c r="AJC148" i="3"/>
  <c r="AJA148" i="3"/>
  <c r="AIS148" i="3"/>
  <c r="AIU148" i="3" s="1"/>
  <c r="AIK148" i="3"/>
  <c r="AIM148" i="3" s="1"/>
  <c r="AIC148" i="3"/>
  <c r="AIE148" i="3" s="1"/>
  <c r="AHW148" i="3"/>
  <c r="AHU148" i="3"/>
  <c r="AHO148" i="3"/>
  <c r="AHM148" i="3"/>
  <c r="AHG148" i="3"/>
  <c r="AHE148" i="3"/>
  <c r="AGW148" i="3"/>
  <c r="AGY148" i="3" s="1"/>
  <c r="AGQ148" i="3"/>
  <c r="AGO148" i="3"/>
  <c r="AGI148" i="3"/>
  <c r="AGG148" i="3"/>
  <c r="AGA148" i="3"/>
  <c r="AFY148" i="3"/>
  <c r="AFS148" i="3"/>
  <c r="AFQ148" i="3"/>
  <c r="AFK148" i="3"/>
  <c r="AFI148" i="3"/>
  <c r="AFA148" i="3"/>
  <c r="AFC148" i="3" s="1"/>
  <c r="AES148" i="3"/>
  <c r="AEU148" i="3" s="1"/>
  <c r="AEK148" i="3"/>
  <c r="AEM148" i="3" s="1"/>
  <c r="AEE148" i="3"/>
  <c r="AEC148" i="3"/>
  <c r="ADW148" i="3"/>
  <c r="ADU148" i="3"/>
  <c r="ADO148" i="3"/>
  <c r="ADM148" i="3"/>
  <c r="ADE148" i="3"/>
  <c r="ADG148" i="3" s="1"/>
  <c r="ACY148" i="3"/>
  <c r="ACW148" i="3"/>
  <c r="ACQ148" i="3"/>
  <c r="ACO148" i="3"/>
  <c r="ACI148" i="3"/>
  <c r="ACG148" i="3"/>
  <c r="ACA148" i="3"/>
  <c r="ABY148" i="3"/>
  <c r="ABS148" i="3"/>
  <c r="ABQ148" i="3"/>
  <c r="ABI148" i="3"/>
  <c r="ABK148" i="3" s="1"/>
  <c r="ABC148" i="3"/>
  <c r="ABA148" i="3"/>
  <c r="AAS148" i="3"/>
  <c r="AAU148" i="3" s="1"/>
  <c r="AAM148" i="3"/>
  <c r="AAK148" i="3"/>
  <c r="AAE148" i="3"/>
  <c r="AAC148" i="3"/>
  <c r="ZW148" i="3"/>
  <c r="ZU148" i="3"/>
  <c r="ZM148" i="3"/>
  <c r="ZO148" i="3" s="1"/>
  <c r="ZE148" i="3"/>
  <c r="ZG148" i="3" s="1"/>
  <c r="YY148" i="3"/>
  <c r="YW148" i="3"/>
  <c r="YQ148" i="3"/>
  <c r="YO148" i="3"/>
  <c r="YI148" i="3"/>
  <c r="YG148" i="3"/>
  <c r="YA148" i="3"/>
  <c r="XY148" i="3"/>
  <c r="XQ148" i="3"/>
  <c r="XS148" i="3" s="1"/>
  <c r="XK148" i="3"/>
  <c r="XI148" i="3"/>
  <c r="XC148" i="3"/>
  <c r="XA148" i="3"/>
  <c r="WU148" i="3"/>
  <c r="WS148" i="3"/>
  <c r="WM148" i="3"/>
  <c r="WK148" i="3"/>
  <c r="WE148" i="3"/>
  <c r="WC148" i="3"/>
  <c r="VU148" i="3"/>
  <c r="VW148" i="3" s="1"/>
  <c r="VM148" i="3"/>
  <c r="VO148" i="3" s="1"/>
  <c r="VE148" i="3"/>
  <c r="VG148" i="3" s="1"/>
  <c r="UY148" i="3"/>
  <c r="UW148" i="3"/>
  <c r="UQ148" i="3"/>
  <c r="UO148" i="3"/>
  <c r="UI148" i="3"/>
  <c r="UG148" i="3"/>
  <c r="TY148" i="3"/>
  <c r="UA148" i="3" s="1"/>
  <c r="TQ148" i="3"/>
  <c r="TS148" i="3" s="1"/>
  <c r="TK148" i="3"/>
  <c r="TI148" i="3"/>
  <c r="TC148" i="3"/>
  <c r="TA148" i="3"/>
  <c r="SU148" i="3"/>
  <c r="SS148" i="3"/>
  <c r="SM148" i="3"/>
  <c r="SK148" i="3"/>
  <c r="SC148" i="3"/>
  <c r="SE148" i="3" s="1"/>
  <c r="RW148" i="3"/>
  <c r="RU148" i="3"/>
  <c r="RO148" i="3"/>
  <c r="RM148" i="3"/>
  <c r="RG148" i="3"/>
  <c r="RE148" i="3"/>
  <c r="QY148" i="3"/>
  <c r="QW148" i="3"/>
  <c r="QQ148" i="3"/>
  <c r="QO148" i="3"/>
  <c r="QG148" i="3"/>
  <c r="QI148" i="3" s="1"/>
  <c r="PY148" i="3"/>
  <c r="QA148" i="3" s="1"/>
  <c r="PQ148" i="3"/>
  <c r="PS148" i="3" s="1"/>
  <c r="PK148" i="3"/>
  <c r="PI148" i="3"/>
  <c r="PC148" i="3"/>
  <c r="PA148" i="3"/>
  <c r="OU148" i="3"/>
  <c r="OS148" i="3"/>
  <c r="OK148" i="3"/>
  <c r="OM148" i="3" s="1"/>
  <c r="OE148" i="3"/>
  <c r="OC148" i="3"/>
  <c r="NW148" i="3"/>
  <c r="NU148" i="3"/>
  <c r="NO148" i="3"/>
  <c r="NM148" i="3"/>
  <c r="NG148" i="3"/>
  <c r="NE148" i="3"/>
  <c r="MY148" i="3"/>
  <c r="MW148" i="3"/>
  <c r="MO148" i="3"/>
  <c r="MQ148" i="3" s="1"/>
  <c r="MG148" i="3"/>
  <c r="MI148" i="3" s="1"/>
  <c r="LY148" i="3"/>
  <c r="MA148" i="3" s="1"/>
  <c r="LS148" i="3"/>
  <c r="LQ148" i="3"/>
  <c r="LK148" i="3"/>
  <c r="LI148" i="3"/>
  <c r="LC148" i="3"/>
  <c r="LA148" i="3"/>
  <c r="KS148" i="3"/>
  <c r="KU148" i="3" s="1"/>
  <c r="KM148" i="3"/>
  <c r="KK148" i="3"/>
  <c r="KE148" i="3"/>
  <c r="KC148" i="3"/>
  <c r="JW148" i="3"/>
  <c r="JU148" i="3"/>
  <c r="JO148" i="3"/>
  <c r="JM148" i="3"/>
  <c r="JG148" i="3"/>
  <c r="JE148" i="3"/>
  <c r="IW148" i="3"/>
  <c r="IY148" i="3" s="1"/>
  <c r="IO148" i="3"/>
  <c r="IQ148" i="3" s="1"/>
  <c r="IG148" i="3"/>
  <c r="II148" i="3" s="1"/>
  <c r="IA148" i="3"/>
  <c r="HY148" i="3"/>
  <c r="HS148" i="3"/>
  <c r="HQ148" i="3"/>
  <c r="HK148" i="3"/>
  <c r="HI148" i="3"/>
  <c r="HA148" i="3"/>
  <c r="HC148" i="3" s="1"/>
  <c r="GU148" i="3"/>
  <c r="GS148" i="3"/>
  <c r="GM148" i="3"/>
  <c r="GK148" i="3"/>
  <c r="GE148" i="3"/>
  <c r="GC148" i="3"/>
  <c r="FW148" i="3"/>
  <c r="FU148" i="3"/>
  <c r="FO148" i="3"/>
  <c r="FM148" i="3"/>
  <c r="FE148" i="3"/>
  <c r="FG148" i="3" s="1"/>
  <c r="EY148" i="3"/>
  <c r="EW148" i="3"/>
  <c r="EO148" i="3"/>
  <c r="EQ148" i="3" s="1"/>
  <c r="EI148" i="3"/>
  <c r="EG148" i="3"/>
  <c r="EA148" i="3"/>
  <c r="DY148" i="3"/>
  <c r="DS148" i="3"/>
  <c r="DQ148" i="3"/>
  <c r="DI148" i="3"/>
  <c r="DK148" i="3" s="1"/>
  <c r="DA148" i="3"/>
  <c r="DC148" i="3" s="1"/>
  <c r="CU148" i="3"/>
  <c r="CS148" i="3"/>
  <c r="CM148" i="3"/>
  <c r="CK148" i="3"/>
  <c r="CE148" i="3"/>
  <c r="CC148" i="3"/>
  <c r="BW148" i="3"/>
  <c r="BU148" i="3"/>
  <c r="BM148" i="3"/>
  <c r="BO148" i="3" s="1"/>
  <c r="BE148" i="3"/>
  <c r="BG148" i="3" s="1"/>
  <c r="AY148" i="3"/>
  <c r="AW148" i="3"/>
  <c r="AQ148" i="3"/>
  <c r="AO148" i="3"/>
  <c r="AI148" i="3"/>
  <c r="AG148" i="3"/>
  <c r="AA148" i="3"/>
  <c r="H148" i="3"/>
  <c r="H151" i="3" s="1"/>
  <c r="F148" i="3"/>
  <c r="H138" i="3"/>
  <c r="F138" i="3"/>
  <c r="H137" i="3"/>
  <c r="F137" i="3"/>
  <c r="XBW136" i="3"/>
  <c r="XBU136" i="3"/>
  <c r="XBM136" i="3"/>
  <c r="XBO136" i="3" s="1"/>
  <c r="XBE136" i="3"/>
  <c r="XBG136" i="3" s="1"/>
  <c r="XAY136" i="3"/>
  <c r="XAW136" i="3"/>
  <c r="XAQ136" i="3"/>
  <c r="XAO136" i="3"/>
  <c r="XAI136" i="3"/>
  <c r="XAG136" i="3"/>
  <c r="XAA136" i="3"/>
  <c r="WZY136" i="3"/>
  <c r="WZQ136" i="3"/>
  <c r="WZS136" i="3" s="1"/>
  <c r="WZK136" i="3"/>
  <c r="WZI136" i="3"/>
  <c r="WZA136" i="3"/>
  <c r="WZC136" i="3" s="1"/>
  <c r="WYU136" i="3"/>
  <c r="WYS136" i="3"/>
  <c r="WYM136" i="3"/>
  <c r="WYK136" i="3"/>
  <c r="WYE136" i="3"/>
  <c r="WYC136" i="3"/>
  <c r="WXU136" i="3"/>
  <c r="WXW136" i="3" s="1"/>
  <c r="WXM136" i="3"/>
  <c r="WXO136" i="3" s="1"/>
  <c r="WXE136" i="3"/>
  <c r="WXG136" i="3" s="1"/>
  <c r="WWY136" i="3"/>
  <c r="WWW136" i="3"/>
  <c r="WWQ136" i="3"/>
  <c r="WWO136" i="3"/>
  <c r="WWI136" i="3"/>
  <c r="WWG136" i="3"/>
  <c r="WVY136" i="3"/>
  <c r="WWA136" i="3" s="1"/>
  <c r="WVS136" i="3"/>
  <c r="WVQ136" i="3"/>
  <c r="WVK136" i="3"/>
  <c r="WVI136" i="3"/>
  <c r="WVC136" i="3"/>
  <c r="WVA136" i="3"/>
  <c r="WUU136" i="3"/>
  <c r="WUS136" i="3"/>
  <c r="WUM136" i="3"/>
  <c r="WUK136" i="3"/>
  <c r="WUC136" i="3"/>
  <c r="WUE136" i="3" s="1"/>
  <c r="WTU136" i="3"/>
  <c r="WTW136" i="3" s="1"/>
  <c r="WTM136" i="3"/>
  <c r="WTO136" i="3" s="1"/>
  <c r="WTG136" i="3"/>
  <c r="WTE136" i="3"/>
  <c r="WSY136" i="3"/>
  <c r="WSW136" i="3"/>
  <c r="WSQ136" i="3"/>
  <c r="WSO136" i="3"/>
  <c r="WSG136" i="3"/>
  <c r="WSI136" i="3" s="1"/>
  <c r="WSA136" i="3"/>
  <c r="WRY136" i="3"/>
  <c r="WRS136" i="3"/>
  <c r="WRQ136" i="3"/>
  <c r="WRK136" i="3"/>
  <c r="WRI136" i="3"/>
  <c r="WRC136" i="3"/>
  <c r="WRA136" i="3"/>
  <c r="WQU136" i="3"/>
  <c r="WQS136" i="3"/>
  <c r="WQK136" i="3"/>
  <c r="WQM136" i="3" s="1"/>
  <c r="WQC136" i="3"/>
  <c r="WQE136" i="3" s="1"/>
  <c r="WPU136" i="3"/>
  <c r="WPW136" i="3" s="1"/>
  <c r="WPO136" i="3"/>
  <c r="WPM136" i="3"/>
  <c r="WPG136" i="3"/>
  <c r="WPE136" i="3"/>
  <c r="WOY136" i="3"/>
  <c r="WOW136" i="3"/>
  <c r="WOO136" i="3"/>
  <c r="WOQ136" i="3" s="1"/>
  <c r="WOI136" i="3"/>
  <c r="WOG136" i="3"/>
  <c r="WOA136" i="3"/>
  <c r="WNY136" i="3"/>
  <c r="WNS136" i="3"/>
  <c r="WNQ136" i="3"/>
  <c r="WNK136" i="3"/>
  <c r="WNI136" i="3"/>
  <c r="WNC136" i="3"/>
  <c r="WNA136" i="3"/>
  <c r="WMS136" i="3"/>
  <c r="WMU136" i="3" s="1"/>
  <c r="WMM136" i="3"/>
  <c r="WMK136" i="3"/>
  <c r="WMC136" i="3"/>
  <c r="WME136" i="3" s="1"/>
  <c r="WLW136" i="3"/>
  <c r="WLU136" i="3"/>
  <c r="WLO136" i="3"/>
  <c r="WLM136" i="3"/>
  <c r="WLG136" i="3"/>
  <c r="WLE136" i="3"/>
  <c r="WKW136" i="3"/>
  <c r="WKY136" i="3" s="1"/>
  <c r="WKO136" i="3"/>
  <c r="WKQ136" i="3" s="1"/>
  <c r="WKI136" i="3"/>
  <c r="WKG136" i="3"/>
  <c r="WKA136" i="3"/>
  <c r="WJY136" i="3"/>
  <c r="WJS136" i="3"/>
  <c r="WJQ136" i="3"/>
  <c r="WJK136" i="3"/>
  <c r="WJI136" i="3"/>
  <c r="WJA136" i="3"/>
  <c r="WJC136" i="3" s="1"/>
  <c r="WIU136" i="3"/>
  <c r="WIS136" i="3"/>
  <c r="WIM136" i="3"/>
  <c r="WIK136" i="3"/>
  <c r="WIE136" i="3"/>
  <c r="WIC136" i="3"/>
  <c r="WHW136" i="3"/>
  <c r="WHU136" i="3"/>
  <c r="WHO136" i="3"/>
  <c r="WHM136" i="3"/>
  <c r="WHE136" i="3"/>
  <c r="WHG136" i="3" s="1"/>
  <c r="WGW136" i="3"/>
  <c r="WGY136" i="3" s="1"/>
  <c r="WGO136" i="3"/>
  <c r="WGQ136" i="3" s="1"/>
  <c r="WGI136" i="3"/>
  <c r="WGG136" i="3"/>
  <c r="WGA136" i="3"/>
  <c r="WFY136" i="3"/>
  <c r="WFS136" i="3"/>
  <c r="WFQ136" i="3"/>
  <c r="WFI136" i="3"/>
  <c r="WFK136" i="3" s="1"/>
  <c r="WFA136" i="3"/>
  <c r="WFC136" i="3" s="1"/>
  <c r="WES136" i="3"/>
  <c r="WEU136" i="3" s="1"/>
  <c r="WEM136" i="3"/>
  <c r="WEK136" i="3"/>
  <c r="WEE136" i="3"/>
  <c r="WEC136" i="3"/>
  <c r="WDW136" i="3"/>
  <c r="WDU136" i="3"/>
  <c r="WDM136" i="3"/>
  <c r="WDO136" i="3" s="1"/>
  <c r="WDG136" i="3"/>
  <c r="WDE136" i="3"/>
  <c r="WCY136" i="3"/>
  <c r="WCW136" i="3"/>
  <c r="WCQ136" i="3"/>
  <c r="WCO136" i="3"/>
  <c r="WCI136" i="3"/>
  <c r="WCG136" i="3"/>
  <c r="WCA136" i="3"/>
  <c r="WBY136" i="3"/>
  <c r="WBQ136" i="3"/>
  <c r="WBS136" i="3" s="1"/>
  <c r="WBI136" i="3"/>
  <c r="WBK136" i="3" s="1"/>
  <c r="WBA136" i="3"/>
  <c r="WBC136" i="3" s="1"/>
  <c r="WAU136" i="3"/>
  <c r="WAS136" i="3"/>
  <c r="WAM136" i="3"/>
  <c r="WAK136" i="3"/>
  <c r="WAE136" i="3"/>
  <c r="WAC136" i="3"/>
  <c r="VZU136" i="3"/>
  <c r="VZW136" i="3" s="1"/>
  <c r="VZO136" i="3"/>
  <c r="VZM136" i="3"/>
  <c r="VZG136" i="3"/>
  <c r="VZE136" i="3"/>
  <c r="VYY136" i="3"/>
  <c r="VYW136" i="3"/>
  <c r="VYQ136" i="3"/>
  <c r="VYO136" i="3"/>
  <c r="VYI136" i="3"/>
  <c r="VYG136" i="3"/>
  <c r="VXY136" i="3"/>
  <c r="VYA136" i="3" s="1"/>
  <c r="VXQ136" i="3"/>
  <c r="VXS136" i="3" s="1"/>
  <c r="VXI136" i="3"/>
  <c r="VXK136" i="3" s="1"/>
  <c r="VXC136" i="3"/>
  <c r="VXA136" i="3"/>
  <c r="VWU136" i="3"/>
  <c r="VWS136" i="3"/>
  <c r="VWM136" i="3"/>
  <c r="VWK136" i="3"/>
  <c r="VWC136" i="3"/>
  <c r="VWE136" i="3" s="1"/>
  <c r="VVW136" i="3"/>
  <c r="VVU136" i="3"/>
  <c r="VVO136" i="3"/>
  <c r="VVM136" i="3"/>
  <c r="VVG136" i="3"/>
  <c r="VVE136" i="3"/>
  <c r="VUY136" i="3"/>
  <c r="VUW136" i="3"/>
  <c r="VUQ136" i="3"/>
  <c r="VUO136" i="3"/>
  <c r="VUG136" i="3"/>
  <c r="VUI136" i="3" s="1"/>
  <c r="VTY136" i="3"/>
  <c r="VUA136" i="3" s="1"/>
  <c r="VTQ136" i="3"/>
  <c r="VTS136" i="3" s="1"/>
  <c r="VTK136" i="3"/>
  <c r="VTI136" i="3"/>
  <c r="VTC136" i="3"/>
  <c r="VTA136" i="3"/>
  <c r="VSU136" i="3"/>
  <c r="VSS136" i="3"/>
  <c r="VSK136" i="3"/>
  <c r="VSM136" i="3" s="1"/>
  <c r="VSE136" i="3"/>
  <c r="VSC136" i="3"/>
  <c r="VRW136" i="3"/>
  <c r="VRU136" i="3"/>
  <c r="VRO136" i="3"/>
  <c r="VRM136" i="3"/>
  <c r="VRG136" i="3"/>
  <c r="VRE136" i="3"/>
  <c r="VQY136" i="3"/>
  <c r="VQW136" i="3"/>
  <c r="VQO136" i="3"/>
  <c r="VQQ136" i="3" s="1"/>
  <c r="VQI136" i="3"/>
  <c r="VQG136" i="3"/>
  <c r="VPY136" i="3"/>
  <c r="VQA136" i="3" s="1"/>
  <c r="VPS136" i="3"/>
  <c r="VPQ136" i="3"/>
  <c r="VPK136" i="3"/>
  <c r="VPI136" i="3"/>
  <c r="VPC136" i="3"/>
  <c r="VPA136" i="3"/>
  <c r="VOS136" i="3"/>
  <c r="VOU136" i="3" s="1"/>
  <c r="VOM136" i="3"/>
  <c r="VOK136" i="3"/>
  <c r="VOE136" i="3"/>
  <c r="VOC136" i="3"/>
  <c r="VNW136" i="3"/>
  <c r="VNU136" i="3"/>
  <c r="VNO136" i="3"/>
  <c r="VNM136" i="3"/>
  <c r="VNG136" i="3"/>
  <c r="VNE136" i="3"/>
  <c r="VMW136" i="3"/>
  <c r="VMY136" i="3" s="1"/>
  <c r="VMO136" i="3"/>
  <c r="VMQ136" i="3" s="1"/>
  <c r="VMI136" i="3"/>
  <c r="VMG136" i="3"/>
  <c r="VMA136" i="3"/>
  <c r="VLY136" i="3"/>
  <c r="VLS136" i="3"/>
  <c r="VLQ136" i="3"/>
  <c r="VLI136" i="3"/>
  <c r="VLK136" i="3" s="1"/>
  <c r="VLA136" i="3"/>
  <c r="VLC136" i="3" s="1"/>
  <c r="VKU136" i="3"/>
  <c r="VKS136" i="3"/>
  <c r="VKK136" i="3"/>
  <c r="VKM136" i="3" s="1"/>
  <c r="VKE136" i="3"/>
  <c r="VKC136" i="3"/>
  <c r="VJW136" i="3"/>
  <c r="VJU136" i="3"/>
  <c r="VJO136" i="3"/>
  <c r="VJM136" i="3"/>
  <c r="VJE136" i="3"/>
  <c r="VJG136" i="3" s="1"/>
  <c r="VIW136" i="3"/>
  <c r="VIY136" i="3" s="1"/>
  <c r="VIQ136" i="3"/>
  <c r="VIO136" i="3"/>
  <c r="VII136" i="3"/>
  <c r="VIG136" i="3"/>
  <c r="VIA136" i="3"/>
  <c r="VHY136" i="3"/>
  <c r="VHQ136" i="3"/>
  <c r="VHS136" i="3" s="1"/>
  <c r="VHI136" i="3"/>
  <c r="VHK136" i="3" s="1"/>
  <c r="VHC136" i="3"/>
  <c r="VHA136" i="3"/>
  <c r="VGU136" i="3"/>
  <c r="VGS136" i="3"/>
  <c r="VGM136" i="3"/>
  <c r="VGK136" i="3"/>
  <c r="VGE136" i="3"/>
  <c r="VGC136" i="3"/>
  <c r="VFW136" i="3"/>
  <c r="VFU136" i="3"/>
  <c r="VFM136" i="3"/>
  <c r="VFO136" i="3" s="1"/>
  <c r="VFE136" i="3"/>
  <c r="VFG136" i="3" s="1"/>
  <c r="VEW136" i="3"/>
  <c r="VEY136" i="3" s="1"/>
  <c r="VEQ136" i="3"/>
  <c r="VEO136" i="3"/>
  <c r="VEI136" i="3"/>
  <c r="VEG136" i="3"/>
  <c r="VDY136" i="3"/>
  <c r="VEA136" i="3" s="1"/>
  <c r="VDQ136" i="3"/>
  <c r="VDS136" i="3" s="1"/>
  <c r="VDK136" i="3"/>
  <c r="VDI136" i="3"/>
  <c r="VDC136" i="3"/>
  <c r="VDA136" i="3"/>
  <c r="VCU136" i="3"/>
  <c r="VCS136" i="3"/>
  <c r="VCM136" i="3"/>
  <c r="VCK136" i="3"/>
  <c r="VCE136" i="3"/>
  <c r="VCC136" i="3"/>
  <c r="VBU136" i="3"/>
  <c r="VBW136" i="3" s="1"/>
  <c r="VBM136" i="3"/>
  <c r="VBO136" i="3" s="1"/>
  <c r="VBE136" i="3"/>
  <c r="VBG136" i="3" s="1"/>
  <c r="VAY136" i="3"/>
  <c r="VAW136" i="3"/>
  <c r="VAQ136" i="3"/>
  <c r="VAO136" i="3"/>
  <c r="VAI136" i="3"/>
  <c r="VAG136" i="3"/>
  <c r="UZY136" i="3"/>
  <c r="VAA136" i="3" s="1"/>
  <c r="UZS136" i="3"/>
  <c r="UZQ136" i="3"/>
  <c r="UZK136" i="3"/>
  <c r="UZI136" i="3"/>
  <c r="UZC136" i="3"/>
  <c r="UZA136" i="3"/>
  <c r="UYU136" i="3"/>
  <c r="UYS136" i="3"/>
  <c r="UYK136" i="3"/>
  <c r="UYM136" i="3" s="1"/>
  <c r="UYC136" i="3"/>
  <c r="UYE136" i="3" s="1"/>
  <c r="UXU136" i="3"/>
  <c r="UXW136" i="3" s="1"/>
  <c r="UXM136" i="3"/>
  <c r="UXO136" i="3" s="1"/>
  <c r="UXG136" i="3"/>
  <c r="UXE136" i="3"/>
  <c r="UWY136" i="3"/>
  <c r="UWW136" i="3"/>
  <c r="UWO136" i="3"/>
  <c r="UWQ136" i="3" s="1"/>
  <c r="UWG136" i="3"/>
  <c r="UWI136" i="3" s="1"/>
  <c r="UWA136" i="3"/>
  <c r="UVY136" i="3"/>
  <c r="UVS136" i="3"/>
  <c r="UVQ136" i="3"/>
  <c r="UVK136" i="3"/>
  <c r="UVI136" i="3"/>
  <c r="UVC136" i="3"/>
  <c r="UVA136" i="3"/>
  <c r="UUU136" i="3"/>
  <c r="UUS136" i="3"/>
  <c r="UUK136" i="3"/>
  <c r="UUM136" i="3" s="1"/>
  <c r="UUC136" i="3"/>
  <c r="UUE136" i="3" s="1"/>
  <c r="UTU136" i="3"/>
  <c r="UTW136" i="3" s="1"/>
  <c r="UTO136" i="3"/>
  <c r="UTM136" i="3"/>
  <c r="UTG136" i="3"/>
  <c r="UTE136" i="3"/>
  <c r="USW136" i="3"/>
  <c r="USY136" i="3" s="1"/>
  <c r="USO136" i="3"/>
  <c r="USQ136" i="3" s="1"/>
  <c r="USI136" i="3"/>
  <c r="USG136" i="3"/>
  <c r="USA136" i="3"/>
  <c r="URY136" i="3"/>
  <c r="URS136" i="3"/>
  <c r="URQ136" i="3"/>
  <c r="URK136" i="3"/>
  <c r="URI136" i="3"/>
  <c r="URC136" i="3"/>
  <c r="URA136" i="3"/>
  <c r="UQS136" i="3"/>
  <c r="UQU136" i="3" s="1"/>
  <c r="UQK136" i="3"/>
  <c r="UQM136" i="3" s="1"/>
  <c r="UQC136" i="3"/>
  <c r="UQE136" i="3" s="1"/>
  <c r="UPW136" i="3"/>
  <c r="UPU136" i="3"/>
  <c r="UPO136" i="3"/>
  <c r="UPM136" i="3"/>
  <c r="UPE136" i="3"/>
  <c r="UPG136" i="3" s="1"/>
  <c r="UOW136" i="3"/>
  <c r="UOY136" i="3" s="1"/>
  <c r="UOQ136" i="3"/>
  <c r="UOO136" i="3"/>
  <c r="UOG136" i="3"/>
  <c r="UOI136" i="3" s="1"/>
  <c r="UOA136" i="3"/>
  <c r="UNY136" i="3"/>
  <c r="UNS136" i="3"/>
  <c r="UNQ136" i="3"/>
  <c r="UNK136" i="3"/>
  <c r="UNI136" i="3"/>
  <c r="UNA136" i="3"/>
  <c r="UNC136" i="3" s="1"/>
  <c r="UMS136" i="3"/>
  <c r="UMU136" i="3" s="1"/>
  <c r="UMM136" i="3"/>
  <c r="UMK136" i="3"/>
  <c r="UME136" i="3"/>
  <c r="UMC136" i="3"/>
  <c r="ULW136" i="3"/>
  <c r="ULU136" i="3"/>
  <c r="ULM136" i="3"/>
  <c r="ULO136" i="3" s="1"/>
  <c r="ULE136" i="3"/>
  <c r="ULG136" i="3" s="1"/>
  <c r="UKY136" i="3"/>
  <c r="UKW136" i="3"/>
  <c r="UKQ136" i="3"/>
  <c r="UKO136" i="3"/>
  <c r="UKI136" i="3"/>
  <c r="UKG136" i="3"/>
  <c r="UKA136" i="3"/>
  <c r="UJY136" i="3"/>
  <c r="UJS136" i="3"/>
  <c r="UJQ136" i="3"/>
  <c r="UJI136" i="3"/>
  <c r="UJK136" i="3" s="1"/>
  <c r="UJA136" i="3"/>
  <c r="UJC136" i="3" s="1"/>
  <c r="UIS136" i="3"/>
  <c r="UIU136" i="3" s="1"/>
  <c r="UIM136" i="3"/>
  <c r="UIK136" i="3"/>
  <c r="UIE136" i="3"/>
  <c r="UIC136" i="3"/>
  <c r="UHU136" i="3"/>
  <c r="UHW136" i="3" s="1"/>
  <c r="UHM136" i="3"/>
  <c r="UHO136" i="3" s="1"/>
  <c r="UHG136" i="3"/>
  <c r="UHE136" i="3"/>
  <c r="UGY136" i="3"/>
  <c r="UGW136" i="3"/>
  <c r="UGQ136" i="3"/>
  <c r="UGO136" i="3"/>
  <c r="UGI136" i="3"/>
  <c r="UGG136" i="3"/>
  <c r="UGA136" i="3"/>
  <c r="UFY136" i="3"/>
  <c r="UFQ136" i="3"/>
  <c r="UFS136" i="3" s="1"/>
  <c r="UFI136" i="3"/>
  <c r="UFK136" i="3" s="1"/>
  <c r="UFA136" i="3"/>
  <c r="UFC136" i="3" s="1"/>
  <c r="UEU136" i="3"/>
  <c r="UES136" i="3"/>
  <c r="UEM136" i="3"/>
  <c r="UEK136" i="3"/>
  <c r="UEE136" i="3"/>
  <c r="UEC136" i="3"/>
  <c r="UDU136" i="3"/>
  <c r="UDW136" i="3" s="1"/>
  <c r="UDO136" i="3"/>
  <c r="UDM136" i="3"/>
  <c r="UDG136" i="3"/>
  <c r="UDE136" i="3"/>
  <c r="UCY136" i="3"/>
  <c r="UCW136" i="3"/>
  <c r="UCQ136" i="3"/>
  <c r="UCO136" i="3"/>
  <c r="UCG136" i="3"/>
  <c r="UCI136" i="3" s="1"/>
  <c r="UBY136" i="3"/>
  <c r="UCA136" i="3" s="1"/>
  <c r="UBQ136" i="3"/>
  <c r="UBS136" i="3" s="1"/>
  <c r="UBI136" i="3"/>
  <c r="UBK136" i="3" s="1"/>
  <c r="UBC136" i="3"/>
  <c r="UBA136" i="3"/>
  <c r="UAU136" i="3"/>
  <c r="UAS136" i="3"/>
  <c r="UAK136" i="3"/>
  <c r="UAM136" i="3" s="1"/>
  <c r="UAC136" i="3"/>
  <c r="UAE136" i="3" s="1"/>
  <c r="TZW136" i="3"/>
  <c r="TZU136" i="3"/>
  <c r="TZO136" i="3"/>
  <c r="TZM136" i="3"/>
  <c r="TZG136" i="3"/>
  <c r="TZE136" i="3"/>
  <c r="TYY136" i="3"/>
  <c r="TYW136" i="3"/>
  <c r="TYQ136" i="3"/>
  <c r="TYO136" i="3"/>
  <c r="TYG136" i="3"/>
  <c r="TYI136" i="3" s="1"/>
  <c r="TXY136" i="3"/>
  <c r="TYA136" i="3" s="1"/>
  <c r="TXQ136" i="3"/>
  <c r="TXS136" i="3" s="1"/>
  <c r="TXK136" i="3"/>
  <c r="TXI136" i="3"/>
  <c r="TXC136" i="3"/>
  <c r="TXA136" i="3"/>
  <c r="TWS136" i="3"/>
  <c r="TWU136" i="3" s="1"/>
  <c r="TWK136" i="3"/>
  <c r="TWM136" i="3" s="1"/>
  <c r="TWE136" i="3"/>
  <c r="TWC136" i="3"/>
  <c r="TVW136" i="3"/>
  <c r="TVU136" i="3"/>
  <c r="TVO136" i="3"/>
  <c r="TVM136" i="3"/>
  <c r="TVG136" i="3"/>
  <c r="TVE136" i="3"/>
  <c r="TUY136" i="3"/>
  <c r="TUW136" i="3"/>
  <c r="TUO136" i="3"/>
  <c r="TUQ136" i="3" s="1"/>
  <c r="TUG136" i="3"/>
  <c r="TUI136" i="3" s="1"/>
  <c r="TTY136" i="3"/>
  <c r="TUA136" i="3" s="1"/>
  <c r="TTS136" i="3"/>
  <c r="TTQ136" i="3"/>
  <c r="TTK136" i="3"/>
  <c r="TTI136" i="3"/>
  <c r="TTA136" i="3"/>
  <c r="TTC136" i="3" s="1"/>
  <c r="TSS136" i="3"/>
  <c r="TSU136" i="3" s="1"/>
  <c r="TSM136" i="3"/>
  <c r="TSK136" i="3"/>
  <c r="TSC136" i="3"/>
  <c r="TSE136" i="3" s="1"/>
  <c r="TRW136" i="3"/>
  <c r="TRU136" i="3"/>
  <c r="TRO136" i="3"/>
  <c r="TRM136" i="3"/>
  <c r="TRG136" i="3"/>
  <c r="TRE136" i="3"/>
  <c r="TQW136" i="3"/>
  <c r="TQY136" i="3" s="1"/>
  <c r="TQO136" i="3"/>
  <c r="TQQ136" i="3" s="1"/>
  <c r="TQI136" i="3"/>
  <c r="TQG136" i="3"/>
  <c r="TQA136" i="3"/>
  <c r="TPY136" i="3"/>
  <c r="TPS136" i="3"/>
  <c r="TPQ136" i="3"/>
  <c r="TPI136" i="3"/>
  <c r="TPK136" i="3" s="1"/>
  <c r="TPA136" i="3"/>
  <c r="TPC136" i="3" s="1"/>
  <c r="TOU136" i="3"/>
  <c r="TOS136" i="3"/>
  <c r="TOM136" i="3"/>
  <c r="TOK136" i="3"/>
  <c r="TOE136" i="3"/>
  <c r="TOC136" i="3"/>
  <c r="TNW136" i="3"/>
  <c r="TNU136" i="3"/>
  <c r="TNO136" i="3"/>
  <c r="TNM136" i="3"/>
  <c r="TNE136" i="3"/>
  <c r="TNG136" i="3" s="1"/>
  <c r="TMW136" i="3"/>
  <c r="TMY136" i="3" s="1"/>
  <c r="TMO136" i="3"/>
  <c r="TMQ136" i="3" s="1"/>
  <c r="TMI136" i="3"/>
  <c r="TMG136" i="3"/>
  <c r="TMA136" i="3"/>
  <c r="TLY136" i="3"/>
  <c r="TLQ136" i="3"/>
  <c r="TLS136" i="3" s="1"/>
  <c r="TLI136" i="3"/>
  <c r="TLK136" i="3" s="1"/>
  <c r="TLC136" i="3"/>
  <c r="TLA136" i="3"/>
  <c r="TKU136" i="3"/>
  <c r="TKS136" i="3"/>
  <c r="TKM136" i="3"/>
  <c r="TKK136" i="3"/>
  <c r="TKE136" i="3"/>
  <c r="TKC136" i="3"/>
  <c r="TJW136" i="3"/>
  <c r="TJU136" i="3"/>
  <c r="TJM136" i="3"/>
  <c r="TJO136" i="3" s="1"/>
  <c r="TJE136" i="3"/>
  <c r="TJG136" i="3" s="1"/>
  <c r="TIW136" i="3"/>
  <c r="TIY136" i="3" s="1"/>
  <c r="TIQ136" i="3"/>
  <c r="TIO136" i="3"/>
  <c r="TII136" i="3"/>
  <c r="TIG136" i="3"/>
  <c r="TIA136" i="3"/>
  <c r="THY136" i="3"/>
  <c r="THQ136" i="3"/>
  <c r="THS136" i="3" s="1"/>
  <c r="THK136" i="3"/>
  <c r="THI136" i="3"/>
  <c r="THC136" i="3"/>
  <c r="THA136" i="3"/>
  <c r="TGU136" i="3"/>
  <c r="TGS136" i="3"/>
  <c r="TGM136" i="3"/>
  <c r="TGK136" i="3"/>
  <c r="TGC136" i="3"/>
  <c r="TGE136" i="3" s="1"/>
  <c r="TFU136" i="3"/>
  <c r="TFW136" i="3" s="1"/>
  <c r="TFM136" i="3"/>
  <c r="TFO136" i="3" s="1"/>
  <c r="TFE136" i="3"/>
  <c r="TFG136" i="3" s="1"/>
  <c r="TEY136" i="3"/>
  <c r="TEW136" i="3"/>
  <c r="TEQ136" i="3"/>
  <c r="TEO136" i="3"/>
  <c r="TEG136" i="3"/>
  <c r="TEI136" i="3" s="1"/>
  <c r="TDY136" i="3"/>
  <c r="TEA136" i="3" s="1"/>
  <c r="TDS136" i="3"/>
  <c r="TDQ136" i="3"/>
  <c r="TDK136" i="3"/>
  <c r="TDI136" i="3"/>
  <c r="TDC136" i="3"/>
  <c r="TDA136" i="3"/>
  <c r="TCU136" i="3"/>
  <c r="TCS136" i="3"/>
  <c r="TCM136" i="3"/>
  <c r="TCK136" i="3"/>
  <c r="TCC136" i="3"/>
  <c r="TCE136" i="3" s="1"/>
  <c r="TBU136" i="3"/>
  <c r="TBW136" i="3" s="1"/>
  <c r="TBM136" i="3"/>
  <c r="TBO136" i="3" s="1"/>
  <c r="TBG136" i="3"/>
  <c r="TBE136" i="3"/>
  <c r="TAY136" i="3"/>
  <c r="TAW136" i="3"/>
  <c r="TAO136" i="3"/>
  <c r="TAQ136" i="3" s="1"/>
  <c r="TAG136" i="3"/>
  <c r="TAI136" i="3" s="1"/>
  <c r="TAA136" i="3"/>
  <c r="SZY136" i="3"/>
  <c r="SZS136" i="3"/>
  <c r="SZQ136" i="3"/>
  <c r="SZK136" i="3"/>
  <c r="SZI136" i="3"/>
  <c r="SZC136" i="3"/>
  <c r="SZA136" i="3"/>
  <c r="SYU136" i="3"/>
  <c r="SYS136" i="3"/>
  <c r="SYK136" i="3"/>
  <c r="SYM136" i="3" s="1"/>
  <c r="SYC136" i="3"/>
  <c r="SYE136" i="3" s="1"/>
  <c r="SXU136" i="3"/>
  <c r="SXW136" i="3" s="1"/>
  <c r="SXO136" i="3"/>
  <c r="SXM136" i="3"/>
  <c r="SXG136" i="3"/>
  <c r="SXE136" i="3"/>
  <c r="SWW136" i="3"/>
  <c r="SWY136" i="3" s="1"/>
  <c r="SWO136" i="3"/>
  <c r="SWQ136" i="3" s="1"/>
  <c r="SWI136" i="3"/>
  <c r="SWG136" i="3"/>
  <c r="SVY136" i="3"/>
  <c r="SWA136" i="3" s="1"/>
  <c r="SVS136" i="3"/>
  <c r="SVQ136" i="3"/>
  <c r="SVK136" i="3"/>
  <c r="SVI136" i="3"/>
  <c r="SVC136" i="3"/>
  <c r="SVA136" i="3"/>
  <c r="SUS136" i="3"/>
  <c r="SUU136" i="3" s="1"/>
  <c r="SUK136" i="3"/>
  <c r="SUM136" i="3" s="1"/>
  <c r="SUE136" i="3"/>
  <c r="SUC136" i="3"/>
  <c r="STW136" i="3"/>
  <c r="STU136" i="3"/>
  <c r="STO136" i="3"/>
  <c r="STM136" i="3"/>
  <c r="STE136" i="3"/>
  <c r="STG136" i="3" s="1"/>
  <c r="SSW136" i="3"/>
  <c r="SSY136" i="3" s="1"/>
  <c r="SSQ136" i="3"/>
  <c r="SSO136" i="3"/>
  <c r="SSI136" i="3"/>
  <c r="SSG136" i="3"/>
  <c r="SSA136" i="3"/>
  <c r="SRY136" i="3"/>
  <c r="SRS136" i="3"/>
  <c r="SRQ136" i="3"/>
  <c r="SRK136" i="3"/>
  <c r="SRI136" i="3"/>
  <c r="SRA136" i="3"/>
  <c r="SRC136" i="3" s="1"/>
  <c r="SQS136" i="3"/>
  <c r="SQU136" i="3" s="1"/>
  <c r="SQK136" i="3"/>
  <c r="SQM136" i="3" s="1"/>
  <c r="SQE136" i="3"/>
  <c r="SQC136" i="3"/>
  <c r="SPW136" i="3"/>
  <c r="SPU136" i="3"/>
  <c r="SPM136" i="3"/>
  <c r="SPO136" i="3" s="1"/>
  <c r="SPE136" i="3"/>
  <c r="SPG136" i="3" s="1"/>
  <c r="SOY136" i="3"/>
  <c r="SOW136" i="3"/>
  <c r="SOQ136" i="3"/>
  <c r="SOO136" i="3"/>
  <c r="SOI136" i="3"/>
  <c r="SOG136" i="3"/>
  <c r="SOA136" i="3"/>
  <c r="SNY136" i="3"/>
  <c r="SNS136" i="3"/>
  <c r="SNQ136" i="3"/>
  <c r="SNI136" i="3"/>
  <c r="SNK136" i="3" s="1"/>
  <c r="SNA136" i="3"/>
  <c r="SNC136" i="3" s="1"/>
  <c r="SMS136" i="3"/>
  <c r="SMU136" i="3" s="1"/>
  <c r="SMM136" i="3"/>
  <c r="SMK136" i="3"/>
  <c r="SME136" i="3"/>
  <c r="SMC136" i="3"/>
  <c r="SLW136" i="3"/>
  <c r="SLU136" i="3"/>
  <c r="SLM136" i="3"/>
  <c r="SLO136" i="3" s="1"/>
  <c r="SLG136" i="3"/>
  <c r="SLE136" i="3"/>
  <c r="SKY136" i="3"/>
  <c r="SKW136" i="3"/>
  <c r="SKQ136" i="3"/>
  <c r="SKO136" i="3"/>
  <c r="SKI136" i="3"/>
  <c r="SKG136" i="3"/>
  <c r="SJY136" i="3"/>
  <c r="SKA136" i="3" s="1"/>
  <c r="SJQ136" i="3"/>
  <c r="SJS136" i="3" s="1"/>
  <c r="SJI136" i="3"/>
  <c r="SJK136" i="3" s="1"/>
  <c r="SJA136" i="3"/>
  <c r="SJC136" i="3" s="1"/>
  <c r="SIU136" i="3"/>
  <c r="SIS136" i="3"/>
  <c r="SIM136" i="3"/>
  <c r="SIK136" i="3"/>
  <c r="SIC136" i="3"/>
  <c r="SIE136" i="3" s="1"/>
  <c r="SHU136" i="3"/>
  <c r="SHW136" i="3" s="1"/>
  <c r="SHO136" i="3"/>
  <c r="SHM136" i="3"/>
  <c r="SHG136" i="3"/>
  <c r="SHE136" i="3"/>
  <c r="SGY136" i="3"/>
  <c r="SGW136" i="3"/>
  <c r="SGQ136" i="3"/>
  <c r="SGO136" i="3"/>
  <c r="SGI136" i="3"/>
  <c r="SGG136" i="3"/>
  <c r="SFY136" i="3"/>
  <c r="SGA136" i="3" s="1"/>
  <c r="SFQ136" i="3"/>
  <c r="SFS136" i="3" s="1"/>
  <c r="SFI136" i="3"/>
  <c r="SFK136" i="3" s="1"/>
  <c r="SFC136" i="3"/>
  <c r="SFA136" i="3"/>
  <c r="SEU136" i="3"/>
  <c r="SES136" i="3"/>
  <c r="SEK136" i="3"/>
  <c r="SEM136" i="3" s="1"/>
  <c r="SEC136" i="3"/>
  <c r="SEE136" i="3" s="1"/>
  <c r="SDW136" i="3"/>
  <c r="SDU136" i="3"/>
  <c r="SDO136" i="3"/>
  <c r="SDM136" i="3"/>
  <c r="SDG136" i="3"/>
  <c r="SDE136" i="3"/>
  <c r="SCY136" i="3"/>
  <c r="SCW136" i="3"/>
  <c r="SCQ136" i="3"/>
  <c r="SCO136" i="3"/>
  <c r="SCG136" i="3"/>
  <c r="SCI136" i="3" s="1"/>
  <c r="SBY136" i="3"/>
  <c r="SCA136" i="3" s="1"/>
  <c r="SBQ136" i="3"/>
  <c r="SBS136" i="3" s="1"/>
  <c r="SBK136" i="3"/>
  <c r="SBI136" i="3"/>
  <c r="SBC136" i="3"/>
  <c r="SBA136" i="3"/>
  <c r="SAS136" i="3"/>
  <c r="SAU136" i="3" s="1"/>
  <c r="SAK136" i="3"/>
  <c r="SAM136" i="3" s="1"/>
  <c r="SAE136" i="3"/>
  <c r="SAC136" i="3"/>
  <c r="RZU136" i="3"/>
  <c r="RZW136" i="3" s="1"/>
  <c r="RZO136" i="3"/>
  <c r="RZM136" i="3"/>
  <c r="RZG136" i="3"/>
  <c r="RZE136" i="3"/>
  <c r="RYY136" i="3"/>
  <c r="RYW136" i="3"/>
  <c r="RYO136" i="3"/>
  <c r="RYQ136" i="3" s="1"/>
  <c r="RYG136" i="3"/>
  <c r="RYI136" i="3" s="1"/>
  <c r="RYA136" i="3"/>
  <c r="RXY136" i="3"/>
  <c r="RXS136" i="3"/>
  <c r="RXQ136" i="3"/>
  <c r="RXK136" i="3"/>
  <c r="RXI136" i="3"/>
  <c r="RXA136" i="3"/>
  <c r="RXC136" i="3" s="1"/>
  <c r="RWS136" i="3"/>
  <c r="RWU136" i="3" s="1"/>
  <c r="RWM136" i="3"/>
  <c r="RWK136" i="3"/>
  <c r="RWE136" i="3"/>
  <c r="RWC136" i="3"/>
  <c r="RVW136" i="3"/>
  <c r="RVU136" i="3"/>
  <c r="RVO136" i="3"/>
  <c r="RVM136" i="3"/>
  <c r="RVG136" i="3"/>
  <c r="RVE136" i="3"/>
  <c r="RUW136" i="3"/>
  <c r="RUY136" i="3" s="1"/>
  <c r="RUO136" i="3"/>
  <c r="RUQ136" i="3" s="1"/>
  <c r="RUG136" i="3"/>
  <c r="RUI136" i="3" s="1"/>
  <c r="RUA136" i="3"/>
  <c r="RTY136" i="3"/>
  <c r="RTS136" i="3"/>
  <c r="RTQ136" i="3"/>
  <c r="RTI136" i="3"/>
  <c r="RTK136" i="3" s="1"/>
  <c r="RTA136" i="3"/>
  <c r="RTC136" i="3" s="1"/>
  <c r="RSU136" i="3"/>
  <c r="RSS136" i="3"/>
  <c r="RSM136" i="3"/>
  <c r="RSK136" i="3"/>
  <c r="RSE136" i="3"/>
  <c r="RSC136" i="3"/>
  <c r="RRW136" i="3"/>
  <c r="RRU136" i="3"/>
  <c r="RRO136" i="3"/>
  <c r="RRM136" i="3"/>
  <c r="RRE136" i="3"/>
  <c r="RRG136" i="3" s="1"/>
  <c r="RQW136" i="3"/>
  <c r="RQY136" i="3" s="1"/>
  <c r="RQO136" i="3"/>
  <c r="RQQ136" i="3" s="1"/>
  <c r="RQI136" i="3"/>
  <c r="RQG136" i="3"/>
  <c r="RQA136" i="3"/>
  <c r="RPY136" i="3"/>
  <c r="RPS136" i="3"/>
  <c r="RPQ136" i="3"/>
  <c r="RPI136" i="3"/>
  <c r="RPK136" i="3" s="1"/>
  <c r="RPC136" i="3"/>
  <c r="RPA136" i="3"/>
  <c r="ROU136" i="3"/>
  <c r="ROS136" i="3"/>
  <c r="ROM136" i="3"/>
  <c r="ROK136" i="3"/>
  <c r="ROE136" i="3"/>
  <c r="ROC136" i="3"/>
  <c r="RNU136" i="3"/>
  <c r="RNW136" i="3" s="1"/>
  <c r="RNM136" i="3"/>
  <c r="RNO136" i="3" s="1"/>
  <c r="RNE136" i="3"/>
  <c r="RNG136" i="3" s="1"/>
  <c r="RMW136" i="3"/>
  <c r="RMY136" i="3" s="1"/>
  <c r="RMQ136" i="3"/>
  <c r="RMO136" i="3"/>
  <c r="RMI136" i="3"/>
  <c r="RMG136" i="3"/>
  <c r="RLY136" i="3"/>
  <c r="RMA136" i="3" s="1"/>
  <c r="RLQ136" i="3"/>
  <c r="RLS136" i="3" s="1"/>
  <c r="RLK136" i="3"/>
  <c r="RLI136" i="3"/>
  <c r="RLC136" i="3"/>
  <c r="RLA136" i="3"/>
  <c r="RKU136" i="3"/>
  <c r="RKS136" i="3"/>
  <c r="RKM136" i="3"/>
  <c r="RKK136" i="3"/>
  <c r="RKE136" i="3"/>
  <c r="RKC136" i="3"/>
  <c r="RJU136" i="3"/>
  <c r="RJW136" i="3" s="1"/>
  <c r="RJM136" i="3"/>
  <c r="RJO136" i="3" s="1"/>
  <c r="RJE136" i="3"/>
  <c r="RJG136" i="3" s="1"/>
  <c r="RIY136" i="3"/>
  <c r="RIW136" i="3"/>
  <c r="RIQ136" i="3"/>
  <c r="RIO136" i="3"/>
  <c r="RIG136" i="3"/>
  <c r="RII136" i="3" s="1"/>
  <c r="RHY136" i="3"/>
  <c r="RIA136" i="3" s="1"/>
  <c r="RHS136" i="3"/>
  <c r="RHQ136" i="3"/>
  <c r="RHK136" i="3"/>
  <c r="RHI136" i="3"/>
  <c r="RHC136" i="3"/>
  <c r="RHA136" i="3"/>
  <c r="RGU136" i="3"/>
  <c r="RGS136" i="3"/>
  <c r="RGM136" i="3"/>
  <c r="RGK136" i="3"/>
  <c r="RGC136" i="3"/>
  <c r="RGE136" i="3" s="1"/>
  <c r="RFU136" i="3"/>
  <c r="RFW136" i="3" s="1"/>
  <c r="RFM136" i="3"/>
  <c r="RFO136" i="3" s="1"/>
  <c r="RFG136" i="3"/>
  <c r="RFE136" i="3"/>
  <c r="REY136" i="3"/>
  <c r="REW136" i="3"/>
  <c r="REO136" i="3"/>
  <c r="REQ136" i="3" s="1"/>
  <c r="REG136" i="3"/>
  <c r="REI136" i="3" s="1"/>
  <c r="REA136" i="3"/>
  <c r="RDY136" i="3"/>
  <c r="RDQ136" i="3"/>
  <c r="RDS136" i="3" s="1"/>
  <c r="RDK136" i="3"/>
  <c r="RDI136" i="3"/>
  <c r="RDC136" i="3"/>
  <c r="RDA136" i="3"/>
  <c r="RCU136" i="3"/>
  <c r="RCS136" i="3"/>
  <c r="RCK136" i="3"/>
  <c r="RCM136" i="3" s="1"/>
  <c r="RCC136" i="3"/>
  <c r="RCE136" i="3" s="1"/>
  <c r="RBW136" i="3"/>
  <c r="RBU136" i="3"/>
  <c r="RBO136" i="3"/>
  <c r="RBM136" i="3"/>
  <c r="RBG136" i="3"/>
  <c r="RBE136" i="3"/>
  <c r="RAW136" i="3"/>
  <c r="RAY136" i="3" s="1"/>
  <c r="RAO136" i="3"/>
  <c r="RAQ136" i="3" s="1"/>
  <c r="RAI136" i="3"/>
  <c r="RAG136" i="3"/>
  <c r="RAA136" i="3"/>
  <c r="QZY136" i="3"/>
  <c r="QZS136" i="3"/>
  <c r="QZQ136" i="3"/>
  <c r="QZK136" i="3"/>
  <c r="QZI136" i="3"/>
  <c r="QZC136" i="3"/>
  <c r="QZA136" i="3"/>
  <c r="QYS136" i="3"/>
  <c r="QYU136" i="3" s="1"/>
  <c r="QYK136" i="3"/>
  <c r="QYM136" i="3" s="1"/>
  <c r="QYC136" i="3"/>
  <c r="QYE136" i="3" s="1"/>
  <c r="QXW136" i="3"/>
  <c r="QXU136" i="3"/>
  <c r="QXO136" i="3"/>
  <c r="QXM136" i="3"/>
  <c r="QXE136" i="3"/>
  <c r="QXG136" i="3" s="1"/>
  <c r="QWW136" i="3"/>
  <c r="QWY136" i="3" s="1"/>
  <c r="QWQ136" i="3"/>
  <c r="QWO136" i="3"/>
  <c r="QWI136" i="3"/>
  <c r="QWG136" i="3"/>
  <c r="QWA136" i="3"/>
  <c r="QVY136" i="3"/>
  <c r="QVS136" i="3"/>
  <c r="QVQ136" i="3"/>
  <c r="QVK136" i="3"/>
  <c r="QVI136" i="3"/>
  <c r="QVA136" i="3"/>
  <c r="QVC136" i="3" s="1"/>
  <c r="QUS136" i="3"/>
  <c r="QUU136" i="3" s="1"/>
  <c r="QUK136" i="3"/>
  <c r="QUM136" i="3" s="1"/>
  <c r="QUE136" i="3"/>
  <c r="QUC136" i="3"/>
  <c r="QTW136" i="3"/>
  <c r="QTU136" i="3"/>
  <c r="QTO136" i="3"/>
  <c r="QTM136" i="3"/>
  <c r="QTE136" i="3"/>
  <c r="QTG136" i="3" s="1"/>
  <c r="QSY136" i="3"/>
  <c r="QSW136" i="3"/>
  <c r="QSQ136" i="3"/>
  <c r="QSO136" i="3"/>
  <c r="QSI136" i="3"/>
  <c r="QSG136" i="3"/>
  <c r="QSA136" i="3"/>
  <c r="QRY136" i="3"/>
  <c r="QRQ136" i="3"/>
  <c r="QRS136" i="3" s="1"/>
  <c r="QRI136" i="3"/>
  <c r="QRK136" i="3" s="1"/>
  <c r="QRA136" i="3"/>
  <c r="QRC136" i="3" s="1"/>
  <c r="QQS136" i="3"/>
  <c r="QQU136" i="3" s="1"/>
  <c r="QQM136" i="3"/>
  <c r="QQK136" i="3"/>
  <c r="QQE136" i="3"/>
  <c r="QQC136" i="3"/>
  <c r="QPU136" i="3"/>
  <c r="QPW136" i="3" s="1"/>
  <c r="QPM136" i="3"/>
  <c r="QPO136" i="3" s="1"/>
  <c r="QPG136" i="3"/>
  <c r="QPE136" i="3"/>
  <c r="QOY136" i="3"/>
  <c r="QOW136" i="3"/>
  <c r="QOQ136" i="3"/>
  <c r="QOO136" i="3"/>
  <c r="QOI136" i="3"/>
  <c r="QOG136" i="3"/>
  <c r="QOA136" i="3"/>
  <c r="QNY136" i="3"/>
  <c r="QNQ136" i="3"/>
  <c r="QNS136" i="3" s="1"/>
  <c r="QNI136" i="3"/>
  <c r="QNK136" i="3" s="1"/>
  <c r="QNA136" i="3"/>
  <c r="QNC136" i="3" s="1"/>
  <c r="QMU136" i="3"/>
  <c r="QMS136" i="3"/>
  <c r="QMM136" i="3"/>
  <c r="QMK136" i="3"/>
  <c r="QMC136" i="3"/>
  <c r="QME136" i="3" s="1"/>
  <c r="QLU136" i="3"/>
  <c r="QLW136" i="3" s="1"/>
  <c r="QLO136" i="3"/>
  <c r="QLM136" i="3"/>
  <c r="QLG136" i="3"/>
  <c r="QLE136" i="3"/>
  <c r="QKY136" i="3"/>
  <c r="QKW136" i="3"/>
  <c r="QKQ136" i="3"/>
  <c r="QKO136" i="3"/>
  <c r="QKI136" i="3"/>
  <c r="QKG136" i="3"/>
  <c r="QJY136" i="3"/>
  <c r="QKA136" i="3" s="1"/>
  <c r="QJQ136" i="3"/>
  <c r="QJS136" i="3" s="1"/>
  <c r="QJI136" i="3"/>
  <c r="QJK136" i="3" s="1"/>
  <c r="QJC136" i="3"/>
  <c r="QJA136" i="3"/>
  <c r="QIU136" i="3"/>
  <c r="QIS136" i="3"/>
  <c r="QIK136" i="3"/>
  <c r="QIM136" i="3" s="1"/>
  <c r="QIC136" i="3"/>
  <c r="QIE136" i="3" s="1"/>
  <c r="QHW136" i="3"/>
  <c r="QHU136" i="3"/>
  <c r="QHM136" i="3"/>
  <c r="QHO136" i="3" s="1"/>
  <c r="QHG136" i="3"/>
  <c r="QHE136" i="3"/>
  <c r="QGY136" i="3"/>
  <c r="QGW136" i="3"/>
  <c r="QGQ136" i="3"/>
  <c r="QGO136" i="3"/>
  <c r="QGG136" i="3"/>
  <c r="QGI136" i="3" s="1"/>
  <c r="QFY136" i="3"/>
  <c r="QGA136" i="3" s="1"/>
  <c r="QFS136" i="3"/>
  <c r="QFQ136" i="3"/>
  <c r="QFK136" i="3"/>
  <c r="QFI136" i="3"/>
  <c r="QFC136" i="3"/>
  <c r="QFA136" i="3"/>
  <c r="QES136" i="3"/>
  <c r="QEU136" i="3" s="1"/>
  <c r="QEK136" i="3"/>
  <c r="QEM136" i="3" s="1"/>
  <c r="QEE136" i="3"/>
  <c r="QEC136" i="3"/>
  <c r="QDW136" i="3"/>
  <c r="QDU136" i="3"/>
  <c r="QDO136" i="3"/>
  <c r="QDM136" i="3"/>
  <c r="QDG136" i="3"/>
  <c r="QDE136" i="3"/>
  <c r="QCY136" i="3"/>
  <c r="QCW136" i="3"/>
  <c r="QCO136" i="3"/>
  <c r="QCQ136" i="3" s="1"/>
  <c r="QCG136" i="3"/>
  <c r="QCI136" i="3" s="1"/>
  <c r="QBY136" i="3"/>
  <c r="QCA136" i="3" s="1"/>
  <c r="QBS136" i="3"/>
  <c r="QBQ136" i="3"/>
  <c r="QBK136" i="3"/>
  <c r="QBI136" i="3"/>
  <c r="QBA136" i="3"/>
  <c r="QBC136" i="3" s="1"/>
  <c r="QAS136" i="3"/>
  <c r="QAU136" i="3" s="1"/>
  <c r="QAM136" i="3"/>
  <c r="QAK136" i="3"/>
  <c r="QAE136" i="3"/>
  <c r="QAC136" i="3"/>
  <c r="PZW136" i="3"/>
  <c r="PZU136" i="3"/>
  <c r="PZO136" i="3"/>
  <c r="PZM136" i="3"/>
  <c r="PZG136" i="3"/>
  <c r="PZE136" i="3"/>
  <c r="PYW136" i="3"/>
  <c r="PYY136" i="3" s="1"/>
  <c r="PYO136" i="3"/>
  <c r="PYQ136" i="3" s="1"/>
  <c r="PYG136" i="3"/>
  <c r="PYI136" i="3" s="1"/>
  <c r="PYA136" i="3"/>
  <c r="PXY136" i="3"/>
  <c r="PXS136" i="3"/>
  <c r="PXQ136" i="3"/>
  <c r="PXK136" i="3"/>
  <c r="PXI136" i="3"/>
  <c r="PXA136" i="3"/>
  <c r="PXC136" i="3" s="1"/>
  <c r="PWU136" i="3"/>
  <c r="PWS136" i="3"/>
  <c r="PWM136" i="3"/>
  <c r="PWK136" i="3"/>
  <c r="PWE136" i="3"/>
  <c r="PWC136" i="3"/>
  <c r="PVW136" i="3"/>
  <c r="PVU136" i="3"/>
  <c r="PVM136" i="3"/>
  <c r="PVO136" i="3" s="1"/>
  <c r="PVE136" i="3"/>
  <c r="PVG136" i="3" s="1"/>
  <c r="PUW136" i="3"/>
  <c r="PUY136" i="3" s="1"/>
  <c r="PUO136" i="3"/>
  <c r="PUQ136" i="3" s="1"/>
  <c r="PUI136" i="3"/>
  <c r="PUG136" i="3"/>
  <c r="PUA136" i="3"/>
  <c r="PTY136" i="3"/>
  <c r="PTQ136" i="3"/>
  <c r="PTS136" i="3" s="1"/>
  <c r="PTI136" i="3"/>
  <c r="PTK136" i="3" s="1"/>
  <c r="PTC136" i="3"/>
  <c r="PTA136" i="3"/>
  <c r="PSU136" i="3"/>
  <c r="PSS136" i="3"/>
  <c r="PSM136" i="3"/>
  <c r="PSK136" i="3"/>
  <c r="PSE136" i="3"/>
  <c r="PSC136" i="3"/>
  <c r="PRW136" i="3"/>
  <c r="PRU136" i="3"/>
  <c r="PRM136" i="3"/>
  <c r="PRO136" i="3" s="1"/>
  <c r="PRE136" i="3"/>
  <c r="PRG136" i="3" s="1"/>
  <c r="PQW136" i="3"/>
  <c r="PQY136" i="3" s="1"/>
  <c r="PQQ136" i="3"/>
  <c r="PQO136" i="3"/>
  <c r="PQI136" i="3"/>
  <c r="PQG136" i="3"/>
  <c r="PPY136" i="3"/>
  <c r="PQA136" i="3" s="1"/>
  <c r="PPQ136" i="3"/>
  <c r="PPS136" i="3" s="1"/>
  <c r="PPK136" i="3"/>
  <c r="PPI136" i="3"/>
  <c r="PPC136" i="3"/>
  <c r="PPA136" i="3"/>
  <c r="POU136" i="3"/>
  <c r="POS136" i="3"/>
  <c r="POM136" i="3"/>
  <c r="POK136" i="3"/>
  <c r="POE136" i="3"/>
  <c r="POC136" i="3"/>
  <c r="PNU136" i="3"/>
  <c r="PNW136" i="3" s="1"/>
  <c r="PNO136" i="3"/>
  <c r="PNM136" i="3"/>
  <c r="PNE136" i="3"/>
  <c r="PNG136" i="3" s="1"/>
  <c r="PMY136" i="3"/>
  <c r="PMW136" i="3"/>
  <c r="PMQ136" i="3"/>
  <c r="PMO136" i="3"/>
  <c r="PMG136" i="3"/>
  <c r="PMI136" i="3" s="1"/>
  <c r="PLY136" i="3"/>
  <c r="PMA136" i="3" s="1"/>
  <c r="PLS136" i="3"/>
  <c r="PLQ136" i="3"/>
  <c r="PLK136" i="3"/>
  <c r="PLI136" i="3"/>
  <c r="PLC136" i="3"/>
  <c r="PLA136" i="3"/>
  <c r="PKU136" i="3"/>
  <c r="PKS136" i="3"/>
  <c r="PKM136" i="3"/>
  <c r="PKK136" i="3"/>
  <c r="PKC136" i="3"/>
  <c r="PKE136" i="3" s="1"/>
  <c r="PJU136" i="3"/>
  <c r="PJW136" i="3" s="1"/>
  <c r="PJO136" i="3"/>
  <c r="PJM136" i="3"/>
  <c r="PJG136" i="3"/>
  <c r="PJE136" i="3"/>
  <c r="PIY136" i="3"/>
  <c r="PIW136" i="3"/>
  <c r="PIO136" i="3"/>
  <c r="PIQ136" i="3" s="1"/>
  <c r="PIG136" i="3"/>
  <c r="PII136" i="3" s="1"/>
  <c r="PIA136" i="3"/>
  <c r="PHY136" i="3"/>
  <c r="PHS136" i="3"/>
  <c r="PHQ136" i="3"/>
  <c r="PHK136" i="3"/>
  <c r="PHI136" i="3"/>
  <c r="PHC136" i="3"/>
  <c r="PHA136" i="3"/>
  <c r="PGU136" i="3"/>
  <c r="PGS136" i="3"/>
  <c r="PGK136" i="3"/>
  <c r="PGM136" i="3" s="1"/>
  <c r="PGC136" i="3"/>
  <c r="PGE136" i="3" s="1"/>
  <c r="PFU136" i="3"/>
  <c r="PFW136" i="3" s="1"/>
  <c r="PFO136" i="3"/>
  <c r="PFM136" i="3"/>
  <c r="PFG136" i="3"/>
  <c r="PFE136" i="3"/>
  <c r="PEW136" i="3"/>
  <c r="PEY136" i="3" s="1"/>
  <c r="PEO136" i="3"/>
  <c r="PEQ136" i="3" s="1"/>
  <c r="PEI136" i="3"/>
  <c r="PEG136" i="3"/>
  <c r="PEA136" i="3"/>
  <c r="PDY136" i="3"/>
  <c r="PDS136" i="3"/>
  <c r="PDQ136" i="3"/>
  <c r="PDK136" i="3"/>
  <c r="PDI136" i="3"/>
  <c r="PDC136" i="3"/>
  <c r="PDA136" i="3"/>
  <c r="PCS136" i="3"/>
  <c r="PCU136" i="3" s="1"/>
  <c r="PCK136" i="3"/>
  <c r="PCM136" i="3" s="1"/>
  <c r="PCC136" i="3"/>
  <c r="PCE136" i="3" s="1"/>
  <c r="PBW136" i="3"/>
  <c r="PBU136" i="3"/>
  <c r="PBO136" i="3"/>
  <c r="PBM136" i="3"/>
  <c r="PBG136" i="3"/>
  <c r="PBE136" i="3"/>
  <c r="PAW136" i="3"/>
  <c r="PAY136" i="3" s="1"/>
  <c r="PAQ136" i="3"/>
  <c r="PAO136" i="3"/>
  <c r="PAI136" i="3"/>
  <c r="PAG136" i="3"/>
  <c r="PAA136" i="3"/>
  <c r="OZY136" i="3"/>
  <c r="OZS136" i="3"/>
  <c r="OZQ136" i="3"/>
  <c r="OZI136" i="3"/>
  <c r="OZK136" i="3" s="1"/>
  <c r="OZA136" i="3"/>
  <c r="OZC136" i="3" s="1"/>
  <c r="OYS136" i="3"/>
  <c r="OYU136" i="3" s="1"/>
  <c r="OYK136" i="3"/>
  <c r="OYM136" i="3" s="1"/>
  <c r="OYE136" i="3"/>
  <c r="OYC136" i="3"/>
  <c r="OXW136" i="3"/>
  <c r="OXU136" i="3"/>
  <c r="OXM136" i="3"/>
  <c r="OXO136" i="3" s="1"/>
  <c r="OXE136" i="3"/>
  <c r="OXG136" i="3" s="1"/>
  <c r="OWY136" i="3"/>
  <c r="OWW136" i="3"/>
  <c r="OWQ136" i="3"/>
  <c r="OWO136" i="3"/>
  <c r="OWI136" i="3"/>
  <c r="OWG136" i="3"/>
  <c r="OWA136" i="3"/>
  <c r="OVY136" i="3"/>
  <c r="OVS136" i="3"/>
  <c r="OVQ136" i="3"/>
  <c r="OVI136" i="3"/>
  <c r="OVK136" i="3" s="1"/>
  <c r="OVA136" i="3"/>
  <c r="OVC136" i="3" s="1"/>
  <c r="OUS136" i="3"/>
  <c r="OUU136" i="3" s="1"/>
  <c r="OUM136" i="3"/>
  <c r="OUK136" i="3"/>
  <c r="OUE136" i="3"/>
  <c r="OUC136" i="3"/>
  <c r="OTU136" i="3"/>
  <c r="OTW136" i="3" s="1"/>
  <c r="OTM136" i="3"/>
  <c r="OTO136" i="3" s="1"/>
  <c r="OTG136" i="3"/>
  <c r="OTE136" i="3"/>
  <c r="OSY136" i="3"/>
  <c r="OSW136" i="3"/>
  <c r="OSQ136" i="3"/>
  <c r="OSO136" i="3"/>
  <c r="OSI136" i="3"/>
  <c r="OSG136" i="3"/>
  <c r="OSA136" i="3"/>
  <c r="ORY136" i="3"/>
  <c r="ORQ136" i="3"/>
  <c r="ORS136" i="3" s="1"/>
  <c r="ORK136" i="3"/>
  <c r="ORI136" i="3"/>
  <c r="ORA136" i="3"/>
  <c r="ORC136" i="3" s="1"/>
  <c r="OQU136" i="3"/>
  <c r="OQS136" i="3"/>
  <c r="OQM136" i="3"/>
  <c r="OQK136" i="3"/>
  <c r="OQC136" i="3"/>
  <c r="OQE136" i="3" s="1"/>
  <c r="OPU136" i="3"/>
  <c r="OPW136" i="3" s="1"/>
  <c r="OPO136" i="3"/>
  <c r="OPM136" i="3"/>
  <c r="OPG136" i="3"/>
  <c r="OPE136" i="3"/>
  <c r="OOY136" i="3"/>
  <c r="OOW136" i="3"/>
  <c r="OOQ136" i="3"/>
  <c r="OOO136" i="3"/>
  <c r="OOI136" i="3"/>
  <c r="OOG136" i="3"/>
  <c r="ONY136" i="3"/>
  <c r="OOA136" i="3" s="1"/>
  <c r="ONQ136" i="3"/>
  <c r="ONS136" i="3" s="1"/>
  <c r="ONK136" i="3"/>
  <c r="ONI136" i="3"/>
  <c r="ONC136" i="3"/>
  <c r="ONA136" i="3"/>
  <c r="OMU136" i="3"/>
  <c r="OMS136" i="3"/>
  <c r="OMK136" i="3"/>
  <c r="OMM136" i="3" s="1"/>
  <c r="OMC136" i="3"/>
  <c r="OME136" i="3" s="1"/>
  <c r="OLW136" i="3"/>
  <c r="OLU136" i="3"/>
  <c r="OLO136" i="3"/>
  <c r="OLM136" i="3"/>
  <c r="OLG136" i="3"/>
  <c r="OLE136" i="3"/>
  <c r="OKY136" i="3"/>
  <c r="OKW136" i="3"/>
  <c r="OKQ136" i="3"/>
  <c r="OKO136" i="3"/>
  <c r="OKG136" i="3"/>
  <c r="OKI136" i="3" s="1"/>
  <c r="OJY136" i="3"/>
  <c r="OKA136" i="3" s="1"/>
  <c r="OJQ136" i="3"/>
  <c r="OJS136" i="3" s="1"/>
  <c r="OJK136" i="3"/>
  <c r="OJI136" i="3"/>
  <c r="OJC136" i="3"/>
  <c r="OJA136" i="3"/>
  <c r="OIS136" i="3"/>
  <c r="OIU136" i="3" s="1"/>
  <c r="OIK136" i="3"/>
  <c r="OIM136" i="3" s="1"/>
  <c r="OIE136" i="3"/>
  <c r="OIC136" i="3"/>
  <c r="OHW136" i="3"/>
  <c r="OHU136" i="3"/>
  <c r="OHO136" i="3"/>
  <c r="OHM136" i="3"/>
  <c r="OHG136" i="3"/>
  <c r="OHE136" i="3"/>
  <c r="OGY136" i="3"/>
  <c r="OGW136" i="3"/>
  <c r="OGO136" i="3"/>
  <c r="OGQ136" i="3" s="1"/>
  <c r="OGG136" i="3"/>
  <c r="OGI136" i="3" s="1"/>
  <c r="OFY136" i="3"/>
  <c r="OGA136" i="3" s="1"/>
  <c r="OFS136" i="3"/>
  <c r="OFQ136" i="3"/>
  <c r="OFK136" i="3"/>
  <c r="OFI136" i="3"/>
  <c r="OFC136" i="3"/>
  <c r="OFA136" i="3"/>
  <c r="OES136" i="3"/>
  <c r="OEU136" i="3" s="1"/>
  <c r="OEM136" i="3"/>
  <c r="OEK136" i="3"/>
  <c r="OEE136" i="3"/>
  <c r="OEC136" i="3"/>
  <c r="ODW136" i="3"/>
  <c r="ODU136" i="3"/>
  <c r="ODO136" i="3"/>
  <c r="ODM136" i="3"/>
  <c r="ODE136" i="3"/>
  <c r="ODG136" i="3" s="1"/>
  <c r="OCW136" i="3"/>
  <c r="OCY136" i="3" s="1"/>
  <c r="OCO136" i="3"/>
  <c r="OCQ136" i="3" s="1"/>
  <c r="OCG136" i="3"/>
  <c r="OCI136" i="3" s="1"/>
  <c r="OCA136" i="3"/>
  <c r="OBY136" i="3"/>
  <c r="OBS136" i="3"/>
  <c r="OBQ136" i="3"/>
  <c r="OBI136" i="3"/>
  <c r="OBK136" i="3" s="1"/>
  <c r="OBA136" i="3"/>
  <c r="OBC136" i="3" s="1"/>
  <c r="OAU136" i="3"/>
  <c r="OAS136" i="3"/>
  <c r="OAM136" i="3"/>
  <c r="OAK136" i="3"/>
  <c r="OAE136" i="3"/>
  <c r="OAC136" i="3"/>
  <c r="NZW136" i="3"/>
  <c r="NZU136" i="3"/>
  <c r="NZO136" i="3"/>
  <c r="NZM136" i="3"/>
  <c r="NZE136" i="3"/>
  <c r="NZG136" i="3" s="1"/>
  <c r="NYW136" i="3"/>
  <c r="NYY136" i="3" s="1"/>
  <c r="NYO136" i="3"/>
  <c r="NYQ136" i="3" s="1"/>
  <c r="NYI136" i="3"/>
  <c r="NYG136" i="3"/>
  <c r="NYA136" i="3"/>
  <c r="NXY136" i="3"/>
  <c r="NXQ136" i="3"/>
  <c r="NXS136" i="3" s="1"/>
  <c r="NXI136" i="3"/>
  <c r="NXK136" i="3" s="1"/>
  <c r="NXC136" i="3"/>
  <c r="NXA136" i="3"/>
  <c r="NWU136" i="3"/>
  <c r="NWS136" i="3"/>
  <c r="NWM136" i="3"/>
  <c r="NWK136" i="3"/>
  <c r="NWE136" i="3"/>
  <c r="NWC136" i="3"/>
  <c r="NVW136" i="3"/>
  <c r="NVU136" i="3"/>
  <c r="NVM136" i="3"/>
  <c r="NVO136" i="3" s="1"/>
  <c r="NVG136" i="3"/>
  <c r="NVE136" i="3"/>
  <c r="NUW136" i="3"/>
  <c r="NUY136" i="3" s="1"/>
  <c r="NUQ136" i="3"/>
  <c r="NUO136" i="3"/>
  <c r="NUI136" i="3"/>
  <c r="NUG136" i="3"/>
  <c r="NTY136" i="3"/>
  <c r="NUA136" i="3" s="1"/>
  <c r="NTQ136" i="3"/>
  <c r="NTS136" i="3" s="1"/>
  <c r="NTK136" i="3"/>
  <c r="NTI136" i="3"/>
  <c r="NTC136" i="3"/>
  <c r="NTA136" i="3"/>
  <c r="NSU136" i="3"/>
  <c r="NSS136" i="3"/>
  <c r="NSM136" i="3"/>
  <c r="NSK136" i="3"/>
  <c r="NSE136" i="3"/>
  <c r="NSC136" i="3"/>
  <c r="NRU136" i="3"/>
  <c r="NRW136" i="3" s="1"/>
  <c r="NRM136" i="3"/>
  <c r="NRO136" i="3" s="1"/>
  <c r="NRG136" i="3"/>
  <c r="NRE136" i="3"/>
  <c r="NQY136" i="3"/>
  <c r="NQW136" i="3"/>
  <c r="NQQ136" i="3"/>
  <c r="NQO136" i="3"/>
  <c r="NQG136" i="3"/>
  <c r="NQI136" i="3" s="1"/>
  <c r="NPY136" i="3"/>
  <c r="NQA136" i="3" s="1"/>
  <c r="NPS136" i="3"/>
  <c r="NPQ136" i="3"/>
  <c r="NPK136" i="3"/>
  <c r="NPI136" i="3"/>
  <c r="NPC136" i="3"/>
  <c r="NPA136" i="3"/>
  <c r="NOU136" i="3"/>
  <c r="NOS136" i="3"/>
  <c r="NOM136" i="3"/>
  <c r="NOK136" i="3"/>
  <c r="NOC136" i="3"/>
  <c r="NOE136" i="3" s="1"/>
  <c r="NNU136" i="3"/>
  <c r="NNW136" i="3" s="1"/>
  <c r="NNM136" i="3"/>
  <c r="NNO136" i="3" s="1"/>
  <c r="NNG136" i="3"/>
  <c r="NNE136" i="3"/>
  <c r="NMY136" i="3"/>
  <c r="NMW136" i="3"/>
  <c r="NMO136" i="3"/>
  <c r="NMQ136" i="3" s="1"/>
  <c r="NMG136" i="3"/>
  <c r="NMI136" i="3" s="1"/>
  <c r="NMA136" i="3"/>
  <c r="NLY136" i="3"/>
  <c r="NLS136" i="3"/>
  <c r="NLQ136" i="3"/>
  <c r="NLK136" i="3"/>
  <c r="NLI136" i="3"/>
  <c r="NLC136" i="3"/>
  <c r="NLA136" i="3"/>
  <c r="NKU136" i="3"/>
  <c r="NKS136" i="3"/>
  <c r="NKK136" i="3"/>
  <c r="NKM136" i="3" s="1"/>
  <c r="NKC136" i="3"/>
  <c r="NKE136" i="3" s="1"/>
  <c r="NJU136" i="3"/>
  <c r="NJW136" i="3" s="1"/>
  <c r="NJO136" i="3"/>
  <c r="NJM136" i="3"/>
  <c r="NJG136" i="3"/>
  <c r="NJE136" i="3"/>
  <c r="NIY136" i="3"/>
  <c r="NIW136" i="3"/>
  <c r="NIO136" i="3"/>
  <c r="NIQ136" i="3" s="1"/>
  <c r="NII136" i="3"/>
  <c r="NIG136" i="3"/>
  <c r="NIA136" i="3"/>
  <c r="NHY136" i="3"/>
  <c r="NHS136" i="3"/>
  <c r="NHQ136" i="3"/>
  <c r="NHK136" i="3"/>
  <c r="NHI136" i="3"/>
  <c r="NHA136" i="3"/>
  <c r="NHC136" i="3" s="1"/>
  <c r="NGS136" i="3"/>
  <c r="NGU136" i="3" s="1"/>
  <c r="NGK136" i="3"/>
  <c r="NGM136" i="3" s="1"/>
  <c r="NGC136" i="3"/>
  <c r="NGE136" i="3" s="1"/>
  <c r="NFW136" i="3"/>
  <c r="NFU136" i="3"/>
  <c r="NFO136" i="3"/>
  <c r="NFM136" i="3"/>
  <c r="NFE136" i="3"/>
  <c r="NFG136" i="3" s="1"/>
  <c r="NEW136" i="3"/>
  <c r="NEY136" i="3" s="1"/>
  <c r="NEQ136" i="3"/>
  <c r="NEO136" i="3"/>
  <c r="NEI136" i="3"/>
  <c r="NEG136" i="3"/>
  <c r="NEA136" i="3"/>
  <c r="NDY136" i="3"/>
  <c r="NDS136" i="3"/>
  <c r="NDQ136" i="3"/>
  <c r="NDK136" i="3"/>
  <c r="NDI136" i="3"/>
  <c r="NDA136" i="3"/>
  <c r="NDC136" i="3" s="1"/>
  <c r="NCS136" i="3"/>
  <c r="NCU136" i="3" s="1"/>
  <c r="NCK136" i="3"/>
  <c r="NCM136" i="3" s="1"/>
  <c r="NCE136" i="3"/>
  <c r="NCC136" i="3"/>
  <c r="NBW136" i="3"/>
  <c r="NBU136" i="3"/>
  <c r="NBM136" i="3"/>
  <c r="NBO136" i="3" s="1"/>
  <c r="NBE136" i="3"/>
  <c r="NBG136" i="3" s="1"/>
  <c r="NAY136" i="3"/>
  <c r="NAW136" i="3"/>
  <c r="NAQ136" i="3"/>
  <c r="NAO136" i="3"/>
  <c r="NAI136" i="3"/>
  <c r="NAG136" i="3"/>
  <c r="NAA136" i="3"/>
  <c r="MZY136" i="3"/>
  <c r="MZS136" i="3"/>
  <c r="MZQ136" i="3"/>
  <c r="MZI136" i="3"/>
  <c r="MZK136" i="3" s="1"/>
  <c r="MZC136" i="3"/>
  <c r="MZA136" i="3"/>
  <c r="MYS136" i="3"/>
  <c r="MYU136" i="3" s="1"/>
  <c r="MYM136" i="3"/>
  <c r="MYK136" i="3"/>
  <c r="MYE136" i="3"/>
  <c r="MYC136" i="3"/>
  <c r="MXU136" i="3"/>
  <c r="MXW136" i="3" s="1"/>
  <c r="MXM136" i="3"/>
  <c r="MXO136" i="3" s="1"/>
  <c r="MXG136" i="3"/>
  <c r="MXE136" i="3"/>
  <c r="MWY136" i="3"/>
  <c r="MWW136" i="3"/>
  <c r="MWQ136" i="3"/>
  <c r="MWO136" i="3"/>
  <c r="MWI136" i="3"/>
  <c r="MWG136" i="3"/>
  <c r="MWA136" i="3"/>
  <c r="MVY136" i="3"/>
  <c r="MVQ136" i="3"/>
  <c r="MVS136" i="3" s="1"/>
  <c r="MVI136" i="3"/>
  <c r="MVK136" i="3" s="1"/>
  <c r="MVC136" i="3"/>
  <c r="MVA136" i="3"/>
  <c r="MUU136" i="3"/>
  <c r="MUS136" i="3"/>
  <c r="MUM136" i="3"/>
  <c r="MUK136" i="3"/>
  <c r="MUC136" i="3"/>
  <c r="MUE136" i="3" s="1"/>
  <c r="MTU136" i="3"/>
  <c r="MTW136" i="3" s="1"/>
  <c r="MTO136" i="3"/>
  <c r="MTM136" i="3"/>
  <c r="MTG136" i="3"/>
  <c r="MTE136" i="3"/>
  <c r="MSY136" i="3"/>
  <c r="MSW136" i="3"/>
  <c r="MSQ136" i="3"/>
  <c r="MSO136" i="3"/>
  <c r="MSI136" i="3"/>
  <c r="MSG136" i="3"/>
  <c r="MRY136" i="3"/>
  <c r="MSA136" i="3" s="1"/>
  <c r="MRQ136" i="3"/>
  <c r="MRS136" i="3" s="1"/>
  <c r="MRI136" i="3"/>
  <c r="MRK136" i="3" s="1"/>
  <c r="MRC136" i="3"/>
  <c r="MRA136" i="3"/>
  <c r="MQU136" i="3"/>
  <c r="MQS136" i="3"/>
  <c r="MQK136" i="3"/>
  <c r="MQM136" i="3" s="1"/>
  <c r="MQC136" i="3"/>
  <c r="MQE136" i="3" s="1"/>
  <c r="MPW136" i="3"/>
  <c r="MPU136" i="3"/>
  <c r="MPO136" i="3"/>
  <c r="MPM136" i="3"/>
  <c r="MPG136" i="3"/>
  <c r="MPE136" i="3"/>
  <c r="MOY136" i="3"/>
  <c r="MOW136" i="3"/>
  <c r="MOQ136" i="3"/>
  <c r="MOO136" i="3"/>
  <c r="MOG136" i="3"/>
  <c r="MOI136" i="3" s="1"/>
  <c r="MNY136" i="3"/>
  <c r="MOA136" i="3" s="1"/>
  <c r="MNQ136" i="3"/>
  <c r="MNS136" i="3" s="1"/>
  <c r="MNK136" i="3"/>
  <c r="MNI136" i="3"/>
  <c r="MNC136" i="3"/>
  <c r="MNA136" i="3"/>
  <c r="MMU136" i="3"/>
  <c r="MMS136" i="3"/>
  <c r="MMK136" i="3"/>
  <c r="MMM136" i="3" s="1"/>
  <c r="MME136" i="3"/>
  <c r="MMC136" i="3"/>
  <c r="MLW136" i="3"/>
  <c r="MLU136" i="3"/>
  <c r="MLO136" i="3"/>
  <c r="MLM136" i="3"/>
  <c r="MLG136" i="3"/>
  <c r="MLE136" i="3"/>
  <c r="MKW136" i="3"/>
  <c r="MKY136" i="3" s="1"/>
  <c r="MKO136" i="3"/>
  <c r="MKQ136" i="3" s="1"/>
  <c r="MKG136" i="3"/>
  <c r="MKI136" i="3" s="1"/>
  <c r="MJY136" i="3"/>
  <c r="MKA136" i="3" s="1"/>
  <c r="MJS136" i="3"/>
  <c r="MJQ136" i="3"/>
  <c r="MJK136" i="3"/>
  <c r="MJI136" i="3"/>
  <c r="MJA136" i="3"/>
  <c r="MJC136" i="3" s="1"/>
  <c r="MIS136" i="3"/>
  <c r="MIU136" i="3" s="1"/>
  <c r="MIM136" i="3"/>
  <c r="MIK136" i="3"/>
  <c r="MIE136" i="3"/>
  <c r="MIC136" i="3"/>
  <c r="MHW136" i="3"/>
  <c r="MHU136" i="3"/>
  <c r="MHO136" i="3"/>
  <c r="MHM136" i="3"/>
  <c r="MHG136" i="3"/>
  <c r="MHE136" i="3"/>
  <c r="MGW136" i="3"/>
  <c r="MGY136" i="3" s="1"/>
  <c r="MGO136" i="3"/>
  <c r="MGQ136" i="3" s="1"/>
  <c r="MGG136" i="3"/>
  <c r="MGI136" i="3" s="1"/>
  <c r="MGA136" i="3"/>
  <c r="MFY136" i="3"/>
  <c r="MFS136" i="3"/>
  <c r="MFQ136" i="3"/>
  <c r="MFI136" i="3"/>
  <c r="MFK136" i="3" s="1"/>
  <c r="MFA136" i="3"/>
  <c r="MFC136" i="3" s="1"/>
  <c r="MEU136" i="3"/>
  <c r="MES136" i="3"/>
  <c r="MEM136" i="3"/>
  <c r="MEK136" i="3"/>
  <c r="MEE136" i="3"/>
  <c r="MEC136" i="3"/>
  <c r="MDW136" i="3"/>
  <c r="MDU136" i="3"/>
  <c r="MDO136" i="3"/>
  <c r="MDM136" i="3"/>
  <c r="MDE136" i="3"/>
  <c r="MDG136" i="3" s="1"/>
  <c r="MCY136" i="3"/>
  <c r="MCW136" i="3"/>
  <c r="MCO136" i="3"/>
  <c r="MCQ136" i="3" s="1"/>
  <c r="MCI136" i="3"/>
  <c r="MCG136" i="3"/>
  <c r="MCA136" i="3"/>
  <c r="MBY136" i="3"/>
  <c r="MBQ136" i="3"/>
  <c r="MBS136" i="3" s="1"/>
  <c r="MBI136" i="3"/>
  <c r="MBK136" i="3" s="1"/>
  <c r="MBC136" i="3"/>
  <c r="MBA136" i="3"/>
  <c r="MAU136" i="3"/>
  <c r="MAS136" i="3"/>
  <c r="MAM136" i="3"/>
  <c r="MAK136" i="3"/>
  <c r="MAE136" i="3"/>
  <c r="MAC136" i="3"/>
  <c r="LZW136" i="3"/>
  <c r="LZU136" i="3"/>
  <c r="LZM136" i="3"/>
  <c r="LZO136" i="3" s="1"/>
  <c r="LZE136" i="3"/>
  <c r="LZG136" i="3" s="1"/>
  <c r="LYY136" i="3"/>
  <c r="LYW136" i="3"/>
  <c r="LYQ136" i="3"/>
  <c r="LYO136" i="3"/>
  <c r="LYI136" i="3"/>
  <c r="LYG136" i="3"/>
  <c r="LXY136" i="3"/>
  <c r="LYA136" i="3" s="1"/>
  <c r="LXQ136" i="3"/>
  <c r="LXS136" i="3" s="1"/>
  <c r="LXK136" i="3"/>
  <c r="LXI136" i="3"/>
  <c r="LXC136" i="3"/>
  <c r="LXA136" i="3"/>
  <c r="LWU136" i="3"/>
  <c r="LWS136" i="3"/>
  <c r="LWM136" i="3"/>
  <c r="LWK136" i="3"/>
  <c r="LWE136" i="3"/>
  <c r="LWC136" i="3"/>
  <c r="LVU136" i="3"/>
  <c r="LVW136" i="3" s="1"/>
  <c r="LVM136" i="3"/>
  <c r="LVO136" i="3" s="1"/>
  <c r="LVE136" i="3"/>
  <c r="LVG136" i="3" s="1"/>
  <c r="LUY136" i="3"/>
  <c r="LUW136" i="3"/>
  <c r="LUQ136" i="3"/>
  <c r="LUO136" i="3"/>
  <c r="LUG136" i="3"/>
  <c r="LUI136" i="3" s="1"/>
  <c r="LTY136" i="3"/>
  <c r="LUA136" i="3" s="1"/>
  <c r="LTS136" i="3"/>
  <c r="LTQ136" i="3"/>
  <c r="LTK136" i="3"/>
  <c r="LTI136" i="3"/>
  <c r="LTC136" i="3"/>
  <c r="LTA136" i="3"/>
  <c r="LSU136" i="3"/>
  <c r="LSS136" i="3"/>
  <c r="LSM136" i="3"/>
  <c r="LSK136" i="3"/>
  <c r="LSC136" i="3"/>
  <c r="LSE136" i="3" s="1"/>
  <c r="LRU136" i="3"/>
  <c r="LRW136" i="3" s="1"/>
  <c r="LRM136" i="3"/>
  <c r="LRO136" i="3" s="1"/>
  <c r="LRG136" i="3"/>
  <c r="LRE136" i="3"/>
  <c r="LQY136" i="3"/>
  <c r="LQW136" i="3"/>
  <c r="LQQ136" i="3"/>
  <c r="LQO136" i="3"/>
  <c r="LQG136" i="3"/>
  <c r="LQI136" i="3" s="1"/>
  <c r="LQA136" i="3"/>
  <c r="LPY136" i="3"/>
  <c r="LPS136" i="3"/>
  <c r="LPQ136" i="3"/>
  <c r="LPK136" i="3"/>
  <c r="LPI136" i="3"/>
  <c r="LPC136" i="3"/>
  <c r="LPA136" i="3"/>
  <c r="LOS136" i="3"/>
  <c r="LOU136" i="3" s="1"/>
  <c r="LOK136" i="3"/>
  <c r="LOM136" i="3" s="1"/>
  <c r="LOC136" i="3"/>
  <c r="LOE136" i="3" s="1"/>
  <c r="LNU136" i="3"/>
  <c r="LNW136" i="3" s="1"/>
  <c r="LNO136" i="3"/>
  <c r="LNM136" i="3"/>
  <c r="LNG136" i="3"/>
  <c r="LNE136" i="3"/>
  <c r="LMW136" i="3"/>
  <c r="LMY136" i="3" s="1"/>
  <c r="LMO136" i="3"/>
  <c r="LMQ136" i="3" s="1"/>
  <c r="LMI136" i="3"/>
  <c r="LMG136" i="3"/>
  <c r="LMA136" i="3"/>
  <c r="LLY136" i="3"/>
  <c r="LLS136" i="3"/>
  <c r="LLQ136" i="3"/>
  <c r="LLK136" i="3"/>
  <c r="LLI136" i="3"/>
  <c r="LLC136" i="3"/>
  <c r="LLA136" i="3"/>
  <c r="LKS136" i="3"/>
  <c r="LKU136" i="3" s="1"/>
  <c r="LKK136" i="3"/>
  <c r="LKM136" i="3" s="1"/>
  <c r="LKC136" i="3"/>
  <c r="LKE136" i="3" s="1"/>
  <c r="LJU136" i="3"/>
  <c r="LJW136" i="3" s="1"/>
  <c r="LJO136" i="3"/>
  <c r="LJM136" i="3"/>
  <c r="LJG136" i="3"/>
  <c r="LJE136" i="3"/>
  <c r="LIW136" i="3"/>
  <c r="LIY136" i="3" s="1"/>
  <c r="LIQ136" i="3"/>
  <c r="LIO136" i="3"/>
  <c r="LII136" i="3"/>
  <c r="LIG136" i="3"/>
  <c r="LIA136" i="3"/>
  <c r="LHY136" i="3"/>
  <c r="LHS136" i="3"/>
  <c r="LHQ136" i="3"/>
  <c r="LHK136" i="3"/>
  <c r="LHI136" i="3"/>
  <c r="LHA136" i="3"/>
  <c r="LHC136" i="3" s="1"/>
  <c r="LGU136" i="3"/>
  <c r="LGS136" i="3"/>
  <c r="LGK136" i="3"/>
  <c r="LGM136" i="3" s="1"/>
  <c r="LGC136" i="3"/>
  <c r="LGE136" i="3" s="1"/>
  <c r="LFW136" i="3"/>
  <c r="LFU136" i="3"/>
  <c r="LFM136" i="3"/>
  <c r="LFO136" i="3" s="1"/>
  <c r="LFE136" i="3"/>
  <c r="LFG136" i="3" s="1"/>
  <c r="LEY136" i="3"/>
  <c r="LEW136" i="3"/>
  <c r="LEO136" i="3"/>
  <c r="LEQ136" i="3" s="1"/>
  <c r="LEI136" i="3"/>
  <c r="LEG136" i="3"/>
  <c r="LEA136" i="3"/>
  <c r="LDY136" i="3"/>
  <c r="LDS136" i="3"/>
  <c r="LDQ136" i="3"/>
  <c r="LDI136" i="3"/>
  <c r="LDK136" i="3" s="1"/>
  <c r="LDC136" i="3"/>
  <c r="LDA136" i="3"/>
  <c r="LCU136" i="3"/>
  <c r="LCS136" i="3"/>
  <c r="LCM136" i="3"/>
  <c r="LCK136" i="3"/>
  <c r="LCE136" i="3"/>
  <c r="LCC136" i="3"/>
  <c r="LBU136" i="3"/>
  <c r="LBW136" i="3" s="1"/>
  <c r="LBM136" i="3"/>
  <c r="LBO136" i="3" s="1"/>
  <c r="LBG136" i="3"/>
  <c r="LBE136" i="3"/>
  <c r="LAY136" i="3"/>
  <c r="LAW136" i="3"/>
  <c r="LAQ136" i="3"/>
  <c r="LAO136" i="3"/>
  <c r="LAI136" i="3"/>
  <c r="LAG136" i="3"/>
  <c r="LAA136" i="3"/>
  <c r="KZY136" i="3"/>
  <c r="KZQ136" i="3"/>
  <c r="KZS136" i="3" s="1"/>
  <c r="KZI136" i="3"/>
  <c r="KZK136" i="3" s="1"/>
  <c r="KZC136" i="3"/>
  <c r="KZA136" i="3"/>
  <c r="KYU136" i="3"/>
  <c r="KYS136" i="3"/>
  <c r="KYM136" i="3"/>
  <c r="KYK136" i="3"/>
  <c r="KYC136" i="3"/>
  <c r="KYE136" i="3" s="1"/>
  <c r="KXU136" i="3"/>
  <c r="KXW136" i="3" s="1"/>
  <c r="KXO136" i="3"/>
  <c r="KXM136" i="3"/>
  <c r="KXE136" i="3"/>
  <c r="KXG136" i="3" s="1"/>
  <c r="KWY136" i="3"/>
  <c r="KWW136" i="3"/>
  <c r="KWQ136" i="3"/>
  <c r="KWO136" i="3"/>
  <c r="KWI136" i="3"/>
  <c r="KWG136" i="3"/>
  <c r="KVY136" i="3"/>
  <c r="KWA136" i="3" s="1"/>
  <c r="KVQ136" i="3"/>
  <c r="KVS136" i="3" s="1"/>
  <c r="KVI136" i="3"/>
  <c r="KVK136" i="3" s="1"/>
  <c r="KVC136" i="3"/>
  <c r="KVA136" i="3"/>
  <c r="KUU136" i="3"/>
  <c r="KUS136" i="3"/>
  <c r="KUK136" i="3"/>
  <c r="KUM136" i="3" s="1"/>
  <c r="KUC136" i="3"/>
  <c r="KUE136" i="3" s="1"/>
  <c r="KTW136" i="3"/>
  <c r="KTU136" i="3"/>
  <c r="KTO136" i="3"/>
  <c r="KTM136" i="3"/>
  <c r="KTE136" i="3"/>
  <c r="KTG136" i="3" s="1"/>
  <c r="KSY136" i="3"/>
  <c r="KSW136" i="3"/>
  <c r="KSQ136" i="3"/>
  <c r="KSO136" i="3"/>
  <c r="KSG136" i="3"/>
  <c r="KSI136" i="3" s="1"/>
  <c r="KRY136" i="3"/>
  <c r="KSA136" i="3" s="1"/>
  <c r="KRQ136" i="3"/>
  <c r="KRS136" i="3" s="1"/>
  <c r="KRI136" i="3"/>
  <c r="KRK136" i="3" s="1"/>
  <c r="KRC136" i="3"/>
  <c r="KRA136" i="3"/>
  <c r="KQS136" i="3"/>
  <c r="KQU136" i="3" s="1"/>
  <c r="KQK136" i="3"/>
  <c r="KQM136" i="3" s="1"/>
  <c r="KQE136" i="3"/>
  <c r="KQC136" i="3"/>
  <c r="KPW136" i="3"/>
  <c r="KPU136" i="3"/>
  <c r="KPO136" i="3"/>
  <c r="KPM136" i="3"/>
  <c r="KPG136" i="3"/>
  <c r="KPE136" i="3"/>
  <c r="KOY136" i="3"/>
  <c r="KOW136" i="3"/>
  <c r="KOO136" i="3"/>
  <c r="KOQ136" i="3" s="1"/>
  <c r="KOG136" i="3"/>
  <c r="KOI136" i="3" s="1"/>
  <c r="KNY136" i="3"/>
  <c r="KOA136" i="3" s="1"/>
  <c r="KNQ136" i="3"/>
  <c r="KNS136" i="3" s="1"/>
  <c r="KNK136" i="3"/>
  <c r="KNI136" i="3"/>
  <c r="KNC136" i="3"/>
  <c r="KNA136" i="3"/>
  <c r="KMS136" i="3"/>
  <c r="KMU136" i="3" s="1"/>
  <c r="KMM136" i="3"/>
  <c r="KMK136" i="3"/>
  <c r="KME136" i="3"/>
  <c r="KMC136" i="3"/>
  <c r="KLW136" i="3"/>
  <c r="KLU136" i="3"/>
  <c r="KLO136" i="3"/>
  <c r="KLM136" i="3"/>
  <c r="KLE136" i="3"/>
  <c r="KLG136" i="3" s="1"/>
  <c r="KKW136" i="3"/>
  <c r="KKY136" i="3" s="1"/>
  <c r="KKQ136" i="3"/>
  <c r="KKO136" i="3"/>
  <c r="KKG136" i="3"/>
  <c r="KKI136" i="3" s="1"/>
  <c r="KJY136" i="3"/>
  <c r="KKA136" i="3" s="1"/>
  <c r="KJS136" i="3"/>
  <c r="KJQ136" i="3"/>
  <c r="KJI136" i="3"/>
  <c r="KJK136" i="3" s="1"/>
  <c r="KJA136" i="3"/>
  <c r="KJC136" i="3" s="1"/>
  <c r="KIS136" i="3"/>
  <c r="KIU136" i="3" s="1"/>
  <c r="KIK136" i="3"/>
  <c r="KIM136" i="3" s="1"/>
  <c r="KIE136" i="3"/>
  <c r="KIC136" i="3"/>
  <c r="KHW136" i="3"/>
  <c r="KHU136" i="3"/>
  <c r="KHM136" i="3"/>
  <c r="KHO136" i="3" s="1"/>
  <c r="KHE136" i="3"/>
  <c r="KHG136" i="3" s="1"/>
  <c r="KGY136" i="3"/>
  <c r="KGW136" i="3"/>
  <c r="KGQ136" i="3"/>
  <c r="KGO136" i="3"/>
  <c r="KGI136" i="3"/>
  <c r="KGG136" i="3"/>
  <c r="KGA136" i="3"/>
  <c r="KFY136" i="3"/>
  <c r="KFQ136" i="3"/>
  <c r="KFS136" i="3" s="1"/>
  <c r="KFI136" i="3"/>
  <c r="KFK136" i="3" s="1"/>
  <c r="KFC136" i="3"/>
  <c r="KFA136" i="3"/>
  <c r="KEU136" i="3"/>
  <c r="KES136" i="3"/>
  <c r="KEM136" i="3"/>
  <c r="KEK136" i="3"/>
  <c r="KEE136" i="3"/>
  <c r="KEC136" i="3"/>
  <c r="KDW136" i="3"/>
  <c r="KDU136" i="3"/>
  <c r="KDM136" i="3"/>
  <c r="KDO136" i="3" s="1"/>
  <c r="KDE136" i="3"/>
  <c r="KDG136" i="3" s="1"/>
  <c r="KCW136" i="3"/>
  <c r="KCY136" i="3" s="1"/>
  <c r="KCO136" i="3"/>
  <c r="KCQ136" i="3" s="1"/>
  <c r="KCI136" i="3"/>
  <c r="KCG136" i="3"/>
  <c r="KBY136" i="3"/>
  <c r="KCA136" i="3" s="1"/>
  <c r="KBQ136" i="3"/>
  <c r="KBS136" i="3" s="1"/>
  <c r="KBK136" i="3"/>
  <c r="KBI136" i="3"/>
  <c r="KBA136" i="3"/>
  <c r="KBC136" i="3" s="1"/>
  <c r="KAS136" i="3"/>
  <c r="KAU136" i="3" s="1"/>
  <c r="KAM136" i="3"/>
  <c r="KAK136" i="3"/>
  <c r="KAE136" i="3"/>
  <c r="KAC136" i="3"/>
  <c r="JZU136" i="3"/>
  <c r="JZW136" i="3" s="1"/>
  <c r="JZM136" i="3"/>
  <c r="JZO136" i="3" s="1"/>
  <c r="JZG136" i="3"/>
  <c r="JZE136" i="3"/>
  <c r="JYW136" i="3"/>
  <c r="JYY136" i="3" s="1"/>
  <c r="JYQ136" i="3"/>
  <c r="JYO136" i="3"/>
  <c r="JYG136" i="3"/>
  <c r="JYI136" i="3" s="1"/>
  <c r="JXY136" i="3"/>
  <c r="JYA136" i="3" s="1"/>
  <c r="JXS136" i="3"/>
  <c r="JXQ136" i="3"/>
  <c r="JXI136" i="3"/>
  <c r="JXK136" i="3" s="1"/>
  <c r="JXA136" i="3"/>
  <c r="JXC136" i="3" s="1"/>
  <c r="JWU136" i="3"/>
  <c r="JWS136" i="3"/>
  <c r="JWM136" i="3"/>
  <c r="JWK136" i="3"/>
  <c r="JWC136" i="3"/>
  <c r="JWE136" i="3" s="1"/>
  <c r="JVU136" i="3"/>
  <c r="JVW136" i="3" s="1"/>
  <c r="JVM136" i="3"/>
  <c r="JVO136" i="3" s="1"/>
  <c r="JVG136" i="3"/>
  <c r="JVE136" i="3"/>
  <c r="JUY136" i="3"/>
  <c r="JUW136" i="3"/>
  <c r="JUO136" i="3"/>
  <c r="JUQ136" i="3" s="1"/>
  <c r="JUG136" i="3"/>
  <c r="JUI136" i="3" s="1"/>
  <c r="JUA136" i="3"/>
  <c r="JTY136" i="3"/>
  <c r="JTS136" i="3"/>
  <c r="JTQ136" i="3"/>
  <c r="JTK136" i="3"/>
  <c r="JTI136" i="3"/>
  <c r="JTC136" i="3"/>
  <c r="JTA136" i="3"/>
  <c r="JSS136" i="3"/>
  <c r="JSU136" i="3" s="1"/>
  <c r="JSK136" i="3"/>
  <c r="JSM136" i="3" s="1"/>
  <c r="JSC136" i="3"/>
  <c r="JSE136" i="3" s="1"/>
  <c r="JRU136" i="3"/>
  <c r="JRW136" i="3" s="1"/>
  <c r="JRM136" i="3"/>
  <c r="JRO136" i="3" s="1"/>
  <c r="JRG136" i="3"/>
  <c r="JRE136" i="3"/>
  <c r="JQY136" i="3"/>
  <c r="JQW136" i="3"/>
  <c r="JQO136" i="3"/>
  <c r="JQQ136" i="3" s="1"/>
  <c r="JQG136" i="3"/>
  <c r="JQI136" i="3" s="1"/>
  <c r="JQA136" i="3"/>
  <c r="JPY136" i="3"/>
  <c r="JPS136" i="3"/>
  <c r="JPQ136" i="3"/>
  <c r="JPK136" i="3"/>
  <c r="JPI136" i="3"/>
  <c r="JPC136" i="3"/>
  <c r="JPA136" i="3"/>
  <c r="JOS136" i="3"/>
  <c r="JOU136" i="3" s="1"/>
  <c r="JOM136" i="3"/>
  <c r="JOK136" i="3"/>
  <c r="JOC136" i="3"/>
  <c r="JOE136" i="3" s="1"/>
  <c r="JNU136" i="3"/>
  <c r="JNW136" i="3" s="1"/>
  <c r="JNO136" i="3"/>
  <c r="JNM136" i="3"/>
  <c r="JNG136" i="3"/>
  <c r="JNE136" i="3"/>
  <c r="JMW136" i="3"/>
  <c r="JMY136" i="3" s="1"/>
  <c r="JMQ136" i="3"/>
  <c r="JMO136" i="3"/>
  <c r="JMI136" i="3"/>
  <c r="JMG136" i="3"/>
  <c r="JMA136" i="3"/>
  <c r="JLY136" i="3"/>
  <c r="JLS136" i="3"/>
  <c r="JLQ136" i="3"/>
  <c r="JLI136" i="3"/>
  <c r="JLK136" i="3" s="1"/>
  <c r="JLA136" i="3"/>
  <c r="JLC136" i="3" s="1"/>
  <c r="JKU136" i="3"/>
  <c r="JKS136" i="3"/>
  <c r="JKK136" i="3"/>
  <c r="JKM136" i="3" s="1"/>
  <c r="JKC136" i="3"/>
  <c r="JKE136" i="3" s="1"/>
  <c r="JJW136" i="3"/>
  <c r="JJU136" i="3"/>
  <c r="JJM136" i="3"/>
  <c r="JJO136" i="3" s="1"/>
  <c r="JJE136" i="3"/>
  <c r="JJG136" i="3" s="1"/>
  <c r="JIY136" i="3"/>
  <c r="JIW136" i="3"/>
  <c r="JIQ136" i="3"/>
  <c r="JIO136" i="3"/>
  <c r="JIG136" i="3"/>
  <c r="JII136" i="3" s="1"/>
  <c r="JIA136" i="3"/>
  <c r="JHY136" i="3"/>
  <c r="JHS136" i="3"/>
  <c r="JHQ136" i="3"/>
  <c r="JHI136" i="3"/>
  <c r="JHK136" i="3" s="1"/>
  <c r="JHA136" i="3"/>
  <c r="JHC136" i="3" s="1"/>
  <c r="JGS136" i="3"/>
  <c r="JGU136" i="3" s="1"/>
  <c r="JGM136" i="3"/>
  <c r="JGK136" i="3"/>
  <c r="JGE136" i="3"/>
  <c r="JGC136" i="3"/>
  <c r="JFU136" i="3"/>
  <c r="JFW136" i="3" s="1"/>
  <c r="JFM136" i="3"/>
  <c r="JFO136" i="3" s="1"/>
  <c r="JFE136" i="3"/>
  <c r="JFG136" i="3" s="1"/>
  <c r="JEW136" i="3"/>
  <c r="JEY136" i="3" s="1"/>
  <c r="JEO136" i="3"/>
  <c r="JEQ136" i="3" s="1"/>
  <c r="JEI136" i="3"/>
  <c r="JEG136" i="3"/>
  <c r="JEA136" i="3"/>
  <c r="JDY136" i="3"/>
  <c r="JDQ136" i="3"/>
  <c r="JDS136" i="3" s="1"/>
  <c r="JDI136" i="3"/>
  <c r="JDK136" i="3" s="1"/>
  <c r="JDA136" i="3"/>
  <c r="JDC136" i="3" s="1"/>
  <c r="JCS136" i="3"/>
  <c r="JCU136" i="3" s="1"/>
  <c r="JCM136" i="3"/>
  <c r="JCK136" i="3"/>
  <c r="JCE136" i="3"/>
  <c r="JCC136" i="3"/>
  <c r="JBU136" i="3"/>
  <c r="JBW136" i="3" s="1"/>
  <c r="JBO136" i="3"/>
  <c r="JBM136" i="3"/>
  <c r="JBG136" i="3"/>
  <c r="JBE136" i="3"/>
  <c r="JAY136" i="3"/>
  <c r="JAW136" i="3"/>
  <c r="JAQ136" i="3"/>
  <c r="JAO136" i="3"/>
  <c r="JAI136" i="3"/>
  <c r="JAG136" i="3"/>
  <c r="IZY136" i="3"/>
  <c r="JAA136" i="3" s="1"/>
  <c r="IZS136" i="3"/>
  <c r="IZQ136" i="3"/>
  <c r="IZI136" i="3"/>
  <c r="IZK136" i="3" s="1"/>
  <c r="IZC136" i="3"/>
  <c r="IZA136" i="3"/>
  <c r="IYU136" i="3"/>
  <c r="IYS136" i="3"/>
  <c r="IYM136" i="3"/>
  <c r="IYK136" i="3"/>
  <c r="IYC136" i="3"/>
  <c r="IYE136" i="3" s="1"/>
  <c r="IXW136" i="3"/>
  <c r="IXU136" i="3"/>
  <c r="IXO136" i="3"/>
  <c r="IXM136" i="3"/>
  <c r="IXE136" i="3"/>
  <c r="IXG136" i="3" s="1"/>
  <c r="IWY136" i="3"/>
  <c r="IWW136" i="3"/>
  <c r="IWO136" i="3"/>
  <c r="IWQ136" i="3" s="1"/>
  <c r="IWG136" i="3"/>
  <c r="IWI136" i="3" s="1"/>
  <c r="IWA136" i="3"/>
  <c r="IVY136" i="3"/>
  <c r="IVQ136" i="3"/>
  <c r="IVS136" i="3" s="1"/>
  <c r="IVI136" i="3"/>
  <c r="IVK136" i="3" s="1"/>
  <c r="IVC136" i="3"/>
  <c r="IVA136" i="3"/>
  <c r="IUS136" i="3"/>
  <c r="IUU136" i="3" s="1"/>
  <c r="IUK136" i="3"/>
  <c r="IUM136" i="3" s="1"/>
  <c r="IUE136" i="3"/>
  <c r="IUC136" i="3"/>
  <c r="ITW136" i="3"/>
  <c r="ITU136" i="3"/>
  <c r="ITO136" i="3"/>
  <c r="ITM136" i="3"/>
  <c r="ITG136" i="3"/>
  <c r="ITE136" i="3"/>
  <c r="ISY136" i="3"/>
  <c r="ISW136" i="3"/>
  <c r="ISO136" i="3"/>
  <c r="ISQ136" i="3" s="1"/>
  <c r="ISG136" i="3"/>
  <c r="ISI136" i="3" s="1"/>
  <c r="IRY136" i="3"/>
  <c r="ISA136" i="3" s="1"/>
  <c r="IRS136" i="3"/>
  <c r="IRQ136" i="3"/>
  <c r="IRK136" i="3"/>
  <c r="IRI136" i="3"/>
  <c r="IRA136" i="3"/>
  <c r="IRC136" i="3" s="1"/>
  <c r="IQS136" i="3"/>
  <c r="IQU136" i="3" s="1"/>
  <c r="IQM136" i="3"/>
  <c r="IQK136" i="3"/>
  <c r="IQE136" i="3"/>
  <c r="IQC136" i="3"/>
  <c r="IPW136" i="3"/>
  <c r="IPU136" i="3"/>
  <c r="IPO136" i="3"/>
  <c r="IPM136" i="3"/>
  <c r="IPE136" i="3"/>
  <c r="IPG136" i="3" s="1"/>
  <c r="IOW136" i="3"/>
  <c r="IOY136" i="3" s="1"/>
  <c r="IOO136" i="3"/>
  <c r="IOQ136" i="3" s="1"/>
  <c r="IOG136" i="3"/>
  <c r="IOI136" i="3" s="1"/>
  <c r="INY136" i="3"/>
  <c r="IOA136" i="3" s="1"/>
  <c r="INS136" i="3"/>
  <c r="INQ136" i="3"/>
  <c r="INI136" i="3"/>
  <c r="INK136" i="3" s="1"/>
  <c r="INA136" i="3"/>
  <c r="INC136" i="3" s="1"/>
  <c r="IMS136" i="3"/>
  <c r="IMU136" i="3" s="1"/>
  <c r="IMK136" i="3"/>
  <c r="IMM136" i="3" s="1"/>
  <c r="IMC136" i="3"/>
  <c r="IME136" i="3" s="1"/>
  <c r="ILW136" i="3"/>
  <c r="ILU136" i="3"/>
  <c r="ILO136" i="3"/>
  <c r="ILM136" i="3"/>
  <c r="ILE136" i="3"/>
  <c r="ILG136" i="3" s="1"/>
  <c r="IKW136" i="3"/>
  <c r="IKY136" i="3" s="1"/>
  <c r="IKQ136" i="3"/>
  <c r="IKO136" i="3"/>
  <c r="IKI136" i="3"/>
  <c r="IKG136" i="3"/>
  <c r="IKA136" i="3"/>
  <c r="IJY136" i="3"/>
  <c r="IJS136" i="3"/>
  <c r="IJQ136" i="3"/>
  <c r="IJI136" i="3"/>
  <c r="IJK136" i="3" s="1"/>
  <c r="IJC136" i="3"/>
  <c r="IJA136" i="3"/>
  <c r="IIS136" i="3"/>
  <c r="IIU136" i="3" s="1"/>
  <c r="IIK136" i="3"/>
  <c r="IIM136" i="3" s="1"/>
  <c r="IIE136" i="3"/>
  <c r="IIC136" i="3"/>
  <c r="IHU136" i="3"/>
  <c r="IHW136" i="3" s="1"/>
  <c r="IHM136" i="3"/>
  <c r="IHO136" i="3" s="1"/>
  <c r="IHE136" i="3"/>
  <c r="IHG136" i="3" s="1"/>
  <c r="IGY136" i="3"/>
  <c r="IGW136" i="3"/>
  <c r="IGO136" i="3"/>
  <c r="IGQ136" i="3" s="1"/>
  <c r="IGI136" i="3"/>
  <c r="IGG136" i="3"/>
  <c r="IFY136" i="3"/>
  <c r="IGA136" i="3" s="1"/>
  <c r="IFQ136" i="3"/>
  <c r="IFS136" i="3" s="1"/>
  <c r="IFK136" i="3"/>
  <c r="IFI136" i="3"/>
  <c r="IFA136" i="3"/>
  <c r="IFC136" i="3" s="1"/>
  <c r="IES136" i="3"/>
  <c r="IEU136" i="3" s="1"/>
  <c r="IEM136" i="3"/>
  <c r="IEK136" i="3"/>
  <c r="IEE136" i="3"/>
  <c r="IEC136" i="3"/>
  <c r="IDU136" i="3"/>
  <c r="IDW136" i="3" s="1"/>
  <c r="IDM136" i="3"/>
  <c r="IDO136" i="3" s="1"/>
  <c r="IDE136" i="3"/>
  <c r="IDG136" i="3" s="1"/>
  <c r="ICW136" i="3"/>
  <c r="ICY136" i="3" s="1"/>
  <c r="ICQ136" i="3"/>
  <c r="ICO136" i="3"/>
  <c r="ICI136" i="3"/>
  <c r="ICG136" i="3"/>
  <c r="IBY136" i="3"/>
  <c r="ICA136" i="3" s="1"/>
  <c r="IBQ136" i="3"/>
  <c r="IBS136" i="3" s="1"/>
  <c r="IBK136" i="3"/>
  <c r="IBI136" i="3"/>
  <c r="IBC136" i="3"/>
  <c r="IBA136" i="3"/>
  <c r="IAU136" i="3"/>
  <c r="IAS136" i="3"/>
  <c r="IAK136" i="3"/>
  <c r="IAM136" i="3" s="1"/>
  <c r="IAC136" i="3"/>
  <c r="IAE136" i="3" s="1"/>
  <c r="HZW136" i="3"/>
  <c r="HZU136" i="3"/>
  <c r="HZO136" i="3"/>
  <c r="HZM136" i="3"/>
  <c r="HZE136" i="3"/>
  <c r="HZG136" i="3" s="1"/>
  <c r="HYY136" i="3"/>
  <c r="HYW136" i="3"/>
  <c r="HYQ136" i="3"/>
  <c r="HYO136" i="3"/>
  <c r="HYG136" i="3"/>
  <c r="HYI136" i="3" s="1"/>
  <c r="HYA136" i="3"/>
  <c r="HXY136" i="3"/>
  <c r="HXS136" i="3"/>
  <c r="HXQ136" i="3"/>
  <c r="HXK136" i="3"/>
  <c r="HXI136" i="3"/>
  <c r="HXC136" i="3"/>
  <c r="HXA136" i="3"/>
  <c r="HWS136" i="3"/>
  <c r="HWU136" i="3" s="1"/>
  <c r="HWK136" i="3"/>
  <c r="HWM136" i="3" s="1"/>
  <c r="HWC136" i="3"/>
  <c r="HWE136" i="3" s="1"/>
  <c r="HVU136" i="3"/>
  <c r="HVW136" i="3" s="1"/>
  <c r="HVM136" i="3"/>
  <c r="HVO136" i="3" s="1"/>
  <c r="HVG136" i="3"/>
  <c r="HVE136" i="3"/>
  <c r="HUY136" i="3"/>
  <c r="HUW136" i="3"/>
  <c r="HUO136" i="3"/>
  <c r="HUQ136" i="3" s="1"/>
  <c r="HUG136" i="3"/>
  <c r="HUI136" i="3" s="1"/>
  <c r="HUA136" i="3"/>
  <c r="HTY136" i="3"/>
  <c r="HTS136" i="3"/>
  <c r="HTQ136" i="3"/>
  <c r="HTK136" i="3"/>
  <c r="HTI136" i="3"/>
  <c r="HTC136" i="3"/>
  <c r="HTA136" i="3"/>
  <c r="HSS136" i="3"/>
  <c r="HSU136" i="3" s="1"/>
  <c r="HSM136" i="3"/>
  <c r="HSK136" i="3"/>
  <c r="HSC136" i="3"/>
  <c r="HSE136" i="3" s="1"/>
  <c r="HRU136" i="3"/>
  <c r="HRW136" i="3" s="1"/>
  <c r="HRO136" i="3"/>
  <c r="HRM136" i="3"/>
  <c r="HRE136" i="3"/>
  <c r="HRG136" i="3" s="1"/>
  <c r="HQW136" i="3"/>
  <c r="HQY136" i="3" s="1"/>
  <c r="HQQ136" i="3"/>
  <c r="HQO136" i="3"/>
  <c r="HQI136" i="3"/>
  <c r="HQG136" i="3"/>
  <c r="HPY136" i="3"/>
  <c r="HQA136" i="3" s="1"/>
  <c r="HPS136" i="3"/>
  <c r="HPQ136" i="3"/>
  <c r="HPK136" i="3"/>
  <c r="HPI136" i="3"/>
  <c r="HPA136" i="3"/>
  <c r="HPC136" i="3" s="1"/>
  <c r="HOU136" i="3"/>
  <c r="HOS136" i="3"/>
  <c r="HOK136" i="3"/>
  <c r="HOM136" i="3" s="1"/>
  <c r="HOC136" i="3"/>
  <c r="HOE136" i="3" s="1"/>
  <c r="HNW136" i="3"/>
  <c r="HNU136" i="3"/>
  <c r="HNO136" i="3"/>
  <c r="HNM136" i="3"/>
  <c r="HNE136" i="3"/>
  <c r="HNG136" i="3" s="1"/>
  <c r="HMW136" i="3"/>
  <c r="HMY136" i="3" s="1"/>
  <c r="HMQ136" i="3"/>
  <c r="HMO136" i="3"/>
  <c r="HMI136" i="3"/>
  <c r="HMG136" i="3"/>
  <c r="HMA136" i="3"/>
  <c r="HLY136" i="3"/>
  <c r="HLQ136" i="3"/>
  <c r="HLS136" i="3" s="1"/>
  <c r="HLI136" i="3"/>
  <c r="HLK136" i="3" s="1"/>
  <c r="HLA136" i="3"/>
  <c r="HLC136" i="3" s="1"/>
  <c r="HKS136" i="3"/>
  <c r="HKU136" i="3" s="1"/>
  <c r="HKM136" i="3"/>
  <c r="HKK136" i="3"/>
  <c r="HKE136" i="3"/>
  <c r="HKC136" i="3"/>
  <c r="HJU136" i="3"/>
  <c r="HJW136" i="3" s="1"/>
  <c r="HJM136" i="3"/>
  <c r="HJO136" i="3" s="1"/>
  <c r="HJG136" i="3"/>
  <c r="HJE136" i="3"/>
  <c r="HIY136" i="3"/>
  <c r="HIW136" i="3"/>
  <c r="HIQ136" i="3"/>
  <c r="HIO136" i="3"/>
  <c r="HII136" i="3"/>
  <c r="HIG136" i="3"/>
  <c r="HHY136" i="3"/>
  <c r="HIA136" i="3" s="1"/>
  <c r="HHQ136" i="3"/>
  <c r="HHS136" i="3" s="1"/>
  <c r="HHI136" i="3"/>
  <c r="HHK136" i="3" s="1"/>
  <c r="HHA136" i="3"/>
  <c r="HHC136" i="3" s="1"/>
  <c r="HGU136" i="3"/>
  <c r="HGS136" i="3"/>
  <c r="HGM136" i="3"/>
  <c r="HGK136" i="3"/>
  <c r="HGC136" i="3"/>
  <c r="HGE136" i="3" s="1"/>
  <c r="HFU136" i="3"/>
  <c r="HFW136" i="3" s="1"/>
  <c r="HFM136" i="3"/>
  <c r="HFO136" i="3" s="1"/>
  <c r="HFG136" i="3"/>
  <c r="HFE136" i="3"/>
  <c r="HEW136" i="3"/>
  <c r="HEY136" i="3" s="1"/>
  <c r="HEQ136" i="3"/>
  <c r="HEO136" i="3"/>
  <c r="HEI136" i="3"/>
  <c r="HEG136" i="3"/>
  <c r="HDY136" i="3"/>
  <c r="HEA136" i="3" s="1"/>
  <c r="HDQ136" i="3"/>
  <c r="HDS136" i="3" s="1"/>
  <c r="HDK136" i="3"/>
  <c r="HDI136" i="3"/>
  <c r="HDA136" i="3"/>
  <c r="HDC136" i="3" s="1"/>
  <c r="HCU136" i="3"/>
  <c r="HCS136" i="3"/>
  <c r="HCK136" i="3"/>
  <c r="HCM136" i="3" s="1"/>
  <c r="HCC136" i="3"/>
  <c r="HCE136" i="3" s="1"/>
  <c r="HBU136" i="3"/>
  <c r="HBW136" i="3" s="1"/>
  <c r="HBM136" i="3"/>
  <c r="HBO136" i="3" s="1"/>
  <c r="HBG136" i="3"/>
  <c r="HBE136" i="3"/>
  <c r="HAY136" i="3"/>
  <c r="HAW136" i="3"/>
  <c r="HAQ136" i="3"/>
  <c r="HAO136" i="3"/>
  <c r="HAG136" i="3"/>
  <c r="HAI136" i="3" s="1"/>
  <c r="HAA136" i="3"/>
  <c r="GZY136" i="3"/>
  <c r="GZS136" i="3"/>
  <c r="GZQ136" i="3"/>
  <c r="GZI136" i="3"/>
  <c r="GZK136" i="3" s="1"/>
  <c r="GZC136" i="3"/>
  <c r="GZA136" i="3"/>
  <c r="GYS136" i="3"/>
  <c r="GYU136" i="3" s="1"/>
  <c r="GYK136" i="3"/>
  <c r="GYM136" i="3" s="1"/>
  <c r="GYE136" i="3"/>
  <c r="GYC136" i="3"/>
  <c r="GXU136" i="3"/>
  <c r="GXW136" i="3" s="1"/>
  <c r="GXM136" i="3"/>
  <c r="GXO136" i="3" s="1"/>
  <c r="GXG136" i="3"/>
  <c r="GXE136" i="3"/>
  <c r="GWY136" i="3"/>
  <c r="GWW136" i="3"/>
  <c r="GWO136" i="3"/>
  <c r="GWQ136" i="3" s="1"/>
  <c r="GWG136" i="3"/>
  <c r="GWI136" i="3" s="1"/>
  <c r="GWA136" i="3"/>
  <c r="GVY136" i="3"/>
  <c r="GVS136" i="3"/>
  <c r="GVQ136" i="3"/>
  <c r="GVK136" i="3"/>
  <c r="GVI136" i="3"/>
  <c r="GVA136" i="3"/>
  <c r="GVC136" i="3" s="1"/>
  <c r="GUS136" i="3"/>
  <c r="GUU136" i="3" s="1"/>
  <c r="GUK136" i="3"/>
  <c r="GUM136" i="3" s="1"/>
  <c r="GUC136" i="3"/>
  <c r="GUE136" i="3" s="1"/>
  <c r="GTW136" i="3"/>
  <c r="GTU136" i="3"/>
  <c r="GTO136" i="3"/>
  <c r="GTM136" i="3"/>
  <c r="GTE136" i="3"/>
  <c r="GTG136" i="3" s="1"/>
  <c r="GSW136" i="3"/>
  <c r="GSY136" i="3" s="1"/>
  <c r="GSQ136" i="3"/>
  <c r="GSO136" i="3"/>
  <c r="GSI136" i="3"/>
  <c r="GSG136" i="3"/>
  <c r="GSA136" i="3"/>
  <c r="GRY136" i="3"/>
  <c r="GRS136" i="3"/>
  <c r="GRQ136" i="3"/>
  <c r="GRI136" i="3"/>
  <c r="GRK136" i="3" s="1"/>
  <c r="GRA136" i="3"/>
  <c r="GRC136" i="3" s="1"/>
  <c r="GQS136" i="3"/>
  <c r="GQU136" i="3" s="1"/>
  <c r="GQK136" i="3"/>
  <c r="GQM136" i="3" s="1"/>
  <c r="GQC136" i="3"/>
  <c r="GQE136" i="3" s="1"/>
  <c r="GPW136" i="3"/>
  <c r="GPU136" i="3"/>
  <c r="GPO136" i="3"/>
  <c r="GPM136" i="3"/>
  <c r="GPE136" i="3"/>
  <c r="GPG136" i="3" s="1"/>
  <c r="GOY136" i="3"/>
  <c r="GOW136" i="3"/>
  <c r="GOQ136" i="3"/>
  <c r="GOO136" i="3"/>
  <c r="GOI136" i="3"/>
  <c r="GOG136" i="3"/>
  <c r="GOA136" i="3"/>
  <c r="GNY136" i="3"/>
  <c r="GNQ136" i="3"/>
  <c r="GNS136" i="3" s="1"/>
  <c r="GNI136" i="3"/>
  <c r="GNK136" i="3" s="1"/>
  <c r="GNA136" i="3"/>
  <c r="GNC136" i="3" s="1"/>
  <c r="GMS136" i="3"/>
  <c r="GMU136" i="3" s="1"/>
  <c r="GMK136" i="3"/>
  <c r="GMM136" i="3" s="1"/>
  <c r="GME136" i="3"/>
  <c r="GMC136" i="3"/>
  <c r="GLW136" i="3"/>
  <c r="GLU136" i="3"/>
  <c r="GLM136" i="3"/>
  <c r="GLO136" i="3" s="1"/>
  <c r="GLE136" i="3"/>
  <c r="GLG136" i="3" s="1"/>
  <c r="GKY136" i="3"/>
  <c r="GKW136" i="3"/>
  <c r="GKQ136" i="3"/>
  <c r="GKO136" i="3"/>
  <c r="GKI136" i="3"/>
  <c r="GKG136" i="3"/>
  <c r="GKA136" i="3"/>
  <c r="GJY136" i="3"/>
  <c r="GJQ136" i="3"/>
  <c r="GJS136" i="3" s="1"/>
  <c r="GJK136" i="3"/>
  <c r="GJI136" i="3"/>
  <c r="GJA136" i="3"/>
  <c r="GJC136" i="3" s="1"/>
  <c r="GIS136" i="3"/>
  <c r="GIU136" i="3" s="1"/>
  <c r="GIM136" i="3"/>
  <c r="GIK136" i="3"/>
  <c r="GIC136" i="3"/>
  <c r="GIE136" i="3" s="1"/>
  <c r="GHU136" i="3"/>
  <c r="GHW136" i="3" s="1"/>
  <c r="GHM136" i="3"/>
  <c r="GHO136" i="3" s="1"/>
  <c r="GHE136" i="3"/>
  <c r="GHG136" i="3" s="1"/>
  <c r="GGY136" i="3"/>
  <c r="GGW136" i="3"/>
  <c r="GGQ136" i="3"/>
  <c r="GGO136" i="3"/>
  <c r="GGI136" i="3"/>
  <c r="GGG136" i="3"/>
  <c r="GFY136" i="3"/>
  <c r="GGA136" i="3" s="1"/>
  <c r="GFS136" i="3"/>
  <c r="GFQ136" i="3"/>
  <c r="GFK136" i="3"/>
  <c r="GFI136" i="3"/>
  <c r="GFA136" i="3"/>
  <c r="GFC136" i="3" s="1"/>
  <c r="GEU136" i="3"/>
  <c r="GES136" i="3"/>
  <c r="GEK136" i="3"/>
  <c r="GEM136" i="3" s="1"/>
  <c r="GEC136" i="3"/>
  <c r="GEE136" i="3" s="1"/>
  <c r="GDW136" i="3"/>
  <c r="GDU136" i="3"/>
  <c r="GDM136" i="3"/>
  <c r="GDO136" i="3" s="1"/>
  <c r="GDE136" i="3"/>
  <c r="GDG136" i="3" s="1"/>
  <c r="GCY136" i="3"/>
  <c r="GCW136" i="3"/>
  <c r="GCQ136" i="3"/>
  <c r="GCO136" i="3"/>
  <c r="GCG136" i="3"/>
  <c r="GCI136" i="3" s="1"/>
  <c r="GBY136" i="3"/>
  <c r="GCA136" i="3" s="1"/>
  <c r="GBS136" i="3"/>
  <c r="GBQ136" i="3"/>
  <c r="GBK136" i="3"/>
  <c r="GBI136" i="3"/>
  <c r="GBC136" i="3"/>
  <c r="GBA136" i="3"/>
  <c r="GAS136" i="3"/>
  <c r="GAU136" i="3" s="1"/>
  <c r="GAK136" i="3"/>
  <c r="GAM136" i="3" s="1"/>
  <c r="GAE136" i="3"/>
  <c r="GAC136" i="3"/>
  <c r="FZW136" i="3"/>
  <c r="FZU136" i="3"/>
  <c r="FZM136" i="3"/>
  <c r="FZO136" i="3" s="1"/>
  <c r="FZG136" i="3"/>
  <c r="FZE136" i="3"/>
  <c r="FYY136" i="3"/>
  <c r="FYW136" i="3"/>
  <c r="FYO136" i="3"/>
  <c r="FYQ136" i="3" s="1"/>
  <c r="FYG136" i="3"/>
  <c r="FYI136" i="3" s="1"/>
  <c r="FXY136" i="3"/>
  <c r="FYA136" i="3" s="1"/>
  <c r="FXS136" i="3"/>
  <c r="FXQ136" i="3"/>
  <c r="FXK136" i="3"/>
  <c r="FXI136" i="3"/>
  <c r="FXA136" i="3"/>
  <c r="FXC136" i="3" s="1"/>
  <c r="FWS136" i="3"/>
  <c r="FWU136" i="3" s="1"/>
  <c r="FWM136" i="3"/>
  <c r="FWK136" i="3"/>
  <c r="FWE136" i="3"/>
  <c r="FWC136" i="3"/>
  <c r="FVW136" i="3"/>
  <c r="FVU136" i="3"/>
  <c r="FVO136" i="3"/>
  <c r="FVM136" i="3"/>
  <c r="FVE136" i="3"/>
  <c r="FVG136" i="3" s="1"/>
  <c r="FUY136" i="3"/>
  <c r="FUW136" i="3"/>
  <c r="FUQ136" i="3"/>
  <c r="FUO136" i="3"/>
  <c r="FUI136" i="3"/>
  <c r="FUG136" i="3"/>
  <c r="FUA136" i="3"/>
  <c r="FTY136" i="3"/>
  <c r="FTS136" i="3"/>
  <c r="FTQ136" i="3"/>
  <c r="FTI136" i="3"/>
  <c r="FTK136" i="3" s="1"/>
  <c r="FTC136" i="3"/>
  <c r="FTA136" i="3"/>
  <c r="FSU136" i="3"/>
  <c r="FSS136" i="3"/>
  <c r="FSM136" i="3"/>
  <c r="FSK136" i="3"/>
  <c r="FSE136" i="3"/>
  <c r="FSC136" i="3"/>
  <c r="FRW136" i="3"/>
  <c r="FRU136" i="3"/>
  <c r="FRM136" i="3"/>
  <c r="FRO136" i="3" s="1"/>
  <c r="FRG136" i="3"/>
  <c r="FRE136" i="3"/>
  <c r="FQY136" i="3"/>
  <c r="FQW136" i="3"/>
  <c r="FQQ136" i="3"/>
  <c r="FQO136" i="3"/>
  <c r="FQI136" i="3"/>
  <c r="FQG136" i="3"/>
  <c r="FQA136" i="3"/>
  <c r="FPY136" i="3"/>
  <c r="FPQ136" i="3"/>
  <c r="FPS136" i="3" s="1"/>
  <c r="FPK136" i="3"/>
  <c r="FPI136" i="3"/>
  <c r="FPC136" i="3"/>
  <c r="FPA136" i="3"/>
  <c r="FOU136" i="3"/>
  <c r="FOS136" i="3"/>
  <c r="FOM136" i="3"/>
  <c r="FOK136" i="3"/>
  <c r="FOE136" i="3"/>
  <c r="FOC136" i="3"/>
  <c r="FNU136" i="3"/>
  <c r="FNW136" i="3" s="1"/>
  <c r="FNO136" i="3"/>
  <c r="FNM136" i="3"/>
  <c r="FNG136" i="3"/>
  <c r="FNE136" i="3"/>
  <c r="FMY136" i="3"/>
  <c r="FMW136" i="3"/>
  <c r="FMQ136" i="3"/>
  <c r="FMO136" i="3"/>
  <c r="FMI136" i="3"/>
  <c r="FMG136" i="3"/>
  <c r="FLY136" i="3"/>
  <c r="FMA136" i="3" s="1"/>
  <c r="FLS136" i="3"/>
  <c r="FLQ136" i="3"/>
  <c r="FLK136" i="3"/>
  <c r="FLI136" i="3"/>
  <c r="FLC136" i="3"/>
  <c r="FLA136" i="3"/>
  <c r="FKU136" i="3"/>
  <c r="FKS136" i="3"/>
  <c r="FKM136" i="3"/>
  <c r="FKK136" i="3"/>
  <c r="FKC136" i="3"/>
  <c r="FKE136" i="3" s="1"/>
  <c r="FJW136" i="3"/>
  <c r="FJU136" i="3"/>
  <c r="FJO136" i="3"/>
  <c r="FJM136" i="3"/>
  <c r="FJG136" i="3"/>
  <c r="FJE136" i="3"/>
  <c r="FIY136" i="3"/>
  <c r="FIW136" i="3"/>
  <c r="FIQ136" i="3"/>
  <c r="FIO136" i="3"/>
  <c r="FIG136" i="3"/>
  <c r="FII136" i="3" s="1"/>
  <c r="FIA136" i="3"/>
  <c r="FHY136" i="3"/>
  <c r="FHS136" i="3"/>
  <c r="FHQ136" i="3"/>
  <c r="FHK136" i="3"/>
  <c r="FHI136" i="3"/>
  <c r="FHC136" i="3"/>
  <c r="FHA136" i="3"/>
  <c r="FGU136" i="3"/>
  <c r="FGS136" i="3"/>
  <c r="FGK136" i="3"/>
  <c r="FGM136" i="3" s="1"/>
  <c r="FGE136" i="3"/>
  <c r="FGC136" i="3"/>
  <c r="FFW136" i="3"/>
  <c r="FFU136" i="3"/>
  <c r="FFO136" i="3"/>
  <c r="FFM136" i="3"/>
  <c r="FFG136" i="3"/>
  <c r="FFE136" i="3"/>
  <c r="FEW136" i="3"/>
  <c r="FEY136" i="3" s="1"/>
  <c r="FEO136" i="3"/>
  <c r="FEQ136" i="3" s="1"/>
  <c r="FEI136" i="3"/>
  <c r="FEG136" i="3"/>
  <c r="FEA136" i="3"/>
  <c r="FDY136" i="3"/>
  <c r="FDS136" i="3"/>
  <c r="FDQ136" i="3"/>
  <c r="FDK136" i="3"/>
  <c r="FDI136" i="3"/>
  <c r="FDA136" i="3"/>
  <c r="FDC136" i="3" s="1"/>
  <c r="FCS136" i="3"/>
  <c r="FCU136" i="3" s="1"/>
  <c r="FCM136" i="3"/>
  <c r="FCK136" i="3"/>
  <c r="FCE136" i="3"/>
  <c r="FCC136" i="3"/>
  <c r="FBW136" i="3"/>
  <c r="FBU136" i="3"/>
  <c r="FBO136" i="3"/>
  <c r="FBM136" i="3"/>
  <c r="FBE136" i="3"/>
  <c r="FBG136" i="3" s="1"/>
  <c r="FAW136" i="3"/>
  <c r="FAY136" i="3" s="1"/>
  <c r="FAQ136" i="3"/>
  <c r="FAO136" i="3"/>
  <c r="FAI136" i="3"/>
  <c r="FAG136" i="3"/>
  <c r="FAA136" i="3"/>
  <c r="EZY136" i="3"/>
  <c r="EZS136" i="3"/>
  <c r="EZQ136" i="3"/>
  <c r="EZI136" i="3"/>
  <c r="EZK136" i="3" s="1"/>
  <c r="EZA136" i="3"/>
  <c r="EZC136" i="3" s="1"/>
  <c r="EYU136" i="3"/>
  <c r="EYS136" i="3"/>
  <c r="EYM136" i="3"/>
  <c r="EYK136" i="3"/>
  <c r="EYE136" i="3"/>
  <c r="EYC136" i="3"/>
  <c r="EXW136" i="3"/>
  <c r="EXU136" i="3"/>
  <c r="EXM136" i="3"/>
  <c r="EXO136" i="3" s="1"/>
  <c r="EXE136" i="3"/>
  <c r="EXG136" i="3" s="1"/>
  <c r="EWY136" i="3"/>
  <c r="EWW136" i="3"/>
  <c r="EWQ136" i="3"/>
  <c r="EWO136" i="3"/>
  <c r="EWI136" i="3"/>
  <c r="EWG136" i="3"/>
  <c r="EWA136" i="3"/>
  <c r="EVY136" i="3"/>
  <c r="EVQ136" i="3"/>
  <c r="EVS136" i="3" s="1"/>
  <c r="EVI136" i="3"/>
  <c r="EVK136" i="3" s="1"/>
  <c r="EVC136" i="3"/>
  <c r="EVA136" i="3"/>
  <c r="EUU136" i="3"/>
  <c r="EUS136" i="3"/>
  <c r="EUM136" i="3"/>
  <c r="EUK136" i="3"/>
  <c r="EUE136" i="3"/>
  <c r="EUC136" i="3"/>
  <c r="ETU136" i="3"/>
  <c r="ETW136" i="3" s="1"/>
  <c r="ETM136" i="3"/>
  <c r="ETO136" i="3" s="1"/>
  <c r="ETG136" i="3"/>
  <c r="ETE136" i="3"/>
  <c r="ESY136" i="3"/>
  <c r="ESW136" i="3"/>
  <c r="ESQ136" i="3"/>
  <c r="ESO136" i="3"/>
  <c r="ESI136" i="3"/>
  <c r="ESG136" i="3"/>
  <c r="ERY136" i="3"/>
  <c r="ESA136" i="3" s="1"/>
  <c r="ERQ136" i="3"/>
  <c r="ERS136" i="3" s="1"/>
  <c r="ERK136" i="3"/>
  <c r="ERI136" i="3"/>
  <c r="ERC136" i="3"/>
  <c r="ERA136" i="3"/>
  <c r="EQU136" i="3"/>
  <c r="EQS136" i="3"/>
  <c r="EQM136" i="3"/>
  <c r="EQK136" i="3"/>
  <c r="EQC136" i="3"/>
  <c r="EQE136" i="3" s="1"/>
  <c r="EPU136" i="3"/>
  <c r="EPW136" i="3" s="1"/>
  <c r="EPO136" i="3"/>
  <c r="EPM136" i="3"/>
  <c r="EPG136" i="3"/>
  <c r="EPE136" i="3"/>
  <c r="EOY136" i="3"/>
  <c r="EOW136" i="3"/>
  <c r="EOQ136" i="3"/>
  <c r="EOO136" i="3"/>
  <c r="EOG136" i="3"/>
  <c r="EOI136" i="3" s="1"/>
  <c r="ENY136" i="3"/>
  <c r="EOA136" i="3" s="1"/>
  <c r="ENS136" i="3"/>
  <c r="ENQ136" i="3"/>
  <c r="ENK136" i="3"/>
  <c r="ENI136" i="3"/>
  <c r="ENC136" i="3"/>
  <c r="ENA136" i="3"/>
  <c r="EMU136" i="3"/>
  <c r="EMS136" i="3"/>
  <c r="EMK136" i="3"/>
  <c r="EMM136" i="3" s="1"/>
  <c r="EMC136" i="3"/>
  <c r="EME136" i="3" s="1"/>
  <c r="ELW136" i="3"/>
  <c r="ELU136" i="3"/>
  <c r="ELO136" i="3"/>
  <c r="ELM136" i="3"/>
  <c r="ELG136" i="3"/>
  <c r="ELE136" i="3"/>
  <c r="EKY136" i="3"/>
  <c r="EKW136" i="3"/>
  <c r="EKO136" i="3"/>
  <c r="EKQ136" i="3" s="1"/>
  <c r="EKG136" i="3"/>
  <c r="EKI136" i="3" s="1"/>
  <c r="EKA136" i="3"/>
  <c r="EJY136" i="3"/>
  <c r="EJS136" i="3"/>
  <c r="EJQ136" i="3"/>
  <c r="EJK136" i="3"/>
  <c r="EJI136" i="3"/>
  <c r="EJC136" i="3"/>
  <c r="EJA136" i="3"/>
  <c r="EIS136" i="3"/>
  <c r="EIU136" i="3" s="1"/>
  <c r="EIK136" i="3"/>
  <c r="EIM136" i="3" s="1"/>
  <c r="EIE136" i="3"/>
  <c r="EIC136" i="3"/>
  <c r="EHW136" i="3"/>
  <c r="EHU136" i="3"/>
  <c r="EHO136" i="3"/>
  <c r="EHM136" i="3"/>
  <c r="EHG136" i="3"/>
  <c r="EHE136" i="3"/>
  <c r="EGW136" i="3"/>
  <c r="EGY136" i="3" s="1"/>
  <c r="EGO136" i="3"/>
  <c r="EGQ136" i="3" s="1"/>
  <c r="EGI136" i="3"/>
  <c r="EGG136" i="3"/>
  <c r="EGA136" i="3"/>
  <c r="EFY136" i="3"/>
  <c r="EFS136" i="3"/>
  <c r="EFQ136" i="3"/>
  <c r="EFK136" i="3"/>
  <c r="EFI136" i="3"/>
  <c r="EFA136" i="3"/>
  <c r="EFC136" i="3" s="1"/>
  <c r="EES136" i="3"/>
  <c r="EEU136" i="3" s="1"/>
  <c r="EEM136" i="3"/>
  <c r="EEK136" i="3"/>
  <c r="EEE136" i="3"/>
  <c r="EEC136" i="3"/>
  <c r="EDW136" i="3"/>
  <c r="EDU136" i="3"/>
  <c r="EDO136" i="3"/>
  <c r="EDM136" i="3"/>
  <c r="EDE136" i="3"/>
  <c r="EDG136" i="3" s="1"/>
  <c r="ECW136" i="3"/>
  <c r="ECY136" i="3" s="1"/>
  <c r="ECQ136" i="3"/>
  <c r="ECO136" i="3"/>
  <c r="ECI136" i="3"/>
  <c r="ECG136" i="3"/>
  <c r="ECA136" i="3"/>
  <c r="EBY136" i="3"/>
  <c r="EBS136" i="3"/>
  <c r="EBQ136" i="3"/>
  <c r="EBI136" i="3"/>
  <c r="EBK136" i="3" s="1"/>
  <c r="EBA136" i="3"/>
  <c r="EBC136" i="3" s="1"/>
  <c r="EAU136" i="3"/>
  <c r="EAS136" i="3"/>
  <c r="EAM136" i="3"/>
  <c r="EAK136" i="3"/>
  <c r="EAE136" i="3"/>
  <c r="EAC136" i="3"/>
  <c r="DZW136" i="3"/>
  <c r="DZU136" i="3"/>
  <c r="DZM136" i="3"/>
  <c r="DZO136" i="3" s="1"/>
  <c r="DZE136" i="3"/>
  <c r="DZG136" i="3" s="1"/>
  <c r="DYY136" i="3"/>
  <c r="DYW136" i="3"/>
  <c r="DYQ136" i="3"/>
  <c r="DYO136" i="3"/>
  <c r="DYI136" i="3"/>
  <c r="DYG136" i="3"/>
  <c r="DYA136" i="3"/>
  <c r="DXY136" i="3"/>
  <c r="DXQ136" i="3"/>
  <c r="DXS136" i="3" s="1"/>
  <c r="DXI136" i="3"/>
  <c r="DXK136" i="3" s="1"/>
  <c r="DXC136" i="3"/>
  <c r="DXA136" i="3"/>
  <c r="DWU136" i="3"/>
  <c r="DWS136" i="3"/>
  <c r="DWM136" i="3"/>
  <c r="DWK136" i="3"/>
  <c r="DWE136" i="3"/>
  <c r="DWC136" i="3"/>
  <c r="DVU136" i="3"/>
  <c r="DVW136" i="3" s="1"/>
  <c r="DVM136" i="3"/>
  <c r="DVO136" i="3" s="1"/>
  <c r="DVG136" i="3"/>
  <c r="DVE136" i="3"/>
  <c r="DUY136" i="3"/>
  <c r="DUW136" i="3"/>
  <c r="DUQ136" i="3"/>
  <c r="DUO136" i="3"/>
  <c r="DUI136" i="3"/>
  <c r="DUG136" i="3"/>
  <c r="DTY136" i="3"/>
  <c r="DUA136" i="3" s="1"/>
  <c r="DTQ136" i="3"/>
  <c r="DTS136" i="3" s="1"/>
  <c r="DTK136" i="3"/>
  <c r="DTI136" i="3"/>
  <c r="DTC136" i="3"/>
  <c r="DTA136" i="3"/>
  <c r="DSU136" i="3"/>
  <c r="DSS136" i="3"/>
  <c r="DSM136" i="3"/>
  <c r="DSK136" i="3"/>
  <c r="DSC136" i="3"/>
  <c r="DSE136" i="3" s="1"/>
  <c r="DRU136" i="3"/>
  <c r="DRW136" i="3" s="1"/>
  <c r="DRO136" i="3"/>
  <c r="DRM136" i="3"/>
  <c r="DRG136" i="3"/>
  <c r="DRE136" i="3"/>
  <c r="DQY136" i="3"/>
  <c r="DQW136" i="3"/>
  <c r="DQQ136" i="3"/>
  <c r="DQO136" i="3"/>
  <c r="DQG136" i="3"/>
  <c r="DQI136" i="3" s="1"/>
  <c r="DPY136" i="3"/>
  <c r="DQA136" i="3" s="1"/>
  <c r="DPS136" i="3"/>
  <c r="DPQ136" i="3"/>
  <c r="DPK136" i="3"/>
  <c r="DPI136" i="3"/>
  <c r="DPC136" i="3"/>
  <c r="DPA136" i="3"/>
  <c r="DOU136" i="3"/>
  <c r="DOS136" i="3"/>
  <c r="DOK136" i="3"/>
  <c r="DOM136" i="3" s="1"/>
  <c r="DOC136" i="3"/>
  <c r="DOE136" i="3" s="1"/>
  <c r="DNW136" i="3"/>
  <c r="DNU136" i="3"/>
  <c r="DNO136" i="3"/>
  <c r="DNM136" i="3"/>
  <c r="DNG136" i="3"/>
  <c r="DNE136" i="3"/>
  <c r="DMY136" i="3"/>
  <c r="DMW136" i="3"/>
  <c r="DMO136" i="3"/>
  <c r="DMQ136" i="3" s="1"/>
  <c r="DMG136" i="3"/>
  <c r="DMI136" i="3" s="1"/>
  <c r="DMA136" i="3"/>
  <c r="DLY136" i="3"/>
  <c r="DLS136" i="3"/>
  <c r="DLQ136" i="3"/>
  <c r="DLK136" i="3"/>
  <c r="DLI136" i="3"/>
  <c r="DLC136" i="3"/>
  <c r="DLA136" i="3"/>
  <c r="DKS136" i="3"/>
  <c r="DKU136" i="3" s="1"/>
  <c r="DKK136" i="3"/>
  <c r="DKM136" i="3" s="1"/>
  <c r="DKE136" i="3"/>
  <c r="DKC136" i="3"/>
  <c r="DJW136" i="3"/>
  <c r="DJU136" i="3"/>
  <c r="DJO136" i="3"/>
  <c r="DJM136" i="3"/>
  <c r="DJG136" i="3"/>
  <c r="DJE136" i="3"/>
  <c r="DIW136" i="3"/>
  <c r="DIY136" i="3" s="1"/>
  <c r="DIO136" i="3"/>
  <c r="DIQ136" i="3" s="1"/>
  <c r="DII136" i="3"/>
  <c r="DIG136" i="3"/>
  <c r="DIA136" i="3"/>
  <c r="DHY136" i="3"/>
  <c r="DHS136" i="3"/>
  <c r="DHQ136" i="3"/>
  <c r="DHK136" i="3"/>
  <c r="DHI136" i="3"/>
  <c r="DHA136" i="3"/>
  <c r="DHC136" i="3" s="1"/>
  <c r="DGS136" i="3"/>
  <c r="DGU136" i="3" s="1"/>
  <c r="DGM136" i="3"/>
  <c r="DGK136" i="3"/>
  <c r="DGE136" i="3"/>
  <c r="DGC136" i="3"/>
  <c r="DFW136" i="3"/>
  <c r="DFU136" i="3"/>
  <c r="DFO136" i="3"/>
  <c r="DFM136" i="3"/>
  <c r="DFE136" i="3"/>
  <c r="DFG136" i="3" s="1"/>
  <c r="DEW136" i="3"/>
  <c r="DEY136" i="3" s="1"/>
  <c r="DEQ136" i="3"/>
  <c r="DEO136" i="3"/>
  <c r="DEI136" i="3"/>
  <c r="DEG136" i="3"/>
  <c r="DEA136" i="3"/>
  <c r="DDY136" i="3"/>
  <c r="DDS136" i="3"/>
  <c r="DDQ136" i="3"/>
  <c r="DDI136" i="3"/>
  <c r="DDK136" i="3" s="1"/>
  <c r="DDA136" i="3"/>
  <c r="DDC136" i="3" s="1"/>
  <c r="DCU136" i="3"/>
  <c r="DCS136" i="3"/>
  <c r="DCM136" i="3"/>
  <c r="DCK136" i="3"/>
  <c r="DCE136" i="3"/>
  <c r="DCC136" i="3"/>
  <c r="DBW136" i="3"/>
  <c r="DBU136" i="3"/>
  <c r="DBM136" i="3"/>
  <c r="DBO136" i="3" s="1"/>
  <c r="DBE136" i="3"/>
  <c r="DBG136" i="3" s="1"/>
  <c r="DAY136" i="3"/>
  <c r="DAW136" i="3"/>
  <c r="DAQ136" i="3"/>
  <c r="DAO136" i="3"/>
  <c r="DAI136" i="3"/>
  <c r="DAG136" i="3"/>
  <c r="DAA136" i="3"/>
  <c r="CZY136" i="3"/>
  <c r="CZQ136" i="3"/>
  <c r="CZS136" i="3" s="1"/>
  <c r="CZI136" i="3"/>
  <c r="CZK136" i="3" s="1"/>
  <c r="CZC136" i="3"/>
  <c r="CZA136" i="3"/>
  <c r="CYU136" i="3"/>
  <c r="CYS136" i="3"/>
  <c r="CYM136" i="3"/>
  <c r="CYK136" i="3"/>
  <c r="CYE136" i="3"/>
  <c r="CYC136" i="3"/>
  <c r="CXU136" i="3"/>
  <c r="CXW136" i="3" s="1"/>
  <c r="CXM136" i="3"/>
  <c r="CXO136" i="3" s="1"/>
  <c r="CXG136" i="3"/>
  <c r="CXE136" i="3"/>
  <c r="CWY136" i="3"/>
  <c r="CWW136" i="3"/>
  <c r="CWQ136" i="3"/>
  <c r="CWO136" i="3"/>
  <c r="CWI136" i="3"/>
  <c r="CWG136" i="3"/>
  <c r="CVY136" i="3"/>
  <c r="CWA136" i="3" s="1"/>
  <c r="CVQ136" i="3"/>
  <c r="CVS136" i="3" s="1"/>
  <c r="CVK136" i="3"/>
  <c r="CVI136" i="3"/>
  <c r="CVC136" i="3"/>
  <c r="CVA136" i="3"/>
  <c r="CUU136" i="3"/>
  <c r="CUS136" i="3"/>
  <c r="CUM136" i="3"/>
  <c r="CUK136" i="3"/>
  <c r="CUC136" i="3"/>
  <c r="CUE136" i="3" s="1"/>
  <c r="CTU136" i="3"/>
  <c r="CTW136" i="3" s="1"/>
  <c r="CTO136" i="3"/>
  <c r="CTM136" i="3"/>
  <c r="CTG136" i="3"/>
  <c r="CTE136" i="3"/>
  <c r="CSY136" i="3"/>
  <c r="CSW136" i="3"/>
  <c r="CSQ136" i="3"/>
  <c r="CSO136" i="3"/>
  <c r="CSG136" i="3"/>
  <c r="CSI136" i="3" s="1"/>
  <c r="CRY136" i="3"/>
  <c r="CSA136" i="3" s="1"/>
  <c r="CRS136" i="3"/>
  <c r="CRQ136" i="3"/>
  <c r="CRK136" i="3"/>
  <c r="CRI136" i="3"/>
  <c r="CRC136" i="3"/>
  <c r="CRA136" i="3"/>
  <c r="CQU136" i="3"/>
  <c r="CQS136" i="3"/>
  <c r="CQK136" i="3"/>
  <c r="CQM136" i="3" s="1"/>
  <c r="CQC136" i="3"/>
  <c r="CQE136" i="3" s="1"/>
  <c r="CPW136" i="3"/>
  <c r="CPU136" i="3"/>
  <c r="CPO136" i="3"/>
  <c r="CPM136" i="3"/>
  <c r="CPG136" i="3"/>
  <c r="CPE136" i="3"/>
  <c r="COY136" i="3"/>
  <c r="COW136" i="3"/>
  <c r="COO136" i="3"/>
  <c r="COQ136" i="3" s="1"/>
  <c r="COG136" i="3"/>
  <c r="COI136" i="3" s="1"/>
  <c r="COA136" i="3"/>
  <c r="CNY136" i="3"/>
  <c r="CNS136" i="3"/>
  <c r="CNQ136" i="3"/>
  <c r="CNK136" i="3"/>
  <c r="CNI136" i="3"/>
  <c r="CNC136" i="3"/>
  <c r="CNA136" i="3"/>
  <c r="CMS136" i="3"/>
  <c r="CMU136" i="3" s="1"/>
  <c r="CMK136" i="3"/>
  <c r="CMM136" i="3" s="1"/>
  <c r="CME136" i="3"/>
  <c r="CMC136" i="3"/>
  <c r="CLW136" i="3"/>
  <c r="CLU136" i="3"/>
  <c r="CLO136" i="3"/>
  <c r="CLM136" i="3"/>
  <c r="CLG136" i="3"/>
  <c r="CLE136" i="3"/>
  <c r="CKW136" i="3"/>
  <c r="CKY136" i="3" s="1"/>
  <c r="CKO136" i="3"/>
  <c r="CKQ136" i="3" s="1"/>
  <c r="CKI136" i="3"/>
  <c r="CKG136" i="3"/>
  <c r="CKA136" i="3"/>
  <c r="CJY136" i="3"/>
  <c r="CJS136" i="3"/>
  <c r="CJQ136" i="3"/>
  <c r="CJK136" i="3"/>
  <c r="CJI136" i="3"/>
  <c r="CJA136" i="3"/>
  <c r="CJC136" i="3" s="1"/>
  <c r="CIS136" i="3"/>
  <c r="CIU136" i="3" s="1"/>
  <c r="CIM136" i="3"/>
  <c r="CIK136" i="3"/>
  <c r="CIE136" i="3"/>
  <c r="CIC136" i="3"/>
  <c r="CHW136" i="3"/>
  <c r="CHU136" i="3"/>
  <c r="CHO136" i="3"/>
  <c r="CHM136" i="3"/>
  <c r="CHE136" i="3"/>
  <c r="CHG136" i="3" s="1"/>
  <c r="CGW136" i="3"/>
  <c r="CGY136" i="3" s="1"/>
  <c r="CGQ136" i="3"/>
  <c r="CGO136" i="3"/>
  <c r="CGI136" i="3"/>
  <c r="CGG136" i="3"/>
  <c r="CGA136" i="3"/>
  <c r="CFY136" i="3"/>
  <c r="CFS136" i="3"/>
  <c r="CFQ136" i="3"/>
  <c r="CFI136" i="3"/>
  <c r="CFK136" i="3" s="1"/>
  <c r="CFA136" i="3"/>
  <c r="CFC136" i="3" s="1"/>
  <c r="CEU136" i="3"/>
  <c r="CES136" i="3"/>
  <c r="CEM136" i="3"/>
  <c r="CEK136" i="3"/>
  <c r="CEE136" i="3"/>
  <c r="CEC136" i="3"/>
  <c r="CDW136" i="3"/>
  <c r="CDU136" i="3"/>
  <c r="CDM136" i="3"/>
  <c r="CDO136" i="3" s="1"/>
  <c r="CDE136" i="3"/>
  <c r="CDG136" i="3" s="1"/>
  <c r="CCY136" i="3"/>
  <c r="CCW136" i="3"/>
  <c r="CCQ136" i="3"/>
  <c r="CCO136" i="3"/>
  <c r="CCI136" i="3"/>
  <c r="CCG136" i="3"/>
  <c r="CCA136" i="3"/>
  <c r="CBY136" i="3"/>
  <c r="CBQ136" i="3"/>
  <c r="CBS136" i="3" s="1"/>
  <c r="CBI136" i="3"/>
  <c r="CBK136" i="3" s="1"/>
  <c r="CBC136" i="3"/>
  <c r="CBA136" i="3"/>
  <c r="CAU136" i="3"/>
  <c r="CAS136" i="3"/>
  <c r="CAM136" i="3"/>
  <c r="CAK136" i="3"/>
  <c r="CAE136" i="3"/>
  <c r="CAC136" i="3"/>
  <c r="BZU136" i="3"/>
  <c r="BZW136" i="3" s="1"/>
  <c r="BZM136" i="3"/>
  <c r="BZO136" i="3" s="1"/>
  <c r="BZG136" i="3"/>
  <c r="BZE136" i="3"/>
  <c r="BYY136" i="3"/>
  <c r="BYW136" i="3"/>
  <c r="BYQ136" i="3"/>
  <c r="BYO136" i="3"/>
  <c r="BYI136" i="3"/>
  <c r="BYG136" i="3"/>
  <c r="BXY136" i="3"/>
  <c r="BYA136" i="3" s="1"/>
  <c r="BXQ136" i="3"/>
  <c r="BXS136" i="3" s="1"/>
  <c r="BXK136" i="3"/>
  <c r="BXI136" i="3"/>
  <c r="BXC136" i="3"/>
  <c r="BXA136" i="3"/>
  <c r="BWU136" i="3"/>
  <c r="BWS136" i="3"/>
  <c r="BWM136" i="3"/>
  <c r="BWK136" i="3"/>
  <c r="BWC136" i="3"/>
  <c r="BWE136" i="3" s="1"/>
  <c r="BVU136" i="3"/>
  <c r="BVW136" i="3" s="1"/>
  <c r="BVO136" i="3"/>
  <c r="BVM136" i="3"/>
  <c r="BVG136" i="3"/>
  <c r="BVE136" i="3"/>
  <c r="BUY136" i="3"/>
  <c r="BUW136" i="3"/>
  <c r="BUQ136" i="3"/>
  <c r="BUO136" i="3"/>
  <c r="BUG136" i="3"/>
  <c r="BUI136" i="3" s="1"/>
  <c r="BTY136" i="3"/>
  <c r="BUA136" i="3" s="1"/>
  <c r="BTS136" i="3"/>
  <c r="BTQ136" i="3"/>
  <c r="BTK136" i="3"/>
  <c r="BTI136" i="3"/>
  <c r="BTC136" i="3"/>
  <c r="BTA136" i="3"/>
  <c r="BSU136" i="3"/>
  <c r="BSS136" i="3"/>
  <c r="BSK136" i="3"/>
  <c r="BSM136" i="3" s="1"/>
  <c r="BSC136" i="3"/>
  <c r="BSE136" i="3" s="1"/>
  <c r="BRW136" i="3"/>
  <c r="BRU136" i="3"/>
  <c r="BRO136" i="3"/>
  <c r="BRM136" i="3"/>
  <c r="BRG136" i="3"/>
  <c r="BRE136" i="3"/>
  <c r="BQY136" i="3"/>
  <c r="BQW136" i="3"/>
  <c r="BQO136" i="3"/>
  <c r="BQQ136" i="3" s="1"/>
  <c r="BQG136" i="3"/>
  <c r="BQI136" i="3" s="1"/>
  <c r="BQA136" i="3"/>
  <c r="BPY136" i="3"/>
  <c r="BPS136" i="3"/>
  <c r="BPQ136" i="3"/>
  <c r="BPK136" i="3"/>
  <c r="BPI136" i="3"/>
  <c r="BPC136" i="3"/>
  <c r="BPA136" i="3"/>
  <c r="BOS136" i="3"/>
  <c r="BOU136" i="3" s="1"/>
  <c r="BOK136" i="3"/>
  <c r="BOM136" i="3" s="1"/>
  <c r="BOE136" i="3"/>
  <c r="BOC136" i="3"/>
  <c r="BNW136" i="3"/>
  <c r="BNU136" i="3"/>
  <c r="BNO136" i="3"/>
  <c r="BNM136" i="3"/>
  <c r="BNG136" i="3"/>
  <c r="BNE136" i="3"/>
  <c r="BMW136" i="3"/>
  <c r="BMY136" i="3" s="1"/>
  <c r="BMO136" i="3"/>
  <c r="BMQ136" i="3" s="1"/>
  <c r="BMI136" i="3"/>
  <c r="BMG136" i="3"/>
  <c r="BMA136" i="3"/>
  <c r="BLY136" i="3"/>
  <c r="BLS136" i="3"/>
  <c r="BLQ136" i="3"/>
  <c r="BLK136" i="3"/>
  <c r="BLI136" i="3"/>
  <c r="BLA136" i="3"/>
  <c r="BLC136" i="3" s="1"/>
  <c r="BKS136" i="3"/>
  <c r="BKU136" i="3" s="1"/>
  <c r="BKM136" i="3"/>
  <c r="BKK136" i="3"/>
  <c r="BKE136" i="3"/>
  <c r="BKC136" i="3"/>
  <c r="BJW136" i="3"/>
  <c r="BJU136" i="3"/>
  <c r="BJO136" i="3"/>
  <c r="BJM136" i="3"/>
  <c r="BJE136" i="3"/>
  <c r="BJG136" i="3" s="1"/>
  <c r="BIW136" i="3"/>
  <c r="BIY136" i="3" s="1"/>
  <c r="BIQ136" i="3"/>
  <c r="BIO136" i="3"/>
  <c r="BII136" i="3"/>
  <c r="BIG136" i="3"/>
  <c r="BIA136" i="3"/>
  <c r="BHY136" i="3"/>
  <c r="BHS136" i="3"/>
  <c r="BHQ136" i="3"/>
  <c r="BHI136" i="3"/>
  <c r="BHK136" i="3" s="1"/>
  <c r="BHA136" i="3"/>
  <c r="BHC136" i="3" s="1"/>
  <c r="BGU136" i="3"/>
  <c r="BGS136" i="3"/>
  <c r="BGM136" i="3"/>
  <c r="BGK136" i="3"/>
  <c r="BGE136" i="3"/>
  <c r="BGC136" i="3"/>
  <c r="BFW136" i="3"/>
  <c r="BFU136" i="3"/>
  <c r="BFM136" i="3"/>
  <c r="BFO136" i="3" s="1"/>
  <c r="BFE136" i="3"/>
  <c r="BFG136" i="3" s="1"/>
  <c r="BEY136" i="3"/>
  <c r="BEW136" i="3"/>
  <c r="BEQ136" i="3"/>
  <c r="BEO136" i="3"/>
  <c r="BEI136" i="3"/>
  <c r="BEG136" i="3"/>
  <c r="BEA136" i="3"/>
  <c r="BDY136" i="3"/>
  <c r="BDQ136" i="3"/>
  <c r="BDS136" i="3" s="1"/>
  <c r="BDI136" i="3"/>
  <c r="BDK136" i="3" s="1"/>
  <c r="BDC136" i="3"/>
  <c r="BDA136" i="3"/>
  <c r="BCU136" i="3"/>
  <c r="BCS136" i="3"/>
  <c r="BCM136" i="3"/>
  <c r="BCK136" i="3"/>
  <c r="BCE136" i="3"/>
  <c r="BCC136" i="3"/>
  <c r="BBU136" i="3"/>
  <c r="BBW136" i="3" s="1"/>
  <c r="BBM136" i="3"/>
  <c r="BBO136" i="3" s="1"/>
  <c r="BBG136" i="3"/>
  <c r="BBE136" i="3"/>
  <c r="BAY136" i="3"/>
  <c r="BAW136" i="3"/>
  <c r="BAQ136" i="3"/>
  <c r="BAO136" i="3"/>
  <c r="BAI136" i="3"/>
  <c r="BAG136" i="3"/>
  <c r="AZY136" i="3"/>
  <c r="BAA136" i="3" s="1"/>
  <c r="AZQ136" i="3"/>
  <c r="AZS136" i="3" s="1"/>
  <c r="AZK136" i="3"/>
  <c r="AZI136" i="3"/>
  <c r="AZC136" i="3"/>
  <c r="AZA136" i="3"/>
  <c r="AYU136" i="3"/>
  <c r="AYS136" i="3"/>
  <c r="AYM136" i="3"/>
  <c r="AYK136" i="3"/>
  <c r="AYC136" i="3"/>
  <c r="AYE136" i="3" s="1"/>
  <c r="AXU136" i="3"/>
  <c r="AXW136" i="3" s="1"/>
  <c r="AXO136" i="3"/>
  <c r="AXM136" i="3"/>
  <c r="AXG136" i="3"/>
  <c r="AXE136" i="3"/>
  <c r="AWY136" i="3"/>
  <c r="AWW136" i="3"/>
  <c r="AWQ136" i="3"/>
  <c r="AWO136" i="3"/>
  <c r="AWG136" i="3"/>
  <c r="AWI136" i="3" s="1"/>
  <c r="AVY136" i="3"/>
  <c r="AWA136" i="3" s="1"/>
  <c r="AVS136" i="3"/>
  <c r="AVQ136" i="3"/>
  <c r="AVK136" i="3"/>
  <c r="AVI136" i="3"/>
  <c r="AVC136" i="3"/>
  <c r="AVA136" i="3"/>
  <c r="AUU136" i="3"/>
  <c r="AUS136" i="3"/>
  <c r="AUK136" i="3"/>
  <c r="AUM136" i="3" s="1"/>
  <c r="AUC136" i="3"/>
  <c r="AUE136" i="3" s="1"/>
  <c r="ATW136" i="3"/>
  <c r="ATU136" i="3"/>
  <c r="ATO136" i="3"/>
  <c r="ATM136" i="3"/>
  <c r="ATG136" i="3"/>
  <c r="ATE136" i="3"/>
  <c r="ASY136" i="3"/>
  <c r="ASW136" i="3"/>
  <c r="ASO136" i="3"/>
  <c r="ASQ136" i="3" s="1"/>
  <c r="ASG136" i="3"/>
  <c r="ASI136" i="3" s="1"/>
  <c r="ASA136" i="3"/>
  <c r="ARY136" i="3"/>
  <c r="ARS136" i="3"/>
  <c r="ARQ136" i="3"/>
  <c r="ARK136" i="3"/>
  <c r="ARI136" i="3"/>
  <c r="ARC136" i="3"/>
  <c r="ARA136" i="3"/>
  <c r="AQS136" i="3"/>
  <c r="AQU136" i="3" s="1"/>
  <c r="AQK136" i="3"/>
  <c r="AQM136" i="3" s="1"/>
  <c r="AQE136" i="3"/>
  <c r="AQC136" i="3"/>
  <c r="APW136" i="3"/>
  <c r="APU136" i="3"/>
  <c r="APO136" i="3"/>
  <c r="APM136" i="3"/>
  <c r="APG136" i="3"/>
  <c r="APE136" i="3"/>
  <c r="AOW136" i="3"/>
  <c r="AOY136" i="3" s="1"/>
  <c r="AOO136" i="3"/>
  <c r="AOQ136" i="3" s="1"/>
  <c r="AOI136" i="3"/>
  <c r="AOG136" i="3"/>
  <c r="AOA136" i="3"/>
  <c r="ANY136" i="3"/>
  <c r="ANS136" i="3"/>
  <c r="ANQ136" i="3"/>
  <c r="ANK136" i="3"/>
  <c r="ANI136" i="3"/>
  <c r="ANA136" i="3"/>
  <c r="ANC136" i="3" s="1"/>
  <c r="AMS136" i="3"/>
  <c r="AMU136" i="3" s="1"/>
  <c r="AMM136" i="3"/>
  <c r="AMK136" i="3"/>
  <c r="AME136" i="3"/>
  <c r="AMC136" i="3"/>
  <c r="ALW136" i="3"/>
  <c r="ALU136" i="3"/>
  <c r="ALO136" i="3"/>
  <c r="ALM136" i="3"/>
  <c r="ALE136" i="3"/>
  <c r="ALG136" i="3" s="1"/>
  <c r="AKW136" i="3"/>
  <c r="AKY136" i="3" s="1"/>
  <c r="AKQ136" i="3"/>
  <c r="AKO136" i="3"/>
  <c r="AKI136" i="3"/>
  <c r="AKG136" i="3"/>
  <c r="AKA136" i="3"/>
  <c r="AJY136" i="3"/>
  <c r="AJS136" i="3"/>
  <c r="AJQ136" i="3"/>
  <c r="AJI136" i="3"/>
  <c r="AJK136" i="3" s="1"/>
  <c r="AJA136" i="3"/>
  <c r="AJC136" i="3" s="1"/>
  <c r="AIU136" i="3"/>
  <c r="AIS136" i="3"/>
  <c r="AIM136" i="3"/>
  <c r="AIK136" i="3"/>
  <c r="AIE136" i="3"/>
  <c r="AIC136" i="3"/>
  <c r="AHW136" i="3"/>
  <c r="AHU136" i="3"/>
  <c r="AHM136" i="3"/>
  <c r="AHO136" i="3" s="1"/>
  <c r="AHE136" i="3"/>
  <c r="AHG136" i="3" s="1"/>
  <c r="AGY136" i="3"/>
  <c r="AGW136" i="3"/>
  <c r="AGQ136" i="3"/>
  <c r="AGO136" i="3"/>
  <c r="AGI136" i="3"/>
  <c r="AGG136" i="3"/>
  <c r="AGA136" i="3"/>
  <c r="AFY136" i="3"/>
  <c r="AFQ136" i="3"/>
  <c r="AFS136" i="3" s="1"/>
  <c r="AFI136" i="3"/>
  <c r="AFK136" i="3" s="1"/>
  <c r="AFC136" i="3"/>
  <c r="AFA136" i="3"/>
  <c r="AEU136" i="3"/>
  <c r="AES136" i="3"/>
  <c r="AEM136" i="3"/>
  <c r="AEK136" i="3"/>
  <c r="AEE136" i="3"/>
  <c r="AEC136" i="3"/>
  <c r="ADU136" i="3"/>
  <c r="ADW136" i="3" s="1"/>
  <c r="ADM136" i="3"/>
  <c r="ADO136" i="3" s="1"/>
  <c r="ADG136" i="3"/>
  <c r="ADE136" i="3"/>
  <c r="ACY136" i="3"/>
  <c r="ACW136" i="3"/>
  <c r="ACQ136" i="3"/>
  <c r="ACO136" i="3"/>
  <c r="ACI136" i="3"/>
  <c r="ACG136" i="3"/>
  <c r="ABY136" i="3"/>
  <c r="ACA136" i="3" s="1"/>
  <c r="ABQ136" i="3"/>
  <c r="ABS136" i="3" s="1"/>
  <c r="ABK136" i="3"/>
  <c r="ABI136" i="3"/>
  <c r="ABC136" i="3"/>
  <c r="ABA136" i="3"/>
  <c r="AAU136" i="3"/>
  <c r="AAS136" i="3"/>
  <c r="AAM136" i="3"/>
  <c r="AAK136" i="3"/>
  <c r="AAC136" i="3"/>
  <c r="AAE136" i="3" s="1"/>
  <c r="ZU136" i="3"/>
  <c r="ZW136" i="3" s="1"/>
  <c r="ZO136" i="3"/>
  <c r="ZM136" i="3"/>
  <c r="ZG136" i="3"/>
  <c r="ZE136" i="3"/>
  <c r="YY136" i="3"/>
  <c r="YW136" i="3"/>
  <c r="YQ136" i="3"/>
  <c r="YO136" i="3"/>
  <c r="YG136" i="3"/>
  <c r="YI136" i="3" s="1"/>
  <c r="XY136" i="3"/>
  <c r="YA136" i="3" s="1"/>
  <c r="XS136" i="3"/>
  <c r="XQ136" i="3"/>
  <c r="XK136" i="3"/>
  <c r="XI136" i="3"/>
  <c r="XC136" i="3"/>
  <c r="XA136" i="3"/>
  <c r="WU136" i="3"/>
  <c r="WS136" i="3"/>
  <c r="WK136" i="3"/>
  <c r="WM136" i="3" s="1"/>
  <c r="WC136" i="3"/>
  <c r="WE136" i="3" s="1"/>
  <c r="VW136" i="3"/>
  <c r="VU136" i="3"/>
  <c r="VO136" i="3"/>
  <c r="VM136" i="3"/>
  <c r="VG136" i="3"/>
  <c r="VE136" i="3"/>
  <c r="UY136" i="3"/>
  <c r="UW136" i="3"/>
  <c r="UO136" i="3"/>
  <c r="UQ136" i="3" s="1"/>
  <c r="UG136" i="3"/>
  <c r="UI136" i="3" s="1"/>
  <c r="UA136" i="3"/>
  <c r="TY136" i="3"/>
  <c r="TS136" i="3"/>
  <c r="TQ136" i="3"/>
  <c r="TK136" i="3"/>
  <c r="TI136" i="3"/>
  <c r="TC136" i="3"/>
  <c r="TA136" i="3"/>
  <c r="SS136" i="3"/>
  <c r="SU136" i="3" s="1"/>
  <c r="SK136" i="3"/>
  <c r="SM136" i="3" s="1"/>
  <c r="SE136" i="3"/>
  <c r="SC136" i="3"/>
  <c r="RW136" i="3"/>
  <c r="RU136" i="3"/>
  <c r="RO136" i="3"/>
  <c r="RM136" i="3"/>
  <c r="RG136" i="3"/>
  <c r="RE136" i="3"/>
  <c r="QW136" i="3"/>
  <c r="QY136" i="3" s="1"/>
  <c r="QO136" i="3"/>
  <c r="QQ136" i="3" s="1"/>
  <c r="QI136" i="3"/>
  <c r="QG136" i="3"/>
  <c r="QA136" i="3"/>
  <c r="PY136" i="3"/>
  <c r="PS136" i="3"/>
  <c r="PQ136" i="3"/>
  <c r="PK136" i="3"/>
  <c r="PI136" i="3"/>
  <c r="PA136" i="3"/>
  <c r="PC136" i="3" s="1"/>
  <c r="OS136" i="3"/>
  <c r="OU136" i="3" s="1"/>
  <c r="OM136" i="3"/>
  <c r="OK136" i="3"/>
  <c r="OE136" i="3"/>
  <c r="OC136" i="3"/>
  <c r="NW136" i="3"/>
  <c r="NU136" i="3"/>
  <c r="NO136" i="3"/>
  <c r="NM136" i="3"/>
  <c r="NE136" i="3"/>
  <c r="NG136" i="3" s="1"/>
  <c r="MW136" i="3"/>
  <c r="MY136" i="3" s="1"/>
  <c r="MQ136" i="3"/>
  <c r="MO136" i="3"/>
  <c r="MI136" i="3"/>
  <c r="MG136" i="3"/>
  <c r="MA136" i="3"/>
  <c r="LY136" i="3"/>
  <c r="LS136" i="3"/>
  <c r="LQ136" i="3"/>
  <c r="LI136" i="3"/>
  <c r="LK136" i="3" s="1"/>
  <c r="LA136" i="3"/>
  <c r="LC136" i="3" s="1"/>
  <c r="KU136" i="3"/>
  <c r="KS136" i="3"/>
  <c r="KM136" i="3"/>
  <c r="KK136" i="3"/>
  <c r="KE136" i="3"/>
  <c r="KC136" i="3"/>
  <c r="JW136" i="3"/>
  <c r="JU136" i="3"/>
  <c r="JM136" i="3"/>
  <c r="JO136" i="3" s="1"/>
  <c r="JE136" i="3"/>
  <c r="JG136" i="3" s="1"/>
  <c r="IY136" i="3"/>
  <c r="IW136" i="3"/>
  <c r="IQ136" i="3"/>
  <c r="IO136" i="3"/>
  <c r="II136" i="3"/>
  <c r="IG136" i="3"/>
  <c r="IA136" i="3"/>
  <c r="HY136" i="3"/>
  <c r="HQ136" i="3"/>
  <c r="HS136" i="3" s="1"/>
  <c r="HI136" i="3"/>
  <c r="HK136" i="3" s="1"/>
  <c r="HC136" i="3"/>
  <c r="HA136" i="3"/>
  <c r="GU136" i="3"/>
  <c r="GS136" i="3"/>
  <c r="GM136" i="3"/>
  <c r="GK136" i="3"/>
  <c r="GE136" i="3"/>
  <c r="GC136" i="3"/>
  <c r="FU136" i="3"/>
  <c r="FW136" i="3" s="1"/>
  <c r="FM136" i="3"/>
  <c r="FO136" i="3" s="1"/>
  <c r="FG136" i="3"/>
  <c r="FE136" i="3"/>
  <c r="EY136" i="3"/>
  <c r="EW136" i="3"/>
  <c r="EQ136" i="3"/>
  <c r="EO136" i="3"/>
  <c r="EI136" i="3"/>
  <c r="EG136" i="3"/>
  <c r="DY136" i="3"/>
  <c r="EA136" i="3" s="1"/>
  <c r="DQ136" i="3"/>
  <c r="DS136" i="3" s="1"/>
  <c r="DK136" i="3"/>
  <c r="DI136" i="3"/>
  <c r="DC136" i="3"/>
  <c r="DA136" i="3"/>
  <c r="CU136" i="3"/>
  <c r="CS136" i="3"/>
  <c r="CM136" i="3"/>
  <c r="CK136" i="3"/>
  <c r="CC136" i="3"/>
  <c r="CE136" i="3" s="1"/>
  <c r="BU136" i="3"/>
  <c r="BW136" i="3" s="1"/>
  <c r="BO136" i="3"/>
  <c r="BM136" i="3"/>
  <c r="BG136" i="3"/>
  <c r="BE136" i="3"/>
  <c r="AY136" i="3"/>
  <c r="AW136" i="3"/>
  <c r="AQ136" i="3"/>
  <c r="AO136" i="3"/>
  <c r="AG136" i="3"/>
  <c r="AI136" i="3" s="1"/>
  <c r="AA136" i="3"/>
  <c r="F136" i="3"/>
  <c r="H136" i="3" s="1"/>
  <c r="H139" i="3" s="1"/>
  <c r="H128" i="3"/>
  <c r="H126" i="3"/>
  <c r="H125" i="3"/>
  <c r="F122" i="3"/>
  <c r="H122" i="3" s="1"/>
  <c r="H121" i="3"/>
  <c r="F121" i="3"/>
  <c r="H120" i="3"/>
  <c r="H123" i="3" s="1"/>
  <c r="F120" i="3"/>
  <c r="H113" i="3"/>
  <c r="H114" i="3" s="1"/>
  <c r="H111" i="3" s="1"/>
  <c r="G23" i="2" s="1"/>
  <c r="H23" i="2" s="1"/>
  <c r="H106" i="3"/>
  <c r="H107" i="3" s="1"/>
  <c r="H104" i="3" s="1"/>
  <c r="G22" i="2" s="1"/>
  <c r="H22" i="2" s="1"/>
  <c r="H99" i="3"/>
  <c r="H100" i="3" s="1"/>
  <c r="H97" i="3" s="1"/>
  <c r="G21" i="2" s="1"/>
  <c r="H21" i="2" s="1"/>
  <c r="H92" i="3"/>
  <c r="H93" i="3" s="1"/>
  <c r="H90" i="3" s="1"/>
  <c r="G20" i="2" s="1"/>
  <c r="H20" i="2" s="1"/>
  <c r="H85" i="3"/>
  <c r="H86" i="3" s="1"/>
  <c r="H83" i="3" s="1"/>
  <c r="G19" i="2" s="1"/>
  <c r="H19" i="2" s="1"/>
  <c r="H78" i="3"/>
  <c r="H79" i="3" s="1"/>
  <c r="H76" i="3" s="1"/>
  <c r="G18" i="2" s="1"/>
  <c r="H18" i="2" s="1"/>
  <c r="H71" i="3"/>
  <c r="H72" i="3" s="1"/>
  <c r="H69" i="3" s="1"/>
  <c r="G17" i="2" s="1"/>
  <c r="H17" i="2" s="1"/>
  <c r="H64" i="3"/>
  <c r="H65" i="3" s="1"/>
  <c r="H62" i="3" s="1"/>
  <c r="G16" i="2" s="1"/>
  <c r="H16" i="2" s="1"/>
  <c r="H57" i="3"/>
  <c r="H58" i="3" s="1"/>
  <c r="H55" i="3" s="1"/>
  <c r="G15" i="2" s="1"/>
  <c r="H15" i="2" s="1"/>
  <c r="H50" i="3"/>
  <c r="H51" i="3" s="1"/>
  <c r="H48" i="3" s="1"/>
  <c r="G14" i="2" s="1"/>
  <c r="H14" i="2" s="1"/>
  <c r="H43" i="3"/>
  <c r="H44" i="3" s="1"/>
  <c r="H41" i="3" s="1"/>
  <c r="G13" i="2" s="1"/>
  <c r="H13" i="2" s="1"/>
  <c r="H36" i="3"/>
  <c r="H37" i="3" s="1"/>
  <c r="H34" i="3" s="1"/>
  <c r="G12" i="2" s="1"/>
  <c r="H12" i="2" s="1"/>
  <c r="H29" i="3"/>
  <c r="H30" i="3" s="1"/>
  <c r="H27" i="3" s="1"/>
  <c r="G11" i="2" s="1"/>
  <c r="H11" i="2" s="1"/>
  <c r="H22" i="3"/>
  <c r="H23" i="3" s="1"/>
  <c r="H20" i="3" s="1"/>
  <c r="G10" i="2" s="1"/>
  <c r="H10" i="2" s="1"/>
  <c r="H15" i="3"/>
  <c r="H16" i="3" s="1"/>
  <c r="H12" i="3"/>
  <c r="F12" i="3"/>
  <c r="H11" i="3"/>
  <c r="H13" i="3" s="1"/>
  <c r="H9" i="3" s="1"/>
  <c r="G8" i="2" s="1"/>
  <c r="H8" i="2" s="1"/>
  <c r="H7" i="2" s="1"/>
  <c r="F11" i="3"/>
  <c r="G34" i="2"/>
  <c r="H34" i="2" s="1"/>
  <c r="H33" i="2" s="1"/>
  <c r="G32" i="2"/>
  <c r="H32" i="2" s="1"/>
  <c r="H31" i="2" s="1"/>
  <c r="D4" i="2"/>
  <c r="D3" i="2"/>
  <c r="C5" i="5" s="1"/>
  <c r="D2" i="2"/>
  <c r="C4" i="5" s="1"/>
  <c r="R104" i="1"/>
  <c r="L104" i="1"/>
  <c r="F104" i="1"/>
  <c r="R61" i="1"/>
  <c r="R59" i="1"/>
  <c r="C26" i="1"/>
  <c r="G129" i="3" l="1"/>
  <c r="H129" i="3" s="1"/>
  <c r="H130" i="3" s="1"/>
  <c r="H118" i="3" s="1"/>
  <c r="G25" i="2" s="1"/>
  <c r="H25" i="2" s="1"/>
  <c r="H9" i="2"/>
  <c r="G141" i="3"/>
  <c r="H141" i="3" s="1"/>
  <c r="H142" i="3" s="1"/>
  <c r="H134" i="3" s="1"/>
  <c r="G26" i="2" s="1"/>
  <c r="H26" i="2" s="1"/>
  <c r="G155" i="3"/>
  <c r="H155" i="3" s="1"/>
  <c r="H156" i="3"/>
  <c r="H146" i="3" s="1"/>
  <c r="G27" i="2" s="1"/>
  <c r="H27" i="2" s="1"/>
  <c r="G174" i="3"/>
  <c r="H174" i="3" s="1"/>
  <c r="H175" i="3" s="1"/>
  <c r="H160" i="3" s="1"/>
  <c r="G28" i="2" s="1"/>
  <c r="H28" i="2" s="1"/>
  <c r="G186" i="3"/>
  <c r="H186" i="3" s="1"/>
  <c r="H187" i="3" s="1"/>
  <c r="H179" i="3" s="1"/>
  <c r="G29" i="2" s="1"/>
  <c r="H29" i="2" s="1"/>
  <c r="G198" i="3"/>
  <c r="H198" i="3" s="1"/>
  <c r="H199" i="3" s="1"/>
  <c r="H191" i="3" s="1"/>
  <c r="G30" i="2" s="1"/>
  <c r="H30" i="2" s="1"/>
  <c r="I45" i="5"/>
  <c r="I73" i="5"/>
  <c r="I74" i="5" s="1"/>
  <c r="T33" i="1" s="1"/>
  <c r="H24" i="4"/>
  <c r="G50" i="4" s="1"/>
  <c r="H24" i="2" l="1"/>
  <c r="H37" i="2" s="1"/>
  <c r="R26" i="1" s="1"/>
  <c r="T26" i="1" s="1"/>
  <c r="T32" i="1" s="1"/>
  <c r="T34" i="1" s="1"/>
  <c r="T35" i="1" s="1"/>
  <c r="E41" i="1" s="1"/>
  <c r="S33" i="1" l="1"/>
</calcChain>
</file>

<file path=xl/sharedStrings.xml><?xml version="1.0" encoding="utf-8"?>
<sst xmlns="http://schemas.openxmlformats.org/spreadsheetml/2006/main" count="25203" uniqueCount="380">
  <si>
    <t>Presupuesto / Budget Nº</t>
  </si>
  <si>
    <t>PS-XXX-2026 PROMCOSER</t>
  </si>
  <si>
    <t>Fecha / Date:</t>
  </si>
  <si>
    <t>RUC: 20494224314</t>
  </si>
  <si>
    <t>Mza Ñ lote.3 AH Micaela Bastidas- Marcona</t>
  </si>
  <si>
    <t>Teléfono: 056-525092</t>
  </si>
  <si>
    <t>1.- Cliente / customer</t>
  </si>
  <si>
    <t>Nombre / Name:</t>
  </si>
  <si>
    <t>COPREFA CONSTRUCCIONES PRE-FABRICADAS S.R.C. (EPC MARCOBRE)</t>
  </si>
  <si>
    <t>RUC / VAT ID No.:</t>
  </si>
  <si>
    <t>Dirección / Address:</t>
  </si>
  <si>
    <t>MINA JUSTA - CAMPAMENTO JUSTA SUBTERRANEA - ICA</t>
  </si>
  <si>
    <t>Teléf.. Fax:</t>
  </si>
  <si>
    <t>Att.:</t>
  </si>
  <si>
    <t>Proyecto / Project:</t>
  </si>
  <si>
    <t>AMPLIACION CAMPAMENTO JUSTA SUBTERRANEA</t>
  </si>
  <si>
    <t>Obra:</t>
  </si>
  <si>
    <t xml:space="preserve">SUMINISTRO, INSTALACION, PRUEBAS Y PUESTA EN MARCHA - RAMAL CONTRAINCENDIOS HDPE TIE-IN-06 A GCI </t>
  </si>
  <si>
    <t>2.- Alcances y Condiciones / Conditions</t>
  </si>
  <si>
    <t>Suministro, instalacion, pruebas hidrostaticas y puesta en marcha de un ramal de agua contraincendios en tuberia HDPE, desde el Tie-in-06 hasta el Gabinete Contraincendios (GCI) Tipo III, D=90mm, L=33.75 ml, incluyendo el tramo final en tuberia de acero (riser).</t>
  </si>
  <si>
    <t>3.- Precio y Descripción:</t>
  </si>
  <si>
    <t>Ítem</t>
  </si>
  <si>
    <t>Descripción / Descripción</t>
  </si>
  <si>
    <t>Unid</t>
  </si>
  <si>
    <t>Cantidad</t>
  </si>
  <si>
    <t>Precio Unit.</t>
  </si>
  <si>
    <t>Total</t>
  </si>
  <si>
    <t>QTY</t>
  </si>
  <si>
    <t>Unit Price</t>
  </si>
  <si>
    <t>$</t>
  </si>
  <si>
    <t>GLB</t>
  </si>
  <si>
    <t>Total $</t>
  </si>
  <si>
    <t>Son:</t>
  </si>
  <si>
    <t>Gastos Generales</t>
  </si>
  <si>
    <t>Utilidad</t>
  </si>
  <si>
    <t>No incluye IGV</t>
  </si>
  <si>
    <t>Total sin IGV</t>
  </si>
  <si>
    <t>USD</t>
  </si>
  <si>
    <t>4.- Condiciones de Compra / Terms of Purchase</t>
  </si>
  <si>
    <t>Moneda/Currency:</t>
  </si>
  <si>
    <t xml:space="preserve">  Soles [S/.]</t>
  </si>
  <si>
    <t>X</t>
  </si>
  <si>
    <t xml:space="preserve">  Dólares Americanos [USD]</t>
  </si>
  <si>
    <t>Otro:</t>
  </si>
  <si>
    <t>Tipo de Servicio /  Type of Service</t>
  </si>
  <si>
    <t>x</t>
  </si>
  <si>
    <t>Suma Alzada</t>
  </si>
  <si>
    <t xml:space="preserve">  Otro:</t>
  </si>
  <si>
    <t>Forma de Pago/Form of Payment:</t>
  </si>
  <si>
    <t>PAGO ANTICIPADO O PREVIO ACUERDO</t>
  </si>
  <si>
    <t>Tiempo de entrega / Delivery time:</t>
  </si>
  <si>
    <t>5 dias</t>
  </si>
  <si>
    <t>Validez de Oferta/Validity of Offer:</t>
  </si>
  <si>
    <t>15 Días Calendarios</t>
  </si>
  <si>
    <t>Lugar / Place</t>
  </si>
  <si>
    <t>MINA JUSTA - CAMPAMENTO JUSTA SUBTERRANEA - MARCOBRE</t>
  </si>
  <si>
    <t>Garantía / Warranty</t>
  </si>
  <si>
    <t>: PROMCOSER garantiza la calidad de los trabajos realizados corrigiendo o reparando los trabajos defectuosos</t>
  </si>
  <si>
    <t>que sean imputables a PROMCOSER.</t>
  </si>
  <si>
    <t>Hecho por / Handled by:</t>
  </si>
  <si>
    <t>A. Cuellar</t>
  </si>
  <si>
    <t>e-mail:</t>
  </si>
  <si>
    <t>ventas@promcoser.com.pe</t>
  </si>
  <si>
    <t>T.Movil:</t>
  </si>
  <si>
    <t>Mza ñ lote.3 AH micaela Bastidas- Marcona</t>
  </si>
  <si>
    <t>5. Suministros a cargo de PROMCOSER</t>
  </si>
  <si>
    <t>Suministros a Cargo de PROMCOSER</t>
  </si>
  <si>
    <t>5.1. Personal técnico calificado para la ejecución del servicio</t>
  </si>
  <si>
    <t>5.2. Suministro de EPP para todo el personal del proyecto</t>
  </si>
  <si>
    <t>5.3. Equipos y herramientas en cantidad y calidad suficientes para la correcta ejecución del servicio</t>
  </si>
  <si>
    <t>5.4. SCTR para todo el personal.</t>
  </si>
  <si>
    <t>6. Suministros a cargo del Cliente</t>
  </si>
  <si>
    <t>Suministros a Cargo de Cliente</t>
  </si>
  <si>
    <t>6.1. Orden de Servicio para el inicio del servicio.</t>
  </si>
  <si>
    <t>6.2. Áreas de intervención liberadas al 100%, según cronograma y plan de trabajo</t>
  </si>
  <si>
    <t>6.3 Area para instalaciones provisionales en el proyecto. Tales como almacen temporal y/o Oficinas, no incluye contenedores ni ningún otro implemento adicional.</t>
  </si>
  <si>
    <t>6.4. Apoyo en la gestión de ingreso de personal y equipos a Site.</t>
  </si>
  <si>
    <t>7.- Consideraciones</t>
  </si>
  <si>
    <t>Consideraciones</t>
  </si>
  <si>
    <t>Las facilidades de servicios higienicos y comedor en site sera por parte del cliente, gestión administrativa in site para el ingreso al comedor,  servicios higiénicos (baños), serán suministrados por el cliente.</t>
  </si>
  <si>
    <t>La descarga será asumida por el cliente</t>
  </si>
  <si>
    <t>PROYECTO :</t>
  </si>
  <si>
    <t>OBRA</t>
  </si>
  <si>
    <t>CLIENTE :</t>
  </si>
  <si>
    <t>ITEM</t>
  </si>
  <si>
    <t>DESCRIPCION</t>
  </si>
  <si>
    <t>und</t>
  </si>
  <si>
    <t>metrado</t>
  </si>
  <si>
    <t>P.U. $</t>
  </si>
  <si>
    <t>Parcial $</t>
  </si>
  <si>
    <t>00</t>
  </si>
  <si>
    <t xml:space="preserve"> TRABAJOS PRELIMINARES</t>
  </si>
  <si>
    <t>00.01</t>
  </si>
  <si>
    <t xml:space="preserve">  MOVILIZACION DE TUBERIA HDPE Y ACCESORIOS</t>
  </si>
  <si>
    <t>VJE</t>
  </si>
  <si>
    <t>01</t>
  </si>
  <si>
    <t xml:space="preserve"> SUMINISTRO DE MATERIALES Y EQUIPOS</t>
  </si>
  <si>
    <t>01.01</t>
  </si>
  <si>
    <t xml:space="preserve">  TEE HDPE PE100 SDR11 D=110MM (IGUAL, 3 SALIDAS D=110MM)</t>
  </si>
  <si>
    <t>UND</t>
  </si>
  <si>
    <t>01.02</t>
  </si>
  <si>
    <t xml:space="preserve">  REDUCCION HDPE PE100 SDR11 D=110MM X D=90MM (CONCENTRICA)</t>
  </si>
  <si>
    <t>01.03</t>
  </si>
  <si>
    <t xml:space="preserve">  STUB END HDPE PE100 SDR11 D=90MM/3"</t>
  </si>
  <si>
    <t>01.04</t>
  </si>
  <si>
    <t xml:space="preserve">  BACKING RING D=90MM/3" (HDPE)</t>
  </si>
  <si>
    <t>01.05</t>
  </si>
  <si>
    <t xml:space="preserve">  EMPAQUETADURA D=90MM/3"</t>
  </si>
  <si>
    <t>01.06</t>
  </si>
  <si>
    <t xml:space="preserve">  ESPARRAGO INOXIDABLE 3/4" + TUERCAS + GOLILLAS (JGO)</t>
  </si>
  <si>
    <t>JGO</t>
  </si>
  <si>
    <t>01.07</t>
  </si>
  <si>
    <t xml:space="preserve">  VALVULA COMPUERTA 3" NRS, FLANGED, 125 PSI, UL/FM</t>
  </si>
  <si>
    <t>01.08</t>
  </si>
  <si>
    <t xml:space="preserve">  BRIDA SLIP-ON D=90MM/3" (ACERO, PARA RISER)</t>
  </si>
  <si>
    <t>01.09</t>
  </si>
  <si>
    <t xml:space="preserve">  REDUCCION CONCENTRICA DE ACERO D=3" X D=1 1/2", SCH.40</t>
  </si>
  <si>
    <t>01.10</t>
  </si>
  <si>
    <t xml:space="preserve">  TUBERIA DE ACERO SCH.40 1 1/2" (RISER)</t>
  </si>
  <si>
    <t>01.11</t>
  </si>
  <si>
    <t xml:space="preserve">  CODO DE ACERO SCH.40 1 1/2" 90°</t>
  </si>
  <si>
    <t>01.12</t>
  </si>
  <si>
    <t xml:space="preserve">  TUBERIA HDPE PE100 SDR11 PN16 D=90MM (BARRAS COMERCIALES DE 6M)</t>
  </si>
  <si>
    <t>01.13</t>
  </si>
  <si>
    <t xml:space="preserve">  CODO HDPE PE100 SDR11 90°, D=90MM</t>
  </si>
  <si>
    <t>01.14</t>
  </si>
  <si>
    <t xml:space="preserve">  CONSUMIBLES DE TERMOFUSION HDPE</t>
  </si>
  <si>
    <t>02</t>
  </si>
  <si>
    <t xml:space="preserve"> INSTALACION Y MONTAJE</t>
  </si>
  <si>
    <t>02.01</t>
  </si>
  <si>
    <t xml:space="preserve">  TIE-IN A RED EXISTENTE (LOTOTO) Y ARMADO DE CARRETE DE DESMONTAJE</t>
  </si>
  <si>
    <t>02.02</t>
  </si>
  <si>
    <t xml:space="preserve">  TENDIDO DE TUBERIA HDPE DENTRO DE ZANJA PREPARADA POR COPREFA</t>
  </si>
  <si>
    <t>ML</t>
  </si>
  <si>
    <t>02.03</t>
  </si>
  <si>
    <t xml:space="preserve">  TERMOFUSION DE JUNTAS HDPE (TRABAJO EN CALIENTE)</t>
  </si>
  <si>
    <t>02.04</t>
  </si>
  <si>
    <t xml:space="preserve">  FABRICACION DE RISER DE ACERO: CORTE, ESMERILADO Y SOLDADURA</t>
  </si>
  <si>
    <t>02.05</t>
  </si>
  <si>
    <t xml:space="preserve">  MONTAJE DE VALVULA COMPUERTA Y TRANSICIONES (ARMADO DE JUNTAS BRIDADAS)</t>
  </si>
  <si>
    <t>02.06</t>
  </si>
  <si>
    <t xml:space="preserve">  CONEXION FINAL DE LA TUBERIA AL GABINETE CONTRAINCENDIOS (GCI) EXISTENTE</t>
  </si>
  <si>
    <t>03</t>
  </si>
  <si>
    <t xml:space="preserve"> SERVICIOS SUBCONTRATADOS</t>
  </si>
  <si>
    <t>03.01</t>
  </si>
  <si>
    <t xml:space="preserve">  PRUEBA HIDROSTATICA SEGUN NFPA 24 - SUBCONTRATADO</t>
  </si>
  <si>
    <t>04</t>
  </si>
  <si>
    <t xml:space="preserve"> PUESTA EN MARCHA Y CIERRE</t>
  </si>
  <si>
    <t>04.01</t>
  </si>
  <si>
    <t xml:space="preserve">  COMISIONAMIENTO (APERTURA DE VALVULAS, PURGA DE AIRE, VERIFICACION DE PRESION)</t>
  </si>
  <si>
    <t>Costo directo</t>
  </si>
  <si>
    <t>ANALISIS DE COSTOS UNITARIOS</t>
  </si>
  <si>
    <t>PROYECTO: SUMINISTRO, INSTALACION, PRUEBAS Y PUESTA EN MARCHA - RAMAL CONTRAINCENDIOS HDPE TIE-IN-06 A GCI - AMPLIACION CAMPAMENTO JUSTA SUBTERRANEA</t>
  </si>
  <si>
    <t>CLIENTE: COPREFA CONSTRUCCIONES PRE-FABRICADAS S.R.C. (EPC DE MARCOBRE)</t>
  </si>
  <si>
    <t>UBICACION: CAMPAMENTO JUSTA SUBTERRANEA - MARCOBRE - ICA</t>
  </si>
  <si>
    <t>FECHA BASE: 2026-08-11</t>
  </si>
  <si>
    <t>MONEDA: DOLARES AMERICANOS (US$)</t>
  </si>
  <si>
    <t>00.01 MOVILIZACION DE TUBERIA HDPE Y ACCESORIOS</t>
  </si>
  <si>
    <t>Rendimiento:</t>
  </si>
  <si>
    <t>VJE/DIA (GLB)</t>
  </si>
  <si>
    <t>Unidad: VJE</t>
  </si>
  <si>
    <t>Costo Unitario:</t>
  </si>
  <si>
    <t>Insumo</t>
  </si>
  <si>
    <t>Unidad</t>
  </si>
  <si>
    <t>Cuadrilla</t>
  </si>
  <si>
    <t>PU</t>
  </si>
  <si>
    <t>Parcial</t>
  </si>
  <si>
    <t xml:space="preserve">  OPERARIO ARMADOR</t>
  </si>
  <si>
    <t>HH</t>
  </si>
  <si>
    <t xml:space="preserve">  OFICIAL MECANICO</t>
  </si>
  <si>
    <t>Mano de obra:</t>
  </si>
  <si>
    <t xml:space="preserve">  CAMION BARANDA</t>
  </si>
  <si>
    <t>HM</t>
  </si>
  <si>
    <t>Equipo:</t>
  </si>
  <si>
    <t>01.01 TEE HDPE PE100 SDR11 D=110MM (IGUAL, 3 SALIDAS D=110MM)</t>
  </si>
  <si>
    <t>Rendimiento: 1.0000 UND/DIA (GLB)</t>
  </si>
  <si>
    <t>Unidad: UND</t>
  </si>
  <si>
    <t xml:space="preserve">  TEE HDPE PE100 SDR11 D=110MM (IGUAL)</t>
  </si>
  <si>
    <t>Materiales:</t>
  </si>
  <si>
    <t>01.02 REDUCCION HDPE PE100 SDR11 D=110MM X D=90MM (CONCENTRICA)</t>
  </si>
  <si>
    <t xml:space="preserve">  REDUCCION HDPE PE100 SDR11 D=110MM X D=90MM</t>
  </si>
  <si>
    <t>01.03 STUB END HDPE PE100 SDR11 D=90MM/3"</t>
  </si>
  <si>
    <t>01.04 BACKING RING D=90MM/3" (HDPE)</t>
  </si>
  <si>
    <t>01.05 EMPAQUETADURA EPDM D=90MM/3"</t>
  </si>
  <si>
    <t>01.06 ESPARRAGO INOXIDABLE 3/4" + TUERCAS + GOLILLAS (JGO)</t>
  </si>
  <si>
    <t>Rendimiento: 1.0000 JGO/DIA (GLB)</t>
  </si>
  <si>
    <t>Unidad: JGO</t>
  </si>
  <si>
    <t>01.07 VALVULA COMPUERTA 3" NRS, FLANGED, 125 PSI, UL/FM</t>
  </si>
  <si>
    <t xml:space="preserve">  VALVULA COMPUERTA 3" NRS FLANGED 125PSI UL/FM</t>
  </si>
  <si>
    <t>01.08 BRIDA SLIP-ON D=90MM/3" (ACERO, PARA RISER)</t>
  </si>
  <si>
    <t>01.09 REDUCCION CONCENTRICA DE ACERO D=3" X D=1 1/2", SCH.40</t>
  </si>
  <si>
    <t>01.10 TUBERIA DE ACERO SCH.40 1 1/2" (RISER)</t>
  </si>
  <si>
    <t>Rendimiento: 1.0000 ML/DIA (GLB)</t>
  </si>
  <si>
    <t>Unidad: ML</t>
  </si>
  <si>
    <t xml:space="preserve">  TUBERIA DE ACERO SCH.40 1 1/2" (RISER) X 6M</t>
  </si>
  <si>
    <t>01.11 CODO DE ACERO SCH.40 1 1/2" 90°</t>
  </si>
  <si>
    <t>01.12 TUBERIA HDPE PE100 SDR11 PN16 D=90MM X 6M</t>
  </si>
  <si>
    <t xml:space="preserve">  TUBERIA HDPE PE100 SDR11 PN16 D=90MM X 6M</t>
  </si>
  <si>
    <t>01.13 CODO HDPE PE100 SDR11 90°, D=90MM</t>
  </si>
  <si>
    <t>01.14 CONSUMIBLES DE TERMOFUSION HDPE</t>
  </si>
  <si>
    <t>Rendimiento: 1.0000 GLB/DIA (GLB)</t>
  </si>
  <si>
    <t>Unidad: GLB</t>
  </si>
  <si>
    <t xml:space="preserve">  CONSUMIBLES DE TERMOFUSION HDPE (DISCOS, INSERTOS, GAS)</t>
  </si>
  <si>
    <t>02.01 TIE-IN A RED EXISTENTE (LOTOTO) Y ARMADO DE CARRETE DE DESMONTAJE</t>
  </si>
  <si>
    <t xml:space="preserve">Rendimiento: </t>
  </si>
  <si>
    <t>GLB/DIA</t>
  </si>
  <si>
    <t xml:space="preserve">  CAPATAZ </t>
  </si>
  <si>
    <t xml:space="preserve">  MATERIALES LOTOTO (CANDADOS, TARJETAS, FORMATOS)</t>
  </si>
  <si>
    <t xml:space="preserve">  MAQUINA DE TERMOFUSION HDPE (ALQUILER)</t>
  </si>
  <si>
    <t xml:space="preserve">  HERRAMIENTAS MANUALES</t>
  </si>
  <si>
    <t>%MO</t>
  </si>
  <si>
    <t>02.02 TENDIDO DE TUBERIA HDPE DENTRO DE ZANJA PREPARADA POR COPREFA</t>
  </si>
  <si>
    <t>ML/DIA</t>
  </si>
  <si>
    <t xml:space="preserve">  OPERARIO MECANICO</t>
  </si>
  <si>
    <t>02.03 TERMOFUSION DE JUNTAS HDPE (TRABAJO EN CALIENTE)</t>
  </si>
  <si>
    <t>UND/DIA</t>
  </si>
  <si>
    <t xml:space="preserve">  OPERARIO TERMOFUSIONISTA HDPE</t>
  </si>
  <si>
    <t xml:space="preserve">  ESMERIL ANGULAR 4 1/2"</t>
  </si>
  <si>
    <t>02.04 FABRICACION DE RISER DE ACERO: CORTE, ESMERILADO Y SOLDADURA</t>
  </si>
  <si>
    <t xml:space="preserve">  OPERARIO SOLDADOR </t>
  </si>
  <si>
    <t xml:space="preserve">  CONSUMIBLES DE TRABAJO EN CALIENTE (DISCOS CORTE P/ESMERIL, ELECTRODOS)</t>
  </si>
  <si>
    <t xml:space="preserve">  MAQUINA DE SOLDAR</t>
  </si>
  <si>
    <t xml:space="preserve">  ESMERIL ANGULAR 7"</t>
  </si>
  <si>
    <t>02.05 MONTAJE DE VALVULA COMPUERTA Y TRANSICIONES (ARMADO DE JUNTAS BRIDADAS)</t>
  </si>
  <si>
    <t>02.06 CONEXION FINAL DE LA TUBERIA AL GABINETE CONTRAINCENDIOS (GCI) EXISTENTE</t>
  </si>
  <si>
    <t>03.01 PRUEBA HIDROSTATICA SEGUN NFPA 24 - SUBCONTRATADO</t>
  </si>
  <si>
    <t xml:space="preserve">  PRUEBA HIDROSTATICA NFPA 24 (INCL. TECNICO, EQUIPO DE PRESION, CONSUMIBLES)</t>
  </si>
  <si>
    <t>Subcontratos:</t>
  </si>
  <si>
    <t>04.01 COMISIONAMIENTO (APERTURA DE VALVULAS, PURGA DE AIRE, VERIFICACION DE PRESION)</t>
  </si>
  <si>
    <t>SUMINISTRO, INSTALACION, PRUEBAS Y PUESTA EN MARCHA - RAMAL CONTRAINCENDIOS HDPE TIE-IN-06 A GCI - AMPLIACION CAMPAMENTO JUSTA SUBTERRANEA</t>
  </si>
  <si>
    <t>COPREFA CONSTRUCCIONES PRE-FABRICADAS S.R.C. (EPC DE MARCOBRE)</t>
  </si>
  <si>
    <t>EJECUCION :</t>
  </si>
  <si>
    <t>Dias</t>
  </si>
  <si>
    <t>METRADO</t>
  </si>
  <si>
    <t>P.U.$</t>
  </si>
  <si>
    <t>OBRAS PRELIMINARES</t>
  </si>
  <si>
    <t xml:space="preserve"> </t>
  </si>
  <si>
    <t>MOVILIZACION Y DESMOVILIZACION DE PERSONAL</t>
  </si>
  <si>
    <t>mes</t>
  </si>
  <si>
    <t>MOVILIZACION Y DESMOVILIZACION DE EQUIPOS, HERRAMIENTAS Y MATERIALES</t>
  </si>
  <si>
    <t>vje</t>
  </si>
  <si>
    <t>SEGURIDAD Y SEÑALIZACION DE OBRA</t>
  </si>
  <si>
    <t>glb</t>
  </si>
  <si>
    <t>MOVILIZACIÓN Y DESMOVILIZACIÓN DE MANLIFT</t>
  </si>
  <si>
    <t>ALQUILER DE MANLITF (Inc. Operador)</t>
  </si>
  <si>
    <t>día</t>
  </si>
  <si>
    <t>INSTALACION DE PUERTA DE INGRESO</t>
  </si>
  <si>
    <t>ARMADO Y DESARMADO DE TORRE DE ANDAMIOS x 2 CUERPOS HERMETIZADO</t>
  </si>
  <si>
    <t>RETIRO Y ELIMINACION DE ESTRUCTURA DAÑADA</t>
  </si>
  <si>
    <t>kg</t>
  </si>
  <si>
    <t>FABRICACION DE PUERTA METALICA 1.6x2.1 mt (Inc. Chapa y accesorios)</t>
  </si>
  <si>
    <t>INSTALACION DE PUERTA METALICA Y ACCESORIOS</t>
  </si>
  <si>
    <t>CIERRE DE ACCESOS</t>
  </si>
  <si>
    <t>ARMADO Y DESARMADO DE TORRE DE ANDAMIOS x 2 CUERPOS</t>
  </si>
  <si>
    <t>03.02</t>
  </si>
  <si>
    <t>FABRICACION DE ESTRUCTURA LIVIANA INOXIDABLE</t>
  </si>
  <si>
    <t>03.03</t>
  </si>
  <si>
    <t>MONTAJE DE ESTRUCTURA LIVIANA</t>
  </si>
  <si>
    <t>03.04</t>
  </si>
  <si>
    <t>SUMINISTRO DE LONA PLAST DG1330-BO</t>
  </si>
  <si>
    <t>m2</t>
  </si>
  <si>
    <t>MCB</t>
  </si>
  <si>
    <t>03.05</t>
  </si>
  <si>
    <t>INSTALACION DE LONAPLAST DG1330 - BO</t>
  </si>
  <si>
    <t>MANTENIMIENTO ESTRUCTURAL - PUERTAS CORREDIZAS</t>
  </si>
  <si>
    <t>ARMADO Y DESARMADO DE TORRE DE ANDAMIOS x 6 CUERPOS</t>
  </si>
  <si>
    <t>04.02</t>
  </si>
  <si>
    <t>RETIRO Y REINSTALACION DE LONA PLAST DG1330-BO</t>
  </si>
  <si>
    <t>04.03</t>
  </si>
  <si>
    <t>LIMPIEZA MANUAL CON EQUIPOS</t>
  </si>
  <si>
    <t>04.04</t>
  </si>
  <si>
    <t>APLICACION DE PINTURA BASE ESMALTE EPOXICO JET 70 MP</t>
  </si>
  <si>
    <t>04.05</t>
  </si>
  <si>
    <t>APLICACION DE PINTURA ACABADO POLIURETANO JETHANE 650 HS</t>
  </si>
  <si>
    <t>04.06</t>
  </si>
  <si>
    <t>REEMPLAZO  DE CABLE ACERADO PARA PUERTA CORREDIZA</t>
  </si>
  <si>
    <t>m</t>
  </si>
  <si>
    <t>04.07</t>
  </si>
  <si>
    <t>REEMPLAZO  DE RIEL GUIA PARA PUERTA CORREDIZA</t>
  </si>
  <si>
    <t>04.08</t>
  </si>
  <si>
    <t>REEMPLAZO DE POLEAS PARA PUERTAS CORREDIZAS</t>
  </si>
  <si>
    <t>04.09</t>
  </si>
  <si>
    <t>REEMPLAZO DE WINCHES MANUALES 800 LB</t>
  </si>
  <si>
    <t>04.10</t>
  </si>
  <si>
    <t>REPARACION DE MANIVELAS Y PESTILLOS MENORES</t>
  </si>
  <si>
    <t>05</t>
  </si>
  <si>
    <t>HERMETIZACION DE TECHOS</t>
  </si>
  <si>
    <t>05.01</t>
  </si>
  <si>
    <t>05.02</t>
  </si>
  <si>
    <t>06</t>
  </si>
  <si>
    <t>LIMPIEZA DE COBERTORES TRANSLUCIDAS - TECHO ALMACEN CENTRAL</t>
  </si>
  <si>
    <t>06.01</t>
  </si>
  <si>
    <t>LIMPIEZA DE COBERTORES DE TECHI</t>
  </si>
  <si>
    <t>Und</t>
  </si>
  <si>
    <t>06.02</t>
  </si>
  <si>
    <t>LIMPIEZA DE ACCESOS POSTLAVADO</t>
  </si>
  <si>
    <t>ml</t>
  </si>
  <si>
    <t>07</t>
  </si>
  <si>
    <t>INSTALACION DE EXTRACTORES EOLICOS - TECHO ALMACEN CENTRAL</t>
  </si>
  <si>
    <t>07.01</t>
  </si>
  <si>
    <t>RETIRO Y ELIMINACIÓN DE EXTRACTORES EOLICOS EXISTENTES</t>
  </si>
  <si>
    <t>07.02</t>
  </si>
  <si>
    <t>SUMINISTRO E INSTALACIÓN DE EXTRACTORES EOLICOS "INDUVENT EO80"</t>
  </si>
  <si>
    <t>08</t>
  </si>
  <si>
    <t>LIMPIEZA DE FILTROS DE VENTANAS</t>
  </si>
  <si>
    <t>08.01</t>
  </si>
  <si>
    <t>DESINSTALACIÓN DE FILTROS DE VENTANA (4 UND/VENTANA)</t>
  </si>
  <si>
    <t>08.02</t>
  </si>
  <si>
    <t>SOPLETEO DE FILTROS</t>
  </si>
  <si>
    <t>8.03</t>
  </si>
  <si>
    <t>REINSTALACIÓN DE VENTANAS</t>
  </si>
  <si>
    <t>SUPERVISIÓN DE TRABAJOS</t>
  </si>
  <si>
    <t>SUPERVISION DE SERVICIOS MENORES</t>
  </si>
  <si>
    <t>Costo Directo</t>
  </si>
  <si>
    <t>ANALISIS DE GASTOS GENERALES  (PROYECTOS MENORES)</t>
  </si>
  <si>
    <t>PROYECTO:</t>
  </si>
  <si>
    <t>OBRA:</t>
  </si>
  <si>
    <t>CONTRATISTA:</t>
  </si>
  <si>
    <t>PROMCOSER SRL</t>
  </si>
  <si>
    <t>FECHA:</t>
  </si>
  <si>
    <t>PLAZO PROYECTO (MESES):</t>
  </si>
  <si>
    <t>ANALISIS DE GASTOS GENERALES</t>
  </si>
  <si>
    <t>Item</t>
  </si>
  <si>
    <t>CAN.</t>
  </si>
  <si>
    <t>MES</t>
  </si>
  <si>
    <t>PARCIAL</t>
  </si>
  <si>
    <t>TOTAL</t>
  </si>
  <si>
    <t>SALARIO BAS. MES</t>
  </si>
  <si>
    <t>COSTO MENSUAL incluye BB.SS.</t>
  </si>
  <si>
    <t>$.</t>
  </si>
  <si>
    <t>ÁREA  TÉCNICA</t>
  </si>
  <si>
    <t>Residente de Obra</t>
  </si>
  <si>
    <t>Ingeniero de Calidad</t>
  </si>
  <si>
    <t>Ingeniero de oficina tecnica</t>
  </si>
  <si>
    <t>Supervisor operativo</t>
  </si>
  <si>
    <t>Ingeniero de seguridad</t>
  </si>
  <si>
    <t>EMPLEADO</t>
  </si>
  <si>
    <t>CONDUCTOR</t>
  </si>
  <si>
    <t>ALMACEN</t>
  </si>
  <si>
    <t>VEHICULOS: CAMIONETAS, BUSES.</t>
  </si>
  <si>
    <t>Vehiculos</t>
  </si>
  <si>
    <t>COSTO $.</t>
  </si>
  <si>
    <t>Camioneta incluye combustible</t>
  </si>
  <si>
    <t>Bus Movilidad a Obra incluye combustible</t>
  </si>
  <si>
    <t>SEGURIDAD</t>
  </si>
  <si>
    <t>Implementos seguridad (solo staff de ingenieros, EPP de obreros debe ser considerada en el costo de horas hombre dentro del costo directo)</t>
  </si>
  <si>
    <t>Pers</t>
  </si>
  <si>
    <t>Exámenes Médicos Ocupacional (Staff y obreros)</t>
  </si>
  <si>
    <t>Pruebas y ensayos</t>
  </si>
  <si>
    <t>Glb</t>
  </si>
  <si>
    <t>Cursos y Capacitaciones</t>
  </si>
  <si>
    <t>Cursos Basicos portuarios:
PBIP Basico
Seguridad portuaria
Mercancias peligrosas</t>
  </si>
  <si>
    <t>Gestion Portuaria:
Gestion de seguridad portuaria
Gestion de mercancias peligrosas</t>
  </si>
  <si>
    <t>EQUIPOS: OFICINA, COMPUTO, COMUNICACIONES.</t>
  </si>
  <si>
    <t>Cant</t>
  </si>
  <si>
    <t>Incidencia</t>
  </si>
  <si>
    <t>COSTO/mes</t>
  </si>
  <si>
    <t>Equipos</t>
  </si>
  <si>
    <t>computadoras completas</t>
  </si>
  <si>
    <t>telefono celular</t>
  </si>
  <si>
    <t>Equipos de Campamentos</t>
  </si>
  <si>
    <t>alquiler de vivienda para staff</t>
  </si>
  <si>
    <t>alimentacion staff</t>
  </si>
  <si>
    <t>agua para personal</t>
  </si>
  <si>
    <t>GASTOS DE OFICINA CENTRAL</t>
  </si>
  <si>
    <t>COSTO X MES</t>
  </si>
  <si>
    <t xml:space="preserve">Logistica </t>
  </si>
  <si>
    <t>Contabilidad y recursos humanos</t>
  </si>
  <si>
    <t>Gerencia de Operaciones (%)</t>
  </si>
  <si>
    <t>Utiles de Oficina Gerencia</t>
  </si>
  <si>
    <t xml:space="preserve">Oficina y servicios </t>
  </si>
  <si>
    <t>Equipos de computo</t>
  </si>
  <si>
    <t>SEGUROS Y FIANZAS</t>
  </si>
  <si>
    <t>Costo de carta  fianza fiel cumplimiento del 15% del Contrato</t>
  </si>
  <si>
    <t>Costo de carta  fianza de adelanto</t>
  </si>
  <si>
    <t>Seguro Vehicular</t>
  </si>
  <si>
    <t>Gastos Financieros</t>
  </si>
  <si>
    <t>GG MENSUAL</t>
  </si>
  <si>
    <t>MESES</t>
  </si>
  <si>
    <t>Siete mil ochocientos dieciocho con 44/100 DOLARES AMERICANOS (NO INCLUYE IGV)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</si>
</sst>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43" formatCode="_-* #,##0.00_-;\-* #,##0.00_-;_-* &quot;-&quot;??_-;_-@_-"/>
    <numFmt numFmtId="164" formatCode="_ [$$-2C0A]\ * #,##0.00_ ;_ [$$-2C0A]\ * \-#,##0.00_ ;_ [$$-2C0A]\ * &quot;-&quot;??_ ;_ @_ "/>
    <numFmt numFmtId="165" formatCode="[$$-409]#,##0.00"/>
    <numFmt numFmtId="166" formatCode="_ * #,##0.00_ ;_ * \-#,##0.00_ ;_ * &quot;-&quot;??_ ;_ @_ "/>
    <numFmt numFmtId="167" formatCode="[$$-540A]#,##0.00"/>
    <numFmt numFmtId="168" formatCode="&quot;S/.&quot;\ #,##0.00"/>
    <numFmt numFmtId="169" formatCode="#,##0.0000"/>
    <numFmt numFmtId="170" formatCode="#,##0.0000_);\-#,##0.0000"/>
    <numFmt numFmtId="171" formatCode="0.0000"/>
    <numFmt numFmtId="172" formatCode="0.0"/>
    <numFmt numFmtId="173" formatCode="#,##0.0"/>
    <numFmt numFmtId="174" formatCode="&quot;SUB TOTAL&quot;\ #,###"/>
    <numFmt numFmtId="175" formatCode="_(* #,##0.0_);_(* \(#,##0.0\);_(* &quot;-&quot;??_);_(@_)"/>
    <numFmt numFmtId="176" formatCode="General_)"/>
    <numFmt numFmtId="177" formatCode="_(&quot;$&quot;* #,##0.00_);_(&quot;$&quot;* \(#,##0.00\);_(&quot;$&quot;* &quot;-&quot;??_);_(@_)"/>
    <numFmt numFmtId="178" formatCode="[$$-2C0A]\ #,##0.00;[$$-2C0A]\ \-#,##0.00"/>
    <numFmt numFmtId="179" formatCode="_(* #,##0_);_(* \(#,##0\);_(* &quot;-&quot;??_);_(@_)"/>
    <numFmt numFmtId="180" formatCode="&quot;S/.&quot;#,##0.00;[Red]\-&quot;S/.&quot;#,##0.00"/>
  </numFmts>
  <fonts count="73" x14ac:knownFonts="1">
    <font>
      <sz val="8"/>
      <name val="Arial"/>
    </font>
    <font>
      <b/>
      <sz val="8"/>
      <color indexed="72"/>
      <name val="Arial"/>
      <family val="2"/>
    </font>
    <font>
      <b/>
      <sz val="8"/>
      <color indexed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1"/>
      <name val="Calibri"/>
      <family val="2"/>
    </font>
    <font>
      <b/>
      <sz val="14"/>
      <name val="Calibri"/>
      <family val="2"/>
    </font>
    <font>
      <sz val="8"/>
      <name val="Calibri"/>
      <family val="2"/>
    </font>
    <font>
      <b/>
      <sz val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b/>
      <u/>
      <sz val="11"/>
      <name val="Calibri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b/>
      <sz val="11"/>
      <name val="Arial Narrow"/>
      <family val="2"/>
    </font>
    <font>
      <b/>
      <sz val="12"/>
      <name val="Arial Narrow"/>
      <family val="2"/>
    </font>
    <font>
      <b/>
      <sz val="14"/>
      <name val="Arial Narrow"/>
      <family val="2"/>
    </font>
    <font>
      <b/>
      <sz val="11"/>
      <color indexed="12"/>
      <name val="Arial Narrow"/>
      <family val="2"/>
    </font>
    <font>
      <b/>
      <sz val="7"/>
      <name val="Arial Narrow"/>
      <family val="2"/>
    </font>
    <font>
      <b/>
      <sz val="9"/>
      <name val="Arial Narrow"/>
      <family val="2"/>
    </font>
    <font>
      <b/>
      <sz val="10"/>
      <color indexed="12"/>
      <name val="Arial Narrow"/>
      <family val="2"/>
    </font>
    <font>
      <b/>
      <u/>
      <sz val="12"/>
      <name val="Arial Narrow"/>
      <family val="2"/>
    </font>
    <font>
      <u/>
      <sz val="10"/>
      <name val="Arial Narrow"/>
      <family val="2"/>
    </font>
    <font>
      <sz val="10"/>
      <name val="Arial Narrow"/>
      <family val="2"/>
    </font>
    <font>
      <b/>
      <sz val="8"/>
      <name val="Arial Narrow"/>
      <family val="2"/>
    </font>
    <font>
      <sz val="12"/>
      <name val="Arial Narrow"/>
      <family val="2"/>
    </font>
    <font>
      <b/>
      <sz val="10"/>
      <name val="Arial Narrow"/>
      <family val="2"/>
    </font>
    <font>
      <sz val="8"/>
      <name val="Arial Narrow"/>
      <family val="2"/>
    </font>
    <font>
      <sz val="7"/>
      <name val="Arial Narrow"/>
      <family val="2"/>
    </font>
    <font>
      <sz val="10"/>
      <name val="Arial Unicode MS"/>
      <family val="2"/>
    </font>
    <font>
      <sz val="11"/>
      <name val="Arial"/>
      <family val="2"/>
    </font>
    <font>
      <b/>
      <sz val="20"/>
      <name val="Calibri"/>
      <family val="2"/>
    </font>
    <font>
      <sz val="10"/>
      <color indexed="8"/>
      <name val="MS Sans Serif"/>
      <family val="2"/>
    </font>
    <font>
      <sz val="10"/>
      <color indexed="8"/>
      <name val="MS Sans Serif"/>
    </font>
    <font>
      <sz val="8.0500000000000007"/>
      <color indexed="8"/>
      <name val="Arial Narrow"/>
      <family val="2"/>
    </font>
    <font>
      <b/>
      <sz val="9"/>
      <color indexed="10"/>
      <name val="Arial"/>
      <family val="2"/>
    </font>
    <font>
      <sz val="9"/>
      <name val="Arial"/>
      <family val="2"/>
    </font>
    <font>
      <b/>
      <sz val="7"/>
      <color indexed="8"/>
      <name val="Arial Narrow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sz val="10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7"/>
      <color rgb="FF1F1F1F"/>
      <name val="Arial"/>
      <family val="2"/>
    </font>
    <font>
      <b/>
      <sz val="11"/>
      <color rgb="FF0070C0"/>
      <name val="Calibri"/>
      <family val="2"/>
    </font>
    <font>
      <b/>
      <sz val="10"/>
      <color theme="0"/>
      <name val="Arial Narrow"/>
      <family val="2"/>
    </font>
    <font>
      <sz val="8"/>
      <name val="Calibri"/>
      <family val="2"/>
      <scheme val="minor"/>
    </font>
    <font>
      <b/>
      <sz val="8"/>
      <color rgb="FF0070C0"/>
      <name val="Calibri"/>
      <family val="2"/>
      <scheme val="minor"/>
    </font>
    <font>
      <sz val="8"/>
      <color indexed="10"/>
      <name val="Calibri"/>
      <family val="2"/>
      <scheme val="minor"/>
    </font>
    <font>
      <b/>
      <sz val="8"/>
      <color indexed="10"/>
      <name val="Calibri"/>
      <family val="2"/>
      <scheme val="minor"/>
    </font>
    <font>
      <sz val="8"/>
      <color indexed="72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8"/>
      <color rgb="FFFF0000"/>
      <name val="Calibri"/>
      <family val="2"/>
      <scheme val="minor"/>
    </font>
    <font>
      <b/>
      <sz val="11"/>
      <color theme="0"/>
      <name val="Calibri"/>
      <family val="2"/>
    </font>
    <font>
      <b/>
      <sz val="8"/>
      <color rgb="FF00206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1"/>
      <color rgb="FF000000"/>
      <name val="Calibri"/>
      <family val="2"/>
    </font>
    <font>
      <b/>
      <sz val="11"/>
      <color rgb="FFFF0000"/>
      <name val="Calibri"/>
      <family val="2"/>
    </font>
    <font>
      <b/>
      <sz val="8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rgb="FF000000"/>
      </patternFill>
    </fill>
  </fills>
  <borders count="7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 style="thin">
        <color indexed="64"/>
      </bottom>
      <diagonal/>
    </border>
    <border>
      <left/>
      <right style="hair">
        <color indexed="64"/>
      </right>
      <top style="thin">
        <color theme="0" tint="-0.499984740745262"/>
      </top>
      <bottom/>
      <diagonal/>
    </border>
    <border>
      <left style="hair">
        <color indexed="64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indexed="64"/>
      </bottom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 style="thin">
        <color indexed="64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/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49998474074526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3">
    <xf numFmtId="0" fontId="0" fillId="0" borderId="0">
      <alignment vertical="center"/>
    </xf>
    <xf numFmtId="0" fontId="15" fillId="0" borderId="0">
      <alignment vertical="top"/>
      <protection locked="0"/>
    </xf>
    <xf numFmtId="179" fontId="42" fillId="0" borderId="0"/>
    <xf numFmtId="179" fontId="16" fillId="0" borderId="0"/>
    <xf numFmtId="177" fontId="16" fillId="0" borderId="0">
      <alignment vertical="center"/>
    </xf>
    <xf numFmtId="180" fontId="16" fillId="0" borderId="0"/>
    <xf numFmtId="0" fontId="4" fillId="0" borderId="0">
      <alignment vertical="center"/>
    </xf>
    <xf numFmtId="0" fontId="16" fillId="0" borderId="0"/>
    <xf numFmtId="0" fontId="16" fillId="0" borderId="0"/>
    <xf numFmtId="0" fontId="36" fillId="0" borderId="0"/>
    <xf numFmtId="0" fontId="37" fillId="0" borderId="0"/>
    <xf numFmtId="9" fontId="16" fillId="0" borderId="0">
      <alignment vertical="center"/>
    </xf>
    <xf numFmtId="0" fontId="68" fillId="0" borderId="0"/>
  </cellStyleXfs>
  <cellXfs count="469">
    <xf numFmtId="0" fontId="0" fillId="0" borderId="0" xfId="0" applyAlignment="1">
      <alignment vertical="center"/>
    </xf>
    <xf numFmtId="0" fontId="1" fillId="2" borderId="0" xfId="0" applyFont="1" applyFill="1" applyAlignment="1" applyProtection="1">
      <alignment vertic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7" fillId="2" borderId="0" xfId="0" applyFont="1" applyFill="1" applyAlignment="1">
      <alignment horizontal="right" vertical="center"/>
    </xf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0" fontId="9" fillId="2" borderId="0" xfId="0" applyFont="1" applyFill="1" applyAlignment="1">
      <alignment horizontal="right" vertical="center"/>
    </xf>
    <xf numFmtId="0" fontId="7" fillId="2" borderId="0" xfId="0" applyFont="1" applyFill="1" applyAlignment="1">
      <alignment vertical="center"/>
    </xf>
    <xf numFmtId="0" fontId="6" fillId="2" borderId="49" xfId="0" applyFont="1" applyFill="1" applyBorder="1" applyAlignment="1">
      <alignment vertical="center"/>
    </xf>
    <xf numFmtId="0" fontId="6" fillId="4" borderId="50" xfId="0" applyFont="1" applyFill="1" applyBorder="1" applyAlignment="1" applyProtection="1">
      <alignment vertical="center"/>
      <protection locked="0"/>
    </xf>
    <xf numFmtId="0" fontId="6" fillId="2" borderId="51" xfId="0" applyFont="1" applyFill="1" applyBorder="1" applyAlignment="1">
      <alignment vertical="center"/>
    </xf>
    <xf numFmtId="0" fontId="6" fillId="2" borderId="52" xfId="0" applyFont="1" applyFill="1" applyBorder="1" applyAlignment="1">
      <alignment vertical="center"/>
    </xf>
    <xf numFmtId="0" fontId="6" fillId="4" borderId="53" xfId="0" applyFont="1" applyFill="1" applyBorder="1" applyAlignment="1" applyProtection="1">
      <alignment vertical="center"/>
      <protection locked="0"/>
    </xf>
    <xf numFmtId="0" fontId="10" fillId="4" borderId="1" xfId="0" applyFont="1" applyFill="1" applyBorder="1" applyAlignment="1" applyProtection="1">
      <alignment vertical="center"/>
      <protection locked="0"/>
    </xf>
    <xf numFmtId="0" fontId="6" fillId="4" borderId="1" xfId="0" applyFont="1" applyFill="1" applyBorder="1" applyAlignment="1" applyProtection="1">
      <alignment vertical="center"/>
      <protection locked="0"/>
    </xf>
    <xf numFmtId="0" fontId="6" fillId="4" borderId="55" xfId="0" applyFont="1" applyFill="1" applyBorder="1" applyAlignment="1" applyProtection="1">
      <alignment vertical="center"/>
      <protection locked="0"/>
    </xf>
    <xf numFmtId="0" fontId="6" fillId="4" borderId="2" xfId="0" applyFont="1" applyFill="1" applyBorder="1" applyAlignment="1" applyProtection="1">
      <alignment vertical="center"/>
      <protection locked="0"/>
    </xf>
    <xf numFmtId="0" fontId="6" fillId="4" borderId="56" xfId="0" applyFont="1" applyFill="1" applyBorder="1" applyAlignment="1" applyProtection="1">
      <alignment vertical="center"/>
      <protection locked="0"/>
    </xf>
    <xf numFmtId="0" fontId="6" fillId="2" borderId="57" xfId="0" applyFont="1" applyFill="1" applyBorder="1" applyAlignment="1">
      <alignment horizontal="left" vertical="center"/>
    </xf>
    <xf numFmtId="0" fontId="6" fillId="2" borderId="58" xfId="0" applyFont="1" applyFill="1" applyBorder="1" applyAlignment="1">
      <alignment vertical="center"/>
    </xf>
    <xf numFmtId="0" fontId="6" fillId="2" borderId="59" xfId="0" applyFont="1" applyFill="1" applyBorder="1" applyAlignment="1">
      <alignment vertical="center"/>
    </xf>
    <xf numFmtId="0" fontId="6" fillId="2" borderId="60" xfId="0" applyFont="1" applyFill="1" applyBorder="1" applyAlignment="1">
      <alignment vertical="center"/>
    </xf>
    <xf numFmtId="0" fontId="7" fillId="2" borderId="0" xfId="0" applyFont="1" applyFill="1" applyAlignment="1">
      <alignment horizontal="left" vertical="center"/>
    </xf>
    <xf numFmtId="16" fontId="10" fillId="2" borderId="0" xfId="0" applyNumberFormat="1" applyFont="1" applyFill="1" applyAlignment="1">
      <alignment vertical="center"/>
    </xf>
    <xf numFmtId="0" fontId="10" fillId="2" borderId="0" xfId="0" applyFont="1" applyFill="1" applyAlignment="1">
      <alignment vertical="center"/>
    </xf>
    <xf numFmtId="16" fontId="6" fillId="2" borderId="0" xfId="0" applyNumberFormat="1" applyFont="1" applyFill="1" applyAlignment="1">
      <alignment horizontal="right" vertical="center"/>
    </xf>
    <xf numFmtId="0" fontId="6" fillId="2" borderId="0" xfId="0" applyFont="1" applyFill="1" applyAlignment="1">
      <alignment horizontal="right" vertical="center"/>
    </xf>
    <xf numFmtId="0" fontId="6" fillId="2" borderId="61" xfId="0" applyFont="1" applyFill="1" applyBorder="1" applyAlignment="1">
      <alignment horizontal="left" vertical="center"/>
    </xf>
    <xf numFmtId="0" fontId="6" fillId="2" borderId="62" xfId="0" applyFont="1" applyFill="1" applyBorder="1" applyAlignment="1">
      <alignment vertical="center"/>
    </xf>
    <xf numFmtId="0" fontId="6" fillId="2" borderId="54" xfId="0" applyFont="1" applyFill="1" applyBorder="1" applyAlignment="1">
      <alignment horizontal="left" vertical="center"/>
    </xf>
    <xf numFmtId="0" fontId="6" fillId="2" borderId="63" xfId="0" applyFont="1" applyFill="1" applyBorder="1" applyAlignment="1">
      <alignment vertical="center"/>
    </xf>
    <xf numFmtId="0" fontId="6" fillId="2" borderId="64" xfId="0" applyFont="1" applyFill="1" applyBorder="1" applyAlignment="1">
      <alignment vertical="center"/>
    </xf>
    <xf numFmtId="0" fontId="43" fillId="4" borderId="3" xfId="0" applyFont="1" applyFill="1" applyBorder="1" applyAlignment="1" applyProtection="1">
      <alignment horizontal="center" vertical="center"/>
      <protection locked="0"/>
    </xf>
    <xf numFmtId="0" fontId="44" fillId="4" borderId="4" xfId="0" applyFont="1" applyFill="1" applyBorder="1" applyAlignment="1" applyProtection="1">
      <alignment vertical="center"/>
      <protection locked="0"/>
    </xf>
    <xf numFmtId="0" fontId="43" fillId="4" borderId="4" xfId="0" applyFont="1" applyFill="1" applyBorder="1" applyAlignment="1" applyProtection="1">
      <alignment vertical="center"/>
      <protection locked="0"/>
    </xf>
    <xf numFmtId="0" fontId="45" fillId="4" borderId="65" xfId="0" quotePrefix="1" applyFont="1" applyFill="1" applyBorder="1" applyAlignment="1" applyProtection="1">
      <alignment horizontal="left" vertical="center"/>
      <protection locked="0"/>
    </xf>
    <xf numFmtId="0" fontId="43" fillId="4" borderId="66" xfId="0" applyFont="1" applyFill="1" applyBorder="1" applyAlignment="1" applyProtection="1">
      <alignment vertical="center"/>
      <protection locked="0"/>
    </xf>
    <xf numFmtId="0" fontId="43" fillId="4" borderId="67" xfId="0" applyFont="1" applyFill="1" applyBorder="1" applyAlignment="1" applyProtection="1">
      <alignment vertical="center"/>
      <protection locked="0"/>
    </xf>
    <xf numFmtId="0" fontId="43" fillId="4" borderId="50" xfId="0" applyFont="1" applyFill="1" applyBorder="1" applyAlignment="1" applyProtection="1">
      <alignment vertical="center"/>
      <protection locked="0"/>
    </xf>
    <xf numFmtId="0" fontId="43" fillId="4" borderId="50" xfId="0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0" fontId="9" fillId="2" borderId="5" xfId="0" applyFont="1" applyFill="1" applyBorder="1" applyAlignment="1">
      <alignment horizontal="right" vertical="center"/>
    </xf>
    <xf numFmtId="9" fontId="6" fillId="4" borderId="1" xfId="11" applyFont="1" applyFill="1" applyBorder="1" applyAlignment="1" applyProtection="1">
      <alignment vertical="center"/>
      <protection locked="0"/>
    </xf>
    <xf numFmtId="0" fontId="11" fillId="2" borderId="0" xfId="0" applyFont="1" applyFill="1" applyAlignment="1">
      <alignment horizontal="right" vertical="center"/>
    </xf>
    <xf numFmtId="10" fontId="9" fillId="2" borderId="6" xfId="0" applyNumberFormat="1" applyFont="1" applyFill="1" applyBorder="1" applyAlignment="1">
      <alignment vertical="center"/>
    </xf>
    <xf numFmtId="10" fontId="9" fillId="2" borderId="7" xfId="0" applyNumberFormat="1" applyFont="1" applyFill="1" applyBorder="1" applyAlignment="1">
      <alignment vertical="center"/>
    </xf>
    <xf numFmtId="0" fontId="11" fillId="4" borderId="8" xfId="0" applyFont="1" applyFill="1" applyBorder="1" applyAlignment="1" applyProtection="1">
      <alignment horizontal="center" vertical="center"/>
      <protection locked="0"/>
    </xf>
    <xf numFmtId="16" fontId="14" fillId="2" borderId="0" xfId="0" quotePrefix="1" applyNumberFormat="1" applyFont="1" applyFill="1" applyAlignment="1">
      <alignment horizontal="left" vertical="center"/>
    </xf>
    <xf numFmtId="0" fontId="14" fillId="2" borderId="0" xfId="0" applyFont="1" applyFill="1" applyAlignment="1">
      <alignment vertical="center"/>
    </xf>
    <xf numFmtId="16" fontId="6" fillId="2" borderId="0" xfId="0" applyNumberFormat="1" applyFont="1" applyFill="1" applyAlignment="1">
      <alignment horizontal="left" vertical="center"/>
    </xf>
    <xf numFmtId="9" fontId="6" fillId="4" borderId="55" xfId="11" applyFont="1" applyFill="1" applyBorder="1" applyAlignment="1" applyProtection="1">
      <alignment vertical="center"/>
      <protection locked="0"/>
    </xf>
    <xf numFmtId="16" fontId="6" fillId="2" borderId="0" xfId="0" quotePrefix="1" applyNumberFormat="1" applyFont="1" applyFill="1" applyAlignment="1">
      <alignment horizontal="left" vertical="center"/>
    </xf>
    <xf numFmtId="9" fontId="14" fillId="4" borderId="1" xfId="11" applyFont="1" applyFill="1" applyBorder="1" applyAlignment="1" applyProtection="1">
      <alignment vertical="center"/>
      <protection locked="0"/>
    </xf>
    <xf numFmtId="0" fontId="6" fillId="4" borderId="0" xfId="0" applyFont="1" applyFill="1" applyAlignment="1">
      <alignment vertical="center"/>
    </xf>
    <xf numFmtId="0" fontId="6" fillId="4" borderId="63" xfId="0" applyFont="1" applyFill="1" applyBorder="1" applyAlignment="1">
      <alignment vertical="center"/>
    </xf>
    <xf numFmtId="0" fontId="6" fillId="2" borderId="57" xfId="0" applyFont="1" applyFill="1" applyBorder="1" applyAlignment="1">
      <alignment vertical="center"/>
    </xf>
    <xf numFmtId="0" fontId="10" fillId="2" borderId="58" xfId="0" applyFont="1" applyFill="1" applyBorder="1" applyAlignment="1">
      <alignment vertical="center"/>
    </xf>
    <xf numFmtId="0" fontId="43" fillId="5" borderId="0" xfId="0" applyFont="1" applyFill="1" applyAlignment="1">
      <alignment vertical="center"/>
    </xf>
    <xf numFmtId="0" fontId="47" fillId="5" borderId="0" xfId="0" applyFont="1" applyFill="1" applyAlignment="1">
      <alignment horizontal="left" vertical="center"/>
    </xf>
    <xf numFmtId="0" fontId="43" fillId="5" borderId="0" xfId="0" applyFont="1" applyFill="1" applyAlignment="1" applyProtection="1">
      <alignment vertical="center"/>
      <protection locked="0"/>
    </xf>
    <xf numFmtId="0" fontId="43" fillId="5" borderId="61" xfId="0" applyFont="1" applyFill="1" applyBorder="1" applyAlignment="1">
      <alignment horizontal="left" vertical="center"/>
    </xf>
    <xf numFmtId="0" fontId="43" fillId="5" borderId="49" xfId="0" applyFont="1" applyFill="1" applyBorder="1" applyAlignment="1" applyProtection="1">
      <alignment vertical="center" wrapText="1"/>
      <protection locked="0"/>
    </xf>
    <xf numFmtId="0" fontId="43" fillId="5" borderId="62" xfId="0" applyFont="1" applyFill="1" applyBorder="1" applyAlignment="1">
      <alignment vertical="center"/>
    </xf>
    <xf numFmtId="0" fontId="43" fillId="5" borderId="54" xfId="0" applyFont="1" applyFill="1" applyBorder="1" applyAlignment="1">
      <alignment horizontal="left" vertical="center"/>
    </xf>
    <xf numFmtId="0" fontId="43" fillId="4" borderId="9" xfId="0" applyFont="1" applyFill="1" applyBorder="1" applyAlignment="1" applyProtection="1">
      <alignment vertical="center" wrapText="1"/>
      <protection locked="0"/>
    </xf>
    <xf numFmtId="0" fontId="43" fillId="4" borderId="4" xfId="0" applyFont="1" applyFill="1" applyBorder="1" applyAlignment="1" applyProtection="1">
      <alignment vertical="center" wrapText="1"/>
      <protection locked="0"/>
    </xf>
    <xf numFmtId="0" fontId="43" fillId="4" borderId="10" xfId="0" applyFont="1" applyFill="1" applyBorder="1" applyAlignment="1" applyProtection="1">
      <alignment vertical="center" wrapText="1"/>
      <protection locked="0"/>
    </xf>
    <xf numFmtId="0" fontId="43" fillId="5" borderId="63" xfId="0" applyFont="1" applyFill="1" applyBorder="1" applyAlignment="1">
      <alignment vertical="center"/>
    </xf>
    <xf numFmtId="0" fontId="43" fillId="4" borderId="11" xfId="0" applyFont="1" applyFill="1" applyBorder="1" applyAlignment="1" applyProtection="1">
      <alignment vertical="center" wrapText="1"/>
      <protection locked="0"/>
    </xf>
    <xf numFmtId="0" fontId="48" fillId="4" borderId="0" xfId="0" applyFont="1" applyFill="1" applyAlignment="1" applyProtection="1">
      <alignment vertical="center"/>
      <protection locked="0"/>
    </xf>
    <xf numFmtId="0" fontId="43" fillId="4" borderId="0" xfId="0" applyFont="1" applyFill="1" applyAlignment="1" applyProtection="1">
      <alignment vertical="center" wrapText="1"/>
      <protection locked="0"/>
    </xf>
    <xf numFmtId="0" fontId="43" fillId="4" borderId="12" xfId="0" applyFont="1" applyFill="1" applyBorder="1" applyAlignment="1" applyProtection="1">
      <alignment vertical="center" wrapText="1"/>
      <protection locked="0"/>
    </xf>
    <xf numFmtId="0" fontId="43" fillId="4" borderId="0" xfId="0" applyFont="1" applyFill="1" applyAlignment="1" applyProtection="1">
      <alignment vertical="center"/>
      <protection locked="0"/>
    </xf>
    <xf numFmtId="0" fontId="43" fillId="4" borderId="12" xfId="0" applyFont="1" applyFill="1" applyBorder="1" applyAlignment="1" applyProtection="1">
      <alignment vertical="center"/>
      <protection locked="0"/>
    </xf>
    <xf numFmtId="0" fontId="43" fillId="4" borderId="0" xfId="0" applyFont="1" applyFill="1" applyAlignment="1" applyProtection="1">
      <alignment horizontal="left" vertical="center"/>
      <protection locked="0"/>
    </xf>
    <xf numFmtId="0" fontId="43" fillId="5" borderId="54" xfId="0" applyFont="1" applyFill="1" applyBorder="1" applyAlignment="1">
      <alignment vertical="center"/>
    </xf>
    <xf numFmtId="0" fontId="43" fillId="4" borderId="5" xfId="0" applyFont="1" applyFill="1" applyBorder="1" applyAlignment="1" applyProtection="1">
      <alignment vertical="center" wrapText="1"/>
      <protection locked="0"/>
    </xf>
    <xf numFmtId="0" fontId="43" fillId="4" borderId="1" xfId="0" applyFont="1" applyFill="1" applyBorder="1" applyAlignment="1" applyProtection="1">
      <alignment vertical="center" wrapText="1"/>
      <protection locked="0"/>
    </xf>
    <xf numFmtId="0" fontId="43" fillId="4" borderId="13" xfId="0" applyFont="1" applyFill="1" applyBorder="1" applyAlignment="1" applyProtection="1">
      <alignment vertical="center" wrapText="1"/>
      <protection locked="0"/>
    </xf>
    <xf numFmtId="0" fontId="47" fillId="5" borderId="57" xfId="0" applyFont="1" applyFill="1" applyBorder="1" applyAlignment="1">
      <alignment horizontal="left" vertical="center"/>
    </xf>
    <xf numFmtId="0" fontId="43" fillId="5" borderId="58" xfId="0" applyFont="1" applyFill="1" applyBorder="1" applyAlignment="1" applyProtection="1">
      <alignment horizontal="left" vertical="center" indent="1"/>
      <protection locked="0"/>
    </xf>
    <xf numFmtId="0" fontId="43" fillId="5" borderId="64" xfId="0" applyFont="1" applyFill="1" applyBorder="1" applyAlignment="1">
      <alignment vertical="center"/>
    </xf>
    <xf numFmtId="0" fontId="43" fillId="5" borderId="0" xfId="0" applyFont="1" applyFill="1" applyAlignment="1">
      <alignment horizontal="left" vertical="center"/>
    </xf>
    <xf numFmtId="0" fontId="43" fillId="5" borderId="0" xfId="0" applyFont="1" applyFill="1" applyAlignment="1" applyProtection="1">
      <alignment horizontal="left" vertical="center" indent="1"/>
      <protection locked="0"/>
    </xf>
    <xf numFmtId="0" fontId="43" fillId="4" borderId="9" xfId="0" quotePrefix="1" applyFont="1" applyFill="1" applyBorder="1" applyAlignment="1" applyProtection="1">
      <alignment vertical="center"/>
      <protection locked="0"/>
    </xf>
    <xf numFmtId="0" fontId="43" fillId="4" borderId="10" xfId="0" applyFont="1" applyFill="1" applyBorder="1" applyAlignment="1" applyProtection="1">
      <alignment vertical="center"/>
      <protection locked="0"/>
    </xf>
    <xf numFmtId="0" fontId="43" fillId="4" borderId="11" xfId="0" quotePrefix="1" applyFont="1" applyFill="1" applyBorder="1" applyAlignment="1" applyProtection="1">
      <alignment vertical="center"/>
      <protection locked="0"/>
    </xf>
    <xf numFmtId="0" fontId="43" fillId="4" borderId="1" xfId="0" applyFont="1" applyFill="1" applyBorder="1" applyAlignment="1" applyProtection="1">
      <alignment horizontal="left" vertical="center"/>
      <protection locked="0"/>
    </xf>
    <xf numFmtId="0" fontId="43" fillId="4" borderId="1" xfId="0" applyFont="1" applyFill="1" applyBorder="1" applyAlignment="1" applyProtection="1">
      <alignment vertical="center"/>
      <protection locked="0"/>
    </xf>
    <xf numFmtId="0" fontId="43" fillId="4" borderId="13" xfId="0" applyFont="1" applyFill="1" applyBorder="1" applyAlignment="1" applyProtection="1">
      <alignment vertical="center"/>
      <protection locked="0"/>
    </xf>
    <xf numFmtId="0" fontId="43" fillId="5" borderId="57" xfId="0" applyFont="1" applyFill="1" applyBorder="1" applyAlignment="1">
      <alignment horizontal="left" vertical="center"/>
    </xf>
    <xf numFmtId="0" fontId="43" fillId="5" borderId="58" xfId="0" applyFont="1" applyFill="1" applyBorder="1" applyAlignment="1" applyProtection="1">
      <alignment vertical="center"/>
      <protection locked="0"/>
    </xf>
    <xf numFmtId="0" fontId="49" fillId="5" borderId="58" xfId="0" applyFont="1" applyFill="1" applyBorder="1" applyAlignment="1" applyProtection="1">
      <alignment vertical="center"/>
      <protection locked="0"/>
    </xf>
    <xf numFmtId="10" fontId="45" fillId="5" borderId="58" xfId="11" applyNumberFormat="1" applyFont="1" applyFill="1" applyBorder="1" applyAlignment="1" applyProtection="1">
      <alignment vertical="center"/>
      <protection locked="0"/>
    </xf>
    <xf numFmtId="0" fontId="45" fillId="5" borderId="58" xfId="0" applyFont="1" applyFill="1" applyBorder="1" applyAlignment="1" applyProtection="1">
      <alignment vertical="center"/>
      <protection locked="0"/>
    </xf>
    <xf numFmtId="0" fontId="45" fillId="5" borderId="58" xfId="0" applyFont="1" applyFill="1" applyBorder="1" applyAlignment="1" applyProtection="1">
      <alignment horizontal="right" vertical="center"/>
      <protection locked="0"/>
    </xf>
    <xf numFmtId="0" fontId="45" fillId="5" borderId="0" xfId="0" applyFont="1" applyFill="1" applyAlignment="1" applyProtection="1">
      <alignment vertical="center"/>
      <protection locked="0"/>
    </xf>
    <xf numFmtId="0" fontId="50" fillId="5" borderId="0" xfId="0" applyFont="1" applyFill="1" applyAlignment="1" applyProtection="1">
      <alignment horizontal="right" vertical="center"/>
      <protection locked="0"/>
    </xf>
    <xf numFmtId="2" fontId="50" fillId="5" borderId="0" xfId="0" applyNumberFormat="1" applyFont="1" applyFill="1" applyAlignment="1" applyProtection="1">
      <alignment horizontal="center" vertical="center"/>
      <protection locked="0"/>
    </xf>
    <xf numFmtId="16" fontId="45" fillId="5" borderId="0" xfId="0" applyNumberFormat="1" applyFont="1" applyFill="1" applyAlignment="1">
      <alignment vertical="center"/>
    </xf>
    <xf numFmtId="0" fontId="45" fillId="5" borderId="0" xfId="0" applyFont="1" applyFill="1" applyAlignment="1">
      <alignment vertical="center"/>
    </xf>
    <xf numFmtId="16" fontId="43" fillId="5" borderId="0" xfId="0" applyNumberFormat="1" applyFont="1" applyFill="1" applyAlignment="1">
      <alignment horizontal="right" vertical="center"/>
    </xf>
    <xf numFmtId="0" fontId="43" fillId="5" borderId="0" xfId="0" applyFont="1" applyFill="1" applyAlignment="1">
      <alignment horizontal="right" vertical="center"/>
    </xf>
    <xf numFmtId="0" fontId="43" fillId="5" borderId="49" xfId="0" applyFont="1" applyFill="1" applyBorder="1" applyAlignment="1">
      <alignment vertical="center"/>
    </xf>
    <xf numFmtId="0" fontId="6" fillId="4" borderId="11" xfId="0" applyFont="1" applyFill="1" applyBorder="1" applyAlignment="1" applyProtection="1">
      <alignment vertical="center"/>
      <protection locked="0"/>
    </xf>
    <xf numFmtId="0" fontId="16" fillId="0" borderId="0" xfId="7"/>
    <xf numFmtId="0" fontId="17" fillId="6" borderId="14" xfId="0" applyFont="1" applyFill="1" applyBorder="1" applyAlignment="1" applyProtection="1">
      <alignment vertical="center"/>
      <protection locked="0"/>
    </xf>
    <xf numFmtId="0" fontId="17" fillId="6" borderId="15" xfId="0" applyFont="1" applyFill="1" applyBorder="1" applyAlignment="1" applyProtection="1">
      <protection locked="0"/>
    </xf>
    <xf numFmtId="0" fontId="0" fillId="0" borderId="0" xfId="0" applyAlignment="1"/>
    <xf numFmtId="0" fontId="5" fillId="0" borderId="16" xfId="0" applyFont="1" applyBorder="1" applyAlignment="1" applyProtection="1">
      <alignment vertical="center"/>
      <protection locked="0"/>
    </xf>
    <xf numFmtId="0" fontId="5" fillId="0" borderId="18" xfId="0" applyFont="1" applyBorder="1" applyAlignment="1" applyProtection="1">
      <alignment vertical="center"/>
      <protection locked="0"/>
    </xf>
    <xf numFmtId="0" fontId="5" fillId="0" borderId="19" xfId="0" applyFont="1" applyBorder="1" applyAlignment="1" applyProtection="1">
      <alignment horizontal="left" indent="1"/>
      <protection locked="0"/>
    </xf>
    <xf numFmtId="0" fontId="5" fillId="0" borderId="20" xfId="0" applyFont="1" applyBorder="1" applyAlignment="1" applyProtection="1">
      <alignment vertical="center"/>
      <protection locked="0"/>
    </xf>
    <xf numFmtId="14" fontId="0" fillId="0" borderId="21" xfId="0" applyNumberFormat="1" applyBorder="1" applyAlignment="1">
      <alignment horizontal="left" indent="1"/>
    </xf>
    <xf numFmtId="0" fontId="5" fillId="0" borderId="22" xfId="0" applyFont="1" applyBorder="1" applyAlignment="1" applyProtection="1">
      <alignment horizontal="left" indent="1"/>
      <protection locked="0"/>
    </xf>
    <xf numFmtId="0" fontId="16" fillId="0" borderId="21" xfId="0" applyFont="1" applyBorder="1" applyAlignment="1">
      <alignment horizontal="center"/>
    </xf>
    <xf numFmtId="0" fontId="5" fillId="0" borderId="23" xfId="0" applyFont="1" applyBorder="1" applyAlignment="1" applyProtection="1">
      <alignment vertical="center"/>
      <protection locked="0"/>
    </xf>
    <xf numFmtId="14" fontId="5" fillId="0" borderId="24" xfId="0" applyNumberFormat="1" applyFont="1" applyBorder="1" applyAlignment="1" applyProtection="1">
      <alignment horizontal="left" indent="1"/>
      <protection locked="0"/>
    </xf>
    <xf numFmtId="0" fontId="18" fillId="0" borderId="1" xfId="8" applyFont="1" applyBorder="1"/>
    <xf numFmtId="0" fontId="19" fillId="0" borderId="1" xfId="8" applyFont="1" applyBorder="1" applyAlignment="1">
      <alignment vertical="center" wrapText="1"/>
    </xf>
    <xf numFmtId="0" fontId="18" fillId="4" borderId="6" xfId="8" applyFont="1" applyFill="1" applyBorder="1" applyAlignment="1">
      <alignment horizontal="center" vertical="center"/>
    </xf>
    <xf numFmtId="0" fontId="23" fillId="4" borderId="25" xfId="8" applyFont="1" applyFill="1" applyBorder="1" applyAlignment="1" applyProtection="1">
      <alignment horizontal="center"/>
      <protection locked="0"/>
    </xf>
    <xf numFmtId="0" fontId="24" fillId="4" borderId="25" xfId="8" applyFont="1" applyFill="1" applyBorder="1" applyAlignment="1">
      <alignment horizontal="center"/>
    </xf>
    <xf numFmtId="0" fontId="25" fillId="0" borderId="11" xfId="8" applyFont="1" applyBorder="1" applyAlignment="1" applyProtection="1">
      <alignment horizontal="left"/>
      <protection locked="0"/>
    </xf>
    <xf numFmtId="0" fontId="27" fillId="0" borderId="11" xfId="8" applyFont="1" applyBorder="1" applyProtection="1">
      <protection locked="0"/>
    </xf>
    <xf numFmtId="0" fontId="28" fillId="0" borderId="11" xfId="8" applyFont="1" applyBorder="1" applyAlignment="1" applyProtection="1">
      <alignment horizontal="center"/>
      <protection locked="0"/>
    </xf>
    <xf numFmtId="0" fontId="28" fillId="0" borderId="26" xfId="8" applyFont="1" applyBorder="1" applyAlignment="1">
      <alignment horizontal="center"/>
    </xf>
    <xf numFmtId="0" fontId="29" fillId="0" borderId="11" xfId="8" applyFont="1" applyBorder="1" applyAlignment="1" applyProtection="1">
      <alignment horizontal="left" indent="2"/>
      <protection locked="0"/>
    </xf>
    <xf numFmtId="0" fontId="27" fillId="0" borderId="11" xfId="8" applyFont="1" applyBorder="1" applyAlignment="1" applyProtection="1">
      <alignment horizontal="center"/>
      <protection locked="0"/>
    </xf>
    <xf numFmtId="0" fontId="31" fillId="0" borderId="11" xfId="8" applyFont="1" applyBorder="1" applyAlignment="1" applyProtection="1">
      <alignment horizontal="center"/>
      <protection locked="0"/>
    </xf>
    <xf numFmtId="0" fontId="27" fillId="0" borderId="26" xfId="8" applyFont="1" applyBorder="1" applyAlignment="1" applyProtection="1">
      <alignment horizontal="center"/>
      <protection locked="0"/>
    </xf>
    <xf numFmtId="2" fontId="27" fillId="0" borderId="6" xfId="8" applyNumberFormat="1" applyFont="1" applyBorder="1" applyAlignment="1" applyProtection="1">
      <alignment horizontal="center"/>
      <protection locked="0"/>
    </xf>
    <xf numFmtId="0" fontId="27" fillId="0" borderId="2" xfId="8" applyFont="1" applyBorder="1" applyProtection="1">
      <protection locked="0"/>
    </xf>
    <xf numFmtId="0" fontId="31" fillId="0" borderId="2" xfId="8" applyFont="1" applyBorder="1" applyAlignment="1" applyProtection="1">
      <alignment horizontal="center"/>
      <protection locked="0"/>
    </xf>
    <xf numFmtId="0" fontId="23" fillId="0" borderId="2" xfId="8" applyFont="1" applyBorder="1" applyAlignment="1" applyProtection="1">
      <alignment horizontal="center"/>
      <protection locked="0"/>
    </xf>
    <xf numFmtId="0" fontId="25" fillId="0" borderId="11" xfId="8" applyFont="1" applyBorder="1" applyProtection="1">
      <protection locked="0"/>
    </xf>
    <xf numFmtId="0" fontId="30" fillId="0" borderId="26" xfId="8" applyFont="1" applyBorder="1" applyAlignment="1" applyProtection="1">
      <alignment horizontal="center"/>
      <protection locked="0"/>
    </xf>
    <xf numFmtId="4" fontId="22" fillId="0" borderId="11" xfId="8" applyNumberFormat="1" applyFont="1" applyBorder="1" applyAlignment="1" applyProtection="1">
      <alignment horizontal="center"/>
      <protection locked="0"/>
    </xf>
    <xf numFmtId="2" fontId="27" fillId="0" borderId="11" xfId="8" applyNumberFormat="1" applyFont="1" applyBorder="1" applyAlignment="1" applyProtection="1">
      <alignment horizontal="center"/>
      <protection locked="0"/>
    </xf>
    <xf numFmtId="0" fontId="27" fillId="0" borderId="2" xfId="8" applyFont="1" applyBorder="1" applyAlignment="1" applyProtection="1">
      <alignment horizontal="center"/>
      <protection locked="0"/>
    </xf>
    <xf numFmtId="0" fontId="25" fillId="0" borderId="11" xfId="8" applyFont="1" applyBorder="1" applyAlignment="1" applyProtection="1">
      <alignment vertical="center" wrapText="1"/>
      <protection locked="0"/>
    </xf>
    <xf numFmtId="0" fontId="27" fillId="0" borderId="11" xfId="8" applyFont="1" applyBorder="1" applyAlignment="1" applyProtection="1">
      <alignment wrapText="1"/>
      <protection locked="0"/>
    </xf>
    <xf numFmtId="3" fontId="27" fillId="0" borderId="26" xfId="8" applyNumberFormat="1" applyFont="1" applyBorder="1" applyAlignment="1" applyProtection="1">
      <alignment horizontal="center"/>
      <protection locked="0"/>
    </xf>
    <xf numFmtId="3" fontId="31" fillId="0" borderId="26" xfId="3" applyNumberFormat="1" applyFont="1" applyBorder="1" applyAlignment="1" applyProtection="1">
      <alignment horizontal="center" wrapText="1"/>
      <protection locked="0"/>
    </xf>
    <xf numFmtId="0" fontId="30" fillId="0" borderId="2" xfId="8" applyFont="1" applyBorder="1" applyProtection="1">
      <protection locked="0"/>
    </xf>
    <xf numFmtId="0" fontId="25" fillId="0" borderId="0" xfId="8" applyFont="1" applyAlignment="1" applyProtection="1">
      <alignment vertical="center" wrapText="1"/>
      <protection locked="0"/>
    </xf>
    <xf numFmtId="3" fontId="32" fillId="0" borderId="11" xfId="8" applyNumberFormat="1" applyFont="1" applyBorder="1" applyAlignment="1" applyProtection="1">
      <alignment horizontal="center"/>
      <protection locked="0"/>
    </xf>
    <xf numFmtId="3" fontId="22" fillId="0" borderId="11" xfId="8" applyNumberFormat="1" applyFont="1" applyBorder="1" applyAlignment="1" applyProtection="1">
      <alignment horizontal="center"/>
      <protection locked="0"/>
    </xf>
    <xf numFmtId="0" fontId="30" fillId="0" borderId="11" xfId="8" applyFont="1" applyBorder="1" applyProtection="1">
      <protection locked="0"/>
    </xf>
    <xf numFmtId="9" fontId="27" fillId="0" borderId="26" xfId="3" applyNumberFormat="1" applyFont="1" applyBorder="1" applyAlignment="1" applyProtection="1">
      <alignment horizontal="center"/>
      <protection locked="0"/>
    </xf>
    <xf numFmtId="3" fontId="27" fillId="0" borderId="26" xfId="3" applyNumberFormat="1" applyFont="1" applyBorder="1" applyAlignment="1" applyProtection="1">
      <alignment horizontal="center"/>
      <protection locked="0"/>
    </xf>
    <xf numFmtId="0" fontId="31" fillId="0" borderId="9" xfId="8" applyFont="1" applyBorder="1" applyAlignment="1" applyProtection="1">
      <alignment horizontal="center"/>
      <protection locked="0"/>
    </xf>
    <xf numFmtId="0" fontId="31" fillId="0" borderId="26" xfId="8" applyFont="1" applyBorder="1" applyAlignment="1" applyProtection="1">
      <alignment horizontal="center"/>
      <protection locked="0"/>
    </xf>
    <xf numFmtId="10" fontId="27" fillId="0" borderId="26" xfId="3" applyNumberFormat="1" applyFont="1" applyBorder="1" applyAlignment="1" applyProtection="1">
      <alignment horizontal="center"/>
      <protection locked="0"/>
    </xf>
    <xf numFmtId="3" fontId="31" fillId="0" borderId="26" xfId="8" applyNumberFormat="1" applyFont="1" applyBorder="1" applyAlignment="1">
      <alignment horizontal="center"/>
    </xf>
    <xf numFmtId="2" fontId="27" fillId="0" borderId="26" xfId="8" applyNumberFormat="1" applyFont="1" applyBorder="1" applyAlignment="1" applyProtection="1">
      <alignment horizontal="center"/>
      <protection locked="0"/>
    </xf>
    <xf numFmtId="3" fontId="27" fillId="0" borderId="26" xfId="8" applyNumberFormat="1" applyFont="1" applyBorder="1" applyAlignment="1">
      <alignment horizontal="center"/>
    </xf>
    <xf numFmtId="0" fontId="27" fillId="0" borderId="0" xfId="8" applyFont="1"/>
    <xf numFmtId="4" fontId="27" fillId="0" borderId="0" xfId="8" applyNumberFormat="1" applyFont="1"/>
    <xf numFmtId="0" fontId="25" fillId="0" borderId="9" xfId="8" applyFont="1" applyBorder="1" applyProtection="1">
      <protection locked="0"/>
    </xf>
    <xf numFmtId="0" fontId="27" fillId="0" borderId="3" xfId="8" applyFont="1" applyBorder="1" applyAlignment="1" applyProtection="1">
      <alignment horizontal="center"/>
      <protection locked="0"/>
    </xf>
    <xf numFmtId="4" fontId="22" fillId="0" borderId="9" xfId="8" applyNumberFormat="1" applyFont="1" applyBorder="1" applyAlignment="1" applyProtection="1">
      <alignment horizontal="center"/>
      <protection locked="0"/>
    </xf>
    <xf numFmtId="0" fontId="27" fillId="0" borderId="6" xfId="8" applyFont="1" applyBorder="1" applyProtection="1">
      <protection locked="0"/>
    </xf>
    <xf numFmtId="0" fontId="31" fillId="0" borderId="6" xfId="8" applyFont="1" applyBorder="1" applyAlignment="1" applyProtection="1">
      <alignment horizontal="center"/>
      <protection locked="0"/>
    </xf>
    <xf numFmtId="0" fontId="27" fillId="0" borderId="8" xfId="8" applyFont="1" applyBorder="1" applyAlignment="1" applyProtection="1">
      <alignment horizontal="center"/>
      <protection locked="0"/>
    </xf>
    <xf numFmtId="0" fontId="34" fillId="0" borderId="0" xfId="0" applyFont="1" applyAlignment="1">
      <alignment vertical="center"/>
    </xf>
    <xf numFmtId="0" fontId="35" fillId="4" borderId="8" xfId="0" applyFont="1" applyFill="1" applyBorder="1" applyAlignment="1" applyProtection="1">
      <alignment horizontal="center" vertical="center"/>
      <protection locked="0"/>
    </xf>
    <xf numFmtId="0" fontId="10" fillId="5" borderId="0" xfId="0" applyFont="1" applyFill="1" applyAlignment="1" applyProtection="1">
      <alignment horizontal="left" vertical="center"/>
      <protection locked="0"/>
    </xf>
    <xf numFmtId="0" fontId="10" fillId="5" borderId="0" xfId="0" applyFont="1" applyFill="1" applyAlignment="1">
      <alignment vertical="center"/>
    </xf>
    <xf numFmtId="0" fontId="6" fillId="5" borderId="0" xfId="0" applyFont="1" applyFill="1" applyAlignment="1" applyProtection="1">
      <alignment horizontal="left" vertical="center"/>
      <protection locked="0"/>
    </xf>
    <xf numFmtId="2" fontId="28" fillId="0" borderId="11" xfId="8" applyNumberFormat="1" applyFont="1" applyBorder="1" applyAlignment="1" applyProtection="1">
      <alignment horizontal="center"/>
      <protection locked="0"/>
    </xf>
    <xf numFmtId="2" fontId="28" fillId="0" borderId="26" xfId="8" applyNumberFormat="1" applyFont="1" applyBorder="1" applyAlignment="1">
      <alignment horizontal="center"/>
    </xf>
    <xf numFmtId="0" fontId="5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0" fillId="6" borderId="15" xfId="0" applyFill="1" applyBorder="1" applyAlignment="1">
      <alignment horizontal="center"/>
    </xf>
    <xf numFmtId="0" fontId="17" fillId="6" borderId="15" xfId="0" applyFont="1" applyFill="1" applyBorder="1" applyAlignment="1" applyProtection="1">
      <alignment horizontal="center"/>
      <protection locked="0"/>
    </xf>
    <xf numFmtId="0" fontId="17" fillId="6" borderId="27" xfId="0" applyFont="1" applyFill="1" applyBorder="1" applyAlignment="1" applyProtection="1">
      <alignment horizontal="center"/>
      <protection locked="0"/>
    </xf>
    <xf numFmtId="0" fontId="0" fillId="0" borderId="28" xfId="0" applyBorder="1" applyAlignment="1">
      <alignment horizontal="center"/>
    </xf>
    <xf numFmtId="0" fontId="0" fillId="0" borderId="28" xfId="0" applyBorder="1" applyAlignment="1" applyProtection="1">
      <alignment horizontal="center"/>
      <protection locked="0"/>
    </xf>
    <xf numFmtId="0" fontId="16" fillId="0" borderId="28" xfId="0" applyFont="1" applyBorder="1" applyAlignment="1" applyProtection="1">
      <alignment horizontal="center"/>
      <protection locked="0"/>
    </xf>
    <xf numFmtId="0" fontId="16" fillId="0" borderId="29" xfId="0" applyFont="1" applyBorder="1" applyAlignment="1" applyProtection="1">
      <alignment horizontal="center"/>
      <protection locked="0"/>
    </xf>
    <xf numFmtId="0" fontId="0" fillId="0" borderId="21" xfId="0" applyBorder="1" applyAlignment="1">
      <alignment horizontal="center"/>
    </xf>
    <xf numFmtId="0" fontId="0" fillId="0" borderId="21" xfId="0" applyBorder="1" applyAlignment="1" applyProtection="1">
      <alignment horizontal="center"/>
      <protection locked="0"/>
    </xf>
    <xf numFmtId="0" fontId="16" fillId="0" borderId="21" xfId="0" applyFont="1" applyBorder="1" applyAlignment="1" applyProtection="1">
      <alignment horizontal="center"/>
      <protection locked="0"/>
    </xf>
    <xf numFmtId="0" fontId="16" fillId="0" borderId="30" xfId="0" applyFont="1" applyBorder="1" applyAlignment="1" applyProtection="1">
      <alignment horizontal="center"/>
      <protection locked="0"/>
    </xf>
    <xf numFmtId="14" fontId="0" fillId="0" borderId="31" xfId="0" applyNumberFormat="1" applyBorder="1" applyAlignment="1">
      <alignment horizontal="center"/>
    </xf>
    <xf numFmtId="0" fontId="0" fillId="0" borderId="31" xfId="0" applyBorder="1" applyAlignment="1" applyProtection="1">
      <alignment horizontal="center"/>
      <protection locked="0"/>
    </xf>
    <xf numFmtId="0" fontId="16" fillId="0" borderId="31" xfId="0" applyFont="1" applyBorder="1" applyAlignment="1" applyProtection="1">
      <alignment horizontal="center"/>
      <protection locked="0"/>
    </xf>
    <xf numFmtId="0" fontId="16" fillId="0" borderId="32" xfId="0" applyFont="1" applyBorder="1" applyAlignment="1" applyProtection="1">
      <alignment horizontal="center"/>
      <protection locked="0"/>
    </xf>
    <xf numFmtId="0" fontId="19" fillId="0" borderId="1" xfId="8" applyFont="1" applyBorder="1" applyAlignment="1">
      <alignment horizontal="center" vertical="center" wrapText="1"/>
    </xf>
    <xf numFmtId="0" fontId="18" fillId="0" borderId="1" xfId="8" applyFont="1" applyBorder="1" applyAlignment="1">
      <alignment horizontal="center" vertical="center"/>
    </xf>
    <xf numFmtId="0" fontId="26" fillId="0" borderId="11" xfId="8" applyFont="1" applyBorder="1" applyAlignment="1" applyProtection="1">
      <alignment horizontal="center"/>
      <protection locked="0"/>
    </xf>
    <xf numFmtId="0" fontId="27" fillId="0" borderId="26" xfId="8" applyFont="1" applyBorder="1" applyAlignment="1">
      <alignment horizontal="center"/>
    </xf>
    <xf numFmtId="3" fontId="27" fillId="0" borderId="11" xfId="8" applyNumberFormat="1" applyFont="1" applyBorder="1" applyAlignment="1" applyProtection="1">
      <alignment horizontal="center"/>
      <protection locked="0"/>
    </xf>
    <xf numFmtId="3" fontId="30" fillId="0" borderId="2" xfId="8" applyNumberFormat="1" applyFont="1" applyBorder="1" applyAlignment="1" applyProtection="1">
      <alignment horizontal="center"/>
      <protection locked="0"/>
    </xf>
    <xf numFmtId="3" fontId="27" fillId="0" borderId="25" xfId="8" applyNumberFormat="1" applyFont="1" applyBorder="1" applyAlignment="1">
      <alignment horizontal="center"/>
    </xf>
    <xf numFmtId="4" fontId="27" fillId="0" borderId="11" xfId="8" applyNumberFormat="1" applyFont="1" applyBorder="1" applyAlignment="1">
      <alignment horizontal="center"/>
    </xf>
    <xf numFmtId="4" fontId="27" fillId="0" borderId="11" xfId="8" applyNumberFormat="1" applyFont="1" applyBorder="1" applyAlignment="1" applyProtection="1">
      <alignment horizontal="center"/>
      <protection locked="0"/>
    </xf>
    <xf numFmtId="3" fontId="27" fillId="0" borderId="11" xfId="8" applyNumberFormat="1" applyFont="1" applyBorder="1" applyAlignment="1">
      <alignment horizontal="center"/>
    </xf>
    <xf numFmtId="0" fontId="27" fillId="0" borderId="11" xfId="8" applyFont="1" applyBorder="1" applyAlignment="1">
      <alignment horizontal="center"/>
    </xf>
    <xf numFmtId="4" fontId="27" fillId="0" borderId="11" xfId="3" applyNumberFormat="1" applyFont="1" applyBorder="1" applyAlignment="1" applyProtection="1">
      <alignment horizontal="center"/>
      <protection locked="0"/>
    </xf>
    <xf numFmtId="4" fontId="30" fillId="0" borderId="2" xfId="8" applyNumberFormat="1" applyFont="1" applyBorder="1" applyAlignment="1" applyProtection="1">
      <alignment horizontal="center"/>
      <protection locked="0"/>
    </xf>
    <xf numFmtId="9" fontId="27" fillId="0" borderId="11" xfId="11" applyFont="1" applyBorder="1" applyAlignment="1" applyProtection="1">
      <alignment horizontal="center"/>
      <protection locked="0"/>
    </xf>
    <xf numFmtId="3" fontId="27" fillId="0" borderId="6" xfId="8" applyNumberFormat="1" applyFont="1" applyBorder="1" applyAlignment="1" applyProtection="1">
      <alignment horizontal="center"/>
      <protection locked="0"/>
    </xf>
    <xf numFmtId="0" fontId="27" fillId="0" borderId="0" xfId="8" applyFont="1" applyAlignment="1">
      <alignment horizontal="center"/>
    </xf>
    <xf numFmtId="4" fontId="30" fillId="0" borderId="0" xfId="8" applyNumberFormat="1" applyFont="1" applyAlignment="1">
      <alignment horizontal="center"/>
    </xf>
    <xf numFmtId="0" fontId="7" fillId="4" borderId="8" xfId="0" applyFont="1" applyFill="1" applyBorder="1" applyAlignment="1" applyProtection="1">
      <alignment horizontal="center" vertical="center"/>
      <protection locked="0"/>
    </xf>
    <xf numFmtId="9" fontId="52" fillId="4" borderId="1" xfId="11" applyFont="1" applyFill="1" applyBorder="1" applyAlignment="1" applyProtection="1">
      <alignment vertical="center"/>
      <protection locked="0"/>
    </xf>
    <xf numFmtId="9" fontId="52" fillId="4" borderId="1" xfId="11" applyFont="1" applyFill="1" applyBorder="1" applyAlignment="1" applyProtection="1">
      <alignment horizontal="left" vertical="center"/>
      <protection locked="0"/>
    </xf>
    <xf numFmtId="10" fontId="9" fillId="2" borderId="9" xfId="0" applyNumberFormat="1" applyFont="1" applyFill="1" applyBorder="1" applyAlignment="1">
      <alignment vertical="center"/>
    </xf>
    <xf numFmtId="10" fontId="9" fillId="2" borderId="10" xfId="0" applyNumberFormat="1" applyFont="1" applyFill="1" applyBorder="1" applyAlignment="1">
      <alignment vertical="center"/>
    </xf>
    <xf numFmtId="10" fontId="9" fillId="2" borderId="14" xfId="0" applyNumberFormat="1" applyFont="1" applyFill="1" applyBorder="1" applyAlignment="1">
      <alignment vertical="center"/>
    </xf>
    <xf numFmtId="10" fontId="9" fillId="2" borderId="33" xfId="0" applyNumberFormat="1" applyFont="1" applyFill="1" applyBorder="1" applyAlignment="1">
      <alignment vertical="center"/>
    </xf>
    <xf numFmtId="16" fontId="10" fillId="2" borderId="0" xfId="0" applyNumberFormat="1" applyFont="1" applyFill="1" applyAlignment="1">
      <alignment horizontal="left" vertical="center"/>
    </xf>
    <xf numFmtId="4" fontId="27" fillId="0" borderId="0" xfId="3" applyNumberFormat="1" applyFont="1" applyAlignment="1" applyProtection="1">
      <alignment horizontal="center"/>
      <protection locked="0"/>
    </xf>
    <xf numFmtId="4" fontId="31" fillId="0" borderId="26" xfId="8" applyNumberFormat="1" applyFont="1" applyBorder="1" applyAlignment="1" applyProtection="1">
      <alignment horizontal="center"/>
      <protection locked="0"/>
    </xf>
    <xf numFmtId="0" fontId="27" fillId="0" borderId="11" xfId="8" applyFont="1" applyBorder="1" applyAlignment="1" applyProtection="1">
      <alignment vertical="center" wrapText="1"/>
      <protection locked="0"/>
    </xf>
    <xf numFmtId="0" fontId="16" fillId="0" borderId="0" xfId="7" applyAlignment="1">
      <alignment vertical="center"/>
    </xf>
    <xf numFmtId="3" fontId="27" fillId="0" borderId="26" xfId="8" applyNumberFormat="1" applyFont="1" applyBorder="1" applyAlignment="1" applyProtection="1">
      <alignment horizontal="center" vertical="center"/>
      <protection locked="0"/>
    </xf>
    <xf numFmtId="3" fontId="31" fillId="0" borderId="26" xfId="3" applyNumberFormat="1" applyFont="1" applyBorder="1" applyAlignment="1" applyProtection="1">
      <alignment horizontal="center" vertical="center" wrapText="1"/>
      <protection locked="0"/>
    </xf>
    <xf numFmtId="4" fontId="27" fillId="0" borderId="11" xfId="8" applyNumberFormat="1" applyFont="1" applyBorder="1" applyAlignment="1" applyProtection="1">
      <alignment horizontal="center" vertical="center"/>
      <protection locked="0"/>
    </xf>
    <xf numFmtId="4" fontId="27" fillId="0" borderId="11" xfId="8" applyNumberFormat="1" applyFont="1" applyBorder="1" applyAlignment="1">
      <alignment horizontal="center" vertical="center"/>
    </xf>
    <xf numFmtId="0" fontId="31" fillId="0" borderId="11" xfId="8" applyFont="1" applyBorder="1" applyAlignment="1" applyProtection="1">
      <alignment horizontal="center" vertical="center"/>
      <protection locked="0"/>
    </xf>
    <xf numFmtId="0" fontId="27" fillId="0" borderId="26" xfId="8" applyFont="1" applyBorder="1" applyAlignment="1" applyProtection="1">
      <alignment horizontal="center" vertical="center"/>
      <protection locked="0"/>
    </xf>
    <xf numFmtId="3" fontId="27" fillId="0" borderId="11" xfId="8" applyNumberFormat="1" applyFont="1" applyBorder="1" applyAlignment="1">
      <alignment horizontal="center" vertical="center"/>
    </xf>
    <xf numFmtId="0" fontId="33" fillId="4" borderId="1" xfId="6" applyFont="1" applyFill="1" applyBorder="1" applyAlignment="1">
      <alignment horizontal="left" vertical="center" indent="1"/>
    </xf>
    <xf numFmtId="0" fontId="11" fillId="2" borderId="61" xfId="0" applyFont="1" applyFill="1" applyBorder="1" applyAlignment="1">
      <alignment vertical="center"/>
    </xf>
    <xf numFmtId="0" fontId="11" fillId="2" borderId="54" xfId="0" applyFont="1" applyFill="1" applyBorder="1" applyAlignment="1">
      <alignment vertical="center"/>
    </xf>
    <xf numFmtId="0" fontId="53" fillId="7" borderId="0" xfId="8" applyFont="1" applyFill="1" applyAlignment="1">
      <alignment horizontal="center"/>
    </xf>
    <xf numFmtId="0" fontId="37" fillId="0" borderId="0" xfId="10"/>
    <xf numFmtId="0" fontId="39" fillId="0" borderId="0" xfId="0" applyFont="1" applyAlignment="1" applyProtection="1">
      <alignment vertical="center"/>
      <protection locked="0"/>
    </xf>
    <xf numFmtId="0" fontId="40" fillId="0" borderId="0" xfId="0" applyFont="1" applyAlignment="1">
      <alignment vertical="center"/>
    </xf>
    <xf numFmtId="0" fontId="0" fillId="0" borderId="0" xfId="0" applyAlignment="1">
      <alignment vertical="top"/>
    </xf>
    <xf numFmtId="0" fontId="54" fillId="0" borderId="0" xfId="0" applyFont="1" applyAlignment="1">
      <alignment horizontal="center" vertical="center"/>
    </xf>
    <xf numFmtId="0" fontId="54" fillId="0" borderId="0" xfId="0" applyFont="1" applyAlignment="1">
      <alignment vertical="center"/>
    </xf>
    <xf numFmtId="0" fontId="55" fillId="0" borderId="0" xfId="0" applyFont="1" applyAlignment="1">
      <alignment horizontal="center" vertical="center"/>
    </xf>
    <xf numFmtId="0" fontId="56" fillId="0" borderId="34" xfId="0" quotePrefix="1" applyFont="1" applyBorder="1" applyAlignment="1" applyProtection="1">
      <alignment horizontal="center" vertical="center"/>
      <protection locked="0"/>
    </xf>
    <xf numFmtId="0" fontId="57" fillId="0" borderId="35" xfId="0" applyFont="1" applyBorder="1" applyAlignment="1" applyProtection="1">
      <alignment vertical="center"/>
      <protection locked="0"/>
    </xf>
    <xf numFmtId="0" fontId="57" fillId="0" borderId="35" xfId="0" applyFont="1" applyBorder="1" applyAlignment="1" applyProtection="1">
      <alignment horizontal="center" vertical="center"/>
      <protection locked="0"/>
    </xf>
    <xf numFmtId="4" fontId="57" fillId="0" borderId="35" xfId="0" applyNumberFormat="1" applyFont="1" applyBorder="1" applyAlignment="1" applyProtection="1">
      <alignment horizontal="center" vertical="center"/>
      <protection locked="0"/>
    </xf>
    <xf numFmtId="4" fontId="57" fillId="0" borderId="36" xfId="0" applyNumberFormat="1" applyFont="1" applyBorder="1" applyAlignment="1" applyProtection="1">
      <alignment horizontal="center" vertical="center"/>
      <protection locked="0"/>
    </xf>
    <xf numFmtId="0" fontId="58" fillId="0" borderId="34" xfId="0" quotePrefix="1" applyFont="1" applyBorder="1" applyAlignment="1" applyProtection="1">
      <alignment horizontal="center" vertical="center"/>
      <protection locked="0"/>
    </xf>
    <xf numFmtId="0" fontId="58" fillId="0" borderId="35" xfId="0" applyFont="1" applyBorder="1" applyAlignment="1" applyProtection="1">
      <alignment vertical="center" wrapText="1"/>
      <protection locked="0"/>
    </xf>
    <xf numFmtId="0" fontId="58" fillId="0" borderId="35" xfId="0" applyFont="1" applyBorder="1" applyAlignment="1" applyProtection="1">
      <alignment horizontal="center" vertical="center"/>
      <protection locked="0"/>
    </xf>
    <xf numFmtId="4" fontId="58" fillId="0" borderId="35" xfId="0" applyNumberFormat="1" applyFont="1" applyBorder="1" applyAlignment="1" applyProtection="1">
      <alignment horizontal="center" vertical="center"/>
      <protection locked="0"/>
    </xf>
    <xf numFmtId="4" fontId="58" fillId="0" borderId="36" xfId="0" applyNumberFormat="1" applyFont="1" applyBorder="1" applyAlignment="1" applyProtection="1">
      <alignment horizontal="center" vertical="center"/>
      <protection locked="0"/>
    </xf>
    <xf numFmtId="0" fontId="59" fillId="0" borderId="35" xfId="9" applyFont="1" applyBorder="1" applyAlignment="1">
      <alignment horizontal="left" vertical="center"/>
    </xf>
    <xf numFmtId="0" fontId="60" fillId="0" borderId="0" xfId="0" applyFont="1" applyAlignment="1">
      <alignment horizontal="right" vertical="center"/>
    </xf>
    <xf numFmtId="0" fontId="60" fillId="2" borderId="37" xfId="0" applyFont="1" applyFill="1" applyBorder="1" applyAlignment="1" applyProtection="1">
      <alignment horizontal="center" vertical="center"/>
      <protection locked="0"/>
    </xf>
    <xf numFmtId="0" fontId="60" fillId="2" borderId="38" xfId="0" applyFont="1" applyFill="1" applyBorder="1" applyAlignment="1" applyProtection="1">
      <alignment horizontal="center" vertical="center"/>
      <protection locked="0"/>
    </xf>
    <xf numFmtId="0" fontId="60" fillId="0" borderId="37" xfId="0" applyFont="1" applyBorder="1" applyAlignment="1">
      <alignment horizontal="center" vertical="center"/>
    </xf>
    <xf numFmtId="0" fontId="60" fillId="0" borderId="38" xfId="0" applyFont="1" applyBorder="1" applyAlignment="1">
      <alignment horizontal="center" vertical="center"/>
    </xf>
    <xf numFmtId="2" fontId="60" fillId="0" borderId="39" xfId="0" applyNumberFormat="1" applyFont="1" applyBorder="1" applyAlignment="1">
      <alignment horizontal="center" vertical="center" wrapText="1"/>
    </xf>
    <xf numFmtId="0" fontId="61" fillId="0" borderId="40" xfId="0" applyFont="1" applyBorder="1" applyAlignment="1">
      <alignment horizontal="center" vertical="center"/>
    </xf>
    <xf numFmtId="0" fontId="62" fillId="0" borderId="41" xfId="0" applyFont="1" applyBorder="1" applyAlignment="1">
      <alignment horizontal="left" vertical="top" wrapText="1"/>
    </xf>
    <xf numFmtId="0" fontId="61" fillId="0" borderId="41" xfId="0" applyFont="1" applyBorder="1" applyAlignment="1">
      <alignment horizontal="center" vertical="center"/>
    </xf>
    <xf numFmtId="4" fontId="62" fillId="0" borderId="42" xfId="0" applyNumberFormat="1" applyFont="1" applyBorder="1" applyAlignment="1">
      <alignment horizontal="center" vertical="center"/>
    </xf>
    <xf numFmtId="0" fontId="59" fillId="0" borderId="43" xfId="0" applyFont="1" applyBorder="1" applyAlignment="1">
      <alignment horizontal="center" vertical="center"/>
    </xf>
    <xf numFmtId="0" fontId="59" fillId="0" borderId="8" xfId="0" applyFont="1" applyBorder="1" applyAlignment="1">
      <alignment horizontal="left" vertical="top" wrapText="1"/>
    </xf>
    <xf numFmtId="0" fontId="59" fillId="0" borderId="8" xfId="0" applyFont="1" applyBorder="1" applyAlignment="1">
      <alignment horizontal="center" vertical="center"/>
    </xf>
    <xf numFmtId="4" fontId="59" fillId="0" borderId="8" xfId="0" applyNumberFormat="1" applyFont="1" applyBorder="1" applyAlignment="1">
      <alignment horizontal="center" vertical="center"/>
    </xf>
    <xf numFmtId="4" fontId="59" fillId="0" borderId="44" xfId="0" applyNumberFormat="1" applyFont="1" applyBorder="1" applyAlignment="1">
      <alignment horizontal="center" vertical="center"/>
    </xf>
    <xf numFmtId="0" fontId="61" fillId="0" borderId="43" xfId="0" applyFont="1" applyBorder="1" applyAlignment="1">
      <alignment horizontal="center" vertical="center"/>
    </xf>
    <xf numFmtId="0" fontId="62" fillId="0" borderId="8" xfId="0" applyFont="1" applyBorder="1" applyAlignment="1">
      <alignment horizontal="left" vertical="top" wrapText="1"/>
    </xf>
    <xf numFmtId="0" fontId="61" fillId="0" borderId="8" xfId="0" applyFont="1" applyBorder="1" applyAlignment="1">
      <alignment horizontal="center" vertical="center"/>
    </xf>
    <xf numFmtId="4" fontId="62" fillId="0" borderId="44" xfId="0" applyNumberFormat="1" applyFont="1" applyBorder="1" applyAlignment="1">
      <alignment horizontal="center" vertical="center"/>
    </xf>
    <xf numFmtId="0" fontId="59" fillId="8" borderId="43" xfId="0" applyFont="1" applyFill="1" applyBorder="1" applyAlignment="1">
      <alignment horizontal="center" vertical="center"/>
    </xf>
    <xf numFmtId="0" fontId="59" fillId="8" borderId="8" xfId="0" applyFont="1" applyFill="1" applyBorder="1" applyAlignment="1">
      <alignment horizontal="left" vertical="top" wrapText="1"/>
    </xf>
    <xf numFmtId="4" fontId="59" fillId="8" borderId="8" xfId="0" applyNumberFormat="1" applyFont="1" applyFill="1" applyBorder="1" applyAlignment="1">
      <alignment horizontal="center" vertical="center"/>
    </xf>
    <xf numFmtId="4" fontId="0" fillId="0" borderId="0" xfId="0" applyNumberFormat="1" applyAlignment="1">
      <alignment vertical="center"/>
    </xf>
    <xf numFmtId="0" fontId="59" fillId="8" borderId="43" xfId="0" quotePrefix="1" applyFont="1" applyFill="1" applyBorder="1" applyAlignment="1">
      <alignment horizontal="center" vertical="center"/>
    </xf>
    <xf numFmtId="0" fontId="59" fillId="0" borderId="43" xfId="0" quotePrefix="1" applyFont="1" applyBorder="1" applyAlignment="1">
      <alignment horizontal="center" vertical="center"/>
    </xf>
    <xf numFmtId="2" fontId="33" fillId="4" borderId="1" xfId="6" applyNumberFormat="1" applyFont="1" applyFill="1" applyBorder="1" applyAlignment="1">
      <alignment horizontal="left" vertical="center" indent="1"/>
    </xf>
    <xf numFmtId="0" fontId="67" fillId="0" borderId="0" xfId="0" applyFont="1" applyAlignment="1">
      <alignment horizontal="right" vertical="center"/>
    </xf>
    <xf numFmtId="0" fontId="66" fillId="0" borderId="0" xfId="0" applyFont="1" applyAlignment="1">
      <alignment horizontal="right" vertical="center"/>
    </xf>
    <xf numFmtId="0" fontId="3" fillId="0" borderId="0" xfId="0" applyFont="1" applyAlignment="1"/>
    <xf numFmtId="0" fontId="60" fillId="0" borderId="0" xfId="0" applyFont="1" applyAlignment="1">
      <alignment horizontal="center" vertical="center"/>
    </xf>
    <xf numFmtId="0" fontId="46" fillId="0" borderId="0" xfId="0" applyFont="1" applyAlignment="1">
      <alignment vertical="center"/>
    </xf>
    <xf numFmtId="0" fontId="46" fillId="0" borderId="0" xfId="0" applyFont="1" applyAlignment="1">
      <alignment horizontal="center" vertical="center"/>
    </xf>
    <xf numFmtId="2" fontId="16" fillId="0" borderId="0" xfId="7" applyNumberFormat="1"/>
    <xf numFmtId="4" fontId="40" fillId="0" borderId="0" xfId="0" applyNumberFormat="1" applyFont="1" applyAlignment="1">
      <alignment vertical="center"/>
    </xf>
    <xf numFmtId="2" fontId="27" fillId="0" borderId="26" xfId="8" applyNumberFormat="1" applyFont="1" applyBorder="1" applyAlignment="1">
      <alignment horizont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 vertical="center"/>
    </xf>
    <xf numFmtId="0" fontId="70" fillId="12" borderId="0" xfId="0" applyFont="1" applyFill="1" applyAlignment="1">
      <alignment vertical="center"/>
    </xf>
    <xf numFmtId="4" fontId="18" fillId="0" borderId="0" xfId="8" applyNumberFormat="1" applyFont="1" applyAlignment="1">
      <alignment horizontal="center"/>
    </xf>
    <xf numFmtId="4" fontId="0" fillId="0" borderId="8" xfId="0" applyNumberFormat="1" applyBorder="1" applyAlignment="1">
      <alignment horizontal="right" vertical="center"/>
    </xf>
    <xf numFmtId="4" fontId="0" fillId="0" borderId="44" xfId="0" applyNumberFormat="1" applyBorder="1" applyAlignment="1">
      <alignment horizontal="right" vertical="center"/>
    </xf>
    <xf numFmtId="0" fontId="0" fillId="0" borderId="43" xfId="0" applyBorder="1" applyAlignment="1">
      <alignment horizontal="center" vertical="center"/>
    </xf>
    <xf numFmtId="0" fontId="71" fillId="0" borderId="40" xfId="0" applyFont="1" applyBorder="1" applyAlignment="1">
      <alignment horizontal="center" vertical="center"/>
    </xf>
    <xf numFmtId="0" fontId="71" fillId="0" borderId="41" xfId="0" applyFont="1" applyBorder="1" applyAlignment="1">
      <alignment vertical="center"/>
    </xf>
    <xf numFmtId="0" fontId="69" fillId="0" borderId="41" xfId="0" applyFont="1" applyBorder="1" applyAlignment="1">
      <alignment horizontal="center" vertical="center"/>
    </xf>
    <xf numFmtId="4" fontId="69" fillId="0" borderId="41" xfId="0" applyNumberFormat="1" applyFont="1" applyBorder="1" applyAlignment="1">
      <alignment horizontal="right" vertical="center"/>
    </xf>
    <xf numFmtId="4" fontId="71" fillId="0" borderId="42" xfId="0" applyNumberFormat="1" applyFont="1" applyBorder="1" applyAlignment="1">
      <alignment horizontal="right" vertical="center"/>
    </xf>
    <xf numFmtId="0" fontId="70" fillId="12" borderId="0" xfId="0" applyFont="1" applyFill="1" applyAlignment="1"/>
    <xf numFmtId="0" fontId="70" fillId="12" borderId="0" xfId="0" applyFont="1" applyFill="1" applyAlignment="1">
      <alignment horizontal="center" vertical="center"/>
    </xf>
    <xf numFmtId="4" fontId="70" fillId="12" borderId="0" xfId="0" applyNumberFormat="1" applyFont="1" applyFill="1" applyAlignment="1">
      <alignment horizontal="right" vertical="center"/>
    </xf>
    <xf numFmtId="4" fontId="70" fillId="12" borderId="0" xfId="0" applyNumberFormat="1" applyFont="1" applyFill="1" applyAlignment="1">
      <alignment horizontal="center" vertical="center"/>
    </xf>
    <xf numFmtId="0" fontId="70" fillId="5" borderId="0" xfId="0" applyFont="1" applyFill="1" applyAlignment="1">
      <alignment vertical="center"/>
    </xf>
    <xf numFmtId="0" fontId="70" fillId="5" borderId="0" xfId="0" applyFont="1" applyFill="1" applyAlignment="1">
      <alignment horizontal="center" vertical="center"/>
    </xf>
    <xf numFmtId="4" fontId="70" fillId="5" borderId="0" xfId="0" applyNumberFormat="1" applyFont="1" applyFill="1" applyAlignment="1">
      <alignment horizontal="right" vertical="center"/>
    </xf>
    <xf numFmtId="2" fontId="16" fillId="0" borderId="0" xfId="7" applyNumberFormat="1" applyAlignment="1">
      <alignment horizontal="center"/>
    </xf>
    <xf numFmtId="2" fontId="27" fillId="0" borderId="26" xfId="3" applyNumberFormat="1" applyFont="1" applyBorder="1" applyAlignment="1">
      <alignment horizontal="center"/>
    </xf>
    <xf numFmtId="2" fontId="30" fillId="0" borderId="7" xfId="8" applyNumberFormat="1" applyFont="1" applyBorder="1" applyAlignment="1">
      <alignment horizontal="center"/>
    </xf>
    <xf numFmtId="2" fontId="30" fillId="0" borderId="8" xfId="3" applyNumberFormat="1" applyFont="1" applyBorder="1" applyAlignment="1">
      <alignment horizontal="center"/>
    </xf>
    <xf numFmtId="2" fontId="27" fillId="0" borderId="26" xfId="3" applyNumberFormat="1" applyFont="1" applyBorder="1" applyAlignment="1">
      <alignment horizontal="center" vertical="center"/>
    </xf>
    <xf numFmtId="2" fontId="27" fillId="0" borderId="25" xfId="3" applyNumberFormat="1" applyFont="1" applyBorder="1" applyAlignment="1">
      <alignment horizontal="center"/>
    </xf>
    <xf numFmtId="2" fontId="30" fillId="0" borderId="7" xfId="8" applyNumberFormat="1" applyFont="1" applyBorder="1" applyAlignment="1" applyProtection="1">
      <alignment horizontal="center"/>
      <protection locked="0"/>
    </xf>
    <xf numFmtId="0" fontId="70" fillId="5" borderId="0" xfId="0" applyFont="1" applyFill="1" applyAlignment="1"/>
    <xf numFmtId="0" fontId="18" fillId="4" borderId="3" xfId="8" applyFont="1" applyFill="1" applyBorder="1" applyAlignment="1">
      <alignment horizontal="center" vertical="center"/>
    </xf>
    <xf numFmtId="164" fontId="6" fillId="2" borderId="0" xfId="0" applyNumberFormat="1" applyFont="1" applyFill="1" applyAlignment="1">
      <alignment horizontal="center" vertical="center"/>
    </xf>
    <xf numFmtId="165" fontId="6" fillId="2" borderId="0" xfId="0" applyNumberFormat="1" applyFont="1" applyFill="1" applyAlignment="1">
      <alignment vertical="center"/>
    </xf>
    <xf numFmtId="166" fontId="43" fillId="4" borderId="65" xfId="0" applyNumberFormat="1" applyFont="1" applyFill="1" applyBorder="1" applyAlignment="1" applyProtection="1">
      <alignment vertical="center"/>
      <protection locked="0"/>
    </xf>
    <xf numFmtId="166" fontId="43" fillId="4" borderId="50" xfId="0" applyNumberFormat="1" applyFont="1" applyFill="1" applyBorder="1" applyAlignment="1" applyProtection="1">
      <alignment vertical="center"/>
      <protection locked="0"/>
    </xf>
    <xf numFmtId="166" fontId="46" fillId="4" borderId="68" xfId="0" applyNumberFormat="1" applyFont="1" applyFill="1" applyBorder="1" applyAlignment="1" applyProtection="1">
      <alignment horizontal="right" vertical="center"/>
      <protection locked="0"/>
    </xf>
    <xf numFmtId="164" fontId="43" fillId="5" borderId="0" xfId="0" applyNumberFormat="1" applyFont="1" applyFill="1" applyAlignment="1">
      <alignment horizontal="center" vertical="center"/>
    </xf>
    <xf numFmtId="165" fontId="43" fillId="5" borderId="0" xfId="0" applyNumberFormat="1" applyFont="1" applyFill="1" applyAlignment="1">
      <alignment vertical="center"/>
    </xf>
    <xf numFmtId="2" fontId="5" fillId="0" borderId="17" xfId="0" applyNumberFormat="1" applyFont="1" applyBorder="1" applyAlignment="1" applyProtection="1">
      <alignment horizontal="left" indent="1"/>
      <protection locked="0"/>
    </xf>
    <xf numFmtId="2" fontId="5" fillId="0" borderId="19" xfId="0" applyNumberFormat="1" applyFont="1" applyBorder="1" applyAlignment="1" applyProtection="1">
      <alignment horizontal="left" indent="1"/>
      <protection locked="0"/>
    </xf>
    <xf numFmtId="4" fontId="0" fillId="8" borderId="0" xfId="0" applyNumberFormat="1" applyFill="1" applyAlignment="1">
      <alignment horizontal="right" vertical="center"/>
    </xf>
    <xf numFmtId="167" fontId="0" fillId="0" borderId="0" xfId="0" applyNumberFormat="1" applyAlignment="1">
      <alignment vertical="center"/>
    </xf>
    <xf numFmtId="168" fontId="6" fillId="2" borderId="58" xfId="0" applyNumberFormat="1" applyFont="1" applyFill="1" applyBorder="1" applyAlignment="1">
      <alignment horizontal="center" vertical="center"/>
    </xf>
    <xf numFmtId="168" fontId="6" fillId="5" borderId="0" xfId="0" applyNumberFormat="1" applyFont="1" applyFill="1" applyAlignment="1">
      <alignment horizontal="center" vertical="center"/>
    </xf>
    <xf numFmtId="168" fontId="15" fillId="5" borderId="0" xfId="1" applyNumberFormat="1" applyFill="1" applyAlignment="1" applyProtection="1">
      <alignment horizontal="left" vertical="center"/>
      <protection locked="0"/>
    </xf>
    <xf numFmtId="168" fontId="12" fillId="5" borderId="0" xfId="0" applyNumberFormat="1" applyFont="1" applyFill="1" applyAlignment="1" applyProtection="1">
      <alignment horizontal="left" vertical="center"/>
      <protection locked="0"/>
    </xf>
    <xf numFmtId="168" fontId="6" fillId="2" borderId="0" xfId="0" applyNumberFormat="1" applyFont="1" applyFill="1" applyAlignment="1">
      <alignment horizontal="center" vertical="center"/>
    </xf>
    <xf numFmtId="169" fontId="70" fillId="12" borderId="0" xfId="0" applyNumberFormat="1" applyFont="1" applyFill="1" applyAlignment="1">
      <alignment vertical="center"/>
    </xf>
    <xf numFmtId="169" fontId="70" fillId="12" borderId="0" xfId="0" applyNumberFormat="1" applyFont="1" applyFill="1" applyAlignment="1">
      <alignment horizontal="right" vertical="center"/>
    </xf>
    <xf numFmtId="169" fontId="70" fillId="12" borderId="0" xfId="0" applyNumberFormat="1" applyFont="1" applyFill="1" applyAlignment="1">
      <alignment horizontal="center" vertical="center"/>
    </xf>
    <xf numFmtId="169" fontId="70" fillId="5" borderId="0" xfId="0" applyNumberFormat="1" applyFont="1" applyFill="1" applyAlignment="1">
      <alignment vertical="center"/>
    </xf>
    <xf numFmtId="169" fontId="70" fillId="5" borderId="0" xfId="0" applyNumberFormat="1" applyFont="1" applyFill="1" applyAlignment="1">
      <alignment horizontal="right" vertical="center"/>
    </xf>
    <xf numFmtId="172" fontId="19" fillId="0" borderId="11" xfId="8" applyNumberFormat="1" applyFont="1" applyBorder="1" applyAlignment="1" applyProtection="1">
      <alignment horizontal="center"/>
      <protection locked="0"/>
    </xf>
    <xf numFmtId="173" fontId="30" fillId="0" borderId="11" xfId="8" applyNumberFormat="1" applyFont="1" applyBorder="1" applyAlignment="1" applyProtection="1">
      <alignment horizontal="center"/>
      <protection locked="0"/>
    </xf>
    <xf numFmtId="173" fontId="27" fillId="0" borderId="26" xfId="3" applyNumberFormat="1" applyFont="1" applyBorder="1" applyAlignment="1" applyProtection="1">
      <alignment horizontal="center"/>
      <protection locked="0"/>
    </xf>
    <xf numFmtId="173" fontId="27" fillId="0" borderId="2" xfId="3" applyNumberFormat="1" applyFont="1" applyBorder="1" applyAlignment="1" applyProtection="1">
      <alignment horizontal="center"/>
      <protection locked="0"/>
    </xf>
    <xf numFmtId="174" fontId="30" fillId="0" borderId="2" xfId="8" applyNumberFormat="1" applyFont="1" applyBorder="1" applyAlignment="1">
      <alignment horizontal="center"/>
    </xf>
    <xf numFmtId="173" fontId="19" fillId="0" borderId="11" xfId="8" applyNumberFormat="1" applyFont="1" applyBorder="1" applyAlignment="1" applyProtection="1">
      <alignment horizontal="center"/>
      <protection locked="0"/>
    </xf>
    <xf numFmtId="173" fontId="27" fillId="0" borderId="12" xfId="3" applyNumberFormat="1" applyFont="1" applyBorder="1" applyAlignment="1" applyProtection="1">
      <alignment horizontal="center"/>
      <protection locked="0"/>
    </xf>
    <xf numFmtId="172" fontId="27" fillId="0" borderId="26" xfId="3" applyNumberFormat="1" applyFont="1" applyBorder="1" applyAlignment="1">
      <alignment horizontal="center"/>
    </xf>
    <xf numFmtId="173" fontId="27" fillId="0" borderId="11" xfId="8" applyNumberFormat="1" applyFont="1" applyBorder="1" applyAlignment="1" applyProtection="1">
      <alignment horizontal="center"/>
      <protection locked="0"/>
    </xf>
    <xf numFmtId="172" fontId="27" fillId="0" borderId="26" xfId="8" applyNumberFormat="1" applyFont="1" applyBorder="1" applyAlignment="1">
      <alignment horizontal="center"/>
    </xf>
    <xf numFmtId="172" fontId="30" fillId="0" borderId="11" xfId="8" applyNumberFormat="1" applyFont="1" applyBorder="1" applyAlignment="1" applyProtection="1">
      <alignment horizontal="center"/>
      <protection locked="0"/>
    </xf>
    <xf numFmtId="172" fontId="19" fillId="0" borderId="11" xfId="8" applyNumberFormat="1" applyFont="1" applyBorder="1" applyAlignment="1" applyProtection="1">
      <alignment horizontal="center" vertical="center"/>
      <protection locked="0"/>
    </xf>
    <xf numFmtId="175" fontId="27" fillId="0" borderId="26" xfId="3" applyNumberFormat="1" applyFont="1" applyBorder="1" applyAlignment="1" applyProtection="1">
      <alignment horizontal="center"/>
      <protection locked="0"/>
    </xf>
    <xf numFmtId="172" fontId="30" fillId="0" borderId="11" xfId="8" applyNumberFormat="1" applyFont="1" applyBorder="1" applyAlignment="1" applyProtection="1">
      <alignment horizontal="center" vertical="center"/>
      <protection locked="0"/>
    </xf>
    <xf numFmtId="175" fontId="27" fillId="0" borderId="26" xfId="3" applyNumberFormat="1" applyFont="1" applyBorder="1" applyAlignment="1" applyProtection="1">
      <alignment horizontal="center" vertical="center"/>
      <protection locked="0"/>
    </xf>
    <xf numFmtId="172" fontId="30" fillId="0" borderId="11" xfId="8" applyNumberFormat="1" applyFont="1" applyBorder="1" applyAlignment="1" applyProtection="1">
      <alignment vertical="center"/>
      <protection locked="0"/>
    </xf>
    <xf numFmtId="174" fontId="30" fillId="0" borderId="2" xfId="8" applyNumberFormat="1" applyFont="1" applyBorder="1" applyAlignment="1" applyProtection="1">
      <alignment horizontal="center"/>
      <protection locked="0"/>
    </xf>
    <xf numFmtId="172" fontId="19" fillId="0" borderId="26" xfId="5" applyNumberFormat="1" applyFont="1" applyBorder="1" applyAlignment="1" applyProtection="1">
      <alignment horizontal="center"/>
      <protection locked="0"/>
    </xf>
    <xf numFmtId="173" fontId="19" fillId="0" borderId="9" xfId="8" applyNumberFormat="1" applyFont="1" applyBorder="1" applyAlignment="1" applyProtection="1">
      <alignment horizontal="center"/>
      <protection locked="0"/>
    </xf>
    <xf numFmtId="173" fontId="27" fillId="0" borderId="10" xfId="3" applyNumberFormat="1" applyFont="1" applyBorder="1" applyAlignment="1" applyProtection="1">
      <alignment horizontal="center"/>
      <protection locked="0"/>
    </xf>
    <xf numFmtId="172" fontId="27" fillId="0" borderId="3" xfId="3" applyNumberFormat="1" applyFont="1" applyBorder="1" applyAlignment="1">
      <alignment horizontal="center"/>
    </xf>
    <xf numFmtId="173" fontId="27" fillId="0" borderId="6" xfId="8" applyNumberFormat="1" applyFont="1" applyBorder="1" applyAlignment="1" applyProtection="1">
      <alignment horizontal="center"/>
      <protection locked="0"/>
    </xf>
    <xf numFmtId="173" fontId="27" fillId="0" borderId="7" xfId="3" applyNumberFormat="1" applyFont="1" applyBorder="1" applyAlignment="1" applyProtection="1">
      <alignment horizontal="center"/>
      <protection locked="0"/>
    </xf>
    <xf numFmtId="172" fontId="19" fillId="0" borderId="26" xfId="8" applyNumberFormat="1" applyFont="1" applyBorder="1" applyAlignment="1" applyProtection="1">
      <alignment horizontal="center"/>
      <protection locked="0"/>
    </xf>
    <xf numFmtId="176" fontId="16" fillId="0" borderId="11" xfId="7" applyNumberFormat="1" applyBorder="1" applyAlignment="1" applyProtection="1">
      <alignment horizontal="left" vertical="center"/>
      <protection locked="0"/>
    </xf>
    <xf numFmtId="173" fontId="31" fillId="0" borderId="26" xfId="3" applyNumberFormat="1" applyFont="1" applyBorder="1" applyAlignment="1" applyProtection="1">
      <alignment horizontal="center"/>
      <protection locked="0"/>
    </xf>
    <xf numFmtId="174" fontId="30" fillId="0" borderId="0" xfId="8" applyNumberFormat="1" applyFont="1" applyAlignment="1">
      <alignment horizontal="center"/>
    </xf>
    <xf numFmtId="177" fontId="30" fillId="0" borderId="0" xfId="4" applyFont="1" applyAlignment="1">
      <alignment horizontal="center" vertical="distributed"/>
    </xf>
    <xf numFmtId="167" fontId="30" fillId="0" borderId="0" xfId="2" applyNumberFormat="1" applyFont="1" applyAlignment="1">
      <alignment horizontal="center"/>
    </xf>
    <xf numFmtId="173" fontId="16" fillId="0" borderId="0" xfId="7" applyNumberFormat="1" applyAlignment="1">
      <alignment horizontal="center"/>
    </xf>
    <xf numFmtId="0" fontId="12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4" fontId="43" fillId="4" borderId="65" xfId="0" applyNumberFormat="1" applyFont="1" applyFill="1" applyBorder="1" applyAlignment="1" applyProtection="1">
      <alignment horizontal="center" vertical="center"/>
      <protection locked="0"/>
    </xf>
    <xf numFmtId="2" fontId="46" fillId="0" borderId="0" xfId="0" applyNumberFormat="1" applyFont="1" applyAlignment="1">
      <alignment horizontal="left" vertical="distributed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9" fontId="0" fillId="5" borderId="0" xfId="0" applyNumberFormat="1" applyFill="1" applyAlignment="1">
      <alignment vertical="center"/>
    </xf>
    <xf numFmtId="169" fontId="0" fillId="5" borderId="0" xfId="0" applyNumberFormat="1" applyFill="1" applyAlignment="1">
      <alignment horizontal="right" vertical="center"/>
    </xf>
    <xf numFmtId="4" fontId="0" fillId="5" borderId="0" xfId="0" applyNumberFormat="1" applyFill="1" applyAlignment="1">
      <alignment horizontal="right" vertical="center"/>
    </xf>
    <xf numFmtId="0" fontId="16" fillId="0" borderId="0" xfId="7" applyAlignment="1">
      <alignment horizontal="center"/>
    </xf>
    <xf numFmtId="0" fontId="3" fillId="0" borderId="8" xfId="0" applyFont="1" applyBorder="1" applyAlignment="1">
      <alignment vertical="center"/>
    </xf>
    <xf numFmtId="0" fontId="3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vertical="center"/>
    </xf>
    <xf numFmtId="0" fontId="3" fillId="0" borderId="8" xfId="0" applyFont="1" applyBorder="1" applyAlignment="1">
      <alignment horizontal="center" vertical="center"/>
    </xf>
    <xf numFmtId="171" fontId="70" fillId="12" borderId="0" xfId="0" applyNumberFormat="1" applyFont="1" applyFill="1" applyAlignment="1">
      <alignment horizontal="center" vertical="center"/>
    </xf>
    <xf numFmtId="170" fontId="38" fillId="0" borderId="0" xfId="10" applyNumberFormat="1" applyFont="1" applyAlignment="1">
      <alignment horizontal="right" vertical="center"/>
    </xf>
    <xf numFmtId="170" fontId="67" fillId="0" borderId="0" xfId="0" applyNumberFormat="1" applyFont="1" applyAlignment="1">
      <alignment horizontal="right" vertical="center"/>
    </xf>
    <xf numFmtId="0" fontId="6" fillId="4" borderId="46" xfId="0" applyFont="1" applyFill="1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protection locked="0"/>
    </xf>
    <xf numFmtId="0" fontId="0" fillId="0" borderId="46" xfId="0" applyBorder="1" applyAlignment="1" applyProtection="1">
      <protection locked="0"/>
    </xf>
    <xf numFmtId="0" fontId="43" fillId="5" borderId="58" xfId="0" applyFont="1" applyFill="1" applyBorder="1" applyAlignment="1" applyProtection="1">
      <alignment horizontal="left" vertical="center"/>
      <protection locked="0"/>
    </xf>
    <xf numFmtId="0" fontId="0" fillId="0" borderId="58" xfId="0" applyBorder="1" applyAlignment="1" applyProtection="1">
      <protection locked="0"/>
    </xf>
    <xf numFmtId="0" fontId="10" fillId="4" borderId="58" xfId="0" applyFont="1" applyFill="1" applyBorder="1" applyAlignment="1" applyProtection="1">
      <alignment horizontal="left" vertical="center"/>
      <protection locked="0"/>
    </xf>
    <xf numFmtId="2" fontId="50" fillId="4" borderId="65" xfId="0" applyNumberFormat="1" applyFont="1" applyFill="1" applyBorder="1" applyAlignment="1" applyProtection="1">
      <alignment horizontal="left" vertical="distributed"/>
      <protection locked="0"/>
    </xf>
    <xf numFmtId="0" fontId="0" fillId="0" borderId="66" xfId="0" applyBorder="1" applyAlignment="1" applyProtection="1">
      <protection locked="0"/>
    </xf>
    <xf numFmtId="0" fontId="0" fillId="0" borderId="69" xfId="0" applyBorder="1" applyAlignment="1" applyProtection="1">
      <protection locked="0"/>
    </xf>
    <xf numFmtId="168" fontId="15" fillId="4" borderId="58" xfId="1" applyNumberFormat="1" applyFill="1" applyBorder="1" applyAlignment="1" applyProtection="1">
      <alignment horizontal="left" vertical="center"/>
      <protection locked="0"/>
    </xf>
    <xf numFmtId="166" fontId="43" fillId="4" borderId="65" xfId="0" applyNumberFormat="1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Alignment="1">
      <alignment horizontal="left" vertical="center"/>
    </xf>
    <xf numFmtId="0" fontId="6" fillId="2" borderId="0" xfId="0" applyFont="1" applyFill="1" applyAlignment="1">
      <alignment vertical="center"/>
    </xf>
    <xf numFmtId="166" fontId="13" fillId="2" borderId="12" xfId="0" applyNumberFormat="1" applyFont="1" applyFill="1" applyBorder="1" applyAlignment="1">
      <alignment horizontal="center" vertical="center"/>
    </xf>
    <xf numFmtId="0" fontId="0" fillId="0" borderId="12" xfId="0" applyBorder="1" applyAlignment="1"/>
    <xf numFmtId="167" fontId="6" fillId="9" borderId="48" xfId="0" applyNumberFormat="1" applyFont="1" applyFill="1" applyBorder="1" applyAlignment="1" applyProtection="1">
      <alignment horizontal="center" vertical="center"/>
      <protection locked="0"/>
    </xf>
    <xf numFmtId="0" fontId="0" fillId="0" borderId="71" xfId="0" applyBorder="1" applyAlignment="1" applyProtection="1">
      <protection locked="0"/>
    </xf>
    <xf numFmtId="166" fontId="46" fillId="4" borderId="65" xfId="0" applyNumberFormat="1" applyFont="1" applyFill="1" applyBorder="1" applyAlignment="1" applyProtection="1">
      <alignment horizontal="center" vertical="center"/>
      <protection locked="0"/>
    </xf>
    <xf numFmtId="0" fontId="10" fillId="4" borderId="1" xfId="0" applyFont="1" applyFill="1" applyBorder="1" applyAlignment="1" applyProtection="1">
      <alignment horizontal="left" vertical="center"/>
      <protection locked="0"/>
    </xf>
    <xf numFmtId="0" fontId="43" fillId="5" borderId="49" xfId="0" applyFont="1" applyFill="1" applyBorder="1" applyAlignment="1" applyProtection="1">
      <alignment horizontal="left" vertical="center"/>
      <protection locked="0"/>
    </xf>
    <xf numFmtId="0" fontId="0" fillId="0" borderId="49" xfId="0" applyBorder="1" applyAlignment="1" applyProtection="1">
      <protection locked="0"/>
    </xf>
    <xf numFmtId="0" fontId="43" fillId="4" borderId="0" xfId="0" applyFont="1" applyFill="1" applyAlignment="1" applyProtection="1">
      <alignment horizontal="left" vertical="center" wrapText="1"/>
      <protection locked="0"/>
    </xf>
    <xf numFmtId="0" fontId="0" fillId="0" borderId="0" xfId="0" applyAlignment="1" applyProtection="1">
      <protection locked="0"/>
    </xf>
    <xf numFmtId="167" fontId="49" fillId="4" borderId="65" xfId="0" applyNumberFormat="1" applyFont="1" applyFill="1" applyBorder="1" applyAlignment="1" applyProtection="1">
      <alignment horizontal="center" vertical="center"/>
      <protection locked="0"/>
    </xf>
    <xf numFmtId="0" fontId="6" fillId="4" borderId="8" xfId="0" applyFont="1" applyFill="1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protection locked="0"/>
    </xf>
    <xf numFmtId="0" fontId="0" fillId="0" borderId="7" xfId="0" applyBorder="1" applyAlignment="1" applyProtection="1">
      <protection locked="0"/>
    </xf>
    <xf numFmtId="0" fontId="43" fillId="5" borderId="50" xfId="0" applyFont="1" applyFill="1" applyBorder="1" applyAlignment="1" applyProtection="1">
      <alignment horizontal="left" vertical="center" indent="1"/>
      <protection locked="0"/>
    </xf>
    <xf numFmtId="0" fontId="0" fillId="0" borderId="50" xfId="0" applyBorder="1" applyAlignment="1" applyProtection="1">
      <protection locked="0"/>
    </xf>
    <xf numFmtId="166" fontId="43" fillId="4" borderId="72" xfId="0" applyNumberFormat="1" applyFont="1" applyFill="1" applyBorder="1" applyAlignment="1" applyProtection="1">
      <alignment horizontal="right" vertical="center"/>
      <protection locked="0"/>
    </xf>
    <xf numFmtId="0" fontId="0" fillId="0" borderId="68" xfId="0" applyBorder="1" applyAlignment="1" applyProtection="1">
      <protection locked="0"/>
    </xf>
    <xf numFmtId="4" fontId="43" fillId="4" borderId="65" xfId="0" applyNumberFormat="1" applyFont="1" applyFill="1" applyBorder="1" applyAlignment="1" applyProtection="1">
      <alignment horizontal="center" vertical="center"/>
      <protection locked="0"/>
    </xf>
    <xf numFmtId="0" fontId="6" fillId="4" borderId="64" xfId="0" applyFont="1" applyFill="1" applyBorder="1" applyAlignment="1" applyProtection="1">
      <alignment horizontal="left" vertical="center"/>
      <protection locked="0"/>
    </xf>
    <xf numFmtId="0" fontId="0" fillId="0" borderId="64" xfId="0" applyBorder="1" applyAlignment="1" applyProtection="1">
      <protection locked="0"/>
    </xf>
    <xf numFmtId="167" fontId="63" fillId="10" borderId="45" xfId="0" applyNumberFormat="1" applyFont="1" applyFill="1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protection locked="0"/>
    </xf>
    <xf numFmtId="2" fontId="45" fillId="5" borderId="58" xfId="0" applyNumberFormat="1" applyFont="1" applyFill="1" applyBorder="1" applyAlignment="1" applyProtection="1">
      <alignment horizontal="right" vertical="center"/>
      <protection locked="0"/>
    </xf>
    <xf numFmtId="0" fontId="43" fillId="9" borderId="8" xfId="0" applyFont="1" applyFill="1" applyBorder="1" applyAlignment="1">
      <alignment horizontal="center" vertical="center" wrapText="1"/>
    </xf>
    <xf numFmtId="0" fontId="0" fillId="0" borderId="25" xfId="0" applyBorder="1" applyAlignment="1"/>
    <xf numFmtId="14" fontId="6" fillId="4" borderId="8" xfId="0" applyNumberFormat="1" applyFont="1" applyFill="1" applyBorder="1" applyAlignment="1" applyProtection="1">
      <alignment horizontal="center" vertical="center"/>
      <protection locked="0"/>
    </xf>
    <xf numFmtId="178" fontId="43" fillId="4" borderId="73" xfId="0" applyNumberFormat="1" applyFont="1" applyFill="1" applyBorder="1" applyAlignment="1" applyProtection="1">
      <alignment horizontal="center" vertical="center"/>
      <protection locked="0"/>
    </xf>
    <xf numFmtId="0" fontId="0" fillId="0" borderId="70" xfId="0" applyBorder="1" applyAlignment="1" applyProtection="1">
      <protection locked="0"/>
    </xf>
    <xf numFmtId="166" fontId="43" fillId="4" borderId="73" xfId="0" applyNumberFormat="1" applyFont="1" applyFill="1" applyBorder="1" applyAlignment="1" applyProtection="1">
      <alignment horizontal="center" vertical="center"/>
      <protection locked="0"/>
    </xf>
    <xf numFmtId="0" fontId="43" fillId="9" borderId="25" xfId="0" applyFont="1" applyFill="1" applyBorder="1" applyAlignment="1">
      <alignment horizontal="center" vertical="center" wrapText="1"/>
    </xf>
    <xf numFmtId="0" fontId="0" fillId="0" borderId="13" xfId="0" applyBorder="1" applyAlignment="1"/>
    <xf numFmtId="0" fontId="0" fillId="0" borderId="10" xfId="0" applyBorder="1" applyAlignment="1"/>
    <xf numFmtId="0" fontId="0" fillId="0" borderId="5" xfId="0" applyBorder="1" applyAlignment="1"/>
    <xf numFmtId="0" fontId="45" fillId="9" borderId="25" xfId="0" applyFont="1" applyFill="1" applyBorder="1" applyAlignment="1">
      <alignment horizontal="center" vertical="center" wrapText="1"/>
    </xf>
    <xf numFmtId="0" fontId="43" fillId="9" borderId="6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0" borderId="1" xfId="0" applyBorder="1" applyAlignment="1"/>
    <xf numFmtId="0" fontId="43" fillId="9" borderId="3" xfId="0" applyFont="1" applyFill="1" applyBorder="1" applyAlignment="1">
      <alignment horizontal="center" vertical="center" wrapText="1"/>
    </xf>
    <xf numFmtId="167" fontId="6" fillId="9" borderId="8" xfId="0" applyNumberFormat="1" applyFont="1" applyFill="1" applyBorder="1" applyAlignment="1" applyProtection="1">
      <alignment horizontal="center" vertical="center"/>
      <protection locked="0"/>
    </xf>
    <xf numFmtId="167" fontId="11" fillId="9" borderId="8" xfId="0" applyNumberFormat="1" applyFont="1" applyFill="1" applyBorder="1" applyAlignment="1" applyProtection="1">
      <alignment horizontal="center" vertical="center"/>
      <protection locked="0"/>
    </xf>
    <xf numFmtId="0" fontId="11" fillId="2" borderId="54" xfId="0" applyFont="1" applyFill="1" applyBorder="1" applyAlignment="1">
      <alignment horizontal="left" vertical="center"/>
    </xf>
    <xf numFmtId="0" fontId="45" fillId="9" borderId="3" xfId="0" applyFont="1" applyFill="1" applyBorder="1" applyAlignment="1">
      <alignment horizontal="center" vertical="center" wrapText="1"/>
    </xf>
    <xf numFmtId="0" fontId="10" fillId="4" borderId="8" xfId="0" quotePrefix="1" applyFont="1" applyFill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protection locked="0"/>
    </xf>
    <xf numFmtId="0" fontId="0" fillId="0" borderId="10" xfId="0" applyBorder="1" applyAlignment="1" applyProtection="1">
      <protection locked="0"/>
    </xf>
    <xf numFmtId="0" fontId="0" fillId="0" borderId="11" xfId="0" applyBorder="1" applyAlignment="1" applyProtection="1">
      <protection locked="0"/>
    </xf>
    <xf numFmtId="0" fontId="0" fillId="0" borderId="12" xfId="0" applyBorder="1" applyAlignment="1" applyProtection="1">
      <protection locked="0"/>
    </xf>
    <xf numFmtId="0" fontId="0" fillId="0" borderId="5" xfId="0" applyBorder="1" applyAlignment="1" applyProtection="1">
      <protection locked="0"/>
    </xf>
    <xf numFmtId="0" fontId="0" fillId="0" borderId="13" xfId="0" applyBorder="1" applyAlignment="1" applyProtection="1">
      <protection locked="0"/>
    </xf>
    <xf numFmtId="2" fontId="46" fillId="0" borderId="0" xfId="0" applyNumberFormat="1" applyFont="1" applyAlignment="1">
      <alignment horizontal="left" vertical="distributed"/>
    </xf>
    <xf numFmtId="0" fontId="0" fillId="0" borderId="0" xfId="0" applyAlignment="1">
      <alignment horizontal="center" vertical="center"/>
    </xf>
    <xf numFmtId="0" fontId="72" fillId="0" borderId="8" xfId="0" applyFont="1" applyBorder="1" applyAlignment="1">
      <alignment horizontal="right" vertical="center"/>
    </xf>
    <xf numFmtId="0" fontId="0" fillId="0" borderId="2" xfId="0" applyBorder="1" applyAlignment="1"/>
    <xf numFmtId="0" fontId="0" fillId="0" borderId="7" xfId="0" applyBorder="1" applyAlignment="1"/>
    <xf numFmtId="0" fontId="70" fillId="5" borderId="0" xfId="0" applyFont="1" applyFill="1" applyAlignment="1">
      <alignment horizontal="center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169" fontId="0" fillId="5" borderId="0" xfId="0" applyNumberFormat="1" applyFill="1" applyAlignment="1">
      <alignment vertical="center"/>
    </xf>
    <xf numFmtId="169" fontId="0" fillId="5" borderId="0" xfId="0" applyNumberFormat="1" applyFill="1" applyAlignment="1">
      <alignment horizontal="right" vertical="center"/>
    </xf>
    <xf numFmtId="4" fontId="0" fillId="5" borderId="0" xfId="0" applyNumberFormat="1" applyFill="1" applyAlignment="1">
      <alignment horizontal="right" vertical="center"/>
    </xf>
    <xf numFmtId="2" fontId="54" fillId="0" borderId="0" xfId="0" applyNumberFormat="1" applyFont="1" applyAlignment="1">
      <alignment horizontal="left" vertical="distributed"/>
    </xf>
    <xf numFmtId="0" fontId="41" fillId="0" borderId="0" xfId="0" applyFont="1" applyAlignment="1">
      <alignment horizontal="left" vertical="top" wrapText="1"/>
    </xf>
    <xf numFmtId="4" fontId="65" fillId="11" borderId="48" xfId="0" applyNumberFormat="1" applyFont="1" applyFill="1" applyBorder="1" applyAlignment="1">
      <alignment horizontal="center" vertical="center"/>
    </xf>
    <xf numFmtId="0" fontId="0" fillId="0" borderId="71" xfId="0" applyBorder="1" applyAlignment="1"/>
    <xf numFmtId="0" fontId="64" fillId="0" borderId="47" xfId="0" applyFont="1" applyBorder="1" applyAlignment="1">
      <alignment horizontal="center" vertical="top" wrapText="1"/>
    </xf>
    <xf numFmtId="0" fontId="0" fillId="0" borderId="74" xfId="0" applyBorder="1" applyAlignment="1"/>
    <xf numFmtId="174" fontId="20" fillId="0" borderId="0" xfId="8" applyNumberFormat="1" applyFont="1" applyAlignment="1">
      <alignment horizontal="center"/>
    </xf>
    <xf numFmtId="0" fontId="16" fillId="0" borderId="0" xfId="7" applyAlignment="1">
      <alignment horizontal="center"/>
    </xf>
    <xf numFmtId="0" fontId="22" fillId="4" borderId="9" xfId="8" applyFont="1" applyFill="1" applyBorder="1" applyAlignment="1" applyProtection="1">
      <alignment horizontal="center" vertical="center" wrapText="1"/>
      <protection locked="0"/>
    </xf>
    <xf numFmtId="0" fontId="18" fillId="4" borderId="8" xfId="8" applyFont="1" applyFill="1" applyBorder="1" applyAlignment="1">
      <alignment horizontal="center" vertical="center"/>
    </xf>
    <xf numFmtId="0" fontId="0" fillId="0" borderId="26" xfId="0" applyBorder="1" applyAlignment="1"/>
    <xf numFmtId="43" fontId="20" fillId="3" borderId="8" xfId="3" applyNumberFormat="1" applyFont="1" applyFill="1" applyBorder="1" applyAlignment="1">
      <alignment horizontal="center" vertical="center"/>
    </xf>
    <xf numFmtId="0" fontId="21" fillId="4" borderId="3" xfId="8" applyFont="1" applyFill="1" applyBorder="1" applyAlignment="1">
      <alignment horizontal="center" vertical="center"/>
    </xf>
    <xf numFmtId="0" fontId="22" fillId="4" borderId="3" xfId="8" applyFont="1" applyFill="1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protection locked="0"/>
    </xf>
  </cellXfs>
  <cellStyles count="13">
    <cellStyle name="Hipervínculo" xfId="1" builtinId="8"/>
    <cellStyle name="Millares 39 2 2 2 2" xfId="2" xr:uid="{00000000-0005-0000-0000-000002000000}"/>
    <cellStyle name="Millares_Formato 401.402.501 Indirectos-Cierre-Flujo 2 2" xfId="3" xr:uid="{00000000-0005-0000-0000-000003000000}"/>
    <cellStyle name="Moneda" xfId="4" builtinId="4"/>
    <cellStyle name="Moneda_Formato 401.402.501 Indirectos-Cierre-Flujo 2 2" xfId="5" xr:uid="{00000000-0005-0000-0000-000005000000}"/>
    <cellStyle name="Normal" xfId="0" builtinId="0"/>
    <cellStyle name="Normal 2" xfId="6" xr:uid="{00000000-0005-0000-0000-000006000000}"/>
    <cellStyle name="Normal 2 2" xfId="7" xr:uid="{00000000-0005-0000-0000-000007000000}"/>
    <cellStyle name="Normal 2 2 2" xfId="8" xr:uid="{00000000-0005-0000-0000-000008000000}"/>
    <cellStyle name="Normal 3" xfId="9" xr:uid="{00000000-0005-0000-0000-000009000000}"/>
    <cellStyle name="Normal 4" xfId="10" xr:uid="{00000000-0005-0000-0000-00000A000000}"/>
    <cellStyle name="Normal 5" xfId="12" xr:uid="{00000000-0005-0000-0000-00000C000000}"/>
    <cellStyle name="Porcentaje" xfId="1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129540</xdr:colOff>
      <xdr:row>0</xdr:row>
      <xdr:rowOff>114300</xdr:rowOff>
    </xdr:from>
    <xdr:to>
      <xdr:col>5</xdr:col>
      <xdr:colOff>381000</xdr:colOff>
      <xdr:row>3</xdr:row>
      <xdr:rowOff>135255</xdr:rowOff>
    </xdr:to>
    <xdr:pic>
      <xdr:nvPicPr>
        <xdr:cNvPr id="1918" name="Imagen 3" descr="http://promcoser.com/wp-content/uploads/2014/10/logo2.png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28600" y="114300"/>
          <a:ext cx="2004060" cy="78486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  <xdr:twoCellAnchor editAs="oneCell">
    <xdr:from>
      <xdr:col>1</xdr:col>
      <xdr:colOff>182880</xdr:colOff>
      <xdr:row>57</xdr:row>
      <xdr:rowOff>76200</xdr:rowOff>
    </xdr:from>
    <xdr:to>
      <xdr:col>5</xdr:col>
      <xdr:colOff>434340</xdr:colOff>
      <xdr:row>60</xdr:row>
      <xdr:rowOff>152400</xdr:rowOff>
    </xdr:to>
    <xdr:pic>
      <xdr:nvPicPr>
        <xdr:cNvPr id="1919" name="Imagen 4" descr="http://promcoser.com/wp-content/uploads/2014/10/logo2.png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81940" y="13754100"/>
          <a:ext cx="2004060" cy="67056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352426</xdr:colOff>
      <xdr:row>0</xdr:row>
      <xdr:rowOff>55245</xdr:rowOff>
    </xdr:from>
    <xdr:to>
      <xdr:col>7</xdr:col>
      <xdr:colOff>1008341</xdr:colOff>
      <xdr:row>2</xdr:row>
      <xdr:rowOff>243841</xdr:rowOff>
    </xdr:to>
    <xdr:pic>
      <xdr:nvPicPr>
        <xdr:cNvPr id="13326" name="Imagen 1" descr="http://promcoser.com/wp-content/uploads/2014/10/logo2.png">
          <a:extLst>
            <a:ext uri="{FF2B5EF4-FFF2-40B4-BE49-F238E27FC236}">
              <a16:creationId xmlns:a16="http://schemas.microsoft.com/office/drawing/2014/main" id="{00000000-0008-0000-0100-00000E3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6096001" y="55245"/>
          <a:ext cx="1343620" cy="668656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38100</xdr:colOff>
      <xdr:row>0</xdr:row>
      <xdr:rowOff>45720</xdr:rowOff>
    </xdr:from>
    <xdr:to>
      <xdr:col>7</xdr:col>
      <xdr:colOff>579120</xdr:colOff>
      <xdr:row>3</xdr:row>
      <xdr:rowOff>22860</xdr:rowOff>
    </xdr:to>
    <xdr:pic>
      <xdr:nvPicPr>
        <xdr:cNvPr id="2513" name="Imagen 1" descr="http://promcoser.com/wp-content/uploads/2014/10/logo2.png">
          <a:extLst>
            <a:ext uri="{FF2B5EF4-FFF2-40B4-BE49-F238E27FC236}">
              <a16:creationId xmlns:a16="http://schemas.microsoft.com/office/drawing/2014/main" id="{00000000-0008-0000-0300-0000D109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394960" y="45720"/>
          <a:ext cx="1173480" cy="579120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achado@promcoser.com.pe" TargetMode="External"/><Relationship Id="rId1" Type="http://schemas.openxmlformats.org/officeDocument/2006/relationships/hyperlink" Target="mailto:ventas@promcoser.com.p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4"/>
  <sheetViews>
    <sheetView view="pageBreakPreview" topLeftCell="A22" zoomScaleNormal="100" zoomScaleSheetLayoutView="100" workbookViewId="0">
      <selection activeCell="H35" sqref="H35"/>
    </sheetView>
  </sheetViews>
  <sheetFormatPr baseColWidth="10" defaultRowHeight="14.4" x14ac:dyDescent="0.2"/>
  <cols>
    <col min="1" max="1" width="1.85546875" style="363" customWidth="1"/>
    <col min="2" max="2" width="10.42578125" style="363" customWidth="1"/>
    <col min="3" max="3" width="6.42578125" style="363" customWidth="1"/>
    <col min="4" max="4" width="7.85546875" style="363" customWidth="1"/>
    <col min="5" max="5" width="8.140625" style="363" customWidth="1"/>
    <col min="6" max="6" width="9.140625" style="363" customWidth="1"/>
    <col min="7" max="10" width="6.42578125" style="363" customWidth="1"/>
    <col min="11" max="11" width="8" style="363" customWidth="1"/>
    <col min="12" max="12" width="6.42578125" style="363" customWidth="1"/>
    <col min="13" max="15" width="7.28515625" style="363" customWidth="1"/>
    <col min="16" max="17" width="8.140625" style="363" customWidth="1"/>
    <col min="18" max="18" width="19.7109375" style="363" customWidth="1"/>
    <col min="19" max="19" width="16.42578125" style="363" customWidth="1"/>
    <col min="20" max="21" width="10.42578125" style="363" customWidth="1"/>
    <col min="22" max="22" width="3.42578125" style="363" customWidth="1"/>
  </cols>
  <sheetData>
    <row r="1" spans="2:26" ht="20.25" customHeight="1" x14ac:dyDescent="0.2"/>
    <row r="2" spans="2:26" ht="20.25" customHeight="1" x14ac:dyDescent="0.2">
      <c r="Q2" s="3" t="s">
        <v>0</v>
      </c>
      <c r="R2" s="404" t="s">
        <v>1</v>
      </c>
      <c r="S2" s="405"/>
      <c r="T2" s="405"/>
      <c r="U2" s="406"/>
    </row>
    <row r="3" spans="2:26" ht="20.25" customHeight="1" x14ac:dyDescent="0.2"/>
    <row r="4" spans="2:26" ht="20.25" customHeight="1" x14ac:dyDescent="0.2">
      <c r="B4" s="4"/>
      <c r="C4" s="5"/>
      <c r="D4" s="5"/>
      <c r="E4" s="5"/>
      <c r="F4" s="5"/>
      <c r="G4" s="5"/>
      <c r="Q4" s="6" t="s">
        <v>2</v>
      </c>
      <c r="R4" s="419">
        <v>46245</v>
      </c>
      <c r="S4" s="405"/>
      <c r="T4" s="405"/>
      <c r="U4" s="406"/>
    </row>
    <row r="5" spans="2:26" ht="20.25" customHeight="1" x14ac:dyDescent="0.2">
      <c r="B5" s="362" t="s">
        <v>3</v>
      </c>
      <c r="C5" s="362"/>
      <c r="D5" s="362"/>
      <c r="E5" s="362"/>
      <c r="F5" s="362"/>
      <c r="G5" s="5"/>
    </row>
    <row r="6" spans="2:26" ht="20.25" customHeight="1" x14ac:dyDescent="0.2">
      <c r="B6" s="362" t="s">
        <v>4</v>
      </c>
      <c r="C6" s="362"/>
      <c r="D6" s="362"/>
      <c r="E6" s="362"/>
      <c r="F6" s="362"/>
      <c r="G6" s="5"/>
    </row>
    <row r="7" spans="2:26" ht="20.25" customHeight="1" x14ac:dyDescent="0.2">
      <c r="B7" s="391" t="s">
        <v>5</v>
      </c>
      <c r="C7" s="392"/>
      <c r="D7" s="392"/>
      <c r="E7" s="392"/>
      <c r="F7" s="392"/>
      <c r="G7" s="5"/>
    </row>
    <row r="8" spans="2:26" ht="20.25" customHeight="1" x14ac:dyDescent="0.2">
      <c r="B8" s="7" t="s">
        <v>6</v>
      </c>
    </row>
    <row r="9" spans="2:26" ht="20.25" customHeight="1" x14ac:dyDescent="0.2">
      <c r="B9" s="227" t="s">
        <v>7</v>
      </c>
      <c r="C9" s="8"/>
      <c r="D9" s="8"/>
      <c r="E9" s="226" t="s">
        <v>8</v>
      </c>
      <c r="F9" s="9"/>
      <c r="G9" s="9"/>
      <c r="H9" s="9"/>
      <c r="I9" s="9"/>
      <c r="J9" s="9"/>
      <c r="K9" s="9"/>
      <c r="L9" s="9"/>
      <c r="M9" s="9"/>
      <c r="N9" s="9"/>
      <c r="O9" s="10" t="s">
        <v>9</v>
      </c>
      <c r="P9" s="11"/>
      <c r="Q9" s="11"/>
      <c r="R9" s="9"/>
      <c r="S9" s="9"/>
      <c r="T9" s="9"/>
      <c r="U9" s="12"/>
    </row>
    <row r="10" spans="2:26" ht="20.25" customHeight="1" x14ac:dyDescent="0.2">
      <c r="B10" s="228" t="s">
        <v>10</v>
      </c>
      <c r="E10" s="226" t="s">
        <v>11</v>
      </c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363" t="s">
        <v>12</v>
      </c>
      <c r="R10" s="14"/>
      <c r="S10" s="14"/>
      <c r="T10" s="14"/>
      <c r="U10" s="15"/>
    </row>
    <row r="11" spans="2:26" ht="20.25" customHeight="1" x14ac:dyDescent="0.2">
      <c r="B11" s="228" t="s">
        <v>13</v>
      </c>
      <c r="E11" s="13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5"/>
      <c r="Z11" s="173"/>
    </row>
    <row r="12" spans="2:26" ht="20.25" customHeight="1" x14ac:dyDescent="0.2">
      <c r="B12" s="228" t="s">
        <v>14</v>
      </c>
      <c r="E12" s="273" t="s">
        <v>15</v>
      </c>
      <c r="F12" s="226"/>
      <c r="G12" s="226"/>
      <c r="H12" s="226"/>
      <c r="I12" s="226"/>
      <c r="J12" s="226"/>
      <c r="K12" s="226"/>
      <c r="L12" s="226"/>
      <c r="M12" s="226"/>
      <c r="N12" s="226"/>
      <c r="O12" s="226"/>
      <c r="P12" s="226"/>
      <c r="Q12" s="226"/>
      <c r="R12" s="226"/>
      <c r="S12" s="226"/>
      <c r="T12" s="226"/>
      <c r="U12" s="226"/>
    </row>
    <row r="13" spans="2:26" ht="20.25" customHeight="1" x14ac:dyDescent="0.2">
      <c r="B13" s="434" t="s">
        <v>16</v>
      </c>
      <c r="C13" s="392"/>
      <c r="D13" s="392"/>
      <c r="E13" s="273" t="s">
        <v>17</v>
      </c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7"/>
    </row>
    <row r="14" spans="2:26" ht="20.25" customHeight="1" x14ac:dyDescent="0.2">
      <c r="B14" s="18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20"/>
      <c r="P14" s="20"/>
      <c r="Q14" s="20"/>
      <c r="R14" s="20"/>
      <c r="S14" s="20"/>
      <c r="T14" s="20"/>
      <c r="U14" s="21"/>
    </row>
    <row r="15" spans="2:26" ht="20.25" customHeight="1" x14ac:dyDescent="0.2">
      <c r="B15" s="22" t="s">
        <v>18</v>
      </c>
      <c r="D15" s="23"/>
      <c r="E15" s="24"/>
      <c r="H15" s="25"/>
      <c r="I15" s="26"/>
      <c r="K15" s="311"/>
      <c r="L15" s="312"/>
      <c r="M15" s="312"/>
      <c r="N15" s="312"/>
      <c r="O15" s="312"/>
    </row>
    <row r="16" spans="2:26" ht="20.25" customHeight="1" x14ac:dyDescent="0.2">
      <c r="B16" s="27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28"/>
    </row>
    <row r="17" spans="2:21" ht="20.25" customHeight="1" x14ac:dyDescent="0.2">
      <c r="B17" s="29"/>
      <c r="C17" s="436" t="s">
        <v>19</v>
      </c>
      <c r="D17" s="437"/>
      <c r="E17" s="437"/>
      <c r="F17" s="437"/>
      <c r="G17" s="437"/>
      <c r="H17" s="437"/>
      <c r="I17" s="437"/>
      <c r="J17" s="437"/>
      <c r="K17" s="437"/>
      <c r="L17" s="437"/>
      <c r="M17" s="437"/>
      <c r="N17" s="437"/>
      <c r="O17" s="437"/>
      <c r="P17" s="437"/>
      <c r="Q17" s="437"/>
      <c r="R17" s="437"/>
      <c r="S17" s="437"/>
      <c r="T17" s="438"/>
      <c r="U17" s="30"/>
    </row>
    <row r="18" spans="2:21" ht="20.25" customHeight="1" x14ac:dyDescent="0.2">
      <c r="B18" s="29"/>
      <c r="C18" s="439"/>
      <c r="D18" s="402"/>
      <c r="E18" s="402"/>
      <c r="F18" s="402"/>
      <c r="G18" s="402"/>
      <c r="H18" s="402"/>
      <c r="I18" s="402"/>
      <c r="J18" s="402"/>
      <c r="K18" s="402"/>
      <c r="L18" s="402"/>
      <c r="M18" s="402"/>
      <c r="N18" s="402"/>
      <c r="O18" s="402"/>
      <c r="P18" s="402"/>
      <c r="Q18" s="402"/>
      <c r="R18" s="402"/>
      <c r="S18" s="402"/>
      <c r="T18" s="440"/>
      <c r="U18" s="30"/>
    </row>
    <row r="19" spans="2:21" ht="20.25" customHeight="1" x14ac:dyDescent="0.2">
      <c r="B19" s="29"/>
      <c r="C19" s="441"/>
      <c r="D19" s="381"/>
      <c r="E19" s="381"/>
      <c r="F19" s="381"/>
      <c r="G19" s="381"/>
      <c r="H19" s="381"/>
      <c r="I19" s="381"/>
      <c r="J19" s="381"/>
      <c r="K19" s="381"/>
      <c r="L19" s="381"/>
      <c r="M19" s="381"/>
      <c r="N19" s="381"/>
      <c r="O19" s="381"/>
      <c r="P19" s="381"/>
      <c r="Q19" s="381"/>
      <c r="R19" s="381"/>
      <c r="S19" s="381"/>
      <c r="T19" s="442"/>
      <c r="U19" s="30"/>
    </row>
    <row r="20" spans="2:21" ht="20.25" customHeight="1" x14ac:dyDescent="0.2">
      <c r="B20" s="18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31"/>
    </row>
    <row r="21" spans="2:21" ht="12.6" customHeight="1" x14ac:dyDescent="0.2"/>
    <row r="22" spans="2:21" ht="20.25" customHeight="1" x14ac:dyDescent="0.2">
      <c r="B22" s="22" t="s">
        <v>20</v>
      </c>
    </row>
    <row r="23" spans="2:21" ht="20.25" customHeight="1" x14ac:dyDescent="0.2">
      <c r="B23" s="417" t="s">
        <v>21</v>
      </c>
      <c r="C23" s="428" t="s">
        <v>22</v>
      </c>
      <c r="D23" s="429"/>
      <c r="E23" s="429"/>
      <c r="F23" s="429"/>
      <c r="G23" s="429"/>
      <c r="H23" s="429"/>
      <c r="I23" s="429"/>
      <c r="J23" s="429"/>
      <c r="K23" s="429"/>
      <c r="L23" s="429"/>
      <c r="M23" s="429"/>
      <c r="N23" s="429"/>
      <c r="O23" s="417" t="s">
        <v>23</v>
      </c>
      <c r="P23" s="435" t="s">
        <v>24</v>
      </c>
      <c r="Q23" s="425"/>
      <c r="R23" s="431" t="s">
        <v>25</v>
      </c>
      <c r="S23" s="425"/>
      <c r="T23" s="417" t="s">
        <v>26</v>
      </c>
      <c r="U23" s="425"/>
    </row>
    <row r="24" spans="2:21" ht="20.25" customHeight="1" x14ac:dyDescent="0.2">
      <c r="B24" s="418"/>
      <c r="C24" s="426"/>
      <c r="D24" s="430"/>
      <c r="E24" s="430"/>
      <c r="F24" s="430"/>
      <c r="G24" s="430"/>
      <c r="H24" s="430"/>
      <c r="I24" s="430"/>
      <c r="J24" s="430"/>
      <c r="K24" s="430"/>
      <c r="L24" s="430"/>
      <c r="M24" s="430"/>
      <c r="N24" s="430"/>
      <c r="O24" s="418"/>
      <c r="P24" s="427" t="s">
        <v>27</v>
      </c>
      <c r="Q24" s="424"/>
      <c r="R24" s="423" t="s">
        <v>28</v>
      </c>
      <c r="S24" s="424"/>
      <c r="T24" s="426"/>
      <c r="U24" s="424"/>
    </row>
    <row r="25" spans="2:21" ht="20.25" customHeight="1" x14ac:dyDescent="0.2">
      <c r="B25" s="32"/>
      <c r="C25" s="33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2"/>
      <c r="P25" s="390"/>
      <c r="Q25" s="388"/>
      <c r="R25" s="420" t="s">
        <v>29</v>
      </c>
      <c r="S25" s="421"/>
      <c r="T25" s="422" t="s">
        <v>29</v>
      </c>
      <c r="U25" s="421"/>
    </row>
    <row r="26" spans="2:21" ht="46.8" customHeight="1" x14ac:dyDescent="0.2">
      <c r="B26" s="35"/>
      <c r="C26" s="386" t="str">
        <f>E12</f>
        <v>AMPLIACION CAMPAMENTO JUSTA SUBTERRANEA</v>
      </c>
      <c r="D26" s="387"/>
      <c r="E26" s="387"/>
      <c r="F26" s="387"/>
      <c r="G26" s="387"/>
      <c r="H26" s="387"/>
      <c r="I26" s="387"/>
      <c r="J26" s="387"/>
      <c r="K26" s="387"/>
      <c r="L26" s="387"/>
      <c r="M26" s="387"/>
      <c r="N26" s="388"/>
      <c r="O26" s="364" t="s">
        <v>30</v>
      </c>
      <c r="P26" s="411">
        <v>1</v>
      </c>
      <c r="Q26" s="388"/>
      <c r="R26" s="411">
        <f>CD!H37</f>
        <v>5798.3445416666664</v>
      </c>
      <c r="S26" s="388"/>
      <c r="T26" s="403">
        <f>+R26*P26</f>
        <v>5798.3445416666664</v>
      </c>
      <c r="U26" s="388"/>
    </row>
    <row r="27" spans="2:21" ht="20.25" customHeight="1" x14ac:dyDescent="0.2">
      <c r="B27" s="35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13"/>
      <c r="P27" s="390"/>
      <c r="Q27" s="388"/>
      <c r="R27" s="390"/>
      <c r="S27" s="388"/>
      <c r="T27" s="397"/>
      <c r="U27" s="388"/>
    </row>
    <row r="28" spans="2:21" ht="20.25" customHeight="1" x14ac:dyDescent="0.2">
      <c r="B28" s="35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13"/>
      <c r="P28" s="390"/>
      <c r="Q28" s="388"/>
      <c r="R28" s="390"/>
      <c r="S28" s="388"/>
      <c r="T28" s="397"/>
      <c r="U28" s="388"/>
    </row>
    <row r="29" spans="2:21" ht="20.25" hidden="1" customHeight="1" x14ac:dyDescent="0.2">
      <c r="B29" s="35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13"/>
      <c r="P29" s="390"/>
      <c r="Q29" s="388"/>
      <c r="R29" s="390"/>
      <c r="S29" s="388"/>
      <c r="T29" s="397"/>
      <c r="U29" s="388"/>
    </row>
    <row r="30" spans="2:21" ht="20.25" hidden="1" customHeight="1" x14ac:dyDescent="0.2">
      <c r="B30" s="35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13"/>
      <c r="P30" s="390"/>
      <c r="Q30" s="388"/>
      <c r="R30" s="390"/>
      <c r="S30" s="388"/>
      <c r="T30" s="397"/>
      <c r="U30" s="388"/>
    </row>
    <row r="31" spans="2:21" ht="20.25" customHeight="1" x14ac:dyDescent="0.2">
      <c r="B31" s="37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14"/>
      <c r="P31" s="314"/>
      <c r="Q31" s="39"/>
      <c r="R31" s="39"/>
      <c r="S31" s="315"/>
      <c r="T31" s="409"/>
      <c r="U31" s="410"/>
    </row>
    <row r="32" spans="2:21" ht="20.25" customHeight="1" x14ac:dyDescent="0.2">
      <c r="B32" s="40"/>
      <c r="H32" s="25"/>
      <c r="I32" s="41"/>
      <c r="J32" s="41"/>
      <c r="K32" s="311"/>
      <c r="L32" s="311"/>
      <c r="M32" s="311"/>
      <c r="N32" s="311"/>
      <c r="O32" s="311"/>
      <c r="P32" s="41"/>
      <c r="R32" s="42"/>
      <c r="S32" s="42" t="s">
        <v>31</v>
      </c>
      <c r="T32" s="433">
        <f>+T26</f>
        <v>5798.3445416666664</v>
      </c>
      <c r="U32" s="406"/>
    </row>
    <row r="33" spans="2:24" ht="20.25" customHeight="1" x14ac:dyDescent="0.2">
      <c r="B33" s="40" t="s">
        <v>32</v>
      </c>
      <c r="C33" s="208" t="s">
        <v>379</v>
      </c>
      <c r="D33" s="208"/>
      <c r="E33" s="43"/>
      <c r="F33" s="43"/>
      <c r="G33" s="43"/>
      <c r="H33" s="43"/>
      <c r="I33" s="43"/>
      <c r="J33" s="43"/>
      <c r="K33" s="43"/>
      <c r="L33" s="43"/>
      <c r="M33" s="43"/>
      <c r="N33" s="43"/>
      <c r="O33" s="43"/>
      <c r="P33" s="43"/>
      <c r="Q33" s="44"/>
      <c r="R33" s="45" t="s">
        <v>33</v>
      </c>
      <c r="S33" s="46">
        <f>T33/T32</f>
        <v>0.2483911415502352</v>
      </c>
      <c r="T33" s="432">
        <f>GG!I74</f>
        <v>1440.2574198061586</v>
      </c>
      <c r="U33" s="406"/>
    </row>
    <row r="34" spans="2:24" ht="20.25" customHeight="1" thickBot="1" x14ac:dyDescent="0.25">
      <c r="B34" s="40"/>
      <c r="C34" s="208"/>
      <c r="D34" s="208"/>
      <c r="E34" s="43"/>
      <c r="F34" s="43"/>
      <c r="G34" s="43"/>
      <c r="H34" s="43"/>
      <c r="I34" s="43"/>
      <c r="J34" s="43"/>
      <c r="K34" s="43"/>
      <c r="L34" s="43"/>
      <c r="M34" s="43"/>
      <c r="N34" s="43"/>
      <c r="O34" s="43"/>
      <c r="P34" s="43"/>
      <c r="Q34" s="44"/>
      <c r="R34" s="210" t="s">
        <v>34</v>
      </c>
      <c r="S34" s="211">
        <v>0.1</v>
      </c>
      <c r="T34" s="395">
        <f>T32*S34</f>
        <v>579.83445416666666</v>
      </c>
      <c r="U34" s="396"/>
      <c r="V34"/>
    </row>
    <row r="35" spans="2:24" ht="20.25" customHeight="1" thickBot="1" x14ac:dyDescent="0.25">
      <c r="B35" s="40"/>
      <c r="C35" s="209" t="s">
        <v>35</v>
      </c>
      <c r="D35" s="208"/>
      <c r="E35" s="43"/>
      <c r="F35" s="43"/>
      <c r="G35" s="43"/>
      <c r="H35" s="43"/>
      <c r="I35" s="43"/>
      <c r="J35" s="43"/>
      <c r="K35" s="43"/>
      <c r="L35" s="43"/>
      <c r="M35" s="43"/>
      <c r="N35" s="43"/>
      <c r="O35" s="43"/>
      <c r="P35" s="43"/>
      <c r="Q35" s="44"/>
      <c r="R35" s="212" t="s">
        <v>36</v>
      </c>
      <c r="S35" s="213" t="s">
        <v>37</v>
      </c>
      <c r="T35" s="414">
        <f>T34+T33+T32</f>
        <v>7818.4364156394913</v>
      </c>
      <c r="U35" s="415"/>
    </row>
    <row r="36" spans="2:24" ht="20.25" customHeight="1" x14ac:dyDescent="0.2">
      <c r="B36" s="40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43"/>
      <c r="O36" s="43"/>
      <c r="P36" s="43"/>
      <c r="Q36" s="44"/>
      <c r="V36"/>
    </row>
    <row r="37" spans="2:24" ht="20.25" customHeight="1" x14ac:dyDescent="0.2">
      <c r="B37" s="40"/>
      <c r="H37" s="25"/>
      <c r="I37" s="41"/>
      <c r="J37" s="41"/>
      <c r="K37" s="311"/>
      <c r="L37" s="311"/>
      <c r="M37" s="311"/>
      <c r="N37" s="311"/>
      <c r="O37" s="311"/>
      <c r="P37" s="41"/>
      <c r="X37" s="166"/>
    </row>
    <row r="38" spans="2:24" ht="20.25" customHeight="1" x14ac:dyDescent="0.2">
      <c r="B38" s="40"/>
      <c r="H38" s="25"/>
      <c r="I38" s="41"/>
      <c r="J38" s="41"/>
      <c r="K38" s="311"/>
      <c r="L38" s="311"/>
      <c r="M38" s="311"/>
      <c r="N38" s="311"/>
      <c r="O38" s="311"/>
      <c r="P38" s="41"/>
      <c r="Q38" s="44"/>
      <c r="R38" s="44"/>
      <c r="S38" s="44"/>
      <c r="U38" s="44"/>
      <c r="X38" s="166"/>
    </row>
    <row r="39" spans="2:24" ht="20.25" customHeight="1" x14ac:dyDescent="0.2">
      <c r="B39" s="22" t="s">
        <v>38</v>
      </c>
      <c r="D39" s="23"/>
      <c r="E39" s="24"/>
      <c r="H39" s="25"/>
      <c r="I39" s="26"/>
      <c r="K39" s="311"/>
      <c r="L39" s="312"/>
      <c r="M39" s="312"/>
      <c r="N39" s="312"/>
      <c r="O39" s="312"/>
      <c r="W39" s="321"/>
    </row>
    <row r="40" spans="2:24" ht="20.25" customHeight="1" x14ac:dyDescent="0.2">
      <c r="B40" s="27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28"/>
    </row>
    <row r="41" spans="2:24" ht="20.25" customHeight="1" x14ac:dyDescent="0.2">
      <c r="B41" s="29" t="s">
        <v>39</v>
      </c>
      <c r="D41" s="24"/>
      <c r="E41" s="393">
        <f>T35</f>
        <v>7818.4364156394913</v>
      </c>
      <c r="F41" s="394"/>
      <c r="G41" s="47"/>
      <c r="H41" s="48" t="s">
        <v>40</v>
      </c>
      <c r="I41" s="48"/>
      <c r="J41" s="49"/>
      <c r="K41" s="47" t="s">
        <v>41</v>
      </c>
      <c r="L41" s="214" t="s">
        <v>42</v>
      </c>
      <c r="M41" s="50"/>
      <c r="N41" s="311"/>
      <c r="O41" s="311"/>
      <c r="P41" s="47"/>
      <c r="Q41" s="363" t="s">
        <v>43</v>
      </c>
      <c r="R41" s="43"/>
      <c r="S41" s="43"/>
      <c r="T41" s="43"/>
      <c r="U41" s="51"/>
    </row>
    <row r="42" spans="2:24" ht="20.25" customHeight="1" x14ac:dyDescent="0.2">
      <c r="B42" s="29"/>
      <c r="U42" s="30"/>
    </row>
    <row r="43" spans="2:24" ht="20.25" customHeight="1" x14ac:dyDescent="0.2">
      <c r="B43" s="29" t="s">
        <v>44</v>
      </c>
      <c r="D43" s="24"/>
      <c r="E43" s="24"/>
      <c r="G43" s="167" t="s">
        <v>45</v>
      </c>
      <c r="H43" s="52" t="s">
        <v>46</v>
      </c>
      <c r="I43" s="48"/>
      <c r="K43" s="207"/>
      <c r="L43" s="52" t="s">
        <v>47</v>
      </c>
      <c r="M43" s="53" t="s">
        <v>46</v>
      </c>
      <c r="N43" s="43"/>
      <c r="O43" s="43"/>
      <c r="P43" s="43"/>
      <c r="Q43" s="43"/>
      <c r="R43" s="43"/>
      <c r="S43" s="43"/>
      <c r="T43" s="43"/>
      <c r="U43" s="51"/>
    </row>
    <row r="44" spans="2:24" ht="20.25" customHeight="1" x14ac:dyDescent="0.2">
      <c r="B44" s="29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5"/>
    </row>
    <row r="45" spans="2:24" ht="20.25" customHeight="1" x14ac:dyDescent="0.2">
      <c r="B45" s="29" t="s">
        <v>48</v>
      </c>
      <c r="D45" s="24"/>
      <c r="E45" s="24"/>
      <c r="G45" s="43" t="s">
        <v>49</v>
      </c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51"/>
    </row>
    <row r="46" spans="2:24" ht="20.25" customHeight="1" x14ac:dyDescent="0.2">
      <c r="B46" s="29"/>
      <c r="U46" s="30"/>
    </row>
    <row r="47" spans="2:24" ht="20.25" customHeight="1" x14ac:dyDescent="0.2">
      <c r="B47" s="29" t="s">
        <v>50</v>
      </c>
      <c r="E47" s="24"/>
      <c r="F47" s="24"/>
      <c r="G47" s="14" t="s">
        <v>51</v>
      </c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5"/>
    </row>
    <row r="48" spans="2:24" ht="20.25" customHeight="1" x14ac:dyDescent="0.2">
      <c r="B48" s="29"/>
      <c r="U48" s="30"/>
    </row>
    <row r="49" spans="2:21" ht="20.25" customHeight="1" x14ac:dyDescent="0.2">
      <c r="B49" s="29" t="s">
        <v>52</v>
      </c>
      <c r="E49" s="24"/>
      <c r="F49" s="24"/>
      <c r="G49" s="14" t="s">
        <v>53</v>
      </c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5"/>
    </row>
    <row r="50" spans="2:21" ht="20.25" customHeight="1" x14ac:dyDescent="0.2">
      <c r="B50" s="29"/>
      <c r="U50" s="30"/>
    </row>
    <row r="51" spans="2:21" ht="20.25" customHeight="1" x14ac:dyDescent="0.2">
      <c r="B51" s="29" t="s">
        <v>54</v>
      </c>
      <c r="D51" s="24"/>
      <c r="E51" s="24"/>
      <c r="G51" s="43" t="s">
        <v>55</v>
      </c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51"/>
    </row>
    <row r="52" spans="2:21" ht="20.25" customHeight="1" x14ac:dyDescent="0.2">
      <c r="B52" s="29"/>
      <c r="U52" s="30"/>
    </row>
    <row r="53" spans="2:21" ht="20.25" customHeight="1" x14ac:dyDescent="0.2">
      <c r="B53" s="29" t="s">
        <v>56</v>
      </c>
      <c r="G53" s="14" t="s">
        <v>57</v>
      </c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5"/>
    </row>
    <row r="54" spans="2:21" ht="20.25" customHeight="1" x14ac:dyDescent="0.2">
      <c r="B54" s="29"/>
      <c r="G54" s="43" t="s">
        <v>58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7"/>
    </row>
    <row r="55" spans="2:21" ht="20.25" customHeight="1" x14ac:dyDescent="0.2">
      <c r="B55" s="29"/>
      <c r="U55" s="30"/>
    </row>
    <row r="56" spans="2:21" ht="20.25" customHeight="1" x14ac:dyDescent="0.2">
      <c r="B56" s="56" t="s">
        <v>59</v>
      </c>
      <c r="C56" s="19"/>
      <c r="D56" s="19"/>
      <c r="E56" s="57"/>
      <c r="F56" s="385" t="s">
        <v>60</v>
      </c>
      <c r="G56" s="384"/>
      <c r="H56" s="384"/>
      <c r="I56" s="384"/>
      <c r="J56" s="384"/>
      <c r="K56" s="322" t="s">
        <v>61</v>
      </c>
      <c r="L56" s="389" t="s">
        <v>62</v>
      </c>
      <c r="M56" s="384"/>
      <c r="N56" s="384"/>
      <c r="O56" s="384"/>
      <c r="P56" s="384"/>
      <c r="Q56" s="57" t="s">
        <v>63</v>
      </c>
      <c r="R56" s="412">
        <v>940512282</v>
      </c>
      <c r="S56" s="384"/>
      <c r="T56" s="384"/>
      <c r="U56" s="413"/>
    </row>
    <row r="57" spans="2:21" ht="20.25" customHeight="1" x14ac:dyDescent="0.2">
      <c r="E57" s="24"/>
      <c r="F57" s="168"/>
      <c r="G57" s="168"/>
      <c r="H57" s="168"/>
      <c r="I57" s="168"/>
      <c r="J57" s="168"/>
      <c r="K57" s="323"/>
      <c r="L57" s="324"/>
      <c r="M57" s="325"/>
      <c r="N57" s="325"/>
      <c r="O57" s="325"/>
      <c r="P57" s="325"/>
      <c r="Q57" s="169"/>
      <c r="R57" s="170"/>
      <c r="S57" s="170"/>
      <c r="T57" s="170"/>
      <c r="U57" s="170"/>
    </row>
    <row r="59" spans="2:21" ht="18.75" customHeight="1" x14ac:dyDescent="0.2">
      <c r="Q59" s="3" t="s">
        <v>0</v>
      </c>
      <c r="R59" s="404" t="str">
        <f>+R2</f>
        <v>PS-XXX-2026 PROMCOSER</v>
      </c>
      <c r="S59" s="405"/>
      <c r="T59" s="405"/>
      <c r="U59" s="406"/>
    </row>
    <row r="61" spans="2:21" x14ac:dyDescent="0.2">
      <c r="B61" s="4"/>
      <c r="C61" s="5"/>
      <c r="D61" s="5"/>
      <c r="E61" s="5"/>
      <c r="F61" s="5"/>
      <c r="G61" s="5"/>
      <c r="Q61" s="6" t="s">
        <v>2</v>
      </c>
      <c r="R61" s="419">
        <f>R4</f>
        <v>46245</v>
      </c>
      <c r="S61" s="405"/>
      <c r="T61" s="405"/>
      <c r="U61" s="406"/>
    </row>
    <row r="62" spans="2:21" x14ac:dyDescent="0.2">
      <c r="B62" s="362" t="s">
        <v>3</v>
      </c>
      <c r="C62" s="362"/>
      <c r="D62" s="362"/>
      <c r="E62" s="362"/>
      <c r="F62" s="362"/>
      <c r="G62" s="5"/>
    </row>
    <row r="63" spans="2:21" x14ac:dyDescent="0.2">
      <c r="B63" s="362" t="s">
        <v>64</v>
      </c>
      <c r="C63" s="362"/>
      <c r="D63" s="362"/>
      <c r="E63" s="362"/>
      <c r="F63" s="362"/>
      <c r="G63" s="5"/>
    </row>
    <row r="64" spans="2:21" x14ac:dyDescent="0.2">
      <c r="B64" s="391" t="s">
        <v>5</v>
      </c>
      <c r="C64" s="392"/>
      <c r="D64" s="392"/>
      <c r="E64" s="392"/>
      <c r="F64" s="392"/>
      <c r="G64" s="5"/>
    </row>
    <row r="65" spans="2:21" x14ac:dyDescent="0.2">
      <c r="B65" s="58"/>
      <c r="C65" s="58"/>
      <c r="D65" s="58"/>
      <c r="E65" s="58"/>
      <c r="F65" s="58"/>
      <c r="G65" s="58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</row>
    <row r="66" spans="2:21" ht="18.75" customHeight="1" x14ac:dyDescent="0.2">
      <c r="B66" s="59" t="s">
        <v>65</v>
      </c>
      <c r="C66" s="60"/>
      <c r="D66" s="60"/>
      <c r="E66" s="60"/>
      <c r="F66" s="60"/>
      <c r="G66" s="60"/>
      <c r="H66" s="60"/>
      <c r="I66" s="60"/>
      <c r="J66" s="60"/>
      <c r="K66" s="60"/>
      <c r="L66" s="60"/>
      <c r="M66" s="60"/>
      <c r="N66" s="60"/>
      <c r="O66" s="60"/>
      <c r="P66" s="60"/>
      <c r="Q66" s="60"/>
      <c r="R66" s="60"/>
      <c r="S66" s="60"/>
      <c r="T66" s="60"/>
      <c r="U66" s="58"/>
    </row>
    <row r="67" spans="2:21" x14ac:dyDescent="0.2">
      <c r="B67" s="61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3"/>
    </row>
    <row r="68" spans="2:21" x14ac:dyDescent="0.2">
      <c r="B68" s="64"/>
      <c r="C68" s="65"/>
      <c r="D68" s="66"/>
      <c r="E68" s="66"/>
      <c r="F68" s="66"/>
      <c r="G68" s="66"/>
      <c r="H68" s="66"/>
      <c r="I68" s="66"/>
      <c r="J68" s="66"/>
      <c r="K68" s="66"/>
      <c r="L68" s="66"/>
      <c r="M68" s="66"/>
      <c r="N68" s="66"/>
      <c r="O68" s="66"/>
      <c r="P68" s="66"/>
      <c r="Q68" s="66"/>
      <c r="R68" s="66"/>
      <c r="S68" s="66"/>
      <c r="T68" s="67"/>
      <c r="U68" s="68"/>
    </row>
    <row r="69" spans="2:21" x14ac:dyDescent="0.2">
      <c r="B69" s="64"/>
      <c r="C69" s="69"/>
      <c r="D69" s="70" t="s">
        <v>66</v>
      </c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1"/>
      <c r="P69" s="71"/>
      <c r="Q69" s="71"/>
      <c r="R69" s="71"/>
      <c r="S69" s="71"/>
      <c r="T69" s="72"/>
      <c r="U69" s="68"/>
    </row>
    <row r="70" spans="2:21" x14ac:dyDescent="0.2">
      <c r="B70" s="64"/>
      <c r="C70" s="69"/>
      <c r="D70" s="73" t="s">
        <v>67</v>
      </c>
      <c r="E70" s="73"/>
      <c r="F70" s="73"/>
      <c r="G70" s="73"/>
      <c r="H70" s="73"/>
      <c r="I70" s="73"/>
      <c r="J70" s="73"/>
      <c r="K70" s="73"/>
      <c r="L70" s="73"/>
      <c r="M70" s="73"/>
      <c r="N70" s="73"/>
      <c r="O70" s="73"/>
      <c r="P70" s="73"/>
      <c r="Q70" s="73"/>
      <c r="R70" s="73"/>
      <c r="S70" s="73"/>
      <c r="T70" s="74"/>
      <c r="U70" s="68"/>
    </row>
    <row r="71" spans="2:21" x14ac:dyDescent="0.2">
      <c r="B71" s="64"/>
      <c r="C71" s="69"/>
      <c r="D71" s="73" t="s">
        <v>68</v>
      </c>
      <c r="E71" s="73"/>
      <c r="F71" s="73"/>
      <c r="G71" s="73"/>
      <c r="H71" s="73"/>
      <c r="I71" s="73"/>
      <c r="J71" s="73"/>
      <c r="K71" s="73"/>
      <c r="L71" s="73"/>
      <c r="M71" s="73"/>
      <c r="N71" s="73"/>
      <c r="O71" s="73"/>
      <c r="P71" s="73"/>
      <c r="Q71" s="73"/>
      <c r="R71" s="73"/>
      <c r="S71" s="73"/>
      <c r="T71" s="74"/>
      <c r="U71" s="68"/>
    </row>
    <row r="72" spans="2:21" x14ac:dyDescent="0.2">
      <c r="B72" s="64"/>
      <c r="C72" s="69"/>
      <c r="D72" s="73" t="s">
        <v>69</v>
      </c>
      <c r="E72" s="73"/>
      <c r="F72" s="73"/>
      <c r="G72" s="73"/>
      <c r="H72" s="73"/>
      <c r="I72" s="73"/>
      <c r="J72" s="73"/>
      <c r="K72" s="73"/>
      <c r="L72" s="73"/>
      <c r="M72" s="73"/>
      <c r="N72" s="73"/>
      <c r="O72" s="73"/>
      <c r="P72" s="73"/>
      <c r="Q72" s="73"/>
      <c r="R72" s="73"/>
      <c r="S72" s="73"/>
      <c r="T72" s="74"/>
      <c r="U72" s="68"/>
    </row>
    <row r="73" spans="2:21" x14ac:dyDescent="0.2">
      <c r="B73" s="64"/>
      <c r="C73" s="69"/>
      <c r="D73" s="73" t="s">
        <v>70</v>
      </c>
      <c r="E73" s="73"/>
      <c r="F73" s="73"/>
      <c r="G73" s="73"/>
      <c r="H73" s="73"/>
      <c r="I73" s="73"/>
      <c r="J73" s="73"/>
      <c r="K73" s="73"/>
      <c r="L73" s="73"/>
      <c r="M73" s="73"/>
      <c r="N73" s="73"/>
      <c r="O73" s="73"/>
      <c r="P73" s="73"/>
      <c r="Q73" s="73"/>
      <c r="R73" s="73"/>
      <c r="S73" s="73"/>
      <c r="T73" s="74"/>
      <c r="U73" s="68"/>
    </row>
    <row r="74" spans="2:21" x14ac:dyDescent="0.2">
      <c r="B74" s="64"/>
      <c r="C74" s="69"/>
      <c r="D74" s="75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1"/>
      <c r="P74" s="71"/>
      <c r="Q74" s="71"/>
      <c r="R74" s="71"/>
      <c r="S74" s="71"/>
      <c r="T74" s="72"/>
      <c r="U74" s="68"/>
    </row>
    <row r="75" spans="2:21" x14ac:dyDescent="0.2">
      <c r="B75" s="64"/>
      <c r="C75" s="69"/>
      <c r="D75" s="75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1"/>
      <c r="P75" s="71"/>
      <c r="Q75" s="71"/>
      <c r="R75" s="71"/>
      <c r="S75" s="71"/>
      <c r="T75" s="72"/>
      <c r="U75" s="68"/>
    </row>
    <row r="76" spans="2:21" x14ac:dyDescent="0.2">
      <c r="B76" s="64"/>
      <c r="C76" s="69"/>
      <c r="D76" s="75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1"/>
      <c r="P76" s="71"/>
      <c r="Q76" s="71"/>
      <c r="R76" s="71"/>
      <c r="S76" s="71"/>
      <c r="T76" s="72"/>
      <c r="U76" s="68"/>
    </row>
    <row r="77" spans="2:21" x14ac:dyDescent="0.2">
      <c r="B77" s="76"/>
      <c r="C77" s="77"/>
      <c r="D77" s="78"/>
      <c r="E77" s="78"/>
      <c r="F77" s="78"/>
      <c r="G77" s="78"/>
      <c r="H77" s="78"/>
      <c r="I77" s="78"/>
      <c r="J77" s="78"/>
      <c r="K77" s="78"/>
      <c r="L77" s="78"/>
      <c r="M77" s="78"/>
      <c r="N77" s="78"/>
      <c r="O77" s="78"/>
      <c r="P77" s="78"/>
      <c r="Q77" s="78"/>
      <c r="R77" s="78"/>
      <c r="S77" s="78"/>
      <c r="T77" s="79"/>
      <c r="U77" s="68"/>
    </row>
    <row r="78" spans="2:21" ht="18.75" customHeight="1" x14ac:dyDescent="0.2">
      <c r="B78" s="80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2"/>
    </row>
    <row r="79" spans="2:21" x14ac:dyDescent="0.2">
      <c r="B79" s="83"/>
      <c r="C79" s="84"/>
      <c r="D79" s="84"/>
      <c r="E79" s="84"/>
      <c r="F79" s="84"/>
      <c r="G79" s="84"/>
      <c r="H79" s="84"/>
      <c r="I79" s="84"/>
      <c r="J79" s="84"/>
      <c r="K79" s="84"/>
      <c r="L79" s="84"/>
      <c r="M79" s="84"/>
      <c r="N79" s="84"/>
      <c r="O79" s="84"/>
      <c r="P79" s="84"/>
      <c r="Q79" s="84"/>
      <c r="R79" s="84"/>
      <c r="S79" s="84"/>
      <c r="T79" s="84"/>
      <c r="U79" s="58"/>
    </row>
    <row r="80" spans="2:21" ht="18.75" customHeight="1" x14ac:dyDescent="0.2">
      <c r="B80" s="59" t="s">
        <v>71</v>
      </c>
      <c r="C80" s="60"/>
      <c r="D80" s="60"/>
      <c r="E80" s="60"/>
      <c r="F80" s="60"/>
      <c r="G80" s="60"/>
      <c r="H80" s="60"/>
      <c r="I80" s="60"/>
      <c r="J80" s="60"/>
      <c r="K80" s="60"/>
      <c r="L80" s="60"/>
      <c r="M80" s="60"/>
      <c r="N80" s="60"/>
      <c r="O80" s="60"/>
      <c r="P80" s="60"/>
      <c r="Q80" s="60"/>
      <c r="R80" s="60"/>
      <c r="S80" s="60"/>
      <c r="T80" s="60"/>
      <c r="U80" s="58"/>
    </row>
    <row r="81" spans="2:21" x14ac:dyDescent="0.2">
      <c r="B81" s="61"/>
      <c r="C81" s="407"/>
      <c r="D81" s="408"/>
      <c r="E81" s="408"/>
      <c r="F81" s="408"/>
      <c r="G81" s="408"/>
      <c r="H81" s="408"/>
      <c r="I81" s="408"/>
      <c r="J81" s="408"/>
      <c r="K81" s="408"/>
      <c r="L81" s="408"/>
      <c r="M81" s="408"/>
      <c r="N81" s="408"/>
      <c r="O81" s="408"/>
      <c r="P81" s="408"/>
      <c r="Q81" s="408"/>
      <c r="R81" s="408"/>
      <c r="S81" s="408"/>
      <c r="T81" s="408"/>
      <c r="U81" s="63"/>
    </row>
    <row r="82" spans="2:21" x14ac:dyDescent="0.2">
      <c r="B82" s="64"/>
      <c r="C82" s="85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86"/>
      <c r="U82" s="68"/>
    </row>
    <row r="83" spans="2:21" x14ac:dyDescent="0.2">
      <c r="B83" s="64"/>
      <c r="C83" s="87"/>
      <c r="D83" s="70" t="s">
        <v>72</v>
      </c>
      <c r="E83" s="73"/>
      <c r="F83" s="73"/>
      <c r="G83" s="73"/>
      <c r="H83" s="73"/>
      <c r="I83" s="73"/>
      <c r="J83" s="73"/>
      <c r="K83" s="73"/>
      <c r="L83" s="73"/>
      <c r="M83" s="73"/>
      <c r="N83" s="73"/>
      <c r="O83" s="73"/>
      <c r="P83" s="73"/>
      <c r="Q83" s="73"/>
      <c r="R83" s="73"/>
      <c r="S83" s="73"/>
      <c r="T83" s="74"/>
      <c r="U83" s="68"/>
    </row>
    <row r="84" spans="2:21" x14ac:dyDescent="0.2">
      <c r="B84" s="64"/>
      <c r="C84" s="69"/>
      <c r="D84" s="73" t="s">
        <v>73</v>
      </c>
      <c r="E84" s="73"/>
      <c r="F84" s="73"/>
      <c r="G84" s="73"/>
      <c r="H84" s="73"/>
      <c r="I84" s="73"/>
      <c r="J84" s="73"/>
      <c r="K84" s="73"/>
      <c r="L84" s="73"/>
      <c r="M84" s="73"/>
      <c r="N84" s="73"/>
      <c r="O84" s="73"/>
      <c r="P84" s="73"/>
      <c r="Q84" s="73"/>
      <c r="R84" s="73"/>
      <c r="S84" s="73"/>
      <c r="T84" s="74"/>
      <c r="U84" s="68"/>
    </row>
    <row r="85" spans="2:21" x14ac:dyDescent="0.2">
      <c r="B85" s="64"/>
      <c r="C85" s="69"/>
      <c r="D85" s="73" t="s">
        <v>74</v>
      </c>
      <c r="E85" s="73"/>
      <c r="F85" s="73"/>
      <c r="G85" s="73"/>
      <c r="H85" s="73"/>
      <c r="I85" s="73"/>
      <c r="J85" s="73"/>
      <c r="K85" s="73"/>
      <c r="L85" s="73"/>
      <c r="M85" s="73"/>
      <c r="N85" s="73"/>
      <c r="O85" s="73"/>
      <c r="P85" s="73"/>
      <c r="Q85" s="73"/>
      <c r="R85" s="73"/>
      <c r="S85" s="73"/>
      <c r="T85" s="74"/>
      <c r="U85" s="68"/>
    </row>
    <row r="86" spans="2:21" ht="32.25" customHeight="1" x14ac:dyDescent="0.2">
      <c r="B86" s="64"/>
      <c r="C86" s="69"/>
      <c r="D86" s="401" t="s">
        <v>75</v>
      </c>
      <c r="E86" s="402"/>
      <c r="F86" s="402"/>
      <c r="G86" s="402"/>
      <c r="H86" s="402"/>
      <c r="I86" s="402"/>
      <c r="J86" s="402"/>
      <c r="K86" s="402"/>
      <c r="L86" s="402"/>
      <c r="M86" s="402"/>
      <c r="N86" s="402"/>
      <c r="O86" s="402"/>
      <c r="P86" s="402"/>
      <c r="Q86" s="402"/>
      <c r="R86" s="402"/>
      <c r="S86" s="402"/>
      <c r="T86" s="74"/>
      <c r="U86" s="68"/>
    </row>
    <row r="87" spans="2:21" x14ac:dyDescent="0.2">
      <c r="B87" s="64"/>
      <c r="C87" s="69"/>
      <c r="D87" s="73" t="s">
        <v>76</v>
      </c>
      <c r="E87" s="73"/>
      <c r="F87" s="73"/>
      <c r="G87" s="73"/>
      <c r="H87" s="73"/>
      <c r="I87" s="73"/>
      <c r="J87" s="73"/>
      <c r="K87" s="73"/>
      <c r="L87" s="73"/>
      <c r="M87" s="73"/>
      <c r="N87" s="73"/>
      <c r="O87" s="73"/>
      <c r="P87" s="73"/>
      <c r="Q87" s="73"/>
      <c r="R87" s="73"/>
      <c r="S87" s="73"/>
      <c r="T87" s="74"/>
      <c r="U87" s="68"/>
    </row>
    <row r="88" spans="2:21" x14ac:dyDescent="0.2">
      <c r="B88" s="64"/>
      <c r="C88" s="69"/>
      <c r="D88" s="73"/>
      <c r="E88" s="73"/>
      <c r="F88" s="73"/>
      <c r="G88" s="73"/>
      <c r="H88" s="73"/>
      <c r="I88" s="73"/>
      <c r="J88" s="73"/>
      <c r="K88" s="73"/>
      <c r="L88" s="73"/>
      <c r="M88" s="73"/>
      <c r="N88" s="73"/>
      <c r="O88" s="73"/>
      <c r="P88" s="73"/>
      <c r="Q88" s="73"/>
      <c r="R88" s="73"/>
      <c r="S88" s="73"/>
      <c r="T88" s="74"/>
      <c r="U88" s="68"/>
    </row>
    <row r="89" spans="2:21" x14ac:dyDescent="0.2">
      <c r="B89" s="64"/>
      <c r="C89" s="69"/>
      <c r="D89" s="73"/>
      <c r="E89" s="73"/>
      <c r="F89" s="73"/>
      <c r="G89" s="73"/>
      <c r="H89" s="73"/>
      <c r="I89" s="73"/>
      <c r="J89" s="73"/>
      <c r="K89" s="73"/>
      <c r="L89" s="73"/>
      <c r="M89" s="73"/>
      <c r="N89" s="73"/>
      <c r="O89" s="73"/>
      <c r="P89" s="73"/>
      <c r="Q89" s="73"/>
      <c r="R89" s="73"/>
      <c r="S89" s="73"/>
      <c r="T89" s="74"/>
      <c r="U89" s="68"/>
    </row>
    <row r="90" spans="2:21" x14ac:dyDescent="0.2">
      <c r="B90" s="64"/>
      <c r="C90" s="69"/>
      <c r="D90" s="73"/>
      <c r="E90" s="73"/>
      <c r="F90" s="73"/>
      <c r="G90" s="73"/>
      <c r="H90" s="73"/>
      <c r="I90" s="73"/>
      <c r="J90" s="73"/>
      <c r="K90" s="73"/>
      <c r="L90" s="73"/>
      <c r="M90" s="73"/>
      <c r="N90" s="73"/>
      <c r="O90" s="73"/>
      <c r="P90" s="73"/>
      <c r="Q90" s="73"/>
      <c r="R90" s="73"/>
      <c r="S90" s="73"/>
      <c r="T90" s="74"/>
      <c r="U90" s="68"/>
    </row>
    <row r="91" spans="2:21" x14ac:dyDescent="0.2">
      <c r="B91" s="64"/>
      <c r="C91" s="77"/>
      <c r="D91" s="88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90"/>
      <c r="U91" s="68"/>
    </row>
    <row r="92" spans="2:21" x14ac:dyDescent="0.2">
      <c r="B92" s="91"/>
      <c r="C92" s="92"/>
      <c r="D92" s="93"/>
      <c r="E92" s="92"/>
      <c r="F92" s="92"/>
      <c r="G92" s="92"/>
      <c r="H92" s="92"/>
      <c r="I92" s="92"/>
      <c r="J92" s="92"/>
      <c r="K92" s="92"/>
      <c r="L92" s="94"/>
      <c r="M92" s="95"/>
      <c r="N92" s="96"/>
      <c r="O92" s="416"/>
      <c r="P92" s="384"/>
      <c r="Q92" s="96"/>
      <c r="R92" s="416"/>
      <c r="S92" s="384"/>
      <c r="T92" s="92"/>
      <c r="U92" s="82"/>
    </row>
    <row r="93" spans="2:21" x14ac:dyDescent="0.2">
      <c r="B93" s="83"/>
      <c r="C93" s="60"/>
      <c r="D93" s="60"/>
      <c r="E93" s="60"/>
      <c r="F93" s="60"/>
      <c r="G93" s="60"/>
      <c r="H93" s="60"/>
      <c r="I93" s="60"/>
      <c r="J93" s="60"/>
      <c r="K93" s="60"/>
      <c r="L93" s="97"/>
      <c r="M93" s="97"/>
      <c r="N93" s="98"/>
      <c r="O93" s="99"/>
      <c r="P93" s="99"/>
      <c r="Q93" s="98"/>
      <c r="R93" s="99"/>
      <c r="S93" s="99"/>
      <c r="T93" s="60"/>
      <c r="U93" s="58"/>
    </row>
    <row r="94" spans="2:21" ht="18.75" customHeight="1" x14ac:dyDescent="0.2">
      <c r="B94" s="59" t="s">
        <v>77</v>
      </c>
      <c r="C94" s="58"/>
      <c r="D94" s="100"/>
      <c r="E94" s="101"/>
      <c r="F94" s="58"/>
      <c r="G94" s="58"/>
      <c r="H94" s="102"/>
      <c r="I94" s="103"/>
      <c r="J94" s="58"/>
      <c r="K94" s="316"/>
      <c r="L94" s="317"/>
      <c r="M94" s="317"/>
      <c r="N94" s="317"/>
      <c r="O94" s="317"/>
      <c r="P94" s="58"/>
      <c r="Q94" s="58"/>
      <c r="R94" s="58"/>
      <c r="S94" s="58"/>
      <c r="T94" s="58"/>
      <c r="U94" s="58"/>
    </row>
    <row r="95" spans="2:21" x14ac:dyDescent="0.2">
      <c r="B95" s="61"/>
      <c r="C95" s="104"/>
      <c r="D95" s="104"/>
      <c r="E95" s="104"/>
      <c r="F95" s="104"/>
      <c r="G95" s="104"/>
      <c r="H95" s="104"/>
      <c r="I95" s="104"/>
      <c r="J95" s="104"/>
      <c r="K95" s="104"/>
      <c r="L95" s="104"/>
      <c r="M95" s="104"/>
      <c r="N95" s="104"/>
      <c r="O95" s="104"/>
      <c r="P95" s="104"/>
      <c r="Q95" s="104"/>
      <c r="R95" s="104"/>
      <c r="S95" s="104"/>
      <c r="T95" s="104"/>
      <c r="U95" s="63"/>
    </row>
    <row r="96" spans="2:21" x14ac:dyDescent="0.2">
      <c r="B96" s="64"/>
      <c r="C96" s="65"/>
      <c r="D96" s="66"/>
      <c r="E96" s="66"/>
      <c r="F96" s="66"/>
      <c r="G96" s="66"/>
      <c r="H96" s="66"/>
      <c r="I96" s="66"/>
      <c r="J96" s="66"/>
      <c r="K96" s="66"/>
      <c r="L96" s="66"/>
      <c r="M96" s="66"/>
      <c r="N96" s="66"/>
      <c r="O96" s="66"/>
      <c r="P96" s="66"/>
      <c r="Q96" s="66"/>
      <c r="R96" s="66"/>
      <c r="S96" s="66"/>
      <c r="T96" s="67"/>
      <c r="U96" s="68"/>
    </row>
    <row r="97" spans="2:21" x14ac:dyDescent="0.2">
      <c r="B97" s="64"/>
      <c r="C97" s="105"/>
      <c r="D97" s="70" t="s">
        <v>78</v>
      </c>
      <c r="E97" s="71"/>
      <c r="F97" s="71"/>
      <c r="G97" s="71"/>
      <c r="H97" s="71"/>
      <c r="I97" s="71"/>
      <c r="J97" s="71"/>
      <c r="K97" s="71"/>
      <c r="L97" s="71"/>
      <c r="M97" s="71"/>
      <c r="N97" s="71"/>
      <c r="O97" s="71"/>
      <c r="P97" s="71"/>
      <c r="Q97" s="71"/>
      <c r="R97" s="71"/>
      <c r="S97" s="71"/>
      <c r="T97" s="72"/>
      <c r="U97" s="68"/>
    </row>
    <row r="98" spans="2:21" ht="28.5" customHeight="1" x14ac:dyDescent="0.2">
      <c r="B98" s="64"/>
      <c r="C98" s="69">
        <v>7.1</v>
      </c>
      <c r="D98" s="401" t="s">
        <v>79</v>
      </c>
      <c r="E98" s="402"/>
      <c r="F98" s="402"/>
      <c r="G98" s="402"/>
      <c r="H98" s="402"/>
      <c r="I98" s="402"/>
      <c r="J98" s="402"/>
      <c r="K98" s="402"/>
      <c r="L98" s="402"/>
      <c r="M98" s="402"/>
      <c r="N98" s="402"/>
      <c r="O98" s="402"/>
      <c r="P98" s="402"/>
      <c r="Q98" s="402"/>
      <c r="R98" s="402"/>
      <c r="S98" s="402"/>
      <c r="T98" s="74"/>
      <c r="U98" s="68"/>
    </row>
    <row r="99" spans="2:21" ht="17.25" customHeight="1" x14ac:dyDescent="0.2">
      <c r="B99" s="64"/>
      <c r="C99" s="69">
        <v>7.2</v>
      </c>
      <c r="D99" s="401" t="s">
        <v>80</v>
      </c>
      <c r="E99" s="402"/>
      <c r="F99" s="402"/>
      <c r="G99" s="402"/>
      <c r="H99" s="402"/>
      <c r="I99" s="402"/>
      <c r="J99" s="402"/>
      <c r="K99" s="402"/>
      <c r="L99" s="402"/>
      <c r="M99" s="402"/>
      <c r="N99" s="402"/>
      <c r="O99" s="402"/>
      <c r="P99" s="402"/>
      <c r="Q99" s="402"/>
      <c r="R99" s="402"/>
      <c r="S99" s="402"/>
      <c r="T99" s="74"/>
      <c r="U99" s="68"/>
    </row>
    <row r="100" spans="2:21" x14ac:dyDescent="0.2">
      <c r="B100" s="64"/>
      <c r="C100" s="77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90"/>
      <c r="U100" s="68"/>
    </row>
    <row r="101" spans="2:21" x14ac:dyDescent="0.2">
      <c r="B101" s="91"/>
      <c r="C101" s="383"/>
      <c r="D101" s="384"/>
      <c r="E101" s="384"/>
      <c r="F101" s="384"/>
      <c r="G101" s="384"/>
      <c r="H101" s="384"/>
      <c r="I101" s="384"/>
      <c r="J101" s="384"/>
      <c r="K101" s="384"/>
      <c r="L101" s="384"/>
      <c r="M101" s="384"/>
      <c r="N101" s="384"/>
      <c r="O101" s="384"/>
      <c r="P101" s="384"/>
      <c r="Q101" s="384"/>
      <c r="R101" s="384"/>
      <c r="S101" s="384"/>
      <c r="T101" s="384"/>
      <c r="U101" s="82"/>
    </row>
    <row r="102" spans="2:21" x14ac:dyDescent="0.2">
      <c r="B102" s="83"/>
      <c r="C102" s="399"/>
      <c r="D102" s="400"/>
      <c r="E102" s="400"/>
      <c r="F102" s="400"/>
      <c r="G102" s="400"/>
      <c r="H102" s="400"/>
      <c r="I102" s="400"/>
      <c r="J102" s="400"/>
      <c r="K102" s="400"/>
      <c r="L102" s="400"/>
      <c r="M102" s="400"/>
      <c r="N102" s="400"/>
      <c r="O102" s="400"/>
      <c r="P102" s="400"/>
      <c r="Q102" s="400"/>
      <c r="R102" s="400"/>
      <c r="S102" s="400"/>
      <c r="T102" s="400"/>
      <c r="U102" s="58"/>
    </row>
    <row r="103" spans="2:21" x14ac:dyDescent="0.2">
      <c r="B103" s="83"/>
      <c r="C103" s="58"/>
      <c r="D103" s="58"/>
      <c r="E103" s="58"/>
      <c r="F103" s="58"/>
      <c r="G103" s="58"/>
      <c r="H103" s="58"/>
      <c r="I103" s="58"/>
      <c r="J103" s="58"/>
      <c r="K103" s="58"/>
      <c r="L103" s="58"/>
      <c r="M103" s="58"/>
      <c r="N103" s="58"/>
      <c r="O103" s="58"/>
      <c r="P103" s="58"/>
      <c r="Q103" s="58"/>
      <c r="R103" s="58"/>
      <c r="S103" s="58"/>
      <c r="T103" s="58"/>
      <c r="U103" s="58"/>
    </row>
    <row r="104" spans="2:21" x14ac:dyDescent="0.2">
      <c r="B104" s="363" t="s">
        <v>59</v>
      </c>
      <c r="E104" s="24"/>
      <c r="F104" s="398" t="str">
        <f>+F56</f>
        <v>A. Cuellar</v>
      </c>
      <c r="G104" s="381"/>
      <c r="H104" s="381"/>
      <c r="I104" s="381"/>
      <c r="J104" s="381"/>
      <c r="K104" s="326" t="s">
        <v>61</v>
      </c>
      <c r="L104" s="389" t="str">
        <f>L56</f>
        <v>ventas@promcoser.com.pe</v>
      </c>
      <c r="M104" s="384"/>
      <c r="N104" s="384"/>
      <c r="O104" s="384"/>
      <c r="P104" s="384"/>
      <c r="Q104" s="24" t="s">
        <v>63</v>
      </c>
      <c r="R104" s="380">
        <f>+R56</f>
        <v>940512282</v>
      </c>
      <c r="S104" s="381"/>
      <c r="T104" s="381"/>
      <c r="U104" s="382"/>
    </row>
  </sheetData>
  <mergeCells count="55">
    <mergeCell ref="B7:F7"/>
    <mergeCell ref="T30:U30"/>
    <mergeCell ref="P29:Q29"/>
    <mergeCell ref="T33:U33"/>
    <mergeCell ref="R29:S29"/>
    <mergeCell ref="T29:U29"/>
    <mergeCell ref="T32:U32"/>
    <mergeCell ref="B13:D13"/>
    <mergeCell ref="R28:S28"/>
    <mergeCell ref="P25:Q25"/>
    <mergeCell ref="P23:Q23"/>
    <mergeCell ref="C17:T19"/>
    <mergeCell ref="R26:S26"/>
    <mergeCell ref="O23:O24"/>
    <mergeCell ref="R2:U2"/>
    <mergeCell ref="T35:U35"/>
    <mergeCell ref="O92:P92"/>
    <mergeCell ref="D98:S98"/>
    <mergeCell ref="B23:B24"/>
    <mergeCell ref="R61:U61"/>
    <mergeCell ref="R30:S30"/>
    <mergeCell ref="R25:S25"/>
    <mergeCell ref="T25:U25"/>
    <mergeCell ref="R24:S24"/>
    <mergeCell ref="T23:U24"/>
    <mergeCell ref="R4:U4"/>
    <mergeCell ref="P24:Q24"/>
    <mergeCell ref="C23:N24"/>
    <mergeCell ref="R23:S23"/>
    <mergeCell ref="R92:S92"/>
    <mergeCell ref="D99:S99"/>
    <mergeCell ref="T26:U26"/>
    <mergeCell ref="R59:U59"/>
    <mergeCell ref="C81:T81"/>
    <mergeCell ref="P28:Q28"/>
    <mergeCell ref="D86:S86"/>
    <mergeCell ref="T31:U31"/>
    <mergeCell ref="P26:Q26"/>
    <mergeCell ref="R56:U56"/>
    <mergeCell ref="R104:U104"/>
    <mergeCell ref="C101:T101"/>
    <mergeCell ref="F56:J56"/>
    <mergeCell ref="C26:N26"/>
    <mergeCell ref="L56:P56"/>
    <mergeCell ref="P30:Q30"/>
    <mergeCell ref="B64:F64"/>
    <mergeCell ref="E41:F41"/>
    <mergeCell ref="T34:U34"/>
    <mergeCell ref="T28:U28"/>
    <mergeCell ref="T27:U27"/>
    <mergeCell ref="F104:J104"/>
    <mergeCell ref="P27:Q27"/>
    <mergeCell ref="R27:S27"/>
    <mergeCell ref="L104:P104"/>
    <mergeCell ref="C102:T102"/>
  </mergeCells>
  <hyperlinks>
    <hyperlink ref="L56" r:id="rId1" xr:uid="{00000000-0004-0000-0000-000000000000}"/>
    <hyperlink ref="L104" r:id="rId2" display="mmachado@promcoser.com.pe" xr:uid="{00000000-0004-0000-0000-000001000000}"/>
  </hyperlinks>
  <pageMargins left="0.7" right="0.7" top="0.75" bottom="0.75" header="0.3" footer="0.3"/>
  <pageSetup scale="62" orientation="portrait" r:id="rId3"/>
  <rowBreaks count="1" manualBreakCount="1">
    <brk id="56" max="21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37"/>
  <sheetViews>
    <sheetView tabSelected="1" view="pageBreakPreview" topLeftCell="C1" zoomScaleNormal="100" zoomScaleSheetLayoutView="100" workbookViewId="0">
      <pane xSplit="1" ySplit="6" topLeftCell="D19" activePane="bottomRight" state="frozen"/>
      <selection activeCell="C1" sqref="C1"/>
      <selection pane="topRight" activeCell="D1" sqref="D1"/>
      <selection pane="bottomLeft" activeCell="C7" sqref="C7"/>
      <selection pane="bottomRight" activeCell="D20" sqref="D20"/>
    </sheetView>
  </sheetViews>
  <sheetFormatPr baseColWidth="10" defaultColWidth="9.28515625" defaultRowHeight="10.199999999999999" x14ac:dyDescent="0.2"/>
  <cols>
    <col min="1" max="2" width="1" style="109" customWidth="1"/>
    <col min="3" max="3" width="15.85546875" style="366" customWidth="1"/>
    <col min="4" max="4" width="88.42578125" style="109" customWidth="1"/>
    <col min="5" max="5" width="6.85546875" style="366" customWidth="1"/>
    <col min="6" max="6" width="12.42578125" style="366" bestFit="1" customWidth="1"/>
    <col min="7" max="7" width="11.85546875" style="366" customWidth="1"/>
    <col min="8" max="8" width="19.85546875" style="366" customWidth="1"/>
  </cols>
  <sheetData>
    <row r="2" spans="1:11" ht="27" customHeight="1" x14ac:dyDescent="0.2">
      <c r="C2" s="277" t="s">
        <v>81</v>
      </c>
      <c r="D2" s="443" t="str">
        <f>PRESUPUESTO!E12</f>
        <v>AMPLIACION CAMPAMENTO JUSTA SUBTERRANEA</v>
      </c>
      <c r="E2" s="444"/>
      <c r="F2" s="444"/>
      <c r="G2" s="234"/>
      <c r="H2" s="234"/>
    </row>
    <row r="3" spans="1:11" ht="27" customHeight="1" x14ac:dyDescent="0.2">
      <c r="C3" s="277" t="s">
        <v>82</v>
      </c>
      <c r="D3" s="365" t="str">
        <f>PRESUPUESTO!E13</f>
        <v xml:space="preserve">SUMINISTRO, INSTALACION, PRUEBAS Y PUESTA EN MARCHA - RAMAL CONTRAINCENDIOS HDPE TIE-IN-06 A GCI </v>
      </c>
      <c r="G3" s="234"/>
      <c r="H3" s="234"/>
    </row>
    <row r="4" spans="1:11" ht="12" customHeight="1" x14ac:dyDescent="0.2">
      <c r="C4" s="277" t="s">
        <v>83</v>
      </c>
      <c r="D4" s="278" t="str">
        <f>PRESUPUESTO!E9</f>
        <v>COPREFA CONSTRUCCIONES PRE-FABRICADAS S.R.C. (EPC MARCOBRE)</v>
      </c>
      <c r="E4" s="279"/>
      <c r="F4" s="279"/>
      <c r="G4" s="234"/>
      <c r="H4" s="234"/>
    </row>
    <row r="5" spans="1:11" ht="12" customHeight="1" thickBot="1" x14ac:dyDescent="0.25">
      <c r="C5" s="234"/>
      <c r="D5" s="235"/>
      <c r="E5" s="234"/>
      <c r="F5" s="234"/>
      <c r="G5" s="234"/>
      <c r="H5" s="234"/>
    </row>
    <row r="6" spans="1:11" ht="15" customHeight="1" thickBot="1" x14ac:dyDescent="0.25">
      <c r="A6" s="1"/>
      <c r="B6" s="1"/>
      <c r="C6" s="249" t="s">
        <v>84</v>
      </c>
      <c r="D6" s="250" t="s">
        <v>85</v>
      </c>
      <c r="E6" s="251" t="s">
        <v>86</v>
      </c>
      <c r="F6" s="252" t="s">
        <v>87</v>
      </c>
      <c r="G6" s="251" t="s">
        <v>88</v>
      </c>
      <c r="H6" s="253" t="s">
        <v>89</v>
      </c>
    </row>
    <row r="7" spans="1:11" s="232" customFormat="1" ht="15" customHeight="1" x14ac:dyDescent="0.2">
      <c r="A7" s="231"/>
      <c r="B7" s="231"/>
      <c r="C7" s="290" t="s">
        <v>90</v>
      </c>
      <c r="D7" s="291" t="s">
        <v>91</v>
      </c>
      <c r="E7" s="292"/>
      <c r="F7" s="293"/>
      <c r="G7" s="293"/>
      <c r="H7" s="294">
        <f>H8</f>
        <v>433.13333333333333</v>
      </c>
    </row>
    <row r="8" spans="1:11" s="232" customFormat="1" ht="12" customHeight="1" x14ac:dyDescent="0.2">
      <c r="A8" s="231"/>
      <c r="B8" s="231"/>
      <c r="C8" s="289" t="s">
        <v>92</v>
      </c>
      <c r="D8" s="283" t="s">
        <v>93</v>
      </c>
      <c r="E8" s="284" t="s">
        <v>94</v>
      </c>
      <c r="F8" s="287">
        <v>1</v>
      </c>
      <c r="G8" s="287">
        <f>APU!H9</f>
        <v>433.13333333333333</v>
      </c>
      <c r="H8" s="288">
        <f>G8*F8</f>
        <v>433.13333333333333</v>
      </c>
    </row>
    <row r="9" spans="1:11" s="232" customFormat="1" ht="12" customHeight="1" x14ac:dyDescent="0.2">
      <c r="A9" s="231"/>
      <c r="B9" s="231"/>
      <c r="C9" s="290" t="s">
        <v>95</v>
      </c>
      <c r="D9" s="291" t="s">
        <v>96</v>
      </c>
      <c r="E9" s="292"/>
      <c r="F9" s="293"/>
      <c r="G9" s="293"/>
      <c r="H9" s="294">
        <f>H10+H11+H12+H13+H14+H15+H16+H17+H18+H19+H20+H21+H22+H23</f>
        <v>1315.8000000000002</v>
      </c>
    </row>
    <row r="10" spans="1:11" s="232" customFormat="1" ht="15" customHeight="1" x14ac:dyDescent="0.2">
      <c r="A10" s="231"/>
      <c r="B10" s="231"/>
      <c r="C10" s="289" t="s">
        <v>97</v>
      </c>
      <c r="D10" s="283" t="s">
        <v>98</v>
      </c>
      <c r="E10" s="284" t="s">
        <v>99</v>
      </c>
      <c r="F10" s="287">
        <v>1</v>
      </c>
      <c r="G10" s="287">
        <f>APU!H20</f>
        <v>28.5</v>
      </c>
      <c r="H10" s="288">
        <f t="shared" ref="H10:H23" si="0">G10*F10</f>
        <v>28.5</v>
      </c>
      <c r="K10" s="281"/>
    </row>
    <row r="11" spans="1:11" s="232" customFormat="1" ht="12" customHeight="1" x14ac:dyDescent="0.2">
      <c r="A11" s="231"/>
      <c r="B11" s="231"/>
      <c r="C11" s="289" t="s">
        <v>100</v>
      </c>
      <c r="D11" s="283" t="s">
        <v>101</v>
      </c>
      <c r="E11" s="284" t="s">
        <v>99</v>
      </c>
      <c r="F11" s="287">
        <v>1</v>
      </c>
      <c r="G11" s="287">
        <f>APU!H27</f>
        <v>24.44</v>
      </c>
      <c r="H11" s="288">
        <f t="shared" si="0"/>
        <v>24.44</v>
      </c>
    </row>
    <row r="12" spans="1:11" s="232" customFormat="1" ht="15" customHeight="1" x14ac:dyDescent="0.2">
      <c r="A12" s="231"/>
      <c r="B12" s="231"/>
      <c r="C12" s="289" t="s">
        <v>102</v>
      </c>
      <c r="D12" s="283" t="s">
        <v>103</v>
      </c>
      <c r="E12" s="284" t="s">
        <v>99</v>
      </c>
      <c r="F12" s="287">
        <v>5</v>
      </c>
      <c r="G12" s="287">
        <f>APU!H34</f>
        <v>18.8</v>
      </c>
      <c r="H12" s="288">
        <f t="shared" si="0"/>
        <v>94</v>
      </c>
    </row>
    <row r="13" spans="1:11" s="232" customFormat="1" ht="12.75" customHeight="1" thickBot="1" x14ac:dyDescent="0.25">
      <c r="A13" s="231"/>
      <c r="B13" s="231"/>
      <c r="C13" s="289" t="s">
        <v>104</v>
      </c>
      <c r="D13" s="283" t="s">
        <v>105</v>
      </c>
      <c r="E13" s="284" t="s">
        <v>99</v>
      </c>
      <c r="F13" s="287">
        <v>5</v>
      </c>
      <c r="G13" s="287">
        <f>APU!H41</f>
        <v>15.6</v>
      </c>
      <c r="H13" s="288">
        <f t="shared" si="0"/>
        <v>78</v>
      </c>
    </row>
    <row r="14" spans="1:11" ht="12" customHeight="1" thickBot="1" x14ac:dyDescent="0.25">
      <c r="C14" s="289" t="s">
        <v>106</v>
      </c>
      <c r="D14" s="283" t="s">
        <v>107</v>
      </c>
      <c r="E14" s="284" t="s">
        <v>99</v>
      </c>
      <c r="F14" s="287">
        <v>4</v>
      </c>
      <c r="G14" s="287">
        <f>APU!H48</f>
        <v>7.47</v>
      </c>
      <c r="H14" s="288">
        <f t="shared" si="0"/>
        <v>29.88</v>
      </c>
    </row>
    <row r="15" spans="1:11" x14ac:dyDescent="0.2">
      <c r="C15" s="289" t="s">
        <v>108</v>
      </c>
      <c r="D15" s="283" t="s">
        <v>109</v>
      </c>
      <c r="E15" s="284" t="s">
        <v>110</v>
      </c>
      <c r="F15" s="287">
        <v>3</v>
      </c>
      <c r="G15" s="287">
        <f>APU!H55</f>
        <v>42.6</v>
      </c>
      <c r="H15" s="288">
        <f t="shared" si="0"/>
        <v>127.80000000000001</v>
      </c>
    </row>
    <row r="16" spans="1:11" x14ac:dyDescent="0.2">
      <c r="C16" s="289" t="s">
        <v>111</v>
      </c>
      <c r="D16" s="283" t="s">
        <v>112</v>
      </c>
      <c r="E16" s="284" t="s">
        <v>99</v>
      </c>
      <c r="F16" s="287">
        <v>1</v>
      </c>
      <c r="G16" s="287">
        <f>APU!H62</f>
        <v>180</v>
      </c>
      <c r="H16" s="288">
        <f t="shared" si="0"/>
        <v>180</v>
      </c>
    </row>
    <row r="17" spans="3:8" x14ac:dyDescent="0.2">
      <c r="C17" s="289" t="s">
        <v>113</v>
      </c>
      <c r="D17" s="283" t="s">
        <v>114</v>
      </c>
      <c r="E17" s="284" t="s">
        <v>99</v>
      </c>
      <c r="F17" s="287">
        <v>1</v>
      </c>
      <c r="G17" s="287">
        <f>APU!H69</f>
        <v>32</v>
      </c>
      <c r="H17" s="288">
        <f t="shared" si="0"/>
        <v>32</v>
      </c>
    </row>
    <row r="18" spans="3:8" x14ac:dyDescent="0.2">
      <c r="C18" s="289" t="s">
        <v>115</v>
      </c>
      <c r="D18" s="283" t="s">
        <v>116</v>
      </c>
      <c r="E18" s="284" t="s">
        <v>99</v>
      </c>
      <c r="F18" s="287">
        <v>1</v>
      </c>
      <c r="G18" s="287">
        <f>APU!H76</f>
        <v>17.329999999999998</v>
      </c>
      <c r="H18" s="288">
        <f t="shared" si="0"/>
        <v>17.329999999999998</v>
      </c>
    </row>
    <row r="19" spans="3:8" x14ac:dyDescent="0.2">
      <c r="C19" s="289" t="s">
        <v>117</v>
      </c>
      <c r="D19" s="283" t="s">
        <v>118</v>
      </c>
      <c r="E19" s="376" t="s">
        <v>99</v>
      </c>
      <c r="F19" s="287">
        <v>0.35</v>
      </c>
      <c r="G19" s="287">
        <f>APU!H83</f>
        <v>46.8</v>
      </c>
      <c r="H19" s="288">
        <f t="shared" si="0"/>
        <v>16.38</v>
      </c>
    </row>
    <row r="20" spans="3:8" x14ac:dyDescent="0.2">
      <c r="C20" s="289" t="s">
        <v>119</v>
      </c>
      <c r="D20" s="283" t="s">
        <v>120</v>
      </c>
      <c r="E20" s="284" t="s">
        <v>99</v>
      </c>
      <c r="F20" s="287">
        <v>1</v>
      </c>
      <c r="G20" s="287">
        <f>APU!H90</f>
        <v>8.8000000000000007</v>
      </c>
      <c r="H20" s="288">
        <f t="shared" si="0"/>
        <v>8.8000000000000007</v>
      </c>
    </row>
    <row r="21" spans="3:8" x14ac:dyDescent="0.2">
      <c r="C21" s="289" t="s">
        <v>121</v>
      </c>
      <c r="D21" s="283" t="s">
        <v>122</v>
      </c>
      <c r="E21" s="376" t="s">
        <v>99</v>
      </c>
      <c r="F21" s="287">
        <v>6</v>
      </c>
      <c r="G21" s="287">
        <f>APU!H97</f>
        <v>92.4</v>
      </c>
      <c r="H21" s="288">
        <f t="shared" si="0"/>
        <v>554.40000000000009</v>
      </c>
    </row>
    <row r="22" spans="3:8" x14ac:dyDescent="0.2">
      <c r="C22" s="289" t="s">
        <v>123</v>
      </c>
      <c r="D22" s="283" t="s">
        <v>124</v>
      </c>
      <c r="E22" s="284" t="s">
        <v>99</v>
      </c>
      <c r="F22" s="287">
        <v>2</v>
      </c>
      <c r="G22" s="287">
        <f>APU!H104</f>
        <v>15.47</v>
      </c>
      <c r="H22" s="288">
        <f t="shared" si="0"/>
        <v>30.94</v>
      </c>
    </row>
    <row r="23" spans="3:8" x14ac:dyDescent="0.2">
      <c r="C23" s="289" t="s">
        <v>125</v>
      </c>
      <c r="D23" s="283" t="s">
        <v>126</v>
      </c>
      <c r="E23" s="284" t="s">
        <v>30</v>
      </c>
      <c r="F23" s="287">
        <v>1</v>
      </c>
      <c r="G23" s="287">
        <f>APU!H111</f>
        <v>93.33</v>
      </c>
      <c r="H23" s="288">
        <f t="shared" si="0"/>
        <v>93.33</v>
      </c>
    </row>
    <row r="24" spans="3:8" ht="14.4" customHeight="1" x14ac:dyDescent="0.2">
      <c r="C24" s="290" t="s">
        <v>127</v>
      </c>
      <c r="D24" s="291" t="s">
        <v>128</v>
      </c>
      <c r="E24" s="292"/>
      <c r="F24" s="293"/>
      <c r="G24" s="293"/>
      <c r="H24" s="294">
        <f>H25+H26+H27+H28+H29+H30</f>
        <v>3130.5148749999998</v>
      </c>
    </row>
    <row r="25" spans="3:8" x14ac:dyDescent="0.2">
      <c r="C25" s="289" t="s">
        <v>129</v>
      </c>
      <c r="D25" s="283" t="s">
        <v>130</v>
      </c>
      <c r="E25" s="284" t="s">
        <v>30</v>
      </c>
      <c r="F25" s="287">
        <v>1</v>
      </c>
      <c r="G25" s="287">
        <f>APU!H118</f>
        <v>802.58899999999994</v>
      </c>
      <c r="H25" s="288">
        <f t="shared" ref="H25:H30" si="1">G25*F25</f>
        <v>802.58899999999994</v>
      </c>
    </row>
    <row r="26" spans="3:8" x14ac:dyDescent="0.2">
      <c r="C26" s="289" t="s">
        <v>131</v>
      </c>
      <c r="D26" s="283" t="s">
        <v>132</v>
      </c>
      <c r="E26" s="284" t="s">
        <v>133</v>
      </c>
      <c r="F26" s="287">
        <v>33.75</v>
      </c>
      <c r="G26" s="287">
        <f>APU!H134</f>
        <v>14.866333333333333</v>
      </c>
      <c r="H26" s="288">
        <f t="shared" si="1"/>
        <v>501.73874999999998</v>
      </c>
    </row>
    <row r="27" spans="3:8" x14ac:dyDescent="0.2">
      <c r="C27" s="289" t="s">
        <v>134</v>
      </c>
      <c r="D27" s="283" t="s">
        <v>135</v>
      </c>
      <c r="E27" s="284" t="s">
        <v>99</v>
      </c>
      <c r="F27" s="287">
        <v>13</v>
      </c>
      <c r="G27" s="287">
        <f>APU!H146</f>
        <v>100.32362499999999</v>
      </c>
      <c r="H27" s="288">
        <f t="shared" si="1"/>
        <v>1304.2071249999999</v>
      </c>
    </row>
    <row r="28" spans="3:8" x14ac:dyDescent="0.2">
      <c r="C28" s="289" t="s">
        <v>136</v>
      </c>
      <c r="D28" s="373" t="s">
        <v>137</v>
      </c>
      <c r="E28" s="284" t="s">
        <v>30</v>
      </c>
      <c r="F28" s="287">
        <v>1</v>
      </c>
      <c r="G28" s="287">
        <f>APU!H160</f>
        <v>343.63550000000004</v>
      </c>
      <c r="H28" s="288">
        <f t="shared" si="1"/>
        <v>343.63550000000004</v>
      </c>
    </row>
    <row r="29" spans="3:8" x14ac:dyDescent="0.2">
      <c r="C29" s="289" t="s">
        <v>138</v>
      </c>
      <c r="D29" s="283" t="s">
        <v>139</v>
      </c>
      <c r="E29" s="284" t="s">
        <v>99</v>
      </c>
      <c r="F29" s="287">
        <v>1</v>
      </c>
      <c r="G29" s="287">
        <f>APU!H179</f>
        <v>89.172250000000005</v>
      </c>
      <c r="H29" s="288">
        <f t="shared" si="1"/>
        <v>89.172250000000005</v>
      </c>
    </row>
    <row r="30" spans="3:8" x14ac:dyDescent="0.2">
      <c r="C30" s="289" t="s">
        <v>140</v>
      </c>
      <c r="D30" s="283" t="s">
        <v>141</v>
      </c>
      <c r="E30" s="284" t="s">
        <v>99</v>
      </c>
      <c r="F30" s="287">
        <v>1</v>
      </c>
      <c r="G30" s="287">
        <f>APU!H191</f>
        <v>89.172250000000005</v>
      </c>
      <c r="H30" s="288">
        <f t="shared" si="1"/>
        <v>89.172250000000005</v>
      </c>
    </row>
    <row r="31" spans="3:8" ht="14.4" customHeight="1" x14ac:dyDescent="0.2">
      <c r="C31" s="290" t="s">
        <v>142</v>
      </c>
      <c r="D31" s="291" t="s">
        <v>143</v>
      </c>
      <c r="E31" s="292"/>
      <c r="F31" s="293"/>
      <c r="G31" s="293"/>
      <c r="H31" s="294">
        <f>H32</f>
        <v>800</v>
      </c>
    </row>
    <row r="32" spans="3:8" x14ac:dyDescent="0.2">
      <c r="C32" s="289" t="s">
        <v>144</v>
      </c>
      <c r="D32" s="283" t="s">
        <v>145</v>
      </c>
      <c r="E32" s="284" t="s">
        <v>30</v>
      </c>
      <c r="F32" s="287">
        <v>1</v>
      </c>
      <c r="G32" s="287">
        <f>APU!H203</f>
        <v>800</v>
      </c>
      <c r="H32" s="288">
        <f>G32*F32</f>
        <v>800</v>
      </c>
    </row>
    <row r="33" spans="3:8" ht="14.4" customHeight="1" x14ac:dyDescent="0.2">
      <c r="C33" s="290" t="s">
        <v>146</v>
      </c>
      <c r="D33" s="291" t="s">
        <v>147</v>
      </c>
      <c r="E33" s="292"/>
      <c r="F33" s="293"/>
      <c r="G33" s="293"/>
      <c r="H33" s="294">
        <f>H34+H35+H36</f>
        <v>118.89633333333333</v>
      </c>
    </row>
    <row r="34" spans="3:8" x14ac:dyDescent="0.2">
      <c r="C34" s="289" t="s">
        <v>148</v>
      </c>
      <c r="D34" s="283" t="s">
        <v>149</v>
      </c>
      <c r="E34" s="284" t="s">
        <v>30</v>
      </c>
      <c r="F34" s="287">
        <v>1</v>
      </c>
      <c r="G34" s="287">
        <f>APU!H210</f>
        <v>118.89633333333333</v>
      </c>
      <c r="H34" s="288">
        <f>G34*F34</f>
        <v>118.89633333333333</v>
      </c>
    </row>
    <row r="35" spans="3:8" x14ac:dyDescent="0.2">
      <c r="C35" s="289"/>
      <c r="D35" s="283"/>
      <c r="E35" s="284"/>
      <c r="F35" s="287"/>
      <c r="G35" s="287"/>
      <c r="H35" s="288"/>
    </row>
    <row r="36" spans="3:8" x14ac:dyDescent="0.2">
      <c r="C36" s="289"/>
      <c r="D36" s="283"/>
      <c r="E36" s="284"/>
      <c r="F36" s="287"/>
      <c r="G36" s="287"/>
      <c r="H36" s="288"/>
    </row>
    <row r="37" spans="3:8" ht="15.6" customHeight="1" x14ac:dyDescent="0.2">
      <c r="C37" s="289"/>
      <c r="D37" s="445" t="s">
        <v>150</v>
      </c>
      <c r="E37" s="446"/>
      <c r="F37" s="446"/>
      <c r="G37" s="447"/>
      <c r="H37" s="288">
        <f>H7+H9+H24+H31+H33</f>
        <v>5798.3445416666664</v>
      </c>
    </row>
  </sheetData>
  <mergeCells count="2">
    <mergeCell ref="D2:F2"/>
    <mergeCell ref="D37:G37"/>
  </mergeCells>
  <pageMargins left="0.74803149606299213" right="0.74803149606299213" top="0.98425196850393704" bottom="0.98425196850393704" header="0.51181102362204722" footer="0.51181102362204722"/>
  <pageSetup paperSize="9" scale="6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1"/>
  <dimension ref="A1:XBW232"/>
  <sheetViews>
    <sheetView view="pageBreakPreview" topLeftCell="A196" zoomScaleNormal="115" zoomScaleSheetLayoutView="100" workbookViewId="0">
      <selection activeCell="C200" sqref="C200"/>
    </sheetView>
  </sheetViews>
  <sheetFormatPr baseColWidth="10" defaultColWidth="11.42578125" defaultRowHeight="12.6" x14ac:dyDescent="0.25"/>
  <cols>
    <col min="1" max="3" width="22.7109375" style="367" customWidth="1"/>
    <col min="4" max="4" width="11.7109375" style="368" customWidth="1"/>
    <col min="5" max="5" width="19.85546875" style="369" customWidth="1"/>
    <col min="6" max="6" width="19.85546875" style="370" customWidth="1"/>
    <col min="7" max="8" width="19.85546875" style="371" customWidth="1"/>
    <col min="9" max="10" width="11.42578125" style="230" customWidth="1"/>
    <col min="11" max="16384" width="11.42578125" style="230"/>
  </cols>
  <sheetData>
    <row r="1" spans="1:8" ht="15" customHeight="1" x14ac:dyDescent="0.3">
      <c r="A1" s="448" t="s">
        <v>151</v>
      </c>
      <c r="B1" s="449"/>
      <c r="C1" s="449"/>
      <c r="D1" s="450"/>
      <c r="E1" s="451"/>
      <c r="F1" s="452"/>
      <c r="G1" s="453"/>
      <c r="H1" s="453"/>
    </row>
    <row r="2" spans="1:8" ht="15" customHeight="1" x14ac:dyDescent="0.3">
      <c r="A2" s="309" t="s">
        <v>152</v>
      </c>
      <c r="B2" s="309"/>
      <c r="C2" s="309"/>
      <c r="D2" s="309"/>
      <c r="E2" s="309"/>
      <c r="F2" s="309"/>
      <c r="G2" s="309"/>
      <c r="H2" s="309"/>
    </row>
    <row r="3" spans="1:8" ht="15" customHeight="1" x14ac:dyDescent="0.3">
      <c r="A3" s="309" t="s">
        <v>153</v>
      </c>
      <c r="B3" s="309"/>
      <c r="C3" s="309"/>
      <c r="D3" s="309"/>
      <c r="E3" s="309"/>
      <c r="F3" s="309"/>
      <c r="G3" s="309"/>
      <c r="H3" s="309"/>
    </row>
    <row r="4" spans="1:8" ht="15" customHeight="1" x14ac:dyDescent="0.3">
      <c r="A4" s="309" t="s">
        <v>154</v>
      </c>
      <c r="B4" s="309"/>
      <c r="C4" s="309"/>
      <c r="D4" s="309"/>
      <c r="E4" s="309"/>
      <c r="F4" s="309"/>
      <c r="G4" s="309"/>
      <c r="H4" s="309"/>
    </row>
    <row r="5" spans="1:8" ht="15" customHeight="1" x14ac:dyDescent="0.3">
      <c r="A5" s="309" t="s">
        <v>155</v>
      </c>
      <c r="B5" s="309"/>
      <c r="C5" s="309"/>
      <c r="D5" s="309"/>
      <c r="E5" s="309"/>
      <c r="F5" s="309"/>
      <c r="G5" s="309"/>
      <c r="H5" s="309"/>
    </row>
    <row r="6" spans="1:8" ht="15" customHeight="1" x14ac:dyDescent="0.3">
      <c r="A6" s="309" t="s">
        <v>156</v>
      </c>
      <c r="B6" s="309"/>
      <c r="C6" s="309"/>
      <c r="D6" s="309"/>
      <c r="E6" s="309"/>
      <c r="F6" s="309"/>
      <c r="G6" s="309"/>
      <c r="H6" s="309"/>
    </row>
    <row r="7" spans="1:8" ht="15" customHeight="1" x14ac:dyDescent="0.3">
      <c r="A7" s="309"/>
      <c r="B7" s="309"/>
      <c r="C7" s="309"/>
      <c r="D7" s="309"/>
      <c r="E7" s="309"/>
      <c r="F7" s="309"/>
      <c r="G7" s="309"/>
      <c r="H7" s="309"/>
    </row>
    <row r="8" spans="1:8" ht="15" customHeight="1" x14ac:dyDescent="0.3">
      <c r="A8" s="295" t="s">
        <v>157</v>
      </c>
      <c r="B8" s="295"/>
      <c r="C8" s="295"/>
      <c r="D8" s="295"/>
      <c r="E8" s="295"/>
      <c r="F8" s="295"/>
      <c r="G8" s="295"/>
      <c r="H8" s="295"/>
    </row>
    <row r="9" spans="1:8" ht="15" customHeight="1" x14ac:dyDescent="0.25">
      <c r="A9" s="285" t="s">
        <v>158</v>
      </c>
      <c r="B9" s="377">
        <v>3</v>
      </c>
      <c r="C9" s="285" t="s">
        <v>159</v>
      </c>
      <c r="D9" s="296"/>
      <c r="E9" s="327" t="s">
        <v>160</v>
      </c>
      <c r="F9" s="328"/>
      <c r="G9" s="297" t="s">
        <v>161</v>
      </c>
      <c r="H9" s="297">
        <f>H13+H16</f>
        <v>433.13333333333333</v>
      </c>
    </row>
    <row r="10" spans="1:8" ht="15" customHeight="1" x14ac:dyDescent="0.25">
      <c r="A10" s="296" t="s">
        <v>162</v>
      </c>
      <c r="B10" s="296"/>
      <c r="C10" s="296"/>
      <c r="D10" s="296" t="s">
        <v>163</v>
      </c>
      <c r="E10" s="329" t="s">
        <v>164</v>
      </c>
      <c r="F10" s="329" t="s">
        <v>24</v>
      </c>
      <c r="G10" s="298" t="s">
        <v>165</v>
      </c>
      <c r="H10" s="298" t="s">
        <v>166</v>
      </c>
    </row>
    <row r="11" spans="1:8" x14ac:dyDescent="0.25">
      <c r="A11" s="367" t="s">
        <v>167</v>
      </c>
      <c r="D11" s="368" t="s">
        <v>168</v>
      </c>
      <c r="E11" s="369">
        <v>1</v>
      </c>
      <c r="F11" s="370">
        <f>10/B9</f>
        <v>3.3333333333333335</v>
      </c>
      <c r="G11" s="371">
        <v>13.94</v>
      </c>
      <c r="H11" s="371">
        <f>E11*F11*G11</f>
        <v>46.466666666666669</v>
      </c>
    </row>
    <row r="12" spans="1:8" x14ac:dyDescent="0.25">
      <c r="A12" s="367" t="s">
        <v>169</v>
      </c>
      <c r="D12" s="368" t="s">
        <v>168</v>
      </c>
      <c r="E12" s="369">
        <v>2</v>
      </c>
      <c r="F12" s="370">
        <f>10/B9</f>
        <v>3.3333333333333335</v>
      </c>
      <c r="G12" s="371">
        <v>13</v>
      </c>
      <c r="H12" s="371">
        <f>E12*F12*G12</f>
        <v>86.666666666666671</v>
      </c>
    </row>
    <row r="13" spans="1:8" ht="15" customHeight="1" x14ac:dyDescent="0.25">
      <c r="A13" s="299"/>
      <c r="B13" s="299"/>
      <c r="C13" s="299"/>
      <c r="D13" s="300"/>
      <c r="E13" s="330"/>
      <c r="F13" s="331"/>
      <c r="G13" s="301" t="s">
        <v>170</v>
      </c>
      <c r="H13" s="301">
        <f>SUM(H11:H12)</f>
        <v>133.13333333333333</v>
      </c>
    </row>
    <row r="15" spans="1:8" ht="15" customHeight="1" x14ac:dyDescent="0.25">
      <c r="A15" s="367" t="s">
        <v>171</v>
      </c>
      <c r="D15" s="368" t="s">
        <v>172</v>
      </c>
      <c r="F15" s="370">
        <v>4</v>
      </c>
      <c r="G15" s="371">
        <v>75</v>
      </c>
      <c r="H15" s="371">
        <f>F15*G15</f>
        <v>300</v>
      </c>
    </row>
    <row r="16" spans="1:8" ht="15" customHeight="1" x14ac:dyDescent="0.25">
      <c r="A16" s="299"/>
      <c r="B16" s="299"/>
      <c r="C16" s="299"/>
      <c r="D16" s="300"/>
      <c r="E16" s="330"/>
      <c r="F16" s="331"/>
      <c r="G16" s="301" t="s">
        <v>173</v>
      </c>
      <c r="H16" s="301">
        <f>SUM(H15:H15)</f>
        <v>300</v>
      </c>
    </row>
    <row r="18" spans="1:8" ht="15" customHeight="1" x14ac:dyDescent="0.25"/>
    <row r="19" spans="1:8" ht="15" customHeight="1" x14ac:dyDescent="0.3">
      <c r="A19" s="295" t="s">
        <v>174</v>
      </c>
      <c r="B19" s="295"/>
      <c r="C19" s="295"/>
      <c r="D19" s="295"/>
      <c r="E19" s="295"/>
      <c r="F19" s="295"/>
      <c r="G19" s="295"/>
      <c r="H19" s="295"/>
    </row>
    <row r="20" spans="1:8" ht="15" customHeight="1" x14ac:dyDescent="0.25">
      <c r="A20" s="285" t="s">
        <v>175</v>
      </c>
      <c r="B20" s="285"/>
      <c r="C20" s="285"/>
      <c r="D20" s="296"/>
      <c r="E20" s="327" t="s">
        <v>176</v>
      </c>
      <c r="F20" s="328"/>
      <c r="G20" s="297" t="s">
        <v>161</v>
      </c>
      <c r="H20" s="297">
        <f>H23</f>
        <v>28.5</v>
      </c>
    </row>
    <row r="21" spans="1:8" ht="15" customHeight="1" x14ac:dyDescent="0.25">
      <c r="A21" s="296" t="s">
        <v>162</v>
      </c>
      <c r="B21" s="296"/>
      <c r="C21" s="296"/>
      <c r="D21" s="296" t="s">
        <v>163</v>
      </c>
      <c r="E21" s="329" t="s">
        <v>164</v>
      </c>
      <c r="F21" s="329" t="s">
        <v>24</v>
      </c>
      <c r="G21" s="298" t="s">
        <v>165</v>
      </c>
      <c r="H21" s="298" t="s">
        <v>166</v>
      </c>
    </row>
    <row r="22" spans="1:8" ht="15" customHeight="1" x14ac:dyDescent="0.25">
      <c r="A22" s="367" t="s">
        <v>177</v>
      </c>
      <c r="D22" s="368" t="s">
        <v>99</v>
      </c>
      <c r="F22" s="370">
        <v>1</v>
      </c>
      <c r="G22" s="371">
        <v>28.5</v>
      </c>
      <c r="H22" s="371">
        <f>F22*G22</f>
        <v>28.5</v>
      </c>
    </row>
    <row r="23" spans="1:8" ht="15" customHeight="1" x14ac:dyDescent="0.25">
      <c r="A23" s="299"/>
      <c r="B23" s="299"/>
      <c r="C23" s="299"/>
      <c r="D23" s="300"/>
      <c r="E23" s="330"/>
      <c r="F23" s="331"/>
      <c r="G23" s="301" t="s">
        <v>178</v>
      </c>
      <c r="H23" s="301">
        <f>SUM(H22:H22)</f>
        <v>28.5</v>
      </c>
    </row>
    <row r="26" spans="1:8" ht="15" customHeight="1" x14ac:dyDescent="0.3">
      <c r="A26" s="295" t="s">
        <v>179</v>
      </c>
      <c r="B26" s="295"/>
      <c r="C26" s="295"/>
      <c r="D26" s="295"/>
      <c r="E26" s="295"/>
      <c r="F26" s="295"/>
      <c r="G26" s="295"/>
      <c r="H26" s="295"/>
    </row>
    <row r="27" spans="1:8" ht="15" customHeight="1" x14ac:dyDescent="0.25">
      <c r="A27" s="285" t="s">
        <v>175</v>
      </c>
      <c r="B27" s="285"/>
      <c r="C27" s="285"/>
      <c r="D27" s="296"/>
      <c r="E27" s="327" t="s">
        <v>176</v>
      </c>
      <c r="F27" s="328"/>
      <c r="G27" s="297" t="s">
        <v>161</v>
      </c>
      <c r="H27" s="297">
        <f>H30</f>
        <v>24.44</v>
      </c>
    </row>
    <row r="28" spans="1:8" ht="15" customHeight="1" x14ac:dyDescent="0.25">
      <c r="A28" s="296" t="s">
        <v>162</v>
      </c>
      <c r="B28" s="296"/>
      <c r="C28" s="296"/>
      <c r="D28" s="296" t="s">
        <v>163</v>
      </c>
      <c r="E28" s="329" t="s">
        <v>164</v>
      </c>
      <c r="F28" s="329" t="s">
        <v>24</v>
      </c>
      <c r="G28" s="298" t="s">
        <v>165</v>
      </c>
      <c r="H28" s="298" t="s">
        <v>166</v>
      </c>
    </row>
    <row r="29" spans="1:8" x14ac:dyDescent="0.25">
      <c r="A29" s="367" t="s">
        <v>180</v>
      </c>
      <c r="D29" s="368" t="s">
        <v>99</v>
      </c>
      <c r="F29" s="370">
        <v>1</v>
      </c>
      <c r="G29" s="371">
        <v>24.44</v>
      </c>
      <c r="H29" s="371">
        <f>F29*G29</f>
        <v>24.44</v>
      </c>
    </row>
    <row r="30" spans="1:8" ht="15" customHeight="1" x14ac:dyDescent="0.25">
      <c r="A30" s="299"/>
      <c r="B30" s="299"/>
      <c r="C30" s="299"/>
      <c r="D30" s="300"/>
      <c r="E30" s="330"/>
      <c r="F30" s="331"/>
      <c r="G30" s="301" t="s">
        <v>178</v>
      </c>
      <c r="H30" s="301">
        <f>SUM(H29:H29)</f>
        <v>24.44</v>
      </c>
    </row>
    <row r="31" spans="1:8" ht="15" customHeight="1" x14ac:dyDescent="0.25"/>
    <row r="33" spans="1:9" ht="15" customHeight="1" x14ac:dyDescent="0.3">
      <c r="A33" s="295" t="s">
        <v>181</v>
      </c>
      <c r="B33" s="295"/>
      <c r="C33" s="295"/>
      <c r="D33" s="295"/>
      <c r="E33" s="295"/>
      <c r="F33" s="295"/>
      <c r="G33" s="295"/>
      <c r="H33" s="295"/>
    </row>
    <row r="34" spans="1:9" ht="15" customHeight="1" x14ac:dyDescent="0.25">
      <c r="A34" s="285" t="s">
        <v>175</v>
      </c>
      <c r="B34" s="285"/>
      <c r="C34" s="285"/>
      <c r="D34" s="296"/>
      <c r="E34" s="327" t="s">
        <v>176</v>
      </c>
      <c r="F34" s="328"/>
      <c r="G34" s="297" t="s">
        <v>161</v>
      </c>
      <c r="H34" s="297">
        <f>H37</f>
        <v>18.8</v>
      </c>
    </row>
    <row r="35" spans="1:9" ht="15" customHeight="1" x14ac:dyDescent="0.25">
      <c r="A35" s="296" t="s">
        <v>162</v>
      </c>
      <c r="B35" s="296"/>
      <c r="C35" s="296"/>
      <c r="D35" s="296" t="s">
        <v>163</v>
      </c>
      <c r="E35" s="329" t="s">
        <v>164</v>
      </c>
      <c r="F35" s="329" t="s">
        <v>24</v>
      </c>
      <c r="G35" s="298" t="s">
        <v>165</v>
      </c>
      <c r="H35" s="298" t="s">
        <v>166</v>
      </c>
    </row>
    <row r="36" spans="1:9" ht="15" customHeight="1" x14ac:dyDescent="0.25">
      <c r="A36" s="367" t="s">
        <v>103</v>
      </c>
      <c r="D36" s="368" t="s">
        <v>99</v>
      </c>
      <c r="F36" s="370">
        <v>1</v>
      </c>
      <c r="G36" s="371">
        <v>18.8</v>
      </c>
      <c r="H36" s="371">
        <f>F36*G36</f>
        <v>18.8</v>
      </c>
    </row>
    <row r="37" spans="1:9" ht="15" customHeight="1" x14ac:dyDescent="0.25">
      <c r="A37" s="299"/>
      <c r="B37" s="299"/>
      <c r="C37" s="299"/>
      <c r="D37" s="300"/>
      <c r="E37" s="330"/>
      <c r="F37" s="331"/>
      <c r="G37" s="301" t="s">
        <v>178</v>
      </c>
      <c r="H37" s="301">
        <f>SUM(H36:H36)</f>
        <v>18.8</v>
      </c>
    </row>
    <row r="40" spans="1:9" ht="15" customHeight="1" x14ac:dyDescent="0.3">
      <c r="A40" s="295" t="s">
        <v>182</v>
      </c>
      <c r="B40" s="295"/>
      <c r="C40" s="295"/>
      <c r="D40" s="295"/>
      <c r="E40" s="295"/>
      <c r="F40" s="295"/>
      <c r="G40" s="295"/>
      <c r="H40" s="295"/>
    </row>
    <row r="41" spans="1:9" ht="15" customHeight="1" x14ac:dyDescent="0.25">
      <c r="A41" s="285" t="s">
        <v>175</v>
      </c>
      <c r="B41" s="285"/>
      <c r="C41" s="285"/>
      <c r="D41" s="296"/>
      <c r="E41" s="327" t="s">
        <v>176</v>
      </c>
      <c r="F41" s="328"/>
      <c r="G41" s="297" t="s">
        <v>161</v>
      </c>
      <c r="H41" s="297">
        <f>H44</f>
        <v>15.6</v>
      </c>
      <c r="I41" s="378"/>
    </row>
    <row r="42" spans="1:9" ht="15" customHeight="1" x14ac:dyDescent="0.25">
      <c r="A42" s="296" t="s">
        <v>162</v>
      </c>
      <c r="B42" s="296"/>
      <c r="C42" s="296"/>
      <c r="D42" s="296" t="s">
        <v>163</v>
      </c>
      <c r="E42" s="329" t="s">
        <v>164</v>
      </c>
      <c r="F42" s="329" t="s">
        <v>24</v>
      </c>
      <c r="G42" s="298" t="s">
        <v>165</v>
      </c>
      <c r="H42" s="298" t="s">
        <v>166</v>
      </c>
    </row>
    <row r="43" spans="1:9" x14ac:dyDescent="0.25">
      <c r="A43" s="367" t="s">
        <v>105</v>
      </c>
      <c r="D43" s="368" t="s">
        <v>99</v>
      </c>
      <c r="F43" s="370">
        <v>1</v>
      </c>
      <c r="G43" s="371">
        <v>15.6</v>
      </c>
      <c r="H43" s="371">
        <f>F43*G43</f>
        <v>15.6</v>
      </c>
    </row>
    <row r="44" spans="1:9" ht="15" customHeight="1" x14ac:dyDescent="0.25">
      <c r="A44" s="299"/>
      <c r="B44" s="299"/>
      <c r="C44" s="299"/>
      <c r="D44" s="300"/>
      <c r="E44" s="330"/>
      <c r="F44" s="331"/>
      <c r="G44" s="301" t="s">
        <v>178</v>
      </c>
      <c r="H44" s="301">
        <f>SUM(H43:H43)</f>
        <v>15.6</v>
      </c>
      <c r="I44" s="378"/>
    </row>
    <row r="45" spans="1:9" ht="15" customHeight="1" x14ac:dyDescent="0.25"/>
    <row r="46" spans="1:9" ht="15" customHeight="1" x14ac:dyDescent="0.25"/>
    <row r="47" spans="1:9" ht="15" customHeight="1" x14ac:dyDescent="0.3">
      <c r="A47" s="295" t="s">
        <v>183</v>
      </c>
      <c r="B47" s="295"/>
      <c r="C47" s="295"/>
      <c r="D47" s="295"/>
      <c r="E47" s="295"/>
      <c r="F47" s="295"/>
      <c r="G47" s="295"/>
      <c r="H47" s="295"/>
    </row>
    <row r="48" spans="1:9" ht="15" customHeight="1" x14ac:dyDescent="0.25">
      <c r="A48" s="285" t="s">
        <v>175</v>
      </c>
      <c r="B48" s="285"/>
      <c r="C48" s="285"/>
      <c r="D48" s="296"/>
      <c r="E48" s="327" t="s">
        <v>176</v>
      </c>
      <c r="F48" s="328"/>
      <c r="G48" s="297" t="s">
        <v>161</v>
      </c>
      <c r="H48" s="297">
        <f>H51</f>
        <v>7.47</v>
      </c>
    </row>
    <row r="49" spans="1:9" ht="15" customHeight="1" x14ac:dyDescent="0.25">
      <c r="A49" s="296" t="s">
        <v>162</v>
      </c>
      <c r="B49" s="296"/>
      <c r="C49" s="296"/>
      <c r="D49" s="296" t="s">
        <v>163</v>
      </c>
      <c r="E49" s="329" t="s">
        <v>164</v>
      </c>
      <c r="F49" s="329" t="s">
        <v>24</v>
      </c>
      <c r="G49" s="298" t="s">
        <v>165</v>
      </c>
      <c r="H49" s="298" t="s">
        <v>166</v>
      </c>
      <c r="I49" s="274"/>
    </row>
    <row r="50" spans="1:9" ht="15" customHeight="1" x14ac:dyDescent="0.25">
      <c r="A50" s="367" t="s">
        <v>107</v>
      </c>
      <c r="D50" s="368" t="s">
        <v>99</v>
      </c>
      <c r="F50" s="370">
        <v>1</v>
      </c>
      <c r="G50" s="371">
        <v>7.47</v>
      </c>
      <c r="H50" s="371">
        <f>F50*G50</f>
        <v>7.47</v>
      </c>
    </row>
    <row r="51" spans="1:9" ht="15" customHeight="1" x14ac:dyDescent="0.25">
      <c r="A51" s="299"/>
      <c r="B51" s="299"/>
      <c r="C51" s="299"/>
      <c r="D51" s="300"/>
      <c r="E51" s="330"/>
      <c r="F51" s="331"/>
      <c r="G51" s="301" t="s">
        <v>178</v>
      </c>
      <c r="H51" s="301">
        <f>SUM(H50:H50)</f>
        <v>7.47</v>
      </c>
      <c r="I51" s="275"/>
    </row>
    <row r="53" spans="1:9" x14ac:dyDescent="0.25">
      <c r="I53" s="379"/>
    </row>
    <row r="54" spans="1:9" ht="15" customHeight="1" x14ac:dyDescent="0.3">
      <c r="A54" s="295" t="s">
        <v>184</v>
      </c>
      <c r="B54" s="295"/>
      <c r="C54" s="295"/>
      <c r="D54" s="295"/>
      <c r="E54" s="295"/>
      <c r="F54" s="295"/>
      <c r="G54" s="295"/>
      <c r="H54" s="295"/>
      <c r="I54" s="276"/>
    </row>
    <row r="55" spans="1:9" ht="15" customHeight="1" x14ac:dyDescent="0.25">
      <c r="A55" s="285" t="s">
        <v>185</v>
      </c>
      <c r="B55" s="285"/>
      <c r="C55" s="285"/>
      <c r="D55" s="296"/>
      <c r="E55" s="327" t="s">
        <v>186</v>
      </c>
      <c r="F55" s="328"/>
      <c r="G55" s="297" t="s">
        <v>161</v>
      </c>
      <c r="H55" s="297">
        <f>H58</f>
        <v>42.6</v>
      </c>
    </row>
    <row r="56" spans="1:9" ht="15" customHeight="1" x14ac:dyDescent="0.25">
      <c r="A56" s="296" t="s">
        <v>162</v>
      </c>
      <c r="B56" s="296"/>
      <c r="C56" s="296"/>
      <c r="D56" s="296" t="s">
        <v>163</v>
      </c>
      <c r="E56" s="329" t="s">
        <v>164</v>
      </c>
      <c r="F56" s="329" t="s">
        <v>24</v>
      </c>
      <c r="G56" s="298" t="s">
        <v>165</v>
      </c>
      <c r="H56" s="298" t="s">
        <v>166</v>
      </c>
    </row>
    <row r="57" spans="1:9" x14ac:dyDescent="0.25">
      <c r="A57" s="367" t="s">
        <v>109</v>
      </c>
      <c r="D57" s="368" t="s">
        <v>110</v>
      </c>
      <c r="F57" s="370">
        <v>1</v>
      </c>
      <c r="G57" s="371">
        <v>42.6</v>
      </c>
      <c r="H57" s="371">
        <f>F57*G57</f>
        <v>42.6</v>
      </c>
    </row>
    <row r="58" spans="1:9" ht="15" customHeight="1" x14ac:dyDescent="0.25">
      <c r="A58" s="299"/>
      <c r="B58" s="299"/>
      <c r="C58" s="299"/>
      <c r="D58" s="300"/>
      <c r="E58" s="330"/>
      <c r="F58" s="331"/>
      <c r="G58" s="301" t="s">
        <v>178</v>
      </c>
      <c r="H58" s="301">
        <f>SUM(H57:H57)</f>
        <v>42.6</v>
      </c>
      <c r="I58" s="379"/>
    </row>
    <row r="59" spans="1:9" ht="15" customHeight="1" x14ac:dyDescent="0.25"/>
    <row r="61" spans="1:9" ht="15" customHeight="1" x14ac:dyDescent="0.3">
      <c r="A61" s="295" t="s">
        <v>187</v>
      </c>
      <c r="B61" s="295"/>
      <c r="C61" s="295"/>
      <c r="D61" s="295"/>
      <c r="E61" s="295"/>
      <c r="F61" s="295"/>
      <c r="G61" s="295"/>
      <c r="H61" s="295"/>
    </row>
    <row r="62" spans="1:9" ht="15" customHeight="1" x14ac:dyDescent="0.25">
      <c r="A62" s="285" t="s">
        <v>175</v>
      </c>
      <c r="B62" s="285"/>
      <c r="C62" s="285"/>
      <c r="D62" s="296"/>
      <c r="E62" s="327" t="s">
        <v>176</v>
      </c>
      <c r="F62" s="328"/>
      <c r="G62" s="297" t="s">
        <v>161</v>
      </c>
      <c r="H62" s="297">
        <f>H65</f>
        <v>180</v>
      </c>
    </row>
    <row r="63" spans="1:9" ht="15" customHeight="1" x14ac:dyDescent="0.25">
      <c r="A63" s="296" t="s">
        <v>162</v>
      </c>
      <c r="B63" s="296"/>
      <c r="C63" s="296"/>
      <c r="D63" s="296" t="s">
        <v>163</v>
      </c>
      <c r="E63" s="329" t="s">
        <v>164</v>
      </c>
      <c r="F63" s="329" t="s">
        <v>24</v>
      </c>
      <c r="G63" s="298" t="s">
        <v>165</v>
      </c>
      <c r="H63" s="298" t="s">
        <v>166</v>
      </c>
    </row>
    <row r="64" spans="1:9" ht="15" customHeight="1" x14ac:dyDescent="0.25">
      <c r="A64" s="367" t="s">
        <v>188</v>
      </c>
      <c r="D64" s="368" t="s">
        <v>99</v>
      </c>
      <c r="F64" s="370">
        <v>1</v>
      </c>
      <c r="G64" s="371">
        <v>180</v>
      </c>
      <c r="H64" s="371">
        <f>F64*G64</f>
        <v>180</v>
      </c>
    </row>
    <row r="65" spans="1:8" ht="15" customHeight="1" x14ac:dyDescent="0.25">
      <c r="A65" s="299"/>
      <c r="B65" s="299"/>
      <c r="C65" s="299"/>
      <c r="D65" s="300"/>
      <c r="E65" s="330"/>
      <c r="F65" s="331"/>
      <c r="G65" s="301" t="s">
        <v>178</v>
      </c>
      <c r="H65" s="301">
        <f>SUM(H64:H64)</f>
        <v>180</v>
      </c>
    </row>
    <row r="68" spans="1:8" ht="15" customHeight="1" x14ac:dyDescent="0.3">
      <c r="A68" s="295" t="s">
        <v>189</v>
      </c>
      <c r="B68" s="295"/>
      <c r="C68" s="295"/>
      <c r="D68" s="295"/>
      <c r="E68" s="295"/>
      <c r="F68" s="295"/>
      <c r="G68" s="295"/>
      <c r="H68" s="295"/>
    </row>
    <row r="69" spans="1:8" ht="15" customHeight="1" x14ac:dyDescent="0.25">
      <c r="A69" s="285" t="s">
        <v>175</v>
      </c>
      <c r="B69" s="285"/>
      <c r="C69" s="285"/>
      <c r="D69" s="296"/>
      <c r="E69" s="327" t="s">
        <v>176</v>
      </c>
      <c r="F69" s="328"/>
      <c r="G69" s="297" t="s">
        <v>161</v>
      </c>
      <c r="H69" s="297">
        <f>H72</f>
        <v>32</v>
      </c>
    </row>
    <row r="70" spans="1:8" ht="15" customHeight="1" x14ac:dyDescent="0.25">
      <c r="A70" s="296" t="s">
        <v>162</v>
      </c>
      <c r="B70" s="296"/>
      <c r="C70" s="296"/>
      <c r="D70" s="296" t="s">
        <v>163</v>
      </c>
      <c r="E70" s="329" t="s">
        <v>164</v>
      </c>
      <c r="F70" s="329" t="s">
        <v>24</v>
      </c>
      <c r="G70" s="298" t="s">
        <v>165</v>
      </c>
      <c r="H70" s="298" t="s">
        <v>166</v>
      </c>
    </row>
    <row r="71" spans="1:8" x14ac:dyDescent="0.25">
      <c r="A71" s="367" t="s">
        <v>114</v>
      </c>
      <c r="D71" s="368" t="s">
        <v>99</v>
      </c>
      <c r="F71" s="370">
        <v>1</v>
      </c>
      <c r="G71" s="371">
        <v>32</v>
      </c>
      <c r="H71" s="371">
        <f>F71*G71</f>
        <v>32</v>
      </c>
    </row>
    <row r="72" spans="1:8" ht="15" customHeight="1" x14ac:dyDescent="0.25">
      <c r="A72" s="299"/>
      <c r="B72" s="299"/>
      <c r="C72" s="299"/>
      <c r="D72" s="300"/>
      <c r="E72" s="330"/>
      <c r="F72" s="331"/>
      <c r="G72" s="301" t="s">
        <v>178</v>
      </c>
      <c r="H72" s="301">
        <f>SUM(H71:H71)</f>
        <v>32</v>
      </c>
    </row>
    <row r="75" spans="1:8" ht="15" customHeight="1" x14ac:dyDescent="0.3">
      <c r="A75" s="295" t="s">
        <v>190</v>
      </c>
      <c r="B75" s="295"/>
      <c r="C75" s="295"/>
      <c r="D75" s="295"/>
      <c r="E75" s="295"/>
      <c r="F75" s="295"/>
      <c r="G75" s="295"/>
      <c r="H75" s="295"/>
    </row>
    <row r="76" spans="1:8" ht="15" customHeight="1" x14ac:dyDescent="0.25">
      <c r="A76" s="285" t="s">
        <v>175</v>
      </c>
      <c r="B76" s="285"/>
      <c r="C76" s="285"/>
      <c r="D76" s="296"/>
      <c r="E76" s="327" t="s">
        <v>176</v>
      </c>
      <c r="F76" s="328"/>
      <c r="G76" s="297" t="s">
        <v>161</v>
      </c>
      <c r="H76" s="297">
        <f>H79</f>
        <v>17.329999999999998</v>
      </c>
    </row>
    <row r="77" spans="1:8" ht="15" customHeight="1" x14ac:dyDescent="0.25">
      <c r="A77" s="296" t="s">
        <v>162</v>
      </c>
      <c r="B77" s="296"/>
      <c r="C77" s="296"/>
      <c r="D77" s="296" t="s">
        <v>163</v>
      </c>
      <c r="E77" s="329" t="s">
        <v>164</v>
      </c>
      <c r="F77" s="329" t="s">
        <v>24</v>
      </c>
      <c r="G77" s="298" t="s">
        <v>165</v>
      </c>
      <c r="H77" s="298" t="s">
        <v>166</v>
      </c>
    </row>
    <row r="78" spans="1:8" x14ac:dyDescent="0.25">
      <c r="A78" s="367" t="s">
        <v>116</v>
      </c>
      <c r="D78" s="368" t="s">
        <v>99</v>
      </c>
      <c r="F78" s="370">
        <v>1</v>
      </c>
      <c r="G78" s="371">
        <v>17.329999999999998</v>
      </c>
      <c r="H78" s="371">
        <f>F78*G78</f>
        <v>17.329999999999998</v>
      </c>
    </row>
    <row r="79" spans="1:8" ht="15" customHeight="1" x14ac:dyDescent="0.25">
      <c r="A79" s="299"/>
      <c r="B79" s="299"/>
      <c r="C79" s="299"/>
      <c r="D79" s="300"/>
      <c r="E79" s="330"/>
      <c r="F79" s="331"/>
      <c r="G79" s="301" t="s">
        <v>178</v>
      </c>
      <c r="H79" s="301">
        <f>SUM(H78:H78)</f>
        <v>17.329999999999998</v>
      </c>
    </row>
    <row r="82" spans="1:8" ht="15" customHeight="1" x14ac:dyDescent="0.3">
      <c r="A82" s="295" t="s">
        <v>191</v>
      </c>
      <c r="B82" s="295"/>
      <c r="C82" s="295"/>
      <c r="D82" s="295"/>
      <c r="E82" s="295"/>
      <c r="F82" s="295"/>
      <c r="G82" s="295"/>
      <c r="H82" s="295"/>
    </row>
    <row r="83" spans="1:8" ht="15" customHeight="1" x14ac:dyDescent="0.25">
      <c r="A83" s="285" t="s">
        <v>192</v>
      </c>
      <c r="B83" s="285"/>
      <c r="C83" s="285"/>
      <c r="D83" s="296"/>
      <c r="E83" s="327" t="s">
        <v>193</v>
      </c>
      <c r="F83" s="328"/>
      <c r="G83" s="297" t="s">
        <v>161</v>
      </c>
      <c r="H83" s="297">
        <f>H86</f>
        <v>46.8</v>
      </c>
    </row>
    <row r="84" spans="1:8" ht="15" customHeight="1" x14ac:dyDescent="0.25">
      <c r="A84" s="296" t="s">
        <v>162</v>
      </c>
      <c r="B84" s="296"/>
      <c r="C84" s="296"/>
      <c r="D84" s="296" t="s">
        <v>163</v>
      </c>
      <c r="E84" s="329" t="s">
        <v>164</v>
      </c>
      <c r="F84" s="329" t="s">
        <v>24</v>
      </c>
      <c r="G84" s="298" t="s">
        <v>165</v>
      </c>
      <c r="H84" s="298" t="s">
        <v>166</v>
      </c>
    </row>
    <row r="85" spans="1:8" x14ac:dyDescent="0.25">
      <c r="A85" s="375" t="s">
        <v>194</v>
      </c>
      <c r="D85" s="374" t="s">
        <v>99</v>
      </c>
      <c r="F85" s="370">
        <v>1</v>
      </c>
      <c r="G85" s="371">
        <v>46.8</v>
      </c>
      <c r="H85" s="371">
        <f>F85*G85</f>
        <v>46.8</v>
      </c>
    </row>
    <row r="86" spans="1:8" ht="15" customHeight="1" x14ac:dyDescent="0.25">
      <c r="A86" s="299"/>
      <c r="B86" s="299"/>
      <c r="C86" s="299"/>
      <c r="D86" s="300"/>
      <c r="E86" s="330"/>
      <c r="F86" s="331"/>
      <c r="G86" s="301" t="s">
        <v>178</v>
      </c>
      <c r="H86" s="301">
        <f>SUM(H85:H85)</f>
        <v>46.8</v>
      </c>
    </row>
    <row r="89" spans="1:8" ht="15" customHeight="1" x14ac:dyDescent="0.3">
      <c r="A89" s="295" t="s">
        <v>195</v>
      </c>
      <c r="B89" s="295"/>
      <c r="C89" s="295"/>
      <c r="D89" s="295"/>
      <c r="E89" s="295"/>
      <c r="F89" s="295"/>
      <c r="G89" s="295"/>
      <c r="H89" s="295"/>
    </row>
    <row r="90" spans="1:8" ht="15" customHeight="1" x14ac:dyDescent="0.25">
      <c r="A90" s="285" t="s">
        <v>175</v>
      </c>
      <c r="B90" s="285"/>
      <c r="C90" s="285"/>
      <c r="D90" s="296"/>
      <c r="E90" s="327" t="s">
        <v>176</v>
      </c>
      <c r="F90" s="328"/>
      <c r="G90" s="297" t="s">
        <v>161</v>
      </c>
      <c r="H90" s="297">
        <f>H93</f>
        <v>8.8000000000000007</v>
      </c>
    </row>
    <row r="91" spans="1:8" ht="15" customHeight="1" x14ac:dyDescent="0.25">
      <c r="A91" s="296" t="s">
        <v>162</v>
      </c>
      <c r="B91" s="296"/>
      <c r="C91" s="296"/>
      <c r="D91" s="296" t="s">
        <v>163</v>
      </c>
      <c r="E91" s="329" t="s">
        <v>164</v>
      </c>
      <c r="F91" s="329" t="s">
        <v>24</v>
      </c>
      <c r="G91" s="298" t="s">
        <v>165</v>
      </c>
      <c r="H91" s="298" t="s">
        <v>166</v>
      </c>
    </row>
    <row r="92" spans="1:8" x14ac:dyDescent="0.25">
      <c r="A92" s="367" t="s">
        <v>120</v>
      </c>
      <c r="D92" s="368" t="s">
        <v>99</v>
      </c>
      <c r="F92" s="370">
        <v>1</v>
      </c>
      <c r="G92" s="371">
        <v>8.8000000000000007</v>
      </c>
      <c r="H92" s="371">
        <f>F92*G92</f>
        <v>8.8000000000000007</v>
      </c>
    </row>
    <row r="93" spans="1:8" ht="15" customHeight="1" x14ac:dyDescent="0.25">
      <c r="A93" s="299"/>
      <c r="B93" s="299"/>
      <c r="C93" s="299"/>
      <c r="D93" s="300"/>
      <c r="E93" s="330"/>
      <c r="F93" s="331"/>
      <c r="G93" s="301" t="s">
        <v>178</v>
      </c>
      <c r="H93" s="301">
        <f>SUM(H92:H92)</f>
        <v>8.8000000000000007</v>
      </c>
    </row>
    <row r="96" spans="1:8" ht="15" customHeight="1" x14ac:dyDescent="0.3">
      <c r="A96" s="295" t="s">
        <v>196</v>
      </c>
      <c r="B96" s="295"/>
      <c r="C96" s="295"/>
      <c r="D96" s="295"/>
      <c r="E96" s="295"/>
      <c r="F96" s="295"/>
      <c r="G96" s="295"/>
      <c r="H96" s="295"/>
    </row>
    <row r="97" spans="1:8" ht="15" customHeight="1" x14ac:dyDescent="0.25">
      <c r="A97" s="285" t="s">
        <v>192</v>
      </c>
      <c r="B97" s="285"/>
      <c r="C97" s="285"/>
      <c r="D97" s="296"/>
      <c r="E97" s="327" t="s">
        <v>193</v>
      </c>
      <c r="F97" s="328"/>
      <c r="G97" s="297" t="s">
        <v>161</v>
      </c>
      <c r="H97" s="297">
        <f>H100</f>
        <v>92.4</v>
      </c>
    </row>
    <row r="98" spans="1:8" ht="15" customHeight="1" x14ac:dyDescent="0.25">
      <c r="A98" s="296" t="s">
        <v>162</v>
      </c>
      <c r="B98" s="296"/>
      <c r="C98" s="296"/>
      <c r="D98" s="296" t="s">
        <v>163</v>
      </c>
      <c r="E98" s="329" t="s">
        <v>164</v>
      </c>
      <c r="F98" s="329" t="s">
        <v>24</v>
      </c>
      <c r="G98" s="298" t="s">
        <v>165</v>
      </c>
      <c r="H98" s="298" t="s">
        <v>166</v>
      </c>
    </row>
    <row r="99" spans="1:8" x14ac:dyDescent="0.25">
      <c r="A99" s="375" t="s">
        <v>197</v>
      </c>
      <c r="D99" s="374" t="s">
        <v>99</v>
      </c>
      <c r="F99" s="370">
        <v>1</v>
      </c>
      <c r="G99" s="371">
        <v>92.4</v>
      </c>
      <c r="H99" s="371">
        <f>F99*G99</f>
        <v>92.4</v>
      </c>
    </row>
    <row r="100" spans="1:8" ht="15" customHeight="1" x14ac:dyDescent="0.25">
      <c r="A100" s="299"/>
      <c r="B100" s="299"/>
      <c r="C100" s="299"/>
      <c r="D100" s="300"/>
      <c r="E100" s="330"/>
      <c r="F100" s="331"/>
      <c r="G100" s="301" t="s">
        <v>178</v>
      </c>
      <c r="H100" s="301">
        <f>SUM(H99:H99)</f>
        <v>92.4</v>
      </c>
    </row>
    <row r="103" spans="1:8" ht="15" customHeight="1" x14ac:dyDescent="0.3">
      <c r="A103" s="295" t="s">
        <v>198</v>
      </c>
      <c r="B103" s="295"/>
      <c r="C103" s="295"/>
      <c r="D103" s="295"/>
      <c r="E103" s="295"/>
      <c r="F103" s="295"/>
      <c r="G103" s="295"/>
      <c r="H103" s="295"/>
    </row>
    <row r="104" spans="1:8" ht="15" customHeight="1" x14ac:dyDescent="0.25">
      <c r="A104" s="285" t="s">
        <v>175</v>
      </c>
      <c r="B104" s="285"/>
      <c r="C104" s="285"/>
      <c r="D104" s="296"/>
      <c r="E104" s="327" t="s">
        <v>176</v>
      </c>
      <c r="F104" s="328"/>
      <c r="G104" s="297" t="s">
        <v>161</v>
      </c>
      <c r="H104" s="297">
        <f>H107</f>
        <v>15.47</v>
      </c>
    </row>
    <row r="105" spans="1:8" ht="15" customHeight="1" x14ac:dyDescent="0.25">
      <c r="A105" s="296" t="s">
        <v>162</v>
      </c>
      <c r="B105" s="296"/>
      <c r="C105" s="296"/>
      <c r="D105" s="296" t="s">
        <v>163</v>
      </c>
      <c r="E105" s="329" t="s">
        <v>164</v>
      </c>
      <c r="F105" s="329" t="s">
        <v>24</v>
      </c>
      <c r="G105" s="298" t="s">
        <v>165</v>
      </c>
      <c r="H105" s="298" t="s">
        <v>166</v>
      </c>
    </row>
    <row r="106" spans="1:8" x14ac:dyDescent="0.25">
      <c r="A106" s="367" t="s">
        <v>124</v>
      </c>
      <c r="D106" s="368" t="s">
        <v>99</v>
      </c>
      <c r="F106" s="370">
        <v>1</v>
      </c>
      <c r="G106" s="371">
        <v>15.47</v>
      </c>
      <c r="H106" s="371">
        <f>F106*G106</f>
        <v>15.47</v>
      </c>
    </row>
    <row r="107" spans="1:8" ht="15" customHeight="1" x14ac:dyDescent="0.25">
      <c r="A107" s="299"/>
      <c r="B107" s="299"/>
      <c r="C107" s="299"/>
      <c r="D107" s="300"/>
      <c r="E107" s="330"/>
      <c r="F107" s="331"/>
      <c r="G107" s="301" t="s">
        <v>178</v>
      </c>
      <c r="H107" s="301">
        <f>SUM(H106:H106)</f>
        <v>15.47</v>
      </c>
    </row>
    <row r="110" spans="1:8" ht="15" customHeight="1" x14ac:dyDescent="0.3">
      <c r="A110" s="295" t="s">
        <v>199</v>
      </c>
      <c r="B110" s="295"/>
      <c r="C110" s="295"/>
      <c r="D110" s="295"/>
      <c r="E110" s="295"/>
      <c r="F110" s="295"/>
      <c r="G110" s="295"/>
      <c r="H110" s="295"/>
    </row>
    <row r="111" spans="1:8" ht="15" customHeight="1" x14ac:dyDescent="0.25">
      <c r="A111" s="285" t="s">
        <v>200</v>
      </c>
      <c r="B111" s="285"/>
      <c r="C111" s="285"/>
      <c r="D111" s="296"/>
      <c r="E111" s="327" t="s">
        <v>201</v>
      </c>
      <c r="F111" s="328"/>
      <c r="G111" s="297" t="s">
        <v>161</v>
      </c>
      <c r="H111" s="297">
        <f>H114</f>
        <v>93.33</v>
      </c>
    </row>
    <row r="112" spans="1:8" ht="15" customHeight="1" x14ac:dyDescent="0.25">
      <c r="A112" s="296" t="s">
        <v>162</v>
      </c>
      <c r="B112" s="296"/>
      <c r="C112" s="296"/>
      <c r="D112" s="296" t="s">
        <v>163</v>
      </c>
      <c r="E112" s="329" t="s">
        <v>164</v>
      </c>
      <c r="F112" s="329" t="s">
        <v>24</v>
      </c>
      <c r="G112" s="298" t="s">
        <v>165</v>
      </c>
      <c r="H112" s="298" t="s">
        <v>166</v>
      </c>
    </row>
    <row r="113" spans="1:8" x14ac:dyDescent="0.25">
      <c r="A113" s="367" t="s">
        <v>202</v>
      </c>
      <c r="D113" s="368" t="s">
        <v>30</v>
      </c>
      <c r="F113" s="370">
        <v>1</v>
      </c>
      <c r="G113" s="371">
        <v>93.33</v>
      </c>
      <c r="H113" s="371">
        <f>F113*G113</f>
        <v>93.33</v>
      </c>
    </row>
    <row r="114" spans="1:8" ht="15" customHeight="1" x14ac:dyDescent="0.25">
      <c r="A114" s="299"/>
      <c r="B114" s="299"/>
      <c r="C114" s="299"/>
      <c r="D114" s="300"/>
      <c r="E114" s="330"/>
      <c r="F114" s="331"/>
      <c r="G114" s="301" t="s">
        <v>178</v>
      </c>
      <c r="H114" s="301">
        <f>SUM(H113:H113)</f>
        <v>93.33</v>
      </c>
    </row>
    <row r="117" spans="1:8" ht="15" customHeight="1" x14ac:dyDescent="0.3">
      <c r="A117" s="295" t="s">
        <v>203</v>
      </c>
      <c r="B117" s="295"/>
      <c r="C117" s="295"/>
      <c r="D117" s="295"/>
      <c r="E117" s="295"/>
      <c r="F117" s="295"/>
      <c r="G117" s="295"/>
      <c r="H117" s="295"/>
    </row>
    <row r="118" spans="1:8" ht="15" customHeight="1" x14ac:dyDescent="0.25">
      <c r="A118" s="285" t="s">
        <v>204</v>
      </c>
      <c r="B118" s="377">
        <v>1</v>
      </c>
      <c r="C118" s="285" t="s">
        <v>205</v>
      </c>
      <c r="D118" s="296"/>
      <c r="E118" s="327" t="s">
        <v>201</v>
      </c>
      <c r="F118" s="328"/>
      <c r="G118" s="297" t="s">
        <v>161</v>
      </c>
      <c r="H118" s="297">
        <f>H123+H126+H130</f>
        <v>802.58899999999994</v>
      </c>
    </row>
    <row r="119" spans="1:8" ht="15" customHeight="1" x14ac:dyDescent="0.25">
      <c r="A119" s="296" t="s">
        <v>162</v>
      </c>
      <c r="B119" s="296"/>
      <c r="C119" s="296"/>
      <c r="D119" s="296" t="s">
        <v>163</v>
      </c>
      <c r="E119" s="329" t="s">
        <v>164</v>
      </c>
      <c r="F119" s="329" t="s">
        <v>24</v>
      </c>
      <c r="G119" s="298" t="s">
        <v>165</v>
      </c>
      <c r="H119" s="298" t="s">
        <v>166</v>
      </c>
    </row>
    <row r="120" spans="1:8" x14ac:dyDescent="0.25">
      <c r="A120" s="367" t="s">
        <v>206</v>
      </c>
      <c r="D120" s="368" t="s">
        <v>168</v>
      </c>
      <c r="E120" s="369">
        <v>0.5</v>
      </c>
      <c r="F120" s="370">
        <f>10/B118</f>
        <v>10</v>
      </c>
      <c r="G120" s="371">
        <v>15.38</v>
      </c>
      <c r="H120" s="371">
        <f>E120*F120*G120</f>
        <v>76.900000000000006</v>
      </c>
    </row>
    <row r="121" spans="1:8" x14ac:dyDescent="0.25">
      <c r="A121" s="367" t="s">
        <v>167</v>
      </c>
      <c r="D121" s="368" t="s">
        <v>168</v>
      </c>
      <c r="E121" s="369">
        <v>1</v>
      </c>
      <c r="F121" s="370">
        <f>10/B118</f>
        <v>10</v>
      </c>
      <c r="G121" s="320">
        <v>13.94</v>
      </c>
      <c r="H121" s="371">
        <f>E121*F121*G121</f>
        <v>139.4</v>
      </c>
    </row>
    <row r="122" spans="1:8" x14ac:dyDescent="0.25">
      <c r="A122" s="367" t="s">
        <v>169</v>
      </c>
      <c r="D122" s="368" t="s">
        <v>168</v>
      </c>
      <c r="E122" s="369">
        <v>2</v>
      </c>
      <c r="F122" s="370">
        <f>10/B118</f>
        <v>10</v>
      </c>
      <c r="G122" s="320">
        <v>13</v>
      </c>
      <c r="H122" s="371">
        <f>E122*F122*G122</f>
        <v>260</v>
      </c>
    </row>
    <row r="123" spans="1:8" ht="15" customHeight="1" x14ac:dyDescent="0.25">
      <c r="A123" s="299"/>
      <c r="B123" s="299"/>
      <c r="C123" s="299"/>
      <c r="D123" s="300"/>
      <c r="E123" s="330"/>
      <c r="F123" s="331"/>
      <c r="G123" s="301" t="s">
        <v>170</v>
      </c>
      <c r="H123" s="301">
        <f>SUM(H120:H122)</f>
        <v>476.3</v>
      </c>
    </row>
    <row r="125" spans="1:8" x14ac:dyDescent="0.25">
      <c r="A125" s="367" t="s">
        <v>207</v>
      </c>
      <c r="D125" s="368" t="s">
        <v>30</v>
      </c>
      <c r="F125" s="370">
        <v>1</v>
      </c>
      <c r="G125" s="371">
        <v>12</v>
      </c>
      <c r="H125" s="371">
        <f>F125*G125</f>
        <v>12</v>
      </c>
    </row>
    <row r="126" spans="1:8" ht="15" customHeight="1" x14ac:dyDescent="0.25">
      <c r="A126" s="299"/>
      <c r="B126" s="299"/>
      <c r="C126" s="299"/>
      <c r="D126" s="300"/>
      <c r="E126" s="330"/>
      <c r="F126" s="331"/>
      <c r="G126" s="301" t="s">
        <v>178</v>
      </c>
      <c r="H126" s="301">
        <f>SUM(H125:H125)</f>
        <v>12</v>
      </c>
    </row>
    <row r="128" spans="1:8" x14ac:dyDescent="0.25">
      <c r="A128" s="367" t="s">
        <v>208</v>
      </c>
      <c r="D128" s="374" t="s">
        <v>172</v>
      </c>
      <c r="F128" s="370">
        <v>10</v>
      </c>
      <c r="G128" s="371">
        <v>30</v>
      </c>
      <c r="H128" s="371">
        <f>F128*G128</f>
        <v>300</v>
      </c>
    </row>
    <row r="129" spans="1:16299" x14ac:dyDescent="0.25">
      <c r="A129" s="367" t="s">
        <v>209</v>
      </c>
      <c r="D129" s="368" t="s">
        <v>210</v>
      </c>
      <c r="F129" s="370">
        <v>3</v>
      </c>
      <c r="G129" s="371">
        <f>H123</f>
        <v>476.3</v>
      </c>
      <c r="H129" s="371">
        <f>G129*F129/100</f>
        <v>14.289000000000001</v>
      </c>
    </row>
    <row r="130" spans="1:16299" ht="15" customHeight="1" x14ac:dyDescent="0.25">
      <c r="A130" s="299"/>
      <c r="B130" s="299"/>
      <c r="C130" s="299"/>
      <c r="D130" s="300"/>
      <c r="E130" s="330"/>
      <c r="F130" s="331"/>
      <c r="G130" s="301" t="s">
        <v>173</v>
      </c>
      <c r="H130" s="301">
        <f>SUM(H128:H129)</f>
        <v>314.28899999999999</v>
      </c>
    </row>
    <row r="133" spans="1:16299" ht="15" customHeight="1" x14ac:dyDescent="0.3">
      <c r="A133" s="295" t="s">
        <v>211</v>
      </c>
      <c r="B133" s="295"/>
      <c r="C133" s="295"/>
      <c r="D133" s="295"/>
      <c r="E133" s="295"/>
      <c r="F133" s="295"/>
      <c r="G133" s="295"/>
      <c r="H133" s="295"/>
    </row>
    <row r="134" spans="1:16299" ht="15" customHeight="1" x14ac:dyDescent="0.25">
      <c r="A134" s="285" t="s">
        <v>204</v>
      </c>
      <c r="B134" s="377">
        <v>33</v>
      </c>
      <c r="C134" s="285" t="s">
        <v>212</v>
      </c>
      <c r="D134" s="296"/>
      <c r="E134" s="327" t="s">
        <v>193</v>
      </c>
      <c r="F134" s="328"/>
      <c r="G134" s="297" t="s">
        <v>161</v>
      </c>
      <c r="H134" s="297">
        <f>H139+H142</f>
        <v>14.866333333333333</v>
      </c>
    </row>
    <row r="135" spans="1:16299" ht="15" customHeight="1" x14ac:dyDescent="0.25">
      <c r="A135" s="296" t="s">
        <v>162</v>
      </c>
      <c r="B135" s="296"/>
      <c r="C135" s="296"/>
      <c r="D135" s="296" t="s">
        <v>163</v>
      </c>
      <c r="E135" s="329" t="s">
        <v>164</v>
      </c>
      <c r="F135" s="329" t="s">
        <v>24</v>
      </c>
      <c r="G135" s="298" t="s">
        <v>165</v>
      </c>
      <c r="H135" s="298" t="s">
        <v>166</v>
      </c>
    </row>
    <row r="136" spans="1:16299" ht="15" customHeight="1" x14ac:dyDescent="0.25">
      <c r="A136" s="367" t="s">
        <v>206</v>
      </c>
      <c r="D136" s="368" t="s">
        <v>168</v>
      </c>
      <c r="E136" s="369">
        <v>0.5</v>
      </c>
      <c r="F136" s="370">
        <f>10/B134</f>
        <v>0.30303030303030304</v>
      </c>
      <c r="G136" s="371">
        <v>15.38</v>
      </c>
      <c r="H136" s="371">
        <f>E136*F136*G136</f>
        <v>2.3303030303030305</v>
      </c>
      <c r="I136" s="367"/>
      <c r="J136" s="371"/>
      <c r="K136" s="371"/>
      <c r="L136" s="367"/>
      <c r="M136" s="367"/>
      <c r="N136" s="367"/>
      <c r="O136" s="368"/>
      <c r="P136" s="369"/>
      <c r="Q136" s="370"/>
      <c r="R136" s="371"/>
      <c r="S136" s="371"/>
      <c r="T136" s="367"/>
      <c r="U136" s="367"/>
      <c r="V136" s="367"/>
      <c r="W136" s="368"/>
      <c r="X136" s="369"/>
      <c r="Y136" s="370"/>
      <c r="Z136" s="371"/>
      <c r="AA136" s="371">
        <f>X136*Y136*Z136</f>
        <v>0</v>
      </c>
      <c r="AB136" s="367" t="s">
        <v>206</v>
      </c>
      <c r="AC136" s="367"/>
      <c r="AD136" s="367"/>
      <c r="AE136" s="368" t="s">
        <v>168</v>
      </c>
      <c r="AF136" s="369">
        <v>0.5</v>
      </c>
      <c r="AG136" s="370" t="e">
        <f>10/AC134</f>
        <v>#DIV/0!</v>
      </c>
      <c r="AH136" s="371">
        <v>15.38</v>
      </c>
      <c r="AI136" s="371" t="e">
        <f>AF136*AG136*AH136</f>
        <v>#DIV/0!</v>
      </c>
      <c r="AJ136" s="367" t="s">
        <v>206</v>
      </c>
      <c r="AK136" s="367"/>
      <c r="AL136" s="367"/>
      <c r="AM136" s="368" t="s">
        <v>168</v>
      </c>
      <c r="AN136" s="369">
        <v>0.5</v>
      </c>
      <c r="AO136" s="370" t="e">
        <f>10/AK134</f>
        <v>#DIV/0!</v>
      </c>
      <c r="AP136" s="371">
        <v>15.38</v>
      </c>
      <c r="AQ136" s="371" t="e">
        <f>AN136*AO136*AP136</f>
        <v>#DIV/0!</v>
      </c>
      <c r="AR136" s="367" t="s">
        <v>206</v>
      </c>
      <c r="AS136" s="367"/>
      <c r="AT136" s="367"/>
      <c r="AU136" s="368" t="s">
        <v>168</v>
      </c>
      <c r="AV136" s="369">
        <v>0.5</v>
      </c>
      <c r="AW136" s="370" t="e">
        <f>10/AS134</f>
        <v>#DIV/0!</v>
      </c>
      <c r="AX136" s="371">
        <v>15.38</v>
      </c>
      <c r="AY136" s="371" t="e">
        <f>AV136*AW136*AX136</f>
        <v>#DIV/0!</v>
      </c>
      <c r="AZ136" s="367" t="s">
        <v>206</v>
      </c>
      <c r="BA136" s="367"/>
      <c r="BB136" s="367"/>
      <c r="BC136" s="368" t="s">
        <v>168</v>
      </c>
      <c r="BD136" s="369">
        <v>0.5</v>
      </c>
      <c r="BE136" s="370" t="e">
        <f>10/BA134</f>
        <v>#DIV/0!</v>
      </c>
      <c r="BF136" s="371">
        <v>15.38</v>
      </c>
      <c r="BG136" s="371" t="e">
        <f>BD136*BE136*BF136</f>
        <v>#DIV/0!</v>
      </c>
      <c r="BH136" s="367" t="s">
        <v>206</v>
      </c>
      <c r="BI136" s="367"/>
      <c r="BJ136" s="367"/>
      <c r="BK136" s="368" t="s">
        <v>168</v>
      </c>
      <c r="BL136" s="369">
        <v>0.5</v>
      </c>
      <c r="BM136" s="370" t="e">
        <f>10/BI134</f>
        <v>#DIV/0!</v>
      </c>
      <c r="BN136" s="371">
        <v>15.38</v>
      </c>
      <c r="BO136" s="371" t="e">
        <f>BL136*BM136*BN136</f>
        <v>#DIV/0!</v>
      </c>
      <c r="BP136" s="367" t="s">
        <v>206</v>
      </c>
      <c r="BQ136" s="367"/>
      <c r="BR136" s="367"/>
      <c r="BS136" s="368" t="s">
        <v>168</v>
      </c>
      <c r="BT136" s="369">
        <v>0.5</v>
      </c>
      <c r="BU136" s="370" t="e">
        <f>10/BQ134</f>
        <v>#DIV/0!</v>
      </c>
      <c r="BV136" s="371">
        <v>15.38</v>
      </c>
      <c r="BW136" s="371" t="e">
        <f>BT136*BU136*BV136</f>
        <v>#DIV/0!</v>
      </c>
      <c r="BX136" s="367" t="s">
        <v>206</v>
      </c>
      <c r="BY136" s="367"/>
      <c r="BZ136" s="367"/>
      <c r="CA136" s="368" t="s">
        <v>168</v>
      </c>
      <c r="CB136" s="369">
        <v>0.5</v>
      </c>
      <c r="CC136" s="370" t="e">
        <f>10/BY134</f>
        <v>#DIV/0!</v>
      </c>
      <c r="CD136" s="371">
        <v>15.38</v>
      </c>
      <c r="CE136" s="371" t="e">
        <f>CB136*CC136*CD136</f>
        <v>#DIV/0!</v>
      </c>
      <c r="CF136" s="367" t="s">
        <v>206</v>
      </c>
      <c r="CG136" s="367"/>
      <c r="CH136" s="367"/>
      <c r="CI136" s="368" t="s">
        <v>168</v>
      </c>
      <c r="CJ136" s="369">
        <v>0.5</v>
      </c>
      <c r="CK136" s="370" t="e">
        <f>10/CG134</f>
        <v>#DIV/0!</v>
      </c>
      <c r="CL136" s="371">
        <v>15.38</v>
      </c>
      <c r="CM136" s="371" t="e">
        <f>CJ136*CK136*CL136</f>
        <v>#DIV/0!</v>
      </c>
      <c r="CN136" s="367" t="s">
        <v>206</v>
      </c>
      <c r="CO136" s="367"/>
      <c r="CP136" s="367"/>
      <c r="CQ136" s="368" t="s">
        <v>168</v>
      </c>
      <c r="CR136" s="369">
        <v>0.5</v>
      </c>
      <c r="CS136" s="370" t="e">
        <f>10/CO134</f>
        <v>#DIV/0!</v>
      </c>
      <c r="CT136" s="371">
        <v>15.38</v>
      </c>
      <c r="CU136" s="371" t="e">
        <f>CR136*CS136*CT136</f>
        <v>#DIV/0!</v>
      </c>
      <c r="CV136" s="367" t="s">
        <v>206</v>
      </c>
      <c r="CW136" s="367"/>
      <c r="CX136" s="367"/>
      <c r="CY136" s="368" t="s">
        <v>168</v>
      </c>
      <c r="CZ136" s="369">
        <v>0.5</v>
      </c>
      <c r="DA136" s="370" t="e">
        <f>10/CW134</f>
        <v>#DIV/0!</v>
      </c>
      <c r="DB136" s="371">
        <v>15.38</v>
      </c>
      <c r="DC136" s="371" t="e">
        <f>CZ136*DA136*DB136</f>
        <v>#DIV/0!</v>
      </c>
      <c r="DD136" s="367" t="s">
        <v>206</v>
      </c>
      <c r="DE136" s="367"/>
      <c r="DF136" s="367"/>
      <c r="DG136" s="368" t="s">
        <v>168</v>
      </c>
      <c r="DH136" s="369">
        <v>0.5</v>
      </c>
      <c r="DI136" s="370" t="e">
        <f>10/DE134</f>
        <v>#DIV/0!</v>
      </c>
      <c r="DJ136" s="371">
        <v>15.38</v>
      </c>
      <c r="DK136" s="371" t="e">
        <f>DH136*DI136*DJ136</f>
        <v>#DIV/0!</v>
      </c>
      <c r="DL136" s="367" t="s">
        <v>206</v>
      </c>
      <c r="DM136" s="367"/>
      <c r="DN136" s="367"/>
      <c r="DO136" s="368" t="s">
        <v>168</v>
      </c>
      <c r="DP136" s="369">
        <v>0.5</v>
      </c>
      <c r="DQ136" s="370" t="e">
        <f>10/DM134</f>
        <v>#DIV/0!</v>
      </c>
      <c r="DR136" s="371">
        <v>15.38</v>
      </c>
      <c r="DS136" s="371" t="e">
        <f>DP136*DQ136*DR136</f>
        <v>#DIV/0!</v>
      </c>
      <c r="DT136" s="367" t="s">
        <v>206</v>
      </c>
      <c r="DU136" s="367"/>
      <c r="DV136" s="367"/>
      <c r="DW136" s="368" t="s">
        <v>168</v>
      </c>
      <c r="DX136" s="369">
        <v>0.5</v>
      </c>
      <c r="DY136" s="370" t="e">
        <f>10/DU134</f>
        <v>#DIV/0!</v>
      </c>
      <c r="DZ136" s="371">
        <v>15.38</v>
      </c>
      <c r="EA136" s="371" t="e">
        <f>DX136*DY136*DZ136</f>
        <v>#DIV/0!</v>
      </c>
      <c r="EB136" s="367" t="s">
        <v>206</v>
      </c>
      <c r="EC136" s="367"/>
      <c r="ED136" s="367"/>
      <c r="EE136" s="368" t="s">
        <v>168</v>
      </c>
      <c r="EF136" s="369">
        <v>0.5</v>
      </c>
      <c r="EG136" s="370" t="e">
        <f>10/EC134</f>
        <v>#DIV/0!</v>
      </c>
      <c r="EH136" s="371">
        <v>15.38</v>
      </c>
      <c r="EI136" s="371" t="e">
        <f>EF136*EG136*EH136</f>
        <v>#DIV/0!</v>
      </c>
      <c r="EJ136" s="367" t="s">
        <v>206</v>
      </c>
      <c r="EK136" s="367"/>
      <c r="EL136" s="367"/>
      <c r="EM136" s="368" t="s">
        <v>168</v>
      </c>
      <c r="EN136" s="369">
        <v>0.5</v>
      </c>
      <c r="EO136" s="370" t="e">
        <f>10/EK134</f>
        <v>#DIV/0!</v>
      </c>
      <c r="EP136" s="371">
        <v>15.38</v>
      </c>
      <c r="EQ136" s="371" t="e">
        <f>EN136*EO136*EP136</f>
        <v>#DIV/0!</v>
      </c>
      <c r="ER136" s="367" t="s">
        <v>206</v>
      </c>
      <c r="ES136" s="367"/>
      <c r="ET136" s="367"/>
      <c r="EU136" s="368" t="s">
        <v>168</v>
      </c>
      <c r="EV136" s="369">
        <v>0.5</v>
      </c>
      <c r="EW136" s="370" t="e">
        <f>10/ES134</f>
        <v>#DIV/0!</v>
      </c>
      <c r="EX136" s="371">
        <v>15.38</v>
      </c>
      <c r="EY136" s="371" t="e">
        <f>EV136*EW136*EX136</f>
        <v>#DIV/0!</v>
      </c>
      <c r="EZ136" s="367" t="s">
        <v>206</v>
      </c>
      <c r="FA136" s="367"/>
      <c r="FB136" s="367"/>
      <c r="FC136" s="368" t="s">
        <v>168</v>
      </c>
      <c r="FD136" s="369">
        <v>0.5</v>
      </c>
      <c r="FE136" s="370" t="e">
        <f>10/FA134</f>
        <v>#DIV/0!</v>
      </c>
      <c r="FF136" s="371">
        <v>15.38</v>
      </c>
      <c r="FG136" s="371" t="e">
        <f>FD136*FE136*FF136</f>
        <v>#DIV/0!</v>
      </c>
      <c r="FH136" s="367" t="s">
        <v>206</v>
      </c>
      <c r="FI136" s="367"/>
      <c r="FJ136" s="367"/>
      <c r="FK136" s="368" t="s">
        <v>168</v>
      </c>
      <c r="FL136" s="369">
        <v>0.5</v>
      </c>
      <c r="FM136" s="370" t="e">
        <f>10/FI134</f>
        <v>#DIV/0!</v>
      </c>
      <c r="FN136" s="371">
        <v>15.38</v>
      </c>
      <c r="FO136" s="371" t="e">
        <f>FL136*FM136*FN136</f>
        <v>#DIV/0!</v>
      </c>
      <c r="FP136" s="367" t="s">
        <v>206</v>
      </c>
      <c r="FQ136" s="367"/>
      <c r="FR136" s="367"/>
      <c r="FS136" s="368" t="s">
        <v>168</v>
      </c>
      <c r="FT136" s="369">
        <v>0.5</v>
      </c>
      <c r="FU136" s="370" t="e">
        <f>10/FQ134</f>
        <v>#DIV/0!</v>
      </c>
      <c r="FV136" s="371">
        <v>15.38</v>
      </c>
      <c r="FW136" s="371" t="e">
        <f>FT136*FU136*FV136</f>
        <v>#DIV/0!</v>
      </c>
      <c r="FX136" s="367" t="s">
        <v>206</v>
      </c>
      <c r="FY136" s="367"/>
      <c r="FZ136" s="367"/>
      <c r="GA136" s="368" t="s">
        <v>168</v>
      </c>
      <c r="GB136" s="369">
        <v>0.5</v>
      </c>
      <c r="GC136" s="370" t="e">
        <f>10/FY134</f>
        <v>#DIV/0!</v>
      </c>
      <c r="GD136" s="371">
        <v>15.38</v>
      </c>
      <c r="GE136" s="371" t="e">
        <f>GB136*GC136*GD136</f>
        <v>#DIV/0!</v>
      </c>
      <c r="GF136" s="367" t="s">
        <v>206</v>
      </c>
      <c r="GG136" s="367"/>
      <c r="GH136" s="367"/>
      <c r="GI136" s="368" t="s">
        <v>168</v>
      </c>
      <c r="GJ136" s="369">
        <v>0.5</v>
      </c>
      <c r="GK136" s="370" t="e">
        <f>10/GG134</f>
        <v>#DIV/0!</v>
      </c>
      <c r="GL136" s="371">
        <v>15.38</v>
      </c>
      <c r="GM136" s="371" t="e">
        <f>GJ136*GK136*GL136</f>
        <v>#DIV/0!</v>
      </c>
      <c r="GN136" s="367" t="s">
        <v>206</v>
      </c>
      <c r="GO136" s="367"/>
      <c r="GP136" s="367"/>
      <c r="GQ136" s="368" t="s">
        <v>168</v>
      </c>
      <c r="GR136" s="369">
        <v>0.5</v>
      </c>
      <c r="GS136" s="370" t="e">
        <f>10/GO134</f>
        <v>#DIV/0!</v>
      </c>
      <c r="GT136" s="371">
        <v>15.38</v>
      </c>
      <c r="GU136" s="371" t="e">
        <f>GR136*GS136*GT136</f>
        <v>#DIV/0!</v>
      </c>
      <c r="GV136" s="367" t="s">
        <v>206</v>
      </c>
      <c r="GW136" s="367"/>
      <c r="GX136" s="367"/>
      <c r="GY136" s="368" t="s">
        <v>168</v>
      </c>
      <c r="GZ136" s="369">
        <v>0.5</v>
      </c>
      <c r="HA136" s="370" t="e">
        <f>10/GW134</f>
        <v>#DIV/0!</v>
      </c>
      <c r="HB136" s="371">
        <v>15.38</v>
      </c>
      <c r="HC136" s="371" t="e">
        <f>GZ136*HA136*HB136</f>
        <v>#DIV/0!</v>
      </c>
      <c r="HD136" s="367" t="s">
        <v>206</v>
      </c>
      <c r="HE136" s="367"/>
      <c r="HF136" s="367"/>
      <c r="HG136" s="368" t="s">
        <v>168</v>
      </c>
      <c r="HH136" s="369">
        <v>0.5</v>
      </c>
      <c r="HI136" s="370" t="e">
        <f>10/HE134</f>
        <v>#DIV/0!</v>
      </c>
      <c r="HJ136" s="371">
        <v>15.38</v>
      </c>
      <c r="HK136" s="371" t="e">
        <f>HH136*HI136*HJ136</f>
        <v>#DIV/0!</v>
      </c>
      <c r="HL136" s="367" t="s">
        <v>206</v>
      </c>
      <c r="HM136" s="367"/>
      <c r="HN136" s="367"/>
      <c r="HO136" s="368" t="s">
        <v>168</v>
      </c>
      <c r="HP136" s="369">
        <v>0.5</v>
      </c>
      <c r="HQ136" s="370" t="e">
        <f>10/HM134</f>
        <v>#DIV/0!</v>
      </c>
      <c r="HR136" s="371">
        <v>15.38</v>
      </c>
      <c r="HS136" s="371" t="e">
        <f>HP136*HQ136*HR136</f>
        <v>#DIV/0!</v>
      </c>
      <c r="HT136" s="367" t="s">
        <v>206</v>
      </c>
      <c r="HU136" s="367"/>
      <c r="HV136" s="367"/>
      <c r="HW136" s="368" t="s">
        <v>168</v>
      </c>
      <c r="HX136" s="369">
        <v>0.5</v>
      </c>
      <c r="HY136" s="370" t="e">
        <f>10/HU134</f>
        <v>#DIV/0!</v>
      </c>
      <c r="HZ136" s="371">
        <v>15.38</v>
      </c>
      <c r="IA136" s="371" t="e">
        <f>HX136*HY136*HZ136</f>
        <v>#DIV/0!</v>
      </c>
      <c r="IB136" s="367" t="s">
        <v>206</v>
      </c>
      <c r="IC136" s="367"/>
      <c r="ID136" s="367"/>
      <c r="IE136" s="368" t="s">
        <v>168</v>
      </c>
      <c r="IF136" s="369">
        <v>0.5</v>
      </c>
      <c r="IG136" s="370" t="e">
        <f>10/IC134</f>
        <v>#DIV/0!</v>
      </c>
      <c r="IH136" s="371">
        <v>15.38</v>
      </c>
      <c r="II136" s="371" t="e">
        <f>IF136*IG136*IH136</f>
        <v>#DIV/0!</v>
      </c>
      <c r="IJ136" s="367" t="s">
        <v>206</v>
      </c>
      <c r="IK136" s="367"/>
      <c r="IL136" s="367"/>
      <c r="IM136" s="368" t="s">
        <v>168</v>
      </c>
      <c r="IN136" s="369">
        <v>0.5</v>
      </c>
      <c r="IO136" s="370" t="e">
        <f>10/IK134</f>
        <v>#DIV/0!</v>
      </c>
      <c r="IP136" s="371">
        <v>15.38</v>
      </c>
      <c r="IQ136" s="371" t="e">
        <f>IN136*IO136*IP136</f>
        <v>#DIV/0!</v>
      </c>
      <c r="IR136" s="367" t="s">
        <v>206</v>
      </c>
      <c r="IS136" s="367"/>
      <c r="IT136" s="367"/>
      <c r="IU136" s="368" t="s">
        <v>168</v>
      </c>
      <c r="IV136" s="369">
        <v>0.5</v>
      </c>
      <c r="IW136" s="370" t="e">
        <f>10/IS134</f>
        <v>#DIV/0!</v>
      </c>
      <c r="IX136" s="371">
        <v>15.38</v>
      </c>
      <c r="IY136" s="371" t="e">
        <f>IV136*IW136*IX136</f>
        <v>#DIV/0!</v>
      </c>
      <c r="IZ136" s="367" t="s">
        <v>206</v>
      </c>
      <c r="JA136" s="367"/>
      <c r="JB136" s="367"/>
      <c r="JC136" s="368" t="s">
        <v>168</v>
      </c>
      <c r="JD136" s="369">
        <v>0.5</v>
      </c>
      <c r="JE136" s="370" t="e">
        <f>10/JA134</f>
        <v>#DIV/0!</v>
      </c>
      <c r="JF136" s="371">
        <v>15.38</v>
      </c>
      <c r="JG136" s="371" t="e">
        <f>JD136*JE136*JF136</f>
        <v>#DIV/0!</v>
      </c>
      <c r="JH136" s="367" t="s">
        <v>206</v>
      </c>
      <c r="JI136" s="367"/>
      <c r="JJ136" s="367"/>
      <c r="JK136" s="368" t="s">
        <v>168</v>
      </c>
      <c r="JL136" s="369">
        <v>0.5</v>
      </c>
      <c r="JM136" s="370" t="e">
        <f>10/JI134</f>
        <v>#DIV/0!</v>
      </c>
      <c r="JN136" s="371">
        <v>15.38</v>
      </c>
      <c r="JO136" s="371" t="e">
        <f>JL136*JM136*JN136</f>
        <v>#DIV/0!</v>
      </c>
      <c r="JP136" s="367" t="s">
        <v>206</v>
      </c>
      <c r="JQ136" s="367"/>
      <c r="JR136" s="367"/>
      <c r="JS136" s="368" t="s">
        <v>168</v>
      </c>
      <c r="JT136" s="369">
        <v>0.5</v>
      </c>
      <c r="JU136" s="370" t="e">
        <f>10/JQ134</f>
        <v>#DIV/0!</v>
      </c>
      <c r="JV136" s="371">
        <v>15.38</v>
      </c>
      <c r="JW136" s="371" t="e">
        <f>JT136*JU136*JV136</f>
        <v>#DIV/0!</v>
      </c>
      <c r="JX136" s="367" t="s">
        <v>206</v>
      </c>
      <c r="JY136" s="367"/>
      <c r="JZ136" s="367"/>
      <c r="KA136" s="368" t="s">
        <v>168</v>
      </c>
      <c r="KB136" s="369">
        <v>0.5</v>
      </c>
      <c r="KC136" s="370" t="e">
        <f>10/JY134</f>
        <v>#DIV/0!</v>
      </c>
      <c r="KD136" s="371">
        <v>15.38</v>
      </c>
      <c r="KE136" s="371" t="e">
        <f>KB136*KC136*KD136</f>
        <v>#DIV/0!</v>
      </c>
      <c r="KF136" s="367" t="s">
        <v>206</v>
      </c>
      <c r="KG136" s="367"/>
      <c r="KH136" s="367"/>
      <c r="KI136" s="368" t="s">
        <v>168</v>
      </c>
      <c r="KJ136" s="369">
        <v>0.5</v>
      </c>
      <c r="KK136" s="370" t="e">
        <f>10/KG134</f>
        <v>#DIV/0!</v>
      </c>
      <c r="KL136" s="371">
        <v>15.38</v>
      </c>
      <c r="KM136" s="371" t="e">
        <f>KJ136*KK136*KL136</f>
        <v>#DIV/0!</v>
      </c>
      <c r="KN136" s="367" t="s">
        <v>206</v>
      </c>
      <c r="KO136" s="367"/>
      <c r="KP136" s="367"/>
      <c r="KQ136" s="368" t="s">
        <v>168</v>
      </c>
      <c r="KR136" s="369">
        <v>0.5</v>
      </c>
      <c r="KS136" s="370" t="e">
        <f>10/KO134</f>
        <v>#DIV/0!</v>
      </c>
      <c r="KT136" s="371">
        <v>15.38</v>
      </c>
      <c r="KU136" s="371" t="e">
        <f>KR136*KS136*KT136</f>
        <v>#DIV/0!</v>
      </c>
      <c r="KV136" s="367" t="s">
        <v>206</v>
      </c>
      <c r="KW136" s="367"/>
      <c r="KX136" s="367"/>
      <c r="KY136" s="368" t="s">
        <v>168</v>
      </c>
      <c r="KZ136" s="369">
        <v>0.5</v>
      </c>
      <c r="LA136" s="370" t="e">
        <f>10/KW134</f>
        <v>#DIV/0!</v>
      </c>
      <c r="LB136" s="371">
        <v>15.38</v>
      </c>
      <c r="LC136" s="371" t="e">
        <f>KZ136*LA136*LB136</f>
        <v>#DIV/0!</v>
      </c>
      <c r="LD136" s="367" t="s">
        <v>206</v>
      </c>
      <c r="LE136" s="367"/>
      <c r="LF136" s="367"/>
      <c r="LG136" s="368" t="s">
        <v>168</v>
      </c>
      <c r="LH136" s="369">
        <v>0.5</v>
      </c>
      <c r="LI136" s="370" t="e">
        <f>10/LE134</f>
        <v>#DIV/0!</v>
      </c>
      <c r="LJ136" s="371">
        <v>15.38</v>
      </c>
      <c r="LK136" s="371" t="e">
        <f>LH136*LI136*LJ136</f>
        <v>#DIV/0!</v>
      </c>
      <c r="LL136" s="367" t="s">
        <v>206</v>
      </c>
      <c r="LM136" s="367"/>
      <c r="LN136" s="367"/>
      <c r="LO136" s="368" t="s">
        <v>168</v>
      </c>
      <c r="LP136" s="369">
        <v>0.5</v>
      </c>
      <c r="LQ136" s="370" t="e">
        <f>10/LM134</f>
        <v>#DIV/0!</v>
      </c>
      <c r="LR136" s="371">
        <v>15.38</v>
      </c>
      <c r="LS136" s="371" t="e">
        <f>LP136*LQ136*LR136</f>
        <v>#DIV/0!</v>
      </c>
      <c r="LT136" s="367" t="s">
        <v>206</v>
      </c>
      <c r="LU136" s="367"/>
      <c r="LV136" s="367"/>
      <c r="LW136" s="368" t="s">
        <v>168</v>
      </c>
      <c r="LX136" s="369">
        <v>0.5</v>
      </c>
      <c r="LY136" s="370" t="e">
        <f>10/LU134</f>
        <v>#DIV/0!</v>
      </c>
      <c r="LZ136" s="371">
        <v>15.38</v>
      </c>
      <c r="MA136" s="371" t="e">
        <f>LX136*LY136*LZ136</f>
        <v>#DIV/0!</v>
      </c>
      <c r="MB136" s="367" t="s">
        <v>206</v>
      </c>
      <c r="MC136" s="367"/>
      <c r="MD136" s="367"/>
      <c r="ME136" s="368" t="s">
        <v>168</v>
      </c>
      <c r="MF136" s="369">
        <v>0.5</v>
      </c>
      <c r="MG136" s="370" t="e">
        <f>10/MC134</f>
        <v>#DIV/0!</v>
      </c>
      <c r="MH136" s="371">
        <v>15.38</v>
      </c>
      <c r="MI136" s="371" t="e">
        <f>MF136*MG136*MH136</f>
        <v>#DIV/0!</v>
      </c>
      <c r="MJ136" s="367" t="s">
        <v>206</v>
      </c>
      <c r="MK136" s="367"/>
      <c r="ML136" s="367"/>
      <c r="MM136" s="368" t="s">
        <v>168</v>
      </c>
      <c r="MN136" s="369">
        <v>0.5</v>
      </c>
      <c r="MO136" s="370" t="e">
        <f>10/MK134</f>
        <v>#DIV/0!</v>
      </c>
      <c r="MP136" s="371">
        <v>15.38</v>
      </c>
      <c r="MQ136" s="371" t="e">
        <f>MN136*MO136*MP136</f>
        <v>#DIV/0!</v>
      </c>
      <c r="MR136" s="367" t="s">
        <v>206</v>
      </c>
      <c r="MS136" s="367"/>
      <c r="MT136" s="367"/>
      <c r="MU136" s="368" t="s">
        <v>168</v>
      </c>
      <c r="MV136" s="369">
        <v>0.5</v>
      </c>
      <c r="MW136" s="370" t="e">
        <f>10/MS134</f>
        <v>#DIV/0!</v>
      </c>
      <c r="MX136" s="371">
        <v>15.38</v>
      </c>
      <c r="MY136" s="371" t="e">
        <f>MV136*MW136*MX136</f>
        <v>#DIV/0!</v>
      </c>
      <c r="MZ136" s="367" t="s">
        <v>206</v>
      </c>
      <c r="NA136" s="367"/>
      <c r="NB136" s="367"/>
      <c r="NC136" s="368" t="s">
        <v>168</v>
      </c>
      <c r="ND136" s="369">
        <v>0.5</v>
      </c>
      <c r="NE136" s="370" t="e">
        <f>10/NA134</f>
        <v>#DIV/0!</v>
      </c>
      <c r="NF136" s="371">
        <v>15.38</v>
      </c>
      <c r="NG136" s="371" t="e">
        <f>ND136*NE136*NF136</f>
        <v>#DIV/0!</v>
      </c>
      <c r="NH136" s="367" t="s">
        <v>206</v>
      </c>
      <c r="NI136" s="367"/>
      <c r="NJ136" s="367"/>
      <c r="NK136" s="368" t="s">
        <v>168</v>
      </c>
      <c r="NL136" s="369">
        <v>0.5</v>
      </c>
      <c r="NM136" s="370" t="e">
        <f>10/NI134</f>
        <v>#DIV/0!</v>
      </c>
      <c r="NN136" s="371">
        <v>15.38</v>
      </c>
      <c r="NO136" s="371" t="e">
        <f>NL136*NM136*NN136</f>
        <v>#DIV/0!</v>
      </c>
      <c r="NP136" s="367" t="s">
        <v>206</v>
      </c>
      <c r="NQ136" s="367"/>
      <c r="NR136" s="367"/>
      <c r="NS136" s="368" t="s">
        <v>168</v>
      </c>
      <c r="NT136" s="369">
        <v>0.5</v>
      </c>
      <c r="NU136" s="370" t="e">
        <f>10/NQ134</f>
        <v>#DIV/0!</v>
      </c>
      <c r="NV136" s="371">
        <v>15.38</v>
      </c>
      <c r="NW136" s="371" t="e">
        <f>NT136*NU136*NV136</f>
        <v>#DIV/0!</v>
      </c>
      <c r="NX136" s="367" t="s">
        <v>206</v>
      </c>
      <c r="NY136" s="367"/>
      <c r="NZ136" s="367"/>
      <c r="OA136" s="368" t="s">
        <v>168</v>
      </c>
      <c r="OB136" s="369">
        <v>0.5</v>
      </c>
      <c r="OC136" s="370" t="e">
        <f>10/NY134</f>
        <v>#DIV/0!</v>
      </c>
      <c r="OD136" s="371">
        <v>15.38</v>
      </c>
      <c r="OE136" s="371" t="e">
        <f>OB136*OC136*OD136</f>
        <v>#DIV/0!</v>
      </c>
      <c r="OF136" s="367" t="s">
        <v>206</v>
      </c>
      <c r="OG136" s="367"/>
      <c r="OH136" s="367"/>
      <c r="OI136" s="368" t="s">
        <v>168</v>
      </c>
      <c r="OJ136" s="369">
        <v>0.5</v>
      </c>
      <c r="OK136" s="370" t="e">
        <f>10/OG134</f>
        <v>#DIV/0!</v>
      </c>
      <c r="OL136" s="371">
        <v>15.38</v>
      </c>
      <c r="OM136" s="371" t="e">
        <f>OJ136*OK136*OL136</f>
        <v>#DIV/0!</v>
      </c>
      <c r="ON136" s="367" t="s">
        <v>206</v>
      </c>
      <c r="OO136" s="367"/>
      <c r="OP136" s="367"/>
      <c r="OQ136" s="368" t="s">
        <v>168</v>
      </c>
      <c r="OR136" s="369">
        <v>0.5</v>
      </c>
      <c r="OS136" s="370" t="e">
        <f>10/OO134</f>
        <v>#DIV/0!</v>
      </c>
      <c r="OT136" s="371">
        <v>15.38</v>
      </c>
      <c r="OU136" s="371" t="e">
        <f>OR136*OS136*OT136</f>
        <v>#DIV/0!</v>
      </c>
      <c r="OV136" s="367" t="s">
        <v>206</v>
      </c>
      <c r="OW136" s="367"/>
      <c r="OX136" s="367"/>
      <c r="OY136" s="368" t="s">
        <v>168</v>
      </c>
      <c r="OZ136" s="369">
        <v>0.5</v>
      </c>
      <c r="PA136" s="370" t="e">
        <f>10/OW134</f>
        <v>#DIV/0!</v>
      </c>
      <c r="PB136" s="371">
        <v>15.38</v>
      </c>
      <c r="PC136" s="371" t="e">
        <f>OZ136*PA136*PB136</f>
        <v>#DIV/0!</v>
      </c>
      <c r="PD136" s="367" t="s">
        <v>206</v>
      </c>
      <c r="PE136" s="367"/>
      <c r="PF136" s="367"/>
      <c r="PG136" s="368" t="s">
        <v>168</v>
      </c>
      <c r="PH136" s="369">
        <v>0.5</v>
      </c>
      <c r="PI136" s="370" t="e">
        <f>10/PE134</f>
        <v>#DIV/0!</v>
      </c>
      <c r="PJ136" s="371">
        <v>15.38</v>
      </c>
      <c r="PK136" s="371" t="e">
        <f>PH136*PI136*PJ136</f>
        <v>#DIV/0!</v>
      </c>
      <c r="PL136" s="367" t="s">
        <v>206</v>
      </c>
      <c r="PM136" s="367"/>
      <c r="PN136" s="367"/>
      <c r="PO136" s="368" t="s">
        <v>168</v>
      </c>
      <c r="PP136" s="369">
        <v>0.5</v>
      </c>
      <c r="PQ136" s="370" t="e">
        <f>10/PM134</f>
        <v>#DIV/0!</v>
      </c>
      <c r="PR136" s="371">
        <v>15.38</v>
      </c>
      <c r="PS136" s="371" t="e">
        <f>PP136*PQ136*PR136</f>
        <v>#DIV/0!</v>
      </c>
      <c r="PT136" s="367" t="s">
        <v>206</v>
      </c>
      <c r="PU136" s="367"/>
      <c r="PV136" s="367"/>
      <c r="PW136" s="368" t="s">
        <v>168</v>
      </c>
      <c r="PX136" s="369">
        <v>0.5</v>
      </c>
      <c r="PY136" s="370" t="e">
        <f>10/PU134</f>
        <v>#DIV/0!</v>
      </c>
      <c r="PZ136" s="371">
        <v>15.38</v>
      </c>
      <c r="QA136" s="371" t="e">
        <f>PX136*PY136*PZ136</f>
        <v>#DIV/0!</v>
      </c>
      <c r="QB136" s="367" t="s">
        <v>206</v>
      </c>
      <c r="QC136" s="367"/>
      <c r="QD136" s="367"/>
      <c r="QE136" s="368" t="s">
        <v>168</v>
      </c>
      <c r="QF136" s="369">
        <v>0.5</v>
      </c>
      <c r="QG136" s="370" t="e">
        <f>10/QC134</f>
        <v>#DIV/0!</v>
      </c>
      <c r="QH136" s="371">
        <v>15.38</v>
      </c>
      <c r="QI136" s="371" t="e">
        <f>QF136*QG136*QH136</f>
        <v>#DIV/0!</v>
      </c>
      <c r="QJ136" s="367" t="s">
        <v>206</v>
      </c>
      <c r="QK136" s="367"/>
      <c r="QL136" s="367"/>
      <c r="QM136" s="368" t="s">
        <v>168</v>
      </c>
      <c r="QN136" s="369">
        <v>0.5</v>
      </c>
      <c r="QO136" s="370" t="e">
        <f>10/QK134</f>
        <v>#DIV/0!</v>
      </c>
      <c r="QP136" s="371">
        <v>15.38</v>
      </c>
      <c r="QQ136" s="371" t="e">
        <f>QN136*QO136*QP136</f>
        <v>#DIV/0!</v>
      </c>
      <c r="QR136" s="367" t="s">
        <v>206</v>
      </c>
      <c r="QS136" s="367"/>
      <c r="QT136" s="367"/>
      <c r="QU136" s="368" t="s">
        <v>168</v>
      </c>
      <c r="QV136" s="369">
        <v>0.5</v>
      </c>
      <c r="QW136" s="370" t="e">
        <f>10/QS134</f>
        <v>#DIV/0!</v>
      </c>
      <c r="QX136" s="371">
        <v>15.38</v>
      </c>
      <c r="QY136" s="371" t="e">
        <f>QV136*QW136*QX136</f>
        <v>#DIV/0!</v>
      </c>
      <c r="QZ136" s="367" t="s">
        <v>206</v>
      </c>
      <c r="RA136" s="367"/>
      <c r="RB136" s="367"/>
      <c r="RC136" s="368" t="s">
        <v>168</v>
      </c>
      <c r="RD136" s="369">
        <v>0.5</v>
      </c>
      <c r="RE136" s="370" t="e">
        <f>10/RA134</f>
        <v>#DIV/0!</v>
      </c>
      <c r="RF136" s="371">
        <v>15.38</v>
      </c>
      <c r="RG136" s="371" t="e">
        <f>RD136*RE136*RF136</f>
        <v>#DIV/0!</v>
      </c>
      <c r="RH136" s="367" t="s">
        <v>206</v>
      </c>
      <c r="RI136" s="367"/>
      <c r="RJ136" s="367"/>
      <c r="RK136" s="368" t="s">
        <v>168</v>
      </c>
      <c r="RL136" s="369">
        <v>0.5</v>
      </c>
      <c r="RM136" s="370" t="e">
        <f>10/RI134</f>
        <v>#DIV/0!</v>
      </c>
      <c r="RN136" s="371">
        <v>15.38</v>
      </c>
      <c r="RO136" s="371" t="e">
        <f>RL136*RM136*RN136</f>
        <v>#DIV/0!</v>
      </c>
      <c r="RP136" s="367" t="s">
        <v>206</v>
      </c>
      <c r="RQ136" s="367"/>
      <c r="RR136" s="367"/>
      <c r="RS136" s="368" t="s">
        <v>168</v>
      </c>
      <c r="RT136" s="369">
        <v>0.5</v>
      </c>
      <c r="RU136" s="370" t="e">
        <f>10/RQ134</f>
        <v>#DIV/0!</v>
      </c>
      <c r="RV136" s="371">
        <v>15.38</v>
      </c>
      <c r="RW136" s="371" t="e">
        <f>RT136*RU136*RV136</f>
        <v>#DIV/0!</v>
      </c>
      <c r="RX136" s="367" t="s">
        <v>206</v>
      </c>
      <c r="RY136" s="367"/>
      <c r="RZ136" s="367"/>
      <c r="SA136" s="368" t="s">
        <v>168</v>
      </c>
      <c r="SB136" s="369">
        <v>0.5</v>
      </c>
      <c r="SC136" s="370" t="e">
        <f>10/RY134</f>
        <v>#DIV/0!</v>
      </c>
      <c r="SD136" s="371">
        <v>15.38</v>
      </c>
      <c r="SE136" s="371" t="e">
        <f>SB136*SC136*SD136</f>
        <v>#DIV/0!</v>
      </c>
      <c r="SF136" s="367" t="s">
        <v>206</v>
      </c>
      <c r="SG136" s="367"/>
      <c r="SH136" s="367"/>
      <c r="SI136" s="368" t="s">
        <v>168</v>
      </c>
      <c r="SJ136" s="369">
        <v>0.5</v>
      </c>
      <c r="SK136" s="370" t="e">
        <f>10/SG134</f>
        <v>#DIV/0!</v>
      </c>
      <c r="SL136" s="371">
        <v>15.38</v>
      </c>
      <c r="SM136" s="371" t="e">
        <f>SJ136*SK136*SL136</f>
        <v>#DIV/0!</v>
      </c>
      <c r="SN136" s="367" t="s">
        <v>206</v>
      </c>
      <c r="SO136" s="367"/>
      <c r="SP136" s="367"/>
      <c r="SQ136" s="368" t="s">
        <v>168</v>
      </c>
      <c r="SR136" s="369">
        <v>0.5</v>
      </c>
      <c r="SS136" s="370" t="e">
        <f>10/SO134</f>
        <v>#DIV/0!</v>
      </c>
      <c r="ST136" s="371">
        <v>15.38</v>
      </c>
      <c r="SU136" s="371" t="e">
        <f>SR136*SS136*ST136</f>
        <v>#DIV/0!</v>
      </c>
      <c r="SV136" s="367" t="s">
        <v>206</v>
      </c>
      <c r="SW136" s="367"/>
      <c r="SX136" s="367"/>
      <c r="SY136" s="368" t="s">
        <v>168</v>
      </c>
      <c r="SZ136" s="369">
        <v>0.5</v>
      </c>
      <c r="TA136" s="370" t="e">
        <f>10/SW134</f>
        <v>#DIV/0!</v>
      </c>
      <c r="TB136" s="371">
        <v>15.38</v>
      </c>
      <c r="TC136" s="371" t="e">
        <f>SZ136*TA136*TB136</f>
        <v>#DIV/0!</v>
      </c>
      <c r="TD136" s="367" t="s">
        <v>206</v>
      </c>
      <c r="TE136" s="367"/>
      <c r="TF136" s="367"/>
      <c r="TG136" s="368" t="s">
        <v>168</v>
      </c>
      <c r="TH136" s="369">
        <v>0.5</v>
      </c>
      <c r="TI136" s="370" t="e">
        <f>10/TE134</f>
        <v>#DIV/0!</v>
      </c>
      <c r="TJ136" s="371">
        <v>15.38</v>
      </c>
      <c r="TK136" s="371" t="e">
        <f>TH136*TI136*TJ136</f>
        <v>#DIV/0!</v>
      </c>
      <c r="TL136" s="367" t="s">
        <v>206</v>
      </c>
      <c r="TM136" s="367"/>
      <c r="TN136" s="367"/>
      <c r="TO136" s="368" t="s">
        <v>168</v>
      </c>
      <c r="TP136" s="369">
        <v>0.5</v>
      </c>
      <c r="TQ136" s="370" t="e">
        <f>10/TM134</f>
        <v>#DIV/0!</v>
      </c>
      <c r="TR136" s="371">
        <v>15.38</v>
      </c>
      <c r="TS136" s="371" t="e">
        <f>TP136*TQ136*TR136</f>
        <v>#DIV/0!</v>
      </c>
      <c r="TT136" s="367" t="s">
        <v>206</v>
      </c>
      <c r="TU136" s="367"/>
      <c r="TV136" s="367"/>
      <c r="TW136" s="368" t="s">
        <v>168</v>
      </c>
      <c r="TX136" s="369">
        <v>0.5</v>
      </c>
      <c r="TY136" s="370" t="e">
        <f>10/TU134</f>
        <v>#DIV/0!</v>
      </c>
      <c r="TZ136" s="371">
        <v>15.38</v>
      </c>
      <c r="UA136" s="371" t="e">
        <f>TX136*TY136*TZ136</f>
        <v>#DIV/0!</v>
      </c>
      <c r="UB136" s="367" t="s">
        <v>206</v>
      </c>
      <c r="UC136" s="367"/>
      <c r="UD136" s="367"/>
      <c r="UE136" s="368" t="s">
        <v>168</v>
      </c>
      <c r="UF136" s="369">
        <v>0.5</v>
      </c>
      <c r="UG136" s="370" t="e">
        <f>10/UC134</f>
        <v>#DIV/0!</v>
      </c>
      <c r="UH136" s="371">
        <v>15.38</v>
      </c>
      <c r="UI136" s="371" t="e">
        <f>UF136*UG136*UH136</f>
        <v>#DIV/0!</v>
      </c>
      <c r="UJ136" s="367" t="s">
        <v>206</v>
      </c>
      <c r="UK136" s="367"/>
      <c r="UL136" s="367"/>
      <c r="UM136" s="368" t="s">
        <v>168</v>
      </c>
      <c r="UN136" s="369">
        <v>0.5</v>
      </c>
      <c r="UO136" s="370" t="e">
        <f>10/UK134</f>
        <v>#DIV/0!</v>
      </c>
      <c r="UP136" s="371">
        <v>15.38</v>
      </c>
      <c r="UQ136" s="371" t="e">
        <f>UN136*UO136*UP136</f>
        <v>#DIV/0!</v>
      </c>
      <c r="UR136" s="367" t="s">
        <v>206</v>
      </c>
      <c r="US136" s="367"/>
      <c r="UT136" s="367"/>
      <c r="UU136" s="368" t="s">
        <v>168</v>
      </c>
      <c r="UV136" s="369">
        <v>0.5</v>
      </c>
      <c r="UW136" s="370" t="e">
        <f>10/US134</f>
        <v>#DIV/0!</v>
      </c>
      <c r="UX136" s="371">
        <v>15.38</v>
      </c>
      <c r="UY136" s="371" t="e">
        <f>UV136*UW136*UX136</f>
        <v>#DIV/0!</v>
      </c>
      <c r="UZ136" s="367" t="s">
        <v>206</v>
      </c>
      <c r="VA136" s="367"/>
      <c r="VB136" s="367"/>
      <c r="VC136" s="368" t="s">
        <v>168</v>
      </c>
      <c r="VD136" s="369">
        <v>0.5</v>
      </c>
      <c r="VE136" s="370" t="e">
        <f>10/VA134</f>
        <v>#DIV/0!</v>
      </c>
      <c r="VF136" s="371">
        <v>15.38</v>
      </c>
      <c r="VG136" s="371" t="e">
        <f>VD136*VE136*VF136</f>
        <v>#DIV/0!</v>
      </c>
      <c r="VH136" s="367" t="s">
        <v>206</v>
      </c>
      <c r="VI136" s="367"/>
      <c r="VJ136" s="367"/>
      <c r="VK136" s="368" t="s">
        <v>168</v>
      </c>
      <c r="VL136" s="369">
        <v>0.5</v>
      </c>
      <c r="VM136" s="370" t="e">
        <f>10/VI134</f>
        <v>#DIV/0!</v>
      </c>
      <c r="VN136" s="371">
        <v>15.38</v>
      </c>
      <c r="VO136" s="371" t="e">
        <f>VL136*VM136*VN136</f>
        <v>#DIV/0!</v>
      </c>
      <c r="VP136" s="367" t="s">
        <v>206</v>
      </c>
      <c r="VQ136" s="367"/>
      <c r="VR136" s="367"/>
      <c r="VS136" s="368" t="s">
        <v>168</v>
      </c>
      <c r="VT136" s="369">
        <v>0.5</v>
      </c>
      <c r="VU136" s="370" t="e">
        <f>10/VQ134</f>
        <v>#DIV/0!</v>
      </c>
      <c r="VV136" s="371">
        <v>15.38</v>
      </c>
      <c r="VW136" s="371" t="e">
        <f>VT136*VU136*VV136</f>
        <v>#DIV/0!</v>
      </c>
      <c r="VX136" s="367" t="s">
        <v>206</v>
      </c>
      <c r="VY136" s="367"/>
      <c r="VZ136" s="367"/>
      <c r="WA136" s="368" t="s">
        <v>168</v>
      </c>
      <c r="WB136" s="369">
        <v>0.5</v>
      </c>
      <c r="WC136" s="370" t="e">
        <f>10/VY134</f>
        <v>#DIV/0!</v>
      </c>
      <c r="WD136" s="371">
        <v>15.38</v>
      </c>
      <c r="WE136" s="371" t="e">
        <f>WB136*WC136*WD136</f>
        <v>#DIV/0!</v>
      </c>
      <c r="WF136" s="367" t="s">
        <v>206</v>
      </c>
      <c r="WG136" s="367"/>
      <c r="WH136" s="367"/>
      <c r="WI136" s="368" t="s">
        <v>168</v>
      </c>
      <c r="WJ136" s="369">
        <v>0.5</v>
      </c>
      <c r="WK136" s="370" t="e">
        <f>10/WG134</f>
        <v>#DIV/0!</v>
      </c>
      <c r="WL136" s="371">
        <v>15.38</v>
      </c>
      <c r="WM136" s="371" t="e">
        <f>WJ136*WK136*WL136</f>
        <v>#DIV/0!</v>
      </c>
      <c r="WN136" s="367" t="s">
        <v>206</v>
      </c>
      <c r="WO136" s="367"/>
      <c r="WP136" s="367"/>
      <c r="WQ136" s="368" t="s">
        <v>168</v>
      </c>
      <c r="WR136" s="369">
        <v>0.5</v>
      </c>
      <c r="WS136" s="370" t="e">
        <f>10/WO134</f>
        <v>#DIV/0!</v>
      </c>
      <c r="WT136" s="371">
        <v>15.38</v>
      </c>
      <c r="WU136" s="371" t="e">
        <f>WR136*WS136*WT136</f>
        <v>#DIV/0!</v>
      </c>
      <c r="WV136" s="367" t="s">
        <v>206</v>
      </c>
      <c r="WW136" s="367"/>
      <c r="WX136" s="367"/>
      <c r="WY136" s="368" t="s">
        <v>168</v>
      </c>
      <c r="WZ136" s="369">
        <v>0.5</v>
      </c>
      <c r="XA136" s="370" t="e">
        <f>10/WW134</f>
        <v>#DIV/0!</v>
      </c>
      <c r="XB136" s="371">
        <v>15.38</v>
      </c>
      <c r="XC136" s="371" t="e">
        <f>WZ136*XA136*XB136</f>
        <v>#DIV/0!</v>
      </c>
      <c r="XD136" s="367" t="s">
        <v>206</v>
      </c>
      <c r="XE136" s="367"/>
      <c r="XF136" s="367"/>
      <c r="XG136" s="368" t="s">
        <v>168</v>
      </c>
      <c r="XH136" s="369">
        <v>0.5</v>
      </c>
      <c r="XI136" s="370" t="e">
        <f>10/XE134</f>
        <v>#DIV/0!</v>
      </c>
      <c r="XJ136" s="371">
        <v>15.38</v>
      </c>
      <c r="XK136" s="371" t="e">
        <f>XH136*XI136*XJ136</f>
        <v>#DIV/0!</v>
      </c>
      <c r="XL136" s="367" t="s">
        <v>206</v>
      </c>
      <c r="XM136" s="367"/>
      <c r="XN136" s="367"/>
      <c r="XO136" s="368" t="s">
        <v>168</v>
      </c>
      <c r="XP136" s="369">
        <v>0.5</v>
      </c>
      <c r="XQ136" s="370" t="e">
        <f>10/XM134</f>
        <v>#DIV/0!</v>
      </c>
      <c r="XR136" s="371">
        <v>15.38</v>
      </c>
      <c r="XS136" s="371" t="e">
        <f>XP136*XQ136*XR136</f>
        <v>#DIV/0!</v>
      </c>
      <c r="XT136" s="367" t="s">
        <v>206</v>
      </c>
      <c r="XU136" s="367"/>
      <c r="XV136" s="367"/>
      <c r="XW136" s="368" t="s">
        <v>168</v>
      </c>
      <c r="XX136" s="369">
        <v>0.5</v>
      </c>
      <c r="XY136" s="370" t="e">
        <f>10/XU134</f>
        <v>#DIV/0!</v>
      </c>
      <c r="XZ136" s="371">
        <v>15.38</v>
      </c>
      <c r="YA136" s="371" t="e">
        <f>XX136*XY136*XZ136</f>
        <v>#DIV/0!</v>
      </c>
      <c r="YB136" s="367" t="s">
        <v>206</v>
      </c>
      <c r="YC136" s="367"/>
      <c r="YD136" s="367"/>
      <c r="YE136" s="368" t="s">
        <v>168</v>
      </c>
      <c r="YF136" s="369">
        <v>0.5</v>
      </c>
      <c r="YG136" s="370" t="e">
        <f>10/YC134</f>
        <v>#DIV/0!</v>
      </c>
      <c r="YH136" s="371">
        <v>15.38</v>
      </c>
      <c r="YI136" s="371" t="e">
        <f>YF136*YG136*YH136</f>
        <v>#DIV/0!</v>
      </c>
      <c r="YJ136" s="367" t="s">
        <v>206</v>
      </c>
      <c r="YK136" s="367"/>
      <c r="YL136" s="367"/>
      <c r="YM136" s="368" t="s">
        <v>168</v>
      </c>
      <c r="YN136" s="369">
        <v>0.5</v>
      </c>
      <c r="YO136" s="370" t="e">
        <f>10/YK134</f>
        <v>#DIV/0!</v>
      </c>
      <c r="YP136" s="371">
        <v>15.38</v>
      </c>
      <c r="YQ136" s="371" t="e">
        <f>YN136*YO136*YP136</f>
        <v>#DIV/0!</v>
      </c>
      <c r="YR136" s="367" t="s">
        <v>206</v>
      </c>
      <c r="YS136" s="367"/>
      <c r="YT136" s="367"/>
      <c r="YU136" s="368" t="s">
        <v>168</v>
      </c>
      <c r="YV136" s="369">
        <v>0.5</v>
      </c>
      <c r="YW136" s="370" t="e">
        <f>10/YS134</f>
        <v>#DIV/0!</v>
      </c>
      <c r="YX136" s="371">
        <v>15.38</v>
      </c>
      <c r="YY136" s="371" t="e">
        <f>YV136*YW136*YX136</f>
        <v>#DIV/0!</v>
      </c>
      <c r="YZ136" s="367" t="s">
        <v>206</v>
      </c>
      <c r="ZA136" s="367"/>
      <c r="ZB136" s="367"/>
      <c r="ZC136" s="368" t="s">
        <v>168</v>
      </c>
      <c r="ZD136" s="369">
        <v>0.5</v>
      </c>
      <c r="ZE136" s="370" t="e">
        <f>10/ZA134</f>
        <v>#DIV/0!</v>
      </c>
      <c r="ZF136" s="371">
        <v>15.38</v>
      </c>
      <c r="ZG136" s="371" t="e">
        <f>ZD136*ZE136*ZF136</f>
        <v>#DIV/0!</v>
      </c>
      <c r="ZH136" s="367" t="s">
        <v>206</v>
      </c>
      <c r="ZI136" s="367"/>
      <c r="ZJ136" s="367"/>
      <c r="ZK136" s="368" t="s">
        <v>168</v>
      </c>
      <c r="ZL136" s="369">
        <v>0.5</v>
      </c>
      <c r="ZM136" s="370" t="e">
        <f>10/ZI134</f>
        <v>#DIV/0!</v>
      </c>
      <c r="ZN136" s="371">
        <v>15.38</v>
      </c>
      <c r="ZO136" s="371" t="e">
        <f>ZL136*ZM136*ZN136</f>
        <v>#DIV/0!</v>
      </c>
      <c r="ZP136" s="367" t="s">
        <v>206</v>
      </c>
      <c r="ZQ136" s="367"/>
      <c r="ZR136" s="367"/>
      <c r="ZS136" s="368" t="s">
        <v>168</v>
      </c>
      <c r="ZT136" s="369">
        <v>0.5</v>
      </c>
      <c r="ZU136" s="370" t="e">
        <f>10/ZQ134</f>
        <v>#DIV/0!</v>
      </c>
      <c r="ZV136" s="371">
        <v>15.38</v>
      </c>
      <c r="ZW136" s="371" t="e">
        <f>ZT136*ZU136*ZV136</f>
        <v>#DIV/0!</v>
      </c>
      <c r="ZX136" s="367" t="s">
        <v>206</v>
      </c>
      <c r="ZY136" s="367"/>
      <c r="ZZ136" s="367"/>
      <c r="AAA136" s="368" t="s">
        <v>168</v>
      </c>
      <c r="AAB136" s="369">
        <v>0.5</v>
      </c>
      <c r="AAC136" s="370" t="e">
        <f>10/ZY134</f>
        <v>#DIV/0!</v>
      </c>
      <c r="AAD136" s="371">
        <v>15.38</v>
      </c>
      <c r="AAE136" s="371" t="e">
        <f>AAB136*AAC136*AAD136</f>
        <v>#DIV/0!</v>
      </c>
      <c r="AAF136" s="367" t="s">
        <v>206</v>
      </c>
      <c r="AAG136" s="367"/>
      <c r="AAH136" s="367"/>
      <c r="AAI136" s="368" t="s">
        <v>168</v>
      </c>
      <c r="AAJ136" s="369">
        <v>0.5</v>
      </c>
      <c r="AAK136" s="370" t="e">
        <f>10/AAG134</f>
        <v>#DIV/0!</v>
      </c>
      <c r="AAL136" s="371">
        <v>15.38</v>
      </c>
      <c r="AAM136" s="371" t="e">
        <f>AAJ136*AAK136*AAL136</f>
        <v>#DIV/0!</v>
      </c>
      <c r="AAN136" s="367" t="s">
        <v>206</v>
      </c>
      <c r="AAO136" s="367"/>
      <c r="AAP136" s="367"/>
      <c r="AAQ136" s="368" t="s">
        <v>168</v>
      </c>
      <c r="AAR136" s="369">
        <v>0.5</v>
      </c>
      <c r="AAS136" s="370" t="e">
        <f>10/AAO134</f>
        <v>#DIV/0!</v>
      </c>
      <c r="AAT136" s="371">
        <v>15.38</v>
      </c>
      <c r="AAU136" s="371" t="e">
        <f>AAR136*AAS136*AAT136</f>
        <v>#DIV/0!</v>
      </c>
      <c r="AAV136" s="367" t="s">
        <v>206</v>
      </c>
      <c r="AAW136" s="367"/>
      <c r="AAX136" s="367"/>
      <c r="AAY136" s="368" t="s">
        <v>168</v>
      </c>
      <c r="AAZ136" s="369">
        <v>0.5</v>
      </c>
      <c r="ABA136" s="370" t="e">
        <f>10/AAW134</f>
        <v>#DIV/0!</v>
      </c>
      <c r="ABB136" s="371">
        <v>15.38</v>
      </c>
      <c r="ABC136" s="371" t="e">
        <f>AAZ136*ABA136*ABB136</f>
        <v>#DIV/0!</v>
      </c>
      <c r="ABD136" s="367" t="s">
        <v>206</v>
      </c>
      <c r="ABE136" s="367"/>
      <c r="ABF136" s="367"/>
      <c r="ABG136" s="368" t="s">
        <v>168</v>
      </c>
      <c r="ABH136" s="369">
        <v>0.5</v>
      </c>
      <c r="ABI136" s="370" t="e">
        <f>10/ABE134</f>
        <v>#DIV/0!</v>
      </c>
      <c r="ABJ136" s="371">
        <v>15.38</v>
      </c>
      <c r="ABK136" s="371" t="e">
        <f>ABH136*ABI136*ABJ136</f>
        <v>#DIV/0!</v>
      </c>
      <c r="ABL136" s="367" t="s">
        <v>206</v>
      </c>
      <c r="ABM136" s="367"/>
      <c r="ABN136" s="367"/>
      <c r="ABO136" s="368" t="s">
        <v>168</v>
      </c>
      <c r="ABP136" s="369">
        <v>0.5</v>
      </c>
      <c r="ABQ136" s="370" t="e">
        <f>10/ABM134</f>
        <v>#DIV/0!</v>
      </c>
      <c r="ABR136" s="371">
        <v>15.38</v>
      </c>
      <c r="ABS136" s="371" t="e">
        <f>ABP136*ABQ136*ABR136</f>
        <v>#DIV/0!</v>
      </c>
      <c r="ABT136" s="367" t="s">
        <v>206</v>
      </c>
      <c r="ABU136" s="367"/>
      <c r="ABV136" s="367"/>
      <c r="ABW136" s="368" t="s">
        <v>168</v>
      </c>
      <c r="ABX136" s="369">
        <v>0.5</v>
      </c>
      <c r="ABY136" s="370" t="e">
        <f>10/ABU134</f>
        <v>#DIV/0!</v>
      </c>
      <c r="ABZ136" s="371">
        <v>15.38</v>
      </c>
      <c r="ACA136" s="371" t="e">
        <f>ABX136*ABY136*ABZ136</f>
        <v>#DIV/0!</v>
      </c>
      <c r="ACB136" s="367" t="s">
        <v>206</v>
      </c>
      <c r="ACC136" s="367"/>
      <c r="ACD136" s="367"/>
      <c r="ACE136" s="368" t="s">
        <v>168</v>
      </c>
      <c r="ACF136" s="369">
        <v>0.5</v>
      </c>
      <c r="ACG136" s="370" t="e">
        <f>10/ACC134</f>
        <v>#DIV/0!</v>
      </c>
      <c r="ACH136" s="371">
        <v>15.38</v>
      </c>
      <c r="ACI136" s="371" t="e">
        <f>ACF136*ACG136*ACH136</f>
        <v>#DIV/0!</v>
      </c>
      <c r="ACJ136" s="367" t="s">
        <v>206</v>
      </c>
      <c r="ACK136" s="367"/>
      <c r="ACL136" s="367"/>
      <c r="ACM136" s="368" t="s">
        <v>168</v>
      </c>
      <c r="ACN136" s="369">
        <v>0.5</v>
      </c>
      <c r="ACO136" s="370" t="e">
        <f>10/ACK134</f>
        <v>#DIV/0!</v>
      </c>
      <c r="ACP136" s="371">
        <v>15.38</v>
      </c>
      <c r="ACQ136" s="371" t="e">
        <f>ACN136*ACO136*ACP136</f>
        <v>#DIV/0!</v>
      </c>
      <c r="ACR136" s="367" t="s">
        <v>206</v>
      </c>
      <c r="ACS136" s="367"/>
      <c r="ACT136" s="367"/>
      <c r="ACU136" s="368" t="s">
        <v>168</v>
      </c>
      <c r="ACV136" s="369">
        <v>0.5</v>
      </c>
      <c r="ACW136" s="370" t="e">
        <f>10/ACS134</f>
        <v>#DIV/0!</v>
      </c>
      <c r="ACX136" s="371">
        <v>15.38</v>
      </c>
      <c r="ACY136" s="371" t="e">
        <f>ACV136*ACW136*ACX136</f>
        <v>#DIV/0!</v>
      </c>
      <c r="ACZ136" s="367" t="s">
        <v>206</v>
      </c>
      <c r="ADA136" s="367"/>
      <c r="ADB136" s="367"/>
      <c r="ADC136" s="368" t="s">
        <v>168</v>
      </c>
      <c r="ADD136" s="369">
        <v>0.5</v>
      </c>
      <c r="ADE136" s="370" t="e">
        <f>10/ADA134</f>
        <v>#DIV/0!</v>
      </c>
      <c r="ADF136" s="371">
        <v>15.38</v>
      </c>
      <c r="ADG136" s="371" t="e">
        <f>ADD136*ADE136*ADF136</f>
        <v>#DIV/0!</v>
      </c>
      <c r="ADH136" s="367" t="s">
        <v>206</v>
      </c>
      <c r="ADI136" s="367"/>
      <c r="ADJ136" s="367"/>
      <c r="ADK136" s="368" t="s">
        <v>168</v>
      </c>
      <c r="ADL136" s="369">
        <v>0.5</v>
      </c>
      <c r="ADM136" s="370" t="e">
        <f>10/ADI134</f>
        <v>#DIV/0!</v>
      </c>
      <c r="ADN136" s="371">
        <v>15.38</v>
      </c>
      <c r="ADO136" s="371" t="e">
        <f>ADL136*ADM136*ADN136</f>
        <v>#DIV/0!</v>
      </c>
      <c r="ADP136" s="367" t="s">
        <v>206</v>
      </c>
      <c r="ADQ136" s="367"/>
      <c r="ADR136" s="367"/>
      <c r="ADS136" s="368" t="s">
        <v>168</v>
      </c>
      <c r="ADT136" s="369">
        <v>0.5</v>
      </c>
      <c r="ADU136" s="370" t="e">
        <f>10/ADQ134</f>
        <v>#DIV/0!</v>
      </c>
      <c r="ADV136" s="371">
        <v>15.38</v>
      </c>
      <c r="ADW136" s="371" t="e">
        <f>ADT136*ADU136*ADV136</f>
        <v>#DIV/0!</v>
      </c>
      <c r="ADX136" s="367" t="s">
        <v>206</v>
      </c>
      <c r="ADY136" s="367"/>
      <c r="ADZ136" s="367"/>
      <c r="AEA136" s="368" t="s">
        <v>168</v>
      </c>
      <c r="AEB136" s="369">
        <v>0.5</v>
      </c>
      <c r="AEC136" s="370" t="e">
        <f>10/ADY134</f>
        <v>#DIV/0!</v>
      </c>
      <c r="AED136" s="371">
        <v>15.38</v>
      </c>
      <c r="AEE136" s="371" t="e">
        <f>AEB136*AEC136*AED136</f>
        <v>#DIV/0!</v>
      </c>
      <c r="AEF136" s="367" t="s">
        <v>206</v>
      </c>
      <c r="AEG136" s="367"/>
      <c r="AEH136" s="367"/>
      <c r="AEI136" s="368" t="s">
        <v>168</v>
      </c>
      <c r="AEJ136" s="369">
        <v>0.5</v>
      </c>
      <c r="AEK136" s="370" t="e">
        <f>10/AEG134</f>
        <v>#DIV/0!</v>
      </c>
      <c r="AEL136" s="371">
        <v>15.38</v>
      </c>
      <c r="AEM136" s="371" t="e">
        <f>AEJ136*AEK136*AEL136</f>
        <v>#DIV/0!</v>
      </c>
      <c r="AEN136" s="367" t="s">
        <v>206</v>
      </c>
      <c r="AEO136" s="367"/>
      <c r="AEP136" s="367"/>
      <c r="AEQ136" s="368" t="s">
        <v>168</v>
      </c>
      <c r="AER136" s="369">
        <v>0.5</v>
      </c>
      <c r="AES136" s="370" t="e">
        <f>10/AEO134</f>
        <v>#DIV/0!</v>
      </c>
      <c r="AET136" s="371">
        <v>15.38</v>
      </c>
      <c r="AEU136" s="371" t="e">
        <f>AER136*AES136*AET136</f>
        <v>#DIV/0!</v>
      </c>
      <c r="AEV136" s="367" t="s">
        <v>206</v>
      </c>
      <c r="AEW136" s="367"/>
      <c r="AEX136" s="367"/>
      <c r="AEY136" s="368" t="s">
        <v>168</v>
      </c>
      <c r="AEZ136" s="369">
        <v>0.5</v>
      </c>
      <c r="AFA136" s="370" t="e">
        <f>10/AEW134</f>
        <v>#DIV/0!</v>
      </c>
      <c r="AFB136" s="371">
        <v>15.38</v>
      </c>
      <c r="AFC136" s="371" t="e">
        <f>AEZ136*AFA136*AFB136</f>
        <v>#DIV/0!</v>
      </c>
      <c r="AFD136" s="367" t="s">
        <v>206</v>
      </c>
      <c r="AFE136" s="367"/>
      <c r="AFF136" s="367"/>
      <c r="AFG136" s="368" t="s">
        <v>168</v>
      </c>
      <c r="AFH136" s="369">
        <v>0.5</v>
      </c>
      <c r="AFI136" s="370" t="e">
        <f>10/AFE134</f>
        <v>#DIV/0!</v>
      </c>
      <c r="AFJ136" s="371">
        <v>15.38</v>
      </c>
      <c r="AFK136" s="371" t="e">
        <f>AFH136*AFI136*AFJ136</f>
        <v>#DIV/0!</v>
      </c>
      <c r="AFL136" s="367" t="s">
        <v>206</v>
      </c>
      <c r="AFM136" s="367"/>
      <c r="AFN136" s="367"/>
      <c r="AFO136" s="368" t="s">
        <v>168</v>
      </c>
      <c r="AFP136" s="369">
        <v>0.5</v>
      </c>
      <c r="AFQ136" s="370" t="e">
        <f>10/AFM134</f>
        <v>#DIV/0!</v>
      </c>
      <c r="AFR136" s="371">
        <v>15.38</v>
      </c>
      <c r="AFS136" s="371" t="e">
        <f>AFP136*AFQ136*AFR136</f>
        <v>#DIV/0!</v>
      </c>
      <c r="AFT136" s="367" t="s">
        <v>206</v>
      </c>
      <c r="AFU136" s="367"/>
      <c r="AFV136" s="367"/>
      <c r="AFW136" s="368" t="s">
        <v>168</v>
      </c>
      <c r="AFX136" s="369">
        <v>0.5</v>
      </c>
      <c r="AFY136" s="370" t="e">
        <f>10/AFU134</f>
        <v>#DIV/0!</v>
      </c>
      <c r="AFZ136" s="371">
        <v>15.38</v>
      </c>
      <c r="AGA136" s="371" t="e">
        <f>AFX136*AFY136*AFZ136</f>
        <v>#DIV/0!</v>
      </c>
      <c r="AGB136" s="367" t="s">
        <v>206</v>
      </c>
      <c r="AGC136" s="367"/>
      <c r="AGD136" s="367"/>
      <c r="AGE136" s="368" t="s">
        <v>168</v>
      </c>
      <c r="AGF136" s="369">
        <v>0.5</v>
      </c>
      <c r="AGG136" s="370" t="e">
        <f>10/AGC134</f>
        <v>#DIV/0!</v>
      </c>
      <c r="AGH136" s="371">
        <v>15.38</v>
      </c>
      <c r="AGI136" s="371" t="e">
        <f>AGF136*AGG136*AGH136</f>
        <v>#DIV/0!</v>
      </c>
      <c r="AGJ136" s="367" t="s">
        <v>206</v>
      </c>
      <c r="AGK136" s="367"/>
      <c r="AGL136" s="367"/>
      <c r="AGM136" s="368" t="s">
        <v>168</v>
      </c>
      <c r="AGN136" s="369">
        <v>0.5</v>
      </c>
      <c r="AGO136" s="370" t="e">
        <f>10/AGK134</f>
        <v>#DIV/0!</v>
      </c>
      <c r="AGP136" s="371">
        <v>15.38</v>
      </c>
      <c r="AGQ136" s="371" t="e">
        <f>AGN136*AGO136*AGP136</f>
        <v>#DIV/0!</v>
      </c>
      <c r="AGR136" s="367" t="s">
        <v>206</v>
      </c>
      <c r="AGS136" s="367"/>
      <c r="AGT136" s="367"/>
      <c r="AGU136" s="368" t="s">
        <v>168</v>
      </c>
      <c r="AGV136" s="369">
        <v>0.5</v>
      </c>
      <c r="AGW136" s="370" t="e">
        <f>10/AGS134</f>
        <v>#DIV/0!</v>
      </c>
      <c r="AGX136" s="371">
        <v>15.38</v>
      </c>
      <c r="AGY136" s="371" t="e">
        <f>AGV136*AGW136*AGX136</f>
        <v>#DIV/0!</v>
      </c>
      <c r="AGZ136" s="367" t="s">
        <v>206</v>
      </c>
      <c r="AHA136" s="367"/>
      <c r="AHB136" s="367"/>
      <c r="AHC136" s="368" t="s">
        <v>168</v>
      </c>
      <c r="AHD136" s="369">
        <v>0.5</v>
      </c>
      <c r="AHE136" s="370" t="e">
        <f>10/AHA134</f>
        <v>#DIV/0!</v>
      </c>
      <c r="AHF136" s="371">
        <v>15.38</v>
      </c>
      <c r="AHG136" s="371" t="e">
        <f>AHD136*AHE136*AHF136</f>
        <v>#DIV/0!</v>
      </c>
      <c r="AHH136" s="367" t="s">
        <v>206</v>
      </c>
      <c r="AHI136" s="367"/>
      <c r="AHJ136" s="367"/>
      <c r="AHK136" s="368" t="s">
        <v>168</v>
      </c>
      <c r="AHL136" s="369">
        <v>0.5</v>
      </c>
      <c r="AHM136" s="370" t="e">
        <f>10/AHI134</f>
        <v>#DIV/0!</v>
      </c>
      <c r="AHN136" s="371">
        <v>15.38</v>
      </c>
      <c r="AHO136" s="371" t="e">
        <f>AHL136*AHM136*AHN136</f>
        <v>#DIV/0!</v>
      </c>
      <c r="AHP136" s="367" t="s">
        <v>206</v>
      </c>
      <c r="AHQ136" s="367"/>
      <c r="AHR136" s="367"/>
      <c r="AHS136" s="368" t="s">
        <v>168</v>
      </c>
      <c r="AHT136" s="369">
        <v>0.5</v>
      </c>
      <c r="AHU136" s="370" t="e">
        <f>10/AHQ134</f>
        <v>#DIV/0!</v>
      </c>
      <c r="AHV136" s="371">
        <v>15.38</v>
      </c>
      <c r="AHW136" s="371" t="e">
        <f>AHT136*AHU136*AHV136</f>
        <v>#DIV/0!</v>
      </c>
      <c r="AHX136" s="367" t="s">
        <v>206</v>
      </c>
      <c r="AHY136" s="367"/>
      <c r="AHZ136" s="367"/>
      <c r="AIA136" s="368" t="s">
        <v>168</v>
      </c>
      <c r="AIB136" s="369">
        <v>0.5</v>
      </c>
      <c r="AIC136" s="370" t="e">
        <f>10/AHY134</f>
        <v>#DIV/0!</v>
      </c>
      <c r="AID136" s="371">
        <v>15.38</v>
      </c>
      <c r="AIE136" s="371" t="e">
        <f>AIB136*AIC136*AID136</f>
        <v>#DIV/0!</v>
      </c>
      <c r="AIF136" s="367" t="s">
        <v>206</v>
      </c>
      <c r="AIG136" s="367"/>
      <c r="AIH136" s="367"/>
      <c r="AII136" s="368" t="s">
        <v>168</v>
      </c>
      <c r="AIJ136" s="369">
        <v>0.5</v>
      </c>
      <c r="AIK136" s="370" t="e">
        <f>10/AIG134</f>
        <v>#DIV/0!</v>
      </c>
      <c r="AIL136" s="371">
        <v>15.38</v>
      </c>
      <c r="AIM136" s="371" t="e">
        <f>AIJ136*AIK136*AIL136</f>
        <v>#DIV/0!</v>
      </c>
      <c r="AIN136" s="367" t="s">
        <v>206</v>
      </c>
      <c r="AIO136" s="367"/>
      <c r="AIP136" s="367"/>
      <c r="AIQ136" s="368" t="s">
        <v>168</v>
      </c>
      <c r="AIR136" s="369">
        <v>0.5</v>
      </c>
      <c r="AIS136" s="370" t="e">
        <f>10/AIO134</f>
        <v>#DIV/0!</v>
      </c>
      <c r="AIT136" s="371">
        <v>15.38</v>
      </c>
      <c r="AIU136" s="371" t="e">
        <f>AIR136*AIS136*AIT136</f>
        <v>#DIV/0!</v>
      </c>
      <c r="AIV136" s="367" t="s">
        <v>206</v>
      </c>
      <c r="AIW136" s="367"/>
      <c r="AIX136" s="367"/>
      <c r="AIY136" s="368" t="s">
        <v>168</v>
      </c>
      <c r="AIZ136" s="369">
        <v>0.5</v>
      </c>
      <c r="AJA136" s="370" t="e">
        <f>10/AIW134</f>
        <v>#DIV/0!</v>
      </c>
      <c r="AJB136" s="371">
        <v>15.38</v>
      </c>
      <c r="AJC136" s="371" t="e">
        <f>AIZ136*AJA136*AJB136</f>
        <v>#DIV/0!</v>
      </c>
      <c r="AJD136" s="367" t="s">
        <v>206</v>
      </c>
      <c r="AJE136" s="367"/>
      <c r="AJF136" s="367"/>
      <c r="AJG136" s="368" t="s">
        <v>168</v>
      </c>
      <c r="AJH136" s="369">
        <v>0.5</v>
      </c>
      <c r="AJI136" s="370" t="e">
        <f>10/AJE134</f>
        <v>#DIV/0!</v>
      </c>
      <c r="AJJ136" s="371">
        <v>15.38</v>
      </c>
      <c r="AJK136" s="371" t="e">
        <f>AJH136*AJI136*AJJ136</f>
        <v>#DIV/0!</v>
      </c>
      <c r="AJL136" s="367" t="s">
        <v>206</v>
      </c>
      <c r="AJM136" s="367"/>
      <c r="AJN136" s="367"/>
      <c r="AJO136" s="368" t="s">
        <v>168</v>
      </c>
      <c r="AJP136" s="369">
        <v>0.5</v>
      </c>
      <c r="AJQ136" s="370" t="e">
        <f>10/AJM134</f>
        <v>#DIV/0!</v>
      </c>
      <c r="AJR136" s="371">
        <v>15.38</v>
      </c>
      <c r="AJS136" s="371" t="e">
        <f>AJP136*AJQ136*AJR136</f>
        <v>#DIV/0!</v>
      </c>
      <c r="AJT136" s="367" t="s">
        <v>206</v>
      </c>
      <c r="AJU136" s="367"/>
      <c r="AJV136" s="367"/>
      <c r="AJW136" s="368" t="s">
        <v>168</v>
      </c>
      <c r="AJX136" s="369">
        <v>0.5</v>
      </c>
      <c r="AJY136" s="370" t="e">
        <f>10/AJU134</f>
        <v>#DIV/0!</v>
      </c>
      <c r="AJZ136" s="371">
        <v>15.38</v>
      </c>
      <c r="AKA136" s="371" t="e">
        <f>AJX136*AJY136*AJZ136</f>
        <v>#DIV/0!</v>
      </c>
      <c r="AKB136" s="367" t="s">
        <v>206</v>
      </c>
      <c r="AKC136" s="367"/>
      <c r="AKD136" s="367"/>
      <c r="AKE136" s="368" t="s">
        <v>168</v>
      </c>
      <c r="AKF136" s="369">
        <v>0.5</v>
      </c>
      <c r="AKG136" s="370" t="e">
        <f>10/AKC134</f>
        <v>#DIV/0!</v>
      </c>
      <c r="AKH136" s="371">
        <v>15.38</v>
      </c>
      <c r="AKI136" s="371" t="e">
        <f>AKF136*AKG136*AKH136</f>
        <v>#DIV/0!</v>
      </c>
      <c r="AKJ136" s="367" t="s">
        <v>206</v>
      </c>
      <c r="AKK136" s="367"/>
      <c r="AKL136" s="367"/>
      <c r="AKM136" s="368" t="s">
        <v>168</v>
      </c>
      <c r="AKN136" s="369">
        <v>0.5</v>
      </c>
      <c r="AKO136" s="370" t="e">
        <f>10/AKK134</f>
        <v>#DIV/0!</v>
      </c>
      <c r="AKP136" s="371">
        <v>15.38</v>
      </c>
      <c r="AKQ136" s="371" t="e">
        <f>AKN136*AKO136*AKP136</f>
        <v>#DIV/0!</v>
      </c>
      <c r="AKR136" s="367" t="s">
        <v>206</v>
      </c>
      <c r="AKS136" s="367"/>
      <c r="AKT136" s="367"/>
      <c r="AKU136" s="368" t="s">
        <v>168</v>
      </c>
      <c r="AKV136" s="369">
        <v>0.5</v>
      </c>
      <c r="AKW136" s="370" t="e">
        <f>10/AKS134</f>
        <v>#DIV/0!</v>
      </c>
      <c r="AKX136" s="371">
        <v>15.38</v>
      </c>
      <c r="AKY136" s="371" t="e">
        <f>AKV136*AKW136*AKX136</f>
        <v>#DIV/0!</v>
      </c>
      <c r="AKZ136" s="367" t="s">
        <v>206</v>
      </c>
      <c r="ALA136" s="367"/>
      <c r="ALB136" s="367"/>
      <c r="ALC136" s="368" t="s">
        <v>168</v>
      </c>
      <c r="ALD136" s="369">
        <v>0.5</v>
      </c>
      <c r="ALE136" s="370" t="e">
        <f>10/ALA134</f>
        <v>#DIV/0!</v>
      </c>
      <c r="ALF136" s="371">
        <v>15.38</v>
      </c>
      <c r="ALG136" s="371" t="e">
        <f>ALD136*ALE136*ALF136</f>
        <v>#DIV/0!</v>
      </c>
      <c r="ALH136" s="367" t="s">
        <v>206</v>
      </c>
      <c r="ALI136" s="367"/>
      <c r="ALJ136" s="367"/>
      <c r="ALK136" s="368" t="s">
        <v>168</v>
      </c>
      <c r="ALL136" s="369">
        <v>0.5</v>
      </c>
      <c r="ALM136" s="370" t="e">
        <f>10/ALI134</f>
        <v>#DIV/0!</v>
      </c>
      <c r="ALN136" s="371">
        <v>15.38</v>
      </c>
      <c r="ALO136" s="371" t="e">
        <f>ALL136*ALM136*ALN136</f>
        <v>#DIV/0!</v>
      </c>
      <c r="ALP136" s="367" t="s">
        <v>206</v>
      </c>
      <c r="ALQ136" s="367"/>
      <c r="ALR136" s="367"/>
      <c r="ALS136" s="368" t="s">
        <v>168</v>
      </c>
      <c r="ALT136" s="369">
        <v>0.5</v>
      </c>
      <c r="ALU136" s="370" t="e">
        <f>10/ALQ134</f>
        <v>#DIV/0!</v>
      </c>
      <c r="ALV136" s="371">
        <v>15.38</v>
      </c>
      <c r="ALW136" s="371" t="e">
        <f>ALT136*ALU136*ALV136</f>
        <v>#DIV/0!</v>
      </c>
      <c r="ALX136" s="367" t="s">
        <v>206</v>
      </c>
      <c r="ALY136" s="367"/>
      <c r="ALZ136" s="367"/>
      <c r="AMA136" s="368" t="s">
        <v>168</v>
      </c>
      <c r="AMB136" s="369">
        <v>0.5</v>
      </c>
      <c r="AMC136" s="370" t="e">
        <f>10/ALY134</f>
        <v>#DIV/0!</v>
      </c>
      <c r="AMD136" s="371">
        <v>15.38</v>
      </c>
      <c r="AME136" s="371" t="e">
        <f>AMB136*AMC136*AMD136</f>
        <v>#DIV/0!</v>
      </c>
      <c r="AMF136" s="367" t="s">
        <v>206</v>
      </c>
      <c r="AMG136" s="367"/>
      <c r="AMH136" s="367"/>
      <c r="AMI136" s="368" t="s">
        <v>168</v>
      </c>
      <c r="AMJ136" s="369">
        <v>0.5</v>
      </c>
      <c r="AMK136" s="370" t="e">
        <f>10/AMG134</f>
        <v>#DIV/0!</v>
      </c>
      <c r="AML136" s="371">
        <v>15.38</v>
      </c>
      <c r="AMM136" s="371" t="e">
        <f>AMJ136*AMK136*AML136</f>
        <v>#DIV/0!</v>
      </c>
      <c r="AMN136" s="367" t="s">
        <v>206</v>
      </c>
      <c r="AMO136" s="367"/>
      <c r="AMP136" s="367"/>
      <c r="AMQ136" s="368" t="s">
        <v>168</v>
      </c>
      <c r="AMR136" s="369">
        <v>0.5</v>
      </c>
      <c r="AMS136" s="370" t="e">
        <f>10/AMO134</f>
        <v>#DIV/0!</v>
      </c>
      <c r="AMT136" s="371">
        <v>15.38</v>
      </c>
      <c r="AMU136" s="371" t="e">
        <f>AMR136*AMS136*AMT136</f>
        <v>#DIV/0!</v>
      </c>
      <c r="AMV136" s="367" t="s">
        <v>206</v>
      </c>
      <c r="AMW136" s="367"/>
      <c r="AMX136" s="367"/>
      <c r="AMY136" s="368" t="s">
        <v>168</v>
      </c>
      <c r="AMZ136" s="369">
        <v>0.5</v>
      </c>
      <c r="ANA136" s="370" t="e">
        <f>10/AMW134</f>
        <v>#DIV/0!</v>
      </c>
      <c r="ANB136" s="371">
        <v>15.38</v>
      </c>
      <c r="ANC136" s="371" t="e">
        <f>AMZ136*ANA136*ANB136</f>
        <v>#DIV/0!</v>
      </c>
      <c r="AND136" s="367" t="s">
        <v>206</v>
      </c>
      <c r="ANE136" s="367"/>
      <c r="ANF136" s="367"/>
      <c r="ANG136" s="368" t="s">
        <v>168</v>
      </c>
      <c r="ANH136" s="369">
        <v>0.5</v>
      </c>
      <c r="ANI136" s="370" t="e">
        <f>10/ANE134</f>
        <v>#DIV/0!</v>
      </c>
      <c r="ANJ136" s="371">
        <v>15.38</v>
      </c>
      <c r="ANK136" s="371" t="e">
        <f>ANH136*ANI136*ANJ136</f>
        <v>#DIV/0!</v>
      </c>
      <c r="ANL136" s="367" t="s">
        <v>206</v>
      </c>
      <c r="ANM136" s="367"/>
      <c r="ANN136" s="367"/>
      <c r="ANO136" s="368" t="s">
        <v>168</v>
      </c>
      <c r="ANP136" s="369">
        <v>0.5</v>
      </c>
      <c r="ANQ136" s="370" t="e">
        <f>10/ANM134</f>
        <v>#DIV/0!</v>
      </c>
      <c r="ANR136" s="371">
        <v>15.38</v>
      </c>
      <c r="ANS136" s="371" t="e">
        <f>ANP136*ANQ136*ANR136</f>
        <v>#DIV/0!</v>
      </c>
      <c r="ANT136" s="367" t="s">
        <v>206</v>
      </c>
      <c r="ANU136" s="367"/>
      <c r="ANV136" s="367"/>
      <c r="ANW136" s="368" t="s">
        <v>168</v>
      </c>
      <c r="ANX136" s="369">
        <v>0.5</v>
      </c>
      <c r="ANY136" s="370" t="e">
        <f>10/ANU134</f>
        <v>#DIV/0!</v>
      </c>
      <c r="ANZ136" s="371">
        <v>15.38</v>
      </c>
      <c r="AOA136" s="371" t="e">
        <f>ANX136*ANY136*ANZ136</f>
        <v>#DIV/0!</v>
      </c>
      <c r="AOB136" s="367" t="s">
        <v>206</v>
      </c>
      <c r="AOC136" s="367"/>
      <c r="AOD136" s="367"/>
      <c r="AOE136" s="368" t="s">
        <v>168</v>
      </c>
      <c r="AOF136" s="369">
        <v>0.5</v>
      </c>
      <c r="AOG136" s="370" t="e">
        <f>10/AOC134</f>
        <v>#DIV/0!</v>
      </c>
      <c r="AOH136" s="371">
        <v>15.38</v>
      </c>
      <c r="AOI136" s="371" t="e">
        <f>AOF136*AOG136*AOH136</f>
        <v>#DIV/0!</v>
      </c>
      <c r="AOJ136" s="367" t="s">
        <v>206</v>
      </c>
      <c r="AOK136" s="367"/>
      <c r="AOL136" s="367"/>
      <c r="AOM136" s="368" t="s">
        <v>168</v>
      </c>
      <c r="AON136" s="369">
        <v>0.5</v>
      </c>
      <c r="AOO136" s="370" t="e">
        <f>10/AOK134</f>
        <v>#DIV/0!</v>
      </c>
      <c r="AOP136" s="371">
        <v>15.38</v>
      </c>
      <c r="AOQ136" s="371" t="e">
        <f>AON136*AOO136*AOP136</f>
        <v>#DIV/0!</v>
      </c>
      <c r="AOR136" s="367" t="s">
        <v>206</v>
      </c>
      <c r="AOS136" s="367"/>
      <c r="AOT136" s="367"/>
      <c r="AOU136" s="368" t="s">
        <v>168</v>
      </c>
      <c r="AOV136" s="369">
        <v>0.5</v>
      </c>
      <c r="AOW136" s="370" t="e">
        <f>10/AOS134</f>
        <v>#DIV/0!</v>
      </c>
      <c r="AOX136" s="371">
        <v>15.38</v>
      </c>
      <c r="AOY136" s="371" t="e">
        <f>AOV136*AOW136*AOX136</f>
        <v>#DIV/0!</v>
      </c>
      <c r="AOZ136" s="367" t="s">
        <v>206</v>
      </c>
      <c r="APA136" s="367"/>
      <c r="APB136" s="367"/>
      <c r="APC136" s="368" t="s">
        <v>168</v>
      </c>
      <c r="APD136" s="369">
        <v>0.5</v>
      </c>
      <c r="APE136" s="370" t="e">
        <f>10/APA134</f>
        <v>#DIV/0!</v>
      </c>
      <c r="APF136" s="371">
        <v>15.38</v>
      </c>
      <c r="APG136" s="371" t="e">
        <f>APD136*APE136*APF136</f>
        <v>#DIV/0!</v>
      </c>
      <c r="APH136" s="367" t="s">
        <v>206</v>
      </c>
      <c r="API136" s="367"/>
      <c r="APJ136" s="367"/>
      <c r="APK136" s="368" t="s">
        <v>168</v>
      </c>
      <c r="APL136" s="369">
        <v>0.5</v>
      </c>
      <c r="APM136" s="370" t="e">
        <f>10/API134</f>
        <v>#DIV/0!</v>
      </c>
      <c r="APN136" s="371">
        <v>15.38</v>
      </c>
      <c r="APO136" s="371" t="e">
        <f>APL136*APM136*APN136</f>
        <v>#DIV/0!</v>
      </c>
      <c r="APP136" s="367" t="s">
        <v>206</v>
      </c>
      <c r="APQ136" s="367"/>
      <c r="APR136" s="367"/>
      <c r="APS136" s="368" t="s">
        <v>168</v>
      </c>
      <c r="APT136" s="369">
        <v>0.5</v>
      </c>
      <c r="APU136" s="370" t="e">
        <f>10/APQ134</f>
        <v>#DIV/0!</v>
      </c>
      <c r="APV136" s="371">
        <v>15.38</v>
      </c>
      <c r="APW136" s="371" t="e">
        <f>APT136*APU136*APV136</f>
        <v>#DIV/0!</v>
      </c>
      <c r="APX136" s="367" t="s">
        <v>206</v>
      </c>
      <c r="APY136" s="367"/>
      <c r="APZ136" s="367"/>
      <c r="AQA136" s="368" t="s">
        <v>168</v>
      </c>
      <c r="AQB136" s="369">
        <v>0.5</v>
      </c>
      <c r="AQC136" s="370" t="e">
        <f>10/APY134</f>
        <v>#DIV/0!</v>
      </c>
      <c r="AQD136" s="371">
        <v>15.38</v>
      </c>
      <c r="AQE136" s="371" t="e">
        <f>AQB136*AQC136*AQD136</f>
        <v>#DIV/0!</v>
      </c>
      <c r="AQF136" s="367" t="s">
        <v>206</v>
      </c>
      <c r="AQG136" s="367"/>
      <c r="AQH136" s="367"/>
      <c r="AQI136" s="368" t="s">
        <v>168</v>
      </c>
      <c r="AQJ136" s="369">
        <v>0.5</v>
      </c>
      <c r="AQK136" s="370" t="e">
        <f>10/AQG134</f>
        <v>#DIV/0!</v>
      </c>
      <c r="AQL136" s="371">
        <v>15.38</v>
      </c>
      <c r="AQM136" s="371" t="e">
        <f>AQJ136*AQK136*AQL136</f>
        <v>#DIV/0!</v>
      </c>
      <c r="AQN136" s="367" t="s">
        <v>206</v>
      </c>
      <c r="AQO136" s="367"/>
      <c r="AQP136" s="367"/>
      <c r="AQQ136" s="368" t="s">
        <v>168</v>
      </c>
      <c r="AQR136" s="369">
        <v>0.5</v>
      </c>
      <c r="AQS136" s="370" t="e">
        <f>10/AQO134</f>
        <v>#DIV/0!</v>
      </c>
      <c r="AQT136" s="371">
        <v>15.38</v>
      </c>
      <c r="AQU136" s="371" t="e">
        <f>AQR136*AQS136*AQT136</f>
        <v>#DIV/0!</v>
      </c>
      <c r="AQV136" s="367" t="s">
        <v>206</v>
      </c>
      <c r="AQW136" s="367"/>
      <c r="AQX136" s="367"/>
      <c r="AQY136" s="368" t="s">
        <v>168</v>
      </c>
      <c r="AQZ136" s="369">
        <v>0.5</v>
      </c>
      <c r="ARA136" s="370" t="e">
        <f>10/AQW134</f>
        <v>#DIV/0!</v>
      </c>
      <c r="ARB136" s="371">
        <v>15.38</v>
      </c>
      <c r="ARC136" s="371" t="e">
        <f>AQZ136*ARA136*ARB136</f>
        <v>#DIV/0!</v>
      </c>
      <c r="ARD136" s="367" t="s">
        <v>206</v>
      </c>
      <c r="ARE136" s="367"/>
      <c r="ARF136" s="367"/>
      <c r="ARG136" s="368" t="s">
        <v>168</v>
      </c>
      <c r="ARH136" s="369">
        <v>0.5</v>
      </c>
      <c r="ARI136" s="370" t="e">
        <f>10/ARE134</f>
        <v>#DIV/0!</v>
      </c>
      <c r="ARJ136" s="371">
        <v>15.38</v>
      </c>
      <c r="ARK136" s="371" t="e">
        <f>ARH136*ARI136*ARJ136</f>
        <v>#DIV/0!</v>
      </c>
      <c r="ARL136" s="367" t="s">
        <v>206</v>
      </c>
      <c r="ARM136" s="367"/>
      <c r="ARN136" s="367"/>
      <c r="ARO136" s="368" t="s">
        <v>168</v>
      </c>
      <c r="ARP136" s="369">
        <v>0.5</v>
      </c>
      <c r="ARQ136" s="370" t="e">
        <f>10/ARM134</f>
        <v>#DIV/0!</v>
      </c>
      <c r="ARR136" s="371">
        <v>15.38</v>
      </c>
      <c r="ARS136" s="371" t="e">
        <f>ARP136*ARQ136*ARR136</f>
        <v>#DIV/0!</v>
      </c>
      <c r="ART136" s="367" t="s">
        <v>206</v>
      </c>
      <c r="ARU136" s="367"/>
      <c r="ARV136" s="367"/>
      <c r="ARW136" s="368" t="s">
        <v>168</v>
      </c>
      <c r="ARX136" s="369">
        <v>0.5</v>
      </c>
      <c r="ARY136" s="370" t="e">
        <f>10/ARU134</f>
        <v>#DIV/0!</v>
      </c>
      <c r="ARZ136" s="371">
        <v>15.38</v>
      </c>
      <c r="ASA136" s="371" t="e">
        <f>ARX136*ARY136*ARZ136</f>
        <v>#DIV/0!</v>
      </c>
      <c r="ASB136" s="367" t="s">
        <v>206</v>
      </c>
      <c r="ASC136" s="367"/>
      <c r="ASD136" s="367"/>
      <c r="ASE136" s="368" t="s">
        <v>168</v>
      </c>
      <c r="ASF136" s="369">
        <v>0.5</v>
      </c>
      <c r="ASG136" s="370" t="e">
        <f>10/ASC134</f>
        <v>#DIV/0!</v>
      </c>
      <c r="ASH136" s="371">
        <v>15.38</v>
      </c>
      <c r="ASI136" s="371" t="e">
        <f>ASF136*ASG136*ASH136</f>
        <v>#DIV/0!</v>
      </c>
      <c r="ASJ136" s="367" t="s">
        <v>206</v>
      </c>
      <c r="ASK136" s="367"/>
      <c r="ASL136" s="367"/>
      <c r="ASM136" s="368" t="s">
        <v>168</v>
      </c>
      <c r="ASN136" s="369">
        <v>0.5</v>
      </c>
      <c r="ASO136" s="370" t="e">
        <f>10/ASK134</f>
        <v>#DIV/0!</v>
      </c>
      <c r="ASP136" s="371">
        <v>15.38</v>
      </c>
      <c r="ASQ136" s="371" t="e">
        <f>ASN136*ASO136*ASP136</f>
        <v>#DIV/0!</v>
      </c>
      <c r="ASR136" s="367" t="s">
        <v>206</v>
      </c>
      <c r="ASS136" s="367"/>
      <c r="AST136" s="367"/>
      <c r="ASU136" s="368" t="s">
        <v>168</v>
      </c>
      <c r="ASV136" s="369">
        <v>0.5</v>
      </c>
      <c r="ASW136" s="370" t="e">
        <f>10/ASS134</f>
        <v>#DIV/0!</v>
      </c>
      <c r="ASX136" s="371">
        <v>15.38</v>
      </c>
      <c r="ASY136" s="371" t="e">
        <f>ASV136*ASW136*ASX136</f>
        <v>#DIV/0!</v>
      </c>
      <c r="ASZ136" s="367" t="s">
        <v>206</v>
      </c>
      <c r="ATA136" s="367"/>
      <c r="ATB136" s="367"/>
      <c r="ATC136" s="368" t="s">
        <v>168</v>
      </c>
      <c r="ATD136" s="369">
        <v>0.5</v>
      </c>
      <c r="ATE136" s="370" t="e">
        <f>10/ATA134</f>
        <v>#DIV/0!</v>
      </c>
      <c r="ATF136" s="371">
        <v>15.38</v>
      </c>
      <c r="ATG136" s="371" t="e">
        <f>ATD136*ATE136*ATF136</f>
        <v>#DIV/0!</v>
      </c>
      <c r="ATH136" s="367" t="s">
        <v>206</v>
      </c>
      <c r="ATI136" s="367"/>
      <c r="ATJ136" s="367"/>
      <c r="ATK136" s="368" t="s">
        <v>168</v>
      </c>
      <c r="ATL136" s="369">
        <v>0.5</v>
      </c>
      <c r="ATM136" s="370" t="e">
        <f>10/ATI134</f>
        <v>#DIV/0!</v>
      </c>
      <c r="ATN136" s="371">
        <v>15.38</v>
      </c>
      <c r="ATO136" s="371" t="e">
        <f>ATL136*ATM136*ATN136</f>
        <v>#DIV/0!</v>
      </c>
      <c r="ATP136" s="367" t="s">
        <v>206</v>
      </c>
      <c r="ATQ136" s="367"/>
      <c r="ATR136" s="367"/>
      <c r="ATS136" s="368" t="s">
        <v>168</v>
      </c>
      <c r="ATT136" s="369">
        <v>0.5</v>
      </c>
      <c r="ATU136" s="370" t="e">
        <f>10/ATQ134</f>
        <v>#DIV/0!</v>
      </c>
      <c r="ATV136" s="371">
        <v>15.38</v>
      </c>
      <c r="ATW136" s="371" t="e">
        <f>ATT136*ATU136*ATV136</f>
        <v>#DIV/0!</v>
      </c>
      <c r="ATX136" s="367" t="s">
        <v>206</v>
      </c>
      <c r="ATY136" s="367"/>
      <c r="ATZ136" s="367"/>
      <c r="AUA136" s="368" t="s">
        <v>168</v>
      </c>
      <c r="AUB136" s="369">
        <v>0.5</v>
      </c>
      <c r="AUC136" s="370" t="e">
        <f>10/ATY134</f>
        <v>#DIV/0!</v>
      </c>
      <c r="AUD136" s="371">
        <v>15.38</v>
      </c>
      <c r="AUE136" s="371" t="e">
        <f>AUB136*AUC136*AUD136</f>
        <v>#DIV/0!</v>
      </c>
      <c r="AUF136" s="367" t="s">
        <v>206</v>
      </c>
      <c r="AUG136" s="367"/>
      <c r="AUH136" s="367"/>
      <c r="AUI136" s="368" t="s">
        <v>168</v>
      </c>
      <c r="AUJ136" s="369">
        <v>0.5</v>
      </c>
      <c r="AUK136" s="370" t="e">
        <f>10/AUG134</f>
        <v>#DIV/0!</v>
      </c>
      <c r="AUL136" s="371">
        <v>15.38</v>
      </c>
      <c r="AUM136" s="371" t="e">
        <f>AUJ136*AUK136*AUL136</f>
        <v>#DIV/0!</v>
      </c>
      <c r="AUN136" s="367" t="s">
        <v>206</v>
      </c>
      <c r="AUO136" s="367"/>
      <c r="AUP136" s="367"/>
      <c r="AUQ136" s="368" t="s">
        <v>168</v>
      </c>
      <c r="AUR136" s="369">
        <v>0.5</v>
      </c>
      <c r="AUS136" s="370" t="e">
        <f>10/AUO134</f>
        <v>#DIV/0!</v>
      </c>
      <c r="AUT136" s="371">
        <v>15.38</v>
      </c>
      <c r="AUU136" s="371" t="e">
        <f>AUR136*AUS136*AUT136</f>
        <v>#DIV/0!</v>
      </c>
      <c r="AUV136" s="367" t="s">
        <v>206</v>
      </c>
      <c r="AUW136" s="367"/>
      <c r="AUX136" s="367"/>
      <c r="AUY136" s="368" t="s">
        <v>168</v>
      </c>
      <c r="AUZ136" s="369">
        <v>0.5</v>
      </c>
      <c r="AVA136" s="370" t="e">
        <f>10/AUW134</f>
        <v>#DIV/0!</v>
      </c>
      <c r="AVB136" s="371">
        <v>15.38</v>
      </c>
      <c r="AVC136" s="371" t="e">
        <f>AUZ136*AVA136*AVB136</f>
        <v>#DIV/0!</v>
      </c>
      <c r="AVD136" s="367" t="s">
        <v>206</v>
      </c>
      <c r="AVE136" s="367"/>
      <c r="AVF136" s="367"/>
      <c r="AVG136" s="368" t="s">
        <v>168</v>
      </c>
      <c r="AVH136" s="369">
        <v>0.5</v>
      </c>
      <c r="AVI136" s="370" t="e">
        <f>10/AVE134</f>
        <v>#DIV/0!</v>
      </c>
      <c r="AVJ136" s="371">
        <v>15.38</v>
      </c>
      <c r="AVK136" s="371" t="e">
        <f>AVH136*AVI136*AVJ136</f>
        <v>#DIV/0!</v>
      </c>
      <c r="AVL136" s="367" t="s">
        <v>206</v>
      </c>
      <c r="AVM136" s="367"/>
      <c r="AVN136" s="367"/>
      <c r="AVO136" s="368" t="s">
        <v>168</v>
      </c>
      <c r="AVP136" s="369">
        <v>0.5</v>
      </c>
      <c r="AVQ136" s="370" t="e">
        <f>10/AVM134</f>
        <v>#DIV/0!</v>
      </c>
      <c r="AVR136" s="371">
        <v>15.38</v>
      </c>
      <c r="AVS136" s="371" t="e">
        <f>AVP136*AVQ136*AVR136</f>
        <v>#DIV/0!</v>
      </c>
      <c r="AVT136" s="367" t="s">
        <v>206</v>
      </c>
      <c r="AVU136" s="367"/>
      <c r="AVV136" s="367"/>
      <c r="AVW136" s="368" t="s">
        <v>168</v>
      </c>
      <c r="AVX136" s="369">
        <v>0.5</v>
      </c>
      <c r="AVY136" s="370" t="e">
        <f>10/AVU134</f>
        <v>#DIV/0!</v>
      </c>
      <c r="AVZ136" s="371">
        <v>15.38</v>
      </c>
      <c r="AWA136" s="371" t="e">
        <f>AVX136*AVY136*AVZ136</f>
        <v>#DIV/0!</v>
      </c>
      <c r="AWB136" s="367" t="s">
        <v>206</v>
      </c>
      <c r="AWC136" s="367"/>
      <c r="AWD136" s="367"/>
      <c r="AWE136" s="368" t="s">
        <v>168</v>
      </c>
      <c r="AWF136" s="369">
        <v>0.5</v>
      </c>
      <c r="AWG136" s="370" t="e">
        <f>10/AWC134</f>
        <v>#DIV/0!</v>
      </c>
      <c r="AWH136" s="371">
        <v>15.38</v>
      </c>
      <c r="AWI136" s="371" t="e">
        <f>AWF136*AWG136*AWH136</f>
        <v>#DIV/0!</v>
      </c>
      <c r="AWJ136" s="367" t="s">
        <v>206</v>
      </c>
      <c r="AWK136" s="367"/>
      <c r="AWL136" s="367"/>
      <c r="AWM136" s="368" t="s">
        <v>168</v>
      </c>
      <c r="AWN136" s="369">
        <v>0.5</v>
      </c>
      <c r="AWO136" s="370" t="e">
        <f>10/AWK134</f>
        <v>#DIV/0!</v>
      </c>
      <c r="AWP136" s="371">
        <v>15.38</v>
      </c>
      <c r="AWQ136" s="371" t="e">
        <f>AWN136*AWO136*AWP136</f>
        <v>#DIV/0!</v>
      </c>
      <c r="AWR136" s="367" t="s">
        <v>206</v>
      </c>
      <c r="AWS136" s="367"/>
      <c r="AWT136" s="367"/>
      <c r="AWU136" s="368" t="s">
        <v>168</v>
      </c>
      <c r="AWV136" s="369">
        <v>0.5</v>
      </c>
      <c r="AWW136" s="370" t="e">
        <f>10/AWS134</f>
        <v>#DIV/0!</v>
      </c>
      <c r="AWX136" s="371">
        <v>15.38</v>
      </c>
      <c r="AWY136" s="371" t="e">
        <f>AWV136*AWW136*AWX136</f>
        <v>#DIV/0!</v>
      </c>
      <c r="AWZ136" s="367" t="s">
        <v>206</v>
      </c>
      <c r="AXA136" s="367"/>
      <c r="AXB136" s="367"/>
      <c r="AXC136" s="368" t="s">
        <v>168</v>
      </c>
      <c r="AXD136" s="369">
        <v>0.5</v>
      </c>
      <c r="AXE136" s="370" t="e">
        <f>10/AXA134</f>
        <v>#DIV/0!</v>
      </c>
      <c r="AXF136" s="371">
        <v>15.38</v>
      </c>
      <c r="AXG136" s="371" t="e">
        <f>AXD136*AXE136*AXF136</f>
        <v>#DIV/0!</v>
      </c>
      <c r="AXH136" s="367" t="s">
        <v>206</v>
      </c>
      <c r="AXI136" s="367"/>
      <c r="AXJ136" s="367"/>
      <c r="AXK136" s="368" t="s">
        <v>168</v>
      </c>
      <c r="AXL136" s="369">
        <v>0.5</v>
      </c>
      <c r="AXM136" s="370" t="e">
        <f>10/AXI134</f>
        <v>#DIV/0!</v>
      </c>
      <c r="AXN136" s="371">
        <v>15.38</v>
      </c>
      <c r="AXO136" s="371" t="e">
        <f>AXL136*AXM136*AXN136</f>
        <v>#DIV/0!</v>
      </c>
      <c r="AXP136" s="367" t="s">
        <v>206</v>
      </c>
      <c r="AXQ136" s="367"/>
      <c r="AXR136" s="367"/>
      <c r="AXS136" s="368" t="s">
        <v>168</v>
      </c>
      <c r="AXT136" s="369">
        <v>0.5</v>
      </c>
      <c r="AXU136" s="370" t="e">
        <f>10/AXQ134</f>
        <v>#DIV/0!</v>
      </c>
      <c r="AXV136" s="371">
        <v>15.38</v>
      </c>
      <c r="AXW136" s="371" t="e">
        <f>AXT136*AXU136*AXV136</f>
        <v>#DIV/0!</v>
      </c>
      <c r="AXX136" s="367" t="s">
        <v>206</v>
      </c>
      <c r="AXY136" s="367"/>
      <c r="AXZ136" s="367"/>
      <c r="AYA136" s="368" t="s">
        <v>168</v>
      </c>
      <c r="AYB136" s="369">
        <v>0.5</v>
      </c>
      <c r="AYC136" s="370" t="e">
        <f>10/AXY134</f>
        <v>#DIV/0!</v>
      </c>
      <c r="AYD136" s="371">
        <v>15.38</v>
      </c>
      <c r="AYE136" s="371" t="e">
        <f>AYB136*AYC136*AYD136</f>
        <v>#DIV/0!</v>
      </c>
      <c r="AYF136" s="367" t="s">
        <v>206</v>
      </c>
      <c r="AYG136" s="367"/>
      <c r="AYH136" s="367"/>
      <c r="AYI136" s="368" t="s">
        <v>168</v>
      </c>
      <c r="AYJ136" s="369">
        <v>0.5</v>
      </c>
      <c r="AYK136" s="370" t="e">
        <f>10/AYG134</f>
        <v>#DIV/0!</v>
      </c>
      <c r="AYL136" s="371">
        <v>15.38</v>
      </c>
      <c r="AYM136" s="371" t="e">
        <f>AYJ136*AYK136*AYL136</f>
        <v>#DIV/0!</v>
      </c>
      <c r="AYN136" s="367" t="s">
        <v>206</v>
      </c>
      <c r="AYO136" s="367"/>
      <c r="AYP136" s="367"/>
      <c r="AYQ136" s="368" t="s">
        <v>168</v>
      </c>
      <c r="AYR136" s="369">
        <v>0.5</v>
      </c>
      <c r="AYS136" s="370" t="e">
        <f>10/AYO134</f>
        <v>#DIV/0!</v>
      </c>
      <c r="AYT136" s="371">
        <v>15.38</v>
      </c>
      <c r="AYU136" s="371" t="e">
        <f>AYR136*AYS136*AYT136</f>
        <v>#DIV/0!</v>
      </c>
      <c r="AYV136" s="367" t="s">
        <v>206</v>
      </c>
      <c r="AYW136" s="367"/>
      <c r="AYX136" s="367"/>
      <c r="AYY136" s="368" t="s">
        <v>168</v>
      </c>
      <c r="AYZ136" s="369">
        <v>0.5</v>
      </c>
      <c r="AZA136" s="370" t="e">
        <f>10/AYW134</f>
        <v>#DIV/0!</v>
      </c>
      <c r="AZB136" s="371">
        <v>15.38</v>
      </c>
      <c r="AZC136" s="371" t="e">
        <f>AYZ136*AZA136*AZB136</f>
        <v>#DIV/0!</v>
      </c>
      <c r="AZD136" s="367" t="s">
        <v>206</v>
      </c>
      <c r="AZE136" s="367"/>
      <c r="AZF136" s="367"/>
      <c r="AZG136" s="368" t="s">
        <v>168</v>
      </c>
      <c r="AZH136" s="369">
        <v>0.5</v>
      </c>
      <c r="AZI136" s="370" t="e">
        <f>10/AZE134</f>
        <v>#DIV/0!</v>
      </c>
      <c r="AZJ136" s="371">
        <v>15.38</v>
      </c>
      <c r="AZK136" s="371" t="e">
        <f>AZH136*AZI136*AZJ136</f>
        <v>#DIV/0!</v>
      </c>
      <c r="AZL136" s="367" t="s">
        <v>206</v>
      </c>
      <c r="AZM136" s="367"/>
      <c r="AZN136" s="367"/>
      <c r="AZO136" s="368" t="s">
        <v>168</v>
      </c>
      <c r="AZP136" s="369">
        <v>0.5</v>
      </c>
      <c r="AZQ136" s="370" t="e">
        <f>10/AZM134</f>
        <v>#DIV/0!</v>
      </c>
      <c r="AZR136" s="371">
        <v>15.38</v>
      </c>
      <c r="AZS136" s="371" t="e">
        <f>AZP136*AZQ136*AZR136</f>
        <v>#DIV/0!</v>
      </c>
      <c r="AZT136" s="367" t="s">
        <v>206</v>
      </c>
      <c r="AZU136" s="367"/>
      <c r="AZV136" s="367"/>
      <c r="AZW136" s="368" t="s">
        <v>168</v>
      </c>
      <c r="AZX136" s="369">
        <v>0.5</v>
      </c>
      <c r="AZY136" s="370" t="e">
        <f>10/AZU134</f>
        <v>#DIV/0!</v>
      </c>
      <c r="AZZ136" s="371">
        <v>15.38</v>
      </c>
      <c r="BAA136" s="371" t="e">
        <f>AZX136*AZY136*AZZ136</f>
        <v>#DIV/0!</v>
      </c>
      <c r="BAB136" s="367" t="s">
        <v>206</v>
      </c>
      <c r="BAC136" s="367"/>
      <c r="BAD136" s="367"/>
      <c r="BAE136" s="368" t="s">
        <v>168</v>
      </c>
      <c r="BAF136" s="369">
        <v>0.5</v>
      </c>
      <c r="BAG136" s="370" t="e">
        <f>10/BAC134</f>
        <v>#DIV/0!</v>
      </c>
      <c r="BAH136" s="371">
        <v>15.38</v>
      </c>
      <c r="BAI136" s="371" t="e">
        <f>BAF136*BAG136*BAH136</f>
        <v>#DIV/0!</v>
      </c>
      <c r="BAJ136" s="367" t="s">
        <v>206</v>
      </c>
      <c r="BAK136" s="367"/>
      <c r="BAL136" s="367"/>
      <c r="BAM136" s="368" t="s">
        <v>168</v>
      </c>
      <c r="BAN136" s="369">
        <v>0.5</v>
      </c>
      <c r="BAO136" s="370" t="e">
        <f>10/BAK134</f>
        <v>#DIV/0!</v>
      </c>
      <c r="BAP136" s="371">
        <v>15.38</v>
      </c>
      <c r="BAQ136" s="371" t="e">
        <f>BAN136*BAO136*BAP136</f>
        <v>#DIV/0!</v>
      </c>
      <c r="BAR136" s="367" t="s">
        <v>206</v>
      </c>
      <c r="BAS136" s="367"/>
      <c r="BAT136" s="367"/>
      <c r="BAU136" s="368" t="s">
        <v>168</v>
      </c>
      <c r="BAV136" s="369">
        <v>0.5</v>
      </c>
      <c r="BAW136" s="370" t="e">
        <f>10/BAS134</f>
        <v>#DIV/0!</v>
      </c>
      <c r="BAX136" s="371">
        <v>15.38</v>
      </c>
      <c r="BAY136" s="371" t="e">
        <f>BAV136*BAW136*BAX136</f>
        <v>#DIV/0!</v>
      </c>
      <c r="BAZ136" s="367" t="s">
        <v>206</v>
      </c>
      <c r="BBA136" s="367"/>
      <c r="BBB136" s="367"/>
      <c r="BBC136" s="368" t="s">
        <v>168</v>
      </c>
      <c r="BBD136" s="369">
        <v>0.5</v>
      </c>
      <c r="BBE136" s="370" t="e">
        <f>10/BBA134</f>
        <v>#DIV/0!</v>
      </c>
      <c r="BBF136" s="371">
        <v>15.38</v>
      </c>
      <c r="BBG136" s="371" t="e">
        <f>BBD136*BBE136*BBF136</f>
        <v>#DIV/0!</v>
      </c>
      <c r="BBH136" s="367" t="s">
        <v>206</v>
      </c>
      <c r="BBI136" s="367"/>
      <c r="BBJ136" s="367"/>
      <c r="BBK136" s="368" t="s">
        <v>168</v>
      </c>
      <c r="BBL136" s="369">
        <v>0.5</v>
      </c>
      <c r="BBM136" s="370" t="e">
        <f>10/BBI134</f>
        <v>#DIV/0!</v>
      </c>
      <c r="BBN136" s="371">
        <v>15.38</v>
      </c>
      <c r="BBO136" s="371" t="e">
        <f>BBL136*BBM136*BBN136</f>
        <v>#DIV/0!</v>
      </c>
      <c r="BBP136" s="367" t="s">
        <v>206</v>
      </c>
      <c r="BBQ136" s="367"/>
      <c r="BBR136" s="367"/>
      <c r="BBS136" s="368" t="s">
        <v>168</v>
      </c>
      <c r="BBT136" s="369">
        <v>0.5</v>
      </c>
      <c r="BBU136" s="370" t="e">
        <f>10/BBQ134</f>
        <v>#DIV/0!</v>
      </c>
      <c r="BBV136" s="371">
        <v>15.38</v>
      </c>
      <c r="BBW136" s="371" t="e">
        <f>BBT136*BBU136*BBV136</f>
        <v>#DIV/0!</v>
      </c>
      <c r="BBX136" s="367" t="s">
        <v>206</v>
      </c>
      <c r="BBY136" s="367"/>
      <c r="BBZ136" s="367"/>
      <c r="BCA136" s="368" t="s">
        <v>168</v>
      </c>
      <c r="BCB136" s="369">
        <v>0.5</v>
      </c>
      <c r="BCC136" s="370" t="e">
        <f>10/BBY134</f>
        <v>#DIV/0!</v>
      </c>
      <c r="BCD136" s="371">
        <v>15.38</v>
      </c>
      <c r="BCE136" s="371" t="e">
        <f>BCB136*BCC136*BCD136</f>
        <v>#DIV/0!</v>
      </c>
      <c r="BCF136" s="367" t="s">
        <v>206</v>
      </c>
      <c r="BCG136" s="367"/>
      <c r="BCH136" s="367"/>
      <c r="BCI136" s="368" t="s">
        <v>168</v>
      </c>
      <c r="BCJ136" s="369">
        <v>0.5</v>
      </c>
      <c r="BCK136" s="370" t="e">
        <f>10/BCG134</f>
        <v>#DIV/0!</v>
      </c>
      <c r="BCL136" s="371">
        <v>15.38</v>
      </c>
      <c r="BCM136" s="371" t="e">
        <f>BCJ136*BCK136*BCL136</f>
        <v>#DIV/0!</v>
      </c>
      <c r="BCN136" s="367" t="s">
        <v>206</v>
      </c>
      <c r="BCO136" s="367"/>
      <c r="BCP136" s="367"/>
      <c r="BCQ136" s="368" t="s">
        <v>168</v>
      </c>
      <c r="BCR136" s="369">
        <v>0.5</v>
      </c>
      <c r="BCS136" s="370" t="e">
        <f>10/BCO134</f>
        <v>#DIV/0!</v>
      </c>
      <c r="BCT136" s="371">
        <v>15.38</v>
      </c>
      <c r="BCU136" s="371" t="e">
        <f>BCR136*BCS136*BCT136</f>
        <v>#DIV/0!</v>
      </c>
      <c r="BCV136" s="367" t="s">
        <v>206</v>
      </c>
      <c r="BCW136" s="367"/>
      <c r="BCX136" s="367"/>
      <c r="BCY136" s="368" t="s">
        <v>168</v>
      </c>
      <c r="BCZ136" s="369">
        <v>0.5</v>
      </c>
      <c r="BDA136" s="370" t="e">
        <f>10/BCW134</f>
        <v>#DIV/0!</v>
      </c>
      <c r="BDB136" s="371">
        <v>15.38</v>
      </c>
      <c r="BDC136" s="371" t="e">
        <f>BCZ136*BDA136*BDB136</f>
        <v>#DIV/0!</v>
      </c>
      <c r="BDD136" s="367" t="s">
        <v>206</v>
      </c>
      <c r="BDE136" s="367"/>
      <c r="BDF136" s="367"/>
      <c r="BDG136" s="368" t="s">
        <v>168</v>
      </c>
      <c r="BDH136" s="369">
        <v>0.5</v>
      </c>
      <c r="BDI136" s="370" t="e">
        <f>10/BDE134</f>
        <v>#DIV/0!</v>
      </c>
      <c r="BDJ136" s="371">
        <v>15.38</v>
      </c>
      <c r="BDK136" s="371" t="e">
        <f>BDH136*BDI136*BDJ136</f>
        <v>#DIV/0!</v>
      </c>
      <c r="BDL136" s="367" t="s">
        <v>206</v>
      </c>
      <c r="BDM136" s="367"/>
      <c r="BDN136" s="367"/>
      <c r="BDO136" s="368" t="s">
        <v>168</v>
      </c>
      <c r="BDP136" s="369">
        <v>0.5</v>
      </c>
      <c r="BDQ136" s="370" t="e">
        <f>10/BDM134</f>
        <v>#DIV/0!</v>
      </c>
      <c r="BDR136" s="371">
        <v>15.38</v>
      </c>
      <c r="BDS136" s="371" t="e">
        <f>BDP136*BDQ136*BDR136</f>
        <v>#DIV/0!</v>
      </c>
      <c r="BDT136" s="367" t="s">
        <v>206</v>
      </c>
      <c r="BDU136" s="367"/>
      <c r="BDV136" s="367"/>
      <c r="BDW136" s="368" t="s">
        <v>168</v>
      </c>
      <c r="BDX136" s="369">
        <v>0.5</v>
      </c>
      <c r="BDY136" s="370" t="e">
        <f>10/BDU134</f>
        <v>#DIV/0!</v>
      </c>
      <c r="BDZ136" s="371">
        <v>15.38</v>
      </c>
      <c r="BEA136" s="371" t="e">
        <f>BDX136*BDY136*BDZ136</f>
        <v>#DIV/0!</v>
      </c>
      <c r="BEB136" s="367" t="s">
        <v>206</v>
      </c>
      <c r="BEC136" s="367"/>
      <c r="BED136" s="367"/>
      <c r="BEE136" s="368" t="s">
        <v>168</v>
      </c>
      <c r="BEF136" s="369">
        <v>0.5</v>
      </c>
      <c r="BEG136" s="370" t="e">
        <f>10/BEC134</f>
        <v>#DIV/0!</v>
      </c>
      <c r="BEH136" s="371">
        <v>15.38</v>
      </c>
      <c r="BEI136" s="371" t="e">
        <f>BEF136*BEG136*BEH136</f>
        <v>#DIV/0!</v>
      </c>
      <c r="BEJ136" s="367" t="s">
        <v>206</v>
      </c>
      <c r="BEK136" s="367"/>
      <c r="BEL136" s="367"/>
      <c r="BEM136" s="368" t="s">
        <v>168</v>
      </c>
      <c r="BEN136" s="369">
        <v>0.5</v>
      </c>
      <c r="BEO136" s="370" t="e">
        <f>10/BEK134</f>
        <v>#DIV/0!</v>
      </c>
      <c r="BEP136" s="371">
        <v>15.38</v>
      </c>
      <c r="BEQ136" s="371" t="e">
        <f>BEN136*BEO136*BEP136</f>
        <v>#DIV/0!</v>
      </c>
      <c r="BER136" s="367" t="s">
        <v>206</v>
      </c>
      <c r="BES136" s="367"/>
      <c r="BET136" s="367"/>
      <c r="BEU136" s="368" t="s">
        <v>168</v>
      </c>
      <c r="BEV136" s="369">
        <v>0.5</v>
      </c>
      <c r="BEW136" s="370" t="e">
        <f>10/BES134</f>
        <v>#DIV/0!</v>
      </c>
      <c r="BEX136" s="371">
        <v>15.38</v>
      </c>
      <c r="BEY136" s="371" t="e">
        <f>BEV136*BEW136*BEX136</f>
        <v>#DIV/0!</v>
      </c>
      <c r="BEZ136" s="367" t="s">
        <v>206</v>
      </c>
      <c r="BFA136" s="367"/>
      <c r="BFB136" s="367"/>
      <c r="BFC136" s="368" t="s">
        <v>168</v>
      </c>
      <c r="BFD136" s="369">
        <v>0.5</v>
      </c>
      <c r="BFE136" s="370" t="e">
        <f>10/BFA134</f>
        <v>#DIV/0!</v>
      </c>
      <c r="BFF136" s="371">
        <v>15.38</v>
      </c>
      <c r="BFG136" s="371" t="e">
        <f>BFD136*BFE136*BFF136</f>
        <v>#DIV/0!</v>
      </c>
      <c r="BFH136" s="367" t="s">
        <v>206</v>
      </c>
      <c r="BFI136" s="367"/>
      <c r="BFJ136" s="367"/>
      <c r="BFK136" s="368" t="s">
        <v>168</v>
      </c>
      <c r="BFL136" s="369">
        <v>0.5</v>
      </c>
      <c r="BFM136" s="370" t="e">
        <f>10/BFI134</f>
        <v>#DIV/0!</v>
      </c>
      <c r="BFN136" s="371">
        <v>15.38</v>
      </c>
      <c r="BFO136" s="371" t="e">
        <f>BFL136*BFM136*BFN136</f>
        <v>#DIV/0!</v>
      </c>
      <c r="BFP136" s="367" t="s">
        <v>206</v>
      </c>
      <c r="BFQ136" s="367"/>
      <c r="BFR136" s="367"/>
      <c r="BFS136" s="368" t="s">
        <v>168</v>
      </c>
      <c r="BFT136" s="369">
        <v>0.5</v>
      </c>
      <c r="BFU136" s="370" t="e">
        <f>10/BFQ134</f>
        <v>#DIV/0!</v>
      </c>
      <c r="BFV136" s="371">
        <v>15.38</v>
      </c>
      <c r="BFW136" s="371" t="e">
        <f>BFT136*BFU136*BFV136</f>
        <v>#DIV/0!</v>
      </c>
      <c r="BFX136" s="367" t="s">
        <v>206</v>
      </c>
      <c r="BFY136" s="367"/>
      <c r="BFZ136" s="367"/>
      <c r="BGA136" s="368" t="s">
        <v>168</v>
      </c>
      <c r="BGB136" s="369">
        <v>0.5</v>
      </c>
      <c r="BGC136" s="370" t="e">
        <f>10/BFY134</f>
        <v>#DIV/0!</v>
      </c>
      <c r="BGD136" s="371">
        <v>15.38</v>
      </c>
      <c r="BGE136" s="371" t="e">
        <f>BGB136*BGC136*BGD136</f>
        <v>#DIV/0!</v>
      </c>
      <c r="BGF136" s="367" t="s">
        <v>206</v>
      </c>
      <c r="BGG136" s="367"/>
      <c r="BGH136" s="367"/>
      <c r="BGI136" s="368" t="s">
        <v>168</v>
      </c>
      <c r="BGJ136" s="369">
        <v>0.5</v>
      </c>
      <c r="BGK136" s="370" t="e">
        <f>10/BGG134</f>
        <v>#DIV/0!</v>
      </c>
      <c r="BGL136" s="371">
        <v>15.38</v>
      </c>
      <c r="BGM136" s="371" t="e">
        <f>BGJ136*BGK136*BGL136</f>
        <v>#DIV/0!</v>
      </c>
      <c r="BGN136" s="367" t="s">
        <v>206</v>
      </c>
      <c r="BGO136" s="367"/>
      <c r="BGP136" s="367"/>
      <c r="BGQ136" s="368" t="s">
        <v>168</v>
      </c>
      <c r="BGR136" s="369">
        <v>0.5</v>
      </c>
      <c r="BGS136" s="370" t="e">
        <f>10/BGO134</f>
        <v>#DIV/0!</v>
      </c>
      <c r="BGT136" s="371">
        <v>15.38</v>
      </c>
      <c r="BGU136" s="371" t="e">
        <f>BGR136*BGS136*BGT136</f>
        <v>#DIV/0!</v>
      </c>
      <c r="BGV136" s="367" t="s">
        <v>206</v>
      </c>
      <c r="BGW136" s="367"/>
      <c r="BGX136" s="367"/>
      <c r="BGY136" s="368" t="s">
        <v>168</v>
      </c>
      <c r="BGZ136" s="369">
        <v>0.5</v>
      </c>
      <c r="BHA136" s="370" t="e">
        <f>10/BGW134</f>
        <v>#DIV/0!</v>
      </c>
      <c r="BHB136" s="371">
        <v>15.38</v>
      </c>
      <c r="BHC136" s="371" t="e">
        <f>BGZ136*BHA136*BHB136</f>
        <v>#DIV/0!</v>
      </c>
      <c r="BHD136" s="367" t="s">
        <v>206</v>
      </c>
      <c r="BHE136" s="367"/>
      <c r="BHF136" s="367"/>
      <c r="BHG136" s="368" t="s">
        <v>168</v>
      </c>
      <c r="BHH136" s="369">
        <v>0.5</v>
      </c>
      <c r="BHI136" s="370" t="e">
        <f>10/BHE134</f>
        <v>#DIV/0!</v>
      </c>
      <c r="BHJ136" s="371">
        <v>15.38</v>
      </c>
      <c r="BHK136" s="371" t="e">
        <f>BHH136*BHI136*BHJ136</f>
        <v>#DIV/0!</v>
      </c>
      <c r="BHL136" s="367" t="s">
        <v>206</v>
      </c>
      <c r="BHM136" s="367"/>
      <c r="BHN136" s="367"/>
      <c r="BHO136" s="368" t="s">
        <v>168</v>
      </c>
      <c r="BHP136" s="369">
        <v>0.5</v>
      </c>
      <c r="BHQ136" s="370" t="e">
        <f>10/BHM134</f>
        <v>#DIV/0!</v>
      </c>
      <c r="BHR136" s="371">
        <v>15.38</v>
      </c>
      <c r="BHS136" s="371" t="e">
        <f>BHP136*BHQ136*BHR136</f>
        <v>#DIV/0!</v>
      </c>
      <c r="BHT136" s="367" t="s">
        <v>206</v>
      </c>
      <c r="BHU136" s="367"/>
      <c r="BHV136" s="367"/>
      <c r="BHW136" s="368" t="s">
        <v>168</v>
      </c>
      <c r="BHX136" s="369">
        <v>0.5</v>
      </c>
      <c r="BHY136" s="370" t="e">
        <f>10/BHU134</f>
        <v>#DIV/0!</v>
      </c>
      <c r="BHZ136" s="371">
        <v>15.38</v>
      </c>
      <c r="BIA136" s="371" t="e">
        <f>BHX136*BHY136*BHZ136</f>
        <v>#DIV/0!</v>
      </c>
      <c r="BIB136" s="367" t="s">
        <v>206</v>
      </c>
      <c r="BIC136" s="367"/>
      <c r="BID136" s="367"/>
      <c r="BIE136" s="368" t="s">
        <v>168</v>
      </c>
      <c r="BIF136" s="369">
        <v>0.5</v>
      </c>
      <c r="BIG136" s="370" t="e">
        <f>10/BIC134</f>
        <v>#DIV/0!</v>
      </c>
      <c r="BIH136" s="371">
        <v>15.38</v>
      </c>
      <c r="BII136" s="371" t="e">
        <f>BIF136*BIG136*BIH136</f>
        <v>#DIV/0!</v>
      </c>
      <c r="BIJ136" s="367" t="s">
        <v>206</v>
      </c>
      <c r="BIK136" s="367"/>
      <c r="BIL136" s="367"/>
      <c r="BIM136" s="368" t="s">
        <v>168</v>
      </c>
      <c r="BIN136" s="369">
        <v>0.5</v>
      </c>
      <c r="BIO136" s="370" t="e">
        <f>10/BIK134</f>
        <v>#DIV/0!</v>
      </c>
      <c r="BIP136" s="371">
        <v>15.38</v>
      </c>
      <c r="BIQ136" s="371" t="e">
        <f>BIN136*BIO136*BIP136</f>
        <v>#DIV/0!</v>
      </c>
      <c r="BIR136" s="367" t="s">
        <v>206</v>
      </c>
      <c r="BIS136" s="367"/>
      <c r="BIT136" s="367"/>
      <c r="BIU136" s="368" t="s">
        <v>168</v>
      </c>
      <c r="BIV136" s="369">
        <v>0.5</v>
      </c>
      <c r="BIW136" s="370" t="e">
        <f>10/BIS134</f>
        <v>#DIV/0!</v>
      </c>
      <c r="BIX136" s="371">
        <v>15.38</v>
      </c>
      <c r="BIY136" s="371" t="e">
        <f>BIV136*BIW136*BIX136</f>
        <v>#DIV/0!</v>
      </c>
      <c r="BIZ136" s="367" t="s">
        <v>206</v>
      </c>
      <c r="BJA136" s="367"/>
      <c r="BJB136" s="367"/>
      <c r="BJC136" s="368" t="s">
        <v>168</v>
      </c>
      <c r="BJD136" s="369">
        <v>0.5</v>
      </c>
      <c r="BJE136" s="370" t="e">
        <f>10/BJA134</f>
        <v>#DIV/0!</v>
      </c>
      <c r="BJF136" s="371">
        <v>15.38</v>
      </c>
      <c r="BJG136" s="371" t="e">
        <f>BJD136*BJE136*BJF136</f>
        <v>#DIV/0!</v>
      </c>
      <c r="BJH136" s="367" t="s">
        <v>206</v>
      </c>
      <c r="BJI136" s="367"/>
      <c r="BJJ136" s="367"/>
      <c r="BJK136" s="368" t="s">
        <v>168</v>
      </c>
      <c r="BJL136" s="369">
        <v>0.5</v>
      </c>
      <c r="BJM136" s="370" t="e">
        <f>10/BJI134</f>
        <v>#DIV/0!</v>
      </c>
      <c r="BJN136" s="371">
        <v>15.38</v>
      </c>
      <c r="BJO136" s="371" t="e">
        <f>BJL136*BJM136*BJN136</f>
        <v>#DIV/0!</v>
      </c>
      <c r="BJP136" s="367" t="s">
        <v>206</v>
      </c>
      <c r="BJQ136" s="367"/>
      <c r="BJR136" s="367"/>
      <c r="BJS136" s="368" t="s">
        <v>168</v>
      </c>
      <c r="BJT136" s="369">
        <v>0.5</v>
      </c>
      <c r="BJU136" s="370" t="e">
        <f>10/BJQ134</f>
        <v>#DIV/0!</v>
      </c>
      <c r="BJV136" s="371">
        <v>15.38</v>
      </c>
      <c r="BJW136" s="371" t="e">
        <f>BJT136*BJU136*BJV136</f>
        <v>#DIV/0!</v>
      </c>
      <c r="BJX136" s="367" t="s">
        <v>206</v>
      </c>
      <c r="BJY136" s="367"/>
      <c r="BJZ136" s="367"/>
      <c r="BKA136" s="368" t="s">
        <v>168</v>
      </c>
      <c r="BKB136" s="369">
        <v>0.5</v>
      </c>
      <c r="BKC136" s="370" t="e">
        <f>10/BJY134</f>
        <v>#DIV/0!</v>
      </c>
      <c r="BKD136" s="371">
        <v>15.38</v>
      </c>
      <c r="BKE136" s="371" t="e">
        <f>BKB136*BKC136*BKD136</f>
        <v>#DIV/0!</v>
      </c>
      <c r="BKF136" s="367" t="s">
        <v>206</v>
      </c>
      <c r="BKG136" s="367"/>
      <c r="BKH136" s="367"/>
      <c r="BKI136" s="368" t="s">
        <v>168</v>
      </c>
      <c r="BKJ136" s="369">
        <v>0.5</v>
      </c>
      <c r="BKK136" s="370" t="e">
        <f>10/BKG134</f>
        <v>#DIV/0!</v>
      </c>
      <c r="BKL136" s="371">
        <v>15.38</v>
      </c>
      <c r="BKM136" s="371" t="e">
        <f>BKJ136*BKK136*BKL136</f>
        <v>#DIV/0!</v>
      </c>
      <c r="BKN136" s="367" t="s">
        <v>206</v>
      </c>
      <c r="BKO136" s="367"/>
      <c r="BKP136" s="367"/>
      <c r="BKQ136" s="368" t="s">
        <v>168</v>
      </c>
      <c r="BKR136" s="369">
        <v>0.5</v>
      </c>
      <c r="BKS136" s="370" t="e">
        <f>10/BKO134</f>
        <v>#DIV/0!</v>
      </c>
      <c r="BKT136" s="371">
        <v>15.38</v>
      </c>
      <c r="BKU136" s="371" t="e">
        <f>BKR136*BKS136*BKT136</f>
        <v>#DIV/0!</v>
      </c>
      <c r="BKV136" s="367" t="s">
        <v>206</v>
      </c>
      <c r="BKW136" s="367"/>
      <c r="BKX136" s="367"/>
      <c r="BKY136" s="368" t="s">
        <v>168</v>
      </c>
      <c r="BKZ136" s="369">
        <v>0.5</v>
      </c>
      <c r="BLA136" s="370" t="e">
        <f>10/BKW134</f>
        <v>#DIV/0!</v>
      </c>
      <c r="BLB136" s="371">
        <v>15.38</v>
      </c>
      <c r="BLC136" s="371" t="e">
        <f>BKZ136*BLA136*BLB136</f>
        <v>#DIV/0!</v>
      </c>
      <c r="BLD136" s="367" t="s">
        <v>206</v>
      </c>
      <c r="BLE136" s="367"/>
      <c r="BLF136" s="367"/>
      <c r="BLG136" s="368" t="s">
        <v>168</v>
      </c>
      <c r="BLH136" s="369">
        <v>0.5</v>
      </c>
      <c r="BLI136" s="370" t="e">
        <f>10/BLE134</f>
        <v>#DIV/0!</v>
      </c>
      <c r="BLJ136" s="371">
        <v>15.38</v>
      </c>
      <c r="BLK136" s="371" t="e">
        <f>BLH136*BLI136*BLJ136</f>
        <v>#DIV/0!</v>
      </c>
      <c r="BLL136" s="367" t="s">
        <v>206</v>
      </c>
      <c r="BLM136" s="367"/>
      <c r="BLN136" s="367"/>
      <c r="BLO136" s="368" t="s">
        <v>168</v>
      </c>
      <c r="BLP136" s="369">
        <v>0.5</v>
      </c>
      <c r="BLQ136" s="370" t="e">
        <f>10/BLM134</f>
        <v>#DIV/0!</v>
      </c>
      <c r="BLR136" s="371">
        <v>15.38</v>
      </c>
      <c r="BLS136" s="371" t="e">
        <f>BLP136*BLQ136*BLR136</f>
        <v>#DIV/0!</v>
      </c>
      <c r="BLT136" s="367" t="s">
        <v>206</v>
      </c>
      <c r="BLU136" s="367"/>
      <c r="BLV136" s="367"/>
      <c r="BLW136" s="368" t="s">
        <v>168</v>
      </c>
      <c r="BLX136" s="369">
        <v>0.5</v>
      </c>
      <c r="BLY136" s="370" t="e">
        <f>10/BLU134</f>
        <v>#DIV/0!</v>
      </c>
      <c r="BLZ136" s="371">
        <v>15.38</v>
      </c>
      <c r="BMA136" s="371" t="e">
        <f>BLX136*BLY136*BLZ136</f>
        <v>#DIV/0!</v>
      </c>
      <c r="BMB136" s="367" t="s">
        <v>206</v>
      </c>
      <c r="BMC136" s="367"/>
      <c r="BMD136" s="367"/>
      <c r="BME136" s="368" t="s">
        <v>168</v>
      </c>
      <c r="BMF136" s="369">
        <v>0.5</v>
      </c>
      <c r="BMG136" s="370" t="e">
        <f>10/BMC134</f>
        <v>#DIV/0!</v>
      </c>
      <c r="BMH136" s="371">
        <v>15.38</v>
      </c>
      <c r="BMI136" s="371" t="e">
        <f>BMF136*BMG136*BMH136</f>
        <v>#DIV/0!</v>
      </c>
      <c r="BMJ136" s="367" t="s">
        <v>206</v>
      </c>
      <c r="BMK136" s="367"/>
      <c r="BML136" s="367"/>
      <c r="BMM136" s="368" t="s">
        <v>168</v>
      </c>
      <c r="BMN136" s="369">
        <v>0.5</v>
      </c>
      <c r="BMO136" s="370" t="e">
        <f>10/BMK134</f>
        <v>#DIV/0!</v>
      </c>
      <c r="BMP136" s="371">
        <v>15.38</v>
      </c>
      <c r="BMQ136" s="371" t="e">
        <f>BMN136*BMO136*BMP136</f>
        <v>#DIV/0!</v>
      </c>
      <c r="BMR136" s="367" t="s">
        <v>206</v>
      </c>
      <c r="BMS136" s="367"/>
      <c r="BMT136" s="367"/>
      <c r="BMU136" s="368" t="s">
        <v>168</v>
      </c>
      <c r="BMV136" s="369">
        <v>0.5</v>
      </c>
      <c r="BMW136" s="370" t="e">
        <f>10/BMS134</f>
        <v>#DIV/0!</v>
      </c>
      <c r="BMX136" s="371">
        <v>15.38</v>
      </c>
      <c r="BMY136" s="371" t="e">
        <f>BMV136*BMW136*BMX136</f>
        <v>#DIV/0!</v>
      </c>
      <c r="BMZ136" s="367" t="s">
        <v>206</v>
      </c>
      <c r="BNA136" s="367"/>
      <c r="BNB136" s="367"/>
      <c r="BNC136" s="368" t="s">
        <v>168</v>
      </c>
      <c r="BND136" s="369">
        <v>0.5</v>
      </c>
      <c r="BNE136" s="370" t="e">
        <f>10/BNA134</f>
        <v>#DIV/0!</v>
      </c>
      <c r="BNF136" s="371">
        <v>15.38</v>
      </c>
      <c r="BNG136" s="371" t="e">
        <f>BND136*BNE136*BNF136</f>
        <v>#DIV/0!</v>
      </c>
      <c r="BNH136" s="367" t="s">
        <v>206</v>
      </c>
      <c r="BNI136" s="367"/>
      <c r="BNJ136" s="367"/>
      <c r="BNK136" s="368" t="s">
        <v>168</v>
      </c>
      <c r="BNL136" s="369">
        <v>0.5</v>
      </c>
      <c r="BNM136" s="370" t="e">
        <f>10/BNI134</f>
        <v>#DIV/0!</v>
      </c>
      <c r="BNN136" s="371">
        <v>15.38</v>
      </c>
      <c r="BNO136" s="371" t="e">
        <f>BNL136*BNM136*BNN136</f>
        <v>#DIV/0!</v>
      </c>
      <c r="BNP136" s="367" t="s">
        <v>206</v>
      </c>
      <c r="BNQ136" s="367"/>
      <c r="BNR136" s="367"/>
      <c r="BNS136" s="368" t="s">
        <v>168</v>
      </c>
      <c r="BNT136" s="369">
        <v>0.5</v>
      </c>
      <c r="BNU136" s="370" t="e">
        <f>10/BNQ134</f>
        <v>#DIV/0!</v>
      </c>
      <c r="BNV136" s="371">
        <v>15.38</v>
      </c>
      <c r="BNW136" s="371" t="e">
        <f>BNT136*BNU136*BNV136</f>
        <v>#DIV/0!</v>
      </c>
      <c r="BNX136" s="367" t="s">
        <v>206</v>
      </c>
      <c r="BNY136" s="367"/>
      <c r="BNZ136" s="367"/>
      <c r="BOA136" s="368" t="s">
        <v>168</v>
      </c>
      <c r="BOB136" s="369">
        <v>0.5</v>
      </c>
      <c r="BOC136" s="370" t="e">
        <f>10/BNY134</f>
        <v>#DIV/0!</v>
      </c>
      <c r="BOD136" s="371">
        <v>15.38</v>
      </c>
      <c r="BOE136" s="371" t="e">
        <f>BOB136*BOC136*BOD136</f>
        <v>#DIV/0!</v>
      </c>
      <c r="BOF136" s="367" t="s">
        <v>206</v>
      </c>
      <c r="BOG136" s="367"/>
      <c r="BOH136" s="367"/>
      <c r="BOI136" s="368" t="s">
        <v>168</v>
      </c>
      <c r="BOJ136" s="369">
        <v>0.5</v>
      </c>
      <c r="BOK136" s="370" t="e">
        <f>10/BOG134</f>
        <v>#DIV/0!</v>
      </c>
      <c r="BOL136" s="371">
        <v>15.38</v>
      </c>
      <c r="BOM136" s="371" t="e">
        <f>BOJ136*BOK136*BOL136</f>
        <v>#DIV/0!</v>
      </c>
      <c r="BON136" s="367" t="s">
        <v>206</v>
      </c>
      <c r="BOO136" s="367"/>
      <c r="BOP136" s="367"/>
      <c r="BOQ136" s="368" t="s">
        <v>168</v>
      </c>
      <c r="BOR136" s="369">
        <v>0.5</v>
      </c>
      <c r="BOS136" s="370" t="e">
        <f>10/BOO134</f>
        <v>#DIV/0!</v>
      </c>
      <c r="BOT136" s="371">
        <v>15.38</v>
      </c>
      <c r="BOU136" s="371" t="e">
        <f>BOR136*BOS136*BOT136</f>
        <v>#DIV/0!</v>
      </c>
      <c r="BOV136" s="367" t="s">
        <v>206</v>
      </c>
      <c r="BOW136" s="367"/>
      <c r="BOX136" s="367"/>
      <c r="BOY136" s="368" t="s">
        <v>168</v>
      </c>
      <c r="BOZ136" s="369">
        <v>0.5</v>
      </c>
      <c r="BPA136" s="370" t="e">
        <f>10/BOW134</f>
        <v>#DIV/0!</v>
      </c>
      <c r="BPB136" s="371">
        <v>15.38</v>
      </c>
      <c r="BPC136" s="371" t="e">
        <f>BOZ136*BPA136*BPB136</f>
        <v>#DIV/0!</v>
      </c>
      <c r="BPD136" s="367" t="s">
        <v>206</v>
      </c>
      <c r="BPE136" s="367"/>
      <c r="BPF136" s="367"/>
      <c r="BPG136" s="368" t="s">
        <v>168</v>
      </c>
      <c r="BPH136" s="369">
        <v>0.5</v>
      </c>
      <c r="BPI136" s="370" t="e">
        <f>10/BPE134</f>
        <v>#DIV/0!</v>
      </c>
      <c r="BPJ136" s="371">
        <v>15.38</v>
      </c>
      <c r="BPK136" s="371" t="e">
        <f>BPH136*BPI136*BPJ136</f>
        <v>#DIV/0!</v>
      </c>
      <c r="BPL136" s="367" t="s">
        <v>206</v>
      </c>
      <c r="BPM136" s="367"/>
      <c r="BPN136" s="367"/>
      <c r="BPO136" s="368" t="s">
        <v>168</v>
      </c>
      <c r="BPP136" s="369">
        <v>0.5</v>
      </c>
      <c r="BPQ136" s="370" t="e">
        <f>10/BPM134</f>
        <v>#DIV/0!</v>
      </c>
      <c r="BPR136" s="371">
        <v>15.38</v>
      </c>
      <c r="BPS136" s="371" t="e">
        <f>BPP136*BPQ136*BPR136</f>
        <v>#DIV/0!</v>
      </c>
      <c r="BPT136" s="367" t="s">
        <v>206</v>
      </c>
      <c r="BPU136" s="367"/>
      <c r="BPV136" s="367"/>
      <c r="BPW136" s="368" t="s">
        <v>168</v>
      </c>
      <c r="BPX136" s="369">
        <v>0.5</v>
      </c>
      <c r="BPY136" s="370" t="e">
        <f>10/BPU134</f>
        <v>#DIV/0!</v>
      </c>
      <c r="BPZ136" s="371">
        <v>15.38</v>
      </c>
      <c r="BQA136" s="371" t="e">
        <f>BPX136*BPY136*BPZ136</f>
        <v>#DIV/0!</v>
      </c>
      <c r="BQB136" s="367" t="s">
        <v>206</v>
      </c>
      <c r="BQC136" s="367"/>
      <c r="BQD136" s="367"/>
      <c r="BQE136" s="368" t="s">
        <v>168</v>
      </c>
      <c r="BQF136" s="369">
        <v>0.5</v>
      </c>
      <c r="BQG136" s="370" t="e">
        <f>10/BQC134</f>
        <v>#DIV/0!</v>
      </c>
      <c r="BQH136" s="371">
        <v>15.38</v>
      </c>
      <c r="BQI136" s="371" t="e">
        <f>BQF136*BQG136*BQH136</f>
        <v>#DIV/0!</v>
      </c>
      <c r="BQJ136" s="367" t="s">
        <v>206</v>
      </c>
      <c r="BQK136" s="367"/>
      <c r="BQL136" s="367"/>
      <c r="BQM136" s="368" t="s">
        <v>168</v>
      </c>
      <c r="BQN136" s="369">
        <v>0.5</v>
      </c>
      <c r="BQO136" s="370" t="e">
        <f>10/BQK134</f>
        <v>#DIV/0!</v>
      </c>
      <c r="BQP136" s="371">
        <v>15.38</v>
      </c>
      <c r="BQQ136" s="371" t="e">
        <f>BQN136*BQO136*BQP136</f>
        <v>#DIV/0!</v>
      </c>
      <c r="BQR136" s="367" t="s">
        <v>206</v>
      </c>
      <c r="BQS136" s="367"/>
      <c r="BQT136" s="367"/>
      <c r="BQU136" s="368" t="s">
        <v>168</v>
      </c>
      <c r="BQV136" s="369">
        <v>0.5</v>
      </c>
      <c r="BQW136" s="370" t="e">
        <f>10/BQS134</f>
        <v>#DIV/0!</v>
      </c>
      <c r="BQX136" s="371">
        <v>15.38</v>
      </c>
      <c r="BQY136" s="371" t="e">
        <f>BQV136*BQW136*BQX136</f>
        <v>#DIV/0!</v>
      </c>
      <c r="BQZ136" s="367" t="s">
        <v>206</v>
      </c>
      <c r="BRA136" s="367"/>
      <c r="BRB136" s="367"/>
      <c r="BRC136" s="368" t="s">
        <v>168</v>
      </c>
      <c r="BRD136" s="369">
        <v>0.5</v>
      </c>
      <c r="BRE136" s="370" t="e">
        <f>10/BRA134</f>
        <v>#DIV/0!</v>
      </c>
      <c r="BRF136" s="371">
        <v>15.38</v>
      </c>
      <c r="BRG136" s="371" t="e">
        <f>BRD136*BRE136*BRF136</f>
        <v>#DIV/0!</v>
      </c>
      <c r="BRH136" s="367" t="s">
        <v>206</v>
      </c>
      <c r="BRI136" s="367"/>
      <c r="BRJ136" s="367"/>
      <c r="BRK136" s="368" t="s">
        <v>168</v>
      </c>
      <c r="BRL136" s="369">
        <v>0.5</v>
      </c>
      <c r="BRM136" s="370" t="e">
        <f>10/BRI134</f>
        <v>#DIV/0!</v>
      </c>
      <c r="BRN136" s="371">
        <v>15.38</v>
      </c>
      <c r="BRO136" s="371" t="e">
        <f>BRL136*BRM136*BRN136</f>
        <v>#DIV/0!</v>
      </c>
      <c r="BRP136" s="367" t="s">
        <v>206</v>
      </c>
      <c r="BRQ136" s="367"/>
      <c r="BRR136" s="367"/>
      <c r="BRS136" s="368" t="s">
        <v>168</v>
      </c>
      <c r="BRT136" s="369">
        <v>0.5</v>
      </c>
      <c r="BRU136" s="370" t="e">
        <f>10/BRQ134</f>
        <v>#DIV/0!</v>
      </c>
      <c r="BRV136" s="371">
        <v>15.38</v>
      </c>
      <c r="BRW136" s="371" t="e">
        <f>BRT136*BRU136*BRV136</f>
        <v>#DIV/0!</v>
      </c>
      <c r="BRX136" s="367" t="s">
        <v>206</v>
      </c>
      <c r="BRY136" s="367"/>
      <c r="BRZ136" s="367"/>
      <c r="BSA136" s="368" t="s">
        <v>168</v>
      </c>
      <c r="BSB136" s="369">
        <v>0.5</v>
      </c>
      <c r="BSC136" s="370" t="e">
        <f>10/BRY134</f>
        <v>#DIV/0!</v>
      </c>
      <c r="BSD136" s="371">
        <v>15.38</v>
      </c>
      <c r="BSE136" s="371" t="e">
        <f>BSB136*BSC136*BSD136</f>
        <v>#DIV/0!</v>
      </c>
      <c r="BSF136" s="367" t="s">
        <v>206</v>
      </c>
      <c r="BSG136" s="367"/>
      <c r="BSH136" s="367"/>
      <c r="BSI136" s="368" t="s">
        <v>168</v>
      </c>
      <c r="BSJ136" s="369">
        <v>0.5</v>
      </c>
      <c r="BSK136" s="370" t="e">
        <f>10/BSG134</f>
        <v>#DIV/0!</v>
      </c>
      <c r="BSL136" s="371">
        <v>15.38</v>
      </c>
      <c r="BSM136" s="371" t="e">
        <f>BSJ136*BSK136*BSL136</f>
        <v>#DIV/0!</v>
      </c>
      <c r="BSN136" s="367" t="s">
        <v>206</v>
      </c>
      <c r="BSO136" s="367"/>
      <c r="BSP136" s="367"/>
      <c r="BSQ136" s="368" t="s">
        <v>168</v>
      </c>
      <c r="BSR136" s="369">
        <v>0.5</v>
      </c>
      <c r="BSS136" s="370" t="e">
        <f>10/BSO134</f>
        <v>#DIV/0!</v>
      </c>
      <c r="BST136" s="371">
        <v>15.38</v>
      </c>
      <c r="BSU136" s="371" t="e">
        <f>BSR136*BSS136*BST136</f>
        <v>#DIV/0!</v>
      </c>
      <c r="BSV136" s="367" t="s">
        <v>206</v>
      </c>
      <c r="BSW136" s="367"/>
      <c r="BSX136" s="367"/>
      <c r="BSY136" s="368" t="s">
        <v>168</v>
      </c>
      <c r="BSZ136" s="369">
        <v>0.5</v>
      </c>
      <c r="BTA136" s="370" t="e">
        <f>10/BSW134</f>
        <v>#DIV/0!</v>
      </c>
      <c r="BTB136" s="371">
        <v>15.38</v>
      </c>
      <c r="BTC136" s="371" t="e">
        <f>BSZ136*BTA136*BTB136</f>
        <v>#DIV/0!</v>
      </c>
      <c r="BTD136" s="367" t="s">
        <v>206</v>
      </c>
      <c r="BTE136" s="367"/>
      <c r="BTF136" s="367"/>
      <c r="BTG136" s="368" t="s">
        <v>168</v>
      </c>
      <c r="BTH136" s="369">
        <v>0.5</v>
      </c>
      <c r="BTI136" s="370" t="e">
        <f>10/BTE134</f>
        <v>#DIV/0!</v>
      </c>
      <c r="BTJ136" s="371">
        <v>15.38</v>
      </c>
      <c r="BTK136" s="371" t="e">
        <f>BTH136*BTI136*BTJ136</f>
        <v>#DIV/0!</v>
      </c>
      <c r="BTL136" s="367" t="s">
        <v>206</v>
      </c>
      <c r="BTM136" s="367"/>
      <c r="BTN136" s="367"/>
      <c r="BTO136" s="368" t="s">
        <v>168</v>
      </c>
      <c r="BTP136" s="369">
        <v>0.5</v>
      </c>
      <c r="BTQ136" s="370" t="e">
        <f>10/BTM134</f>
        <v>#DIV/0!</v>
      </c>
      <c r="BTR136" s="371">
        <v>15.38</v>
      </c>
      <c r="BTS136" s="371" t="e">
        <f>BTP136*BTQ136*BTR136</f>
        <v>#DIV/0!</v>
      </c>
      <c r="BTT136" s="367" t="s">
        <v>206</v>
      </c>
      <c r="BTU136" s="367"/>
      <c r="BTV136" s="367"/>
      <c r="BTW136" s="368" t="s">
        <v>168</v>
      </c>
      <c r="BTX136" s="369">
        <v>0.5</v>
      </c>
      <c r="BTY136" s="370" t="e">
        <f>10/BTU134</f>
        <v>#DIV/0!</v>
      </c>
      <c r="BTZ136" s="371">
        <v>15.38</v>
      </c>
      <c r="BUA136" s="371" t="e">
        <f>BTX136*BTY136*BTZ136</f>
        <v>#DIV/0!</v>
      </c>
      <c r="BUB136" s="367" t="s">
        <v>206</v>
      </c>
      <c r="BUC136" s="367"/>
      <c r="BUD136" s="367"/>
      <c r="BUE136" s="368" t="s">
        <v>168</v>
      </c>
      <c r="BUF136" s="369">
        <v>0.5</v>
      </c>
      <c r="BUG136" s="370" t="e">
        <f>10/BUC134</f>
        <v>#DIV/0!</v>
      </c>
      <c r="BUH136" s="371">
        <v>15.38</v>
      </c>
      <c r="BUI136" s="371" t="e">
        <f>BUF136*BUG136*BUH136</f>
        <v>#DIV/0!</v>
      </c>
      <c r="BUJ136" s="367" t="s">
        <v>206</v>
      </c>
      <c r="BUK136" s="367"/>
      <c r="BUL136" s="367"/>
      <c r="BUM136" s="368" t="s">
        <v>168</v>
      </c>
      <c r="BUN136" s="369">
        <v>0.5</v>
      </c>
      <c r="BUO136" s="370" t="e">
        <f>10/BUK134</f>
        <v>#DIV/0!</v>
      </c>
      <c r="BUP136" s="371">
        <v>15.38</v>
      </c>
      <c r="BUQ136" s="371" t="e">
        <f>BUN136*BUO136*BUP136</f>
        <v>#DIV/0!</v>
      </c>
      <c r="BUR136" s="367" t="s">
        <v>206</v>
      </c>
      <c r="BUS136" s="367"/>
      <c r="BUT136" s="367"/>
      <c r="BUU136" s="368" t="s">
        <v>168</v>
      </c>
      <c r="BUV136" s="369">
        <v>0.5</v>
      </c>
      <c r="BUW136" s="370" t="e">
        <f>10/BUS134</f>
        <v>#DIV/0!</v>
      </c>
      <c r="BUX136" s="371">
        <v>15.38</v>
      </c>
      <c r="BUY136" s="371" t="e">
        <f>BUV136*BUW136*BUX136</f>
        <v>#DIV/0!</v>
      </c>
      <c r="BUZ136" s="367" t="s">
        <v>206</v>
      </c>
      <c r="BVA136" s="367"/>
      <c r="BVB136" s="367"/>
      <c r="BVC136" s="368" t="s">
        <v>168</v>
      </c>
      <c r="BVD136" s="369">
        <v>0.5</v>
      </c>
      <c r="BVE136" s="370" t="e">
        <f>10/BVA134</f>
        <v>#DIV/0!</v>
      </c>
      <c r="BVF136" s="371">
        <v>15.38</v>
      </c>
      <c r="BVG136" s="371" t="e">
        <f>BVD136*BVE136*BVF136</f>
        <v>#DIV/0!</v>
      </c>
      <c r="BVH136" s="367" t="s">
        <v>206</v>
      </c>
      <c r="BVI136" s="367"/>
      <c r="BVJ136" s="367"/>
      <c r="BVK136" s="368" t="s">
        <v>168</v>
      </c>
      <c r="BVL136" s="369">
        <v>0.5</v>
      </c>
      <c r="BVM136" s="370" t="e">
        <f>10/BVI134</f>
        <v>#DIV/0!</v>
      </c>
      <c r="BVN136" s="371">
        <v>15.38</v>
      </c>
      <c r="BVO136" s="371" t="e">
        <f>BVL136*BVM136*BVN136</f>
        <v>#DIV/0!</v>
      </c>
      <c r="BVP136" s="367" t="s">
        <v>206</v>
      </c>
      <c r="BVQ136" s="367"/>
      <c r="BVR136" s="367"/>
      <c r="BVS136" s="368" t="s">
        <v>168</v>
      </c>
      <c r="BVT136" s="369">
        <v>0.5</v>
      </c>
      <c r="BVU136" s="370" t="e">
        <f>10/BVQ134</f>
        <v>#DIV/0!</v>
      </c>
      <c r="BVV136" s="371">
        <v>15.38</v>
      </c>
      <c r="BVW136" s="371" t="e">
        <f>BVT136*BVU136*BVV136</f>
        <v>#DIV/0!</v>
      </c>
      <c r="BVX136" s="367" t="s">
        <v>206</v>
      </c>
      <c r="BVY136" s="367"/>
      <c r="BVZ136" s="367"/>
      <c r="BWA136" s="368" t="s">
        <v>168</v>
      </c>
      <c r="BWB136" s="369">
        <v>0.5</v>
      </c>
      <c r="BWC136" s="370" t="e">
        <f>10/BVY134</f>
        <v>#DIV/0!</v>
      </c>
      <c r="BWD136" s="371">
        <v>15.38</v>
      </c>
      <c r="BWE136" s="371" t="e">
        <f>BWB136*BWC136*BWD136</f>
        <v>#DIV/0!</v>
      </c>
      <c r="BWF136" s="367" t="s">
        <v>206</v>
      </c>
      <c r="BWG136" s="367"/>
      <c r="BWH136" s="367"/>
      <c r="BWI136" s="368" t="s">
        <v>168</v>
      </c>
      <c r="BWJ136" s="369">
        <v>0.5</v>
      </c>
      <c r="BWK136" s="370" t="e">
        <f>10/BWG134</f>
        <v>#DIV/0!</v>
      </c>
      <c r="BWL136" s="371">
        <v>15.38</v>
      </c>
      <c r="BWM136" s="371" t="e">
        <f>BWJ136*BWK136*BWL136</f>
        <v>#DIV/0!</v>
      </c>
      <c r="BWN136" s="367" t="s">
        <v>206</v>
      </c>
      <c r="BWO136" s="367"/>
      <c r="BWP136" s="367"/>
      <c r="BWQ136" s="368" t="s">
        <v>168</v>
      </c>
      <c r="BWR136" s="369">
        <v>0.5</v>
      </c>
      <c r="BWS136" s="370" t="e">
        <f>10/BWO134</f>
        <v>#DIV/0!</v>
      </c>
      <c r="BWT136" s="371">
        <v>15.38</v>
      </c>
      <c r="BWU136" s="371" t="e">
        <f>BWR136*BWS136*BWT136</f>
        <v>#DIV/0!</v>
      </c>
      <c r="BWV136" s="367" t="s">
        <v>206</v>
      </c>
      <c r="BWW136" s="367"/>
      <c r="BWX136" s="367"/>
      <c r="BWY136" s="368" t="s">
        <v>168</v>
      </c>
      <c r="BWZ136" s="369">
        <v>0.5</v>
      </c>
      <c r="BXA136" s="370" t="e">
        <f>10/BWW134</f>
        <v>#DIV/0!</v>
      </c>
      <c r="BXB136" s="371">
        <v>15.38</v>
      </c>
      <c r="BXC136" s="371" t="e">
        <f>BWZ136*BXA136*BXB136</f>
        <v>#DIV/0!</v>
      </c>
      <c r="BXD136" s="367" t="s">
        <v>206</v>
      </c>
      <c r="BXE136" s="367"/>
      <c r="BXF136" s="367"/>
      <c r="BXG136" s="368" t="s">
        <v>168</v>
      </c>
      <c r="BXH136" s="369">
        <v>0.5</v>
      </c>
      <c r="BXI136" s="370" t="e">
        <f>10/BXE134</f>
        <v>#DIV/0!</v>
      </c>
      <c r="BXJ136" s="371">
        <v>15.38</v>
      </c>
      <c r="BXK136" s="371" t="e">
        <f>BXH136*BXI136*BXJ136</f>
        <v>#DIV/0!</v>
      </c>
      <c r="BXL136" s="367" t="s">
        <v>206</v>
      </c>
      <c r="BXM136" s="367"/>
      <c r="BXN136" s="367"/>
      <c r="BXO136" s="368" t="s">
        <v>168</v>
      </c>
      <c r="BXP136" s="369">
        <v>0.5</v>
      </c>
      <c r="BXQ136" s="370" t="e">
        <f>10/BXM134</f>
        <v>#DIV/0!</v>
      </c>
      <c r="BXR136" s="371">
        <v>15.38</v>
      </c>
      <c r="BXS136" s="371" t="e">
        <f>BXP136*BXQ136*BXR136</f>
        <v>#DIV/0!</v>
      </c>
      <c r="BXT136" s="367" t="s">
        <v>206</v>
      </c>
      <c r="BXU136" s="367"/>
      <c r="BXV136" s="367"/>
      <c r="BXW136" s="368" t="s">
        <v>168</v>
      </c>
      <c r="BXX136" s="369">
        <v>0.5</v>
      </c>
      <c r="BXY136" s="370" t="e">
        <f>10/BXU134</f>
        <v>#DIV/0!</v>
      </c>
      <c r="BXZ136" s="371">
        <v>15.38</v>
      </c>
      <c r="BYA136" s="371" t="e">
        <f>BXX136*BXY136*BXZ136</f>
        <v>#DIV/0!</v>
      </c>
      <c r="BYB136" s="367" t="s">
        <v>206</v>
      </c>
      <c r="BYC136" s="367"/>
      <c r="BYD136" s="367"/>
      <c r="BYE136" s="368" t="s">
        <v>168</v>
      </c>
      <c r="BYF136" s="369">
        <v>0.5</v>
      </c>
      <c r="BYG136" s="370" t="e">
        <f>10/BYC134</f>
        <v>#DIV/0!</v>
      </c>
      <c r="BYH136" s="371">
        <v>15.38</v>
      </c>
      <c r="BYI136" s="371" t="e">
        <f>BYF136*BYG136*BYH136</f>
        <v>#DIV/0!</v>
      </c>
      <c r="BYJ136" s="367" t="s">
        <v>206</v>
      </c>
      <c r="BYK136" s="367"/>
      <c r="BYL136" s="367"/>
      <c r="BYM136" s="368" t="s">
        <v>168</v>
      </c>
      <c r="BYN136" s="369">
        <v>0.5</v>
      </c>
      <c r="BYO136" s="370" t="e">
        <f>10/BYK134</f>
        <v>#DIV/0!</v>
      </c>
      <c r="BYP136" s="371">
        <v>15.38</v>
      </c>
      <c r="BYQ136" s="371" t="e">
        <f>BYN136*BYO136*BYP136</f>
        <v>#DIV/0!</v>
      </c>
      <c r="BYR136" s="367" t="s">
        <v>206</v>
      </c>
      <c r="BYS136" s="367"/>
      <c r="BYT136" s="367"/>
      <c r="BYU136" s="368" t="s">
        <v>168</v>
      </c>
      <c r="BYV136" s="369">
        <v>0.5</v>
      </c>
      <c r="BYW136" s="370" t="e">
        <f>10/BYS134</f>
        <v>#DIV/0!</v>
      </c>
      <c r="BYX136" s="371">
        <v>15.38</v>
      </c>
      <c r="BYY136" s="371" t="e">
        <f>BYV136*BYW136*BYX136</f>
        <v>#DIV/0!</v>
      </c>
      <c r="BYZ136" s="367" t="s">
        <v>206</v>
      </c>
      <c r="BZA136" s="367"/>
      <c r="BZB136" s="367"/>
      <c r="BZC136" s="368" t="s">
        <v>168</v>
      </c>
      <c r="BZD136" s="369">
        <v>0.5</v>
      </c>
      <c r="BZE136" s="370" t="e">
        <f>10/BZA134</f>
        <v>#DIV/0!</v>
      </c>
      <c r="BZF136" s="371">
        <v>15.38</v>
      </c>
      <c r="BZG136" s="371" t="e">
        <f>BZD136*BZE136*BZF136</f>
        <v>#DIV/0!</v>
      </c>
      <c r="BZH136" s="367" t="s">
        <v>206</v>
      </c>
      <c r="BZI136" s="367"/>
      <c r="BZJ136" s="367"/>
      <c r="BZK136" s="368" t="s">
        <v>168</v>
      </c>
      <c r="BZL136" s="369">
        <v>0.5</v>
      </c>
      <c r="BZM136" s="370" t="e">
        <f>10/BZI134</f>
        <v>#DIV/0!</v>
      </c>
      <c r="BZN136" s="371">
        <v>15.38</v>
      </c>
      <c r="BZO136" s="371" t="e">
        <f>BZL136*BZM136*BZN136</f>
        <v>#DIV/0!</v>
      </c>
      <c r="BZP136" s="367" t="s">
        <v>206</v>
      </c>
      <c r="BZQ136" s="367"/>
      <c r="BZR136" s="367"/>
      <c r="BZS136" s="368" t="s">
        <v>168</v>
      </c>
      <c r="BZT136" s="369">
        <v>0.5</v>
      </c>
      <c r="BZU136" s="370" t="e">
        <f>10/BZQ134</f>
        <v>#DIV/0!</v>
      </c>
      <c r="BZV136" s="371">
        <v>15.38</v>
      </c>
      <c r="BZW136" s="371" t="e">
        <f>BZT136*BZU136*BZV136</f>
        <v>#DIV/0!</v>
      </c>
      <c r="BZX136" s="367" t="s">
        <v>206</v>
      </c>
      <c r="BZY136" s="367"/>
      <c r="BZZ136" s="367"/>
      <c r="CAA136" s="368" t="s">
        <v>168</v>
      </c>
      <c r="CAB136" s="369">
        <v>0.5</v>
      </c>
      <c r="CAC136" s="370" t="e">
        <f>10/BZY134</f>
        <v>#DIV/0!</v>
      </c>
      <c r="CAD136" s="371">
        <v>15.38</v>
      </c>
      <c r="CAE136" s="371" t="e">
        <f>CAB136*CAC136*CAD136</f>
        <v>#DIV/0!</v>
      </c>
      <c r="CAF136" s="367" t="s">
        <v>206</v>
      </c>
      <c r="CAG136" s="367"/>
      <c r="CAH136" s="367"/>
      <c r="CAI136" s="368" t="s">
        <v>168</v>
      </c>
      <c r="CAJ136" s="369">
        <v>0.5</v>
      </c>
      <c r="CAK136" s="370" t="e">
        <f>10/CAG134</f>
        <v>#DIV/0!</v>
      </c>
      <c r="CAL136" s="371">
        <v>15.38</v>
      </c>
      <c r="CAM136" s="371" t="e">
        <f>CAJ136*CAK136*CAL136</f>
        <v>#DIV/0!</v>
      </c>
      <c r="CAN136" s="367" t="s">
        <v>206</v>
      </c>
      <c r="CAO136" s="367"/>
      <c r="CAP136" s="367"/>
      <c r="CAQ136" s="368" t="s">
        <v>168</v>
      </c>
      <c r="CAR136" s="369">
        <v>0.5</v>
      </c>
      <c r="CAS136" s="370" t="e">
        <f>10/CAO134</f>
        <v>#DIV/0!</v>
      </c>
      <c r="CAT136" s="371">
        <v>15.38</v>
      </c>
      <c r="CAU136" s="371" t="e">
        <f>CAR136*CAS136*CAT136</f>
        <v>#DIV/0!</v>
      </c>
      <c r="CAV136" s="367" t="s">
        <v>206</v>
      </c>
      <c r="CAW136" s="367"/>
      <c r="CAX136" s="367"/>
      <c r="CAY136" s="368" t="s">
        <v>168</v>
      </c>
      <c r="CAZ136" s="369">
        <v>0.5</v>
      </c>
      <c r="CBA136" s="370" t="e">
        <f>10/CAW134</f>
        <v>#DIV/0!</v>
      </c>
      <c r="CBB136" s="371">
        <v>15.38</v>
      </c>
      <c r="CBC136" s="371" t="e">
        <f>CAZ136*CBA136*CBB136</f>
        <v>#DIV/0!</v>
      </c>
      <c r="CBD136" s="367" t="s">
        <v>206</v>
      </c>
      <c r="CBE136" s="367"/>
      <c r="CBF136" s="367"/>
      <c r="CBG136" s="368" t="s">
        <v>168</v>
      </c>
      <c r="CBH136" s="369">
        <v>0.5</v>
      </c>
      <c r="CBI136" s="370" t="e">
        <f>10/CBE134</f>
        <v>#DIV/0!</v>
      </c>
      <c r="CBJ136" s="371">
        <v>15.38</v>
      </c>
      <c r="CBK136" s="371" t="e">
        <f>CBH136*CBI136*CBJ136</f>
        <v>#DIV/0!</v>
      </c>
      <c r="CBL136" s="367" t="s">
        <v>206</v>
      </c>
      <c r="CBM136" s="367"/>
      <c r="CBN136" s="367"/>
      <c r="CBO136" s="368" t="s">
        <v>168</v>
      </c>
      <c r="CBP136" s="369">
        <v>0.5</v>
      </c>
      <c r="CBQ136" s="370" t="e">
        <f>10/CBM134</f>
        <v>#DIV/0!</v>
      </c>
      <c r="CBR136" s="371">
        <v>15.38</v>
      </c>
      <c r="CBS136" s="371" t="e">
        <f>CBP136*CBQ136*CBR136</f>
        <v>#DIV/0!</v>
      </c>
      <c r="CBT136" s="367" t="s">
        <v>206</v>
      </c>
      <c r="CBU136" s="367"/>
      <c r="CBV136" s="367"/>
      <c r="CBW136" s="368" t="s">
        <v>168</v>
      </c>
      <c r="CBX136" s="369">
        <v>0.5</v>
      </c>
      <c r="CBY136" s="370" t="e">
        <f>10/CBU134</f>
        <v>#DIV/0!</v>
      </c>
      <c r="CBZ136" s="371">
        <v>15.38</v>
      </c>
      <c r="CCA136" s="371" t="e">
        <f>CBX136*CBY136*CBZ136</f>
        <v>#DIV/0!</v>
      </c>
      <c r="CCB136" s="367" t="s">
        <v>206</v>
      </c>
      <c r="CCC136" s="367"/>
      <c r="CCD136" s="367"/>
      <c r="CCE136" s="368" t="s">
        <v>168</v>
      </c>
      <c r="CCF136" s="369">
        <v>0.5</v>
      </c>
      <c r="CCG136" s="370" t="e">
        <f>10/CCC134</f>
        <v>#DIV/0!</v>
      </c>
      <c r="CCH136" s="371">
        <v>15.38</v>
      </c>
      <c r="CCI136" s="371" t="e">
        <f>CCF136*CCG136*CCH136</f>
        <v>#DIV/0!</v>
      </c>
      <c r="CCJ136" s="367" t="s">
        <v>206</v>
      </c>
      <c r="CCK136" s="367"/>
      <c r="CCL136" s="367"/>
      <c r="CCM136" s="368" t="s">
        <v>168</v>
      </c>
      <c r="CCN136" s="369">
        <v>0.5</v>
      </c>
      <c r="CCO136" s="370" t="e">
        <f>10/CCK134</f>
        <v>#DIV/0!</v>
      </c>
      <c r="CCP136" s="371">
        <v>15.38</v>
      </c>
      <c r="CCQ136" s="371" t="e">
        <f>CCN136*CCO136*CCP136</f>
        <v>#DIV/0!</v>
      </c>
      <c r="CCR136" s="367" t="s">
        <v>206</v>
      </c>
      <c r="CCS136" s="367"/>
      <c r="CCT136" s="367"/>
      <c r="CCU136" s="368" t="s">
        <v>168</v>
      </c>
      <c r="CCV136" s="369">
        <v>0.5</v>
      </c>
      <c r="CCW136" s="370" t="e">
        <f>10/CCS134</f>
        <v>#DIV/0!</v>
      </c>
      <c r="CCX136" s="371">
        <v>15.38</v>
      </c>
      <c r="CCY136" s="371" t="e">
        <f>CCV136*CCW136*CCX136</f>
        <v>#DIV/0!</v>
      </c>
      <c r="CCZ136" s="367" t="s">
        <v>206</v>
      </c>
      <c r="CDA136" s="367"/>
      <c r="CDB136" s="367"/>
      <c r="CDC136" s="368" t="s">
        <v>168</v>
      </c>
      <c r="CDD136" s="369">
        <v>0.5</v>
      </c>
      <c r="CDE136" s="370" t="e">
        <f>10/CDA134</f>
        <v>#DIV/0!</v>
      </c>
      <c r="CDF136" s="371">
        <v>15.38</v>
      </c>
      <c r="CDG136" s="371" t="e">
        <f>CDD136*CDE136*CDF136</f>
        <v>#DIV/0!</v>
      </c>
      <c r="CDH136" s="367" t="s">
        <v>206</v>
      </c>
      <c r="CDI136" s="367"/>
      <c r="CDJ136" s="367"/>
      <c r="CDK136" s="368" t="s">
        <v>168</v>
      </c>
      <c r="CDL136" s="369">
        <v>0.5</v>
      </c>
      <c r="CDM136" s="370" t="e">
        <f>10/CDI134</f>
        <v>#DIV/0!</v>
      </c>
      <c r="CDN136" s="371">
        <v>15.38</v>
      </c>
      <c r="CDO136" s="371" t="e">
        <f>CDL136*CDM136*CDN136</f>
        <v>#DIV/0!</v>
      </c>
      <c r="CDP136" s="367" t="s">
        <v>206</v>
      </c>
      <c r="CDQ136" s="367"/>
      <c r="CDR136" s="367"/>
      <c r="CDS136" s="368" t="s">
        <v>168</v>
      </c>
      <c r="CDT136" s="369">
        <v>0.5</v>
      </c>
      <c r="CDU136" s="370" t="e">
        <f>10/CDQ134</f>
        <v>#DIV/0!</v>
      </c>
      <c r="CDV136" s="371">
        <v>15.38</v>
      </c>
      <c r="CDW136" s="371" t="e">
        <f>CDT136*CDU136*CDV136</f>
        <v>#DIV/0!</v>
      </c>
      <c r="CDX136" s="367" t="s">
        <v>206</v>
      </c>
      <c r="CDY136" s="367"/>
      <c r="CDZ136" s="367"/>
      <c r="CEA136" s="368" t="s">
        <v>168</v>
      </c>
      <c r="CEB136" s="369">
        <v>0.5</v>
      </c>
      <c r="CEC136" s="370" t="e">
        <f>10/CDY134</f>
        <v>#DIV/0!</v>
      </c>
      <c r="CED136" s="371">
        <v>15.38</v>
      </c>
      <c r="CEE136" s="371" t="e">
        <f>CEB136*CEC136*CED136</f>
        <v>#DIV/0!</v>
      </c>
      <c r="CEF136" s="367" t="s">
        <v>206</v>
      </c>
      <c r="CEG136" s="367"/>
      <c r="CEH136" s="367"/>
      <c r="CEI136" s="368" t="s">
        <v>168</v>
      </c>
      <c r="CEJ136" s="369">
        <v>0.5</v>
      </c>
      <c r="CEK136" s="370" t="e">
        <f>10/CEG134</f>
        <v>#DIV/0!</v>
      </c>
      <c r="CEL136" s="371">
        <v>15.38</v>
      </c>
      <c r="CEM136" s="371" t="e">
        <f>CEJ136*CEK136*CEL136</f>
        <v>#DIV/0!</v>
      </c>
      <c r="CEN136" s="367" t="s">
        <v>206</v>
      </c>
      <c r="CEO136" s="367"/>
      <c r="CEP136" s="367"/>
      <c r="CEQ136" s="368" t="s">
        <v>168</v>
      </c>
      <c r="CER136" s="369">
        <v>0.5</v>
      </c>
      <c r="CES136" s="370" t="e">
        <f>10/CEO134</f>
        <v>#DIV/0!</v>
      </c>
      <c r="CET136" s="371">
        <v>15.38</v>
      </c>
      <c r="CEU136" s="371" t="e">
        <f>CER136*CES136*CET136</f>
        <v>#DIV/0!</v>
      </c>
      <c r="CEV136" s="367" t="s">
        <v>206</v>
      </c>
      <c r="CEW136" s="367"/>
      <c r="CEX136" s="367"/>
      <c r="CEY136" s="368" t="s">
        <v>168</v>
      </c>
      <c r="CEZ136" s="369">
        <v>0.5</v>
      </c>
      <c r="CFA136" s="370" t="e">
        <f>10/CEW134</f>
        <v>#DIV/0!</v>
      </c>
      <c r="CFB136" s="371">
        <v>15.38</v>
      </c>
      <c r="CFC136" s="371" t="e">
        <f>CEZ136*CFA136*CFB136</f>
        <v>#DIV/0!</v>
      </c>
      <c r="CFD136" s="367" t="s">
        <v>206</v>
      </c>
      <c r="CFE136" s="367"/>
      <c r="CFF136" s="367"/>
      <c r="CFG136" s="368" t="s">
        <v>168</v>
      </c>
      <c r="CFH136" s="369">
        <v>0.5</v>
      </c>
      <c r="CFI136" s="370" t="e">
        <f>10/CFE134</f>
        <v>#DIV/0!</v>
      </c>
      <c r="CFJ136" s="371">
        <v>15.38</v>
      </c>
      <c r="CFK136" s="371" t="e">
        <f>CFH136*CFI136*CFJ136</f>
        <v>#DIV/0!</v>
      </c>
      <c r="CFL136" s="367" t="s">
        <v>206</v>
      </c>
      <c r="CFM136" s="367"/>
      <c r="CFN136" s="367"/>
      <c r="CFO136" s="368" t="s">
        <v>168</v>
      </c>
      <c r="CFP136" s="369">
        <v>0.5</v>
      </c>
      <c r="CFQ136" s="370" t="e">
        <f>10/CFM134</f>
        <v>#DIV/0!</v>
      </c>
      <c r="CFR136" s="371">
        <v>15.38</v>
      </c>
      <c r="CFS136" s="371" t="e">
        <f>CFP136*CFQ136*CFR136</f>
        <v>#DIV/0!</v>
      </c>
      <c r="CFT136" s="367" t="s">
        <v>206</v>
      </c>
      <c r="CFU136" s="367"/>
      <c r="CFV136" s="367"/>
      <c r="CFW136" s="368" t="s">
        <v>168</v>
      </c>
      <c r="CFX136" s="369">
        <v>0.5</v>
      </c>
      <c r="CFY136" s="370" t="e">
        <f>10/CFU134</f>
        <v>#DIV/0!</v>
      </c>
      <c r="CFZ136" s="371">
        <v>15.38</v>
      </c>
      <c r="CGA136" s="371" t="e">
        <f>CFX136*CFY136*CFZ136</f>
        <v>#DIV/0!</v>
      </c>
      <c r="CGB136" s="367" t="s">
        <v>206</v>
      </c>
      <c r="CGC136" s="367"/>
      <c r="CGD136" s="367"/>
      <c r="CGE136" s="368" t="s">
        <v>168</v>
      </c>
      <c r="CGF136" s="369">
        <v>0.5</v>
      </c>
      <c r="CGG136" s="370" t="e">
        <f>10/CGC134</f>
        <v>#DIV/0!</v>
      </c>
      <c r="CGH136" s="371">
        <v>15.38</v>
      </c>
      <c r="CGI136" s="371" t="e">
        <f>CGF136*CGG136*CGH136</f>
        <v>#DIV/0!</v>
      </c>
      <c r="CGJ136" s="367" t="s">
        <v>206</v>
      </c>
      <c r="CGK136" s="367"/>
      <c r="CGL136" s="367"/>
      <c r="CGM136" s="368" t="s">
        <v>168</v>
      </c>
      <c r="CGN136" s="369">
        <v>0.5</v>
      </c>
      <c r="CGO136" s="370" t="e">
        <f>10/CGK134</f>
        <v>#DIV/0!</v>
      </c>
      <c r="CGP136" s="371">
        <v>15.38</v>
      </c>
      <c r="CGQ136" s="371" t="e">
        <f>CGN136*CGO136*CGP136</f>
        <v>#DIV/0!</v>
      </c>
      <c r="CGR136" s="367" t="s">
        <v>206</v>
      </c>
      <c r="CGS136" s="367"/>
      <c r="CGT136" s="367"/>
      <c r="CGU136" s="368" t="s">
        <v>168</v>
      </c>
      <c r="CGV136" s="369">
        <v>0.5</v>
      </c>
      <c r="CGW136" s="370" t="e">
        <f>10/CGS134</f>
        <v>#DIV/0!</v>
      </c>
      <c r="CGX136" s="371">
        <v>15.38</v>
      </c>
      <c r="CGY136" s="371" t="e">
        <f>CGV136*CGW136*CGX136</f>
        <v>#DIV/0!</v>
      </c>
      <c r="CGZ136" s="367" t="s">
        <v>206</v>
      </c>
      <c r="CHA136" s="367"/>
      <c r="CHB136" s="367"/>
      <c r="CHC136" s="368" t="s">
        <v>168</v>
      </c>
      <c r="CHD136" s="369">
        <v>0.5</v>
      </c>
      <c r="CHE136" s="370" t="e">
        <f>10/CHA134</f>
        <v>#DIV/0!</v>
      </c>
      <c r="CHF136" s="371">
        <v>15.38</v>
      </c>
      <c r="CHG136" s="371" t="e">
        <f>CHD136*CHE136*CHF136</f>
        <v>#DIV/0!</v>
      </c>
      <c r="CHH136" s="367" t="s">
        <v>206</v>
      </c>
      <c r="CHI136" s="367"/>
      <c r="CHJ136" s="367"/>
      <c r="CHK136" s="368" t="s">
        <v>168</v>
      </c>
      <c r="CHL136" s="369">
        <v>0.5</v>
      </c>
      <c r="CHM136" s="370" t="e">
        <f>10/CHI134</f>
        <v>#DIV/0!</v>
      </c>
      <c r="CHN136" s="371">
        <v>15.38</v>
      </c>
      <c r="CHO136" s="371" t="e">
        <f>CHL136*CHM136*CHN136</f>
        <v>#DIV/0!</v>
      </c>
      <c r="CHP136" s="367" t="s">
        <v>206</v>
      </c>
      <c r="CHQ136" s="367"/>
      <c r="CHR136" s="367"/>
      <c r="CHS136" s="368" t="s">
        <v>168</v>
      </c>
      <c r="CHT136" s="369">
        <v>0.5</v>
      </c>
      <c r="CHU136" s="370" t="e">
        <f>10/CHQ134</f>
        <v>#DIV/0!</v>
      </c>
      <c r="CHV136" s="371">
        <v>15.38</v>
      </c>
      <c r="CHW136" s="371" t="e">
        <f>CHT136*CHU136*CHV136</f>
        <v>#DIV/0!</v>
      </c>
      <c r="CHX136" s="367" t="s">
        <v>206</v>
      </c>
      <c r="CHY136" s="367"/>
      <c r="CHZ136" s="367"/>
      <c r="CIA136" s="368" t="s">
        <v>168</v>
      </c>
      <c r="CIB136" s="369">
        <v>0.5</v>
      </c>
      <c r="CIC136" s="370" t="e">
        <f>10/CHY134</f>
        <v>#DIV/0!</v>
      </c>
      <c r="CID136" s="371">
        <v>15.38</v>
      </c>
      <c r="CIE136" s="371" t="e">
        <f>CIB136*CIC136*CID136</f>
        <v>#DIV/0!</v>
      </c>
      <c r="CIF136" s="367" t="s">
        <v>206</v>
      </c>
      <c r="CIG136" s="367"/>
      <c r="CIH136" s="367"/>
      <c r="CII136" s="368" t="s">
        <v>168</v>
      </c>
      <c r="CIJ136" s="369">
        <v>0.5</v>
      </c>
      <c r="CIK136" s="370" t="e">
        <f>10/CIG134</f>
        <v>#DIV/0!</v>
      </c>
      <c r="CIL136" s="371">
        <v>15.38</v>
      </c>
      <c r="CIM136" s="371" t="e">
        <f>CIJ136*CIK136*CIL136</f>
        <v>#DIV/0!</v>
      </c>
      <c r="CIN136" s="367" t="s">
        <v>206</v>
      </c>
      <c r="CIO136" s="367"/>
      <c r="CIP136" s="367"/>
      <c r="CIQ136" s="368" t="s">
        <v>168</v>
      </c>
      <c r="CIR136" s="369">
        <v>0.5</v>
      </c>
      <c r="CIS136" s="370" t="e">
        <f>10/CIO134</f>
        <v>#DIV/0!</v>
      </c>
      <c r="CIT136" s="371">
        <v>15.38</v>
      </c>
      <c r="CIU136" s="371" t="e">
        <f>CIR136*CIS136*CIT136</f>
        <v>#DIV/0!</v>
      </c>
      <c r="CIV136" s="367" t="s">
        <v>206</v>
      </c>
      <c r="CIW136" s="367"/>
      <c r="CIX136" s="367"/>
      <c r="CIY136" s="368" t="s">
        <v>168</v>
      </c>
      <c r="CIZ136" s="369">
        <v>0.5</v>
      </c>
      <c r="CJA136" s="370" t="e">
        <f>10/CIW134</f>
        <v>#DIV/0!</v>
      </c>
      <c r="CJB136" s="371">
        <v>15.38</v>
      </c>
      <c r="CJC136" s="371" t="e">
        <f>CIZ136*CJA136*CJB136</f>
        <v>#DIV/0!</v>
      </c>
      <c r="CJD136" s="367" t="s">
        <v>206</v>
      </c>
      <c r="CJE136" s="367"/>
      <c r="CJF136" s="367"/>
      <c r="CJG136" s="368" t="s">
        <v>168</v>
      </c>
      <c r="CJH136" s="369">
        <v>0.5</v>
      </c>
      <c r="CJI136" s="370" t="e">
        <f>10/CJE134</f>
        <v>#DIV/0!</v>
      </c>
      <c r="CJJ136" s="371">
        <v>15.38</v>
      </c>
      <c r="CJK136" s="371" t="e">
        <f>CJH136*CJI136*CJJ136</f>
        <v>#DIV/0!</v>
      </c>
      <c r="CJL136" s="367" t="s">
        <v>206</v>
      </c>
      <c r="CJM136" s="367"/>
      <c r="CJN136" s="367"/>
      <c r="CJO136" s="368" t="s">
        <v>168</v>
      </c>
      <c r="CJP136" s="369">
        <v>0.5</v>
      </c>
      <c r="CJQ136" s="370" t="e">
        <f>10/CJM134</f>
        <v>#DIV/0!</v>
      </c>
      <c r="CJR136" s="371">
        <v>15.38</v>
      </c>
      <c r="CJS136" s="371" t="e">
        <f>CJP136*CJQ136*CJR136</f>
        <v>#DIV/0!</v>
      </c>
      <c r="CJT136" s="367" t="s">
        <v>206</v>
      </c>
      <c r="CJU136" s="367"/>
      <c r="CJV136" s="367"/>
      <c r="CJW136" s="368" t="s">
        <v>168</v>
      </c>
      <c r="CJX136" s="369">
        <v>0.5</v>
      </c>
      <c r="CJY136" s="370" t="e">
        <f>10/CJU134</f>
        <v>#DIV/0!</v>
      </c>
      <c r="CJZ136" s="371">
        <v>15.38</v>
      </c>
      <c r="CKA136" s="371" t="e">
        <f>CJX136*CJY136*CJZ136</f>
        <v>#DIV/0!</v>
      </c>
      <c r="CKB136" s="367" t="s">
        <v>206</v>
      </c>
      <c r="CKC136" s="367"/>
      <c r="CKD136" s="367"/>
      <c r="CKE136" s="368" t="s">
        <v>168</v>
      </c>
      <c r="CKF136" s="369">
        <v>0.5</v>
      </c>
      <c r="CKG136" s="370" t="e">
        <f>10/CKC134</f>
        <v>#DIV/0!</v>
      </c>
      <c r="CKH136" s="371">
        <v>15.38</v>
      </c>
      <c r="CKI136" s="371" t="e">
        <f>CKF136*CKG136*CKH136</f>
        <v>#DIV/0!</v>
      </c>
      <c r="CKJ136" s="367" t="s">
        <v>206</v>
      </c>
      <c r="CKK136" s="367"/>
      <c r="CKL136" s="367"/>
      <c r="CKM136" s="368" t="s">
        <v>168</v>
      </c>
      <c r="CKN136" s="369">
        <v>0.5</v>
      </c>
      <c r="CKO136" s="370" t="e">
        <f>10/CKK134</f>
        <v>#DIV/0!</v>
      </c>
      <c r="CKP136" s="371">
        <v>15.38</v>
      </c>
      <c r="CKQ136" s="371" t="e">
        <f>CKN136*CKO136*CKP136</f>
        <v>#DIV/0!</v>
      </c>
      <c r="CKR136" s="367" t="s">
        <v>206</v>
      </c>
      <c r="CKS136" s="367"/>
      <c r="CKT136" s="367"/>
      <c r="CKU136" s="368" t="s">
        <v>168</v>
      </c>
      <c r="CKV136" s="369">
        <v>0.5</v>
      </c>
      <c r="CKW136" s="370" t="e">
        <f>10/CKS134</f>
        <v>#DIV/0!</v>
      </c>
      <c r="CKX136" s="371">
        <v>15.38</v>
      </c>
      <c r="CKY136" s="371" t="e">
        <f>CKV136*CKW136*CKX136</f>
        <v>#DIV/0!</v>
      </c>
      <c r="CKZ136" s="367" t="s">
        <v>206</v>
      </c>
      <c r="CLA136" s="367"/>
      <c r="CLB136" s="367"/>
      <c r="CLC136" s="368" t="s">
        <v>168</v>
      </c>
      <c r="CLD136" s="369">
        <v>0.5</v>
      </c>
      <c r="CLE136" s="370" t="e">
        <f>10/CLA134</f>
        <v>#DIV/0!</v>
      </c>
      <c r="CLF136" s="371">
        <v>15.38</v>
      </c>
      <c r="CLG136" s="371" t="e">
        <f>CLD136*CLE136*CLF136</f>
        <v>#DIV/0!</v>
      </c>
      <c r="CLH136" s="367" t="s">
        <v>206</v>
      </c>
      <c r="CLI136" s="367"/>
      <c r="CLJ136" s="367"/>
      <c r="CLK136" s="368" t="s">
        <v>168</v>
      </c>
      <c r="CLL136" s="369">
        <v>0.5</v>
      </c>
      <c r="CLM136" s="370" t="e">
        <f>10/CLI134</f>
        <v>#DIV/0!</v>
      </c>
      <c r="CLN136" s="371">
        <v>15.38</v>
      </c>
      <c r="CLO136" s="371" t="e">
        <f>CLL136*CLM136*CLN136</f>
        <v>#DIV/0!</v>
      </c>
      <c r="CLP136" s="367" t="s">
        <v>206</v>
      </c>
      <c r="CLQ136" s="367"/>
      <c r="CLR136" s="367"/>
      <c r="CLS136" s="368" t="s">
        <v>168</v>
      </c>
      <c r="CLT136" s="369">
        <v>0.5</v>
      </c>
      <c r="CLU136" s="370" t="e">
        <f>10/CLQ134</f>
        <v>#DIV/0!</v>
      </c>
      <c r="CLV136" s="371">
        <v>15.38</v>
      </c>
      <c r="CLW136" s="371" t="e">
        <f>CLT136*CLU136*CLV136</f>
        <v>#DIV/0!</v>
      </c>
      <c r="CLX136" s="367" t="s">
        <v>206</v>
      </c>
      <c r="CLY136" s="367"/>
      <c r="CLZ136" s="367"/>
      <c r="CMA136" s="368" t="s">
        <v>168</v>
      </c>
      <c r="CMB136" s="369">
        <v>0.5</v>
      </c>
      <c r="CMC136" s="370" t="e">
        <f>10/CLY134</f>
        <v>#DIV/0!</v>
      </c>
      <c r="CMD136" s="371">
        <v>15.38</v>
      </c>
      <c r="CME136" s="371" t="e">
        <f>CMB136*CMC136*CMD136</f>
        <v>#DIV/0!</v>
      </c>
      <c r="CMF136" s="367" t="s">
        <v>206</v>
      </c>
      <c r="CMG136" s="367"/>
      <c r="CMH136" s="367"/>
      <c r="CMI136" s="368" t="s">
        <v>168</v>
      </c>
      <c r="CMJ136" s="369">
        <v>0.5</v>
      </c>
      <c r="CMK136" s="370" t="e">
        <f>10/CMG134</f>
        <v>#DIV/0!</v>
      </c>
      <c r="CML136" s="371">
        <v>15.38</v>
      </c>
      <c r="CMM136" s="371" t="e">
        <f>CMJ136*CMK136*CML136</f>
        <v>#DIV/0!</v>
      </c>
      <c r="CMN136" s="367" t="s">
        <v>206</v>
      </c>
      <c r="CMO136" s="367"/>
      <c r="CMP136" s="367"/>
      <c r="CMQ136" s="368" t="s">
        <v>168</v>
      </c>
      <c r="CMR136" s="369">
        <v>0.5</v>
      </c>
      <c r="CMS136" s="370" t="e">
        <f>10/CMO134</f>
        <v>#DIV/0!</v>
      </c>
      <c r="CMT136" s="371">
        <v>15.38</v>
      </c>
      <c r="CMU136" s="371" t="e">
        <f>CMR136*CMS136*CMT136</f>
        <v>#DIV/0!</v>
      </c>
      <c r="CMV136" s="367" t="s">
        <v>206</v>
      </c>
      <c r="CMW136" s="367"/>
      <c r="CMX136" s="367"/>
      <c r="CMY136" s="368" t="s">
        <v>168</v>
      </c>
      <c r="CMZ136" s="369">
        <v>0.5</v>
      </c>
      <c r="CNA136" s="370" t="e">
        <f>10/CMW134</f>
        <v>#DIV/0!</v>
      </c>
      <c r="CNB136" s="371">
        <v>15.38</v>
      </c>
      <c r="CNC136" s="371" t="e">
        <f>CMZ136*CNA136*CNB136</f>
        <v>#DIV/0!</v>
      </c>
      <c r="CND136" s="367" t="s">
        <v>206</v>
      </c>
      <c r="CNE136" s="367"/>
      <c r="CNF136" s="367"/>
      <c r="CNG136" s="368" t="s">
        <v>168</v>
      </c>
      <c r="CNH136" s="369">
        <v>0.5</v>
      </c>
      <c r="CNI136" s="370" t="e">
        <f>10/CNE134</f>
        <v>#DIV/0!</v>
      </c>
      <c r="CNJ136" s="371">
        <v>15.38</v>
      </c>
      <c r="CNK136" s="371" t="e">
        <f>CNH136*CNI136*CNJ136</f>
        <v>#DIV/0!</v>
      </c>
      <c r="CNL136" s="367" t="s">
        <v>206</v>
      </c>
      <c r="CNM136" s="367"/>
      <c r="CNN136" s="367"/>
      <c r="CNO136" s="368" t="s">
        <v>168</v>
      </c>
      <c r="CNP136" s="369">
        <v>0.5</v>
      </c>
      <c r="CNQ136" s="370" t="e">
        <f>10/CNM134</f>
        <v>#DIV/0!</v>
      </c>
      <c r="CNR136" s="371">
        <v>15.38</v>
      </c>
      <c r="CNS136" s="371" t="e">
        <f>CNP136*CNQ136*CNR136</f>
        <v>#DIV/0!</v>
      </c>
      <c r="CNT136" s="367" t="s">
        <v>206</v>
      </c>
      <c r="CNU136" s="367"/>
      <c r="CNV136" s="367"/>
      <c r="CNW136" s="368" t="s">
        <v>168</v>
      </c>
      <c r="CNX136" s="369">
        <v>0.5</v>
      </c>
      <c r="CNY136" s="370" t="e">
        <f>10/CNU134</f>
        <v>#DIV/0!</v>
      </c>
      <c r="CNZ136" s="371">
        <v>15.38</v>
      </c>
      <c r="COA136" s="371" t="e">
        <f>CNX136*CNY136*CNZ136</f>
        <v>#DIV/0!</v>
      </c>
      <c r="COB136" s="367" t="s">
        <v>206</v>
      </c>
      <c r="COC136" s="367"/>
      <c r="COD136" s="367"/>
      <c r="COE136" s="368" t="s">
        <v>168</v>
      </c>
      <c r="COF136" s="369">
        <v>0.5</v>
      </c>
      <c r="COG136" s="370" t="e">
        <f>10/COC134</f>
        <v>#DIV/0!</v>
      </c>
      <c r="COH136" s="371">
        <v>15.38</v>
      </c>
      <c r="COI136" s="371" t="e">
        <f>COF136*COG136*COH136</f>
        <v>#DIV/0!</v>
      </c>
      <c r="COJ136" s="367" t="s">
        <v>206</v>
      </c>
      <c r="COK136" s="367"/>
      <c r="COL136" s="367"/>
      <c r="COM136" s="368" t="s">
        <v>168</v>
      </c>
      <c r="CON136" s="369">
        <v>0.5</v>
      </c>
      <c r="COO136" s="370" t="e">
        <f>10/COK134</f>
        <v>#DIV/0!</v>
      </c>
      <c r="COP136" s="371">
        <v>15.38</v>
      </c>
      <c r="COQ136" s="371" t="e">
        <f>CON136*COO136*COP136</f>
        <v>#DIV/0!</v>
      </c>
      <c r="COR136" s="367" t="s">
        <v>206</v>
      </c>
      <c r="COS136" s="367"/>
      <c r="COT136" s="367"/>
      <c r="COU136" s="368" t="s">
        <v>168</v>
      </c>
      <c r="COV136" s="369">
        <v>0.5</v>
      </c>
      <c r="COW136" s="370" t="e">
        <f>10/COS134</f>
        <v>#DIV/0!</v>
      </c>
      <c r="COX136" s="371">
        <v>15.38</v>
      </c>
      <c r="COY136" s="371" t="e">
        <f>COV136*COW136*COX136</f>
        <v>#DIV/0!</v>
      </c>
      <c r="COZ136" s="367" t="s">
        <v>206</v>
      </c>
      <c r="CPA136" s="367"/>
      <c r="CPB136" s="367"/>
      <c r="CPC136" s="368" t="s">
        <v>168</v>
      </c>
      <c r="CPD136" s="369">
        <v>0.5</v>
      </c>
      <c r="CPE136" s="370" t="e">
        <f>10/CPA134</f>
        <v>#DIV/0!</v>
      </c>
      <c r="CPF136" s="371">
        <v>15.38</v>
      </c>
      <c r="CPG136" s="371" t="e">
        <f>CPD136*CPE136*CPF136</f>
        <v>#DIV/0!</v>
      </c>
      <c r="CPH136" s="367" t="s">
        <v>206</v>
      </c>
      <c r="CPI136" s="367"/>
      <c r="CPJ136" s="367"/>
      <c r="CPK136" s="368" t="s">
        <v>168</v>
      </c>
      <c r="CPL136" s="369">
        <v>0.5</v>
      </c>
      <c r="CPM136" s="370" t="e">
        <f>10/CPI134</f>
        <v>#DIV/0!</v>
      </c>
      <c r="CPN136" s="371">
        <v>15.38</v>
      </c>
      <c r="CPO136" s="371" t="e">
        <f>CPL136*CPM136*CPN136</f>
        <v>#DIV/0!</v>
      </c>
      <c r="CPP136" s="367" t="s">
        <v>206</v>
      </c>
      <c r="CPQ136" s="367"/>
      <c r="CPR136" s="367"/>
      <c r="CPS136" s="368" t="s">
        <v>168</v>
      </c>
      <c r="CPT136" s="369">
        <v>0.5</v>
      </c>
      <c r="CPU136" s="370" t="e">
        <f>10/CPQ134</f>
        <v>#DIV/0!</v>
      </c>
      <c r="CPV136" s="371">
        <v>15.38</v>
      </c>
      <c r="CPW136" s="371" t="e">
        <f>CPT136*CPU136*CPV136</f>
        <v>#DIV/0!</v>
      </c>
      <c r="CPX136" s="367" t="s">
        <v>206</v>
      </c>
      <c r="CPY136" s="367"/>
      <c r="CPZ136" s="367"/>
      <c r="CQA136" s="368" t="s">
        <v>168</v>
      </c>
      <c r="CQB136" s="369">
        <v>0.5</v>
      </c>
      <c r="CQC136" s="370" t="e">
        <f>10/CPY134</f>
        <v>#DIV/0!</v>
      </c>
      <c r="CQD136" s="371">
        <v>15.38</v>
      </c>
      <c r="CQE136" s="371" t="e">
        <f>CQB136*CQC136*CQD136</f>
        <v>#DIV/0!</v>
      </c>
      <c r="CQF136" s="367" t="s">
        <v>206</v>
      </c>
      <c r="CQG136" s="367"/>
      <c r="CQH136" s="367"/>
      <c r="CQI136" s="368" t="s">
        <v>168</v>
      </c>
      <c r="CQJ136" s="369">
        <v>0.5</v>
      </c>
      <c r="CQK136" s="370" t="e">
        <f>10/CQG134</f>
        <v>#DIV/0!</v>
      </c>
      <c r="CQL136" s="371">
        <v>15.38</v>
      </c>
      <c r="CQM136" s="371" t="e">
        <f>CQJ136*CQK136*CQL136</f>
        <v>#DIV/0!</v>
      </c>
      <c r="CQN136" s="367" t="s">
        <v>206</v>
      </c>
      <c r="CQO136" s="367"/>
      <c r="CQP136" s="367"/>
      <c r="CQQ136" s="368" t="s">
        <v>168</v>
      </c>
      <c r="CQR136" s="369">
        <v>0.5</v>
      </c>
      <c r="CQS136" s="370" t="e">
        <f>10/CQO134</f>
        <v>#DIV/0!</v>
      </c>
      <c r="CQT136" s="371">
        <v>15.38</v>
      </c>
      <c r="CQU136" s="371" t="e">
        <f>CQR136*CQS136*CQT136</f>
        <v>#DIV/0!</v>
      </c>
      <c r="CQV136" s="367" t="s">
        <v>206</v>
      </c>
      <c r="CQW136" s="367"/>
      <c r="CQX136" s="367"/>
      <c r="CQY136" s="368" t="s">
        <v>168</v>
      </c>
      <c r="CQZ136" s="369">
        <v>0.5</v>
      </c>
      <c r="CRA136" s="370" t="e">
        <f>10/CQW134</f>
        <v>#DIV/0!</v>
      </c>
      <c r="CRB136" s="371">
        <v>15.38</v>
      </c>
      <c r="CRC136" s="371" t="e">
        <f>CQZ136*CRA136*CRB136</f>
        <v>#DIV/0!</v>
      </c>
      <c r="CRD136" s="367" t="s">
        <v>206</v>
      </c>
      <c r="CRE136" s="367"/>
      <c r="CRF136" s="367"/>
      <c r="CRG136" s="368" t="s">
        <v>168</v>
      </c>
      <c r="CRH136" s="369">
        <v>0.5</v>
      </c>
      <c r="CRI136" s="370" t="e">
        <f>10/CRE134</f>
        <v>#DIV/0!</v>
      </c>
      <c r="CRJ136" s="371">
        <v>15.38</v>
      </c>
      <c r="CRK136" s="371" t="e">
        <f>CRH136*CRI136*CRJ136</f>
        <v>#DIV/0!</v>
      </c>
      <c r="CRL136" s="367" t="s">
        <v>206</v>
      </c>
      <c r="CRM136" s="367"/>
      <c r="CRN136" s="367"/>
      <c r="CRO136" s="368" t="s">
        <v>168</v>
      </c>
      <c r="CRP136" s="369">
        <v>0.5</v>
      </c>
      <c r="CRQ136" s="370" t="e">
        <f>10/CRM134</f>
        <v>#DIV/0!</v>
      </c>
      <c r="CRR136" s="371">
        <v>15.38</v>
      </c>
      <c r="CRS136" s="371" t="e">
        <f>CRP136*CRQ136*CRR136</f>
        <v>#DIV/0!</v>
      </c>
      <c r="CRT136" s="367" t="s">
        <v>206</v>
      </c>
      <c r="CRU136" s="367"/>
      <c r="CRV136" s="367"/>
      <c r="CRW136" s="368" t="s">
        <v>168</v>
      </c>
      <c r="CRX136" s="369">
        <v>0.5</v>
      </c>
      <c r="CRY136" s="370" t="e">
        <f>10/CRU134</f>
        <v>#DIV/0!</v>
      </c>
      <c r="CRZ136" s="371">
        <v>15.38</v>
      </c>
      <c r="CSA136" s="371" t="e">
        <f>CRX136*CRY136*CRZ136</f>
        <v>#DIV/0!</v>
      </c>
      <c r="CSB136" s="367" t="s">
        <v>206</v>
      </c>
      <c r="CSC136" s="367"/>
      <c r="CSD136" s="367"/>
      <c r="CSE136" s="368" t="s">
        <v>168</v>
      </c>
      <c r="CSF136" s="369">
        <v>0.5</v>
      </c>
      <c r="CSG136" s="370" t="e">
        <f>10/CSC134</f>
        <v>#DIV/0!</v>
      </c>
      <c r="CSH136" s="371">
        <v>15.38</v>
      </c>
      <c r="CSI136" s="371" t="e">
        <f>CSF136*CSG136*CSH136</f>
        <v>#DIV/0!</v>
      </c>
      <c r="CSJ136" s="367" t="s">
        <v>206</v>
      </c>
      <c r="CSK136" s="367"/>
      <c r="CSL136" s="367"/>
      <c r="CSM136" s="368" t="s">
        <v>168</v>
      </c>
      <c r="CSN136" s="369">
        <v>0.5</v>
      </c>
      <c r="CSO136" s="370" t="e">
        <f>10/CSK134</f>
        <v>#DIV/0!</v>
      </c>
      <c r="CSP136" s="371">
        <v>15.38</v>
      </c>
      <c r="CSQ136" s="371" t="e">
        <f>CSN136*CSO136*CSP136</f>
        <v>#DIV/0!</v>
      </c>
      <c r="CSR136" s="367" t="s">
        <v>206</v>
      </c>
      <c r="CSS136" s="367"/>
      <c r="CST136" s="367"/>
      <c r="CSU136" s="368" t="s">
        <v>168</v>
      </c>
      <c r="CSV136" s="369">
        <v>0.5</v>
      </c>
      <c r="CSW136" s="370" t="e">
        <f>10/CSS134</f>
        <v>#DIV/0!</v>
      </c>
      <c r="CSX136" s="371">
        <v>15.38</v>
      </c>
      <c r="CSY136" s="371" t="e">
        <f>CSV136*CSW136*CSX136</f>
        <v>#DIV/0!</v>
      </c>
      <c r="CSZ136" s="367" t="s">
        <v>206</v>
      </c>
      <c r="CTA136" s="367"/>
      <c r="CTB136" s="367"/>
      <c r="CTC136" s="368" t="s">
        <v>168</v>
      </c>
      <c r="CTD136" s="369">
        <v>0.5</v>
      </c>
      <c r="CTE136" s="370" t="e">
        <f>10/CTA134</f>
        <v>#DIV/0!</v>
      </c>
      <c r="CTF136" s="371">
        <v>15.38</v>
      </c>
      <c r="CTG136" s="371" t="e">
        <f>CTD136*CTE136*CTF136</f>
        <v>#DIV/0!</v>
      </c>
      <c r="CTH136" s="367" t="s">
        <v>206</v>
      </c>
      <c r="CTI136" s="367"/>
      <c r="CTJ136" s="367"/>
      <c r="CTK136" s="368" t="s">
        <v>168</v>
      </c>
      <c r="CTL136" s="369">
        <v>0.5</v>
      </c>
      <c r="CTM136" s="370" t="e">
        <f>10/CTI134</f>
        <v>#DIV/0!</v>
      </c>
      <c r="CTN136" s="371">
        <v>15.38</v>
      </c>
      <c r="CTO136" s="371" t="e">
        <f>CTL136*CTM136*CTN136</f>
        <v>#DIV/0!</v>
      </c>
      <c r="CTP136" s="367" t="s">
        <v>206</v>
      </c>
      <c r="CTQ136" s="367"/>
      <c r="CTR136" s="367"/>
      <c r="CTS136" s="368" t="s">
        <v>168</v>
      </c>
      <c r="CTT136" s="369">
        <v>0.5</v>
      </c>
      <c r="CTU136" s="370" t="e">
        <f>10/CTQ134</f>
        <v>#DIV/0!</v>
      </c>
      <c r="CTV136" s="371">
        <v>15.38</v>
      </c>
      <c r="CTW136" s="371" t="e">
        <f>CTT136*CTU136*CTV136</f>
        <v>#DIV/0!</v>
      </c>
      <c r="CTX136" s="367" t="s">
        <v>206</v>
      </c>
      <c r="CTY136" s="367"/>
      <c r="CTZ136" s="367"/>
      <c r="CUA136" s="368" t="s">
        <v>168</v>
      </c>
      <c r="CUB136" s="369">
        <v>0.5</v>
      </c>
      <c r="CUC136" s="370" t="e">
        <f>10/CTY134</f>
        <v>#DIV/0!</v>
      </c>
      <c r="CUD136" s="371">
        <v>15.38</v>
      </c>
      <c r="CUE136" s="371" t="e">
        <f>CUB136*CUC136*CUD136</f>
        <v>#DIV/0!</v>
      </c>
      <c r="CUF136" s="367" t="s">
        <v>206</v>
      </c>
      <c r="CUG136" s="367"/>
      <c r="CUH136" s="367"/>
      <c r="CUI136" s="368" t="s">
        <v>168</v>
      </c>
      <c r="CUJ136" s="369">
        <v>0.5</v>
      </c>
      <c r="CUK136" s="370" t="e">
        <f>10/CUG134</f>
        <v>#DIV/0!</v>
      </c>
      <c r="CUL136" s="371">
        <v>15.38</v>
      </c>
      <c r="CUM136" s="371" t="e">
        <f>CUJ136*CUK136*CUL136</f>
        <v>#DIV/0!</v>
      </c>
      <c r="CUN136" s="367" t="s">
        <v>206</v>
      </c>
      <c r="CUO136" s="367"/>
      <c r="CUP136" s="367"/>
      <c r="CUQ136" s="368" t="s">
        <v>168</v>
      </c>
      <c r="CUR136" s="369">
        <v>0.5</v>
      </c>
      <c r="CUS136" s="370" t="e">
        <f>10/CUO134</f>
        <v>#DIV/0!</v>
      </c>
      <c r="CUT136" s="371">
        <v>15.38</v>
      </c>
      <c r="CUU136" s="371" t="e">
        <f>CUR136*CUS136*CUT136</f>
        <v>#DIV/0!</v>
      </c>
      <c r="CUV136" s="367" t="s">
        <v>206</v>
      </c>
      <c r="CUW136" s="367"/>
      <c r="CUX136" s="367"/>
      <c r="CUY136" s="368" t="s">
        <v>168</v>
      </c>
      <c r="CUZ136" s="369">
        <v>0.5</v>
      </c>
      <c r="CVA136" s="370" t="e">
        <f>10/CUW134</f>
        <v>#DIV/0!</v>
      </c>
      <c r="CVB136" s="371">
        <v>15.38</v>
      </c>
      <c r="CVC136" s="371" t="e">
        <f>CUZ136*CVA136*CVB136</f>
        <v>#DIV/0!</v>
      </c>
      <c r="CVD136" s="367" t="s">
        <v>206</v>
      </c>
      <c r="CVE136" s="367"/>
      <c r="CVF136" s="367"/>
      <c r="CVG136" s="368" t="s">
        <v>168</v>
      </c>
      <c r="CVH136" s="369">
        <v>0.5</v>
      </c>
      <c r="CVI136" s="370" t="e">
        <f>10/CVE134</f>
        <v>#DIV/0!</v>
      </c>
      <c r="CVJ136" s="371">
        <v>15.38</v>
      </c>
      <c r="CVK136" s="371" t="e">
        <f>CVH136*CVI136*CVJ136</f>
        <v>#DIV/0!</v>
      </c>
      <c r="CVL136" s="367" t="s">
        <v>206</v>
      </c>
      <c r="CVM136" s="367"/>
      <c r="CVN136" s="367"/>
      <c r="CVO136" s="368" t="s">
        <v>168</v>
      </c>
      <c r="CVP136" s="369">
        <v>0.5</v>
      </c>
      <c r="CVQ136" s="370" t="e">
        <f>10/CVM134</f>
        <v>#DIV/0!</v>
      </c>
      <c r="CVR136" s="371">
        <v>15.38</v>
      </c>
      <c r="CVS136" s="371" t="e">
        <f>CVP136*CVQ136*CVR136</f>
        <v>#DIV/0!</v>
      </c>
      <c r="CVT136" s="367" t="s">
        <v>206</v>
      </c>
      <c r="CVU136" s="367"/>
      <c r="CVV136" s="367"/>
      <c r="CVW136" s="368" t="s">
        <v>168</v>
      </c>
      <c r="CVX136" s="369">
        <v>0.5</v>
      </c>
      <c r="CVY136" s="370" t="e">
        <f>10/CVU134</f>
        <v>#DIV/0!</v>
      </c>
      <c r="CVZ136" s="371">
        <v>15.38</v>
      </c>
      <c r="CWA136" s="371" t="e">
        <f>CVX136*CVY136*CVZ136</f>
        <v>#DIV/0!</v>
      </c>
      <c r="CWB136" s="367" t="s">
        <v>206</v>
      </c>
      <c r="CWC136" s="367"/>
      <c r="CWD136" s="367"/>
      <c r="CWE136" s="368" t="s">
        <v>168</v>
      </c>
      <c r="CWF136" s="369">
        <v>0.5</v>
      </c>
      <c r="CWG136" s="370" t="e">
        <f>10/CWC134</f>
        <v>#DIV/0!</v>
      </c>
      <c r="CWH136" s="371">
        <v>15.38</v>
      </c>
      <c r="CWI136" s="371" t="e">
        <f>CWF136*CWG136*CWH136</f>
        <v>#DIV/0!</v>
      </c>
      <c r="CWJ136" s="367" t="s">
        <v>206</v>
      </c>
      <c r="CWK136" s="367"/>
      <c r="CWL136" s="367"/>
      <c r="CWM136" s="368" t="s">
        <v>168</v>
      </c>
      <c r="CWN136" s="369">
        <v>0.5</v>
      </c>
      <c r="CWO136" s="370" t="e">
        <f>10/CWK134</f>
        <v>#DIV/0!</v>
      </c>
      <c r="CWP136" s="371">
        <v>15.38</v>
      </c>
      <c r="CWQ136" s="371" t="e">
        <f>CWN136*CWO136*CWP136</f>
        <v>#DIV/0!</v>
      </c>
      <c r="CWR136" s="367" t="s">
        <v>206</v>
      </c>
      <c r="CWS136" s="367"/>
      <c r="CWT136" s="367"/>
      <c r="CWU136" s="368" t="s">
        <v>168</v>
      </c>
      <c r="CWV136" s="369">
        <v>0.5</v>
      </c>
      <c r="CWW136" s="370" t="e">
        <f>10/CWS134</f>
        <v>#DIV/0!</v>
      </c>
      <c r="CWX136" s="371">
        <v>15.38</v>
      </c>
      <c r="CWY136" s="371" t="e">
        <f>CWV136*CWW136*CWX136</f>
        <v>#DIV/0!</v>
      </c>
      <c r="CWZ136" s="367" t="s">
        <v>206</v>
      </c>
      <c r="CXA136" s="367"/>
      <c r="CXB136" s="367"/>
      <c r="CXC136" s="368" t="s">
        <v>168</v>
      </c>
      <c r="CXD136" s="369">
        <v>0.5</v>
      </c>
      <c r="CXE136" s="370" t="e">
        <f>10/CXA134</f>
        <v>#DIV/0!</v>
      </c>
      <c r="CXF136" s="371">
        <v>15.38</v>
      </c>
      <c r="CXG136" s="371" t="e">
        <f>CXD136*CXE136*CXF136</f>
        <v>#DIV/0!</v>
      </c>
      <c r="CXH136" s="367" t="s">
        <v>206</v>
      </c>
      <c r="CXI136" s="367"/>
      <c r="CXJ136" s="367"/>
      <c r="CXK136" s="368" t="s">
        <v>168</v>
      </c>
      <c r="CXL136" s="369">
        <v>0.5</v>
      </c>
      <c r="CXM136" s="370" t="e">
        <f>10/CXI134</f>
        <v>#DIV/0!</v>
      </c>
      <c r="CXN136" s="371">
        <v>15.38</v>
      </c>
      <c r="CXO136" s="371" t="e">
        <f>CXL136*CXM136*CXN136</f>
        <v>#DIV/0!</v>
      </c>
      <c r="CXP136" s="367" t="s">
        <v>206</v>
      </c>
      <c r="CXQ136" s="367"/>
      <c r="CXR136" s="367"/>
      <c r="CXS136" s="368" t="s">
        <v>168</v>
      </c>
      <c r="CXT136" s="369">
        <v>0.5</v>
      </c>
      <c r="CXU136" s="370" t="e">
        <f>10/CXQ134</f>
        <v>#DIV/0!</v>
      </c>
      <c r="CXV136" s="371">
        <v>15.38</v>
      </c>
      <c r="CXW136" s="371" t="e">
        <f>CXT136*CXU136*CXV136</f>
        <v>#DIV/0!</v>
      </c>
      <c r="CXX136" s="367" t="s">
        <v>206</v>
      </c>
      <c r="CXY136" s="367"/>
      <c r="CXZ136" s="367"/>
      <c r="CYA136" s="368" t="s">
        <v>168</v>
      </c>
      <c r="CYB136" s="369">
        <v>0.5</v>
      </c>
      <c r="CYC136" s="370" t="e">
        <f>10/CXY134</f>
        <v>#DIV/0!</v>
      </c>
      <c r="CYD136" s="371">
        <v>15.38</v>
      </c>
      <c r="CYE136" s="371" t="e">
        <f>CYB136*CYC136*CYD136</f>
        <v>#DIV/0!</v>
      </c>
      <c r="CYF136" s="367" t="s">
        <v>206</v>
      </c>
      <c r="CYG136" s="367"/>
      <c r="CYH136" s="367"/>
      <c r="CYI136" s="368" t="s">
        <v>168</v>
      </c>
      <c r="CYJ136" s="369">
        <v>0.5</v>
      </c>
      <c r="CYK136" s="370" t="e">
        <f>10/CYG134</f>
        <v>#DIV/0!</v>
      </c>
      <c r="CYL136" s="371">
        <v>15.38</v>
      </c>
      <c r="CYM136" s="371" t="e">
        <f>CYJ136*CYK136*CYL136</f>
        <v>#DIV/0!</v>
      </c>
      <c r="CYN136" s="367" t="s">
        <v>206</v>
      </c>
      <c r="CYO136" s="367"/>
      <c r="CYP136" s="367"/>
      <c r="CYQ136" s="368" t="s">
        <v>168</v>
      </c>
      <c r="CYR136" s="369">
        <v>0.5</v>
      </c>
      <c r="CYS136" s="370" t="e">
        <f>10/CYO134</f>
        <v>#DIV/0!</v>
      </c>
      <c r="CYT136" s="371">
        <v>15.38</v>
      </c>
      <c r="CYU136" s="371" t="e">
        <f>CYR136*CYS136*CYT136</f>
        <v>#DIV/0!</v>
      </c>
      <c r="CYV136" s="367" t="s">
        <v>206</v>
      </c>
      <c r="CYW136" s="367"/>
      <c r="CYX136" s="367"/>
      <c r="CYY136" s="368" t="s">
        <v>168</v>
      </c>
      <c r="CYZ136" s="369">
        <v>0.5</v>
      </c>
      <c r="CZA136" s="370" t="e">
        <f>10/CYW134</f>
        <v>#DIV/0!</v>
      </c>
      <c r="CZB136" s="371">
        <v>15.38</v>
      </c>
      <c r="CZC136" s="371" t="e">
        <f>CYZ136*CZA136*CZB136</f>
        <v>#DIV/0!</v>
      </c>
      <c r="CZD136" s="367" t="s">
        <v>206</v>
      </c>
      <c r="CZE136" s="367"/>
      <c r="CZF136" s="367"/>
      <c r="CZG136" s="368" t="s">
        <v>168</v>
      </c>
      <c r="CZH136" s="369">
        <v>0.5</v>
      </c>
      <c r="CZI136" s="370" t="e">
        <f>10/CZE134</f>
        <v>#DIV/0!</v>
      </c>
      <c r="CZJ136" s="371">
        <v>15.38</v>
      </c>
      <c r="CZK136" s="371" t="e">
        <f>CZH136*CZI136*CZJ136</f>
        <v>#DIV/0!</v>
      </c>
      <c r="CZL136" s="367" t="s">
        <v>206</v>
      </c>
      <c r="CZM136" s="367"/>
      <c r="CZN136" s="367"/>
      <c r="CZO136" s="368" t="s">
        <v>168</v>
      </c>
      <c r="CZP136" s="369">
        <v>0.5</v>
      </c>
      <c r="CZQ136" s="370" t="e">
        <f>10/CZM134</f>
        <v>#DIV/0!</v>
      </c>
      <c r="CZR136" s="371">
        <v>15.38</v>
      </c>
      <c r="CZS136" s="371" t="e">
        <f>CZP136*CZQ136*CZR136</f>
        <v>#DIV/0!</v>
      </c>
      <c r="CZT136" s="367" t="s">
        <v>206</v>
      </c>
      <c r="CZU136" s="367"/>
      <c r="CZV136" s="367"/>
      <c r="CZW136" s="368" t="s">
        <v>168</v>
      </c>
      <c r="CZX136" s="369">
        <v>0.5</v>
      </c>
      <c r="CZY136" s="370" t="e">
        <f>10/CZU134</f>
        <v>#DIV/0!</v>
      </c>
      <c r="CZZ136" s="371">
        <v>15.38</v>
      </c>
      <c r="DAA136" s="371" t="e">
        <f>CZX136*CZY136*CZZ136</f>
        <v>#DIV/0!</v>
      </c>
      <c r="DAB136" s="367" t="s">
        <v>206</v>
      </c>
      <c r="DAC136" s="367"/>
      <c r="DAD136" s="367"/>
      <c r="DAE136" s="368" t="s">
        <v>168</v>
      </c>
      <c r="DAF136" s="369">
        <v>0.5</v>
      </c>
      <c r="DAG136" s="370" t="e">
        <f>10/DAC134</f>
        <v>#DIV/0!</v>
      </c>
      <c r="DAH136" s="371">
        <v>15.38</v>
      </c>
      <c r="DAI136" s="371" t="e">
        <f>DAF136*DAG136*DAH136</f>
        <v>#DIV/0!</v>
      </c>
      <c r="DAJ136" s="367" t="s">
        <v>206</v>
      </c>
      <c r="DAK136" s="367"/>
      <c r="DAL136" s="367"/>
      <c r="DAM136" s="368" t="s">
        <v>168</v>
      </c>
      <c r="DAN136" s="369">
        <v>0.5</v>
      </c>
      <c r="DAO136" s="370" t="e">
        <f>10/DAK134</f>
        <v>#DIV/0!</v>
      </c>
      <c r="DAP136" s="371">
        <v>15.38</v>
      </c>
      <c r="DAQ136" s="371" t="e">
        <f>DAN136*DAO136*DAP136</f>
        <v>#DIV/0!</v>
      </c>
      <c r="DAR136" s="367" t="s">
        <v>206</v>
      </c>
      <c r="DAS136" s="367"/>
      <c r="DAT136" s="367"/>
      <c r="DAU136" s="368" t="s">
        <v>168</v>
      </c>
      <c r="DAV136" s="369">
        <v>0.5</v>
      </c>
      <c r="DAW136" s="370" t="e">
        <f>10/DAS134</f>
        <v>#DIV/0!</v>
      </c>
      <c r="DAX136" s="371">
        <v>15.38</v>
      </c>
      <c r="DAY136" s="371" t="e">
        <f>DAV136*DAW136*DAX136</f>
        <v>#DIV/0!</v>
      </c>
      <c r="DAZ136" s="367" t="s">
        <v>206</v>
      </c>
      <c r="DBA136" s="367"/>
      <c r="DBB136" s="367"/>
      <c r="DBC136" s="368" t="s">
        <v>168</v>
      </c>
      <c r="DBD136" s="369">
        <v>0.5</v>
      </c>
      <c r="DBE136" s="370" t="e">
        <f>10/DBA134</f>
        <v>#DIV/0!</v>
      </c>
      <c r="DBF136" s="371">
        <v>15.38</v>
      </c>
      <c r="DBG136" s="371" t="e">
        <f>DBD136*DBE136*DBF136</f>
        <v>#DIV/0!</v>
      </c>
      <c r="DBH136" s="367" t="s">
        <v>206</v>
      </c>
      <c r="DBI136" s="367"/>
      <c r="DBJ136" s="367"/>
      <c r="DBK136" s="368" t="s">
        <v>168</v>
      </c>
      <c r="DBL136" s="369">
        <v>0.5</v>
      </c>
      <c r="DBM136" s="370" t="e">
        <f>10/DBI134</f>
        <v>#DIV/0!</v>
      </c>
      <c r="DBN136" s="371">
        <v>15.38</v>
      </c>
      <c r="DBO136" s="371" t="e">
        <f>DBL136*DBM136*DBN136</f>
        <v>#DIV/0!</v>
      </c>
      <c r="DBP136" s="367" t="s">
        <v>206</v>
      </c>
      <c r="DBQ136" s="367"/>
      <c r="DBR136" s="367"/>
      <c r="DBS136" s="368" t="s">
        <v>168</v>
      </c>
      <c r="DBT136" s="369">
        <v>0.5</v>
      </c>
      <c r="DBU136" s="370" t="e">
        <f>10/DBQ134</f>
        <v>#DIV/0!</v>
      </c>
      <c r="DBV136" s="371">
        <v>15.38</v>
      </c>
      <c r="DBW136" s="371" t="e">
        <f>DBT136*DBU136*DBV136</f>
        <v>#DIV/0!</v>
      </c>
      <c r="DBX136" s="367" t="s">
        <v>206</v>
      </c>
      <c r="DBY136" s="367"/>
      <c r="DBZ136" s="367"/>
      <c r="DCA136" s="368" t="s">
        <v>168</v>
      </c>
      <c r="DCB136" s="369">
        <v>0.5</v>
      </c>
      <c r="DCC136" s="370" t="e">
        <f>10/DBY134</f>
        <v>#DIV/0!</v>
      </c>
      <c r="DCD136" s="371">
        <v>15.38</v>
      </c>
      <c r="DCE136" s="371" t="e">
        <f>DCB136*DCC136*DCD136</f>
        <v>#DIV/0!</v>
      </c>
      <c r="DCF136" s="367" t="s">
        <v>206</v>
      </c>
      <c r="DCG136" s="367"/>
      <c r="DCH136" s="367"/>
      <c r="DCI136" s="368" t="s">
        <v>168</v>
      </c>
      <c r="DCJ136" s="369">
        <v>0.5</v>
      </c>
      <c r="DCK136" s="370" t="e">
        <f>10/DCG134</f>
        <v>#DIV/0!</v>
      </c>
      <c r="DCL136" s="371">
        <v>15.38</v>
      </c>
      <c r="DCM136" s="371" t="e">
        <f>DCJ136*DCK136*DCL136</f>
        <v>#DIV/0!</v>
      </c>
      <c r="DCN136" s="367" t="s">
        <v>206</v>
      </c>
      <c r="DCO136" s="367"/>
      <c r="DCP136" s="367"/>
      <c r="DCQ136" s="368" t="s">
        <v>168</v>
      </c>
      <c r="DCR136" s="369">
        <v>0.5</v>
      </c>
      <c r="DCS136" s="370" t="e">
        <f>10/DCO134</f>
        <v>#DIV/0!</v>
      </c>
      <c r="DCT136" s="371">
        <v>15.38</v>
      </c>
      <c r="DCU136" s="371" t="e">
        <f>DCR136*DCS136*DCT136</f>
        <v>#DIV/0!</v>
      </c>
      <c r="DCV136" s="367" t="s">
        <v>206</v>
      </c>
      <c r="DCW136" s="367"/>
      <c r="DCX136" s="367"/>
      <c r="DCY136" s="368" t="s">
        <v>168</v>
      </c>
      <c r="DCZ136" s="369">
        <v>0.5</v>
      </c>
      <c r="DDA136" s="370" t="e">
        <f>10/DCW134</f>
        <v>#DIV/0!</v>
      </c>
      <c r="DDB136" s="371">
        <v>15.38</v>
      </c>
      <c r="DDC136" s="371" t="e">
        <f>DCZ136*DDA136*DDB136</f>
        <v>#DIV/0!</v>
      </c>
      <c r="DDD136" s="367" t="s">
        <v>206</v>
      </c>
      <c r="DDE136" s="367"/>
      <c r="DDF136" s="367"/>
      <c r="DDG136" s="368" t="s">
        <v>168</v>
      </c>
      <c r="DDH136" s="369">
        <v>0.5</v>
      </c>
      <c r="DDI136" s="370" t="e">
        <f>10/DDE134</f>
        <v>#DIV/0!</v>
      </c>
      <c r="DDJ136" s="371">
        <v>15.38</v>
      </c>
      <c r="DDK136" s="371" t="e">
        <f>DDH136*DDI136*DDJ136</f>
        <v>#DIV/0!</v>
      </c>
      <c r="DDL136" s="367" t="s">
        <v>206</v>
      </c>
      <c r="DDM136" s="367"/>
      <c r="DDN136" s="367"/>
      <c r="DDO136" s="368" t="s">
        <v>168</v>
      </c>
      <c r="DDP136" s="369">
        <v>0.5</v>
      </c>
      <c r="DDQ136" s="370" t="e">
        <f>10/DDM134</f>
        <v>#DIV/0!</v>
      </c>
      <c r="DDR136" s="371">
        <v>15.38</v>
      </c>
      <c r="DDS136" s="371" t="e">
        <f>DDP136*DDQ136*DDR136</f>
        <v>#DIV/0!</v>
      </c>
      <c r="DDT136" s="367" t="s">
        <v>206</v>
      </c>
      <c r="DDU136" s="367"/>
      <c r="DDV136" s="367"/>
      <c r="DDW136" s="368" t="s">
        <v>168</v>
      </c>
      <c r="DDX136" s="369">
        <v>0.5</v>
      </c>
      <c r="DDY136" s="370" t="e">
        <f>10/DDU134</f>
        <v>#DIV/0!</v>
      </c>
      <c r="DDZ136" s="371">
        <v>15.38</v>
      </c>
      <c r="DEA136" s="371" t="e">
        <f>DDX136*DDY136*DDZ136</f>
        <v>#DIV/0!</v>
      </c>
      <c r="DEB136" s="367" t="s">
        <v>206</v>
      </c>
      <c r="DEC136" s="367"/>
      <c r="DED136" s="367"/>
      <c r="DEE136" s="368" t="s">
        <v>168</v>
      </c>
      <c r="DEF136" s="369">
        <v>0.5</v>
      </c>
      <c r="DEG136" s="370" t="e">
        <f>10/DEC134</f>
        <v>#DIV/0!</v>
      </c>
      <c r="DEH136" s="371">
        <v>15.38</v>
      </c>
      <c r="DEI136" s="371" t="e">
        <f>DEF136*DEG136*DEH136</f>
        <v>#DIV/0!</v>
      </c>
      <c r="DEJ136" s="367" t="s">
        <v>206</v>
      </c>
      <c r="DEK136" s="367"/>
      <c r="DEL136" s="367"/>
      <c r="DEM136" s="368" t="s">
        <v>168</v>
      </c>
      <c r="DEN136" s="369">
        <v>0.5</v>
      </c>
      <c r="DEO136" s="370" t="e">
        <f>10/DEK134</f>
        <v>#DIV/0!</v>
      </c>
      <c r="DEP136" s="371">
        <v>15.38</v>
      </c>
      <c r="DEQ136" s="371" t="e">
        <f>DEN136*DEO136*DEP136</f>
        <v>#DIV/0!</v>
      </c>
      <c r="DER136" s="367" t="s">
        <v>206</v>
      </c>
      <c r="DES136" s="367"/>
      <c r="DET136" s="367"/>
      <c r="DEU136" s="368" t="s">
        <v>168</v>
      </c>
      <c r="DEV136" s="369">
        <v>0.5</v>
      </c>
      <c r="DEW136" s="370" t="e">
        <f>10/DES134</f>
        <v>#DIV/0!</v>
      </c>
      <c r="DEX136" s="371">
        <v>15.38</v>
      </c>
      <c r="DEY136" s="371" t="e">
        <f>DEV136*DEW136*DEX136</f>
        <v>#DIV/0!</v>
      </c>
      <c r="DEZ136" s="367" t="s">
        <v>206</v>
      </c>
      <c r="DFA136" s="367"/>
      <c r="DFB136" s="367"/>
      <c r="DFC136" s="368" t="s">
        <v>168</v>
      </c>
      <c r="DFD136" s="369">
        <v>0.5</v>
      </c>
      <c r="DFE136" s="370" t="e">
        <f>10/DFA134</f>
        <v>#DIV/0!</v>
      </c>
      <c r="DFF136" s="371">
        <v>15.38</v>
      </c>
      <c r="DFG136" s="371" t="e">
        <f>DFD136*DFE136*DFF136</f>
        <v>#DIV/0!</v>
      </c>
      <c r="DFH136" s="367" t="s">
        <v>206</v>
      </c>
      <c r="DFI136" s="367"/>
      <c r="DFJ136" s="367"/>
      <c r="DFK136" s="368" t="s">
        <v>168</v>
      </c>
      <c r="DFL136" s="369">
        <v>0.5</v>
      </c>
      <c r="DFM136" s="370" t="e">
        <f>10/DFI134</f>
        <v>#DIV/0!</v>
      </c>
      <c r="DFN136" s="371">
        <v>15.38</v>
      </c>
      <c r="DFO136" s="371" t="e">
        <f>DFL136*DFM136*DFN136</f>
        <v>#DIV/0!</v>
      </c>
      <c r="DFP136" s="367" t="s">
        <v>206</v>
      </c>
      <c r="DFQ136" s="367"/>
      <c r="DFR136" s="367"/>
      <c r="DFS136" s="368" t="s">
        <v>168</v>
      </c>
      <c r="DFT136" s="369">
        <v>0.5</v>
      </c>
      <c r="DFU136" s="370" t="e">
        <f>10/DFQ134</f>
        <v>#DIV/0!</v>
      </c>
      <c r="DFV136" s="371">
        <v>15.38</v>
      </c>
      <c r="DFW136" s="371" t="e">
        <f>DFT136*DFU136*DFV136</f>
        <v>#DIV/0!</v>
      </c>
      <c r="DFX136" s="367" t="s">
        <v>206</v>
      </c>
      <c r="DFY136" s="367"/>
      <c r="DFZ136" s="367"/>
      <c r="DGA136" s="368" t="s">
        <v>168</v>
      </c>
      <c r="DGB136" s="369">
        <v>0.5</v>
      </c>
      <c r="DGC136" s="370" t="e">
        <f>10/DFY134</f>
        <v>#DIV/0!</v>
      </c>
      <c r="DGD136" s="371">
        <v>15.38</v>
      </c>
      <c r="DGE136" s="371" t="e">
        <f>DGB136*DGC136*DGD136</f>
        <v>#DIV/0!</v>
      </c>
      <c r="DGF136" s="367" t="s">
        <v>206</v>
      </c>
      <c r="DGG136" s="367"/>
      <c r="DGH136" s="367"/>
      <c r="DGI136" s="368" t="s">
        <v>168</v>
      </c>
      <c r="DGJ136" s="369">
        <v>0.5</v>
      </c>
      <c r="DGK136" s="370" t="e">
        <f>10/DGG134</f>
        <v>#DIV/0!</v>
      </c>
      <c r="DGL136" s="371">
        <v>15.38</v>
      </c>
      <c r="DGM136" s="371" t="e">
        <f>DGJ136*DGK136*DGL136</f>
        <v>#DIV/0!</v>
      </c>
      <c r="DGN136" s="367" t="s">
        <v>206</v>
      </c>
      <c r="DGO136" s="367"/>
      <c r="DGP136" s="367"/>
      <c r="DGQ136" s="368" t="s">
        <v>168</v>
      </c>
      <c r="DGR136" s="369">
        <v>0.5</v>
      </c>
      <c r="DGS136" s="370" t="e">
        <f>10/DGO134</f>
        <v>#DIV/0!</v>
      </c>
      <c r="DGT136" s="371">
        <v>15.38</v>
      </c>
      <c r="DGU136" s="371" t="e">
        <f>DGR136*DGS136*DGT136</f>
        <v>#DIV/0!</v>
      </c>
      <c r="DGV136" s="367" t="s">
        <v>206</v>
      </c>
      <c r="DGW136" s="367"/>
      <c r="DGX136" s="367"/>
      <c r="DGY136" s="368" t="s">
        <v>168</v>
      </c>
      <c r="DGZ136" s="369">
        <v>0.5</v>
      </c>
      <c r="DHA136" s="370" t="e">
        <f>10/DGW134</f>
        <v>#DIV/0!</v>
      </c>
      <c r="DHB136" s="371">
        <v>15.38</v>
      </c>
      <c r="DHC136" s="371" t="e">
        <f>DGZ136*DHA136*DHB136</f>
        <v>#DIV/0!</v>
      </c>
      <c r="DHD136" s="367" t="s">
        <v>206</v>
      </c>
      <c r="DHE136" s="367"/>
      <c r="DHF136" s="367"/>
      <c r="DHG136" s="368" t="s">
        <v>168</v>
      </c>
      <c r="DHH136" s="369">
        <v>0.5</v>
      </c>
      <c r="DHI136" s="370" t="e">
        <f>10/DHE134</f>
        <v>#DIV/0!</v>
      </c>
      <c r="DHJ136" s="371">
        <v>15.38</v>
      </c>
      <c r="DHK136" s="371" t="e">
        <f>DHH136*DHI136*DHJ136</f>
        <v>#DIV/0!</v>
      </c>
      <c r="DHL136" s="367" t="s">
        <v>206</v>
      </c>
      <c r="DHM136" s="367"/>
      <c r="DHN136" s="367"/>
      <c r="DHO136" s="368" t="s">
        <v>168</v>
      </c>
      <c r="DHP136" s="369">
        <v>0.5</v>
      </c>
      <c r="DHQ136" s="370" t="e">
        <f>10/DHM134</f>
        <v>#DIV/0!</v>
      </c>
      <c r="DHR136" s="371">
        <v>15.38</v>
      </c>
      <c r="DHS136" s="371" t="e">
        <f>DHP136*DHQ136*DHR136</f>
        <v>#DIV/0!</v>
      </c>
      <c r="DHT136" s="367" t="s">
        <v>206</v>
      </c>
      <c r="DHU136" s="367"/>
      <c r="DHV136" s="367"/>
      <c r="DHW136" s="368" t="s">
        <v>168</v>
      </c>
      <c r="DHX136" s="369">
        <v>0.5</v>
      </c>
      <c r="DHY136" s="370" t="e">
        <f>10/DHU134</f>
        <v>#DIV/0!</v>
      </c>
      <c r="DHZ136" s="371">
        <v>15.38</v>
      </c>
      <c r="DIA136" s="371" t="e">
        <f>DHX136*DHY136*DHZ136</f>
        <v>#DIV/0!</v>
      </c>
      <c r="DIB136" s="367" t="s">
        <v>206</v>
      </c>
      <c r="DIC136" s="367"/>
      <c r="DID136" s="367"/>
      <c r="DIE136" s="368" t="s">
        <v>168</v>
      </c>
      <c r="DIF136" s="369">
        <v>0.5</v>
      </c>
      <c r="DIG136" s="370" t="e">
        <f>10/DIC134</f>
        <v>#DIV/0!</v>
      </c>
      <c r="DIH136" s="371">
        <v>15.38</v>
      </c>
      <c r="DII136" s="371" t="e">
        <f>DIF136*DIG136*DIH136</f>
        <v>#DIV/0!</v>
      </c>
      <c r="DIJ136" s="367" t="s">
        <v>206</v>
      </c>
      <c r="DIK136" s="367"/>
      <c r="DIL136" s="367"/>
      <c r="DIM136" s="368" t="s">
        <v>168</v>
      </c>
      <c r="DIN136" s="369">
        <v>0.5</v>
      </c>
      <c r="DIO136" s="370" t="e">
        <f>10/DIK134</f>
        <v>#DIV/0!</v>
      </c>
      <c r="DIP136" s="371">
        <v>15.38</v>
      </c>
      <c r="DIQ136" s="371" t="e">
        <f>DIN136*DIO136*DIP136</f>
        <v>#DIV/0!</v>
      </c>
      <c r="DIR136" s="367" t="s">
        <v>206</v>
      </c>
      <c r="DIS136" s="367"/>
      <c r="DIT136" s="367"/>
      <c r="DIU136" s="368" t="s">
        <v>168</v>
      </c>
      <c r="DIV136" s="369">
        <v>0.5</v>
      </c>
      <c r="DIW136" s="370" t="e">
        <f>10/DIS134</f>
        <v>#DIV/0!</v>
      </c>
      <c r="DIX136" s="371">
        <v>15.38</v>
      </c>
      <c r="DIY136" s="371" t="e">
        <f>DIV136*DIW136*DIX136</f>
        <v>#DIV/0!</v>
      </c>
      <c r="DIZ136" s="367" t="s">
        <v>206</v>
      </c>
      <c r="DJA136" s="367"/>
      <c r="DJB136" s="367"/>
      <c r="DJC136" s="368" t="s">
        <v>168</v>
      </c>
      <c r="DJD136" s="369">
        <v>0.5</v>
      </c>
      <c r="DJE136" s="370" t="e">
        <f>10/DJA134</f>
        <v>#DIV/0!</v>
      </c>
      <c r="DJF136" s="371">
        <v>15.38</v>
      </c>
      <c r="DJG136" s="371" t="e">
        <f>DJD136*DJE136*DJF136</f>
        <v>#DIV/0!</v>
      </c>
      <c r="DJH136" s="367" t="s">
        <v>206</v>
      </c>
      <c r="DJI136" s="367"/>
      <c r="DJJ136" s="367"/>
      <c r="DJK136" s="368" t="s">
        <v>168</v>
      </c>
      <c r="DJL136" s="369">
        <v>0.5</v>
      </c>
      <c r="DJM136" s="370" t="e">
        <f>10/DJI134</f>
        <v>#DIV/0!</v>
      </c>
      <c r="DJN136" s="371">
        <v>15.38</v>
      </c>
      <c r="DJO136" s="371" t="e">
        <f>DJL136*DJM136*DJN136</f>
        <v>#DIV/0!</v>
      </c>
      <c r="DJP136" s="367" t="s">
        <v>206</v>
      </c>
      <c r="DJQ136" s="367"/>
      <c r="DJR136" s="367"/>
      <c r="DJS136" s="368" t="s">
        <v>168</v>
      </c>
      <c r="DJT136" s="369">
        <v>0.5</v>
      </c>
      <c r="DJU136" s="370" t="e">
        <f>10/DJQ134</f>
        <v>#DIV/0!</v>
      </c>
      <c r="DJV136" s="371">
        <v>15.38</v>
      </c>
      <c r="DJW136" s="371" t="e">
        <f>DJT136*DJU136*DJV136</f>
        <v>#DIV/0!</v>
      </c>
      <c r="DJX136" s="367" t="s">
        <v>206</v>
      </c>
      <c r="DJY136" s="367"/>
      <c r="DJZ136" s="367"/>
      <c r="DKA136" s="368" t="s">
        <v>168</v>
      </c>
      <c r="DKB136" s="369">
        <v>0.5</v>
      </c>
      <c r="DKC136" s="370" t="e">
        <f>10/DJY134</f>
        <v>#DIV/0!</v>
      </c>
      <c r="DKD136" s="371">
        <v>15.38</v>
      </c>
      <c r="DKE136" s="371" t="e">
        <f>DKB136*DKC136*DKD136</f>
        <v>#DIV/0!</v>
      </c>
      <c r="DKF136" s="367" t="s">
        <v>206</v>
      </c>
      <c r="DKG136" s="367"/>
      <c r="DKH136" s="367"/>
      <c r="DKI136" s="368" t="s">
        <v>168</v>
      </c>
      <c r="DKJ136" s="369">
        <v>0.5</v>
      </c>
      <c r="DKK136" s="370" t="e">
        <f>10/DKG134</f>
        <v>#DIV/0!</v>
      </c>
      <c r="DKL136" s="371">
        <v>15.38</v>
      </c>
      <c r="DKM136" s="371" t="e">
        <f>DKJ136*DKK136*DKL136</f>
        <v>#DIV/0!</v>
      </c>
      <c r="DKN136" s="367" t="s">
        <v>206</v>
      </c>
      <c r="DKO136" s="367"/>
      <c r="DKP136" s="367"/>
      <c r="DKQ136" s="368" t="s">
        <v>168</v>
      </c>
      <c r="DKR136" s="369">
        <v>0.5</v>
      </c>
      <c r="DKS136" s="370" t="e">
        <f>10/DKO134</f>
        <v>#DIV/0!</v>
      </c>
      <c r="DKT136" s="371">
        <v>15.38</v>
      </c>
      <c r="DKU136" s="371" t="e">
        <f>DKR136*DKS136*DKT136</f>
        <v>#DIV/0!</v>
      </c>
      <c r="DKV136" s="367" t="s">
        <v>206</v>
      </c>
      <c r="DKW136" s="367"/>
      <c r="DKX136" s="367"/>
      <c r="DKY136" s="368" t="s">
        <v>168</v>
      </c>
      <c r="DKZ136" s="369">
        <v>0.5</v>
      </c>
      <c r="DLA136" s="370" t="e">
        <f>10/DKW134</f>
        <v>#DIV/0!</v>
      </c>
      <c r="DLB136" s="371">
        <v>15.38</v>
      </c>
      <c r="DLC136" s="371" t="e">
        <f>DKZ136*DLA136*DLB136</f>
        <v>#DIV/0!</v>
      </c>
      <c r="DLD136" s="367" t="s">
        <v>206</v>
      </c>
      <c r="DLE136" s="367"/>
      <c r="DLF136" s="367"/>
      <c r="DLG136" s="368" t="s">
        <v>168</v>
      </c>
      <c r="DLH136" s="369">
        <v>0.5</v>
      </c>
      <c r="DLI136" s="370" t="e">
        <f>10/DLE134</f>
        <v>#DIV/0!</v>
      </c>
      <c r="DLJ136" s="371">
        <v>15.38</v>
      </c>
      <c r="DLK136" s="371" t="e">
        <f>DLH136*DLI136*DLJ136</f>
        <v>#DIV/0!</v>
      </c>
      <c r="DLL136" s="367" t="s">
        <v>206</v>
      </c>
      <c r="DLM136" s="367"/>
      <c r="DLN136" s="367"/>
      <c r="DLO136" s="368" t="s">
        <v>168</v>
      </c>
      <c r="DLP136" s="369">
        <v>0.5</v>
      </c>
      <c r="DLQ136" s="370" t="e">
        <f>10/DLM134</f>
        <v>#DIV/0!</v>
      </c>
      <c r="DLR136" s="371">
        <v>15.38</v>
      </c>
      <c r="DLS136" s="371" t="e">
        <f>DLP136*DLQ136*DLR136</f>
        <v>#DIV/0!</v>
      </c>
      <c r="DLT136" s="367" t="s">
        <v>206</v>
      </c>
      <c r="DLU136" s="367"/>
      <c r="DLV136" s="367"/>
      <c r="DLW136" s="368" t="s">
        <v>168</v>
      </c>
      <c r="DLX136" s="369">
        <v>0.5</v>
      </c>
      <c r="DLY136" s="370" t="e">
        <f>10/DLU134</f>
        <v>#DIV/0!</v>
      </c>
      <c r="DLZ136" s="371">
        <v>15.38</v>
      </c>
      <c r="DMA136" s="371" t="e">
        <f>DLX136*DLY136*DLZ136</f>
        <v>#DIV/0!</v>
      </c>
      <c r="DMB136" s="367" t="s">
        <v>206</v>
      </c>
      <c r="DMC136" s="367"/>
      <c r="DMD136" s="367"/>
      <c r="DME136" s="368" t="s">
        <v>168</v>
      </c>
      <c r="DMF136" s="369">
        <v>0.5</v>
      </c>
      <c r="DMG136" s="370" t="e">
        <f>10/DMC134</f>
        <v>#DIV/0!</v>
      </c>
      <c r="DMH136" s="371">
        <v>15.38</v>
      </c>
      <c r="DMI136" s="371" t="e">
        <f>DMF136*DMG136*DMH136</f>
        <v>#DIV/0!</v>
      </c>
      <c r="DMJ136" s="367" t="s">
        <v>206</v>
      </c>
      <c r="DMK136" s="367"/>
      <c r="DML136" s="367"/>
      <c r="DMM136" s="368" t="s">
        <v>168</v>
      </c>
      <c r="DMN136" s="369">
        <v>0.5</v>
      </c>
      <c r="DMO136" s="370" t="e">
        <f>10/DMK134</f>
        <v>#DIV/0!</v>
      </c>
      <c r="DMP136" s="371">
        <v>15.38</v>
      </c>
      <c r="DMQ136" s="371" t="e">
        <f>DMN136*DMO136*DMP136</f>
        <v>#DIV/0!</v>
      </c>
      <c r="DMR136" s="367" t="s">
        <v>206</v>
      </c>
      <c r="DMS136" s="367"/>
      <c r="DMT136" s="367"/>
      <c r="DMU136" s="368" t="s">
        <v>168</v>
      </c>
      <c r="DMV136" s="369">
        <v>0.5</v>
      </c>
      <c r="DMW136" s="370" t="e">
        <f>10/DMS134</f>
        <v>#DIV/0!</v>
      </c>
      <c r="DMX136" s="371">
        <v>15.38</v>
      </c>
      <c r="DMY136" s="371" t="e">
        <f>DMV136*DMW136*DMX136</f>
        <v>#DIV/0!</v>
      </c>
      <c r="DMZ136" s="367" t="s">
        <v>206</v>
      </c>
      <c r="DNA136" s="367"/>
      <c r="DNB136" s="367"/>
      <c r="DNC136" s="368" t="s">
        <v>168</v>
      </c>
      <c r="DND136" s="369">
        <v>0.5</v>
      </c>
      <c r="DNE136" s="370" t="e">
        <f>10/DNA134</f>
        <v>#DIV/0!</v>
      </c>
      <c r="DNF136" s="371">
        <v>15.38</v>
      </c>
      <c r="DNG136" s="371" t="e">
        <f>DND136*DNE136*DNF136</f>
        <v>#DIV/0!</v>
      </c>
      <c r="DNH136" s="367" t="s">
        <v>206</v>
      </c>
      <c r="DNI136" s="367"/>
      <c r="DNJ136" s="367"/>
      <c r="DNK136" s="368" t="s">
        <v>168</v>
      </c>
      <c r="DNL136" s="369">
        <v>0.5</v>
      </c>
      <c r="DNM136" s="370" t="e">
        <f>10/DNI134</f>
        <v>#DIV/0!</v>
      </c>
      <c r="DNN136" s="371">
        <v>15.38</v>
      </c>
      <c r="DNO136" s="371" t="e">
        <f>DNL136*DNM136*DNN136</f>
        <v>#DIV/0!</v>
      </c>
      <c r="DNP136" s="367" t="s">
        <v>206</v>
      </c>
      <c r="DNQ136" s="367"/>
      <c r="DNR136" s="367"/>
      <c r="DNS136" s="368" t="s">
        <v>168</v>
      </c>
      <c r="DNT136" s="369">
        <v>0.5</v>
      </c>
      <c r="DNU136" s="370" t="e">
        <f>10/DNQ134</f>
        <v>#DIV/0!</v>
      </c>
      <c r="DNV136" s="371">
        <v>15.38</v>
      </c>
      <c r="DNW136" s="371" t="e">
        <f>DNT136*DNU136*DNV136</f>
        <v>#DIV/0!</v>
      </c>
      <c r="DNX136" s="367" t="s">
        <v>206</v>
      </c>
      <c r="DNY136" s="367"/>
      <c r="DNZ136" s="367"/>
      <c r="DOA136" s="368" t="s">
        <v>168</v>
      </c>
      <c r="DOB136" s="369">
        <v>0.5</v>
      </c>
      <c r="DOC136" s="370" t="e">
        <f>10/DNY134</f>
        <v>#DIV/0!</v>
      </c>
      <c r="DOD136" s="371">
        <v>15.38</v>
      </c>
      <c r="DOE136" s="371" t="e">
        <f>DOB136*DOC136*DOD136</f>
        <v>#DIV/0!</v>
      </c>
      <c r="DOF136" s="367" t="s">
        <v>206</v>
      </c>
      <c r="DOG136" s="367"/>
      <c r="DOH136" s="367"/>
      <c r="DOI136" s="368" t="s">
        <v>168</v>
      </c>
      <c r="DOJ136" s="369">
        <v>0.5</v>
      </c>
      <c r="DOK136" s="370" t="e">
        <f>10/DOG134</f>
        <v>#DIV/0!</v>
      </c>
      <c r="DOL136" s="371">
        <v>15.38</v>
      </c>
      <c r="DOM136" s="371" t="e">
        <f>DOJ136*DOK136*DOL136</f>
        <v>#DIV/0!</v>
      </c>
      <c r="DON136" s="367" t="s">
        <v>206</v>
      </c>
      <c r="DOO136" s="367"/>
      <c r="DOP136" s="367"/>
      <c r="DOQ136" s="368" t="s">
        <v>168</v>
      </c>
      <c r="DOR136" s="369">
        <v>0.5</v>
      </c>
      <c r="DOS136" s="370" t="e">
        <f>10/DOO134</f>
        <v>#DIV/0!</v>
      </c>
      <c r="DOT136" s="371">
        <v>15.38</v>
      </c>
      <c r="DOU136" s="371" t="e">
        <f>DOR136*DOS136*DOT136</f>
        <v>#DIV/0!</v>
      </c>
      <c r="DOV136" s="367" t="s">
        <v>206</v>
      </c>
      <c r="DOW136" s="367"/>
      <c r="DOX136" s="367"/>
      <c r="DOY136" s="368" t="s">
        <v>168</v>
      </c>
      <c r="DOZ136" s="369">
        <v>0.5</v>
      </c>
      <c r="DPA136" s="370" t="e">
        <f>10/DOW134</f>
        <v>#DIV/0!</v>
      </c>
      <c r="DPB136" s="371">
        <v>15.38</v>
      </c>
      <c r="DPC136" s="371" t="e">
        <f>DOZ136*DPA136*DPB136</f>
        <v>#DIV/0!</v>
      </c>
      <c r="DPD136" s="367" t="s">
        <v>206</v>
      </c>
      <c r="DPE136" s="367"/>
      <c r="DPF136" s="367"/>
      <c r="DPG136" s="368" t="s">
        <v>168</v>
      </c>
      <c r="DPH136" s="369">
        <v>0.5</v>
      </c>
      <c r="DPI136" s="370" t="e">
        <f>10/DPE134</f>
        <v>#DIV/0!</v>
      </c>
      <c r="DPJ136" s="371">
        <v>15.38</v>
      </c>
      <c r="DPK136" s="371" t="e">
        <f>DPH136*DPI136*DPJ136</f>
        <v>#DIV/0!</v>
      </c>
      <c r="DPL136" s="367" t="s">
        <v>206</v>
      </c>
      <c r="DPM136" s="367"/>
      <c r="DPN136" s="367"/>
      <c r="DPO136" s="368" t="s">
        <v>168</v>
      </c>
      <c r="DPP136" s="369">
        <v>0.5</v>
      </c>
      <c r="DPQ136" s="370" t="e">
        <f>10/DPM134</f>
        <v>#DIV/0!</v>
      </c>
      <c r="DPR136" s="371">
        <v>15.38</v>
      </c>
      <c r="DPS136" s="371" t="e">
        <f>DPP136*DPQ136*DPR136</f>
        <v>#DIV/0!</v>
      </c>
      <c r="DPT136" s="367" t="s">
        <v>206</v>
      </c>
      <c r="DPU136" s="367"/>
      <c r="DPV136" s="367"/>
      <c r="DPW136" s="368" t="s">
        <v>168</v>
      </c>
      <c r="DPX136" s="369">
        <v>0.5</v>
      </c>
      <c r="DPY136" s="370" t="e">
        <f>10/DPU134</f>
        <v>#DIV/0!</v>
      </c>
      <c r="DPZ136" s="371">
        <v>15.38</v>
      </c>
      <c r="DQA136" s="371" t="e">
        <f>DPX136*DPY136*DPZ136</f>
        <v>#DIV/0!</v>
      </c>
      <c r="DQB136" s="367" t="s">
        <v>206</v>
      </c>
      <c r="DQC136" s="367"/>
      <c r="DQD136" s="367"/>
      <c r="DQE136" s="368" t="s">
        <v>168</v>
      </c>
      <c r="DQF136" s="369">
        <v>0.5</v>
      </c>
      <c r="DQG136" s="370" t="e">
        <f>10/DQC134</f>
        <v>#DIV/0!</v>
      </c>
      <c r="DQH136" s="371">
        <v>15.38</v>
      </c>
      <c r="DQI136" s="371" t="e">
        <f>DQF136*DQG136*DQH136</f>
        <v>#DIV/0!</v>
      </c>
      <c r="DQJ136" s="367" t="s">
        <v>206</v>
      </c>
      <c r="DQK136" s="367"/>
      <c r="DQL136" s="367"/>
      <c r="DQM136" s="368" t="s">
        <v>168</v>
      </c>
      <c r="DQN136" s="369">
        <v>0.5</v>
      </c>
      <c r="DQO136" s="370" t="e">
        <f>10/DQK134</f>
        <v>#DIV/0!</v>
      </c>
      <c r="DQP136" s="371">
        <v>15.38</v>
      </c>
      <c r="DQQ136" s="371" t="e">
        <f>DQN136*DQO136*DQP136</f>
        <v>#DIV/0!</v>
      </c>
      <c r="DQR136" s="367" t="s">
        <v>206</v>
      </c>
      <c r="DQS136" s="367"/>
      <c r="DQT136" s="367"/>
      <c r="DQU136" s="368" t="s">
        <v>168</v>
      </c>
      <c r="DQV136" s="369">
        <v>0.5</v>
      </c>
      <c r="DQW136" s="370" t="e">
        <f>10/DQS134</f>
        <v>#DIV/0!</v>
      </c>
      <c r="DQX136" s="371">
        <v>15.38</v>
      </c>
      <c r="DQY136" s="371" t="e">
        <f>DQV136*DQW136*DQX136</f>
        <v>#DIV/0!</v>
      </c>
      <c r="DQZ136" s="367" t="s">
        <v>206</v>
      </c>
      <c r="DRA136" s="367"/>
      <c r="DRB136" s="367"/>
      <c r="DRC136" s="368" t="s">
        <v>168</v>
      </c>
      <c r="DRD136" s="369">
        <v>0.5</v>
      </c>
      <c r="DRE136" s="370" t="e">
        <f>10/DRA134</f>
        <v>#DIV/0!</v>
      </c>
      <c r="DRF136" s="371">
        <v>15.38</v>
      </c>
      <c r="DRG136" s="371" t="e">
        <f>DRD136*DRE136*DRF136</f>
        <v>#DIV/0!</v>
      </c>
      <c r="DRH136" s="367" t="s">
        <v>206</v>
      </c>
      <c r="DRI136" s="367"/>
      <c r="DRJ136" s="367"/>
      <c r="DRK136" s="368" t="s">
        <v>168</v>
      </c>
      <c r="DRL136" s="369">
        <v>0.5</v>
      </c>
      <c r="DRM136" s="370" t="e">
        <f>10/DRI134</f>
        <v>#DIV/0!</v>
      </c>
      <c r="DRN136" s="371">
        <v>15.38</v>
      </c>
      <c r="DRO136" s="371" t="e">
        <f>DRL136*DRM136*DRN136</f>
        <v>#DIV/0!</v>
      </c>
      <c r="DRP136" s="367" t="s">
        <v>206</v>
      </c>
      <c r="DRQ136" s="367"/>
      <c r="DRR136" s="367"/>
      <c r="DRS136" s="368" t="s">
        <v>168</v>
      </c>
      <c r="DRT136" s="369">
        <v>0.5</v>
      </c>
      <c r="DRU136" s="370" t="e">
        <f>10/DRQ134</f>
        <v>#DIV/0!</v>
      </c>
      <c r="DRV136" s="371">
        <v>15.38</v>
      </c>
      <c r="DRW136" s="371" t="e">
        <f>DRT136*DRU136*DRV136</f>
        <v>#DIV/0!</v>
      </c>
      <c r="DRX136" s="367" t="s">
        <v>206</v>
      </c>
      <c r="DRY136" s="367"/>
      <c r="DRZ136" s="367"/>
      <c r="DSA136" s="368" t="s">
        <v>168</v>
      </c>
      <c r="DSB136" s="369">
        <v>0.5</v>
      </c>
      <c r="DSC136" s="370" t="e">
        <f>10/DRY134</f>
        <v>#DIV/0!</v>
      </c>
      <c r="DSD136" s="371">
        <v>15.38</v>
      </c>
      <c r="DSE136" s="371" t="e">
        <f>DSB136*DSC136*DSD136</f>
        <v>#DIV/0!</v>
      </c>
      <c r="DSF136" s="367" t="s">
        <v>206</v>
      </c>
      <c r="DSG136" s="367"/>
      <c r="DSH136" s="367"/>
      <c r="DSI136" s="368" t="s">
        <v>168</v>
      </c>
      <c r="DSJ136" s="369">
        <v>0.5</v>
      </c>
      <c r="DSK136" s="370" t="e">
        <f>10/DSG134</f>
        <v>#DIV/0!</v>
      </c>
      <c r="DSL136" s="371">
        <v>15.38</v>
      </c>
      <c r="DSM136" s="371" t="e">
        <f>DSJ136*DSK136*DSL136</f>
        <v>#DIV/0!</v>
      </c>
      <c r="DSN136" s="367" t="s">
        <v>206</v>
      </c>
      <c r="DSO136" s="367"/>
      <c r="DSP136" s="367"/>
      <c r="DSQ136" s="368" t="s">
        <v>168</v>
      </c>
      <c r="DSR136" s="369">
        <v>0.5</v>
      </c>
      <c r="DSS136" s="370" t="e">
        <f>10/DSO134</f>
        <v>#DIV/0!</v>
      </c>
      <c r="DST136" s="371">
        <v>15.38</v>
      </c>
      <c r="DSU136" s="371" t="e">
        <f>DSR136*DSS136*DST136</f>
        <v>#DIV/0!</v>
      </c>
      <c r="DSV136" s="367" t="s">
        <v>206</v>
      </c>
      <c r="DSW136" s="367"/>
      <c r="DSX136" s="367"/>
      <c r="DSY136" s="368" t="s">
        <v>168</v>
      </c>
      <c r="DSZ136" s="369">
        <v>0.5</v>
      </c>
      <c r="DTA136" s="370" t="e">
        <f>10/DSW134</f>
        <v>#DIV/0!</v>
      </c>
      <c r="DTB136" s="371">
        <v>15.38</v>
      </c>
      <c r="DTC136" s="371" t="e">
        <f>DSZ136*DTA136*DTB136</f>
        <v>#DIV/0!</v>
      </c>
      <c r="DTD136" s="367" t="s">
        <v>206</v>
      </c>
      <c r="DTE136" s="367"/>
      <c r="DTF136" s="367"/>
      <c r="DTG136" s="368" t="s">
        <v>168</v>
      </c>
      <c r="DTH136" s="369">
        <v>0.5</v>
      </c>
      <c r="DTI136" s="370" t="e">
        <f>10/DTE134</f>
        <v>#DIV/0!</v>
      </c>
      <c r="DTJ136" s="371">
        <v>15.38</v>
      </c>
      <c r="DTK136" s="371" t="e">
        <f>DTH136*DTI136*DTJ136</f>
        <v>#DIV/0!</v>
      </c>
      <c r="DTL136" s="367" t="s">
        <v>206</v>
      </c>
      <c r="DTM136" s="367"/>
      <c r="DTN136" s="367"/>
      <c r="DTO136" s="368" t="s">
        <v>168</v>
      </c>
      <c r="DTP136" s="369">
        <v>0.5</v>
      </c>
      <c r="DTQ136" s="370" t="e">
        <f>10/DTM134</f>
        <v>#DIV/0!</v>
      </c>
      <c r="DTR136" s="371">
        <v>15.38</v>
      </c>
      <c r="DTS136" s="371" t="e">
        <f>DTP136*DTQ136*DTR136</f>
        <v>#DIV/0!</v>
      </c>
      <c r="DTT136" s="367" t="s">
        <v>206</v>
      </c>
      <c r="DTU136" s="367"/>
      <c r="DTV136" s="367"/>
      <c r="DTW136" s="368" t="s">
        <v>168</v>
      </c>
      <c r="DTX136" s="369">
        <v>0.5</v>
      </c>
      <c r="DTY136" s="370" t="e">
        <f>10/DTU134</f>
        <v>#DIV/0!</v>
      </c>
      <c r="DTZ136" s="371">
        <v>15.38</v>
      </c>
      <c r="DUA136" s="371" t="e">
        <f>DTX136*DTY136*DTZ136</f>
        <v>#DIV/0!</v>
      </c>
      <c r="DUB136" s="367" t="s">
        <v>206</v>
      </c>
      <c r="DUC136" s="367"/>
      <c r="DUD136" s="367"/>
      <c r="DUE136" s="368" t="s">
        <v>168</v>
      </c>
      <c r="DUF136" s="369">
        <v>0.5</v>
      </c>
      <c r="DUG136" s="370" t="e">
        <f>10/DUC134</f>
        <v>#DIV/0!</v>
      </c>
      <c r="DUH136" s="371">
        <v>15.38</v>
      </c>
      <c r="DUI136" s="371" t="e">
        <f>DUF136*DUG136*DUH136</f>
        <v>#DIV/0!</v>
      </c>
      <c r="DUJ136" s="367" t="s">
        <v>206</v>
      </c>
      <c r="DUK136" s="367"/>
      <c r="DUL136" s="367"/>
      <c r="DUM136" s="368" t="s">
        <v>168</v>
      </c>
      <c r="DUN136" s="369">
        <v>0.5</v>
      </c>
      <c r="DUO136" s="370" t="e">
        <f>10/DUK134</f>
        <v>#DIV/0!</v>
      </c>
      <c r="DUP136" s="371">
        <v>15.38</v>
      </c>
      <c r="DUQ136" s="371" t="e">
        <f>DUN136*DUO136*DUP136</f>
        <v>#DIV/0!</v>
      </c>
      <c r="DUR136" s="367" t="s">
        <v>206</v>
      </c>
      <c r="DUS136" s="367"/>
      <c r="DUT136" s="367"/>
      <c r="DUU136" s="368" t="s">
        <v>168</v>
      </c>
      <c r="DUV136" s="369">
        <v>0.5</v>
      </c>
      <c r="DUW136" s="370" t="e">
        <f>10/DUS134</f>
        <v>#DIV/0!</v>
      </c>
      <c r="DUX136" s="371">
        <v>15.38</v>
      </c>
      <c r="DUY136" s="371" t="e">
        <f>DUV136*DUW136*DUX136</f>
        <v>#DIV/0!</v>
      </c>
      <c r="DUZ136" s="367" t="s">
        <v>206</v>
      </c>
      <c r="DVA136" s="367"/>
      <c r="DVB136" s="367"/>
      <c r="DVC136" s="368" t="s">
        <v>168</v>
      </c>
      <c r="DVD136" s="369">
        <v>0.5</v>
      </c>
      <c r="DVE136" s="370" t="e">
        <f>10/DVA134</f>
        <v>#DIV/0!</v>
      </c>
      <c r="DVF136" s="371">
        <v>15.38</v>
      </c>
      <c r="DVG136" s="371" t="e">
        <f>DVD136*DVE136*DVF136</f>
        <v>#DIV/0!</v>
      </c>
      <c r="DVH136" s="367" t="s">
        <v>206</v>
      </c>
      <c r="DVI136" s="367"/>
      <c r="DVJ136" s="367"/>
      <c r="DVK136" s="368" t="s">
        <v>168</v>
      </c>
      <c r="DVL136" s="369">
        <v>0.5</v>
      </c>
      <c r="DVM136" s="370" t="e">
        <f>10/DVI134</f>
        <v>#DIV/0!</v>
      </c>
      <c r="DVN136" s="371">
        <v>15.38</v>
      </c>
      <c r="DVO136" s="371" t="e">
        <f>DVL136*DVM136*DVN136</f>
        <v>#DIV/0!</v>
      </c>
      <c r="DVP136" s="367" t="s">
        <v>206</v>
      </c>
      <c r="DVQ136" s="367"/>
      <c r="DVR136" s="367"/>
      <c r="DVS136" s="368" t="s">
        <v>168</v>
      </c>
      <c r="DVT136" s="369">
        <v>0.5</v>
      </c>
      <c r="DVU136" s="370" t="e">
        <f>10/DVQ134</f>
        <v>#DIV/0!</v>
      </c>
      <c r="DVV136" s="371">
        <v>15.38</v>
      </c>
      <c r="DVW136" s="371" t="e">
        <f>DVT136*DVU136*DVV136</f>
        <v>#DIV/0!</v>
      </c>
      <c r="DVX136" s="367" t="s">
        <v>206</v>
      </c>
      <c r="DVY136" s="367"/>
      <c r="DVZ136" s="367"/>
      <c r="DWA136" s="368" t="s">
        <v>168</v>
      </c>
      <c r="DWB136" s="369">
        <v>0.5</v>
      </c>
      <c r="DWC136" s="370" t="e">
        <f>10/DVY134</f>
        <v>#DIV/0!</v>
      </c>
      <c r="DWD136" s="371">
        <v>15.38</v>
      </c>
      <c r="DWE136" s="371" t="e">
        <f>DWB136*DWC136*DWD136</f>
        <v>#DIV/0!</v>
      </c>
      <c r="DWF136" s="367" t="s">
        <v>206</v>
      </c>
      <c r="DWG136" s="367"/>
      <c r="DWH136" s="367"/>
      <c r="DWI136" s="368" t="s">
        <v>168</v>
      </c>
      <c r="DWJ136" s="369">
        <v>0.5</v>
      </c>
      <c r="DWK136" s="370" t="e">
        <f>10/DWG134</f>
        <v>#DIV/0!</v>
      </c>
      <c r="DWL136" s="371">
        <v>15.38</v>
      </c>
      <c r="DWM136" s="371" t="e">
        <f>DWJ136*DWK136*DWL136</f>
        <v>#DIV/0!</v>
      </c>
      <c r="DWN136" s="367" t="s">
        <v>206</v>
      </c>
      <c r="DWO136" s="367"/>
      <c r="DWP136" s="367"/>
      <c r="DWQ136" s="368" t="s">
        <v>168</v>
      </c>
      <c r="DWR136" s="369">
        <v>0.5</v>
      </c>
      <c r="DWS136" s="370" t="e">
        <f>10/DWO134</f>
        <v>#DIV/0!</v>
      </c>
      <c r="DWT136" s="371">
        <v>15.38</v>
      </c>
      <c r="DWU136" s="371" t="e">
        <f>DWR136*DWS136*DWT136</f>
        <v>#DIV/0!</v>
      </c>
      <c r="DWV136" s="367" t="s">
        <v>206</v>
      </c>
      <c r="DWW136" s="367"/>
      <c r="DWX136" s="367"/>
      <c r="DWY136" s="368" t="s">
        <v>168</v>
      </c>
      <c r="DWZ136" s="369">
        <v>0.5</v>
      </c>
      <c r="DXA136" s="370" t="e">
        <f>10/DWW134</f>
        <v>#DIV/0!</v>
      </c>
      <c r="DXB136" s="371">
        <v>15.38</v>
      </c>
      <c r="DXC136" s="371" t="e">
        <f>DWZ136*DXA136*DXB136</f>
        <v>#DIV/0!</v>
      </c>
      <c r="DXD136" s="367" t="s">
        <v>206</v>
      </c>
      <c r="DXE136" s="367"/>
      <c r="DXF136" s="367"/>
      <c r="DXG136" s="368" t="s">
        <v>168</v>
      </c>
      <c r="DXH136" s="369">
        <v>0.5</v>
      </c>
      <c r="DXI136" s="370" t="e">
        <f>10/DXE134</f>
        <v>#DIV/0!</v>
      </c>
      <c r="DXJ136" s="371">
        <v>15.38</v>
      </c>
      <c r="DXK136" s="371" t="e">
        <f>DXH136*DXI136*DXJ136</f>
        <v>#DIV/0!</v>
      </c>
      <c r="DXL136" s="367" t="s">
        <v>206</v>
      </c>
      <c r="DXM136" s="367"/>
      <c r="DXN136" s="367"/>
      <c r="DXO136" s="368" t="s">
        <v>168</v>
      </c>
      <c r="DXP136" s="369">
        <v>0.5</v>
      </c>
      <c r="DXQ136" s="370" t="e">
        <f>10/DXM134</f>
        <v>#DIV/0!</v>
      </c>
      <c r="DXR136" s="371">
        <v>15.38</v>
      </c>
      <c r="DXS136" s="371" t="e">
        <f>DXP136*DXQ136*DXR136</f>
        <v>#DIV/0!</v>
      </c>
      <c r="DXT136" s="367" t="s">
        <v>206</v>
      </c>
      <c r="DXU136" s="367"/>
      <c r="DXV136" s="367"/>
      <c r="DXW136" s="368" t="s">
        <v>168</v>
      </c>
      <c r="DXX136" s="369">
        <v>0.5</v>
      </c>
      <c r="DXY136" s="370" t="e">
        <f>10/DXU134</f>
        <v>#DIV/0!</v>
      </c>
      <c r="DXZ136" s="371">
        <v>15.38</v>
      </c>
      <c r="DYA136" s="371" t="e">
        <f>DXX136*DXY136*DXZ136</f>
        <v>#DIV/0!</v>
      </c>
      <c r="DYB136" s="367" t="s">
        <v>206</v>
      </c>
      <c r="DYC136" s="367"/>
      <c r="DYD136" s="367"/>
      <c r="DYE136" s="368" t="s">
        <v>168</v>
      </c>
      <c r="DYF136" s="369">
        <v>0.5</v>
      </c>
      <c r="DYG136" s="370" t="e">
        <f>10/DYC134</f>
        <v>#DIV/0!</v>
      </c>
      <c r="DYH136" s="371">
        <v>15.38</v>
      </c>
      <c r="DYI136" s="371" t="e">
        <f>DYF136*DYG136*DYH136</f>
        <v>#DIV/0!</v>
      </c>
      <c r="DYJ136" s="367" t="s">
        <v>206</v>
      </c>
      <c r="DYK136" s="367"/>
      <c r="DYL136" s="367"/>
      <c r="DYM136" s="368" t="s">
        <v>168</v>
      </c>
      <c r="DYN136" s="369">
        <v>0.5</v>
      </c>
      <c r="DYO136" s="370" t="e">
        <f>10/DYK134</f>
        <v>#DIV/0!</v>
      </c>
      <c r="DYP136" s="371">
        <v>15.38</v>
      </c>
      <c r="DYQ136" s="371" t="e">
        <f>DYN136*DYO136*DYP136</f>
        <v>#DIV/0!</v>
      </c>
      <c r="DYR136" s="367" t="s">
        <v>206</v>
      </c>
      <c r="DYS136" s="367"/>
      <c r="DYT136" s="367"/>
      <c r="DYU136" s="368" t="s">
        <v>168</v>
      </c>
      <c r="DYV136" s="369">
        <v>0.5</v>
      </c>
      <c r="DYW136" s="370" t="e">
        <f>10/DYS134</f>
        <v>#DIV/0!</v>
      </c>
      <c r="DYX136" s="371">
        <v>15.38</v>
      </c>
      <c r="DYY136" s="371" t="e">
        <f>DYV136*DYW136*DYX136</f>
        <v>#DIV/0!</v>
      </c>
      <c r="DYZ136" s="367" t="s">
        <v>206</v>
      </c>
      <c r="DZA136" s="367"/>
      <c r="DZB136" s="367"/>
      <c r="DZC136" s="368" t="s">
        <v>168</v>
      </c>
      <c r="DZD136" s="369">
        <v>0.5</v>
      </c>
      <c r="DZE136" s="370" t="e">
        <f>10/DZA134</f>
        <v>#DIV/0!</v>
      </c>
      <c r="DZF136" s="371">
        <v>15.38</v>
      </c>
      <c r="DZG136" s="371" t="e">
        <f>DZD136*DZE136*DZF136</f>
        <v>#DIV/0!</v>
      </c>
      <c r="DZH136" s="367" t="s">
        <v>206</v>
      </c>
      <c r="DZI136" s="367"/>
      <c r="DZJ136" s="367"/>
      <c r="DZK136" s="368" t="s">
        <v>168</v>
      </c>
      <c r="DZL136" s="369">
        <v>0.5</v>
      </c>
      <c r="DZM136" s="370" t="e">
        <f>10/DZI134</f>
        <v>#DIV/0!</v>
      </c>
      <c r="DZN136" s="371">
        <v>15.38</v>
      </c>
      <c r="DZO136" s="371" t="e">
        <f>DZL136*DZM136*DZN136</f>
        <v>#DIV/0!</v>
      </c>
      <c r="DZP136" s="367" t="s">
        <v>206</v>
      </c>
      <c r="DZQ136" s="367"/>
      <c r="DZR136" s="367"/>
      <c r="DZS136" s="368" t="s">
        <v>168</v>
      </c>
      <c r="DZT136" s="369">
        <v>0.5</v>
      </c>
      <c r="DZU136" s="370" t="e">
        <f>10/DZQ134</f>
        <v>#DIV/0!</v>
      </c>
      <c r="DZV136" s="371">
        <v>15.38</v>
      </c>
      <c r="DZW136" s="371" t="e">
        <f>DZT136*DZU136*DZV136</f>
        <v>#DIV/0!</v>
      </c>
      <c r="DZX136" s="367" t="s">
        <v>206</v>
      </c>
      <c r="DZY136" s="367"/>
      <c r="DZZ136" s="367"/>
      <c r="EAA136" s="368" t="s">
        <v>168</v>
      </c>
      <c r="EAB136" s="369">
        <v>0.5</v>
      </c>
      <c r="EAC136" s="370" t="e">
        <f>10/DZY134</f>
        <v>#DIV/0!</v>
      </c>
      <c r="EAD136" s="371">
        <v>15.38</v>
      </c>
      <c r="EAE136" s="371" t="e">
        <f>EAB136*EAC136*EAD136</f>
        <v>#DIV/0!</v>
      </c>
      <c r="EAF136" s="367" t="s">
        <v>206</v>
      </c>
      <c r="EAG136" s="367"/>
      <c r="EAH136" s="367"/>
      <c r="EAI136" s="368" t="s">
        <v>168</v>
      </c>
      <c r="EAJ136" s="369">
        <v>0.5</v>
      </c>
      <c r="EAK136" s="370" t="e">
        <f>10/EAG134</f>
        <v>#DIV/0!</v>
      </c>
      <c r="EAL136" s="371">
        <v>15.38</v>
      </c>
      <c r="EAM136" s="371" t="e">
        <f>EAJ136*EAK136*EAL136</f>
        <v>#DIV/0!</v>
      </c>
      <c r="EAN136" s="367" t="s">
        <v>206</v>
      </c>
      <c r="EAO136" s="367"/>
      <c r="EAP136" s="367"/>
      <c r="EAQ136" s="368" t="s">
        <v>168</v>
      </c>
      <c r="EAR136" s="369">
        <v>0.5</v>
      </c>
      <c r="EAS136" s="370" t="e">
        <f>10/EAO134</f>
        <v>#DIV/0!</v>
      </c>
      <c r="EAT136" s="371">
        <v>15.38</v>
      </c>
      <c r="EAU136" s="371" t="e">
        <f>EAR136*EAS136*EAT136</f>
        <v>#DIV/0!</v>
      </c>
      <c r="EAV136" s="367" t="s">
        <v>206</v>
      </c>
      <c r="EAW136" s="367"/>
      <c r="EAX136" s="367"/>
      <c r="EAY136" s="368" t="s">
        <v>168</v>
      </c>
      <c r="EAZ136" s="369">
        <v>0.5</v>
      </c>
      <c r="EBA136" s="370" t="e">
        <f>10/EAW134</f>
        <v>#DIV/0!</v>
      </c>
      <c r="EBB136" s="371">
        <v>15.38</v>
      </c>
      <c r="EBC136" s="371" t="e">
        <f>EAZ136*EBA136*EBB136</f>
        <v>#DIV/0!</v>
      </c>
      <c r="EBD136" s="367" t="s">
        <v>206</v>
      </c>
      <c r="EBE136" s="367"/>
      <c r="EBF136" s="367"/>
      <c r="EBG136" s="368" t="s">
        <v>168</v>
      </c>
      <c r="EBH136" s="369">
        <v>0.5</v>
      </c>
      <c r="EBI136" s="370" t="e">
        <f>10/EBE134</f>
        <v>#DIV/0!</v>
      </c>
      <c r="EBJ136" s="371">
        <v>15.38</v>
      </c>
      <c r="EBK136" s="371" t="e">
        <f>EBH136*EBI136*EBJ136</f>
        <v>#DIV/0!</v>
      </c>
      <c r="EBL136" s="367" t="s">
        <v>206</v>
      </c>
      <c r="EBM136" s="367"/>
      <c r="EBN136" s="367"/>
      <c r="EBO136" s="368" t="s">
        <v>168</v>
      </c>
      <c r="EBP136" s="369">
        <v>0.5</v>
      </c>
      <c r="EBQ136" s="370" t="e">
        <f>10/EBM134</f>
        <v>#DIV/0!</v>
      </c>
      <c r="EBR136" s="371">
        <v>15.38</v>
      </c>
      <c r="EBS136" s="371" t="e">
        <f>EBP136*EBQ136*EBR136</f>
        <v>#DIV/0!</v>
      </c>
      <c r="EBT136" s="367" t="s">
        <v>206</v>
      </c>
      <c r="EBU136" s="367"/>
      <c r="EBV136" s="367"/>
      <c r="EBW136" s="368" t="s">
        <v>168</v>
      </c>
      <c r="EBX136" s="369">
        <v>0.5</v>
      </c>
      <c r="EBY136" s="370" t="e">
        <f>10/EBU134</f>
        <v>#DIV/0!</v>
      </c>
      <c r="EBZ136" s="371">
        <v>15.38</v>
      </c>
      <c r="ECA136" s="371" t="e">
        <f>EBX136*EBY136*EBZ136</f>
        <v>#DIV/0!</v>
      </c>
      <c r="ECB136" s="367" t="s">
        <v>206</v>
      </c>
      <c r="ECC136" s="367"/>
      <c r="ECD136" s="367"/>
      <c r="ECE136" s="368" t="s">
        <v>168</v>
      </c>
      <c r="ECF136" s="369">
        <v>0.5</v>
      </c>
      <c r="ECG136" s="370" t="e">
        <f>10/ECC134</f>
        <v>#DIV/0!</v>
      </c>
      <c r="ECH136" s="371">
        <v>15.38</v>
      </c>
      <c r="ECI136" s="371" t="e">
        <f>ECF136*ECG136*ECH136</f>
        <v>#DIV/0!</v>
      </c>
      <c r="ECJ136" s="367" t="s">
        <v>206</v>
      </c>
      <c r="ECK136" s="367"/>
      <c r="ECL136" s="367"/>
      <c r="ECM136" s="368" t="s">
        <v>168</v>
      </c>
      <c r="ECN136" s="369">
        <v>0.5</v>
      </c>
      <c r="ECO136" s="370" t="e">
        <f>10/ECK134</f>
        <v>#DIV/0!</v>
      </c>
      <c r="ECP136" s="371">
        <v>15.38</v>
      </c>
      <c r="ECQ136" s="371" t="e">
        <f>ECN136*ECO136*ECP136</f>
        <v>#DIV/0!</v>
      </c>
      <c r="ECR136" s="367" t="s">
        <v>206</v>
      </c>
      <c r="ECS136" s="367"/>
      <c r="ECT136" s="367"/>
      <c r="ECU136" s="368" t="s">
        <v>168</v>
      </c>
      <c r="ECV136" s="369">
        <v>0.5</v>
      </c>
      <c r="ECW136" s="370" t="e">
        <f>10/ECS134</f>
        <v>#DIV/0!</v>
      </c>
      <c r="ECX136" s="371">
        <v>15.38</v>
      </c>
      <c r="ECY136" s="371" t="e">
        <f>ECV136*ECW136*ECX136</f>
        <v>#DIV/0!</v>
      </c>
      <c r="ECZ136" s="367" t="s">
        <v>206</v>
      </c>
      <c r="EDA136" s="367"/>
      <c r="EDB136" s="367"/>
      <c r="EDC136" s="368" t="s">
        <v>168</v>
      </c>
      <c r="EDD136" s="369">
        <v>0.5</v>
      </c>
      <c r="EDE136" s="370" t="e">
        <f>10/EDA134</f>
        <v>#DIV/0!</v>
      </c>
      <c r="EDF136" s="371">
        <v>15.38</v>
      </c>
      <c r="EDG136" s="371" t="e">
        <f>EDD136*EDE136*EDF136</f>
        <v>#DIV/0!</v>
      </c>
      <c r="EDH136" s="367" t="s">
        <v>206</v>
      </c>
      <c r="EDI136" s="367"/>
      <c r="EDJ136" s="367"/>
      <c r="EDK136" s="368" t="s">
        <v>168</v>
      </c>
      <c r="EDL136" s="369">
        <v>0.5</v>
      </c>
      <c r="EDM136" s="370" t="e">
        <f>10/EDI134</f>
        <v>#DIV/0!</v>
      </c>
      <c r="EDN136" s="371">
        <v>15.38</v>
      </c>
      <c r="EDO136" s="371" t="e">
        <f>EDL136*EDM136*EDN136</f>
        <v>#DIV/0!</v>
      </c>
      <c r="EDP136" s="367" t="s">
        <v>206</v>
      </c>
      <c r="EDQ136" s="367"/>
      <c r="EDR136" s="367"/>
      <c r="EDS136" s="368" t="s">
        <v>168</v>
      </c>
      <c r="EDT136" s="369">
        <v>0.5</v>
      </c>
      <c r="EDU136" s="370" t="e">
        <f>10/EDQ134</f>
        <v>#DIV/0!</v>
      </c>
      <c r="EDV136" s="371">
        <v>15.38</v>
      </c>
      <c r="EDW136" s="371" t="e">
        <f>EDT136*EDU136*EDV136</f>
        <v>#DIV/0!</v>
      </c>
      <c r="EDX136" s="367" t="s">
        <v>206</v>
      </c>
      <c r="EDY136" s="367"/>
      <c r="EDZ136" s="367"/>
      <c r="EEA136" s="368" t="s">
        <v>168</v>
      </c>
      <c r="EEB136" s="369">
        <v>0.5</v>
      </c>
      <c r="EEC136" s="370" t="e">
        <f>10/EDY134</f>
        <v>#DIV/0!</v>
      </c>
      <c r="EED136" s="371">
        <v>15.38</v>
      </c>
      <c r="EEE136" s="371" t="e">
        <f>EEB136*EEC136*EED136</f>
        <v>#DIV/0!</v>
      </c>
      <c r="EEF136" s="367" t="s">
        <v>206</v>
      </c>
      <c r="EEG136" s="367"/>
      <c r="EEH136" s="367"/>
      <c r="EEI136" s="368" t="s">
        <v>168</v>
      </c>
      <c r="EEJ136" s="369">
        <v>0.5</v>
      </c>
      <c r="EEK136" s="370" t="e">
        <f>10/EEG134</f>
        <v>#DIV/0!</v>
      </c>
      <c r="EEL136" s="371">
        <v>15.38</v>
      </c>
      <c r="EEM136" s="371" t="e">
        <f>EEJ136*EEK136*EEL136</f>
        <v>#DIV/0!</v>
      </c>
      <c r="EEN136" s="367" t="s">
        <v>206</v>
      </c>
      <c r="EEO136" s="367"/>
      <c r="EEP136" s="367"/>
      <c r="EEQ136" s="368" t="s">
        <v>168</v>
      </c>
      <c r="EER136" s="369">
        <v>0.5</v>
      </c>
      <c r="EES136" s="370" t="e">
        <f>10/EEO134</f>
        <v>#DIV/0!</v>
      </c>
      <c r="EET136" s="371">
        <v>15.38</v>
      </c>
      <c r="EEU136" s="371" t="e">
        <f>EER136*EES136*EET136</f>
        <v>#DIV/0!</v>
      </c>
      <c r="EEV136" s="367" t="s">
        <v>206</v>
      </c>
      <c r="EEW136" s="367"/>
      <c r="EEX136" s="367"/>
      <c r="EEY136" s="368" t="s">
        <v>168</v>
      </c>
      <c r="EEZ136" s="369">
        <v>0.5</v>
      </c>
      <c r="EFA136" s="370" t="e">
        <f>10/EEW134</f>
        <v>#DIV/0!</v>
      </c>
      <c r="EFB136" s="371">
        <v>15.38</v>
      </c>
      <c r="EFC136" s="371" t="e">
        <f>EEZ136*EFA136*EFB136</f>
        <v>#DIV/0!</v>
      </c>
      <c r="EFD136" s="367" t="s">
        <v>206</v>
      </c>
      <c r="EFE136" s="367"/>
      <c r="EFF136" s="367"/>
      <c r="EFG136" s="368" t="s">
        <v>168</v>
      </c>
      <c r="EFH136" s="369">
        <v>0.5</v>
      </c>
      <c r="EFI136" s="370" t="e">
        <f>10/EFE134</f>
        <v>#DIV/0!</v>
      </c>
      <c r="EFJ136" s="371">
        <v>15.38</v>
      </c>
      <c r="EFK136" s="371" t="e">
        <f>EFH136*EFI136*EFJ136</f>
        <v>#DIV/0!</v>
      </c>
      <c r="EFL136" s="367" t="s">
        <v>206</v>
      </c>
      <c r="EFM136" s="367"/>
      <c r="EFN136" s="367"/>
      <c r="EFO136" s="368" t="s">
        <v>168</v>
      </c>
      <c r="EFP136" s="369">
        <v>0.5</v>
      </c>
      <c r="EFQ136" s="370" t="e">
        <f>10/EFM134</f>
        <v>#DIV/0!</v>
      </c>
      <c r="EFR136" s="371">
        <v>15.38</v>
      </c>
      <c r="EFS136" s="371" t="e">
        <f>EFP136*EFQ136*EFR136</f>
        <v>#DIV/0!</v>
      </c>
      <c r="EFT136" s="367" t="s">
        <v>206</v>
      </c>
      <c r="EFU136" s="367"/>
      <c r="EFV136" s="367"/>
      <c r="EFW136" s="368" t="s">
        <v>168</v>
      </c>
      <c r="EFX136" s="369">
        <v>0.5</v>
      </c>
      <c r="EFY136" s="370" t="e">
        <f>10/EFU134</f>
        <v>#DIV/0!</v>
      </c>
      <c r="EFZ136" s="371">
        <v>15.38</v>
      </c>
      <c r="EGA136" s="371" t="e">
        <f>EFX136*EFY136*EFZ136</f>
        <v>#DIV/0!</v>
      </c>
      <c r="EGB136" s="367" t="s">
        <v>206</v>
      </c>
      <c r="EGC136" s="367"/>
      <c r="EGD136" s="367"/>
      <c r="EGE136" s="368" t="s">
        <v>168</v>
      </c>
      <c r="EGF136" s="369">
        <v>0.5</v>
      </c>
      <c r="EGG136" s="370" t="e">
        <f>10/EGC134</f>
        <v>#DIV/0!</v>
      </c>
      <c r="EGH136" s="371">
        <v>15.38</v>
      </c>
      <c r="EGI136" s="371" t="e">
        <f>EGF136*EGG136*EGH136</f>
        <v>#DIV/0!</v>
      </c>
      <c r="EGJ136" s="367" t="s">
        <v>206</v>
      </c>
      <c r="EGK136" s="367"/>
      <c r="EGL136" s="367"/>
      <c r="EGM136" s="368" t="s">
        <v>168</v>
      </c>
      <c r="EGN136" s="369">
        <v>0.5</v>
      </c>
      <c r="EGO136" s="370" t="e">
        <f>10/EGK134</f>
        <v>#DIV/0!</v>
      </c>
      <c r="EGP136" s="371">
        <v>15.38</v>
      </c>
      <c r="EGQ136" s="371" t="e">
        <f>EGN136*EGO136*EGP136</f>
        <v>#DIV/0!</v>
      </c>
      <c r="EGR136" s="367" t="s">
        <v>206</v>
      </c>
      <c r="EGS136" s="367"/>
      <c r="EGT136" s="367"/>
      <c r="EGU136" s="368" t="s">
        <v>168</v>
      </c>
      <c r="EGV136" s="369">
        <v>0.5</v>
      </c>
      <c r="EGW136" s="370" t="e">
        <f>10/EGS134</f>
        <v>#DIV/0!</v>
      </c>
      <c r="EGX136" s="371">
        <v>15.38</v>
      </c>
      <c r="EGY136" s="371" t="e">
        <f>EGV136*EGW136*EGX136</f>
        <v>#DIV/0!</v>
      </c>
      <c r="EGZ136" s="367" t="s">
        <v>206</v>
      </c>
      <c r="EHA136" s="367"/>
      <c r="EHB136" s="367"/>
      <c r="EHC136" s="368" t="s">
        <v>168</v>
      </c>
      <c r="EHD136" s="369">
        <v>0.5</v>
      </c>
      <c r="EHE136" s="370" t="e">
        <f>10/EHA134</f>
        <v>#DIV/0!</v>
      </c>
      <c r="EHF136" s="371">
        <v>15.38</v>
      </c>
      <c r="EHG136" s="371" t="e">
        <f>EHD136*EHE136*EHF136</f>
        <v>#DIV/0!</v>
      </c>
      <c r="EHH136" s="367" t="s">
        <v>206</v>
      </c>
      <c r="EHI136" s="367"/>
      <c r="EHJ136" s="367"/>
      <c r="EHK136" s="368" t="s">
        <v>168</v>
      </c>
      <c r="EHL136" s="369">
        <v>0.5</v>
      </c>
      <c r="EHM136" s="370" t="e">
        <f>10/EHI134</f>
        <v>#DIV/0!</v>
      </c>
      <c r="EHN136" s="371">
        <v>15.38</v>
      </c>
      <c r="EHO136" s="371" t="e">
        <f>EHL136*EHM136*EHN136</f>
        <v>#DIV/0!</v>
      </c>
      <c r="EHP136" s="367" t="s">
        <v>206</v>
      </c>
      <c r="EHQ136" s="367"/>
      <c r="EHR136" s="367"/>
      <c r="EHS136" s="368" t="s">
        <v>168</v>
      </c>
      <c r="EHT136" s="369">
        <v>0.5</v>
      </c>
      <c r="EHU136" s="370" t="e">
        <f>10/EHQ134</f>
        <v>#DIV/0!</v>
      </c>
      <c r="EHV136" s="371">
        <v>15.38</v>
      </c>
      <c r="EHW136" s="371" t="e">
        <f>EHT136*EHU136*EHV136</f>
        <v>#DIV/0!</v>
      </c>
      <c r="EHX136" s="367" t="s">
        <v>206</v>
      </c>
      <c r="EHY136" s="367"/>
      <c r="EHZ136" s="367"/>
      <c r="EIA136" s="368" t="s">
        <v>168</v>
      </c>
      <c r="EIB136" s="369">
        <v>0.5</v>
      </c>
      <c r="EIC136" s="370" t="e">
        <f>10/EHY134</f>
        <v>#DIV/0!</v>
      </c>
      <c r="EID136" s="371">
        <v>15.38</v>
      </c>
      <c r="EIE136" s="371" t="e">
        <f>EIB136*EIC136*EID136</f>
        <v>#DIV/0!</v>
      </c>
      <c r="EIF136" s="367" t="s">
        <v>206</v>
      </c>
      <c r="EIG136" s="367"/>
      <c r="EIH136" s="367"/>
      <c r="EII136" s="368" t="s">
        <v>168</v>
      </c>
      <c r="EIJ136" s="369">
        <v>0.5</v>
      </c>
      <c r="EIK136" s="370" t="e">
        <f>10/EIG134</f>
        <v>#DIV/0!</v>
      </c>
      <c r="EIL136" s="371">
        <v>15.38</v>
      </c>
      <c r="EIM136" s="371" t="e">
        <f>EIJ136*EIK136*EIL136</f>
        <v>#DIV/0!</v>
      </c>
      <c r="EIN136" s="367" t="s">
        <v>206</v>
      </c>
      <c r="EIO136" s="367"/>
      <c r="EIP136" s="367"/>
      <c r="EIQ136" s="368" t="s">
        <v>168</v>
      </c>
      <c r="EIR136" s="369">
        <v>0.5</v>
      </c>
      <c r="EIS136" s="370" t="e">
        <f>10/EIO134</f>
        <v>#DIV/0!</v>
      </c>
      <c r="EIT136" s="371">
        <v>15.38</v>
      </c>
      <c r="EIU136" s="371" t="e">
        <f>EIR136*EIS136*EIT136</f>
        <v>#DIV/0!</v>
      </c>
      <c r="EIV136" s="367" t="s">
        <v>206</v>
      </c>
      <c r="EIW136" s="367"/>
      <c r="EIX136" s="367"/>
      <c r="EIY136" s="368" t="s">
        <v>168</v>
      </c>
      <c r="EIZ136" s="369">
        <v>0.5</v>
      </c>
      <c r="EJA136" s="370" t="e">
        <f>10/EIW134</f>
        <v>#DIV/0!</v>
      </c>
      <c r="EJB136" s="371">
        <v>15.38</v>
      </c>
      <c r="EJC136" s="371" t="e">
        <f>EIZ136*EJA136*EJB136</f>
        <v>#DIV/0!</v>
      </c>
      <c r="EJD136" s="367" t="s">
        <v>206</v>
      </c>
      <c r="EJE136" s="367"/>
      <c r="EJF136" s="367"/>
      <c r="EJG136" s="368" t="s">
        <v>168</v>
      </c>
      <c r="EJH136" s="369">
        <v>0.5</v>
      </c>
      <c r="EJI136" s="370" t="e">
        <f>10/EJE134</f>
        <v>#DIV/0!</v>
      </c>
      <c r="EJJ136" s="371">
        <v>15.38</v>
      </c>
      <c r="EJK136" s="371" t="e">
        <f>EJH136*EJI136*EJJ136</f>
        <v>#DIV/0!</v>
      </c>
      <c r="EJL136" s="367" t="s">
        <v>206</v>
      </c>
      <c r="EJM136" s="367"/>
      <c r="EJN136" s="367"/>
      <c r="EJO136" s="368" t="s">
        <v>168</v>
      </c>
      <c r="EJP136" s="369">
        <v>0.5</v>
      </c>
      <c r="EJQ136" s="370" t="e">
        <f>10/EJM134</f>
        <v>#DIV/0!</v>
      </c>
      <c r="EJR136" s="371">
        <v>15.38</v>
      </c>
      <c r="EJS136" s="371" t="e">
        <f>EJP136*EJQ136*EJR136</f>
        <v>#DIV/0!</v>
      </c>
      <c r="EJT136" s="367" t="s">
        <v>206</v>
      </c>
      <c r="EJU136" s="367"/>
      <c r="EJV136" s="367"/>
      <c r="EJW136" s="368" t="s">
        <v>168</v>
      </c>
      <c r="EJX136" s="369">
        <v>0.5</v>
      </c>
      <c r="EJY136" s="370" t="e">
        <f>10/EJU134</f>
        <v>#DIV/0!</v>
      </c>
      <c r="EJZ136" s="371">
        <v>15.38</v>
      </c>
      <c r="EKA136" s="371" t="e">
        <f>EJX136*EJY136*EJZ136</f>
        <v>#DIV/0!</v>
      </c>
      <c r="EKB136" s="367" t="s">
        <v>206</v>
      </c>
      <c r="EKC136" s="367"/>
      <c r="EKD136" s="367"/>
      <c r="EKE136" s="368" t="s">
        <v>168</v>
      </c>
      <c r="EKF136" s="369">
        <v>0.5</v>
      </c>
      <c r="EKG136" s="370" t="e">
        <f>10/EKC134</f>
        <v>#DIV/0!</v>
      </c>
      <c r="EKH136" s="371">
        <v>15.38</v>
      </c>
      <c r="EKI136" s="371" t="e">
        <f>EKF136*EKG136*EKH136</f>
        <v>#DIV/0!</v>
      </c>
      <c r="EKJ136" s="367" t="s">
        <v>206</v>
      </c>
      <c r="EKK136" s="367"/>
      <c r="EKL136" s="367"/>
      <c r="EKM136" s="368" t="s">
        <v>168</v>
      </c>
      <c r="EKN136" s="369">
        <v>0.5</v>
      </c>
      <c r="EKO136" s="370" t="e">
        <f>10/EKK134</f>
        <v>#DIV/0!</v>
      </c>
      <c r="EKP136" s="371">
        <v>15.38</v>
      </c>
      <c r="EKQ136" s="371" t="e">
        <f>EKN136*EKO136*EKP136</f>
        <v>#DIV/0!</v>
      </c>
      <c r="EKR136" s="367" t="s">
        <v>206</v>
      </c>
      <c r="EKS136" s="367"/>
      <c r="EKT136" s="367"/>
      <c r="EKU136" s="368" t="s">
        <v>168</v>
      </c>
      <c r="EKV136" s="369">
        <v>0.5</v>
      </c>
      <c r="EKW136" s="370" t="e">
        <f>10/EKS134</f>
        <v>#DIV/0!</v>
      </c>
      <c r="EKX136" s="371">
        <v>15.38</v>
      </c>
      <c r="EKY136" s="371" t="e">
        <f>EKV136*EKW136*EKX136</f>
        <v>#DIV/0!</v>
      </c>
      <c r="EKZ136" s="367" t="s">
        <v>206</v>
      </c>
      <c r="ELA136" s="367"/>
      <c r="ELB136" s="367"/>
      <c r="ELC136" s="368" t="s">
        <v>168</v>
      </c>
      <c r="ELD136" s="369">
        <v>0.5</v>
      </c>
      <c r="ELE136" s="370" t="e">
        <f>10/ELA134</f>
        <v>#DIV/0!</v>
      </c>
      <c r="ELF136" s="371">
        <v>15.38</v>
      </c>
      <c r="ELG136" s="371" t="e">
        <f>ELD136*ELE136*ELF136</f>
        <v>#DIV/0!</v>
      </c>
      <c r="ELH136" s="367" t="s">
        <v>206</v>
      </c>
      <c r="ELI136" s="367"/>
      <c r="ELJ136" s="367"/>
      <c r="ELK136" s="368" t="s">
        <v>168</v>
      </c>
      <c r="ELL136" s="369">
        <v>0.5</v>
      </c>
      <c r="ELM136" s="370" t="e">
        <f>10/ELI134</f>
        <v>#DIV/0!</v>
      </c>
      <c r="ELN136" s="371">
        <v>15.38</v>
      </c>
      <c r="ELO136" s="371" t="e">
        <f>ELL136*ELM136*ELN136</f>
        <v>#DIV/0!</v>
      </c>
      <c r="ELP136" s="367" t="s">
        <v>206</v>
      </c>
      <c r="ELQ136" s="367"/>
      <c r="ELR136" s="367"/>
      <c r="ELS136" s="368" t="s">
        <v>168</v>
      </c>
      <c r="ELT136" s="369">
        <v>0.5</v>
      </c>
      <c r="ELU136" s="370" t="e">
        <f>10/ELQ134</f>
        <v>#DIV/0!</v>
      </c>
      <c r="ELV136" s="371">
        <v>15.38</v>
      </c>
      <c r="ELW136" s="371" t="e">
        <f>ELT136*ELU136*ELV136</f>
        <v>#DIV/0!</v>
      </c>
      <c r="ELX136" s="367" t="s">
        <v>206</v>
      </c>
      <c r="ELY136" s="367"/>
      <c r="ELZ136" s="367"/>
      <c r="EMA136" s="368" t="s">
        <v>168</v>
      </c>
      <c r="EMB136" s="369">
        <v>0.5</v>
      </c>
      <c r="EMC136" s="370" t="e">
        <f>10/ELY134</f>
        <v>#DIV/0!</v>
      </c>
      <c r="EMD136" s="371">
        <v>15.38</v>
      </c>
      <c r="EME136" s="371" t="e">
        <f>EMB136*EMC136*EMD136</f>
        <v>#DIV/0!</v>
      </c>
      <c r="EMF136" s="367" t="s">
        <v>206</v>
      </c>
      <c r="EMG136" s="367"/>
      <c r="EMH136" s="367"/>
      <c r="EMI136" s="368" t="s">
        <v>168</v>
      </c>
      <c r="EMJ136" s="369">
        <v>0.5</v>
      </c>
      <c r="EMK136" s="370" t="e">
        <f>10/EMG134</f>
        <v>#DIV/0!</v>
      </c>
      <c r="EML136" s="371">
        <v>15.38</v>
      </c>
      <c r="EMM136" s="371" t="e">
        <f>EMJ136*EMK136*EML136</f>
        <v>#DIV/0!</v>
      </c>
      <c r="EMN136" s="367" t="s">
        <v>206</v>
      </c>
      <c r="EMO136" s="367"/>
      <c r="EMP136" s="367"/>
      <c r="EMQ136" s="368" t="s">
        <v>168</v>
      </c>
      <c r="EMR136" s="369">
        <v>0.5</v>
      </c>
      <c r="EMS136" s="370" t="e">
        <f>10/EMO134</f>
        <v>#DIV/0!</v>
      </c>
      <c r="EMT136" s="371">
        <v>15.38</v>
      </c>
      <c r="EMU136" s="371" t="e">
        <f>EMR136*EMS136*EMT136</f>
        <v>#DIV/0!</v>
      </c>
      <c r="EMV136" s="367" t="s">
        <v>206</v>
      </c>
      <c r="EMW136" s="367"/>
      <c r="EMX136" s="367"/>
      <c r="EMY136" s="368" t="s">
        <v>168</v>
      </c>
      <c r="EMZ136" s="369">
        <v>0.5</v>
      </c>
      <c r="ENA136" s="370" t="e">
        <f>10/EMW134</f>
        <v>#DIV/0!</v>
      </c>
      <c r="ENB136" s="371">
        <v>15.38</v>
      </c>
      <c r="ENC136" s="371" t="e">
        <f>EMZ136*ENA136*ENB136</f>
        <v>#DIV/0!</v>
      </c>
      <c r="END136" s="367" t="s">
        <v>206</v>
      </c>
      <c r="ENE136" s="367"/>
      <c r="ENF136" s="367"/>
      <c r="ENG136" s="368" t="s">
        <v>168</v>
      </c>
      <c r="ENH136" s="369">
        <v>0.5</v>
      </c>
      <c r="ENI136" s="370" t="e">
        <f>10/ENE134</f>
        <v>#DIV/0!</v>
      </c>
      <c r="ENJ136" s="371">
        <v>15.38</v>
      </c>
      <c r="ENK136" s="371" t="e">
        <f>ENH136*ENI136*ENJ136</f>
        <v>#DIV/0!</v>
      </c>
      <c r="ENL136" s="367" t="s">
        <v>206</v>
      </c>
      <c r="ENM136" s="367"/>
      <c r="ENN136" s="367"/>
      <c r="ENO136" s="368" t="s">
        <v>168</v>
      </c>
      <c r="ENP136" s="369">
        <v>0.5</v>
      </c>
      <c r="ENQ136" s="370" t="e">
        <f>10/ENM134</f>
        <v>#DIV/0!</v>
      </c>
      <c r="ENR136" s="371">
        <v>15.38</v>
      </c>
      <c r="ENS136" s="371" t="e">
        <f>ENP136*ENQ136*ENR136</f>
        <v>#DIV/0!</v>
      </c>
      <c r="ENT136" s="367" t="s">
        <v>206</v>
      </c>
      <c r="ENU136" s="367"/>
      <c r="ENV136" s="367"/>
      <c r="ENW136" s="368" t="s">
        <v>168</v>
      </c>
      <c r="ENX136" s="369">
        <v>0.5</v>
      </c>
      <c r="ENY136" s="370" t="e">
        <f>10/ENU134</f>
        <v>#DIV/0!</v>
      </c>
      <c r="ENZ136" s="371">
        <v>15.38</v>
      </c>
      <c r="EOA136" s="371" t="e">
        <f>ENX136*ENY136*ENZ136</f>
        <v>#DIV/0!</v>
      </c>
      <c r="EOB136" s="367" t="s">
        <v>206</v>
      </c>
      <c r="EOC136" s="367"/>
      <c r="EOD136" s="367"/>
      <c r="EOE136" s="368" t="s">
        <v>168</v>
      </c>
      <c r="EOF136" s="369">
        <v>0.5</v>
      </c>
      <c r="EOG136" s="370" t="e">
        <f>10/EOC134</f>
        <v>#DIV/0!</v>
      </c>
      <c r="EOH136" s="371">
        <v>15.38</v>
      </c>
      <c r="EOI136" s="371" t="e">
        <f>EOF136*EOG136*EOH136</f>
        <v>#DIV/0!</v>
      </c>
      <c r="EOJ136" s="367" t="s">
        <v>206</v>
      </c>
      <c r="EOK136" s="367"/>
      <c r="EOL136" s="367"/>
      <c r="EOM136" s="368" t="s">
        <v>168</v>
      </c>
      <c r="EON136" s="369">
        <v>0.5</v>
      </c>
      <c r="EOO136" s="370" t="e">
        <f>10/EOK134</f>
        <v>#DIV/0!</v>
      </c>
      <c r="EOP136" s="371">
        <v>15.38</v>
      </c>
      <c r="EOQ136" s="371" t="e">
        <f>EON136*EOO136*EOP136</f>
        <v>#DIV/0!</v>
      </c>
      <c r="EOR136" s="367" t="s">
        <v>206</v>
      </c>
      <c r="EOS136" s="367"/>
      <c r="EOT136" s="367"/>
      <c r="EOU136" s="368" t="s">
        <v>168</v>
      </c>
      <c r="EOV136" s="369">
        <v>0.5</v>
      </c>
      <c r="EOW136" s="370" t="e">
        <f>10/EOS134</f>
        <v>#DIV/0!</v>
      </c>
      <c r="EOX136" s="371">
        <v>15.38</v>
      </c>
      <c r="EOY136" s="371" t="e">
        <f>EOV136*EOW136*EOX136</f>
        <v>#DIV/0!</v>
      </c>
      <c r="EOZ136" s="367" t="s">
        <v>206</v>
      </c>
      <c r="EPA136" s="367"/>
      <c r="EPB136" s="367"/>
      <c r="EPC136" s="368" t="s">
        <v>168</v>
      </c>
      <c r="EPD136" s="369">
        <v>0.5</v>
      </c>
      <c r="EPE136" s="370" t="e">
        <f>10/EPA134</f>
        <v>#DIV/0!</v>
      </c>
      <c r="EPF136" s="371">
        <v>15.38</v>
      </c>
      <c r="EPG136" s="371" t="e">
        <f>EPD136*EPE136*EPF136</f>
        <v>#DIV/0!</v>
      </c>
      <c r="EPH136" s="367" t="s">
        <v>206</v>
      </c>
      <c r="EPI136" s="367"/>
      <c r="EPJ136" s="367"/>
      <c r="EPK136" s="368" t="s">
        <v>168</v>
      </c>
      <c r="EPL136" s="369">
        <v>0.5</v>
      </c>
      <c r="EPM136" s="370" t="e">
        <f>10/EPI134</f>
        <v>#DIV/0!</v>
      </c>
      <c r="EPN136" s="371">
        <v>15.38</v>
      </c>
      <c r="EPO136" s="371" t="e">
        <f>EPL136*EPM136*EPN136</f>
        <v>#DIV/0!</v>
      </c>
      <c r="EPP136" s="367" t="s">
        <v>206</v>
      </c>
      <c r="EPQ136" s="367"/>
      <c r="EPR136" s="367"/>
      <c r="EPS136" s="368" t="s">
        <v>168</v>
      </c>
      <c r="EPT136" s="369">
        <v>0.5</v>
      </c>
      <c r="EPU136" s="370" t="e">
        <f>10/EPQ134</f>
        <v>#DIV/0!</v>
      </c>
      <c r="EPV136" s="371">
        <v>15.38</v>
      </c>
      <c r="EPW136" s="371" t="e">
        <f>EPT136*EPU136*EPV136</f>
        <v>#DIV/0!</v>
      </c>
      <c r="EPX136" s="367" t="s">
        <v>206</v>
      </c>
      <c r="EPY136" s="367"/>
      <c r="EPZ136" s="367"/>
      <c r="EQA136" s="368" t="s">
        <v>168</v>
      </c>
      <c r="EQB136" s="369">
        <v>0.5</v>
      </c>
      <c r="EQC136" s="370" t="e">
        <f>10/EPY134</f>
        <v>#DIV/0!</v>
      </c>
      <c r="EQD136" s="371">
        <v>15.38</v>
      </c>
      <c r="EQE136" s="371" t="e">
        <f>EQB136*EQC136*EQD136</f>
        <v>#DIV/0!</v>
      </c>
      <c r="EQF136" s="367" t="s">
        <v>206</v>
      </c>
      <c r="EQG136" s="367"/>
      <c r="EQH136" s="367"/>
      <c r="EQI136" s="368" t="s">
        <v>168</v>
      </c>
      <c r="EQJ136" s="369">
        <v>0.5</v>
      </c>
      <c r="EQK136" s="370" t="e">
        <f>10/EQG134</f>
        <v>#DIV/0!</v>
      </c>
      <c r="EQL136" s="371">
        <v>15.38</v>
      </c>
      <c r="EQM136" s="371" t="e">
        <f>EQJ136*EQK136*EQL136</f>
        <v>#DIV/0!</v>
      </c>
      <c r="EQN136" s="367" t="s">
        <v>206</v>
      </c>
      <c r="EQO136" s="367"/>
      <c r="EQP136" s="367"/>
      <c r="EQQ136" s="368" t="s">
        <v>168</v>
      </c>
      <c r="EQR136" s="369">
        <v>0.5</v>
      </c>
      <c r="EQS136" s="370" t="e">
        <f>10/EQO134</f>
        <v>#DIV/0!</v>
      </c>
      <c r="EQT136" s="371">
        <v>15.38</v>
      </c>
      <c r="EQU136" s="371" t="e">
        <f>EQR136*EQS136*EQT136</f>
        <v>#DIV/0!</v>
      </c>
      <c r="EQV136" s="367" t="s">
        <v>206</v>
      </c>
      <c r="EQW136" s="367"/>
      <c r="EQX136" s="367"/>
      <c r="EQY136" s="368" t="s">
        <v>168</v>
      </c>
      <c r="EQZ136" s="369">
        <v>0.5</v>
      </c>
      <c r="ERA136" s="370" t="e">
        <f>10/EQW134</f>
        <v>#DIV/0!</v>
      </c>
      <c r="ERB136" s="371">
        <v>15.38</v>
      </c>
      <c r="ERC136" s="371" t="e">
        <f>EQZ136*ERA136*ERB136</f>
        <v>#DIV/0!</v>
      </c>
      <c r="ERD136" s="367" t="s">
        <v>206</v>
      </c>
      <c r="ERE136" s="367"/>
      <c r="ERF136" s="367"/>
      <c r="ERG136" s="368" t="s">
        <v>168</v>
      </c>
      <c r="ERH136" s="369">
        <v>0.5</v>
      </c>
      <c r="ERI136" s="370" t="e">
        <f>10/ERE134</f>
        <v>#DIV/0!</v>
      </c>
      <c r="ERJ136" s="371">
        <v>15.38</v>
      </c>
      <c r="ERK136" s="371" t="e">
        <f>ERH136*ERI136*ERJ136</f>
        <v>#DIV/0!</v>
      </c>
      <c r="ERL136" s="367" t="s">
        <v>206</v>
      </c>
      <c r="ERM136" s="367"/>
      <c r="ERN136" s="367"/>
      <c r="ERO136" s="368" t="s">
        <v>168</v>
      </c>
      <c r="ERP136" s="369">
        <v>0.5</v>
      </c>
      <c r="ERQ136" s="370" t="e">
        <f>10/ERM134</f>
        <v>#DIV/0!</v>
      </c>
      <c r="ERR136" s="371">
        <v>15.38</v>
      </c>
      <c r="ERS136" s="371" t="e">
        <f>ERP136*ERQ136*ERR136</f>
        <v>#DIV/0!</v>
      </c>
      <c r="ERT136" s="367" t="s">
        <v>206</v>
      </c>
      <c r="ERU136" s="367"/>
      <c r="ERV136" s="367"/>
      <c r="ERW136" s="368" t="s">
        <v>168</v>
      </c>
      <c r="ERX136" s="369">
        <v>0.5</v>
      </c>
      <c r="ERY136" s="370" t="e">
        <f>10/ERU134</f>
        <v>#DIV/0!</v>
      </c>
      <c r="ERZ136" s="371">
        <v>15.38</v>
      </c>
      <c r="ESA136" s="371" t="e">
        <f>ERX136*ERY136*ERZ136</f>
        <v>#DIV/0!</v>
      </c>
      <c r="ESB136" s="367" t="s">
        <v>206</v>
      </c>
      <c r="ESC136" s="367"/>
      <c r="ESD136" s="367"/>
      <c r="ESE136" s="368" t="s">
        <v>168</v>
      </c>
      <c r="ESF136" s="369">
        <v>0.5</v>
      </c>
      <c r="ESG136" s="370" t="e">
        <f>10/ESC134</f>
        <v>#DIV/0!</v>
      </c>
      <c r="ESH136" s="371">
        <v>15.38</v>
      </c>
      <c r="ESI136" s="371" t="e">
        <f>ESF136*ESG136*ESH136</f>
        <v>#DIV/0!</v>
      </c>
      <c r="ESJ136" s="367" t="s">
        <v>206</v>
      </c>
      <c r="ESK136" s="367"/>
      <c r="ESL136" s="367"/>
      <c r="ESM136" s="368" t="s">
        <v>168</v>
      </c>
      <c r="ESN136" s="369">
        <v>0.5</v>
      </c>
      <c r="ESO136" s="370" t="e">
        <f>10/ESK134</f>
        <v>#DIV/0!</v>
      </c>
      <c r="ESP136" s="371">
        <v>15.38</v>
      </c>
      <c r="ESQ136" s="371" t="e">
        <f>ESN136*ESO136*ESP136</f>
        <v>#DIV/0!</v>
      </c>
      <c r="ESR136" s="367" t="s">
        <v>206</v>
      </c>
      <c r="ESS136" s="367"/>
      <c r="EST136" s="367"/>
      <c r="ESU136" s="368" t="s">
        <v>168</v>
      </c>
      <c r="ESV136" s="369">
        <v>0.5</v>
      </c>
      <c r="ESW136" s="370" t="e">
        <f>10/ESS134</f>
        <v>#DIV/0!</v>
      </c>
      <c r="ESX136" s="371">
        <v>15.38</v>
      </c>
      <c r="ESY136" s="371" t="e">
        <f>ESV136*ESW136*ESX136</f>
        <v>#DIV/0!</v>
      </c>
      <c r="ESZ136" s="367" t="s">
        <v>206</v>
      </c>
      <c r="ETA136" s="367"/>
      <c r="ETB136" s="367"/>
      <c r="ETC136" s="368" t="s">
        <v>168</v>
      </c>
      <c r="ETD136" s="369">
        <v>0.5</v>
      </c>
      <c r="ETE136" s="370" t="e">
        <f>10/ETA134</f>
        <v>#DIV/0!</v>
      </c>
      <c r="ETF136" s="371">
        <v>15.38</v>
      </c>
      <c r="ETG136" s="371" t="e">
        <f>ETD136*ETE136*ETF136</f>
        <v>#DIV/0!</v>
      </c>
      <c r="ETH136" s="367" t="s">
        <v>206</v>
      </c>
      <c r="ETI136" s="367"/>
      <c r="ETJ136" s="367"/>
      <c r="ETK136" s="368" t="s">
        <v>168</v>
      </c>
      <c r="ETL136" s="369">
        <v>0.5</v>
      </c>
      <c r="ETM136" s="370" t="e">
        <f>10/ETI134</f>
        <v>#DIV/0!</v>
      </c>
      <c r="ETN136" s="371">
        <v>15.38</v>
      </c>
      <c r="ETO136" s="371" t="e">
        <f>ETL136*ETM136*ETN136</f>
        <v>#DIV/0!</v>
      </c>
      <c r="ETP136" s="367" t="s">
        <v>206</v>
      </c>
      <c r="ETQ136" s="367"/>
      <c r="ETR136" s="367"/>
      <c r="ETS136" s="368" t="s">
        <v>168</v>
      </c>
      <c r="ETT136" s="369">
        <v>0.5</v>
      </c>
      <c r="ETU136" s="370" t="e">
        <f>10/ETQ134</f>
        <v>#DIV/0!</v>
      </c>
      <c r="ETV136" s="371">
        <v>15.38</v>
      </c>
      <c r="ETW136" s="371" t="e">
        <f>ETT136*ETU136*ETV136</f>
        <v>#DIV/0!</v>
      </c>
      <c r="ETX136" s="367" t="s">
        <v>206</v>
      </c>
      <c r="ETY136" s="367"/>
      <c r="ETZ136" s="367"/>
      <c r="EUA136" s="368" t="s">
        <v>168</v>
      </c>
      <c r="EUB136" s="369">
        <v>0.5</v>
      </c>
      <c r="EUC136" s="370" t="e">
        <f>10/ETY134</f>
        <v>#DIV/0!</v>
      </c>
      <c r="EUD136" s="371">
        <v>15.38</v>
      </c>
      <c r="EUE136" s="371" t="e">
        <f>EUB136*EUC136*EUD136</f>
        <v>#DIV/0!</v>
      </c>
      <c r="EUF136" s="367" t="s">
        <v>206</v>
      </c>
      <c r="EUG136" s="367"/>
      <c r="EUH136" s="367"/>
      <c r="EUI136" s="368" t="s">
        <v>168</v>
      </c>
      <c r="EUJ136" s="369">
        <v>0.5</v>
      </c>
      <c r="EUK136" s="370" t="e">
        <f>10/EUG134</f>
        <v>#DIV/0!</v>
      </c>
      <c r="EUL136" s="371">
        <v>15.38</v>
      </c>
      <c r="EUM136" s="371" t="e">
        <f>EUJ136*EUK136*EUL136</f>
        <v>#DIV/0!</v>
      </c>
      <c r="EUN136" s="367" t="s">
        <v>206</v>
      </c>
      <c r="EUO136" s="367"/>
      <c r="EUP136" s="367"/>
      <c r="EUQ136" s="368" t="s">
        <v>168</v>
      </c>
      <c r="EUR136" s="369">
        <v>0.5</v>
      </c>
      <c r="EUS136" s="370" t="e">
        <f>10/EUO134</f>
        <v>#DIV/0!</v>
      </c>
      <c r="EUT136" s="371">
        <v>15.38</v>
      </c>
      <c r="EUU136" s="371" t="e">
        <f>EUR136*EUS136*EUT136</f>
        <v>#DIV/0!</v>
      </c>
      <c r="EUV136" s="367" t="s">
        <v>206</v>
      </c>
      <c r="EUW136" s="367"/>
      <c r="EUX136" s="367"/>
      <c r="EUY136" s="368" t="s">
        <v>168</v>
      </c>
      <c r="EUZ136" s="369">
        <v>0.5</v>
      </c>
      <c r="EVA136" s="370" t="e">
        <f>10/EUW134</f>
        <v>#DIV/0!</v>
      </c>
      <c r="EVB136" s="371">
        <v>15.38</v>
      </c>
      <c r="EVC136" s="371" t="e">
        <f>EUZ136*EVA136*EVB136</f>
        <v>#DIV/0!</v>
      </c>
      <c r="EVD136" s="367" t="s">
        <v>206</v>
      </c>
      <c r="EVE136" s="367"/>
      <c r="EVF136" s="367"/>
      <c r="EVG136" s="368" t="s">
        <v>168</v>
      </c>
      <c r="EVH136" s="369">
        <v>0.5</v>
      </c>
      <c r="EVI136" s="370" t="e">
        <f>10/EVE134</f>
        <v>#DIV/0!</v>
      </c>
      <c r="EVJ136" s="371">
        <v>15.38</v>
      </c>
      <c r="EVK136" s="371" t="e">
        <f>EVH136*EVI136*EVJ136</f>
        <v>#DIV/0!</v>
      </c>
      <c r="EVL136" s="367" t="s">
        <v>206</v>
      </c>
      <c r="EVM136" s="367"/>
      <c r="EVN136" s="367"/>
      <c r="EVO136" s="368" t="s">
        <v>168</v>
      </c>
      <c r="EVP136" s="369">
        <v>0.5</v>
      </c>
      <c r="EVQ136" s="370" t="e">
        <f>10/EVM134</f>
        <v>#DIV/0!</v>
      </c>
      <c r="EVR136" s="371">
        <v>15.38</v>
      </c>
      <c r="EVS136" s="371" t="e">
        <f>EVP136*EVQ136*EVR136</f>
        <v>#DIV/0!</v>
      </c>
      <c r="EVT136" s="367" t="s">
        <v>206</v>
      </c>
      <c r="EVU136" s="367"/>
      <c r="EVV136" s="367"/>
      <c r="EVW136" s="368" t="s">
        <v>168</v>
      </c>
      <c r="EVX136" s="369">
        <v>0.5</v>
      </c>
      <c r="EVY136" s="370" t="e">
        <f>10/EVU134</f>
        <v>#DIV/0!</v>
      </c>
      <c r="EVZ136" s="371">
        <v>15.38</v>
      </c>
      <c r="EWA136" s="371" t="e">
        <f>EVX136*EVY136*EVZ136</f>
        <v>#DIV/0!</v>
      </c>
      <c r="EWB136" s="367" t="s">
        <v>206</v>
      </c>
      <c r="EWC136" s="367"/>
      <c r="EWD136" s="367"/>
      <c r="EWE136" s="368" t="s">
        <v>168</v>
      </c>
      <c r="EWF136" s="369">
        <v>0.5</v>
      </c>
      <c r="EWG136" s="370" t="e">
        <f>10/EWC134</f>
        <v>#DIV/0!</v>
      </c>
      <c r="EWH136" s="371">
        <v>15.38</v>
      </c>
      <c r="EWI136" s="371" t="e">
        <f>EWF136*EWG136*EWH136</f>
        <v>#DIV/0!</v>
      </c>
      <c r="EWJ136" s="367" t="s">
        <v>206</v>
      </c>
      <c r="EWK136" s="367"/>
      <c r="EWL136" s="367"/>
      <c r="EWM136" s="368" t="s">
        <v>168</v>
      </c>
      <c r="EWN136" s="369">
        <v>0.5</v>
      </c>
      <c r="EWO136" s="370" t="e">
        <f>10/EWK134</f>
        <v>#DIV/0!</v>
      </c>
      <c r="EWP136" s="371">
        <v>15.38</v>
      </c>
      <c r="EWQ136" s="371" t="e">
        <f>EWN136*EWO136*EWP136</f>
        <v>#DIV/0!</v>
      </c>
      <c r="EWR136" s="367" t="s">
        <v>206</v>
      </c>
      <c r="EWS136" s="367"/>
      <c r="EWT136" s="367"/>
      <c r="EWU136" s="368" t="s">
        <v>168</v>
      </c>
      <c r="EWV136" s="369">
        <v>0.5</v>
      </c>
      <c r="EWW136" s="370" t="e">
        <f>10/EWS134</f>
        <v>#DIV/0!</v>
      </c>
      <c r="EWX136" s="371">
        <v>15.38</v>
      </c>
      <c r="EWY136" s="371" t="e">
        <f>EWV136*EWW136*EWX136</f>
        <v>#DIV/0!</v>
      </c>
      <c r="EWZ136" s="367" t="s">
        <v>206</v>
      </c>
      <c r="EXA136" s="367"/>
      <c r="EXB136" s="367"/>
      <c r="EXC136" s="368" t="s">
        <v>168</v>
      </c>
      <c r="EXD136" s="369">
        <v>0.5</v>
      </c>
      <c r="EXE136" s="370" t="e">
        <f>10/EXA134</f>
        <v>#DIV/0!</v>
      </c>
      <c r="EXF136" s="371">
        <v>15.38</v>
      </c>
      <c r="EXG136" s="371" t="e">
        <f>EXD136*EXE136*EXF136</f>
        <v>#DIV/0!</v>
      </c>
      <c r="EXH136" s="367" t="s">
        <v>206</v>
      </c>
      <c r="EXI136" s="367"/>
      <c r="EXJ136" s="367"/>
      <c r="EXK136" s="368" t="s">
        <v>168</v>
      </c>
      <c r="EXL136" s="369">
        <v>0.5</v>
      </c>
      <c r="EXM136" s="370" t="e">
        <f>10/EXI134</f>
        <v>#DIV/0!</v>
      </c>
      <c r="EXN136" s="371">
        <v>15.38</v>
      </c>
      <c r="EXO136" s="371" t="e">
        <f>EXL136*EXM136*EXN136</f>
        <v>#DIV/0!</v>
      </c>
      <c r="EXP136" s="367" t="s">
        <v>206</v>
      </c>
      <c r="EXQ136" s="367"/>
      <c r="EXR136" s="367"/>
      <c r="EXS136" s="368" t="s">
        <v>168</v>
      </c>
      <c r="EXT136" s="369">
        <v>0.5</v>
      </c>
      <c r="EXU136" s="370" t="e">
        <f>10/EXQ134</f>
        <v>#DIV/0!</v>
      </c>
      <c r="EXV136" s="371">
        <v>15.38</v>
      </c>
      <c r="EXW136" s="371" t="e">
        <f>EXT136*EXU136*EXV136</f>
        <v>#DIV/0!</v>
      </c>
      <c r="EXX136" s="367" t="s">
        <v>206</v>
      </c>
      <c r="EXY136" s="367"/>
      <c r="EXZ136" s="367"/>
      <c r="EYA136" s="368" t="s">
        <v>168</v>
      </c>
      <c r="EYB136" s="369">
        <v>0.5</v>
      </c>
      <c r="EYC136" s="370" t="e">
        <f>10/EXY134</f>
        <v>#DIV/0!</v>
      </c>
      <c r="EYD136" s="371">
        <v>15.38</v>
      </c>
      <c r="EYE136" s="371" t="e">
        <f>EYB136*EYC136*EYD136</f>
        <v>#DIV/0!</v>
      </c>
      <c r="EYF136" s="367" t="s">
        <v>206</v>
      </c>
      <c r="EYG136" s="367"/>
      <c r="EYH136" s="367"/>
      <c r="EYI136" s="368" t="s">
        <v>168</v>
      </c>
      <c r="EYJ136" s="369">
        <v>0.5</v>
      </c>
      <c r="EYK136" s="370" t="e">
        <f>10/EYG134</f>
        <v>#DIV/0!</v>
      </c>
      <c r="EYL136" s="371">
        <v>15.38</v>
      </c>
      <c r="EYM136" s="371" t="e">
        <f>EYJ136*EYK136*EYL136</f>
        <v>#DIV/0!</v>
      </c>
      <c r="EYN136" s="367" t="s">
        <v>206</v>
      </c>
      <c r="EYO136" s="367"/>
      <c r="EYP136" s="367"/>
      <c r="EYQ136" s="368" t="s">
        <v>168</v>
      </c>
      <c r="EYR136" s="369">
        <v>0.5</v>
      </c>
      <c r="EYS136" s="370" t="e">
        <f>10/EYO134</f>
        <v>#DIV/0!</v>
      </c>
      <c r="EYT136" s="371">
        <v>15.38</v>
      </c>
      <c r="EYU136" s="371" t="e">
        <f>EYR136*EYS136*EYT136</f>
        <v>#DIV/0!</v>
      </c>
      <c r="EYV136" s="367" t="s">
        <v>206</v>
      </c>
      <c r="EYW136" s="367"/>
      <c r="EYX136" s="367"/>
      <c r="EYY136" s="368" t="s">
        <v>168</v>
      </c>
      <c r="EYZ136" s="369">
        <v>0.5</v>
      </c>
      <c r="EZA136" s="370" t="e">
        <f>10/EYW134</f>
        <v>#DIV/0!</v>
      </c>
      <c r="EZB136" s="371">
        <v>15.38</v>
      </c>
      <c r="EZC136" s="371" t="e">
        <f>EYZ136*EZA136*EZB136</f>
        <v>#DIV/0!</v>
      </c>
      <c r="EZD136" s="367" t="s">
        <v>206</v>
      </c>
      <c r="EZE136" s="367"/>
      <c r="EZF136" s="367"/>
      <c r="EZG136" s="368" t="s">
        <v>168</v>
      </c>
      <c r="EZH136" s="369">
        <v>0.5</v>
      </c>
      <c r="EZI136" s="370" t="e">
        <f>10/EZE134</f>
        <v>#DIV/0!</v>
      </c>
      <c r="EZJ136" s="371">
        <v>15.38</v>
      </c>
      <c r="EZK136" s="371" t="e">
        <f>EZH136*EZI136*EZJ136</f>
        <v>#DIV/0!</v>
      </c>
      <c r="EZL136" s="367" t="s">
        <v>206</v>
      </c>
      <c r="EZM136" s="367"/>
      <c r="EZN136" s="367"/>
      <c r="EZO136" s="368" t="s">
        <v>168</v>
      </c>
      <c r="EZP136" s="369">
        <v>0.5</v>
      </c>
      <c r="EZQ136" s="370" t="e">
        <f>10/EZM134</f>
        <v>#DIV/0!</v>
      </c>
      <c r="EZR136" s="371">
        <v>15.38</v>
      </c>
      <c r="EZS136" s="371" t="e">
        <f>EZP136*EZQ136*EZR136</f>
        <v>#DIV/0!</v>
      </c>
      <c r="EZT136" s="367" t="s">
        <v>206</v>
      </c>
      <c r="EZU136" s="367"/>
      <c r="EZV136" s="367"/>
      <c r="EZW136" s="368" t="s">
        <v>168</v>
      </c>
      <c r="EZX136" s="369">
        <v>0.5</v>
      </c>
      <c r="EZY136" s="370" t="e">
        <f>10/EZU134</f>
        <v>#DIV/0!</v>
      </c>
      <c r="EZZ136" s="371">
        <v>15.38</v>
      </c>
      <c r="FAA136" s="371" t="e">
        <f>EZX136*EZY136*EZZ136</f>
        <v>#DIV/0!</v>
      </c>
      <c r="FAB136" s="367" t="s">
        <v>206</v>
      </c>
      <c r="FAC136" s="367"/>
      <c r="FAD136" s="367"/>
      <c r="FAE136" s="368" t="s">
        <v>168</v>
      </c>
      <c r="FAF136" s="369">
        <v>0.5</v>
      </c>
      <c r="FAG136" s="370" t="e">
        <f>10/FAC134</f>
        <v>#DIV/0!</v>
      </c>
      <c r="FAH136" s="371">
        <v>15.38</v>
      </c>
      <c r="FAI136" s="371" t="e">
        <f>FAF136*FAG136*FAH136</f>
        <v>#DIV/0!</v>
      </c>
      <c r="FAJ136" s="367" t="s">
        <v>206</v>
      </c>
      <c r="FAK136" s="367"/>
      <c r="FAL136" s="367"/>
      <c r="FAM136" s="368" t="s">
        <v>168</v>
      </c>
      <c r="FAN136" s="369">
        <v>0.5</v>
      </c>
      <c r="FAO136" s="370" t="e">
        <f>10/FAK134</f>
        <v>#DIV/0!</v>
      </c>
      <c r="FAP136" s="371">
        <v>15.38</v>
      </c>
      <c r="FAQ136" s="371" t="e">
        <f>FAN136*FAO136*FAP136</f>
        <v>#DIV/0!</v>
      </c>
      <c r="FAR136" s="367" t="s">
        <v>206</v>
      </c>
      <c r="FAS136" s="367"/>
      <c r="FAT136" s="367"/>
      <c r="FAU136" s="368" t="s">
        <v>168</v>
      </c>
      <c r="FAV136" s="369">
        <v>0.5</v>
      </c>
      <c r="FAW136" s="370" t="e">
        <f>10/FAS134</f>
        <v>#DIV/0!</v>
      </c>
      <c r="FAX136" s="371">
        <v>15.38</v>
      </c>
      <c r="FAY136" s="371" t="e">
        <f>FAV136*FAW136*FAX136</f>
        <v>#DIV/0!</v>
      </c>
      <c r="FAZ136" s="367" t="s">
        <v>206</v>
      </c>
      <c r="FBA136" s="367"/>
      <c r="FBB136" s="367"/>
      <c r="FBC136" s="368" t="s">
        <v>168</v>
      </c>
      <c r="FBD136" s="369">
        <v>0.5</v>
      </c>
      <c r="FBE136" s="370" t="e">
        <f>10/FBA134</f>
        <v>#DIV/0!</v>
      </c>
      <c r="FBF136" s="371">
        <v>15.38</v>
      </c>
      <c r="FBG136" s="371" t="e">
        <f>FBD136*FBE136*FBF136</f>
        <v>#DIV/0!</v>
      </c>
      <c r="FBH136" s="367" t="s">
        <v>206</v>
      </c>
      <c r="FBI136" s="367"/>
      <c r="FBJ136" s="367"/>
      <c r="FBK136" s="368" t="s">
        <v>168</v>
      </c>
      <c r="FBL136" s="369">
        <v>0.5</v>
      </c>
      <c r="FBM136" s="370" t="e">
        <f>10/FBI134</f>
        <v>#DIV/0!</v>
      </c>
      <c r="FBN136" s="371">
        <v>15.38</v>
      </c>
      <c r="FBO136" s="371" t="e">
        <f>FBL136*FBM136*FBN136</f>
        <v>#DIV/0!</v>
      </c>
      <c r="FBP136" s="367" t="s">
        <v>206</v>
      </c>
      <c r="FBQ136" s="367"/>
      <c r="FBR136" s="367"/>
      <c r="FBS136" s="368" t="s">
        <v>168</v>
      </c>
      <c r="FBT136" s="369">
        <v>0.5</v>
      </c>
      <c r="FBU136" s="370" t="e">
        <f>10/FBQ134</f>
        <v>#DIV/0!</v>
      </c>
      <c r="FBV136" s="371">
        <v>15.38</v>
      </c>
      <c r="FBW136" s="371" t="e">
        <f>FBT136*FBU136*FBV136</f>
        <v>#DIV/0!</v>
      </c>
      <c r="FBX136" s="367" t="s">
        <v>206</v>
      </c>
      <c r="FBY136" s="367"/>
      <c r="FBZ136" s="367"/>
      <c r="FCA136" s="368" t="s">
        <v>168</v>
      </c>
      <c r="FCB136" s="369">
        <v>0.5</v>
      </c>
      <c r="FCC136" s="370" t="e">
        <f>10/FBY134</f>
        <v>#DIV/0!</v>
      </c>
      <c r="FCD136" s="371">
        <v>15.38</v>
      </c>
      <c r="FCE136" s="371" t="e">
        <f>FCB136*FCC136*FCD136</f>
        <v>#DIV/0!</v>
      </c>
      <c r="FCF136" s="367" t="s">
        <v>206</v>
      </c>
      <c r="FCG136" s="367"/>
      <c r="FCH136" s="367"/>
      <c r="FCI136" s="368" t="s">
        <v>168</v>
      </c>
      <c r="FCJ136" s="369">
        <v>0.5</v>
      </c>
      <c r="FCK136" s="370" t="e">
        <f>10/FCG134</f>
        <v>#DIV/0!</v>
      </c>
      <c r="FCL136" s="371">
        <v>15.38</v>
      </c>
      <c r="FCM136" s="371" t="e">
        <f>FCJ136*FCK136*FCL136</f>
        <v>#DIV/0!</v>
      </c>
      <c r="FCN136" s="367" t="s">
        <v>206</v>
      </c>
      <c r="FCO136" s="367"/>
      <c r="FCP136" s="367"/>
      <c r="FCQ136" s="368" t="s">
        <v>168</v>
      </c>
      <c r="FCR136" s="369">
        <v>0.5</v>
      </c>
      <c r="FCS136" s="370" t="e">
        <f>10/FCO134</f>
        <v>#DIV/0!</v>
      </c>
      <c r="FCT136" s="371">
        <v>15.38</v>
      </c>
      <c r="FCU136" s="371" t="e">
        <f>FCR136*FCS136*FCT136</f>
        <v>#DIV/0!</v>
      </c>
      <c r="FCV136" s="367" t="s">
        <v>206</v>
      </c>
      <c r="FCW136" s="367"/>
      <c r="FCX136" s="367"/>
      <c r="FCY136" s="368" t="s">
        <v>168</v>
      </c>
      <c r="FCZ136" s="369">
        <v>0.5</v>
      </c>
      <c r="FDA136" s="370" t="e">
        <f>10/FCW134</f>
        <v>#DIV/0!</v>
      </c>
      <c r="FDB136" s="371">
        <v>15.38</v>
      </c>
      <c r="FDC136" s="371" t="e">
        <f>FCZ136*FDA136*FDB136</f>
        <v>#DIV/0!</v>
      </c>
      <c r="FDD136" s="367" t="s">
        <v>206</v>
      </c>
      <c r="FDE136" s="367"/>
      <c r="FDF136" s="367"/>
      <c r="FDG136" s="368" t="s">
        <v>168</v>
      </c>
      <c r="FDH136" s="369">
        <v>0.5</v>
      </c>
      <c r="FDI136" s="370" t="e">
        <f>10/FDE134</f>
        <v>#DIV/0!</v>
      </c>
      <c r="FDJ136" s="371">
        <v>15.38</v>
      </c>
      <c r="FDK136" s="371" t="e">
        <f>FDH136*FDI136*FDJ136</f>
        <v>#DIV/0!</v>
      </c>
      <c r="FDL136" s="367" t="s">
        <v>206</v>
      </c>
      <c r="FDM136" s="367"/>
      <c r="FDN136" s="367"/>
      <c r="FDO136" s="368" t="s">
        <v>168</v>
      </c>
      <c r="FDP136" s="369">
        <v>0.5</v>
      </c>
      <c r="FDQ136" s="370" t="e">
        <f>10/FDM134</f>
        <v>#DIV/0!</v>
      </c>
      <c r="FDR136" s="371">
        <v>15.38</v>
      </c>
      <c r="FDS136" s="371" t="e">
        <f>FDP136*FDQ136*FDR136</f>
        <v>#DIV/0!</v>
      </c>
      <c r="FDT136" s="367" t="s">
        <v>206</v>
      </c>
      <c r="FDU136" s="367"/>
      <c r="FDV136" s="367"/>
      <c r="FDW136" s="368" t="s">
        <v>168</v>
      </c>
      <c r="FDX136" s="369">
        <v>0.5</v>
      </c>
      <c r="FDY136" s="370" t="e">
        <f>10/FDU134</f>
        <v>#DIV/0!</v>
      </c>
      <c r="FDZ136" s="371">
        <v>15.38</v>
      </c>
      <c r="FEA136" s="371" t="e">
        <f>FDX136*FDY136*FDZ136</f>
        <v>#DIV/0!</v>
      </c>
      <c r="FEB136" s="367" t="s">
        <v>206</v>
      </c>
      <c r="FEC136" s="367"/>
      <c r="FED136" s="367"/>
      <c r="FEE136" s="368" t="s">
        <v>168</v>
      </c>
      <c r="FEF136" s="369">
        <v>0.5</v>
      </c>
      <c r="FEG136" s="370" t="e">
        <f>10/FEC134</f>
        <v>#DIV/0!</v>
      </c>
      <c r="FEH136" s="371">
        <v>15.38</v>
      </c>
      <c r="FEI136" s="371" t="e">
        <f>FEF136*FEG136*FEH136</f>
        <v>#DIV/0!</v>
      </c>
      <c r="FEJ136" s="367" t="s">
        <v>206</v>
      </c>
      <c r="FEK136" s="367"/>
      <c r="FEL136" s="367"/>
      <c r="FEM136" s="368" t="s">
        <v>168</v>
      </c>
      <c r="FEN136" s="369">
        <v>0.5</v>
      </c>
      <c r="FEO136" s="370" t="e">
        <f>10/FEK134</f>
        <v>#DIV/0!</v>
      </c>
      <c r="FEP136" s="371">
        <v>15.38</v>
      </c>
      <c r="FEQ136" s="371" t="e">
        <f>FEN136*FEO136*FEP136</f>
        <v>#DIV/0!</v>
      </c>
      <c r="FER136" s="367" t="s">
        <v>206</v>
      </c>
      <c r="FES136" s="367"/>
      <c r="FET136" s="367"/>
      <c r="FEU136" s="368" t="s">
        <v>168</v>
      </c>
      <c r="FEV136" s="369">
        <v>0.5</v>
      </c>
      <c r="FEW136" s="370" t="e">
        <f>10/FES134</f>
        <v>#DIV/0!</v>
      </c>
      <c r="FEX136" s="371">
        <v>15.38</v>
      </c>
      <c r="FEY136" s="371" t="e">
        <f>FEV136*FEW136*FEX136</f>
        <v>#DIV/0!</v>
      </c>
      <c r="FEZ136" s="367" t="s">
        <v>206</v>
      </c>
      <c r="FFA136" s="367"/>
      <c r="FFB136" s="367"/>
      <c r="FFC136" s="368" t="s">
        <v>168</v>
      </c>
      <c r="FFD136" s="369">
        <v>0.5</v>
      </c>
      <c r="FFE136" s="370" t="e">
        <f>10/FFA134</f>
        <v>#DIV/0!</v>
      </c>
      <c r="FFF136" s="371">
        <v>15.38</v>
      </c>
      <c r="FFG136" s="371" t="e">
        <f>FFD136*FFE136*FFF136</f>
        <v>#DIV/0!</v>
      </c>
      <c r="FFH136" s="367" t="s">
        <v>206</v>
      </c>
      <c r="FFI136" s="367"/>
      <c r="FFJ136" s="367"/>
      <c r="FFK136" s="368" t="s">
        <v>168</v>
      </c>
      <c r="FFL136" s="369">
        <v>0.5</v>
      </c>
      <c r="FFM136" s="370" t="e">
        <f>10/FFI134</f>
        <v>#DIV/0!</v>
      </c>
      <c r="FFN136" s="371">
        <v>15.38</v>
      </c>
      <c r="FFO136" s="371" t="e">
        <f>FFL136*FFM136*FFN136</f>
        <v>#DIV/0!</v>
      </c>
      <c r="FFP136" s="367" t="s">
        <v>206</v>
      </c>
      <c r="FFQ136" s="367"/>
      <c r="FFR136" s="367"/>
      <c r="FFS136" s="368" t="s">
        <v>168</v>
      </c>
      <c r="FFT136" s="369">
        <v>0.5</v>
      </c>
      <c r="FFU136" s="370" t="e">
        <f>10/FFQ134</f>
        <v>#DIV/0!</v>
      </c>
      <c r="FFV136" s="371">
        <v>15.38</v>
      </c>
      <c r="FFW136" s="371" t="e">
        <f>FFT136*FFU136*FFV136</f>
        <v>#DIV/0!</v>
      </c>
      <c r="FFX136" s="367" t="s">
        <v>206</v>
      </c>
      <c r="FFY136" s="367"/>
      <c r="FFZ136" s="367"/>
      <c r="FGA136" s="368" t="s">
        <v>168</v>
      </c>
      <c r="FGB136" s="369">
        <v>0.5</v>
      </c>
      <c r="FGC136" s="370" t="e">
        <f>10/FFY134</f>
        <v>#DIV/0!</v>
      </c>
      <c r="FGD136" s="371">
        <v>15.38</v>
      </c>
      <c r="FGE136" s="371" t="e">
        <f>FGB136*FGC136*FGD136</f>
        <v>#DIV/0!</v>
      </c>
      <c r="FGF136" s="367" t="s">
        <v>206</v>
      </c>
      <c r="FGG136" s="367"/>
      <c r="FGH136" s="367"/>
      <c r="FGI136" s="368" t="s">
        <v>168</v>
      </c>
      <c r="FGJ136" s="369">
        <v>0.5</v>
      </c>
      <c r="FGK136" s="370" t="e">
        <f>10/FGG134</f>
        <v>#DIV/0!</v>
      </c>
      <c r="FGL136" s="371">
        <v>15.38</v>
      </c>
      <c r="FGM136" s="371" t="e">
        <f>FGJ136*FGK136*FGL136</f>
        <v>#DIV/0!</v>
      </c>
      <c r="FGN136" s="367" t="s">
        <v>206</v>
      </c>
      <c r="FGO136" s="367"/>
      <c r="FGP136" s="367"/>
      <c r="FGQ136" s="368" t="s">
        <v>168</v>
      </c>
      <c r="FGR136" s="369">
        <v>0.5</v>
      </c>
      <c r="FGS136" s="370" t="e">
        <f>10/FGO134</f>
        <v>#DIV/0!</v>
      </c>
      <c r="FGT136" s="371">
        <v>15.38</v>
      </c>
      <c r="FGU136" s="371" t="e">
        <f>FGR136*FGS136*FGT136</f>
        <v>#DIV/0!</v>
      </c>
      <c r="FGV136" s="367" t="s">
        <v>206</v>
      </c>
      <c r="FGW136" s="367"/>
      <c r="FGX136" s="367"/>
      <c r="FGY136" s="368" t="s">
        <v>168</v>
      </c>
      <c r="FGZ136" s="369">
        <v>0.5</v>
      </c>
      <c r="FHA136" s="370" t="e">
        <f>10/FGW134</f>
        <v>#DIV/0!</v>
      </c>
      <c r="FHB136" s="371">
        <v>15.38</v>
      </c>
      <c r="FHC136" s="371" t="e">
        <f>FGZ136*FHA136*FHB136</f>
        <v>#DIV/0!</v>
      </c>
      <c r="FHD136" s="367" t="s">
        <v>206</v>
      </c>
      <c r="FHE136" s="367"/>
      <c r="FHF136" s="367"/>
      <c r="FHG136" s="368" t="s">
        <v>168</v>
      </c>
      <c r="FHH136" s="369">
        <v>0.5</v>
      </c>
      <c r="FHI136" s="370" t="e">
        <f>10/FHE134</f>
        <v>#DIV/0!</v>
      </c>
      <c r="FHJ136" s="371">
        <v>15.38</v>
      </c>
      <c r="FHK136" s="371" t="e">
        <f>FHH136*FHI136*FHJ136</f>
        <v>#DIV/0!</v>
      </c>
      <c r="FHL136" s="367" t="s">
        <v>206</v>
      </c>
      <c r="FHM136" s="367"/>
      <c r="FHN136" s="367"/>
      <c r="FHO136" s="368" t="s">
        <v>168</v>
      </c>
      <c r="FHP136" s="369">
        <v>0.5</v>
      </c>
      <c r="FHQ136" s="370" t="e">
        <f>10/FHM134</f>
        <v>#DIV/0!</v>
      </c>
      <c r="FHR136" s="371">
        <v>15.38</v>
      </c>
      <c r="FHS136" s="371" t="e">
        <f>FHP136*FHQ136*FHR136</f>
        <v>#DIV/0!</v>
      </c>
      <c r="FHT136" s="367" t="s">
        <v>206</v>
      </c>
      <c r="FHU136" s="367"/>
      <c r="FHV136" s="367"/>
      <c r="FHW136" s="368" t="s">
        <v>168</v>
      </c>
      <c r="FHX136" s="369">
        <v>0.5</v>
      </c>
      <c r="FHY136" s="370" t="e">
        <f>10/FHU134</f>
        <v>#DIV/0!</v>
      </c>
      <c r="FHZ136" s="371">
        <v>15.38</v>
      </c>
      <c r="FIA136" s="371" t="e">
        <f>FHX136*FHY136*FHZ136</f>
        <v>#DIV/0!</v>
      </c>
      <c r="FIB136" s="367" t="s">
        <v>206</v>
      </c>
      <c r="FIC136" s="367"/>
      <c r="FID136" s="367"/>
      <c r="FIE136" s="368" t="s">
        <v>168</v>
      </c>
      <c r="FIF136" s="369">
        <v>0.5</v>
      </c>
      <c r="FIG136" s="370" t="e">
        <f>10/FIC134</f>
        <v>#DIV/0!</v>
      </c>
      <c r="FIH136" s="371">
        <v>15.38</v>
      </c>
      <c r="FII136" s="371" t="e">
        <f>FIF136*FIG136*FIH136</f>
        <v>#DIV/0!</v>
      </c>
      <c r="FIJ136" s="367" t="s">
        <v>206</v>
      </c>
      <c r="FIK136" s="367"/>
      <c r="FIL136" s="367"/>
      <c r="FIM136" s="368" t="s">
        <v>168</v>
      </c>
      <c r="FIN136" s="369">
        <v>0.5</v>
      </c>
      <c r="FIO136" s="370" t="e">
        <f>10/FIK134</f>
        <v>#DIV/0!</v>
      </c>
      <c r="FIP136" s="371">
        <v>15.38</v>
      </c>
      <c r="FIQ136" s="371" t="e">
        <f>FIN136*FIO136*FIP136</f>
        <v>#DIV/0!</v>
      </c>
      <c r="FIR136" s="367" t="s">
        <v>206</v>
      </c>
      <c r="FIS136" s="367"/>
      <c r="FIT136" s="367"/>
      <c r="FIU136" s="368" t="s">
        <v>168</v>
      </c>
      <c r="FIV136" s="369">
        <v>0.5</v>
      </c>
      <c r="FIW136" s="370" t="e">
        <f>10/FIS134</f>
        <v>#DIV/0!</v>
      </c>
      <c r="FIX136" s="371">
        <v>15.38</v>
      </c>
      <c r="FIY136" s="371" t="e">
        <f>FIV136*FIW136*FIX136</f>
        <v>#DIV/0!</v>
      </c>
      <c r="FIZ136" s="367" t="s">
        <v>206</v>
      </c>
      <c r="FJA136" s="367"/>
      <c r="FJB136" s="367"/>
      <c r="FJC136" s="368" t="s">
        <v>168</v>
      </c>
      <c r="FJD136" s="369">
        <v>0.5</v>
      </c>
      <c r="FJE136" s="370" t="e">
        <f>10/FJA134</f>
        <v>#DIV/0!</v>
      </c>
      <c r="FJF136" s="371">
        <v>15.38</v>
      </c>
      <c r="FJG136" s="371" t="e">
        <f>FJD136*FJE136*FJF136</f>
        <v>#DIV/0!</v>
      </c>
      <c r="FJH136" s="367" t="s">
        <v>206</v>
      </c>
      <c r="FJI136" s="367"/>
      <c r="FJJ136" s="367"/>
      <c r="FJK136" s="368" t="s">
        <v>168</v>
      </c>
      <c r="FJL136" s="369">
        <v>0.5</v>
      </c>
      <c r="FJM136" s="370" t="e">
        <f>10/FJI134</f>
        <v>#DIV/0!</v>
      </c>
      <c r="FJN136" s="371">
        <v>15.38</v>
      </c>
      <c r="FJO136" s="371" t="e">
        <f>FJL136*FJM136*FJN136</f>
        <v>#DIV/0!</v>
      </c>
      <c r="FJP136" s="367" t="s">
        <v>206</v>
      </c>
      <c r="FJQ136" s="367"/>
      <c r="FJR136" s="367"/>
      <c r="FJS136" s="368" t="s">
        <v>168</v>
      </c>
      <c r="FJT136" s="369">
        <v>0.5</v>
      </c>
      <c r="FJU136" s="370" t="e">
        <f>10/FJQ134</f>
        <v>#DIV/0!</v>
      </c>
      <c r="FJV136" s="371">
        <v>15.38</v>
      </c>
      <c r="FJW136" s="371" t="e">
        <f>FJT136*FJU136*FJV136</f>
        <v>#DIV/0!</v>
      </c>
      <c r="FJX136" s="367" t="s">
        <v>206</v>
      </c>
      <c r="FJY136" s="367"/>
      <c r="FJZ136" s="367"/>
      <c r="FKA136" s="368" t="s">
        <v>168</v>
      </c>
      <c r="FKB136" s="369">
        <v>0.5</v>
      </c>
      <c r="FKC136" s="370" t="e">
        <f>10/FJY134</f>
        <v>#DIV/0!</v>
      </c>
      <c r="FKD136" s="371">
        <v>15.38</v>
      </c>
      <c r="FKE136" s="371" t="e">
        <f>FKB136*FKC136*FKD136</f>
        <v>#DIV/0!</v>
      </c>
      <c r="FKF136" s="367" t="s">
        <v>206</v>
      </c>
      <c r="FKG136" s="367"/>
      <c r="FKH136" s="367"/>
      <c r="FKI136" s="368" t="s">
        <v>168</v>
      </c>
      <c r="FKJ136" s="369">
        <v>0.5</v>
      </c>
      <c r="FKK136" s="370" t="e">
        <f>10/FKG134</f>
        <v>#DIV/0!</v>
      </c>
      <c r="FKL136" s="371">
        <v>15.38</v>
      </c>
      <c r="FKM136" s="371" t="e">
        <f>FKJ136*FKK136*FKL136</f>
        <v>#DIV/0!</v>
      </c>
      <c r="FKN136" s="367" t="s">
        <v>206</v>
      </c>
      <c r="FKO136" s="367"/>
      <c r="FKP136" s="367"/>
      <c r="FKQ136" s="368" t="s">
        <v>168</v>
      </c>
      <c r="FKR136" s="369">
        <v>0.5</v>
      </c>
      <c r="FKS136" s="370" t="e">
        <f>10/FKO134</f>
        <v>#DIV/0!</v>
      </c>
      <c r="FKT136" s="371">
        <v>15.38</v>
      </c>
      <c r="FKU136" s="371" t="e">
        <f>FKR136*FKS136*FKT136</f>
        <v>#DIV/0!</v>
      </c>
      <c r="FKV136" s="367" t="s">
        <v>206</v>
      </c>
      <c r="FKW136" s="367"/>
      <c r="FKX136" s="367"/>
      <c r="FKY136" s="368" t="s">
        <v>168</v>
      </c>
      <c r="FKZ136" s="369">
        <v>0.5</v>
      </c>
      <c r="FLA136" s="370" t="e">
        <f>10/FKW134</f>
        <v>#DIV/0!</v>
      </c>
      <c r="FLB136" s="371">
        <v>15.38</v>
      </c>
      <c r="FLC136" s="371" t="e">
        <f>FKZ136*FLA136*FLB136</f>
        <v>#DIV/0!</v>
      </c>
      <c r="FLD136" s="367" t="s">
        <v>206</v>
      </c>
      <c r="FLE136" s="367"/>
      <c r="FLF136" s="367"/>
      <c r="FLG136" s="368" t="s">
        <v>168</v>
      </c>
      <c r="FLH136" s="369">
        <v>0.5</v>
      </c>
      <c r="FLI136" s="370" t="e">
        <f>10/FLE134</f>
        <v>#DIV/0!</v>
      </c>
      <c r="FLJ136" s="371">
        <v>15.38</v>
      </c>
      <c r="FLK136" s="371" t="e">
        <f>FLH136*FLI136*FLJ136</f>
        <v>#DIV/0!</v>
      </c>
      <c r="FLL136" s="367" t="s">
        <v>206</v>
      </c>
      <c r="FLM136" s="367"/>
      <c r="FLN136" s="367"/>
      <c r="FLO136" s="368" t="s">
        <v>168</v>
      </c>
      <c r="FLP136" s="369">
        <v>0.5</v>
      </c>
      <c r="FLQ136" s="370" t="e">
        <f>10/FLM134</f>
        <v>#DIV/0!</v>
      </c>
      <c r="FLR136" s="371">
        <v>15.38</v>
      </c>
      <c r="FLS136" s="371" t="e">
        <f>FLP136*FLQ136*FLR136</f>
        <v>#DIV/0!</v>
      </c>
      <c r="FLT136" s="367" t="s">
        <v>206</v>
      </c>
      <c r="FLU136" s="367"/>
      <c r="FLV136" s="367"/>
      <c r="FLW136" s="368" t="s">
        <v>168</v>
      </c>
      <c r="FLX136" s="369">
        <v>0.5</v>
      </c>
      <c r="FLY136" s="370" t="e">
        <f>10/FLU134</f>
        <v>#DIV/0!</v>
      </c>
      <c r="FLZ136" s="371">
        <v>15.38</v>
      </c>
      <c r="FMA136" s="371" t="e">
        <f>FLX136*FLY136*FLZ136</f>
        <v>#DIV/0!</v>
      </c>
      <c r="FMB136" s="367" t="s">
        <v>206</v>
      </c>
      <c r="FMC136" s="367"/>
      <c r="FMD136" s="367"/>
      <c r="FME136" s="368" t="s">
        <v>168</v>
      </c>
      <c r="FMF136" s="369">
        <v>0.5</v>
      </c>
      <c r="FMG136" s="370" t="e">
        <f>10/FMC134</f>
        <v>#DIV/0!</v>
      </c>
      <c r="FMH136" s="371">
        <v>15.38</v>
      </c>
      <c r="FMI136" s="371" t="e">
        <f>FMF136*FMG136*FMH136</f>
        <v>#DIV/0!</v>
      </c>
      <c r="FMJ136" s="367" t="s">
        <v>206</v>
      </c>
      <c r="FMK136" s="367"/>
      <c r="FML136" s="367"/>
      <c r="FMM136" s="368" t="s">
        <v>168</v>
      </c>
      <c r="FMN136" s="369">
        <v>0.5</v>
      </c>
      <c r="FMO136" s="370" t="e">
        <f>10/FMK134</f>
        <v>#DIV/0!</v>
      </c>
      <c r="FMP136" s="371">
        <v>15.38</v>
      </c>
      <c r="FMQ136" s="371" t="e">
        <f>FMN136*FMO136*FMP136</f>
        <v>#DIV/0!</v>
      </c>
      <c r="FMR136" s="367" t="s">
        <v>206</v>
      </c>
      <c r="FMS136" s="367"/>
      <c r="FMT136" s="367"/>
      <c r="FMU136" s="368" t="s">
        <v>168</v>
      </c>
      <c r="FMV136" s="369">
        <v>0.5</v>
      </c>
      <c r="FMW136" s="370" t="e">
        <f>10/FMS134</f>
        <v>#DIV/0!</v>
      </c>
      <c r="FMX136" s="371">
        <v>15.38</v>
      </c>
      <c r="FMY136" s="371" t="e">
        <f>FMV136*FMW136*FMX136</f>
        <v>#DIV/0!</v>
      </c>
      <c r="FMZ136" s="367" t="s">
        <v>206</v>
      </c>
      <c r="FNA136" s="367"/>
      <c r="FNB136" s="367"/>
      <c r="FNC136" s="368" t="s">
        <v>168</v>
      </c>
      <c r="FND136" s="369">
        <v>0.5</v>
      </c>
      <c r="FNE136" s="370" t="e">
        <f>10/FNA134</f>
        <v>#DIV/0!</v>
      </c>
      <c r="FNF136" s="371">
        <v>15.38</v>
      </c>
      <c r="FNG136" s="371" t="e">
        <f>FND136*FNE136*FNF136</f>
        <v>#DIV/0!</v>
      </c>
      <c r="FNH136" s="367" t="s">
        <v>206</v>
      </c>
      <c r="FNI136" s="367"/>
      <c r="FNJ136" s="367"/>
      <c r="FNK136" s="368" t="s">
        <v>168</v>
      </c>
      <c r="FNL136" s="369">
        <v>0.5</v>
      </c>
      <c r="FNM136" s="370" t="e">
        <f>10/FNI134</f>
        <v>#DIV/0!</v>
      </c>
      <c r="FNN136" s="371">
        <v>15.38</v>
      </c>
      <c r="FNO136" s="371" t="e">
        <f>FNL136*FNM136*FNN136</f>
        <v>#DIV/0!</v>
      </c>
      <c r="FNP136" s="367" t="s">
        <v>206</v>
      </c>
      <c r="FNQ136" s="367"/>
      <c r="FNR136" s="367"/>
      <c r="FNS136" s="368" t="s">
        <v>168</v>
      </c>
      <c r="FNT136" s="369">
        <v>0.5</v>
      </c>
      <c r="FNU136" s="370" t="e">
        <f>10/FNQ134</f>
        <v>#DIV/0!</v>
      </c>
      <c r="FNV136" s="371">
        <v>15.38</v>
      </c>
      <c r="FNW136" s="371" t="e">
        <f>FNT136*FNU136*FNV136</f>
        <v>#DIV/0!</v>
      </c>
      <c r="FNX136" s="367" t="s">
        <v>206</v>
      </c>
      <c r="FNY136" s="367"/>
      <c r="FNZ136" s="367"/>
      <c r="FOA136" s="368" t="s">
        <v>168</v>
      </c>
      <c r="FOB136" s="369">
        <v>0.5</v>
      </c>
      <c r="FOC136" s="370" t="e">
        <f>10/FNY134</f>
        <v>#DIV/0!</v>
      </c>
      <c r="FOD136" s="371">
        <v>15.38</v>
      </c>
      <c r="FOE136" s="371" t="e">
        <f>FOB136*FOC136*FOD136</f>
        <v>#DIV/0!</v>
      </c>
      <c r="FOF136" s="367" t="s">
        <v>206</v>
      </c>
      <c r="FOG136" s="367"/>
      <c r="FOH136" s="367"/>
      <c r="FOI136" s="368" t="s">
        <v>168</v>
      </c>
      <c r="FOJ136" s="369">
        <v>0.5</v>
      </c>
      <c r="FOK136" s="370" t="e">
        <f>10/FOG134</f>
        <v>#DIV/0!</v>
      </c>
      <c r="FOL136" s="371">
        <v>15.38</v>
      </c>
      <c r="FOM136" s="371" t="e">
        <f>FOJ136*FOK136*FOL136</f>
        <v>#DIV/0!</v>
      </c>
      <c r="FON136" s="367" t="s">
        <v>206</v>
      </c>
      <c r="FOO136" s="367"/>
      <c r="FOP136" s="367"/>
      <c r="FOQ136" s="368" t="s">
        <v>168</v>
      </c>
      <c r="FOR136" s="369">
        <v>0.5</v>
      </c>
      <c r="FOS136" s="370" t="e">
        <f>10/FOO134</f>
        <v>#DIV/0!</v>
      </c>
      <c r="FOT136" s="371">
        <v>15.38</v>
      </c>
      <c r="FOU136" s="371" t="e">
        <f>FOR136*FOS136*FOT136</f>
        <v>#DIV/0!</v>
      </c>
      <c r="FOV136" s="367" t="s">
        <v>206</v>
      </c>
      <c r="FOW136" s="367"/>
      <c r="FOX136" s="367"/>
      <c r="FOY136" s="368" t="s">
        <v>168</v>
      </c>
      <c r="FOZ136" s="369">
        <v>0.5</v>
      </c>
      <c r="FPA136" s="370" t="e">
        <f>10/FOW134</f>
        <v>#DIV/0!</v>
      </c>
      <c r="FPB136" s="371">
        <v>15.38</v>
      </c>
      <c r="FPC136" s="371" t="e">
        <f>FOZ136*FPA136*FPB136</f>
        <v>#DIV/0!</v>
      </c>
      <c r="FPD136" s="367" t="s">
        <v>206</v>
      </c>
      <c r="FPE136" s="367"/>
      <c r="FPF136" s="367"/>
      <c r="FPG136" s="368" t="s">
        <v>168</v>
      </c>
      <c r="FPH136" s="369">
        <v>0.5</v>
      </c>
      <c r="FPI136" s="370" t="e">
        <f>10/FPE134</f>
        <v>#DIV/0!</v>
      </c>
      <c r="FPJ136" s="371">
        <v>15.38</v>
      </c>
      <c r="FPK136" s="371" t="e">
        <f>FPH136*FPI136*FPJ136</f>
        <v>#DIV/0!</v>
      </c>
      <c r="FPL136" s="367" t="s">
        <v>206</v>
      </c>
      <c r="FPM136" s="367"/>
      <c r="FPN136" s="367"/>
      <c r="FPO136" s="368" t="s">
        <v>168</v>
      </c>
      <c r="FPP136" s="369">
        <v>0.5</v>
      </c>
      <c r="FPQ136" s="370" t="e">
        <f>10/FPM134</f>
        <v>#DIV/0!</v>
      </c>
      <c r="FPR136" s="371">
        <v>15.38</v>
      </c>
      <c r="FPS136" s="371" t="e">
        <f>FPP136*FPQ136*FPR136</f>
        <v>#DIV/0!</v>
      </c>
      <c r="FPT136" s="367" t="s">
        <v>206</v>
      </c>
      <c r="FPU136" s="367"/>
      <c r="FPV136" s="367"/>
      <c r="FPW136" s="368" t="s">
        <v>168</v>
      </c>
      <c r="FPX136" s="369">
        <v>0.5</v>
      </c>
      <c r="FPY136" s="370" t="e">
        <f>10/FPU134</f>
        <v>#DIV/0!</v>
      </c>
      <c r="FPZ136" s="371">
        <v>15.38</v>
      </c>
      <c r="FQA136" s="371" t="e">
        <f>FPX136*FPY136*FPZ136</f>
        <v>#DIV/0!</v>
      </c>
      <c r="FQB136" s="367" t="s">
        <v>206</v>
      </c>
      <c r="FQC136" s="367"/>
      <c r="FQD136" s="367"/>
      <c r="FQE136" s="368" t="s">
        <v>168</v>
      </c>
      <c r="FQF136" s="369">
        <v>0.5</v>
      </c>
      <c r="FQG136" s="370" t="e">
        <f>10/FQC134</f>
        <v>#DIV/0!</v>
      </c>
      <c r="FQH136" s="371">
        <v>15.38</v>
      </c>
      <c r="FQI136" s="371" t="e">
        <f>FQF136*FQG136*FQH136</f>
        <v>#DIV/0!</v>
      </c>
      <c r="FQJ136" s="367" t="s">
        <v>206</v>
      </c>
      <c r="FQK136" s="367"/>
      <c r="FQL136" s="367"/>
      <c r="FQM136" s="368" t="s">
        <v>168</v>
      </c>
      <c r="FQN136" s="369">
        <v>0.5</v>
      </c>
      <c r="FQO136" s="370" t="e">
        <f>10/FQK134</f>
        <v>#DIV/0!</v>
      </c>
      <c r="FQP136" s="371">
        <v>15.38</v>
      </c>
      <c r="FQQ136" s="371" t="e">
        <f>FQN136*FQO136*FQP136</f>
        <v>#DIV/0!</v>
      </c>
      <c r="FQR136" s="367" t="s">
        <v>206</v>
      </c>
      <c r="FQS136" s="367"/>
      <c r="FQT136" s="367"/>
      <c r="FQU136" s="368" t="s">
        <v>168</v>
      </c>
      <c r="FQV136" s="369">
        <v>0.5</v>
      </c>
      <c r="FQW136" s="370" t="e">
        <f>10/FQS134</f>
        <v>#DIV/0!</v>
      </c>
      <c r="FQX136" s="371">
        <v>15.38</v>
      </c>
      <c r="FQY136" s="371" t="e">
        <f>FQV136*FQW136*FQX136</f>
        <v>#DIV/0!</v>
      </c>
      <c r="FQZ136" s="367" t="s">
        <v>206</v>
      </c>
      <c r="FRA136" s="367"/>
      <c r="FRB136" s="367"/>
      <c r="FRC136" s="368" t="s">
        <v>168</v>
      </c>
      <c r="FRD136" s="369">
        <v>0.5</v>
      </c>
      <c r="FRE136" s="370" t="e">
        <f>10/FRA134</f>
        <v>#DIV/0!</v>
      </c>
      <c r="FRF136" s="371">
        <v>15.38</v>
      </c>
      <c r="FRG136" s="371" t="e">
        <f>FRD136*FRE136*FRF136</f>
        <v>#DIV/0!</v>
      </c>
      <c r="FRH136" s="367" t="s">
        <v>206</v>
      </c>
      <c r="FRI136" s="367"/>
      <c r="FRJ136" s="367"/>
      <c r="FRK136" s="368" t="s">
        <v>168</v>
      </c>
      <c r="FRL136" s="369">
        <v>0.5</v>
      </c>
      <c r="FRM136" s="370" t="e">
        <f>10/FRI134</f>
        <v>#DIV/0!</v>
      </c>
      <c r="FRN136" s="371">
        <v>15.38</v>
      </c>
      <c r="FRO136" s="371" t="e">
        <f>FRL136*FRM136*FRN136</f>
        <v>#DIV/0!</v>
      </c>
      <c r="FRP136" s="367" t="s">
        <v>206</v>
      </c>
      <c r="FRQ136" s="367"/>
      <c r="FRR136" s="367"/>
      <c r="FRS136" s="368" t="s">
        <v>168</v>
      </c>
      <c r="FRT136" s="369">
        <v>0.5</v>
      </c>
      <c r="FRU136" s="370" t="e">
        <f>10/FRQ134</f>
        <v>#DIV/0!</v>
      </c>
      <c r="FRV136" s="371">
        <v>15.38</v>
      </c>
      <c r="FRW136" s="371" t="e">
        <f>FRT136*FRU136*FRV136</f>
        <v>#DIV/0!</v>
      </c>
      <c r="FRX136" s="367" t="s">
        <v>206</v>
      </c>
      <c r="FRY136" s="367"/>
      <c r="FRZ136" s="367"/>
      <c r="FSA136" s="368" t="s">
        <v>168</v>
      </c>
      <c r="FSB136" s="369">
        <v>0.5</v>
      </c>
      <c r="FSC136" s="370" t="e">
        <f>10/FRY134</f>
        <v>#DIV/0!</v>
      </c>
      <c r="FSD136" s="371">
        <v>15.38</v>
      </c>
      <c r="FSE136" s="371" t="e">
        <f>FSB136*FSC136*FSD136</f>
        <v>#DIV/0!</v>
      </c>
      <c r="FSF136" s="367" t="s">
        <v>206</v>
      </c>
      <c r="FSG136" s="367"/>
      <c r="FSH136" s="367"/>
      <c r="FSI136" s="368" t="s">
        <v>168</v>
      </c>
      <c r="FSJ136" s="369">
        <v>0.5</v>
      </c>
      <c r="FSK136" s="370" t="e">
        <f>10/FSG134</f>
        <v>#DIV/0!</v>
      </c>
      <c r="FSL136" s="371">
        <v>15.38</v>
      </c>
      <c r="FSM136" s="371" t="e">
        <f>FSJ136*FSK136*FSL136</f>
        <v>#DIV/0!</v>
      </c>
      <c r="FSN136" s="367" t="s">
        <v>206</v>
      </c>
      <c r="FSO136" s="367"/>
      <c r="FSP136" s="367"/>
      <c r="FSQ136" s="368" t="s">
        <v>168</v>
      </c>
      <c r="FSR136" s="369">
        <v>0.5</v>
      </c>
      <c r="FSS136" s="370" t="e">
        <f>10/FSO134</f>
        <v>#DIV/0!</v>
      </c>
      <c r="FST136" s="371">
        <v>15.38</v>
      </c>
      <c r="FSU136" s="371" t="e">
        <f>FSR136*FSS136*FST136</f>
        <v>#DIV/0!</v>
      </c>
      <c r="FSV136" s="367" t="s">
        <v>206</v>
      </c>
      <c r="FSW136" s="367"/>
      <c r="FSX136" s="367"/>
      <c r="FSY136" s="368" t="s">
        <v>168</v>
      </c>
      <c r="FSZ136" s="369">
        <v>0.5</v>
      </c>
      <c r="FTA136" s="370" t="e">
        <f>10/FSW134</f>
        <v>#DIV/0!</v>
      </c>
      <c r="FTB136" s="371">
        <v>15.38</v>
      </c>
      <c r="FTC136" s="371" t="e">
        <f>FSZ136*FTA136*FTB136</f>
        <v>#DIV/0!</v>
      </c>
      <c r="FTD136" s="367" t="s">
        <v>206</v>
      </c>
      <c r="FTE136" s="367"/>
      <c r="FTF136" s="367"/>
      <c r="FTG136" s="368" t="s">
        <v>168</v>
      </c>
      <c r="FTH136" s="369">
        <v>0.5</v>
      </c>
      <c r="FTI136" s="370" t="e">
        <f>10/FTE134</f>
        <v>#DIV/0!</v>
      </c>
      <c r="FTJ136" s="371">
        <v>15.38</v>
      </c>
      <c r="FTK136" s="371" t="e">
        <f>FTH136*FTI136*FTJ136</f>
        <v>#DIV/0!</v>
      </c>
      <c r="FTL136" s="367" t="s">
        <v>206</v>
      </c>
      <c r="FTM136" s="367"/>
      <c r="FTN136" s="367"/>
      <c r="FTO136" s="368" t="s">
        <v>168</v>
      </c>
      <c r="FTP136" s="369">
        <v>0.5</v>
      </c>
      <c r="FTQ136" s="370" t="e">
        <f>10/FTM134</f>
        <v>#DIV/0!</v>
      </c>
      <c r="FTR136" s="371">
        <v>15.38</v>
      </c>
      <c r="FTS136" s="371" t="e">
        <f>FTP136*FTQ136*FTR136</f>
        <v>#DIV/0!</v>
      </c>
      <c r="FTT136" s="367" t="s">
        <v>206</v>
      </c>
      <c r="FTU136" s="367"/>
      <c r="FTV136" s="367"/>
      <c r="FTW136" s="368" t="s">
        <v>168</v>
      </c>
      <c r="FTX136" s="369">
        <v>0.5</v>
      </c>
      <c r="FTY136" s="370" t="e">
        <f>10/FTU134</f>
        <v>#DIV/0!</v>
      </c>
      <c r="FTZ136" s="371">
        <v>15.38</v>
      </c>
      <c r="FUA136" s="371" t="e">
        <f>FTX136*FTY136*FTZ136</f>
        <v>#DIV/0!</v>
      </c>
      <c r="FUB136" s="367" t="s">
        <v>206</v>
      </c>
      <c r="FUC136" s="367"/>
      <c r="FUD136" s="367"/>
      <c r="FUE136" s="368" t="s">
        <v>168</v>
      </c>
      <c r="FUF136" s="369">
        <v>0.5</v>
      </c>
      <c r="FUG136" s="370" t="e">
        <f>10/FUC134</f>
        <v>#DIV/0!</v>
      </c>
      <c r="FUH136" s="371">
        <v>15.38</v>
      </c>
      <c r="FUI136" s="371" t="e">
        <f>FUF136*FUG136*FUH136</f>
        <v>#DIV/0!</v>
      </c>
      <c r="FUJ136" s="367" t="s">
        <v>206</v>
      </c>
      <c r="FUK136" s="367"/>
      <c r="FUL136" s="367"/>
      <c r="FUM136" s="368" t="s">
        <v>168</v>
      </c>
      <c r="FUN136" s="369">
        <v>0.5</v>
      </c>
      <c r="FUO136" s="370" t="e">
        <f>10/FUK134</f>
        <v>#DIV/0!</v>
      </c>
      <c r="FUP136" s="371">
        <v>15.38</v>
      </c>
      <c r="FUQ136" s="371" t="e">
        <f>FUN136*FUO136*FUP136</f>
        <v>#DIV/0!</v>
      </c>
      <c r="FUR136" s="367" t="s">
        <v>206</v>
      </c>
      <c r="FUS136" s="367"/>
      <c r="FUT136" s="367"/>
      <c r="FUU136" s="368" t="s">
        <v>168</v>
      </c>
      <c r="FUV136" s="369">
        <v>0.5</v>
      </c>
      <c r="FUW136" s="370" t="e">
        <f>10/FUS134</f>
        <v>#DIV/0!</v>
      </c>
      <c r="FUX136" s="371">
        <v>15.38</v>
      </c>
      <c r="FUY136" s="371" t="e">
        <f>FUV136*FUW136*FUX136</f>
        <v>#DIV/0!</v>
      </c>
      <c r="FUZ136" s="367" t="s">
        <v>206</v>
      </c>
      <c r="FVA136" s="367"/>
      <c r="FVB136" s="367"/>
      <c r="FVC136" s="368" t="s">
        <v>168</v>
      </c>
      <c r="FVD136" s="369">
        <v>0.5</v>
      </c>
      <c r="FVE136" s="370" t="e">
        <f>10/FVA134</f>
        <v>#DIV/0!</v>
      </c>
      <c r="FVF136" s="371">
        <v>15.38</v>
      </c>
      <c r="FVG136" s="371" t="e">
        <f>FVD136*FVE136*FVF136</f>
        <v>#DIV/0!</v>
      </c>
      <c r="FVH136" s="367" t="s">
        <v>206</v>
      </c>
      <c r="FVI136" s="367"/>
      <c r="FVJ136" s="367"/>
      <c r="FVK136" s="368" t="s">
        <v>168</v>
      </c>
      <c r="FVL136" s="369">
        <v>0.5</v>
      </c>
      <c r="FVM136" s="370" t="e">
        <f>10/FVI134</f>
        <v>#DIV/0!</v>
      </c>
      <c r="FVN136" s="371">
        <v>15.38</v>
      </c>
      <c r="FVO136" s="371" t="e">
        <f>FVL136*FVM136*FVN136</f>
        <v>#DIV/0!</v>
      </c>
      <c r="FVP136" s="367" t="s">
        <v>206</v>
      </c>
      <c r="FVQ136" s="367"/>
      <c r="FVR136" s="367"/>
      <c r="FVS136" s="368" t="s">
        <v>168</v>
      </c>
      <c r="FVT136" s="369">
        <v>0.5</v>
      </c>
      <c r="FVU136" s="370" t="e">
        <f>10/FVQ134</f>
        <v>#DIV/0!</v>
      </c>
      <c r="FVV136" s="371">
        <v>15.38</v>
      </c>
      <c r="FVW136" s="371" t="e">
        <f>FVT136*FVU136*FVV136</f>
        <v>#DIV/0!</v>
      </c>
      <c r="FVX136" s="367" t="s">
        <v>206</v>
      </c>
      <c r="FVY136" s="367"/>
      <c r="FVZ136" s="367"/>
      <c r="FWA136" s="368" t="s">
        <v>168</v>
      </c>
      <c r="FWB136" s="369">
        <v>0.5</v>
      </c>
      <c r="FWC136" s="370" t="e">
        <f>10/FVY134</f>
        <v>#DIV/0!</v>
      </c>
      <c r="FWD136" s="371">
        <v>15.38</v>
      </c>
      <c r="FWE136" s="371" t="e">
        <f>FWB136*FWC136*FWD136</f>
        <v>#DIV/0!</v>
      </c>
      <c r="FWF136" s="367" t="s">
        <v>206</v>
      </c>
      <c r="FWG136" s="367"/>
      <c r="FWH136" s="367"/>
      <c r="FWI136" s="368" t="s">
        <v>168</v>
      </c>
      <c r="FWJ136" s="369">
        <v>0.5</v>
      </c>
      <c r="FWK136" s="370" t="e">
        <f>10/FWG134</f>
        <v>#DIV/0!</v>
      </c>
      <c r="FWL136" s="371">
        <v>15.38</v>
      </c>
      <c r="FWM136" s="371" t="e">
        <f>FWJ136*FWK136*FWL136</f>
        <v>#DIV/0!</v>
      </c>
      <c r="FWN136" s="367" t="s">
        <v>206</v>
      </c>
      <c r="FWO136" s="367"/>
      <c r="FWP136" s="367"/>
      <c r="FWQ136" s="368" t="s">
        <v>168</v>
      </c>
      <c r="FWR136" s="369">
        <v>0.5</v>
      </c>
      <c r="FWS136" s="370" t="e">
        <f>10/FWO134</f>
        <v>#DIV/0!</v>
      </c>
      <c r="FWT136" s="371">
        <v>15.38</v>
      </c>
      <c r="FWU136" s="371" t="e">
        <f>FWR136*FWS136*FWT136</f>
        <v>#DIV/0!</v>
      </c>
      <c r="FWV136" s="367" t="s">
        <v>206</v>
      </c>
      <c r="FWW136" s="367"/>
      <c r="FWX136" s="367"/>
      <c r="FWY136" s="368" t="s">
        <v>168</v>
      </c>
      <c r="FWZ136" s="369">
        <v>0.5</v>
      </c>
      <c r="FXA136" s="370" t="e">
        <f>10/FWW134</f>
        <v>#DIV/0!</v>
      </c>
      <c r="FXB136" s="371">
        <v>15.38</v>
      </c>
      <c r="FXC136" s="371" t="e">
        <f>FWZ136*FXA136*FXB136</f>
        <v>#DIV/0!</v>
      </c>
      <c r="FXD136" s="367" t="s">
        <v>206</v>
      </c>
      <c r="FXE136" s="367"/>
      <c r="FXF136" s="367"/>
      <c r="FXG136" s="368" t="s">
        <v>168</v>
      </c>
      <c r="FXH136" s="369">
        <v>0.5</v>
      </c>
      <c r="FXI136" s="370" t="e">
        <f>10/FXE134</f>
        <v>#DIV/0!</v>
      </c>
      <c r="FXJ136" s="371">
        <v>15.38</v>
      </c>
      <c r="FXK136" s="371" t="e">
        <f>FXH136*FXI136*FXJ136</f>
        <v>#DIV/0!</v>
      </c>
      <c r="FXL136" s="367" t="s">
        <v>206</v>
      </c>
      <c r="FXM136" s="367"/>
      <c r="FXN136" s="367"/>
      <c r="FXO136" s="368" t="s">
        <v>168</v>
      </c>
      <c r="FXP136" s="369">
        <v>0.5</v>
      </c>
      <c r="FXQ136" s="370" t="e">
        <f>10/FXM134</f>
        <v>#DIV/0!</v>
      </c>
      <c r="FXR136" s="371">
        <v>15.38</v>
      </c>
      <c r="FXS136" s="371" t="e">
        <f>FXP136*FXQ136*FXR136</f>
        <v>#DIV/0!</v>
      </c>
      <c r="FXT136" s="367" t="s">
        <v>206</v>
      </c>
      <c r="FXU136" s="367"/>
      <c r="FXV136" s="367"/>
      <c r="FXW136" s="368" t="s">
        <v>168</v>
      </c>
      <c r="FXX136" s="369">
        <v>0.5</v>
      </c>
      <c r="FXY136" s="370" t="e">
        <f>10/FXU134</f>
        <v>#DIV/0!</v>
      </c>
      <c r="FXZ136" s="371">
        <v>15.38</v>
      </c>
      <c r="FYA136" s="371" t="e">
        <f>FXX136*FXY136*FXZ136</f>
        <v>#DIV/0!</v>
      </c>
      <c r="FYB136" s="367" t="s">
        <v>206</v>
      </c>
      <c r="FYC136" s="367"/>
      <c r="FYD136" s="367"/>
      <c r="FYE136" s="368" t="s">
        <v>168</v>
      </c>
      <c r="FYF136" s="369">
        <v>0.5</v>
      </c>
      <c r="FYG136" s="370" t="e">
        <f>10/FYC134</f>
        <v>#DIV/0!</v>
      </c>
      <c r="FYH136" s="371">
        <v>15.38</v>
      </c>
      <c r="FYI136" s="371" t="e">
        <f>FYF136*FYG136*FYH136</f>
        <v>#DIV/0!</v>
      </c>
      <c r="FYJ136" s="367" t="s">
        <v>206</v>
      </c>
      <c r="FYK136" s="367"/>
      <c r="FYL136" s="367"/>
      <c r="FYM136" s="368" t="s">
        <v>168</v>
      </c>
      <c r="FYN136" s="369">
        <v>0.5</v>
      </c>
      <c r="FYO136" s="370" t="e">
        <f>10/FYK134</f>
        <v>#DIV/0!</v>
      </c>
      <c r="FYP136" s="371">
        <v>15.38</v>
      </c>
      <c r="FYQ136" s="371" t="e">
        <f>FYN136*FYO136*FYP136</f>
        <v>#DIV/0!</v>
      </c>
      <c r="FYR136" s="367" t="s">
        <v>206</v>
      </c>
      <c r="FYS136" s="367"/>
      <c r="FYT136" s="367"/>
      <c r="FYU136" s="368" t="s">
        <v>168</v>
      </c>
      <c r="FYV136" s="369">
        <v>0.5</v>
      </c>
      <c r="FYW136" s="370" t="e">
        <f>10/FYS134</f>
        <v>#DIV/0!</v>
      </c>
      <c r="FYX136" s="371">
        <v>15.38</v>
      </c>
      <c r="FYY136" s="371" t="e">
        <f>FYV136*FYW136*FYX136</f>
        <v>#DIV/0!</v>
      </c>
      <c r="FYZ136" s="367" t="s">
        <v>206</v>
      </c>
      <c r="FZA136" s="367"/>
      <c r="FZB136" s="367"/>
      <c r="FZC136" s="368" t="s">
        <v>168</v>
      </c>
      <c r="FZD136" s="369">
        <v>0.5</v>
      </c>
      <c r="FZE136" s="370" t="e">
        <f>10/FZA134</f>
        <v>#DIV/0!</v>
      </c>
      <c r="FZF136" s="371">
        <v>15.38</v>
      </c>
      <c r="FZG136" s="371" t="e">
        <f>FZD136*FZE136*FZF136</f>
        <v>#DIV/0!</v>
      </c>
      <c r="FZH136" s="367" t="s">
        <v>206</v>
      </c>
      <c r="FZI136" s="367"/>
      <c r="FZJ136" s="367"/>
      <c r="FZK136" s="368" t="s">
        <v>168</v>
      </c>
      <c r="FZL136" s="369">
        <v>0.5</v>
      </c>
      <c r="FZM136" s="370" t="e">
        <f>10/FZI134</f>
        <v>#DIV/0!</v>
      </c>
      <c r="FZN136" s="371">
        <v>15.38</v>
      </c>
      <c r="FZO136" s="371" t="e">
        <f>FZL136*FZM136*FZN136</f>
        <v>#DIV/0!</v>
      </c>
      <c r="FZP136" s="367" t="s">
        <v>206</v>
      </c>
      <c r="FZQ136" s="367"/>
      <c r="FZR136" s="367"/>
      <c r="FZS136" s="368" t="s">
        <v>168</v>
      </c>
      <c r="FZT136" s="369">
        <v>0.5</v>
      </c>
      <c r="FZU136" s="370" t="e">
        <f>10/FZQ134</f>
        <v>#DIV/0!</v>
      </c>
      <c r="FZV136" s="371">
        <v>15.38</v>
      </c>
      <c r="FZW136" s="371" t="e">
        <f>FZT136*FZU136*FZV136</f>
        <v>#DIV/0!</v>
      </c>
      <c r="FZX136" s="367" t="s">
        <v>206</v>
      </c>
      <c r="FZY136" s="367"/>
      <c r="FZZ136" s="367"/>
      <c r="GAA136" s="368" t="s">
        <v>168</v>
      </c>
      <c r="GAB136" s="369">
        <v>0.5</v>
      </c>
      <c r="GAC136" s="370" t="e">
        <f>10/FZY134</f>
        <v>#DIV/0!</v>
      </c>
      <c r="GAD136" s="371">
        <v>15.38</v>
      </c>
      <c r="GAE136" s="371" t="e">
        <f>GAB136*GAC136*GAD136</f>
        <v>#DIV/0!</v>
      </c>
      <c r="GAF136" s="367" t="s">
        <v>206</v>
      </c>
      <c r="GAG136" s="367"/>
      <c r="GAH136" s="367"/>
      <c r="GAI136" s="368" t="s">
        <v>168</v>
      </c>
      <c r="GAJ136" s="369">
        <v>0.5</v>
      </c>
      <c r="GAK136" s="370" t="e">
        <f>10/GAG134</f>
        <v>#DIV/0!</v>
      </c>
      <c r="GAL136" s="371">
        <v>15.38</v>
      </c>
      <c r="GAM136" s="371" t="e">
        <f>GAJ136*GAK136*GAL136</f>
        <v>#DIV/0!</v>
      </c>
      <c r="GAN136" s="367" t="s">
        <v>206</v>
      </c>
      <c r="GAO136" s="367"/>
      <c r="GAP136" s="367"/>
      <c r="GAQ136" s="368" t="s">
        <v>168</v>
      </c>
      <c r="GAR136" s="369">
        <v>0.5</v>
      </c>
      <c r="GAS136" s="370" t="e">
        <f>10/GAO134</f>
        <v>#DIV/0!</v>
      </c>
      <c r="GAT136" s="371">
        <v>15.38</v>
      </c>
      <c r="GAU136" s="371" t="e">
        <f>GAR136*GAS136*GAT136</f>
        <v>#DIV/0!</v>
      </c>
      <c r="GAV136" s="367" t="s">
        <v>206</v>
      </c>
      <c r="GAW136" s="367"/>
      <c r="GAX136" s="367"/>
      <c r="GAY136" s="368" t="s">
        <v>168</v>
      </c>
      <c r="GAZ136" s="369">
        <v>0.5</v>
      </c>
      <c r="GBA136" s="370" t="e">
        <f>10/GAW134</f>
        <v>#DIV/0!</v>
      </c>
      <c r="GBB136" s="371">
        <v>15.38</v>
      </c>
      <c r="GBC136" s="371" t="e">
        <f>GAZ136*GBA136*GBB136</f>
        <v>#DIV/0!</v>
      </c>
      <c r="GBD136" s="367" t="s">
        <v>206</v>
      </c>
      <c r="GBE136" s="367"/>
      <c r="GBF136" s="367"/>
      <c r="GBG136" s="368" t="s">
        <v>168</v>
      </c>
      <c r="GBH136" s="369">
        <v>0.5</v>
      </c>
      <c r="GBI136" s="370" t="e">
        <f>10/GBE134</f>
        <v>#DIV/0!</v>
      </c>
      <c r="GBJ136" s="371">
        <v>15.38</v>
      </c>
      <c r="GBK136" s="371" t="e">
        <f>GBH136*GBI136*GBJ136</f>
        <v>#DIV/0!</v>
      </c>
      <c r="GBL136" s="367" t="s">
        <v>206</v>
      </c>
      <c r="GBM136" s="367"/>
      <c r="GBN136" s="367"/>
      <c r="GBO136" s="368" t="s">
        <v>168</v>
      </c>
      <c r="GBP136" s="369">
        <v>0.5</v>
      </c>
      <c r="GBQ136" s="370" t="e">
        <f>10/GBM134</f>
        <v>#DIV/0!</v>
      </c>
      <c r="GBR136" s="371">
        <v>15.38</v>
      </c>
      <c r="GBS136" s="371" t="e">
        <f>GBP136*GBQ136*GBR136</f>
        <v>#DIV/0!</v>
      </c>
      <c r="GBT136" s="367" t="s">
        <v>206</v>
      </c>
      <c r="GBU136" s="367"/>
      <c r="GBV136" s="367"/>
      <c r="GBW136" s="368" t="s">
        <v>168</v>
      </c>
      <c r="GBX136" s="369">
        <v>0.5</v>
      </c>
      <c r="GBY136" s="370" t="e">
        <f>10/GBU134</f>
        <v>#DIV/0!</v>
      </c>
      <c r="GBZ136" s="371">
        <v>15.38</v>
      </c>
      <c r="GCA136" s="371" t="e">
        <f>GBX136*GBY136*GBZ136</f>
        <v>#DIV/0!</v>
      </c>
      <c r="GCB136" s="367" t="s">
        <v>206</v>
      </c>
      <c r="GCC136" s="367"/>
      <c r="GCD136" s="367"/>
      <c r="GCE136" s="368" t="s">
        <v>168</v>
      </c>
      <c r="GCF136" s="369">
        <v>0.5</v>
      </c>
      <c r="GCG136" s="370" t="e">
        <f>10/GCC134</f>
        <v>#DIV/0!</v>
      </c>
      <c r="GCH136" s="371">
        <v>15.38</v>
      </c>
      <c r="GCI136" s="371" t="e">
        <f>GCF136*GCG136*GCH136</f>
        <v>#DIV/0!</v>
      </c>
      <c r="GCJ136" s="367" t="s">
        <v>206</v>
      </c>
      <c r="GCK136" s="367"/>
      <c r="GCL136" s="367"/>
      <c r="GCM136" s="368" t="s">
        <v>168</v>
      </c>
      <c r="GCN136" s="369">
        <v>0.5</v>
      </c>
      <c r="GCO136" s="370" t="e">
        <f>10/GCK134</f>
        <v>#DIV/0!</v>
      </c>
      <c r="GCP136" s="371">
        <v>15.38</v>
      </c>
      <c r="GCQ136" s="371" t="e">
        <f>GCN136*GCO136*GCP136</f>
        <v>#DIV/0!</v>
      </c>
      <c r="GCR136" s="367" t="s">
        <v>206</v>
      </c>
      <c r="GCS136" s="367"/>
      <c r="GCT136" s="367"/>
      <c r="GCU136" s="368" t="s">
        <v>168</v>
      </c>
      <c r="GCV136" s="369">
        <v>0.5</v>
      </c>
      <c r="GCW136" s="370" t="e">
        <f>10/GCS134</f>
        <v>#DIV/0!</v>
      </c>
      <c r="GCX136" s="371">
        <v>15.38</v>
      </c>
      <c r="GCY136" s="371" t="e">
        <f>GCV136*GCW136*GCX136</f>
        <v>#DIV/0!</v>
      </c>
      <c r="GCZ136" s="367" t="s">
        <v>206</v>
      </c>
      <c r="GDA136" s="367"/>
      <c r="GDB136" s="367"/>
      <c r="GDC136" s="368" t="s">
        <v>168</v>
      </c>
      <c r="GDD136" s="369">
        <v>0.5</v>
      </c>
      <c r="GDE136" s="370" t="e">
        <f>10/GDA134</f>
        <v>#DIV/0!</v>
      </c>
      <c r="GDF136" s="371">
        <v>15.38</v>
      </c>
      <c r="GDG136" s="371" t="e">
        <f>GDD136*GDE136*GDF136</f>
        <v>#DIV/0!</v>
      </c>
      <c r="GDH136" s="367" t="s">
        <v>206</v>
      </c>
      <c r="GDI136" s="367"/>
      <c r="GDJ136" s="367"/>
      <c r="GDK136" s="368" t="s">
        <v>168</v>
      </c>
      <c r="GDL136" s="369">
        <v>0.5</v>
      </c>
      <c r="GDM136" s="370" t="e">
        <f>10/GDI134</f>
        <v>#DIV/0!</v>
      </c>
      <c r="GDN136" s="371">
        <v>15.38</v>
      </c>
      <c r="GDO136" s="371" t="e">
        <f>GDL136*GDM136*GDN136</f>
        <v>#DIV/0!</v>
      </c>
      <c r="GDP136" s="367" t="s">
        <v>206</v>
      </c>
      <c r="GDQ136" s="367"/>
      <c r="GDR136" s="367"/>
      <c r="GDS136" s="368" t="s">
        <v>168</v>
      </c>
      <c r="GDT136" s="369">
        <v>0.5</v>
      </c>
      <c r="GDU136" s="370" t="e">
        <f>10/GDQ134</f>
        <v>#DIV/0!</v>
      </c>
      <c r="GDV136" s="371">
        <v>15.38</v>
      </c>
      <c r="GDW136" s="371" t="e">
        <f>GDT136*GDU136*GDV136</f>
        <v>#DIV/0!</v>
      </c>
      <c r="GDX136" s="367" t="s">
        <v>206</v>
      </c>
      <c r="GDY136" s="367"/>
      <c r="GDZ136" s="367"/>
      <c r="GEA136" s="368" t="s">
        <v>168</v>
      </c>
      <c r="GEB136" s="369">
        <v>0.5</v>
      </c>
      <c r="GEC136" s="370" t="e">
        <f>10/GDY134</f>
        <v>#DIV/0!</v>
      </c>
      <c r="GED136" s="371">
        <v>15.38</v>
      </c>
      <c r="GEE136" s="371" t="e">
        <f>GEB136*GEC136*GED136</f>
        <v>#DIV/0!</v>
      </c>
      <c r="GEF136" s="367" t="s">
        <v>206</v>
      </c>
      <c r="GEG136" s="367"/>
      <c r="GEH136" s="367"/>
      <c r="GEI136" s="368" t="s">
        <v>168</v>
      </c>
      <c r="GEJ136" s="369">
        <v>0.5</v>
      </c>
      <c r="GEK136" s="370" t="e">
        <f>10/GEG134</f>
        <v>#DIV/0!</v>
      </c>
      <c r="GEL136" s="371">
        <v>15.38</v>
      </c>
      <c r="GEM136" s="371" t="e">
        <f>GEJ136*GEK136*GEL136</f>
        <v>#DIV/0!</v>
      </c>
      <c r="GEN136" s="367" t="s">
        <v>206</v>
      </c>
      <c r="GEO136" s="367"/>
      <c r="GEP136" s="367"/>
      <c r="GEQ136" s="368" t="s">
        <v>168</v>
      </c>
      <c r="GER136" s="369">
        <v>0.5</v>
      </c>
      <c r="GES136" s="370" t="e">
        <f>10/GEO134</f>
        <v>#DIV/0!</v>
      </c>
      <c r="GET136" s="371">
        <v>15.38</v>
      </c>
      <c r="GEU136" s="371" t="e">
        <f>GER136*GES136*GET136</f>
        <v>#DIV/0!</v>
      </c>
      <c r="GEV136" s="367" t="s">
        <v>206</v>
      </c>
      <c r="GEW136" s="367"/>
      <c r="GEX136" s="367"/>
      <c r="GEY136" s="368" t="s">
        <v>168</v>
      </c>
      <c r="GEZ136" s="369">
        <v>0.5</v>
      </c>
      <c r="GFA136" s="370" t="e">
        <f>10/GEW134</f>
        <v>#DIV/0!</v>
      </c>
      <c r="GFB136" s="371">
        <v>15.38</v>
      </c>
      <c r="GFC136" s="371" t="e">
        <f>GEZ136*GFA136*GFB136</f>
        <v>#DIV/0!</v>
      </c>
      <c r="GFD136" s="367" t="s">
        <v>206</v>
      </c>
      <c r="GFE136" s="367"/>
      <c r="GFF136" s="367"/>
      <c r="GFG136" s="368" t="s">
        <v>168</v>
      </c>
      <c r="GFH136" s="369">
        <v>0.5</v>
      </c>
      <c r="GFI136" s="370" t="e">
        <f>10/GFE134</f>
        <v>#DIV/0!</v>
      </c>
      <c r="GFJ136" s="371">
        <v>15.38</v>
      </c>
      <c r="GFK136" s="371" t="e">
        <f>GFH136*GFI136*GFJ136</f>
        <v>#DIV/0!</v>
      </c>
      <c r="GFL136" s="367" t="s">
        <v>206</v>
      </c>
      <c r="GFM136" s="367"/>
      <c r="GFN136" s="367"/>
      <c r="GFO136" s="368" t="s">
        <v>168</v>
      </c>
      <c r="GFP136" s="369">
        <v>0.5</v>
      </c>
      <c r="GFQ136" s="370" t="e">
        <f>10/GFM134</f>
        <v>#DIV/0!</v>
      </c>
      <c r="GFR136" s="371">
        <v>15.38</v>
      </c>
      <c r="GFS136" s="371" t="e">
        <f>GFP136*GFQ136*GFR136</f>
        <v>#DIV/0!</v>
      </c>
      <c r="GFT136" s="367" t="s">
        <v>206</v>
      </c>
      <c r="GFU136" s="367"/>
      <c r="GFV136" s="367"/>
      <c r="GFW136" s="368" t="s">
        <v>168</v>
      </c>
      <c r="GFX136" s="369">
        <v>0.5</v>
      </c>
      <c r="GFY136" s="370" t="e">
        <f>10/GFU134</f>
        <v>#DIV/0!</v>
      </c>
      <c r="GFZ136" s="371">
        <v>15.38</v>
      </c>
      <c r="GGA136" s="371" t="e">
        <f>GFX136*GFY136*GFZ136</f>
        <v>#DIV/0!</v>
      </c>
      <c r="GGB136" s="367" t="s">
        <v>206</v>
      </c>
      <c r="GGC136" s="367"/>
      <c r="GGD136" s="367"/>
      <c r="GGE136" s="368" t="s">
        <v>168</v>
      </c>
      <c r="GGF136" s="369">
        <v>0.5</v>
      </c>
      <c r="GGG136" s="370" t="e">
        <f>10/GGC134</f>
        <v>#DIV/0!</v>
      </c>
      <c r="GGH136" s="371">
        <v>15.38</v>
      </c>
      <c r="GGI136" s="371" t="e">
        <f>GGF136*GGG136*GGH136</f>
        <v>#DIV/0!</v>
      </c>
      <c r="GGJ136" s="367" t="s">
        <v>206</v>
      </c>
      <c r="GGK136" s="367"/>
      <c r="GGL136" s="367"/>
      <c r="GGM136" s="368" t="s">
        <v>168</v>
      </c>
      <c r="GGN136" s="369">
        <v>0.5</v>
      </c>
      <c r="GGO136" s="370" t="e">
        <f>10/GGK134</f>
        <v>#DIV/0!</v>
      </c>
      <c r="GGP136" s="371">
        <v>15.38</v>
      </c>
      <c r="GGQ136" s="371" t="e">
        <f>GGN136*GGO136*GGP136</f>
        <v>#DIV/0!</v>
      </c>
      <c r="GGR136" s="367" t="s">
        <v>206</v>
      </c>
      <c r="GGS136" s="367"/>
      <c r="GGT136" s="367"/>
      <c r="GGU136" s="368" t="s">
        <v>168</v>
      </c>
      <c r="GGV136" s="369">
        <v>0.5</v>
      </c>
      <c r="GGW136" s="370" t="e">
        <f>10/GGS134</f>
        <v>#DIV/0!</v>
      </c>
      <c r="GGX136" s="371">
        <v>15.38</v>
      </c>
      <c r="GGY136" s="371" t="e">
        <f>GGV136*GGW136*GGX136</f>
        <v>#DIV/0!</v>
      </c>
      <c r="GGZ136" s="367" t="s">
        <v>206</v>
      </c>
      <c r="GHA136" s="367"/>
      <c r="GHB136" s="367"/>
      <c r="GHC136" s="368" t="s">
        <v>168</v>
      </c>
      <c r="GHD136" s="369">
        <v>0.5</v>
      </c>
      <c r="GHE136" s="370" t="e">
        <f>10/GHA134</f>
        <v>#DIV/0!</v>
      </c>
      <c r="GHF136" s="371">
        <v>15.38</v>
      </c>
      <c r="GHG136" s="371" t="e">
        <f>GHD136*GHE136*GHF136</f>
        <v>#DIV/0!</v>
      </c>
      <c r="GHH136" s="367" t="s">
        <v>206</v>
      </c>
      <c r="GHI136" s="367"/>
      <c r="GHJ136" s="367"/>
      <c r="GHK136" s="368" t="s">
        <v>168</v>
      </c>
      <c r="GHL136" s="369">
        <v>0.5</v>
      </c>
      <c r="GHM136" s="370" t="e">
        <f>10/GHI134</f>
        <v>#DIV/0!</v>
      </c>
      <c r="GHN136" s="371">
        <v>15.38</v>
      </c>
      <c r="GHO136" s="371" t="e">
        <f>GHL136*GHM136*GHN136</f>
        <v>#DIV/0!</v>
      </c>
      <c r="GHP136" s="367" t="s">
        <v>206</v>
      </c>
      <c r="GHQ136" s="367"/>
      <c r="GHR136" s="367"/>
      <c r="GHS136" s="368" t="s">
        <v>168</v>
      </c>
      <c r="GHT136" s="369">
        <v>0.5</v>
      </c>
      <c r="GHU136" s="370" t="e">
        <f>10/GHQ134</f>
        <v>#DIV/0!</v>
      </c>
      <c r="GHV136" s="371">
        <v>15.38</v>
      </c>
      <c r="GHW136" s="371" t="e">
        <f>GHT136*GHU136*GHV136</f>
        <v>#DIV/0!</v>
      </c>
      <c r="GHX136" s="367" t="s">
        <v>206</v>
      </c>
      <c r="GHY136" s="367"/>
      <c r="GHZ136" s="367"/>
      <c r="GIA136" s="368" t="s">
        <v>168</v>
      </c>
      <c r="GIB136" s="369">
        <v>0.5</v>
      </c>
      <c r="GIC136" s="370" t="e">
        <f>10/GHY134</f>
        <v>#DIV/0!</v>
      </c>
      <c r="GID136" s="371">
        <v>15.38</v>
      </c>
      <c r="GIE136" s="371" t="e">
        <f>GIB136*GIC136*GID136</f>
        <v>#DIV/0!</v>
      </c>
      <c r="GIF136" s="367" t="s">
        <v>206</v>
      </c>
      <c r="GIG136" s="367"/>
      <c r="GIH136" s="367"/>
      <c r="GII136" s="368" t="s">
        <v>168</v>
      </c>
      <c r="GIJ136" s="369">
        <v>0.5</v>
      </c>
      <c r="GIK136" s="370" t="e">
        <f>10/GIG134</f>
        <v>#DIV/0!</v>
      </c>
      <c r="GIL136" s="371">
        <v>15.38</v>
      </c>
      <c r="GIM136" s="371" t="e">
        <f>GIJ136*GIK136*GIL136</f>
        <v>#DIV/0!</v>
      </c>
      <c r="GIN136" s="367" t="s">
        <v>206</v>
      </c>
      <c r="GIO136" s="367"/>
      <c r="GIP136" s="367"/>
      <c r="GIQ136" s="368" t="s">
        <v>168</v>
      </c>
      <c r="GIR136" s="369">
        <v>0.5</v>
      </c>
      <c r="GIS136" s="370" t="e">
        <f>10/GIO134</f>
        <v>#DIV/0!</v>
      </c>
      <c r="GIT136" s="371">
        <v>15.38</v>
      </c>
      <c r="GIU136" s="371" t="e">
        <f>GIR136*GIS136*GIT136</f>
        <v>#DIV/0!</v>
      </c>
      <c r="GIV136" s="367" t="s">
        <v>206</v>
      </c>
      <c r="GIW136" s="367"/>
      <c r="GIX136" s="367"/>
      <c r="GIY136" s="368" t="s">
        <v>168</v>
      </c>
      <c r="GIZ136" s="369">
        <v>0.5</v>
      </c>
      <c r="GJA136" s="370" t="e">
        <f>10/GIW134</f>
        <v>#DIV/0!</v>
      </c>
      <c r="GJB136" s="371">
        <v>15.38</v>
      </c>
      <c r="GJC136" s="371" t="e">
        <f>GIZ136*GJA136*GJB136</f>
        <v>#DIV/0!</v>
      </c>
      <c r="GJD136" s="367" t="s">
        <v>206</v>
      </c>
      <c r="GJE136" s="367"/>
      <c r="GJF136" s="367"/>
      <c r="GJG136" s="368" t="s">
        <v>168</v>
      </c>
      <c r="GJH136" s="369">
        <v>0.5</v>
      </c>
      <c r="GJI136" s="370" t="e">
        <f>10/GJE134</f>
        <v>#DIV/0!</v>
      </c>
      <c r="GJJ136" s="371">
        <v>15.38</v>
      </c>
      <c r="GJK136" s="371" t="e">
        <f>GJH136*GJI136*GJJ136</f>
        <v>#DIV/0!</v>
      </c>
      <c r="GJL136" s="367" t="s">
        <v>206</v>
      </c>
      <c r="GJM136" s="367"/>
      <c r="GJN136" s="367"/>
      <c r="GJO136" s="368" t="s">
        <v>168</v>
      </c>
      <c r="GJP136" s="369">
        <v>0.5</v>
      </c>
      <c r="GJQ136" s="370" t="e">
        <f>10/GJM134</f>
        <v>#DIV/0!</v>
      </c>
      <c r="GJR136" s="371">
        <v>15.38</v>
      </c>
      <c r="GJS136" s="371" t="e">
        <f>GJP136*GJQ136*GJR136</f>
        <v>#DIV/0!</v>
      </c>
      <c r="GJT136" s="367" t="s">
        <v>206</v>
      </c>
      <c r="GJU136" s="367"/>
      <c r="GJV136" s="367"/>
      <c r="GJW136" s="368" t="s">
        <v>168</v>
      </c>
      <c r="GJX136" s="369">
        <v>0.5</v>
      </c>
      <c r="GJY136" s="370" t="e">
        <f>10/GJU134</f>
        <v>#DIV/0!</v>
      </c>
      <c r="GJZ136" s="371">
        <v>15.38</v>
      </c>
      <c r="GKA136" s="371" t="e">
        <f>GJX136*GJY136*GJZ136</f>
        <v>#DIV/0!</v>
      </c>
      <c r="GKB136" s="367" t="s">
        <v>206</v>
      </c>
      <c r="GKC136" s="367"/>
      <c r="GKD136" s="367"/>
      <c r="GKE136" s="368" t="s">
        <v>168</v>
      </c>
      <c r="GKF136" s="369">
        <v>0.5</v>
      </c>
      <c r="GKG136" s="370" t="e">
        <f>10/GKC134</f>
        <v>#DIV/0!</v>
      </c>
      <c r="GKH136" s="371">
        <v>15.38</v>
      </c>
      <c r="GKI136" s="371" t="e">
        <f>GKF136*GKG136*GKH136</f>
        <v>#DIV/0!</v>
      </c>
      <c r="GKJ136" s="367" t="s">
        <v>206</v>
      </c>
      <c r="GKK136" s="367"/>
      <c r="GKL136" s="367"/>
      <c r="GKM136" s="368" t="s">
        <v>168</v>
      </c>
      <c r="GKN136" s="369">
        <v>0.5</v>
      </c>
      <c r="GKO136" s="370" t="e">
        <f>10/GKK134</f>
        <v>#DIV/0!</v>
      </c>
      <c r="GKP136" s="371">
        <v>15.38</v>
      </c>
      <c r="GKQ136" s="371" t="e">
        <f>GKN136*GKO136*GKP136</f>
        <v>#DIV/0!</v>
      </c>
      <c r="GKR136" s="367" t="s">
        <v>206</v>
      </c>
      <c r="GKS136" s="367"/>
      <c r="GKT136" s="367"/>
      <c r="GKU136" s="368" t="s">
        <v>168</v>
      </c>
      <c r="GKV136" s="369">
        <v>0.5</v>
      </c>
      <c r="GKW136" s="370" t="e">
        <f>10/GKS134</f>
        <v>#DIV/0!</v>
      </c>
      <c r="GKX136" s="371">
        <v>15.38</v>
      </c>
      <c r="GKY136" s="371" t="e">
        <f>GKV136*GKW136*GKX136</f>
        <v>#DIV/0!</v>
      </c>
      <c r="GKZ136" s="367" t="s">
        <v>206</v>
      </c>
      <c r="GLA136" s="367"/>
      <c r="GLB136" s="367"/>
      <c r="GLC136" s="368" t="s">
        <v>168</v>
      </c>
      <c r="GLD136" s="369">
        <v>0.5</v>
      </c>
      <c r="GLE136" s="370" t="e">
        <f>10/GLA134</f>
        <v>#DIV/0!</v>
      </c>
      <c r="GLF136" s="371">
        <v>15.38</v>
      </c>
      <c r="GLG136" s="371" t="e">
        <f>GLD136*GLE136*GLF136</f>
        <v>#DIV/0!</v>
      </c>
      <c r="GLH136" s="367" t="s">
        <v>206</v>
      </c>
      <c r="GLI136" s="367"/>
      <c r="GLJ136" s="367"/>
      <c r="GLK136" s="368" t="s">
        <v>168</v>
      </c>
      <c r="GLL136" s="369">
        <v>0.5</v>
      </c>
      <c r="GLM136" s="370" t="e">
        <f>10/GLI134</f>
        <v>#DIV/0!</v>
      </c>
      <c r="GLN136" s="371">
        <v>15.38</v>
      </c>
      <c r="GLO136" s="371" t="e">
        <f>GLL136*GLM136*GLN136</f>
        <v>#DIV/0!</v>
      </c>
      <c r="GLP136" s="367" t="s">
        <v>206</v>
      </c>
      <c r="GLQ136" s="367"/>
      <c r="GLR136" s="367"/>
      <c r="GLS136" s="368" t="s">
        <v>168</v>
      </c>
      <c r="GLT136" s="369">
        <v>0.5</v>
      </c>
      <c r="GLU136" s="370" t="e">
        <f>10/GLQ134</f>
        <v>#DIV/0!</v>
      </c>
      <c r="GLV136" s="371">
        <v>15.38</v>
      </c>
      <c r="GLW136" s="371" t="e">
        <f>GLT136*GLU136*GLV136</f>
        <v>#DIV/0!</v>
      </c>
      <c r="GLX136" s="367" t="s">
        <v>206</v>
      </c>
      <c r="GLY136" s="367"/>
      <c r="GLZ136" s="367"/>
      <c r="GMA136" s="368" t="s">
        <v>168</v>
      </c>
      <c r="GMB136" s="369">
        <v>0.5</v>
      </c>
      <c r="GMC136" s="370" t="e">
        <f>10/GLY134</f>
        <v>#DIV/0!</v>
      </c>
      <c r="GMD136" s="371">
        <v>15.38</v>
      </c>
      <c r="GME136" s="371" t="e">
        <f>GMB136*GMC136*GMD136</f>
        <v>#DIV/0!</v>
      </c>
      <c r="GMF136" s="367" t="s">
        <v>206</v>
      </c>
      <c r="GMG136" s="367"/>
      <c r="GMH136" s="367"/>
      <c r="GMI136" s="368" t="s">
        <v>168</v>
      </c>
      <c r="GMJ136" s="369">
        <v>0.5</v>
      </c>
      <c r="GMK136" s="370" t="e">
        <f>10/GMG134</f>
        <v>#DIV/0!</v>
      </c>
      <c r="GML136" s="371">
        <v>15.38</v>
      </c>
      <c r="GMM136" s="371" t="e">
        <f>GMJ136*GMK136*GML136</f>
        <v>#DIV/0!</v>
      </c>
      <c r="GMN136" s="367" t="s">
        <v>206</v>
      </c>
      <c r="GMO136" s="367"/>
      <c r="GMP136" s="367"/>
      <c r="GMQ136" s="368" t="s">
        <v>168</v>
      </c>
      <c r="GMR136" s="369">
        <v>0.5</v>
      </c>
      <c r="GMS136" s="370" t="e">
        <f>10/GMO134</f>
        <v>#DIV/0!</v>
      </c>
      <c r="GMT136" s="371">
        <v>15.38</v>
      </c>
      <c r="GMU136" s="371" t="e">
        <f>GMR136*GMS136*GMT136</f>
        <v>#DIV/0!</v>
      </c>
      <c r="GMV136" s="367" t="s">
        <v>206</v>
      </c>
      <c r="GMW136" s="367"/>
      <c r="GMX136" s="367"/>
      <c r="GMY136" s="368" t="s">
        <v>168</v>
      </c>
      <c r="GMZ136" s="369">
        <v>0.5</v>
      </c>
      <c r="GNA136" s="370" t="e">
        <f>10/GMW134</f>
        <v>#DIV/0!</v>
      </c>
      <c r="GNB136" s="371">
        <v>15.38</v>
      </c>
      <c r="GNC136" s="371" t="e">
        <f>GMZ136*GNA136*GNB136</f>
        <v>#DIV/0!</v>
      </c>
      <c r="GND136" s="367" t="s">
        <v>206</v>
      </c>
      <c r="GNE136" s="367"/>
      <c r="GNF136" s="367"/>
      <c r="GNG136" s="368" t="s">
        <v>168</v>
      </c>
      <c r="GNH136" s="369">
        <v>0.5</v>
      </c>
      <c r="GNI136" s="370" t="e">
        <f>10/GNE134</f>
        <v>#DIV/0!</v>
      </c>
      <c r="GNJ136" s="371">
        <v>15.38</v>
      </c>
      <c r="GNK136" s="371" t="e">
        <f>GNH136*GNI136*GNJ136</f>
        <v>#DIV/0!</v>
      </c>
      <c r="GNL136" s="367" t="s">
        <v>206</v>
      </c>
      <c r="GNM136" s="367"/>
      <c r="GNN136" s="367"/>
      <c r="GNO136" s="368" t="s">
        <v>168</v>
      </c>
      <c r="GNP136" s="369">
        <v>0.5</v>
      </c>
      <c r="GNQ136" s="370" t="e">
        <f>10/GNM134</f>
        <v>#DIV/0!</v>
      </c>
      <c r="GNR136" s="371">
        <v>15.38</v>
      </c>
      <c r="GNS136" s="371" t="e">
        <f>GNP136*GNQ136*GNR136</f>
        <v>#DIV/0!</v>
      </c>
      <c r="GNT136" s="367" t="s">
        <v>206</v>
      </c>
      <c r="GNU136" s="367"/>
      <c r="GNV136" s="367"/>
      <c r="GNW136" s="368" t="s">
        <v>168</v>
      </c>
      <c r="GNX136" s="369">
        <v>0.5</v>
      </c>
      <c r="GNY136" s="370" t="e">
        <f>10/GNU134</f>
        <v>#DIV/0!</v>
      </c>
      <c r="GNZ136" s="371">
        <v>15.38</v>
      </c>
      <c r="GOA136" s="371" t="e">
        <f>GNX136*GNY136*GNZ136</f>
        <v>#DIV/0!</v>
      </c>
      <c r="GOB136" s="367" t="s">
        <v>206</v>
      </c>
      <c r="GOC136" s="367"/>
      <c r="GOD136" s="367"/>
      <c r="GOE136" s="368" t="s">
        <v>168</v>
      </c>
      <c r="GOF136" s="369">
        <v>0.5</v>
      </c>
      <c r="GOG136" s="370" t="e">
        <f>10/GOC134</f>
        <v>#DIV/0!</v>
      </c>
      <c r="GOH136" s="371">
        <v>15.38</v>
      </c>
      <c r="GOI136" s="371" t="e">
        <f>GOF136*GOG136*GOH136</f>
        <v>#DIV/0!</v>
      </c>
      <c r="GOJ136" s="367" t="s">
        <v>206</v>
      </c>
      <c r="GOK136" s="367"/>
      <c r="GOL136" s="367"/>
      <c r="GOM136" s="368" t="s">
        <v>168</v>
      </c>
      <c r="GON136" s="369">
        <v>0.5</v>
      </c>
      <c r="GOO136" s="370" t="e">
        <f>10/GOK134</f>
        <v>#DIV/0!</v>
      </c>
      <c r="GOP136" s="371">
        <v>15.38</v>
      </c>
      <c r="GOQ136" s="371" t="e">
        <f>GON136*GOO136*GOP136</f>
        <v>#DIV/0!</v>
      </c>
      <c r="GOR136" s="367" t="s">
        <v>206</v>
      </c>
      <c r="GOS136" s="367"/>
      <c r="GOT136" s="367"/>
      <c r="GOU136" s="368" t="s">
        <v>168</v>
      </c>
      <c r="GOV136" s="369">
        <v>0.5</v>
      </c>
      <c r="GOW136" s="370" t="e">
        <f>10/GOS134</f>
        <v>#DIV/0!</v>
      </c>
      <c r="GOX136" s="371">
        <v>15.38</v>
      </c>
      <c r="GOY136" s="371" t="e">
        <f>GOV136*GOW136*GOX136</f>
        <v>#DIV/0!</v>
      </c>
      <c r="GOZ136" s="367" t="s">
        <v>206</v>
      </c>
      <c r="GPA136" s="367"/>
      <c r="GPB136" s="367"/>
      <c r="GPC136" s="368" t="s">
        <v>168</v>
      </c>
      <c r="GPD136" s="369">
        <v>0.5</v>
      </c>
      <c r="GPE136" s="370" t="e">
        <f>10/GPA134</f>
        <v>#DIV/0!</v>
      </c>
      <c r="GPF136" s="371">
        <v>15.38</v>
      </c>
      <c r="GPG136" s="371" t="e">
        <f>GPD136*GPE136*GPF136</f>
        <v>#DIV/0!</v>
      </c>
      <c r="GPH136" s="367" t="s">
        <v>206</v>
      </c>
      <c r="GPI136" s="367"/>
      <c r="GPJ136" s="367"/>
      <c r="GPK136" s="368" t="s">
        <v>168</v>
      </c>
      <c r="GPL136" s="369">
        <v>0.5</v>
      </c>
      <c r="GPM136" s="370" t="e">
        <f>10/GPI134</f>
        <v>#DIV/0!</v>
      </c>
      <c r="GPN136" s="371">
        <v>15.38</v>
      </c>
      <c r="GPO136" s="371" t="e">
        <f>GPL136*GPM136*GPN136</f>
        <v>#DIV/0!</v>
      </c>
      <c r="GPP136" s="367" t="s">
        <v>206</v>
      </c>
      <c r="GPQ136" s="367"/>
      <c r="GPR136" s="367"/>
      <c r="GPS136" s="368" t="s">
        <v>168</v>
      </c>
      <c r="GPT136" s="369">
        <v>0.5</v>
      </c>
      <c r="GPU136" s="370" t="e">
        <f>10/GPQ134</f>
        <v>#DIV/0!</v>
      </c>
      <c r="GPV136" s="371">
        <v>15.38</v>
      </c>
      <c r="GPW136" s="371" t="e">
        <f>GPT136*GPU136*GPV136</f>
        <v>#DIV/0!</v>
      </c>
      <c r="GPX136" s="367" t="s">
        <v>206</v>
      </c>
      <c r="GPY136" s="367"/>
      <c r="GPZ136" s="367"/>
      <c r="GQA136" s="368" t="s">
        <v>168</v>
      </c>
      <c r="GQB136" s="369">
        <v>0.5</v>
      </c>
      <c r="GQC136" s="370" t="e">
        <f>10/GPY134</f>
        <v>#DIV/0!</v>
      </c>
      <c r="GQD136" s="371">
        <v>15.38</v>
      </c>
      <c r="GQE136" s="371" t="e">
        <f>GQB136*GQC136*GQD136</f>
        <v>#DIV/0!</v>
      </c>
      <c r="GQF136" s="367" t="s">
        <v>206</v>
      </c>
      <c r="GQG136" s="367"/>
      <c r="GQH136" s="367"/>
      <c r="GQI136" s="368" t="s">
        <v>168</v>
      </c>
      <c r="GQJ136" s="369">
        <v>0.5</v>
      </c>
      <c r="GQK136" s="370" t="e">
        <f>10/GQG134</f>
        <v>#DIV/0!</v>
      </c>
      <c r="GQL136" s="371">
        <v>15.38</v>
      </c>
      <c r="GQM136" s="371" t="e">
        <f>GQJ136*GQK136*GQL136</f>
        <v>#DIV/0!</v>
      </c>
      <c r="GQN136" s="367" t="s">
        <v>206</v>
      </c>
      <c r="GQO136" s="367"/>
      <c r="GQP136" s="367"/>
      <c r="GQQ136" s="368" t="s">
        <v>168</v>
      </c>
      <c r="GQR136" s="369">
        <v>0.5</v>
      </c>
      <c r="GQS136" s="370" t="e">
        <f>10/GQO134</f>
        <v>#DIV/0!</v>
      </c>
      <c r="GQT136" s="371">
        <v>15.38</v>
      </c>
      <c r="GQU136" s="371" t="e">
        <f>GQR136*GQS136*GQT136</f>
        <v>#DIV/0!</v>
      </c>
      <c r="GQV136" s="367" t="s">
        <v>206</v>
      </c>
      <c r="GQW136" s="367"/>
      <c r="GQX136" s="367"/>
      <c r="GQY136" s="368" t="s">
        <v>168</v>
      </c>
      <c r="GQZ136" s="369">
        <v>0.5</v>
      </c>
      <c r="GRA136" s="370" t="e">
        <f>10/GQW134</f>
        <v>#DIV/0!</v>
      </c>
      <c r="GRB136" s="371">
        <v>15.38</v>
      </c>
      <c r="GRC136" s="371" t="e">
        <f>GQZ136*GRA136*GRB136</f>
        <v>#DIV/0!</v>
      </c>
      <c r="GRD136" s="367" t="s">
        <v>206</v>
      </c>
      <c r="GRE136" s="367"/>
      <c r="GRF136" s="367"/>
      <c r="GRG136" s="368" t="s">
        <v>168</v>
      </c>
      <c r="GRH136" s="369">
        <v>0.5</v>
      </c>
      <c r="GRI136" s="370" t="e">
        <f>10/GRE134</f>
        <v>#DIV/0!</v>
      </c>
      <c r="GRJ136" s="371">
        <v>15.38</v>
      </c>
      <c r="GRK136" s="371" t="e">
        <f>GRH136*GRI136*GRJ136</f>
        <v>#DIV/0!</v>
      </c>
      <c r="GRL136" s="367" t="s">
        <v>206</v>
      </c>
      <c r="GRM136" s="367"/>
      <c r="GRN136" s="367"/>
      <c r="GRO136" s="368" t="s">
        <v>168</v>
      </c>
      <c r="GRP136" s="369">
        <v>0.5</v>
      </c>
      <c r="GRQ136" s="370" t="e">
        <f>10/GRM134</f>
        <v>#DIV/0!</v>
      </c>
      <c r="GRR136" s="371">
        <v>15.38</v>
      </c>
      <c r="GRS136" s="371" t="e">
        <f>GRP136*GRQ136*GRR136</f>
        <v>#DIV/0!</v>
      </c>
      <c r="GRT136" s="367" t="s">
        <v>206</v>
      </c>
      <c r="GRU136" s="367"/>
      <c r="GRV136" s="367"/>
      <c r="GRW136" s="368" t="s">
        <v>168</v>
      </c>
      <c r="GRX136" s="369">
        <v>0.5</v>
      </c>
      <c r="GRY136" s="370" t="e">
        <f>10/GRU134</f>
        <v>#DIV/0!</v>
      </c>
      <c r="GRZ136" s="371">
        <v>15.38</v>
      </c>
      <c r="GSA136" s="371" t="e">
        <f>GRX136*GRY136*GRZ136</f>
        <v>#DIV/0!</v>
      </c>
      <c r="GSB136" s="367" t="s">
        <v>206</v>
      </c>
      <c r="GSC136" s="367"/>
      <c r="GSD136" s="367"/>
      <c r="GSE136" s="368" t="s">
        <v>168</v>
      </c>
      <c r="GSF136" s="369">
        <v>0.5</v>
      </c>
      <c r="GSG136" s="370" t="e">
        <f>10/GSC134</f>
        <v>#DIV/0!</v>
      </c>
      <c r="GSH136" s="371">
        <v>15.38</v>
      </c>
      <c r="GSI136" s="371" t="e">
        <f>GSF136*GSG136*GSH136</f>
        <v>#DIV/0!</v>
      </c>
      <c r="GSJ136" s="367" t="s">
        <v>206</v>
      </c>
      <c r="GSK136" s="367"/>
      <c r="GSL136" s="367"/>
      <c r="GSM136" s="368" t="s">
        <v>168</v>
      </c>
      <c r="GSN136" s="369">
        <v>0.5</v>
      </c>
      <c r="GSO136" s="370" t="e">
        <f>10/GSK134</f>
        <v>#DIV/0!</v>
      </c>
      <c r="GSP136" s="371">
        <v>15.38</v>
      </c>
      <c r="GSQ136" s="371" t="e">
        <f>GSN136*GSO136*GSP136</f>
        <v>#DIV/0!</v>
      </c>
      <c r="GSR136" s="367" t="s">
        <v>206</v>
      </c>
      <c r="GSS136" s="367"/>
      <c r="GST136" s="367"/>
      <c r="GSU136" s="368" t="s">
        <v>168</v>
      </c>
      <c r="GSV136" s="369">
        <v>0.5</v>
      </c>
      <c r="GSW136" s="370" t="e">
        <f>10/GSS134</f>
        <v>#DIV/0!</v>
      </c>
      <c r="GSX136" s="371">
        <v>15.38</v>
      </c>
      <c r="GSY136" s="371" t="e">
        <f>GSV136*GSW136*GSX136</f>
        <v>#DIV/0!</v>
      </c>
      <c r="GSZ136" s="367" t="s">
        <v>206</v>
      </c>
      <c r="GTA136" s="367"/>
      <c r="GTB136" s="367"/>
      <c r="GTC136" s="368" t="s">
        <v>168</v>
      </c>
      <c r="GTD136" s="369">
        <v>0.5</v>
      </c>
      <c r="GTE136" s="370" t="e">
        <f>10/GTA134</f>
        <v>#DIV/0!</v>
      </c>
      <c r="GTF136" s="371">
        <v>15.38</v>
      </c>
      <c r="GTG136" s="371" t="e">
        <f>GTD136*GTE136*GTF136</f>
        <v>#DIV/0!</v>
      </c>
      <c r="GTH136" s="367" t="s">
        <v>206</v>
      </c>
      <c r="GTI136" s="367"/>
      <c r="GTJ136" s="367"/>
      <c r="GTK136" s="368" t="s">
        <v>168</v>
      </c>
      <c r="GTL136" s="369">
        <v>0.5</v>
      </c>
      <c r="GTM136" s="370" t="e">
        <f>10/GTI134</f>
        <v>#DIV/0!</v>
      </c>
      <c r="GTN136" s="371">
        <v>15.38</v>
      </c>
      <c r="GTO136" s="371" t="e">
        <f>GTL136*GTM136*GTN136</f>
        <v>#DIV/0!</v>
      </c>
      <c r="GTP136" s="367" t="s">
        <v>206</v>
      </c>
      <c r="GTQ136" s="367"/>
      <c r="GTR136" s="367"/>
      <c r="GTS136" s="368" t="s">
        <v>168</v>
      </c>
      <c r="GTT136" s="369">
        <v>0.5</v>
      </c>
      <c r="GTU136" s="370" t="e">
        <f>10/GTQ134</f>
        <v>#DIV/0!</v>
      </c>
      <c r="GTV136" s="371">
        <v>15.38</v>
      </c>
      <c r="GTW136" s="371" t="e">
        <f>GTT136*GTU136*GTV136</f>
        <v>#DIV/0!</v>
      </c>
      <c r="GTX136" s="367" t="s">
        <v>206</v>
      </c>
      <c r="GTY136" s="367"/>
      <c r="GTZ136" s="367"/>
      <c r="GUA136" s="368" t="s">
        <v>168</v>
      </c>
      <c r="GUB136" s="369">
        <v>0.5</v>
      </c>
      <c r="GUC136" s="370" t="e">
        <f>10/GTY134</f>
        <v>#DIV/0!</v>
      </c>
      <c r="GUD136" s="371">
        <v>15.38</v>
      </c>
      <c r="GUE136" s="371" t="e">
        <f>GUB136*GUC136*GUD136</f>
        <v>#DIV/0!</v>
      </c>
      <c r="GUF136" s="367" t="s">
        <v>206</v>
      </c>
      <c r="GUG136" s="367"/>
      <c r="GUH136" s="367"/>
      <c r="GUI136" s="368" t="s">
        <v>168</v>
      </c>
      <c r="GUJ136" s="369">
        <v>0.5</v>
      </c>
      <c r="GUK136" s="370" t="e">
        <f>10/GUG134</f>
        <v>#DIV/0!</v>
      </c>
      <c r="GUL136" s="371">
        <v>15.38</v>
      </c>
      <c r="GUM136" s="371" t="e">
        <f>GUJ136*GUK136*GUL136</f>
        <v>#DIV/0!</v>
      </c>
      <c r="GUN136" s="367" t="s">
        <v>206</v>
      </c>
      <c r="GUO136" s="367"/>
      <c r="GUP136" s="367"/>
      <c r="GUQ136" s="368" t="s">
        <v>168</v>
      </c>
      <c r="GUR136" s="369">
        <v>0.5</v>
      </c>
      <c r="GUS136" s="370" t="e">
        <f>10/GUO134</f>
        <v>#DIV/0!</v>
      </c>
      <c r="GUT136" s="371">
        <v>15.38</v>
      </c>
      <c r="GUU136" s="371" t="e">
        <f>GUR136*GUS136*GUT136</f>
        <v>#DIV/0!</v>
      </c>
      <c r="GUV136" s="367" t="s">
        <v>206</v>
      </c>
      <c r="GUW136" s="367"/>
      <c r="GUX136" s="367"/>
      <c r="GUY136" s="368" t="s">
        <v>168</v>
      </c>
      <c r="GUZ136" s="369">
        <v>0.5</v>
      </c>
      <c r="GVA136" s="370" t="e">
        <f>10/GUW134</f>
        <v>#DIV/0!</v>
      </c>
      <c r="GVB136" s="371">
        <v>15.38</v>
      </c>
      <c r="GVC136" s="371" t="e">
        <f>GUZ136*GVA136*GVB136</f>
        <v>#DIV/0!</v>
      </c>
      <c r="GVD136" s="367" t="s">
        <v>206</v>
      </c>
      <c r="GVE136" s="367"/>
      <c r="GVF136" s="367"/>
      <c r="GVG136" s="368" t="s">
        <v>168</v>
      </c>
      <c r="GVH136" s="369">
        <v>0.5</v>
      </c>
      <c r="GVI136" s="370" t="e">
        <f>10/GVE134</f>
        <v>#DIV/0!</v>
      </c>
      <c r="GVJ136" s="371">
        <v>15.38</v>
      </c>
      <c r="GVK136" s="371" t="e">
        <f>GVH136*GVI136*GVJ136</f>
        <v>#DIV/0!</v>
      </c>
      <c r="GVL136" s="367" t="s">
        <v>206</v>
      </c>
      <c r="GVM136" s="367"/>
      <c r="GVN136" s="367"/>
      <c r="GVO136" s="368" t="s">
        <v>168</v>
      </c>
      <c r="GVP136" s="369">
        <v>0.5</v>
      </c>
      <c r="GVQ136" s="370" t="e">
        <f>10/GVM134</f>
        <v>#DIV/0!</v>
      </c>
      <c r="GVR136" s="371">
        <v>15.38</v>
      </c>
      <c r="GVS136" s="371" t="e">
        <f>GVP136*GVQ136*GVR136</f>
        <v>#DIV/0!</v>
      </c>
      <c r="GVT136" s="367" t="s">
        <v>206</v>
      </c>
      <c r="GVU136" s="367"/>
      <c r="GVV136" s="367"/>
      <c r="GVW136" s="368" t="s">
        <v>168</v>
      </c>
      <c r="GVX136" s="369">
        <v>0.5</v>
      </c>
      <c r="GVY136" s="370" t="e">
        <f>10/GVU134</f>
        <v>#DIV/0!</v>
      </c>
      <c r="GVZ136" s="371">
        <v>15.38</v>
      </c>
      <c r="GWA136" s="371" t="e">
        <f>GVX136*GVY136*GVZ136</f>
        <v>#DIV/0!</v>
      </c>
      <c r="GWB136" s="367" t="s">
        <v>206</v>
      </c>
      <c r="GWC136" s="367"/>
      <c r="GWD136" s="367"/>
      <c r="GWE136" s="368" t="s">
        <v>168</v>
      </c>
      <c r="GWF136" s="369">
        <v>0.5</v>
      </c>
      <c r="GWG136" s="370" t="e">
        <f>10/GWC134</f>
        <v>#DIV/0!</v>
      </c>
      <c r="GWH136" s="371">
        <v>15.38</v>
      </c>
      <c r="GWI136" s="371" t="e">
        <f>GWF136*GWG136*GWH136</f>
        <v>#DIV/0!</v>
      </c>
      <c r="GWJ136" s="367" t="s">
        <v>206</v>
      </c>
      <c r="GWK136" s="367"/>
      <c r="GWL136" s="367"/>
      <c r="GWM136" s="368" t="s">
        <v>168</v>
      </c>
      <c r="GWN136" s="369">
        <v>0.5</v>
      </c>
      <c r="GWO136" s="370" t="e">
        <f>10/GWK134</f>
        <v>#DIV/0!</v>
      </c>
      <c r="GWP136" s="371">
        <v>15.38</v>
      </c>
      <c r="GWQ136" s="371" t="e">
        <f>GWN136*GWO136*GWP136</f>
        <v>#DIV/0!</v>
      </c>
      <c r="GWR136" s="367" t="s">
        <v>206</v>
      </c>
      <c r="GWS136" s="367"/>
      <c r="GWT136" s="367"/>
      <c r="GWU136" s="368" t="s">
        <v>168</v>
      </c>
      <c r="GWV136" s="369">
        <v>0.5</v>
      </c>
      <c r="GWW136" s="370" t="e">
        <f>10/GWS134</f>
        <v>#DIV/0!</v>
      </c>
      <c r="GWX136" s="371">
        <v>15.38</v>
      </c>
      <c r="GWY136" s="371" t="e">
        <f>GWV136*GWW136*GWX136</f>
        <v>#DIV/0!</v>
      </c>
      <c r="GWZ136" s="367" t="s">
        <v>206</v>
      </c>
      <c r="GXA136" s="367"/>
      <c r="GXB136" s="367"/>
      <c r="GXC136" s="368" t="s">
        <v>168</v>
      </c>
      <c r="GXD136" s="369">
        <v>0.5</v>
      </c>
      <c r="GXE136" s="370" t="e">
        <f>10/GXA134</f>
        <v>#DIV/0!</v>
      </c>
      <c r="GXF136" s="371">
        <v>15.38</v>
      </c>
      <c r="GXG136" s="371" t="e">
        <f>GXD136*GXE136*GXF136</f>
        <v>#DIV/0!</v>
      </c>
      <c r="GXH136" s="367" t="s">
        <v>206</v>
      </c>
      <c r="GXI136" s="367"/>
      <c r="GXJ136" s="367"/>
      <c r="GXK136" s="368" t="s">
        <v>168</v>
      </c>
      <c r="GXL136" s="369">
        <v>0.5</v>
      </c>
      <c r="GXM136" s="370" t="e">
        <f>10/GXI134</f>
        <v>#DIV/0!</v>
      </c>
      <c r="GXN136" s="371">
        <v>15.38</v>
      </c>
      <c r="GXO136" s="371" t="e">
        <f>GXL136*GXM136*GXN136</f>
        <v>#DIV/0!</v>
      </c>
      <c r="GXP136" s="367" t="s">
        <v>206</v>
      </c>
      <c r="GXQ136" s="367"/>
      <c r="GXR136" s="367"/>
      <c r="GXS136" s="368" t="s">
        <v>168</v>
      </c>
      <c r="GXT136" s="369">
        <v>0.5</v>
      </c>
      <c r="GXU136" s="370" t="e">
        <f>10/GXQ134</f>
        <v>#DIV/0!</v>
      </c>
      <c r="GXV136" s="371">
        <v>15.38</v>
      </c>
      <c r="GXW136" s="371" t="e">
        <f>GXT136*GXU136*GXV136</f>
        <v>#DIV/0!</v>
      </c>
      <c r="GXX136" s="367" t="s">
        <v>206</v>
      </c>
      <c r="GXY136" s="367"/>
      <c r="GXZ136" s="367"/>
      <c r="GYA136" s="368" t="s">
        <v>168</v>
      </c>
      <c r="GYB136" s="369">
        <v>0.5</v>
      </c>
      <c r="GYC136" s="370" t="e">
        <f>10/GXY134</f>
        <v>#DIV/0!</v>
      </c>
      <c r="GYD136" s="371">
        <v>15.38</v>
      </c>
      <c r="GYE136" s="371" t="e">
        <f>GYB136*GYC136*GYD136</f>
        <v>#DIV/0!</v>
      </c>
      <c r="GYF136" s="367" t="s">
        <v>206</v>
      </c>
      <c r="GYG136" s="367"/>
      <c r="GYH136" s="367"/>
      <c r="GYI136" s="368" t="s">
        <v>168</v>
      </c>
      <c r="GYJ136" s="369">
        <v>0.5</v>
      </c>
      <c r="GYK136" s="370" t="e">
        <f>10/GYG134</f>
        <v>#DIV/0!</v>
      </c>
      <c r="GYL136" s="371">
        <v>15.38</v>
      </c>
      <c r="GYM136" s="371" t="e">
        <f>GYJ136*GYK136*GYL136</f>
        <v>#DIV/0!</v>
      </c>
      <c r="GYN136" s="367" t="s">
        <v>206</v>
      </c>
      <c r="GYO136" s="367"/>
      <c r="GYP136" s="367"/>
      <c r="GYQ136" s="368" t="s">
        <v>168</v>
      </c>
      <c r="GYR136" s="369">
        <v>0.5</v>
      </c>
      <c r="GYS136" s="370" t="e">
        <f>10/GYO134</f>
        <v>#DIV/0!</v>
      </c>
      <c r="GYT136" s="371">
        <v>15.38</v>
      </c>
      <c r="GYU136" s="371" t="e">
        <f>GYR136*GYS136*GYT136</f>
        <v>#DIV/0!</v>
      </c>
      <c r="GYV136" s="367" t="s">
        <v>206</v>
      </c>
      <c r="GYW136" s="367"/>
      <c r="GYX136" s="367"/>
      <c r="GYY136" s="368" t="s">
        <v>168</v>
      </c>
      <c r="GYZ136" s="369">
        <v>0.5</v>
      </c>
      <c r="GZA136" s="370" t="e">
        <f>10/GYW134</f>
        <v>#DIV/0!</v>
      </c>
      <c r="GZB136" s="371">
        <v>15.38</v>
      </c>
      <c r="GZC136" s="371" t="e">
        <f>GYZ136*GZA136*GZB136</f>
        <v>#DIV/0!</v>
      </c>
      <c r="GZD136" s="367" t="s">
        <v>206</v>
      </c>
      <c r="GZE136" s="367"/>
      <c r="GZF136" s="367"/>
      <c r="GZG136" s="368" t="s">
        <v>168</v>
      </c>
      <c r="GZH136" s="369">
        <v>0.5</v>
      </c>
      <c r="GZI136" s="370" t="e">
        <f>10/GZE134</f>
        <v>#DIV/0!</v>
      </c>
      <c r="GZJ136" s="371">
        <v>15.38</v>
      </c>
      <c r="GZK136" s="371" t="e">
        <f>GZH136*GZI136*GZJ136</f>
        <v>#DIV/0!</v>
      </c>
      <c r="GZL136" s="367" t="s">
        <v>206</v>
      </c>
      <c r="GZM136" s="367"/>
      <c r="GZN136" s="367"/>
      <c r="GZO136" s="368" t="s">
        <v>168</v>
      </c>
      <c r="GZP136" s="369">
        <v>0.5</v>
      </c>
      <c r="GZQ136" s="370" t="e">
        <f>10/GZM134</f>
        <v>#DIV/0!</v>
      </c>
      <c r="GZR136" s="371">
        <v>15.38</v>
      </c>
      <c r="GZS136" s="371" t="e">
        <f>GZP136*GZQ136*GZR136</f>
        <v>#DIV/0!</v>
      </c>
      <c r="GZT136" s="367" t="s">
        <v>206</v>
      </c>
      <c r="GZU136" s="367"/>
      <c r="GZV136" s="367"/>
      <c r="GZW136" s="368" t="s">
        <v>168</v>
      </c>
      <c r="GZX136" s="369">
        <v>0.5</v>
      </c>
      <c r="GZY136" s="370" t="e">
        <f>10/GZU134</f>
        <v>#DIV/0!</v>
      </c>
      <c r="GZZ136" s="371">
        <v>15.38</v>
      </c>
      <c r="HAA136" s="371" t="e">
        <f>GZX136*GZY136*GZZ136</f>
        <v>#DIV/0!</v>
      </c>
      <c r="HAB136" s="367" t="s">
        <v>206</v>
      </c>
      <c r="HAC136" s="367"/>
      <c r="HAD136" s="367"/>
      <c r="HAE136" s="368" t="s">
        <v>168</v>
      </c>
      <c r="HAF136" s="369">
        <v>0.5</v>
      </c>
      <c r="HAG136" s="370" t="e">
        <f>10/HAC134</f>
        <v>#DIV/0!</v>
      </c>
      <c r="HAH136" s="371">
        <v>15.38</v>
      </c>
      <c r="HAI136" s="371" t="e">
        <f>HAF136*HAG136*HAH136</f>
        <v>#DIV/0!</v>
      </c>
      <c r="HAJ136" s="367" t="s">
        <v>206</v>
      </c>
      <c r="HAK136" s="367"/>
      <c r="HAL136" s="367"/>
      <c r="HAM136" s="368" t="s">
        <v>168</v>
      </c>
      <c r="HAN136" s="369">
        <v>0.5</v>
      </c>
      <c r="HAO136" s="370" t="e">
        <f>10/HAK134</f>
        <v>#DIV/0!</v>
      </c>
      <c r="HAP136" s="371">
        <v>15.38</v>
      </c>
      <c r="HAQ136" s="371" t="e">
        <f>HAN136*HAO136*HAP136</f>
        <v>#DIV/0!</v>
      </c>
      <c r="HAR136" s="367" t="s">
        <v>206</v>
      </c>
      <c r="HAS136" s="367"/>
      <c r="HAT136" s="367"/>
      <c r="HAU136" s="368" t="s">
        <v>168</v>
      </c>
      <c r="HAV136" s="369">
        <v>0.5</v>
      </c>
      <c r="HAW136" s="370" t="e">
        <f>10/HAS134</f>
        <v>#DIV/0!</v>
      </c>
      <c r="HAX136" s="371">
        <v>15.38</v>
      </c>
      <c r="HAY136" s="371" t="e">
        <f>HAV136*HAW136*HAX136</f>
        <v>#DIV/0!</v>
      </c>
      <c r="HAZ136" s="367" t="s">
        <v>206</v>
      </c>
      <c r="HBA136" s="367"/>
      <c r="HBB136" s="367"/>
      <c r="HBC136" s="368" t="s">
        <v>168</v>
      </c>
      <c r="HBD136" s="369">
        <v>0.5</v>
      </c>
      <c r="HBE136" s="370" t="e">
        <f>10/HBA134</f>
        <v>#DIV/0!</v>
      </c>
      <c r="HBF136" s="371">
        <v>15.38</v>
      </c>
      <c r="HBG136" s="371" t="e">
        <f>HBD136*HBE136*HBF136</f>
        <v>#DIV/0!</v>
      </c>
      <c r="HBH136" s="367" t="s">
        <v>206</v>
      </c>
      <c r="HBI136" s="367"/>
      <c r="HBJ136" s="367"/>
      <c r="HBK136" s="368" t="s">
        <v>168</v>
      </c>
      <c r="HBL136" s="369">
        <v>0.5</v>
      </c>
      <c r="HBM136" s="370" t="e">
        <f>10/HBI134</f>
        <v>#DIV/0!</v>
      </c>
      <c r="HBN136" s="371">
        <v>15.38</v>
      </c>
      <c r="HBO136" s="371" t="e">
        <f>HBL136*HBM136*HBN136</f>
        <v>#DIV/0!</v>
      </c>
      <c r="HBP136" s="367" t="s">
        <v>206</v>
      </c>
      <c r="HBQ136" s="367"/>
      <c r="HBR136" s="367"/>
      <c r="HBS136" s="368" t="s">
        <v>168</v>
      </c>
      <c r="HBT136" s="369">
        <v>0.5</v>
      </c>
      <c r="HBU136" s="370" t="e">
        <f>10/HBQ134</f>
        <v>#DIV/0!</v>
      </c>
      <c r="HBV136" s="371">
        <v>15.38</v>
      </c>
      <c r="HBW136" s="371" t="e">
        <f>HBT136*HBU136*HBV136</f>
        <v>#DIV/0!</v>
      </c>
      <c r="HBX136" s="367" t="s">
        <v>206</v>
      </c>
      <c r="HBY136" s="367"/>
      <c r="HBZ136" s="367"/>
      <c r="HCA136" s="368" t="s">
        <v>168</v>
      </c>
      <c r="HCB136" s="369">
        <v>0.5</v>
      </c>
      <c r="HCC136" s="370" t="e">
        <f>10/HBY134</f>
        <v>#DIV/0!</v>
      </c>
      <c r="HCD136" s="371">
        <v>15.38</v>
      </c>
      <c r="HCE136" s="371" t="e">
        <f>HCB136*HCC136*HCD136</f>
        <v>#DIV/0!</v>
      </c>
      <c r="HCF136" s="367" t="s">
        <v>206</v>
      </c>
      <c r="HCG136" s="367"/>
      <c r="HCH136" s="367"/>
      <c r="HCI136" s="368" t="s">
        <v>168</v>
      </c>
      <c r="HCJ136" s="369">
        <v>0.5</v>
      </c>
      <c r="HCK136" s="370" t="e">
        <f>10/HCG134</f>
        <v>#DIV/0!</v>
      </c>
      <c r="HCL136" s="371">
        <v>15.38</v>
      </c>
      <c r="HCM136" s="371" t="e">
        <f>HCJ136*HCK136*HCL136</f>
        <v>#DIV/0!</v>
      </c>
      <c r="HCN136" s="367" t="s">
        <v>206</v>
      </c>
      <c r="HCO136" s="367"/>
      <c r="HCP136" s="367"/>
      <c r="HCQ136" s="368" t="s">
        <v>168</v>
      </c>
      <c r="HCR136" s="369">
        <v>0.5</v>
      </c>
      <c r="HCS136" s="370" t="e">
        <f>10/HCO134</f>
        <v>#DIV/0!</v>
      </c>
      <c r="HCT136" s="371">
        <v>15.38</v>
      </c>
      <c r="HCU136" s="371" t="e">
        <f>HCR136*HCS136*HCT136</f>
        <v>#DIV/0!</v>
      </c>
      <c r="HCV136" s="367" t="s">
        <v>206</v>
      </c>
      <c r="HCW136" s="367"/>
      <c r="HCX136" s="367"/>
      <c r="HCY136" s="368" t="s">
        <v>168</v>
      </c>
      <c r="HCZ136" s="369">
        <v>0.5</v>
      </c>
      <c r="HDA136" s="370" t="e">
        <f>10/HCW134</f>
        <v>#DIV/0!</v>
      </c>
      <c r="HDB136" s="371">
        <v>15.38</v>
      </c>
      <c r="HDC136" s="371" t="e">
        <f>HCZ136*HDA136*HDB136</f>
        <v>#DIV/0!</v>
      </c>
      <c r="HDD136" s="367" t="s">
        <v>206</v>
      </c>
      <c r="HDE136" s="367"/>
      <c r="HDF136" s="367"/>
      <c r="HDG136" s="368" t="s">
        <v>168</v>
      </c>
      <c r="HDH136" s="369">
        <v>0.5</v>
      </c>
      <c r="HDI136" s="370" t="e">
        <f>10/HDE134</f>
        <v>#DIV/0!</v>
      </c>
      <c r="HDJ136" s="371">
        <v>15.38</v>
      </c>
      <c r="HDK136" s="371" t="e">
        <f>HDH136*HDI136*HDJ136</f>
        <v>#DIV/0!</v>
      </c>
      <c r="HDL136" s="367" t="s">
        <v>206</v>
      </c>
      <c r="HDM136" s="367"/>
      <c r="HDN136" s="367"/>
      <c r="HDO136" s="368" t="s">
        <v>168</v>
      </c>
      <c r="HDP136" s="369">
        <v>0.5</v>
      </c>
      <c r="HDQ136" s="370" t="e">
        <f>10/HDM134</f>
        <v>#DIV/0!</v>
      </c>
      <c r="HDR136" s="371">
        <v>15.38</v>
      </c>
      <c r="HDS136" s="371" t="e">
        <f>HDP136*HDQ136*HDR136</f>
        <v>#DIV/0!</v>
      </c>
      <c r="HDT136" s="367" t="s">
        <v>206</v>
      </c>
      <c r="HDU136" s="367"/>
      <c r="HDV136" s="367"/>
      <c r="HDW136" s="368" t="s">
        <v>168</v>
      </c>
      <c r="HDX136" s="369">
        <v>0.5</v>
      </c>
      <c r="HDY136" s="370" t="e">
        <f>10/HDU134</f>
        <v>#DIV/0!</v>
      </c>
      <c r="HDZ136" s="371">
        <v>15.38</v>
      </c>
      <c r="HEA136" s="371" t="e">
        <f>HDX136*HDY136*HDZ136</f>
        <v>#DIV/0!</v>
      </c>
      <c r="HEB136" s="367" t="s">
        <v>206</v>
      </c>
      <c r="HEC136" s="367"/>
      <c r="HED136" s="367"/>
      <c r="HEE136" s="368" t="s">
        <v>168</v>
      </c>
      <c r="HEF136" s="369">
        <v>0.5</v>
      </c>
      <c r="HEG136" s="370" t="e">
        <f>10/HEC134</f>
        <v>#DIV/0!</v>
      </c>
      <c r="HEH136" s="371">
        <v>15.38</v>
      </c>
      <c r="HEI136" s="371" t="e">
        <f>HEF136*HEG136*HEH136</f>
        <v>#DIV/0!</v>
      </c>
      <c r="HEJ136" s="367" t="s">
        <v>206</v>
      </c>
      <c r="HEK136" s="367"/>
      <c r="HEL136" s="367"/>
      <c r="HEM136" s="368" t="s">
        <v>168</v>
      </c>
      <c r="HEN136" s="369">
        <v>0.5</v>
      </c>
      <c r="HEO136" s="370" t="e">
        <f>10/HEK134</f>
        <v>#DIV/0!</v>
      </c>
      <c r="HEP136" s="371">
        <v>15.38</v>
      </c>
      <c r="HEQ136" s="371" t="e">
        <f>HEN136*HEO136*HEP136</f>
        <v>#DIV/0!</v>
      </c>
      <c r="HER136" s="367" t="s">
        <v>206</v>
      </c>
      <c r="HES136" s="367"/>
      <c r="HET136" s="367"/>
      <c r="HEU136" s="368" t="s">
        <v>168</v>
      </c>
      <c r="HEV136" s="369">
        <v>0.5</v>
      </c>
      <c r="HEW136" s="370" t="e">
        <f>10/HES134</f>
        <v>#DIV/0!</v>
      </c>
      <c r="HEX136" s="371">
        <v>15.38</v>
      </c>
      <c r="HEY136" s="371" t="e">
        <f>HEV136*HEW136*HEX136</f>
        <v>#DIV/0!</v>
      </c>
      <c r="HEZ136" s="367" t="s">
        <v>206</v>
      </c>
      <c r="HFA136" s="367"/>
      <c r="HFB136" s="367"/>
      <c r="HFC136" s="368" t="s">
        <v>168</v>
      </c>
      <c r="HFD136" s="369">
        <v>0.5</v>
      </c>
      <c r="HFE136" s="370" t="e">
        <f>10/HFA134</f>
        <v>#DIV/0!</v>
      </c>
      <c r="HFF136" s="371">
        <v>15.38</v>
      </c>
      <c r="HFG136" s="371" t="e">
        <f>HFD136*HFE136*HFF136</f>
        <v>#DIV/0!</v>
      </c>
      <c r="HFH136" s="367" t="s">
        <v>206</v>
      </c>
      <c r="HFI136" s="367"/>
      <c r="HFJ136" s="367"/>
      <c r="HFK136" s="368" t="s">
        <v>168</v>
      </c>
      <c r="HFL136" s="369">
        <v>0.5</v>
      </c>
      <c r="HFM136" s="370" t="e">
        <f>10/HFI134</f>
        <v>#DIV/0!</v>
      </c>
      <c r="HFN136" s="371">
        <v>15.38</v>
      </c>
      <c r="HFO136" s="371" t="e">
        <f>HFL136*HFM136*HFN136</f>
        <v>#DIV/0!</v>
      </c>
      <c r="HFP136" s="367" t="s">
        <v>206</v>
      </c>
      <c r="HFQ136" s="367"/>
      <c r="HFR136" s="367"/>
      <c r="HFS136" s="368" t="s">
        <v>168</v>
      </c>
      <c r="HFT136" s="369">
        <v>0.5</v>
      </c>
      <c r="HFU136" s="370" t="e">
        <f>10/HFQ134</f>
        <v>#DIV/0!</v>
      </c>
      <c r="HFV136" s="371">
        <v>15.38</v>
      </c>
      <c r="HFW136" s="371" t="e">
        <f>HFT136*HFU136*HFV136</f>
        <v>#DIV/0!</v>
      </c>
      <c r="HFX136" s="367" t="s">
        <v>206</v>
      </c>
      <c r="HFY136" s="367"/>
      <c r="HFZ136" s="367"/>
      <c r="HGA136" s="368" t="s">
        <v>168</v>
      </c>
      <c r="HGB136" s="369">
        <v>0.5</v>
      </c>
      <c r="HGC136" s="370" t="e">
        <f>10/HFY134</f>
        <v>#DIV/0!</v>
      </c>
      <c r="HGD136" s="371">
        <v>15.38</v>
      </c>
      <c r="HGE136" s="371" t="e">
        <f>HGB136*HGC136*HGD136</f>
        <v>#DIV/0!</v>
      </c>
      <c r="HGF136" s="367" t="s">
        <v>206</v>
      </c>
      <c r="HGG136" s="367"/>
      <c r="HGH136" s="367"/>
      <c r="HGI136" s="368" t="s">
        <v>168</v>
      </c>
      <c r="HGJ136" s="369">
        <v>0.5</v>
      </c>
      <c r="HGK136" s="370" t="e">
        <f>10/HGG134</f>
        <v>#DIV/0!</v>
      </c>
      <c r="HGL136" s="371">
        <v>15.38</v>
      </c>
      <c r="HGM136" s="371" t="e">
        <f>HGJ136*HGK136*HGL136</f>
        <v>#DIV/0!</v>
      </c>
      <c r="HGN136" s="367" t="s">
        <v>206</v>
      </c>
      <c r="HGO136" s="367"/>
      <c r="HGP136" s="367"/>
      <c r="HGQ136" s="368" t="s">
        <v>168</v>
      </c>
      <c r="HGR136" s="369">
        <v>0.5</v>
      </c>
      <c r="HGS136" s="370" t="e">
        <f>10/HGO134</f>
        <v>#DIV/0!</v>
      </c>
      <c r="HGT136" s="371">
        <v>15.38</v>
      </c>
      <c r="HGU136" s="371" t="e">
        <f>HGR136*HGS136*HGT136</f>
        <v>#DIV/0!</v>
      </c>
      <c r="HGV136" s="367" t="s">
        <v>206</v>
      </c>
      <c r="HGW136" s="367"/>
      <c r="HGX136" s="367"/>
      <c r="HGY136" s="368" t="s">
        <v>168</v>
      </c>
      <c r="HGZ136" s="369">
        <v>0.5</v>
      </c>
      <c r="HHA136" s="370" t="e">
        <f>10/HGW134</f>
        <v>#DIV/0!</v>
      </c>
      <c r="HHB136" s="371">
        <v>15.38</v>
      </c>
      <c r="HHC136" s="371" t="e">
        <f>HGZ136*HHA136*HHB136</f>
        <v>#DIV/0!</v>
      </c>
      <c r="HHD136" s="367" t="s">
        <v>206</v>
      </c>
      <c r="HHE136" s="367"/>
      <c r="HHF136" s="367"/>
      <c r="HHG136" s="368" t="s">
        <v>168</v>
      </c>
      <c r="HHH136" s="369">
        <v>0.5</v>
      </c>
      <c r="HHI136" s="370" t="e">
        <f>10/HHE134</f>
        <v>#DIV/0!</v>
      </c>
      <c r="HHJ136" s="371">
        <v>15.38</v>
      </c>
      <c r="HHK136" s="371" t="e">
        <f>HHH136*HHI136*HHJ136</f>
        <v>#DIV/0!</v>
      </c>
      <c r="HHL136" s="367" t="s">
        <v>206</v>
      </c>
      <c r="HHM136" s="367"/>
      <c r="HHN136" s="367"/>
      <c r="HHO136" s="368" t="s">
        <v>168</v>
      </c>
      <c r="HHP136" s="369">
        <v>0.5</v>
      </c>
      <c r="HHQ136" s="370" t="e">
        <f>10/HHM134</f>
        <v>#DIV/0!</v>
      </c>
      <c r="HHR136" s="371">
        <v>15.38</v>
      </c>
      <c r="HHS136" s="371" t="e">
        <f>HHP136*HHQ136*HHR136</f>
        <v>#DIV/0!</v>
      </c>
      <c r="HHT136" s="367" t="s">
        <v>206</v>
      </c>
      <c r="HHU136" s="367"/>
      <c r="HHV136" s="367"/>
      <c r="HHW136" s="368" t="s">
        <v>168</v>
      </c>
      <c r="HHX136" s="369">
        <v>0.5</v>
      </c>
      <c r="HHY136" s="370" t="e">
        <f>10/HHU134</f>
        <v>#DIV/0!</v>
      </c>
      <c r="HHZ136" s="371">
        <v>15.38</v>
      </c>
      <c r="HIA136" s="371" t="e">
        <f>HHX136*HHY136*HHZ136</f>
        <v>#DIV/0!</v>
      </c>
      <c r="HIB136" s="367" t="s">
        <v>206</v>
      </c>
      <c r="HIC136" s="367"/>
      <c r="HID136" s="367"/>
      <c r="HIE136" s="368" t="s">
        <v>168</v>
      </c>
      <c r="HIF136" s="369">
        <v>0.5</v>
      </c>
      <c r="HIG136" s="370" t="e">
        <f>10/HIC134</f>
        <v>#DIV/0!</v>
      </c>
      <c r="HIH136" s="371">
        <v>15.38</v>
      </c>
      <c r="HII136" s="371" t="e">
        <f>HIF136*HIG136*HIH136</f>
        <v>#DIV/0!</v>
      </c>
      <c r="HIJ136" s="367" t="s">
        <v>206</v>
      </c>
      <c r="HIK136" s="367"/>
      <c r="HIL136" s="367"/>
      <c r="HIM136" s="368" t="s">
        <v>168</v>
      </c>
      <c r="HIN136" s="369">
        <v>0.5</v>
      </c>
      <c r="HIO136" s="370" t="e">
        <f>10/HIK134</f>
        <v>#DIV/0!</v>
      </c>
      <c r="HIP136" s="371">
        <v>15.38</v>
      </c>
      <c r="HIQ136" s="371" t="e">
        <f>HIN136*HIO136*HIP136</f>
        <v>#DIV/0!</v>
      </c>
      <c r="HIR136" s="367" t="s">
        <v>206</v>
      </c>
      <c r="HIS136" s="367"/>
      <c r="HIT136" s="367"/>
      <c r="HIU136" s="368" t="s">
        <v>168</v>
      </c>
      <c r="HIV136" s="369">
        <v>0.5</v>
      </c>
      <c r="HIW136" s="370" t="e">
        <f>10/HIS134</f>
        <v>#DIV/0!</v>
      </c>
      <c r="HIX136" s="371">
        <v>15.38</v>
      </c>
      <c r="HIY136" s="371" t="e">
        <f>HIV136*HIW136*HIX136</f>
        <v>#DIV/0!</v>
      </c>
      <c r="HIZ136" s="367" t="s">
        <v>206</v>
      </c>
      <c r="HJA136" s="367"/>
      <c r="HJB136" s="367"/>
      <c r="HJC136" s="368" t="s">
        <v>168</v>
      </c>
      <c r="HJD136" s="369">
        <v>0.5</v>
      </c>
      <c r="HJE136" s="370" t="e">
        <f>10/HJA134</f>
        <v>#DIV/0!</v>
      </c>
      <c r="HJF136" s="371">
        <v>15.38</v>
      </c>
      <c r="HJG136" s="371" t="e">
        <f>HJD136*HJE136*HJF136</f>
        <v>#DIV/0!</v>
      </c>
      <c r="HJH136" s="367" t="s">
        <v>206</v>
      </c>
      <c r="HJI136" s="367"/>
      <c r="HJJ136" s="367"/>
      <c r="HJK136" s="368" t="s">
        <v>168</v>
      </c>
      <c r="HJL136" s="369">
        <v>0.5</v>
      </c>
      <c r="HJM136" s="370" t="e">
        <f>10/HJI134</f>
        <v>#DIV/0!</v>
      </c>
      <c r="HJN136" s="371">
        <v>15.38</v>
      </c>
      <c r="HJO136" s="371" t="e">
        <f>HJL136*HJM136*HJN136</f>
        <v>#DIV/0!</v>
      </c>
      <c r="HJP136" s="367" t="s">
        <v>206</v>
      </c>
      <c r="HJQ136" s="367"/>
      <c r="HJR136" s="367"/>
      <c r="HJS136" s="368" t="s">
        <v>168</v>
      </c>
      <c r="HJT136" s="369">
        <v>0.5</v>
      </c>
      <c r="HJU136" s="370" t="e">
        <f>10/HJQ134</f>
        <v>#DIV/0!</v>
      </c>
      <c r="HJV136" s="371">
        <v>15.38</v>
      </c>
      <c r="HJW136" s="371" t="e">
        <f>HJT136*HJU136*HJV136</f>
        <v>#DIV/0!</v>
      </c>
      <c r="HJX136" s="367" t="s">
        <v>206</v>
      </c>
      <c r="HJY136" s="367"/>
      <c r="HJZ136" s="367"/>
      <c r="HKA136" s="368" t="s">
        <v>168</v>
      </c>
      <c r="HKB136" s="369">
        <v>0.5</v>
      </c>
      <c r="HKC136" s="370" t="e">
        <f>10/HJY134</f>
        <v>#DIV/0!</v>
      </c>
      <c r="HKD136" s="371">
        <v>15.38</v>
      </c>
      <c r="HKE136" s="371" t="e">
        <f>HKB136*HKC136*HKD136</f>
        <v>#DIV/0!</v>
      </c>
      <c r="HKF136" s="367" t="s">
        <v>206</v>
      </c>
      <c r="HKG136" s="367"/>
      <c r="HKH136" s="367"/>
      <c r="HKI136" s="368" t="s">
        <v>168</v>
      </c>
      <c r="HKJ136" s="369">
        <v>0.5</v>
      </c>
      <c r="HKK136" s="370" t="e">
        <f>10/HKG134</f>
        <v>#DIV/0!</v>
      </c>
      <c r="HKL136" s="371">
        <v>15.38</v>
      </c>
      <c r="HKM136" s="371" t="e">
        <f>HKJ136*HKK136*HKL136</f>
        <v>#DIV/0!</v>
      </c>
      <c r="HKN136" s="367" t="s">
        <v>206</v>
      </c>
      <c r="HKO136" s="367"/>
      <c r="HKP136" s="367"/>
      <c r="HKQ136" s="368" t="s">
        <v>168</v>
      </c>
      <c r="HKR136" s="369">
        <v>0.5</v>
      </c>
      <c r="HKS136" s="370" t="e">
        <f>10/HKO134</f>
        <v>#DIV/0!</v>
      </c>
      <c r="HKT136" s="371">
        <v>15.38</v>
      </c>
      <c r="HKU136" s="371" t="e">
        <f>HKR136*HKS136*HKT136</f>
        <v>#DIV/0!</v>
      </c>
      <c r="HKV136" s="367" t="s">
        <v>206</v>
      </c>
      <c r="HKW136" s="367"/>
      <c r="HKX136" s="367"/>
      <c r="HKY136" s="368" t="s">
        <v>168</v>
      </c>
      <c r="HKZ136" s="369">
        <v>0.5</v>
      </c>
      <c r="HLA136" s="370" t="e">
        <f>10/HKW134</f>
        <v>#DIV/0!</v>
      </c>
      <c r="HLB136" s="371">
        <v>15.38</v>
      </c>
      <c r="HLC136" s="371" t="e">
        <f>HKZ136*HLA136*HLB136</f>
        <v>#DIV/0!</v>
      </c>
      <c r="HLD136" s="367" t="s">
        <v>206</v>
      </c>
      <c r="HLE136" s="367"/>
      <c r="HLF136" s="367"/>
      <c r="HLG136" s="368" t="s">
        <v>168</v>
      </c>
      <c r="HLH136" s="369">
        <v>0.5</v>
      </c>
      <c r="HLI136" s="370" t="e">
        <f>10/HLE134</f>
        <v>#DIV/0!</v>
      </c>
      <c r="HLJ136" s="371">
        <v>15.38</v>
      </c>
      <c r="HLK136" s="371" t="e">
        <f>HLH136*HLI136*HLJ136</f>
        <v>#DIV/0!</v>
      </c>
      <c r="HLL136" s="367" t="s">
        <v>206</v>
      </c>
      <c r="HLM136" s="367"/>
      <c r="HLN136" s="367"/>
      <c r="HLO136" s="368" t="s">
        <v>168</v>
      </c>
      <c r="HLP136" s="369">
        <v>0.5</v>
      </c>
      <c r="HLQ136" s="370" t="e">
        <f>10/HLM134</f>
        <v>#DIV/0!</v>
      </c>
      <c r="HLR136" s="371">
        <v>15.38</v>
      </c>
      <c r="HLS136" s="371" t="e">
        <f>HLP136*HLQ136*HLR136</f>
        <v>#DIV/0!</v>
      </c>
      <c r="HLT136" s="367" t="s">
        <v>206</v>
      </c>
      <c r="HLU136" s="367"/>
      <c r="HLV136" s="367"/>
      <c r="HLW136" s="368" t="s">
        <v>168</v>
      </c>
      <c r="HLX136" s="369">
        <v>0.5</v>
      </c>
      <c r="HLY136" s="370" t="e">
        <f>10/HLU134</f>
        <v>#DIV/0!</v>
      </c>
      <c r="HLZ136" s="371">
        <v>15.38</v>
      </c>
      <c r="HMA136" s="371" t="e">
        <f>HLX136*HLY136*HLZ136</f>
        <v>#DIV/0!</v>
      </c>
      <c r="HMB136" s="367" t="s">
        <v>206</v>
      </c>
      <c r="HMC136" s="367"/>
      <c r="HMD136" s="367"/>
      <c r="HME136" s="368" t="s">
        <v>168</v>
      </c>
      <c r="HMF136" s="369">
        <v>0.5</v>
      </c>
      <c r="HMG136" s="370" t="e">
        <f>10/HMC134</f>
        <v>#DIV/0!</v>
      </c>
      <c r="HMH136" s="371">
        <v>15.38</v>
      </c>
      <c r="HMI136" s="371" t="e">
        <f>HMF136*HMG136*HMH136</f>
        <v>#DIV/0!</v>
      </c>
      <c r="HMJ136" s="367" t="s">
        <v>206</v>
      </c>
      <c r="HMK136" s="367"/>
      <c r="HML136" s="367"/>
      <c r="HMM136" s="368" t="s">
        <v>168</v>
      </c>
      <c r="HMN136" s="369">
        <v>0.5</v>
      </c>
      <c r="HMO136" s="370" t="e">
        <f>10/HMK134</f>
        <v>#DIV/0!</v>
      </c>
      <c r="HMP136" s="371">
        <v>15.38</v>
      </c>
      <c r="HMQ136" s="371" t="e">
        <f>HMN136*HMO136*HMP136</f>
        <v>#DIV/0!</v>
      </c>
      <c r="HMR136" s="367" t="s">
        <v>206</v>
      </c>
      <c r="HMS136" s="367"/>
      <c r="HMT136" s="367"/>
      <c r="HMU136" s="368" t="s">
        <v>168</v>
      </c>
      <c r="HMV136" s="369">
        <v>0.5</v>
      </c>
      <c r="HMW136" s="370" t="e">
        <f>10/HMS134</f>
        <v>#DIV/0!</v>
      </c>
      <c r="HMX136" s="371">
        <v>15.38</v>
      </c>
      <c r="HMY136" s="371" t="e">
        <f>HMV136*HMW136*HMX136</f>
        <v>#DIV/0!</v>
      </c>
      <c r="HMZ136" s="367" t="s">
        <v>206</v>
      </c>
      <c r="HNA136" s="367"/>
      <c r="HNB136" s="367"/>
      <c r="HNC136" s="368" t="s">
        <v>168</v>
      </c>
      <c r="HND136" s="369">
        <v>0.5</v>
      </c>
      <c r="HNE136" s="370" t="e">
        <f>10/HNA134</f>
        <v>#DIV/0!</v>
      </c>
      <c r="HNF136" s="371">
        <v>15.38</v>
      </c>
      <c r="HNG136" s="371" t="e">
        <f>HND136*HNE136*HNF136</f>
        <v>#DIV/0!</v>
      </c>
      <c r="HNH136" s="367" t="s">
        <v>206</v>
      </c>
      <c r="HNI136" s="367"/>
      <c r="HNJ136" s="367"/>
      <c r="HNK136" s="368" t="s">
        <v>168</v>
      </c>
      <c r="HNL136" s="369">
        <v>0.5</v>
      </c>
      <c r="HNM136" s="370" t="e">
        <f>10/HNI134</f>
        <v>#DIV/0!</v>
      </c>
      <c r="HNN136" s="371">
        <v>15.38</v>
      </c>
      <c r="HNO136" s="371" t="e">
        <f>HNL136*HNM136*HNN136</f>
        <v>#DIV/0!</v>
      </c>
      <c r="HNP136" s="367" t="s">
        <v>206</v>
      </c>
      <c r="HNQ136" s="367"/>
      <c r="HNR136" s="367"/>
      <c r="HNS136" s="368" t="s">
        <v>168</v>
      </c>
      <c r="HNT136" s="369">
        <v>0.5</v>
      </c>
      <c r="HNU136" s="370" t="e">
        <f>10/HNQ134</f>
        <v>#DIV/0!</v>
      </c>
      <c r="HNV136" s="371">
        <v>15.38</v>
      </c>
      <c r="HNW136" s="371" t="e">
        <f>HNT136*HNU136*HNV136</f>
        <v>#DIV/0!</v>
      </c>
      <c r="HNX136" s="367" t="s">
        <v>206</v>
      </c>
      <c r="HNY136" s="367"/>
      <c r="HNZ136" s="367"/>
      <c r="HOA136" s="368" t="s">
        <v>168</v>
      </c>
      <c r="HOB136" s="369">
        <v>0.5</v>
      </c>
      <c r="HOC136" s="370" t="e">
        <f>10/HNY134</f>
        <v>#DIV/0!</v>
      </c>
      <c r="HOD136" s="371">
        <v>15.38</v>
      </c>
      <c r="HOE136" s="371" t="e">
        <f>HOB136*HOC136*HOD136</f>
        <v>#DIV/0!</v>
      </c>
      <c r="HOF136" s="367" t="s">
        <v>206</v>
      </c>
      <c r="HOG136" s="367"/>
      <c r="HOH136" s="367"/>
      <c r="HOI136" s="368" t="s">
        <v>168</v>
      </c>
      <c r="HOJ136" s="369">
        <v>0.5</v>
      </c>
      <c r="HOK136" s="370" t="e">
        <f>10/HOG134</f>
        <v>#DIV/0!</v>
      </c>
      <c r="HOL136" s="371">
        <v>15.38</v>
      </c>
      <c r="HOM136" s="371" t="e">
        <f>HOJ136*HOK136*HOL136</f>
        <v>#DIV/0!</v>
      </c>
      <c r="HON136" s="367" t="s">
        <v>206</v>
      </c>
      <c r="HOO136" s="367"/>
      <c r="HOP136" s="367"/>
      <c r="HOQ136" s="368" t="s">
        <v>168</v>
      </c>
      <c r="HOR136" s="369">
        <v>0.5</v>
      </c>
      <c r="HOS136" s="370" t="e">
        <f>10/HOO134</f>
        <v>#DIV/0!</v>
      </c>
      <c r="HOT136" s="371">
        <v>15.38</v>
      </c>
      <c r="HOU136" s="371" t="e">
        <f>HOR136*HOS136*HOT136</f>
        <v>#DIV/0!</v>
      </c>
      <c r="HOV136" s="367" t="s">
        <v>206</v>
      </c>
      <c r="HOW136" s="367"/>
      <c r="HOX136" s="367"/>
      <c r="HOY136" s="368" t="s">
        <v>168</v>
      </c>
      <c r="HOZ136" s="369">
        <v>0.5</v>
      </c>
      <c r="HPA136" s="370" t="e">
        <f>10/HOW134</f>
        <v>#DIV/0!</v>
      </c>
      <c r="HPB136" s="371">
        <v>15.38</v>
      </c>
      <c r="HPC136" s="371" t="e">
        <f>HOZ136*HPA136*HPB136</f>
        <v>#DIV/0!</v>
      </c>
      <c r="HPD136" s="367" t="s">
        <v>206</v>
      </c>
      <c r="HPE136" s="367"/>
      <c r="HPF136" s="367"/>
      <c r="HPG136" s="368" t="s">
        <v>168</v>
      </c>
      <c r="HPH136" s="369">
        <v>0.5</v>
      </c>
      <c r="HPI136" s="370" t="e">
        <f>10/HPE134</f>
        <v>#DIV/0!</v>
      </c>
      <c r="HPJ136" s="371">
        <v>15.38</v>
      </c>
      <c r="HPK136" s="371" t="e">
        <f>HPH136*HPI136*HPJ136</f>
        <v>#DIV/0!</v>
      </c>
      <c r="HPL136" s="367" t="s">
        <v>206</v>
      </c>
      <c r="HPM136" s="367"/>
      <c r="HPN136" s="367"/>
      <c r="HPO136" s="368" t="s">
        <v>168</v>
      </c>
      <c r="HPP136" s="369">
        <v>0.5</v>
      </c>
      <c r="HPQ136" s="370" t="e">
        <f>10/HPM134</f>
        <v>#DIV/0!</v>
      </c>
      <c r="HPR136" s="371">
        <v>15.38</v>
      </c>
      <c r="HPS136" s="371" t="e">
        <f>HPP136*HPQ136*HPR136</f>
        <v>#DIV/0!</v>
      </c>
      <c r="HPT136" s="367" t="s">
        <v>206</v>
      </c>
      <c r="HPU136" s="367"/>
      <c r="HPV136" s="367"/>
      <c r="HPW136" s="368" t="s">
        <v>168</v>
      </c>
      <c r="HPX136" s="369">
        <v>0.5</v>
      </c>
      <c r="HPY136" s="370" t="e">
        <f>10/HPU134</f>
        <v>#DIV/0!</v>
      </c>
      <c r="HPZ136" s="371">
        <v>15.38</v>
      </c>
      <c r="HQA136" s="371" t="e">
        <f>HPX136*HPY136*HPZ136</f>
        <v>#DIV/0!</v>
      </c>
      <c r="HQB136" s="367" t="s">
        <v>206</v>
      </c>
      <c r="HQC136" s="367"/>
      <c r="HQD136" s="367"/>
      <c r="HQE136" s="368" t="s">
        <v>168</v>
      </c>
      <c r="HQF136" s="369">
        <v>0.5</v>
      </c>
      <c r="HQG136" s="370" t="e">
        <f>10/HQC134</f>
        <v>#DIV/0!</v>
      </c>
      <c r="HQH136" s="371">
        <v>15.38</v>
      </c>
      <c r="HQI136" s="371" t="e">
        <f>HQF136*HQG136*HQH136</f>
        <v>#DIV/0!</v>
      </c>
      <c r="HQJ136" s="367" t="s">
        <v>206</v>
      </c>
      <c r="HQK136" s="367"/>
      <c r="HQL136" s="367"/>
      <c r="HQM136" s="368" t="s">
        <v>168</v>
      </c>
      <c r="HQN136" s="369">
        <v>0.5</v>
      </c>
      <c r="HQO136" s="370" t="e">
        <f>10/HQK134</f>
        <v>#DIV/0!</v>
      </c>
      <c r="HQP136" s="371">
        <v>15.38</v>
      </c>
      <c r="HQQ136" s="371" t="e">
        <f>HQN136*HQO136*HQP136</f>
        <v>#DIV/0!</v>
      </c>
      <c r="HQR136" s="367" t="s">
        <v>206</v>
      </c>
      <c r="HQS136" s="367"/>
      <c r="HQT136" s="367"/>
      <c r="HQU136" s="368" t="s">
        <v>168</v>
      </c>
      <c r="HQV136" s="369">
        <v>0.5</v>
      </c>
      <c r="HQW136" s="370" t="e">
        <f>10/HQS134</f>
        <v>#DIV/0!</v>
      </c>
      <c r="HQX136" s="371">
        <v>15.38</v>
      </c>
      <c r="HQY136" s="371" t="e">
        <f>HQV136*HQW136*HQX136</f>
        <v>#DIV/0!</v>
      </c>
      <c r="HQZ136" s="367" t="s">
        <v>206</v>
      </c>
      <c r="HRA136" s="367"/>
      <c r="HRB136" s="367"/>
      <c r="HRC136" s="368" t="s">
        <v>168</v>
      </c>
      <c r="HRD136" s="369">
        <v>0.5</v>
      </c>
      <c r="HRE136" s="370" t="e">
        <f>10/HRA134</f>
        <v>#DIV/0!</v>
      </c>
      <c r="HRF136" s="371">
        <v>15.38</v>
      </c>
      <c r="HRG136" s="371" t="e">
        <f>HRD136*HRE136*HRF136</f>
        <v>#DIV/0!</v>
      </c>
      <c r="HRH136" s="367" t="s">
        <v>206</v>
      </c>
      <c r="HRI136" s="367"/>
      <c r="HRJ136" s="367"/>
      <c r="HRK136" s="368" t="s">
        <v>168</v>
      </c>
      <c r="HRL136" s="369">
        <v>0.5</v>
      </c>
      <c r="HRM136" s="370" t="e">
        <f>10/HRI134</f>
        <v>#DIV/0!</v>
      </c>
      <c r="HRN136" s="371">
        <v>15.38</v>
      </c>
      <c r="HRO136" s="371" t="e">
        <f>HRL136*HRM136*HRN136</f>
        <v>#DIV/0!</v>
      </c>
      <c r="HRP136" s="367" t="s">
        <v>206</v>
      </c>
      <c r="HRQ136" s="367"/>
      <c r="HRR136" s="367"/>
      <c r="HRS136" s="368" t="s">
        <v>168</v>
      </c>
      <c r="HRT136" s="369">
        <v>0.5</v>
      </c>
      <c r="HRU136" s="370" t="e">
        <f>10/HRQ134</f>
        <v>#DIV/0!</v>
      </c>
      <c r="HRV136" s="371">
        <v>15.38</v>
      </c>
      <c r="HRW136" s="371" t="e">
        <f>HRT136*HRU136*HRV136</f>
        <v>#DIV/0!</v>
      </c>
      <c r="HRX136" s="367" t="s">
        <v>206</v>
      </c>
      <c r="HRY136" s="367"/>
      <c r="HRZ136" s="367"/>
      <c r="HSA136" s="368" t="s">
        <v>168</v>
      </c>
      <c r="HSB136" s="369">
        <v>0.5</v>
      </c>
      <c r="HSC136" s="370" t="e">
        <f>10/HRY134</f>
        <v>#DIV/0!</v>
      </c>
      <c r="HSD136" s="371">
        <v>15.38</v>
      </c>
      <c r="HSE136" s="371" t="e">
        <f>HSB136*HSC136*HSD136</f>
        <v>#DIV/0!</v>
      </c>
      <c r="HSF136" s="367" t="s">
        <v>206</v>
      </c>
      <c r="HSG136" s="367"/>
      <c r="HSH136" s="367"/>
      <c r="HSI136" s="368" t="s">
        <v>168</v>
      </c>
      <c r="HSJ136" s="369">
        <v>0.5</v>
      </c>
      <c r="HSK136" s="370" t="e">
        <f>10/HSG134</f>
        <v>#DIV/0!</v>
      </c>
      <c r="HSL136" s="371">
        <v>15.38</v>
      </c>
      <c r="HSM136" s="371" t="e">
        <f>HSJ136*HSK136*HSL136</f>
        <v>#DIV/0!</v>
      </c>
      <c r="HSN136" s="367" t="s">
        <v>206</v>
      </c>
      <c r="HSO136" s="367"/>
      <c r="HSP136" s="367"/>
      <c r="HSQ136" s="368" t="s">
        <v>168</v>
      </c>
      <c r="HSR136" s="369">
        <v>0.5</v>
      </c>
      <c r="HSS136" s="370" t="e">
        <f>10/HSO134</f>
        <v>#DIV/0!</v>
      </c>
      <c r="HST136" s="371">
        <v>15.38</v>
      </c>
      <c r="HSU136" s="371" t="e">
        <f>HSR136*HSS136*HST136</f>
        <v>#DIV/0!</v>
      </c>
      <c r="HSV136" s="367" t="s">
        <v>206</v>
      </c>
      <c r="HSW136" s="367"/>
      <c r="HSX136" s="367"/>
      <c r="HSY136" s="368" t="s">
        <v>168</v>
      </c>
      <c r="HSZ136" s="369">
        <v>0.5</v>
      </c>
      <c r="HTA136" s="370" t="e">
        <f>10/HSW134</f>
        <v>#DIV/0!</v>
      </c>
      <c r="HTB136" s="371">
        <v>15.38</v>
      </c>
      <c r="HTC136" s="371" t="e">
        <f>HSZ136*HTA136*HTB136</f>
        <v>#DIV/0!</v>
      </c>
      <c r="HTD136" s="367" t="s">
        <v>206</v>
      </c>
      <c r="HTE136" s="367"/>
      <c r="HTF136" s="367"/>
      <c r="HTG136" s="368" t="s">
        <v>168</v>
      </c>
      <c r="HTH136" s="369">
        <v>0.5</v>
      </c>
      <c r="HTI136" s="370" t="e">
        <f>10/HTE134</f>
        <v>#DIV/0!</v>
      </c>
      <c r="HTJ136" s="371">
        <v>15.38</v>
      </c>
      <c r="HTK136" s="371" t="e">
        <f>HTH136*HTI136*HTJ136</f>
        <v>#DIV/0!</v>
      </c>
      <c r="HTL136" s="367" t="s">
        <v>206</v>
      </c>
      <c r="HTM136" s="367"/>
      <c r="HTN136" s="367"/>
      <c r="HTO136" s="368" t="s">
        <v>168</v>
      </c>
      <c r="HTP136" s="369">
        <v>0.5</v>
      </c>
      <c r="HTQ136" s="370" t="e">
        <f>10/HTM134</f>
        <v>#DIV/0!</v>
      </c>
      <c r="HTR136" s="371">
        <v>15.38</v>
      </c>
      <c r="HTS136" s="371" t="e">
        <f>HTP136*HTQ136*HTR136</f>
        <v>#DIV/0!</v>
      </c>
      <c r="HTT136" s="367" t="s">
        <v>206</v>
      </c>
      <c r="HTU136" s="367"/>
      <c r="HTV136" s="367"/>
      <c r="HTW136" s="368" t="s">
        <v>168</v>
      </c>
      <c r="HTX136" s="369">
        <v>0.5</v>
      </c>
      <c r="HTY136" s="370" t="e">
        <f>10/HTU134</f>
        <v>#DIV/0!</v>
      </c>
      <c r="HTZ136" s="371">
        <v>15.38</v>
      </c>
      <c r="HUA136" s="371" t="e">
        <f>HTX136*HTY136*HTZ136</f>
        <v>#DIV/0!</v>
      </c>
      <c r="HUB136" s="367" t="s">
        <v>206</v>
      </c>
      <c r="HUC136" s="367"/>
      <c r="HUD136" s="367"/>
      <c r="HUE136" s="368" t="s">
        <v>168</v>
      </c>
      <c r="HUF136" s="369">
        <v>0.5</v>
      </c>
      <c r="HUG136" s="370" t="e">
        <f>10/HUC134</f>
        <v>#DIV/0!</v>
      </c>
      <c r="HUH136" s="371">
        <v>15.38</v>
      </c>
      <c r="HUI136" s="371" t="e">
        <f>HUF136*HUG136*HUH136</f>
        <v>#DIV/0!</v>
      </c>
      <c r="HUJ136" s="367" t="s">
        <v>206</v>
      </c>
      <c r="HUK136" s="367"/>
      <c r="HUL136" s="367"/>
      <c r="HUM136" s="368" t="s">
        <v>168</v>
      </c>
      <c r="HUN136" s="369">
        <v>0.5</v>
      </c>
      <c r="HUO136" s="370" t="e">
        <f>10/HUK134</f>
        <v>#DIV/0!</v>
      </c>
      <c r="HUP136" s="371">
        <v>15.38</v>
      </c>
      <c r="HUQ136" s="371" t="e">
        <f>HUN136*HUO136*HUP136</f>
        <v>#DIV/0!</v>
      </c>
      <c r="HUR136" s="367" t="s">
        <v>206</v>
      </c>
      <c r="HUS136" s="367"/>
      <c r="HUT136" s="367"/>
      <c r="HUU136" s="368" t="s">
        <v>168</v>
      </c>
      <c r="HUV136" s="369">
        <v>0.5</v>
      </c>
      <c r="HUW136" s="370" t="e">
        <f>10/HUS134</f>
        <v>#DIV/0!</v>
      </c>
      <c r="HUX136" s="371">
        <v>15.38</v>
      </c>
      <c r="HUY136" s="371" t="e">
        <f>HUV136*HUW136*HUX136</f>
        <v>#DIV/0!</v>
      </c>
      <c r="HUZ136" s="367" t="s">
        <v>206</v>
      </c>
      <c r="HVA136" s="367"/>
      <c r="HVB136" s="367"/>
      <c r="HVC136" s="368" t="s">
        <v>168</v>
      </c>
      <c r="HVD136" s="369">
        <v>0.5</v>
      </c>
      <c r="HVE136" s="370" t="e">
        <f>10/HVA134</f>
        <v>#DIV/0!</v>
      </c>
      <c r="HVF136" s="371">
        <v>15.38</v>
      </c>
      <c r="HVG136" s="371" t="e">
        <f>HVD136*HVE136*HVF136</f>
        <v>#DIV/0!</v>
      </c>
      <c r="HVH136" s="367" t="s">
        <v>206</v>
      </c>
      <c r="HVI136" s="367"/>
      <c r="HVJ136" s="367"/>
      <c r="HVK136" s="368" t="s">
        <v>168</v>
      </c>
      <c r="HVL136" s="369">
        <v>0.5</v>
      </c>
      <c r="HVM136" s="370" t="e">
        <f>10/HVI134</f>
        <v>#DIV/0!</v>
      </c>
      <c r="HVN136" s="371">
        <v>15.38</v>
      </c>
      <c r="HVO136" s="371" t="e">
        <f>HVL136*HVM136*HVN136</f>
        <v>#DIV/0!</v>
      </c>
      <c r="HVP136" s="367" t="s">
        <v>206</v>
      </c>
      <c r="HVQ136" s="367"/>
      <c r="HVR136" s="367"/>
      <c r="HVS136" s="368" t="s">
        <v>168</v>
      </c>
      <c r="HVT136" s="369">
        <v>0.5</v>
      </c>
      <c r="HVU136" s="370" t="e">
        <f>10/HVQ134</f>
        <v>#DIV/0!</v>
      </c>
      <c r="HVV136" s="371">
        <v>15.38</v>
      </c>
      <c r="HVW136" s="371" t="e">
        <f>HVT136*HVU136*HVV136</f>
        <v>#DIV/0!</v>
      </c>
      <c r="HVX136" s="367" t="s">
        <v>206</v>
      </c>
      <c r="HVY136" s="367"/>
      <c r="HVZ136" s="367"/>
      <c r="HWA136" s="368" t="s">
        <v>168</v>
      </c>
      <c r="HWB136" s="369">
        <v>0.5</v>
      </c>
      <c r="HWC136" s="370" t="e">
        <f>10/HVY134</f>
        <v>#DIV/0!</v>
      </c>
      <c r="HWD136" s="371">
        <v>15.38</v>
      </c>
      <c r="HWE136" s="371" t="e">
        <f>HWB136*HWC136*HWD136</f>
        <v>#DIV/0!</v>
      </c>
      <c r="HWF136" s="367" t="s">
        <v>206</v>
      </c>
      <c r="HWG136" s="367"/>
      <c r="HWH136" s="367"/>
      <c r="HWI136" s="368" t="s">
        <v>168</v>
      </c>
      <c r="HWJ136" s="369">
        <v>0.5</v>
      </c>
      <c r="HWK136" s="370" t="e">
        <f>10/HWG134</f>
        <v>#DIV/0!</v>
      </c>
      <c r="HWL136" s="371">
        <v>15.38</v>
      </c>
      <c r="HWM136" s="371" t="e">
        <f>HWJ136*HWK136*HWL136</f>
        <v>#DIV/0!</v>
      </c>
      <c r="HWN136" s="367" t="s">
        <v>206</v>
      </c>
      <c r="HWO136" s="367"/>
      <c r="HWP136" s="367"/>
      <c r="HWQ136" s="368" t="s">
        <v>168</v>
      </c>
      <c r="HWR136" s="369">
        <v>0.5</v>
      </c>
      <c r="HWS136" s="370" t="e">
        <f>10/HWO134</f>
        <v>#DIV/0!</v>
      </c>
      <c r="HWT136" s="371">
        <v>15.38</v>
      </c>
      <c r="HWU136" s="371" t="e">
        <f>HWR136*HWS136*HWT136</f>
        <v>#DIV/0!</v>
      </c>
      <c r="HWV136" s="367" t="s">
        <v>206</v>
      </c>
      <c r="HWW136" s="367"/>
      <c r="HWX136" s="367"/>
      <c r="HWY136" s="368" t="s">
        <v>168</v>
      </c>
      <c r="HWZ136" s="369">
        <v>0.5</v>
      </c>
      <c r="HXA136" s="370" t="e">
        <f>10/HWW134</f>
        <v>#DIV/0!</v>
      </c>
      <c r="HXB136" s="371">
        <v>15.38</v>
      </c>
      <c r="HXC136" s="371" t="e">
        <f>HWZ136*HXA136*HXB136</f>
        <v>#DIV/0!</v>
      </c>
      <c r="HXD136" s="367" t="s">
        <v>206</v>
      </c>
      <c r="HXE136" s="367"/>
      <c r="HXF136" s="367"/>
      <c r="HXG136" s="368" t="s">
        <v>168</v>
      </c>
      <c r="HXH136" s="369">
        <v>0.5</v>
      </c>
      <c r="HXI136" s="370" t="e">
        <f>10/HXE134</f>
        <v>#DIV/0!</v>
      </c>
      <c r="HXJ136" s="371">
        <v>15.38</v>
      </c>
      <c r="HXK136" s="371" t="e">
        <f>HXH136*HXI136*HXJ136</f>
        <v>#DIV/0!</v>
      </c>
      <c r="HXL136" s="367" t="s">
        <v>206</v>
      </c>
      <c r="HXM136" s="367"/>
      <c r="HXN136" s="367"/>
      <c r="HXO136" s="368" t="s">
        <v>168</v>
      </c>
      <c r="HXP136" s="369">
        <v>0.5</v>
      </c>
      <c r="HXQ136" s="370" t="e">
        <f>10/HXM134</f>
        <v>#DIV/0!</v>
      </c>
      <c r="HXR136" s="371">
        <v>15.38</v>
      </c>
      <c r="HXS136" s="371" t="e">
        <f>HXP136*HXQ136*HXR136</f>
        <v>#DIV/0!</v>
      </c>
      <c r="HXT136" s="367" t="s">
        <v>206</v>
      </c>
      <c r="HXU136" s="367"/>
      <c r="HXV136" s="367"/>
      <c r="HXW136" s="368" t="s">
        <v>168</v>
      </c>
      <c r="HXX136" s="369">
        <v>0.5</v>
      </c>
      <c r="HXY136" s="370" t="e">
        <f>10/HXU134</f>
        <v>#DIV/0!</v>
      </c>
      <c r="HXZ136" s="371">
        <v>15.38</v>
      </c>
      <c r="HYA136" s="371" t="e">
        <f>HXX136*HXY136*HXZ136</f>
        <v>#DIV/0!</v>
      </c>
      <c r="HYB136" s="367" t="s">
        <v>206</v>
      </c>
      <c r="HYC136" s="367"/>
      <c r="HYD136" s="367"/>
      <c r="HYE136" s="368" t="s">
        <v>168</v>
      </c>
      <c r="HYF136" s="369">
        <v>0.5</v>
      </c>
      <c r="HYG136" s="370" t="e">
        <f>10/HYC134</f>
        <v>#DIV/0!</v>
      </c>
      <c r="HYH136" s="371">
        <v>15.38</v>
      </c>
      <c r="HYI136" s="371" t="e">
        <f>HYF136*HYG136*HYH136</f>
        <v>#DIV/0!</v>
      </c>
      <c r="HYJ136" s="367" t="s">
        <v>206</v>
      </c>
      <c r="HYK136" s="367"/>
      <c r="HYL136" s="367"/>
      <c r="HYM136" s="368" t="s">
        <v>168</v>
      </c>
      <c r="HYN136" s="369">
        <v>0.5</v>
      </c>
      <c r="HYO136" s="370" t="e">
        <f>10/HYK134</f>
        <v>#DIV/0!</v>
      </c>
      <c r="HYP136" s="371">
        <v>15.38</v>
      </c>
      <c r="HYQ136" s="371" t="e">
        <f>HYN136*HYO136*HYP136</f>
        <v>#DIV/0!</v>
      </c>
      <c r="HYR136" s="367" t="s">
        <v>206</v>
      </c>
      <c r="HYS136" s="367"/>
      <c r="HYT136" s="367"/>
      <c r="HYU136" s="368" t="s">
        <v>168</v>
      </c>
      <c r="HYV136" s="369">
        <v>0.5</v>
      </c>
      <c r="HYW136" s="370" t="e">
        <f>10/HYS134</f>
        <v>#DIV/0!</v>
      </c>
      <c r="HYX136" s="371">
        <v>15.38</v>
      </c>
      <c r="HYY136" s="371" t="e">
        <f>HYV136*HYW136*HYX136</f>
        <v>#DIV/0!</v>
      </c>
      <c r="HYZ136" s="367" t="s">
        <v>206</v>
      </c>
      <c r="HZA136" s="367"/>
      <c r="HZB136" s="367"/>
      <c r="HZC136" s="368" t="s">
        <v>168</v>
      </c>
      <c r="HZD136" s="369">
        <v>0.5</v>
      </c>
      <c r="HZE136" s="370" t="e">
        <f>10/HZA134</f>
        <v>#DIV/0!</v>
      </c>
      <c r="HZF136" s="371">
        <v>15.38</v>
      </c>
      <c r="HZG136" s="371" t="e">
        <f>HZD136*HZE136*HZF136</f>
        <v>#DIV/0!</v>
      </c>
      <c r="HZH136" s="367" t="s">
        <v>206</v>
      </c>
      <c r="HZI136" s="367"/>
      <c r="HZJ136" s="367"/>
      <c r="HZK136" s="368" t="s">
        <v>168</v>
      </c>
      <c r="HZL136" s="369">
        <v>0.5</v>
      </c>
      <c r="HZM136" s="370" t="e">
        <f>10/HZI134</f>
        <v>#DIV/0!</v>
      </c>
      <c r="HZN136" s="371">
        <v>15.38</v>
      </c>
      <c r="HZO136" s="371" t="e">
        <f>HZL136*HZM136*HZN136</f>
        <v>#DIV/0!</v>
      </c>
      <c r="HZP136" s="367" t="s">
        <v>206</v>
      </c>
      <c r="HZQ136" s="367"/>
      <c r="HZR136" s="367"/>
      <c r="HZS136" s="368" t="s">
        <v>168</v>
      </c>
      <c r="HZT136" s="369">
        <v>0.5</v>
      </c>
      <c r="HZU136" s="370" t="e">
        <f>10/HZQ134</f>
        <v>#DIV/0!</v>
      </c>
      <c r="HZV136" s="371">
        <v>15.38</v>
      </c>
      <c r="HZW136" s="371" t="e">
        <f>HZT136*HZU136*HZV136</f>
        <v>#DIV/0!</v>
      </c>
      <c r="HZX136" s="367" t="s">
        <v>206</v>
      </c>
      <c r="HZY136" s="367"/>
      <c r="HZZ136" s="367"/>
      <c r="IAA136" s="368" t="s">
        <v>168</v>
      </c>
      <c r="IAB136" s="369">
        <v>0.5</v>
      </c>
      <c r="IAC136" s="370" t="e">
        <f>10/HZY134</f>
        <v>#DIV/0!</v>
      </c>
      <c r="IAD136" s="371">
        <v>15.38</v>
      </c>
      <c r="IAE136" s="371" t="e">
        <f>IAB136*IAC136*IAD136</f>
        <v>#DIV/0!</v>
      </c>
      <c r="IAF136" s="367" t="s">
        <v>206</v>
      </c>
      <c r="IAG136" s="367"/>
      <c r="IAH136" s="367"/>
      <c r="IAI136" s="368" t="s">
        <v>168</v>
      </c>
      <c r="IAJ136" s="369">
        <v>0.5</v>
      </c>
      <c r="IAK136" s="370" t="e">
        <f>10/IAG134</f>
        <v>#DIV/0!</v>
      </c>
      <c r="IAL136" s="371">
        <v>15.38</v>
      </c>
      <c r="IAM136" s="371" t="e">
        <f>IAJ136*IAK136*IAL136</f>
        <v>#DIV/0!</v>
      </c>
      <c r="IAN136" s="367" t="s">
        <v>206</v>
      </c>
      <c r="IAO136" s="367"/>
      <c r="IAP136" s="367"/>
      <c r="IAQ136" s="368" t="s">
        <v>168</v>
      </c>
      <c r="IAR136" s="369">
        <v>0.5</v>
      </c>
      <c r="IAS136" s="370" t="e">
        <f>10/IAO134</f>
        <v>#DIV/0!</v>
      </c>
      <c r="IAT136" s="371">
        <v>15.38</v>
      </c>
      <c r="IAU136" s="371" t="e">
        <f>IAR136*IAS136*IAT136</f>
        <v>#DIV/0!</v>
      </c>
      <c r="IAV136" s="367" t="s">
        <v>206</v>
      </c>
      <c r="IAW136" s="367"/>
      <c r="IAX136" s="367"/>
      <c r="IAY136" s="368" t="s">
        <v>168</v>
      </c>
      <c r="IAZ136" s="369">
        <v>0.5</v>
      </c>
      <c r="IBA136" s="370" t="e">
        <f>10/IAW134</f>
        <v>#DIV/0!</v>
      </c>
      <c r="IBB136" s="371">
        <v>15.38</v>
      </c>
      <c r="IBC136" s="371" t="e">
        <f>IAZ136*IBA136*IBB136</f>
        <v>#DIV/0!</v>
      </c>
      <c r="IBD136" s="367" t="s">
        <v>206</v>
      </c>
      <c r="IBE136" s="367"/>
      <c r="IBF136" s="367"/>
      <c r="IBG136" s="368" t="s">
        <v>168</v>
      </c>
      <c r="IBH136" s="369">
        <v>0.5</v>
      </c>
      <c r="IBI136" s="370" t="e">
        <f>10/IBE134</f>
        <v>#DIV/0!</v>
      </c>
      <c r="IBJ136" s="371">
        <v>15.38</v>
      </c>
      <c r="IBK136" s="371" t="e">
        <f>IBH136*IBI136*IBJ136</f>
        <v>#DIV/0!</v>
      </c>
      <c r="IBL136" s="367" t="s">
        <v>206</v>
      </c>
      <c r="IBM136" s="367"/>
      <c r="IBN136" s="367"/>
      <c r="IBO136" s="368" t="s">
        <v>168</v>
      </c>
      <c r="IBP136" s="369">
        <v>0.5</v>
      </c>
      <c r="IBQ136" s="370" t="e">
        <f>10/IBM134</f>
        <v>#DIV/0!</v>
      </c>
      <c r="IBR136" s="371">
        <v>15.38</v>
      </c>
      <c r="IBS136" s="371" t="e">
        <f>IBP136*IBQ136*IBR136</f>
        <v>#DIV/0!</v>
      </c>
      <c r="IBT136" s="367" t="s">
        <v>206</v>
      </c>
      <c r="IBU136" s="367"/>
      <c r="IBV136" s="367"/>
      <c r="IBW136" s="368" t="s">
        <v>168</v>
      </c>
      <c r="IBX136" s="369">
        <v>0.5</v>
      </c>
      <c r="IBY136" s="370" t="e">
        <f>10/IBU134</f>
        <v>#DIV/0!</v>
      </c>
      <c r="IBZ136" s="371">
        <v>15.38</v>
      </c>
      <c r="ICA136" s="371" t="e">
        <f>IBX136*IBY136*IBZ136</f>
        <v>#DIV/0!</v>
      </c>
      <c r="ICB136" s="367" t="s">
        <v>206</v>
      </c>
      <c r="ICC136" s="367"/>
      <c r="ICD136" s="367"/>
      <c r="ICE136" s="368" t="s">
        <v>168</v>
      </c>
      <c r="ICF136" s="369">
        <v>0.5</v>
      </c>
      <c r="ICG136" s="370" t="e">
        <f>10/ICC134</f>
        <v>#DIV/0!</v>
      </c>
      <c r="ICH136" s="371">
        <v>15.38</v>
      </c>
      <c r="ICI136" s="371" t="e">
        <f>ICF136*ICG136*ICH136</f>
        <v>#DIV/0!</v>
      </c>
      <c r="ICJ136" s="367" t="s">
        <v>206</v>
      </c>
      <c r="ICK136" s="367"/>
      <c r="ICL136" s="367"/>
      <c r="ICM136" s="368" t="s">
        <v>168</v>
      </c>
      <c r="ICN136" s="369">
        <v>0.5</v>
      </c>
      <c r="ICO136" s="370" t="e">
        <f>10/ICK134</f>
        <v>#DIV/0!</v>
      </c>
      <c r="ICP136" s="371">
        <v>15.38</v>
      </c>
      <c r="ICQ136" s="371" t="e">
        <f>ICN136*ICO136*ICP136</f>
        <v>#DIV/0!</v>
      </c>
      <c r="ICR136" s="367" t="s">
        <v>206</v>
      </c>
      <c r="ICS136" s="367"/>
      <c r="ICT136" s="367"/>
      <c r="ICU136" s="368" t="s">
        <v>168</v>
      </c>
      <c r="ICV136" s="369">
        <v>0.5</v>
      </c>
      <c r="ICW136" s="370" t="e">
        <f>10/ICS134</f>
        <v>#DIV/0!</v>
      </c>
      <c r="ICX136" s="371">
        <v>15.38</v>
      </c>
      <c r="ICY136" s="371" t="e">
        <f>ICV136*ICW136*ICX136</f>
        <v>#DIV/0!</v>
      </c>
      <c r="ICZ136" s="367" t="s">
        <v>206</v>
      </c>
      <c r="IDA136" s="367"/>
      <c r="IDB136" s="367"/>
      <c r="IDC136" s="368" t="s">
        <v>168</v>
      </c>
      <c r="IDD136" s="369">
        <v>0.5</v>
      </c>
      <c r="IDE136" s="370" t="e">
        <f>10/IDA134</f>
        <v>#DIV/0!</v>
      </c>
      <c r="IDF136" s="371">
        <v>15.38</v>
      </c>
      <c r="IDG136" s="371" t="e">
        <f>IDD136*IDE136*IDF136</f>
        <v>#DIV/0!</v>
      </c>
      <c r="IDH136" s="367" t="s">
        <v>206</v>
      </c>
      <c r="IDI136" s="367"/>
      <c r="IDJ136" s="367"/>
      <c r="IDK136" s="368" t="s">
        <v>168</v>
      </c>
      <c r="IDL136" s="369">
        <v>0.5</v>
      </c>
      <c r="IDM136" s="370" t="e">
        <f>10/IDI134</f>
        <v>#DIV/0!</v>
      </c>
      <c r="IDN136" s="371">
        <v>15.38</v>
      </c>
      <c r="IDO136" s="371" t="e">
        <f>IDL136*IDM136*IDN136</f>
        <v>#DIV/0!</v>
      </c>
      <c r="IDP136" s="367" t="s">
        <v>206</v>
      </c>
      <c r="IDQ136" s="367"/>
      <c r="IDR136" s="367"/>
      <c r="IDS136" s="368" t="s">
        <v>168</v>
      </c>
      <c r="IDT136" s="369">
        <v>0.5</v>
      </c>
      <c r="IDU136" s="370" t="e">
        <f>10/IDQ134</f>
        <v>#DIV/0!</v>
      </c>
      <c r="IDV136" s="371">
        <v>15.38</v>
      </c>
      <c r="IDW136" s="371" t="e">
        <f>IDT136*IDU136*IDV136</f>
        <v>#DIV/0!</v>
      </c>
      <c r="IDX136" s="367" t="s">
        <v>206</v>
      </c>
      <c r="IDY136" s="367"/>
      <c r="IDZ136" s="367"/>
      <c r="IEA136" s="368" t="s">
        <v>168</v>
      </c>
      <c r="IEB136" s="369">
        <v>0.5</v>
      </c>
      <c r="IEC136" s="370" t="e">
        <f>10/IDY134</f>
        <v>#DIV/0!</v>
      </c>
      <c r="IED136" s="371">
        <v>15.38</v>
      </c>
      <c r="IEE136" s="371" t="e">
        <f>IEB136*IEC136*IED136</f>
        <v>#DIV/0!</v>
      </c>
      <c r="IEF136" s="367" t="s">
        <v>206</v>
      </c>
      <c r="IEG136" s="367"/>
      <c r="IEH136" s="367"/>
      <c r="IEI136" s="368" t="s">
        <v>168</v>
      </c>
      <c r="IEJ136" s="369">
        <v>0.5</v>
      </c>
      <c r="IEK136" s="370" t="e">
        <f>10/IEG134</f>
        <v>#DIV/0!</v>
      </c>
      <c r="IEL136" s="371">
        <v>15.38</v>
      </c>
      <c r="IEM136" s="371" t="e">
        <f>IEJ136*IEK136*IEL136</f>
        <v>#DIV/0!</v>
      </c>
      <c r="IEN136" s="367" t="s">
        <v>206</v>
      </c>
      <c r="IEO136" s="367"/>
      <c r="IEP136" s="367"/>
      <c r="IEQ136" s="368" t="s">
        <v>168</v>
      </c>
      <c r="IER136" s="369">
        <v>0.5</v>
      </c>
      <c r="IES136" s="370" t="e">
        <f>10/IEO134</f>
        <v>#DIV/0!</v>
      </c>
      <c r="IET136" s="371">
        <v>15.38</v>
      </c>
      <c r="IEU136" s="371" t="e">
        <f>IER136*IES136*IET136</f>
        <v>#DIV/0!</v>
      </c>
      <c r="IEV136" s="367" t="s">
        <v>206</v>
      </c>
      <c r="IEW136" s="367"/>
      <c r="IEX136" s="367"/>
      <c r="IEY136" s="368" t="s">
        <v>168</v>
      </c>
      <c r="IEZ136" s="369">
        <v>0.5</v>
      </c>
      <c r="IFA136" s="370" t="e">
        <f>10/IEW134</f>
        <v>#DIV/0!</v>
      </c>
      <c r="IFB136" s="371">
        <v>15.38</v>
      </c>
      <c r="IFC136" s="371" t="e">
        <f>IEZ136*IFA136*IFB136</f>
        <v>#DIV/0!</v>
      </c>
      <c r="IFD136" s="367" t="s">
        <v>206</v>
      </c>
      <c r="IFE136" s="367"/>
      <c r="IFF136" s="367"/>
      <c r="IFG136" s="368" t="s">
        <v>168</v>
      </c>
      <c r="IFH136" s="369">
        <v>0.5</v>
      </c>
      <c r="IFI136" s="370" t="e">
        <f>10/IFE134</f>
        <v>#DIV/0!</v>
      </c>
      <c r="IFJ136" s="371">
        <v>15.38</v>
      </c>
      <c r="IFK136" s="371" t="e">
        <f>IFH136*IFI136*IFJ136</f>
        <v>#DIV/0!</v>
      </c>
      <c r="IFL136" s="367" t="s">
        <v>206</v>
      </c>
      <c r="IFM136" s="367"/>
      <c r="IFN136" s="367"/>
      <c r="IFO136" s="368" t="s">
        <v>168</v>
      </c>
      <c r="IFP136" s="369">
        <v>0.5</v>
      </c>
      <c r="IFQ136" s="370" t="e">
        <f>10/IFM134</f>
        <v>#DIV/0!</v>
      </c>
      <c r="IFR136" s="371">
        <v>15.38</v>
      </c>
      <c r="IFS136" s="371" t="e">
        <f>IFP136*IFQ136*IFR136</f>
        <v>#DIV/0!</v>
      </c>
      <c r="IFT136" s="367" t="s">
        <v>206</v>
      </c>
      <c r="IFU136" s="367"/>
      <c r="IFV136" s="367"/>
      <c r="IFW136" s="368" t="s">
        <v>168</v>
      </c>
      <c r="IFX136" s="369">
        <v>0.5</v>
      </c>
      <c r="IFY136" s="370" t="e">
        <f>10/IFU134</f>
        <v>#DIV/0!</v>
      </c>
      <c r="IFZ136" s="371">
        <v>15.38</v>
      </c>
      <c r="IGA136" s="371" t="e">
        <f>IFX136*IFY136*IFZ136</f>
        <v>#DIV/0!</v>
      </c>
      <c r="IGB136" s="367" t="s">
        <v>206</v>
      </c>
      <c r="IGC136" s="367"/>
      <c r="IGD136" s="367"/>
      <c r="IGE136" s="368" t="s">
        <v>168</v>
      </c>
      <c r="IGF136" s="369">
        <v>0.5</v>
      </c>
      <c r="IGG136" s="370" t="e">
        <f>10/IGC134</f>
        <v>#DIV/0!</v>
      </c>
      <c r="IGH136" s="371">
        <v>15.38</v>
      </c>
      <c r="IGI136" s="371" t="e">
        <f>IGF136*IGG136*IGH136</f>
        <v>#DIV/0!</v>
      </c>
      <c r="IGJ136" s="367" t="s">
        <v>206</v>
      </c>
      <c r="IGK136" s="367"/>
      <c r="IGL136" s="367"/>
      <c r="IGM136" s="368" t="s">
        <v>168</v>
      </c>
      <c r="IGN136" s="369">
        <v>0.5</v>
      </c>
      <c r="IGO136" s="370" t="e">
        <f>10/IGK134</f>
        <v>#DIV/0!</v>
      </c>
      <c r="IGP136" s="371">
        <v>15.38</v>
      </c>
      <c r="IGQ136" s="371" t="e">
        <f>IGN136*IGO136*IGP136</f>
        <v>#DIV/0!</v>
      </c>
      <c r="IGR136" s="367" t="s">
        <v>206</v>
      </c>
      <c r="IGS136" s="367"/>
      <c r="IGT136" s="367"/>
      <c r="IGU136" s="368" t="s">
        <v>168</v>
      </c>
      <c r="IGV136" s="369">
        <v>0.5</v>
      </c>
      <c r="IGW136" s="370" t="e">
        <f>10/IGS134</f>
        <v>#DIV/0!</v>
      </c>
      <c r="IGX136" s="371">
        <v>15.38</v>
      </c>
      <c r="IGY136" s="371" t="e">
        <f>IGV136*IGW136*IGX136</f>
        <v>#DIV/0!</v>
      </c>
      <c r="IGZ136" s="367" t="s">
        <v>206</v>
      </c>
      <c r="IHA136" s="367"/>
      <c r="IHB136" s="367"/>
      <c r="IHC136" s="368" t="s">
        <v>168</v>
      </c>
      <c r="IHD136" s="369">
        <v>0.5</v>
      </c>
      <c r="IHE136" s="370" t="e">
        <f>10/IHA134</f>
        <v>#DIV/0!</v>
      </c>
      <c r="IHF136" s="371">
        <v>15.38</v>
      </c>
      <c r="IHG136" s="371" t="e">
        <f>IHD136*IHE136*IHF136</f>
        <v>#DIV/0!</v>
      </c>
      <c r="IHH136" s="367" t="s">
        <v>206</v>
      </c>
      <c r="IHI136" s="367"/>
      <c r="IHJ136" s="367"/>
      <c r="IHK136" s="368" t="s">
        <v>168</v>
      </c>
      <c r="IHL136" s="369">
        <v>0.5</v>
      </c>
      <c r="IHM136" s="370" t="e">
        <f>10/IHI134</f>
        <v>#DIV/0!</v>
      </c>
      <c r="IHN136" s="371">
        <v>15.38</v>
      </c>
      <c r="IHO136" s="371" t="e">
        <f>IHL136*IHM136*IHN136</f>
        <v>#DIV/0!</v>
      </c>
      <c r="IHP136" s="367" t="s">
        <v>206</v>
      </c>
      <c r="IHQ136" s="367"/>
      <c r="IHR136" s="367"/>
      <c r="IHS136" s="368" t="s">
        <v>168</v>
      </c>
      <c r="IHT136" s="369">
        <v>0.5</v>
      </c>
      <c r="IHU136" s="370" t="e">
        <f>10/IHQ134</f>
        <v>#DIV/0!</v>
      </c>
      <c r="IHV136" s="371">
        <v>15.38</v>
      </c>
      <c r="IHW136" s="371" t="e">
        <f>IHT136*IHU136*IHV136</f>
        <v>#DIV/0!</v>
      </c>
      <c r="IHX136" s="367" t="s">
        <v>206</v>
      </c>
      <c r="IHY136" s="367"/>
      <c r="IHZ136" s="367"/>
      <c r="IIA136" s="368" t="s">
        <v>168</v>
      </c>
      <c r="IIB136" s="369">
        <v>0.5</v>
      </c>
      <c r="IIC136" s="370" t="e">
        <f>10/IHY134</f>
        <v>#DIV/0!</v>
      </c>
      <c r="IID136" s="371">
        <v>15.38</v>
      </c>
      <c r="IIE136" s="371" t="e">
        <f>IIB136*IIC136*IID136</f>
        <v>#DIV/0!</v>
      </c>
      <c r="IIF136" s="367" t="s">
        <v>206</v>
      </c>
      <c r="IIG136" s="367"/>
      <c r="IIH136" s="367"/>
      <c r="III136" s="368" t="s">
        <v>168</v>
      </c>
      <c r="IIJ136" s="369">
        <v>0.5</v>
      </c>
      <c r="IIK136" s="370" t="e">
        <f>10/IIG134</f>
        <v>#DIV/0!</v>
      </c>
      <c r="IIL136" s="371">
        <v>15.38</v>
      </c>
      <c r="IIM136" s="371" t="e">
        <f>IIJ136*IIK136*IIL136</f>
        <v>#DIV/0!</v>
      </c>
      <c r="IIN136" s="367" t="s">
        <v>206</v>
      </c>
      <c r="IIO136" s="367"/>
      <c r="IIP136" s="367"/>
      <c r="IIQ136" s="368" t="s">
        <v>168</v>
      </c>
      <c r="IIR136" s="369">
        <v>0.5</v>
      </c>
      <c r="IIS136" s="370" t="e">
        <f>10/IIO134</f>
        <v>#DIV/0!</v>
      </c>
      <c r="IIT136" s="371">
        <v>15.38</v>
      </c>
      <c r="IIU136" s="371" t="e">
        <f>IIR136*IIS136*IIT136</f>
        <v>#DIV/0!</v>
      </c>
      <c r="IIV136" s="367" t="s">
        <v>206</v>
      </c>
      <c r="IIW136" s="367"/>
      <c r="IIX136" s="367"/>
      <c r="IIY136" s="368" t="s">
        <v>168</v>
      </c>
      <c r="IIZ136" s="369">
        <v>0.5</v>
      </c>
      <c r="IJA136" s="370" t="e">
        <f>10/IIW134</f>
        <v>#DIV/0!</v>
      </c>
      <c r="IJB136" s="371">
        <v>15.38</v>
      </c>
      <c r="IJC136" s="371" t="e">
        <f>IIZ136*IJA136*IJB136</f>
        <v>#DIV/0!</v>
      </c>
      <c r="IJD136" s="367" t="s">
        <v>206</v>
      </c>
      <c r="IJE136" s="367"/>
      <c r="IJF136" s="367"/>
      <c r="IJG136" s="368" t="s">
        <v>168</v>
      </c>
      <c r="IJH136" s="369">
        <v>0.5</v>
      </c>
      <c r="IJI136" s="370" t="e">
        <f>10/IJE134</f>
        <v>#DIV/0!</v>
      </c>
      <c r="IJJ136" s="371">
        <v>15.38</v>
      </c>
      <c r="IJK136" s="371" t="e">
        <f>IJH136*IJI136*IJJ136</f>
        <v>#DIV/0!</v>
      </c>
      <c r="IJL136" s="367" t="s">
        <v>206</v>
      </c>
      <c r="IJM136" s="367"/>
      <c r="IJN136" s="367"/>
      <c r="IJO136" s="368" t="s">
        <v>168</v>
      </c>
      <c r="IJP136" s="369">
        <v>0.5</v>
      </c>
      <c r="IJQ136" s="370" t="e">
        <f>10/IJM134</f>
        <v>#DIV/0!</v>
      </c>
      <c r="IJR136" s="371">
        <v>15.38</v>
      </c>
      <c r="IJS136" s="371" t="e">
        <f>IJP136*IJQ136*IJR136</f>
        <v>#DIV/0!</v>
      </c>
      <c r="IJT136" s="367" t="s">
        <v>206</v>
      </c>
      <c r="IJU136" s="367"/>
      <c r="IJV136" s="367"/>
      <c r="IJW136" s="368" t="s">
        <v>168</v>
      </c>
      <c r="IJX136" s="369">
        <v>0.5</v>
      </c>
      <c r="IJY136" s="370" t="e">
        <f>10/IJU134</f>
        <v>#DIV/0!</v>
      </c>
      <c r="IJZ136" s="371">
        <v>15.38</v>
      </c>
      <c r="IKA136" s="371" t="e">
        <f>IJX136*IJY136*IJZ136</f>
        <v>#DIV/0!</v>
      </c>
      <c r="IKB136" s="367" t="s">
        <v>206</v>
      </c>
      <c r="IKC136" s="367"/>
      <c r="IKD136" s="367"/>
      <c r="IKE136" s="368" t="s">
        <v>168</v>
      </c>
      <c r="IKF136" s="369">
        <v>0.5</v>
      </c>
      <c r="IKG136" s="370" t="e">
        <f>10/IKC134</f>
        <v>#DIV/0!</v>
      </c>
      <c r="IKH136" s="371">
        <v>15.38</v>
      </c>
      <c r="IKI136" s="371" t="e">
        <f>IKF136*IKG136*IKH136</f>
        <v>#DIV/0!</v>
      </c>
      <c r="IKJ136" s="367" t="s">
        <v>206</v>
      </c>
      <c r="IKK136" s="367"/>
      <c r="IKL136" s="367"/>
      <c r="IKM136" s="368" t="s">
        <v>168</v>
      </c>
      <c r="IKN136" s="369">
        <v>0.5</v>
      </c>
      <c r="IKO136" s="370" t="e">
        <f>10/IKK134</f>
        <v>#DIV/0!</v>
      </c>
      <c r="IKP136" s="371">
        <v>15.38</v>
      </c>
      <c r="IKQ136" s="371" t="e">
        <f>IKN136*IKO136*IKP136</f>
        <v>#DIV/0!</v>
      </c>
      <c r="IKR136" s="367" t="s">
        <v>206</v>
      </c>
      <c r="IKS136" s="367"/>
      <c r="IKT136" s="367"/>
      <c r="IKU136" s="368" t="s">
        <v>168</v>
      </c>
      <c r="IKV136" s="369">
        <v>0.5</v>
      </c>
      <c r="IKW136" s="370" t="e">
        <f>10/IKS134</f>
        <v>#DIV/0!</v>
      </c>
      <c r="IKX136" s="371">
        <v>15.38</v>
      </c>
      <c r="IKY136" s="371" t="e">
        <f>IKV136*IKW136*IKX136</f>
        <v>#DIV/0!</v>
      </c>
      <c r="IKZ136" s="367" t="s">
        <v>206</v>
      </c>
      <c r="ILA136" s="367"/>
      <c r="ILB136" s="367"/>
      <c r="ILC136" s="368" t="s">
        <v>168</v>
      </c>
      <c r="ILD136" s="369">
        <v>0.5</v>
      </c>
      <c r="ILE136" s="370" t="e">
        <f>10/ILA134</f>
        <v>#DIV/0!</v>
      </c>
      <c r="ILF136" s="371">
        <v>15.38</v>
      </c>
      <c r="ILG136" s="371" t="e">
        <f>ILD136*ILE136*ILF136</f>
        <v>#DIV/0!</v>
      </c>
      <c r="ILH136" s="367" t="s">
        <v>206</v>
      </c>
      <c r="ILI136" s="367"/>
      <c r="ILJ136" s="367"/>
      <c r="ILK136" s="368" t="s">
        <v>168</v>
      </c>
      <c r="ILL136" s="369">
        <v>0.5</v>
      </c>
      <c r="ILM136" s="370" t="e">
        <f>10/ILI134</f>
        <v>#DIV/0!</v>
      </c>
      <c r="ILN136" s="371">
        <v>15.38</v>
      </c>
      <c r="ILO136" s="371" t="e">
        <f>ILL136*ILM136*ILN136</f>
        <v>#DIV/0!</v>
      </c>
      <c r="ILP136" s="367" t="s">
        <v>206</v>
      </c>
      <c r="ILQ136" s="367"/>
      <c r="ILR136" s="367"/>
      <c r="ILS136" s="368" t="s">
        <v>168</v>
      </c>
      <c r="ILT136" s="369">
        <v>0.5</v>
      </c>
      <c r="ILU136" s="370" t="e">
        <f>10/ILQ134</f>
        <v>#DIV/0!</v>
      </c>
      <c r="ILV136" s="371">
        <v>15.38</v>
      </c>
      <c r="ILW136" s="371" t="e">
        <f>ILT136*ILU136*ILV136</f>
        <v>#DIV/0!</v>
      </c>
      <c r="ILX136" s="367" t="s">
        <v>206</v>
      </c>
      <c r="ILY136" s="367"/>
      <c r="ILZ136" s="367"/>
      <c r="IMA136" s="368" t="s">
        <v>168</v>
      </c>
      <c r="IMB136" s="369">
        <v>0.5</v>
      </c>
      <c r="IMC136" s="370" t="e">
        <f>10/ILY134</f>
        <v>#DIV/0!</v>
      </c>
      <c r="IMD136" s="371">
        <v>15.38</v>
      </c>
      <c r="IME136" s="371" t="e">
        <f>IMB136*IMC136*IMD136</f>
        <v>#DIV/0!</v>
      </c>
      <c r="IMF136" s="367" t="s">
        <v>206</v>
      </c>
      <c r="IMG136" s="367"/>
      <c r="IMH136" s="367"/>
      <c r="IMI136" s="368" t="s">
        <v>168</v>
      </c>
      <c r="IMJ136" s="369">
        <v>0.5</v>
      </c>
      <c r="IMK136" s="370" t="e">
        <f>10/IMG134</f>
        <v>#DIV/0!</v>
      </c>
      <c r="IML136" s="371">
        <v>15.38</v>
      </c>
      <c r="IMM136" s="371" t="e">
        <f>IMJ136*IMK136*IML136</f>
        <v>#DIV/0!</v>
      </c>
      <c r="IMN136" s="367" t="s">
        <v>206</v>
      </c>
      <c r="IMO136" s="367"/>
      <c r="IMP136" s="367"/>
      <c r="IMQ136" s="368" t="s">
        <v>168</v>
      </c>
      <c r="IMR136" s="369">
        <v>0.5</v>
      </c>
      <c r="IMS136" s="370" t="e">
        <f>10/IMO134</f>
        <v>#DIV/0!</v>
      </c>
      <c r="IMT136" s="371">
        <v>15.38</v>
      </c>
      <c r="IMU136" s="371" t="e">
        <f>IMR136*IMS136*IMT136</f>
        <v>#DIV/0!</v>
      </c>
      <c r="IMV136" s="367" t="s">
        <v>206</v>
      </c>
      <c r="IMW136" s="367"/>
      <c r="IMX136" s="367"/>
      <c r="IMY136" s="368" t="s">
        <v>168</v>
      </c>
      <c r="IMZ136" s="369">
        <v>0.5</v>
      </c>
      <c r="INA136" s="370" t="e">
        <f>10/IMW134</f>
        <v>#DIV/0!</v>
      </c>
      <c r="INB136" s="371">
        <v>15.38</v>
      </c>
      <c r="INC136" s="371" t="e">
        <f>IMZ136*INA136*INB136</f>
        <v>#DIV/0!</v>
      </c>
      <c r="IND136" s="367" t="s">
        <v>206</v>
      </c>
      <c r="INE136" s="367"/>
      <c r="INF136" s="367"/>
      <c r="ING136" s="368" t="s">
        <v>168</v>
      </c>
      <c r="INH136" s="369">
        <v>0.5</v>
      </c>
      <c r="INI136" s="370" t="e">
        <f>10/INE134</f>
        <v>#DIV/0!</v>
      </c>
      <c r="INJ136" s="371">
        <v>15.38</v>
      </c>
      <c r="INK136" s="371" t="e">
        <f>INH136*INI136*INJ136</f>
        <v>#DIV/0!</v>
      </c>
      <c r="INL136" s="367" t="s">
        <v>206</v>
      </c>
      <c r="INM136" s="367"/>
      <c r="INN136" s="367"/>
      <c r="INO136" s="368" t="s">
        <v>168</v>
      </c>
      <c r="INP136" s="369">
        <v>0.5</v>
      </c>
      <c r="INQ136" s="370" t="e">
        <f>10/INM134</f>
        <v>#DIV/0!</v>
      </c>
      <c r="INR136" s="371">
        <v>15.38</v>
      </c>
      <c r="INS136" s="371" t="e">
        <f>INP136*INQ136*INR136</f>
        <v>#DIV/0!</v>
      </c>
      <c r="INT136" s="367" t="s">
        <v>206</v>
      </c>
      <c r="INU136" s="367"/>
      <c r="INV136" s="367"/>
      <c r="INW136" s="368" t="s">
        <v>168</v>
      </c>
      <c r="INX136" s="369">
        <v>0.5</v>
      </c>
      <c r="INY136" s="370" t="e">
        <f>10/INU134</f>
        <v>#DIV/0!</v>
      </c>
      <c r="INZ136" s="371">
        <v>15.38</v>
      </c>
      <c r="IOA136" s="371" t="e">
        <f>INX136*INY136*INZ136</f>
        <v>#DIV/0!</v>
      </c>
      <c r="IOB136" s="367" t="s">
        <v>206</v>
      </c>
      <c r="IOC136" s="367"/>
      <c r="IOD136" s="367"/>
      <c r="IOE136" s="368" t="s">
        <v>168</v>
      </c>
      <c r="IOF136" s="369">
        <v>0.5</v>
      </c>
      <c r="IOG136" s="370" t="e">
        <f>10/IOC134</f>
        <v>#DIV/0!</v>
      </c>
      <c r="IOH136" s="371">
        <v>15.38</v>
      </c>
      <c r="IOI136" s="371" t="e">
        <f>IOF136*IOG136*IOH136</f>
        <v>#DIV/0!</v>
      </c>
      <c r="IOJ136" s="367" t="s">
        <v>206</v>
      </c>
      <c r="IOK136" s="367"/>
      <c r="IOL136" s="367"/>
      <c r="IOM136" s="368" t="s">
        <v>168</v>
      </c>
      <c r="ION136" s="369">
        <v>0.5</v>
      </c>
      <c r="IOO136" s="370" t="e">
        <f>10/IOK134</f>
        <v>#DIV/0!</v>
      </c>
      <c r="IOP136" s="371">
        <v>15.38</v>
      </c>
      <c r="IOQ136" s="371" t="e">
        <f>ION136*IOO136*IOP136</f>
        <v>#DIV/0!</v>
      </c>
      <c r="IOR136" s="367" t="s">
        <v>206</v>
      </c>
      <c r="IOS136" s="367"/>
      <c r="IOT136" s="367"/>
      <c r="IOU136" s="368" t="s">
        <v>168</v>
      </c>
      <c r="IOV136" s="369">
        <v>0.5</v>
      </c>
      <c r="IOW136" s="370" t="e">
        <f>10/IOS134</f>
        <v>#DIV/0!</v>
      </c>
      <c r="IOX136" s="371">
        <v>15.38</v>
      </c>
      <c r="IOY136" s="371" t="e">
        <f>IOV136*IOW136*IOX136</f>
        <v>#DIV/0!</v>
      </c>
      <c r="IOZ136" s="367" t="s">
        <v>206</v>
      </c>
      <c r="IPA136" s="367"/>
      <c r="IPB136" s="367"/>
      <c r="IPC136" s="368" t="s">
        <v>168</v>
      </c>
      <c r="IPD136" s="369">
        <v>0.5</v>
      </c>
      <c r="IPE136" s="370" t="e">
        <f>10/IPA134</f>
        <v>#DIV/0!</v>
      </c>
      <c r="IPF136" s="371">
        <v>15.38</v>
      </c>
      <c r="IPG136" s="371" t="e">
        <f>IPD136*IPE136*IPF136</f>
        <v>#DIV/0!</v>
      </c>
      <c r="IPH136" s="367" t="s">
        <v>206</v>
      </c>
      <c r="IPI136" s="367"/>
      <c r="IPJ136" s="367"/>
      <c r="IPK136" s="368" t="s">
        <v>168</v>
      </c>
      <c r="IPL136" s="369">
        <v>0.5</v>
      </c>
      <c r="IPM136" s="370" t="e">
        <f>10/IPI134</f>
        <v>#DIV/0!</v>
      </c>
      <c r="IPN136" s="371">
        <v>15.38</v>
      </c>
      <c r="IPO136" s="371" t="e">
        <f>IPL136*IPM136*IPN136</f>
        <v>#DIV/0!</v>
      </c>
      <c r="IPP136" s="367" t="s">
        <v>206</v>
      </c>
      <c r="IPQ136" s="367"/>
      <c r="IPR136" s="367"/>
      <c r="IPS136" s="368" t="s">
        <v>168</v>
      </c>
      <c r="IPT136" s="369">
        <v>0.5</v>
      </c>
      <c r="IPU136" s="370" t="e">
        <f>10/IPQ134</f>
        <v>#DIV/0!</v>
      </c>
      <c r="IPV136" s="371">
        <v>15.38</v>
      </c>
      <c r="IPW136" s="371" t="e">
        <f>IPT136*IPU136*IPV136</f>
        <v>#DIV/0!</v>
      </c>
      <c r="IPX136" s="367" t="s">
        <v>206</v>
      </c>
      <c r="IPY136" s="367"/>
      <c r="IPZ136" s="367"/>
      <c r="IQA136" s="368" t="s">
        <v>168</v>
      </c>
      <c r="IQB136" s="369">
        <v>0.5</v>
      </c>
      <c r="IQC136" s="370" t="e">
        <f>10/IPY134</f>
        <v>#DIV/0!</v>
      </c>
      <c r="IQD136" s="371">
        <v>15.38</v>
      </c>
      <c r="IQE136" s="371" t="e">
        <f>IQB136*IQC136*IQD136</f>
        <v>#DIV/0!</v>
      </c>
      <c r="IQF136" s="367" t="s">
        <v>206</v>
      </c>
      <c r="IQG136" s="367"/>
      <c r="IQH136" s="367"/>
      <c r="IQI136" s="368" t="s">
        <v>168</v>
      </c>
      <c r="IQJ136" s="369">
        <v>0.5</v>
      </c>
      <c r="IQK136" s="370" t="e">
        <f>10/IQG134</f>
        <v>#DIV/0!</v>
      </c>
      <c r="IQL136" s="371">
        <v>15.38</v>
      </c>
      <c r="IQM136" s="371" t="e">
        <f>IQJ136*IQK136*IQL136</f>
        <v>#DIV/0!</v>
      </c>
      <c r="IQN136" s="367" t="s">
        <v>206</v>
      </c>
      <c r="IQO136" s="367"/>
      <c r="IQP136" s="367"/>
      <c r="IQQ136" s="368" t="s">
        <v>168</v>
      </c>
      <c r="IQR136" s="369">
        <v>0.5</v>
      </c>
      <c r="IQS136" s="370" t="e">
        <f>10/IQO134</f>
        <v>#DIV/0!</v>
      </c>
      <c r="IQT136" s="371">
        <v>15.38</v>
      </c>
      <c r="IQU136" s="371" t="e">
        <f>IQR136*IQS136*IQT136</f>
        <v>#DIV/0!</v>
      </c>
      <c r="IQV136" s="367" t="s">
        <v>206</v>
      </c>
      <c r="IQW136" s="367"/>
      <c r="IQX136" s="367"/>
      <c r="IQY136" s="368" t="s">
        <v>168</v>
      </c>
      <c r="IQZ136" s="369">
        <v>0.5</v>
      </c>
      <c r="IRA136" s="370" t="e">
        <f>10/IQW134</f>
        <v>#DIV/0!</v>
      </c>
      <c r="IRB136" s="371">
        <v>15.38</v>
      </c>
      <c r="IRC136" s="371" t="e">
        <f>IQZ136*IRA136*IRB136</f>
        <v>#DIV/0!</v>
      </c>
      <c r="IRD136" s="367" t="s">
        <v>206</v>
      </c>
      <c r="IRE136" s="367"/>
      <c r="IRF136" s="367"/>
      <c r="IRG136" s="368" t="s">
        <v>168</v>
      </c>
      <c r="IRH136" s="369">
        <v>0.5</v>
      </c>
      <c r="IRI136" s="370" t="e">
        <f>10/IRE134</f>
        <v>#DIV/0!</v>
      </c>
      <c r="IRJ136" s="371">
        <v>15.38</v>
      </c>
      <c r="IRK136" s="371" t="e">
        <f>IRH136*IRI136*IRJ136</f>
        <v>#DIV/0!</v>
      </c>
      <c r="IRL136" s="367" t="s">
        <v>206</v>
      </c>
      <c r="IRM136" s="367"/>
      <c r="IRN136" s="367"/>
      <c r="IRO136" s="368" t="s">
        <v>168</v>
      </c>
      <c r="IRP136" s="369">
        <v>0.5</v>
      </c>
      <c r="IRQ136" s="370" t="e">
        <f>10/IRM134</f>
        <v>#DIV/0!</v>
      </c>
      <c r="IRR136" s="371">
        <v>15.38</v>
      </c>
      <c r="IRS136" s="371" t="e">
        <f>IRP136*IRQ136*IRR136</f>
        <v>#DIV/0!</v>
      </c>
      <c r="IRT136" s="367" t="s">
        <v>206</v>
      </c>
      <c r="IRU136" s="367"/>
      <c r="IRV136" s="367"/>
      <c r="IRW136" s="368" t="s">
        <v>168</v>
      </c>
      <c r="IRX136" s="369">
        <v>0.5</v>
      </c>
      <c r="IRY136" s="370" t="e">
        <f>10/IRU134</f>
        <v>#DIV/0!</v>
      </c>
      <c r="IRZ136" s="371">
        <v>15.38</v>
      </c>
      <c r="ISA136" s="371" t="e">
        <f>IRX136*IRY136*IRZ136</f>
        <v>#DIV/0!</v>
      </c>
      <c r="ISB136" s="367" t="s">
        <v>206</v>
      </c>
      <c r="ISC136" s="367"/>
      <c r="ISD136" s="367"/>
      <c r="ISE136" s="368" t="s">
        <v>168</v>
      </c>
      <c r="ISF136" s="369">
        <v>0.5</v>
      </c>
      <c r="ISG136" s="370" t="e">
        <f>10/ISC134</f>
        <v>#DIV/0!</v>
      </c>
      <c r="ISH136" s="371">
        <v>15.38</v>
      </c>
      <c r="ISI136" s="371" t="e">
        <f>ISF136*ISG136*ISH136</f>
        <v>#DIV/0!</v>
      </c>
      <c r="ISJ136" s="367" t="s">
        <v>206</v>
      </c>
      <c r="ISK136" s="367"/>
      <c r="ISL136" s="367"/>
      <c r="ISM136" s="368" t="s">
        <v>168</v>
      </c>
      <c r="ISN136" s="369">
        <v>0.5</v>
      </c>
      <c r="ISO136" s="370" t="e">
        <f>10/ISK134</f>
        <v>#DIV/0!</v>
      </c>
      <c r="ISP136" s="371">
        <v>15.38</v>
      </c>
      <c r="ISQ136" s="371" t="e">
        <f>ISN136*ISO136*ISP136</f>
        <v>#DIV/0!</v>
      </c>
      <c r="ISR136" s="367" t="s">
        <v>206</v>
      </c>
      <c r="ISS136" s="367"/>
      <c r="IST136" s="367"/>
      <c r="ISU136" s="368" t="s">
        <v>168</v>
      </c>
      <c r="ISV136" s="369">
        <v>0.5</v>
      </c>
      <c r="ISW136" s="370" t="e">
        <f>10/ISS134</f>
        <v>#DIV/0!</v>
      </c>
      <c r="ISX136" s="371">
        <v>15.38</v>
      </c>
      <c r="ISY136" s="371" t="e">
        <f>ISV136*ISW136*ISX136</f>
        <v>#DIV/0!</v>
      </c>
      <c r="ISZ136" s="367" t="s">
        <v>206</v>
      </c>
      <c r="ITA136" s="367"/>
      <c r="ITB136" s="367"/>
      <c r="ITC136" s="368" t="s">
        <v>168</v>
      </c>
      <c r="ITD136" s="369">
        <v>0.5</v>
      </c>
      <c r="ITE136" s="370" t="e">
        <f>10/ITA134</f>
        <v>#DIV/0!</v>
      </c>
      <c r="ITF136" s="371">
        <v>15.38</v>
      </c>
      <c r="ITG136" s="371" t="e">
        <f>ITD136*ITE136*ITF136</f>
        <v>#DIV/0!</v>
      </c>
      <c r="ITH136" s="367" t="s">
        <v>206</v>
      </c>
      <c r="ITI136" s="367"/>
      <c r="ITJ136" s="367"/>
      <c r="ITK136" s="368" t="s">
        <v>168</v>
      </c>
      <c r="ITL136" s="369">
        <v>0.5</v>
      </c>
      <c r="ITM136" s="370" t="e">
        <f>10/ITI134</f>
        <v>#DIV/0!</v>
      </c>
      <c r="ITN136" s="371">
        <v>15.38</v>
      </c>
      <c r="ITO136" s="371" t="e">
        <f>ITL136*ITM136*ITN136</f>
        <v>#DIV/0!</v>
      </c>
      <c r="ITP136" s="367" t="s">
        <v>206</v>
      </c>
      <c r="ITQ136" s="367"/>
      <c r="ITR136" s="367"/>
      <c r="ITS136" s="368" t="s">
        <v>168</v>
      </c>
      <c r="ITT136" s="369">
        <v>0.5</v>
      </c>
      <c r="ITU136" s="370" t="e">
        <f>10/ITQ134</f>
        <v>#DIV/0!</v>
      </c>
      <c r="ITV136" s="371">
        <v>15.38</v>
      </c>
      <c r="ITW136" s="371" t="e">
        <f>ITT136*ITU136*ITV136</f>
        <v>#DIV/0!</v>
      </c>
      <c r="ITX136" s="367" t="s">
        <v>206</v>
      </c>
      <c r="ITY136" s="367"/>
      <c r="ITZ136" s="367"/>
      <c r="IUA136" s="368" t="s">
        <v>168</v>
      </c>
      <c r="IUB136" s="369">
        <v>0.5</v>
      </c>
      <c r="IUC136" s="370" t="e">
        <f>10/ITY134</f>
        <v>#DIV/0!</v>
      </c>
      <c r="IUD136" s="371">
        <v>15.38</v>
      </c>
      <c r="IUE136" s="371" t="e">
        <f>IUB136*IUC136*IUD136</f>
        <v>#DIV/0!</v>
      </c>
      <c r="IUF136" s="367" t="s">
        <v>206</v>
      </c>
      <c r="IUG136" s="367"/>
      <c r="IUH136" s="367"/>
      <c r="IUI136" s="368" t="s">
        <v>168</v>
      </c>
      <c r="IUJ136" s="369">
        <v>0.5</v>
      </c>
      <c r="IUK136" s="370" t="e">
        <f>10/IUG134</f>
        <v>#DIV/0!</v>
      </c>
      <c r="IUL136" s="371">
        <v>15.38</v>
      </c>
      <c r="IUM136" s="371" t="e">
        <f>IUJ136*IUK136*IUL136</f>
        <v>#DIV/0!</v>
      </c>
      <c r="IUN136" s="367" t="s">
        <v>206</v>
      </c>
      <c r="IUO136" s="367"/>
      <c r="IUP136" s="367"/>
      <c r="IUQ136" s="368" t="s">
        <v>168</v>
      </c>
      <c r="IUR136" s="369">
        <v>0.5</v>
      </c>
      <c r="IUS136" s="370" t="e">
        <f>10/IUO134</f>
        <v>#DIV/0!</v>
      </c>
      <c r="IUT136" s="371">
        <v>15.38</v>
      </c>
      <c r="IUU136" s="371" t="e">
        <f>IUR136*IUS136*IUT136</f>
        <v>#DIV/0!</v>
      </c>
      <c r="IUV136" s="367" t="s">
        <v>206</v>
      </c>
      <c r="IUW136" s="367"/>
      <c r="IUX136" s="367"/>
      <c r="IUY136" s="368" t="s">
        <v>168</v>
      </c>
      <c r="IUZ136" s="369">
        <v>0.5</v>
      </c>
      <c r="IVA136" s="370" t="e">
        <f>10/IUW134</f>
        <v>#DIV/0!</v>
      </c>
      <c r="IVB136" s="371">
        <v>15.38</v>
      </c>
      <c r="IVC136" s="371" t="e">
        <f>IUZ136*IVA136*IVB136</f>
        <v>#DIV/0!</v>
      </c>
      <c r="IVD136" s="367" t="s">
        <v>206</v>
      </c>
      <c r="IVE136" s="367"/>
      <c r="IVF136" s="367"/>
      <c r="IVG136" s="368" t="s">
        <v>168</v>
      </c>
      <c r="IVH136" s="369">
        <v>0.5</v>
      </c>
      <c r="IVI136" s="370" t="e">
        <f>10/IVE134</f>
        <v>#DIV/0!</v>
      </c>
      <c r="IVJ136" s="371">
        <v>15.38</v>
      </c>
      <c r="IVK136" s="371" t="e">
        <f>IVH136*IVI136*IVJ136</f>
        <v>#DIV/0!</v>
      </c>
      <c r="IVL136" s="367" t="s">
        <v>206</v>
      </c>
      <c r="IVM136" s="367"/>
      <c r="IVN136" s="367"/>
      <c r="IVO136" s="368" t="s">
        <v>168</v>
      </c>
      <c r="IVP136" s="369">
        <v>0.5</v>
      </c>
      <c r="IVQ136" s="370" t="e">
        <f>10/IVM134</f>
        <v>#DIV/0!</v>
      </c>
      <c r="IVR136" s="371">
        <v>15.38</v>
      </c>
      <c r="IVS136" s="371" t="e">
        <f>IVP136*IVQ136*IVR136</f>
        <v>#DIV/0!</v>
      </c>
      <c r="IVT136" s="367" t="s">
        <v>206</v>
      </c>
      <c r="IVU136" s="367"/>
      <c r="IVV136" s="367"/>
      <c r="IVW136" s="368" t="s">
        <v>168</v>
      </c>
      <c r="IVX136" s="369">
        <v>0.5</v>
      </c>
      <c r="IVY136" s="370" t="e">
        <f>10/IVU134</f>
        <v>#DIV/0!</v>
      </c>
      <c r="IVZ136" s="371">
        <v>15.38</v>
      </c>
      <c r="IWA136" s="371" t="e">
        <f>IVX136*IVY136*IVZ136</f>
        <v>#DIV/0!</v>
      </c>
      <c r="IWB136" s="367" t="s">
        <v>206</v>
      </c>
      <c r="IWC136" s="367"/>
      <c r="IWD136" s="367"/>
      <c r="IWE136" s="368" t="s">
        <v>168</v>
      </c>
      <c r="IWF136" s="369">
        <v>0.5</v>
      </c>
      <c r="IWG136" s="370" t="e">
        <f>10/IWC134</f>
        <v>#DIV/0!</v>
      </c>
      <c r="IWH136" s="371">
        <v>15.38</v>
      </c>
      <c r="IWI136" s="371" t="e">
        <f>IWF136*IWG136*IWH136</f>
        <v>#DIV/0!</v>
      </c>
      <c r="IWJ136" s="367" t="s">
        <v>206</v>
      </c>
      <c r="IWK136" s="367"/>
      <c r="IWL136" s="367"/>
      <c r="IWM136" s="368" t="s">
        <v>168</v>
      </c>
      <c r="IWN136" s="369">
        <v>0.5</v>
      </c>
      <c r="IWO136" s="370" t="e">
        <f>10/IWK134</f>
        <v>#DIV/0!</v>
      </c>
      <c r="IWP136" s="371">
        <v>15.38</v>
      </c>
      <c r="IWQ136" s="371" t="e">
        <f>IWN136*IWO136*IWP136</f>
        <v>#DIV/0!</v>
      </c>
      <c r="IWR136" s="367" t="s">
        <v>206</v>
      </c>
      <c r="IWS136" s="367"/>
      <c r="IWT136" s="367"/>
      <c r="IWU136" s="368" t="s">
        <v>168</v>
      </c>
      <c r="IWV136" s="369">
        <v>0.5</v>
      </c>
      <c r="IWW136" s="370" t="e">
        <f>10/IWS134</f>
        <v>#DIV/0!</v>
      </c>
      <c r="IWX136" s="371">
        <v>15.38</v>
      </c>
      <c r="IWY136" s="371" t="e">
        <f>IWV136*IWW136*IWX136</f>
        <v>#DIV/0!</v>
      </c>
      <c r="IWZ136" s="367" t="s">
        <v>206</v>
      </c>
      <c r="IXA136" s="367"/>
      <c r="IXB136" s="367"/>
      <c r="IXC136" s="368" t="s">
        <v>168</v>
      </c>
      <c r="IXD136" s="369">
        <v>0.5</v>
      </c>
      <c r="IXE136" s="370" t="e">
        <f>10/IXA134</f>
        <v>#DIV/0!</v>
      </c>
      <c r="IXF136" s="371">
        <v>15.38</v>
      </c>
      <c r="IXG136" s="371" t="e">
        <f>IXD136*IXE136*IXF136</f>
        <v>#DIV/0!</v>
      </c>
      <c r="IXH136" s="367" t="s">
        <v>206</v>
      </c>
      <c r="IXI136" s="367"/>
      <c r="IXJ136" s="367"/>
      <c r="IXK136" s="368" t="s">
        <v>168</v>
      </c>
      <c r="IXL136" s="369">
        <v>0.5</v>
      </c>
      <c r="IXM136" s="370" t="e">
        <f>10/IXI134</f>
        <v>#DIV/0!</v>
      </c>
      <c r="IXN136" s="371">
        <v>15.38</v>
      </c>
      <c r="IXO136" s="371" t="e">
        <f>IXL136*IXM136*IXN136</f>
        <v>#DIV/0!</v>
      </c>
      <c r="IXP136" s="367" t="s">
        <v>206</v>
      </c>
      <c r="IXQ136" s="367"/>
      <c r="IXR136" s="367"/>
      <c r="IXS136" s="368" t="s">
        <v>168</v>
      </c>
      <c r="IXT136" s="369">
        <v>0.5</v>
      </c>
      <c r="IXU136" s="370" t="e">
        <f>10/IXQ134</f>
        <v>#DIV/0!</v>
      </c>
      <c r="IXV136" s="371">
        <v>15.38</v>
      </c>
      <c r="IXW136" s="371" t="e">
        <f>IXT136*IXU136*IXV136</f>
        <v>#DIV/0!</v>
      </c>
      <c r="IXX136" s="367" t="s">
        <v>206</v>
      </c>
      <c r="IXY136" s="367"/>
      <c r="IXZ136" s="367"/>
      <c r="IYA136" s="368" t="s">
        <v>168</v>
      </c>
      <c r="IYB136" s="369">
        <v>0.5</v>
      </c>
      <c r="IYC136" s="370" t="e">
        <f>10/IXY134</f>
        <v>#DIV/0!</v>
      </c>
      <c r="IYD136" s="371">
        <v>15.38</v>
      </c>
      <c r="IYE136" s="371" t="e">
        <f>IYB136*IYC136*IYD136</f>
        <v>#DIV/0!</v>
      </c>
      <c r="IYF136" s="367" t="s">
        <v>206</v>
      </c>
      <c r="IYG136" s="367"/>
      <c r="IYH136" s="367"/>
      <c r="IYI136" s="368" t="s">
        <v>168</v>
      </c>
      <c r="IYJ136" s="369">
        <v>0.5</v>
      </c>
      <c r="IYK136" s="370" t="e">
        <f>10/IYG134</f>
        <v>#DIV/0!</v>
      </c>
      <c r="IYL136" s="371">
        <v>15.38</v>
      </c>
      <c r="IYM136" s="371" t="e">
        <f>IYJ136*IYK136*IYL136</f>
        <v>#DIV/0!</v>
      </c>
      <c r="IYN136" s="367" t="s">
        <v>206</v>
      </c>
      <c r="IYO136" s="367"/>
      <c r="IYP136" s="367"/>
      <c r="IYQ136" s="368" t="s">
        <v>168</v>
      </c>
      <c r="IYR136" s="369">
        <v>0.5</v>
      </c>
      <c r="IYS136" s="370" t="e">
        <f>10/IYO134</f>
        <v>#DIV/0!</v>
      </c>
      <c r="IYT136" s="371">
        <v>15.38</v>
      </c>
      <c r="IYU136" s="371" t="e">
        <f>IYR136*IYS136*IYT136</f>
        <v>#DIV/0!</v>
      </c>
      <c r="IYV136" s="367" t="s">
        <v>206</v>
      </c>
      <c r="IYW136" s="367"/>
      <c r="IYX136" s="367"/>
      <c r="IYY136" s="368" t="s">
        <v>168</v>
      </c>
      <c r="IYZ136" s="369">
        <v>0.5</v>
      </c>
      <c r="IZA136" s="370" t="e">
        <f>10/IYW134</f>
        <v>#DIV/0!</v>
      </c>
      <c r="IZB136" s="371">
        <v>15.38</v>
      </c>
      <c r="IZC136" s="371" t="e">
        <f>IYZ136*IZA136*IZB136</f>
        <v>#DIV/0!</v>
      </c>
      <c r="IZD136" s="367" t="s">
        <v>206</v>
      </c>
      <c r="IZE136" s="367"/>
      <c r="IZF136" s="367"/>
      <c r="IZG136" s="368" t="s">
        <v>168</v>
      </c>
      <c r="IZH136" s="369">
        <v>0.5</v>
      </c>
      <c r="IZI136" s="370" t="e">
        <f>10/IZE134</f>
        <v>#DIV/0!</v>
      </c>
      <c r="IZJ136" s="371">
        <v>15.38</v>
      </c>
      <c r="IZK136" s="371" t="e">
        <f>IZH136*IZI136*IZJ136</f>
        <v>#DIV/0!</v>
      </c>
      <c r="IZL136" s="367" t="s">
        <v>206</v>
      </c>
      <c r="IZM136" s="367"/>
      <c r="IZN136" s="367"/>
      <c r="IZO136" s="368" t="s">
        <v>168</v>
      </c>
      <c r="IZP136" s="369">
        <v>0.5</v>
      </c>
      <c r="IZQ136" s="370" t="e">
        <f>10/IZM134</f>
        <v>#DIV/0!</v>
      </c>
      <c r="IZR136" s="371">
        <v>15.38</v>
      </c>
      <c r="IZS136" s="371" t="e">
        <f>IZP136*IZQ136*IZR136</f>
        <v>#DIV/0!</v>
      </c>
      <c r="IZT136" s="367" t="s">
        <v>206</v>
      </c>
      <c r="IZU136" s="367"/>
      <c r="IZV136" s="367"/>
      <c r="IZW136" s="368" t="s">
        <v>168</v>
      </c>
      <c r="IZX136" s="369">
        <v>0.5</v>
      </c>
      <c r="IZY136" s="370" t="e">
        <f>10/IZU134</f>
        <v>#DIV/0!</v>
      </c>
      <c r="IZZ136" s="371">
        <v>15.38</v>
      </c>
      <c r="JAA136" s="371" t="e">
        <f>IZX136*IZY136*IZZ136</f>
        <v>#DIV/0!</v>
      </c>
      <c r="JAB136" s="367" t="s">
        <v>206</v>
      </c>
      <c r="JAC136" s="367"/>
      <c r="JAD136" s="367"/>
      <c r="JAE136" s="368" t="s">
        <v>168</v>
      </c>
      <c r="JAF136" s="369">
        <v>0.5</v>
      </c>
      <c r="JAG136" s="370" t="e">
        <f>10/JAC134</f>
        <v>#DIV/0!</v>
      </c>
      <c r="JAH136" s="371">
        <v>15.38</v>
      </c>
      <c r="JAI136" s="371" t="e">
        <f>JAF136*JAG136*JAH136</f>
        <v>#DIV/0!</v>
      </c>
      <c r="JAJ136" s="367" t="s">
        <v>206</v>
      </c>
      <c r="JAK136" s="367"/>
      <c r="JAL136" s="367"/>
      <c r="JAM136" s="368" t="s">
        <v>168</v>
      </c>
      <c r="JAN136" s="369">
        <v>0.5</v>
      </c>
      <c r="JAO136" s="370" t="e">
        <f>10/JAK134</f>
        <v>#DIV/0!</v>
      </c>
      <c r="JAP136" s="371">
        <v>15.38</v>
      </c>
      <c r="JAQ136" s="371" t="e">
        <f>JAN136*JAO136*JAP136</f>
        <v>#DIV/0!</v>
      </c>
      <c r="JAR136" s="367" t="s">
        <v>206</v>
      </c>
      <c r="JAS136" s="367"/>
      <c r="JAT136" s="367"/>
      <c r="JAU136" s="368" t="s">
        <v>168</v>
      </c>
      <c r="JAV136" s="369">
        <v>0.5</v>
      </c>
      <c r="JAW136" s="370" t="e">
        <f>10/JAS134</f>
        <v>#DIV/0!</v>
      </c>
      <c r="JAX136" s="371">
        <v>15.38</v>
      </c>
      <c r="JAY136" s="371" t="e">
        <f>JAV136*JAW136*JAX136</f>
        <v>#DIV/0!</v>
      </c>
      <c r="JAZ136" s="367" t="s">
        <v>206</v>
      </c>
      <c r="JBA136" s="367"/>
      <c r="JBB136" s="367"/>
      <c r="JBC136" s="368" t="s">
        <v>168</v>
      </c>
      <c r="JBD136" s="369">
        <v>0.5</v>
      </c>
      <c r="JBE136" s="370" t="e">
        <f>10/JBA134</f>
        <v>#DIV/0!</v>
      </c>
      <c r="JBF136" s="371">
        <v>15.38</v>
      </c>
      <c r="JBG136" s="371" t="e">
        <f>JBD136*JBE136*JBF136</f>
        <v>#DIV/0!</v>
      </c>
      <c r="JBH136" s="367" t="s">
        <v>206</v>
      </c>
      <c r="JBI136" s="367"/>
      <c r="JBJ136" s="367"/>
      <c r="JBK136" s="368" t="s">
        <v>168</v>
      </c>
      <c r="JBL136" s="369">
        <v>0.5</v>
      </c>
      <c r="JBM136" s="370" t="e">
        <f>10/JBI134</f>
        <v>#DIV/0!</v>
      </c>
      <c r="JBN136" s="371">
        <v>15.38</v>
      </c>
      <c r="JBO136" s="371" t="e">
        <f>JBL136*JBM136*JBN136</f>
        <v>#DIV/0!</v>
      </c>
      <c r="JBP136" s="367" t="s">
        <v>206</v>
      </c>
      <c r="JBQ136" s="367"/>
      <c r="JBR136" s="367"/>
      <c r="JBS136" s="368" t="s">
        <v>168</v>
      </c>
      <c r="JBT136" s="369">
        <v>0.5</v>
      </c>
      <c r="JBU136" s="370" t="e">
        <f>10/JBQ134</f>
        <v>#DIV/0!</v>
      </c>
      <c r="JBV136" s="371">
        <v>15.38</v>
      </c>
      <c r="JBW136" s="371" t="e">
        <f>JBT136*JBU136*JBV136</f>
        <v>#DIV/0!</v>
      </c>
      <c r="JBX136" s="367" t="s">
        <v>206</v>
      </c>
      <c r="JBY136" s="367"/>
      <c r="JBZ136" s="367"/>
      <c r="JCA136" s="368" t="s">
        <v>168</v>
      </c>
      <c r="JCB136" s="369">
        <v>0.5</v>
      </c>
      <c r="JCC136" s="370" t="e">
        <f>10/JBY134</f>
        <v>#DIV/0!</v>
      </c>
      <c r="JCD136" s="371">
        <v>15.38</v>
      </c>
      <c r="JCE136" s="371" t="e">
        <f>JCB136*JCC136*JCD136</f>
        <v>#DIV/0!</v>
      </c>
      <c r="JCF136" s="367" t="s">
        <v>206</v>
      </c>
      <c r="JCG136" s="367"/>
      <c r="JCH136" s="367"/>
      <c r="JCI136" s="368" t="s">
        <v>168</v>
      </c>
      <c r="JCJ136" s="369">
        <v>0.5</v>
      </c>
      <c r="JCK136" s="370" t="e">
        <f>10/JCG134</f>
        <v>#DIV/0!</v>
      </c>
      <c r="JCL136" s="371">
        <v>15.38</v>
      </c>
      <c r="JCM136" s="371" t="e">
        <f>JCJ136*JCK136*JCL136</f>
        <v>#DIV/0!</v>
      </c>
      <c r="JCN136" s="367" t="s">
        <v>206</v>
      </c>
      <c r="JCO136" s="367"/>
      <c r="JCP136" s="367"/>
      <c r="JCQ136" s="368" t="s">
        <v>168</v>
      </c>
      <c r="JCR136" s="369">
        <v>0.5</v>
      </c>
      <c r="JCS136" s="370" t="e">
        <f>10/JCO134</f>
        <v>#DIV/0!</v>
      </c>
      <c r="JCT136" s="371">
        <v>15.38</v>
      </c>
      <c r="JCU136" s="371" t="e">
        <f>JCR136*JCS136*JCT136</f>
        <v>#DIV/0!</v>
      </c>
      <c r="JCV136" s="367" t="s">
        <v>206</v>
      </c>
      <c r="JCW136" s="367"/>
      <c r="JCX136" s="367"/>
      <c r="JCY136" s="368" t="s">
        <v>168</v>
      </c>
      <c r="JCZ136" s="369">
        <v>0.5</v>
      </c>
      <c r="JDA136" s="370" t="e">
        <f>10/JCW134</f>
        <v>#DIV/0!</v>
      </c>
      <c r="JDB136" s="371">
        <v>15.38</v>
      </c>
      <c r="JDC136" s="371" t="e">
        <f>JCZ136*JDA136*JDB136</f>
        <v>#DIV/0!</v>
      </c>
      <c r="JDD136" s="367" t="s">
        <v>206</v>
      </c>
      <c r="JDE136" s="367"/>
      <c r="JDF136" s="367"/>
      <c r="JDG136" s="368" t="s">
        <v>168</v>
      </c>
      <c r="JDH136" s="369">
        <v>0.5</v>
      </c>
      <c r="JDI136" s="370" t="e">
        <f>10/JDE134</f>
        <v>#DIV/0!</v>
      </c>
      <c r="JDJ136" s="371">
        <v>15.38</v>
      </c>
      <c r="JDK136" s="371" t="e">
        <f>JDH136*JDI136*JDJ136</f>
        <v>#DIV/0!</v>
      </c>
      <c r="JDL136" s="367" t="s">
        <v>206</v>
      </c>
      <c r="JDM136" s="367"/>
      <c r="JDN136" s="367"/>
      <c r="JDO136" s="368" t="s">
        <v>168</v>
      </c>
      <c r="JDP136" s="369">
        <v>0.5</v>
      </c>
      <c r="JDQ136" s="370" t="e">
        <f>10/JDM134</f>
        <v>#DIV/0!</v>
      </c>
      <c r="JDR136" s="371">
        <v>15.38</v>
      </c>
      <c r="JDS136" s="371" t="e">
        <f>JDP136*JDQ136*JDR136</f>
        <v>#DIV/0!</v>
      </c>
      <c r="JDT136" s="367" t="s">
        <v>206</v>
      </c>
      <c r="JDU136" s="367"/>
      <c r="JDV136" s="367"/>
      <c r="JDW136" s="368" t="s">
        <v>168</v>
      </c>
      <c r="JDX136" s="369">
        <v>0.5</v>
      </c>
      <c r="JDY136" s="370" t="e">
        <f>10/JDU134</f>
        <v>#DIV/0!</v>
      </c>
      <c r="JDZ136" s="371">
        <v>15.38</v>
      </c>
      <c r="JEA136" s="371" t="e">
        <f>JDX136*JDY136*JDZ136</f>
        <v>#DIV/0!</v>
      </c>
      <c r="JEB136" s="367" t="s">
        <v>206</v>
      </c>
      <c r="JEC136" s="367"/>
      <c r="JED136" s="367"/>
      <c r="JEE136" s="368" t="s">
        <v>168</v>
      </c>
      <c r="JEF136" s="369">
        <v>0.5</v>
      </c>
      <c r="JEG136" s="370" t="e">
        <f>10/JEC134</f>
        <v>#DIV/0!</v>
      </c>
      <c r="JEH136" s="371">
        <v>15.38</v>
      </c>
      <c r="JEI136" s="371" t="e">
        <f>JEF136*JEG136*JEH136</f>
        <v>#DIV/0!</v>
      </c>
      <c r="JEJ136" s="367" t="s">
        <v>206</v>
      </c>
      <c r="JEK136" s="367"/>
      <c r="JEL136" s="367"/>
      <c r="JEM136" s="368" t="s">
        <v>168</v>
      </c>
      <c r="JEN136" s="369">
        <v>0.5</v>
      </c>
      <c r="JEO136" s="370" t="e">
        <f>10/JEK134</f>
        <v>#DIV/0!</v>
      </c>
      <c r="JEP136" s="371">
        <v>15.38</v>
      </c>
      <c r="JEQ136" s="371" t="e">
        <f>JEN136*JEO136*JEP136</f>
        <v>#DIV/0!</v>
      </c>
      <c r="JER136" s="367" t="s">
        <v>206</v>
      </c>
      <c r="JES136" s="367"/>
      <c r="JET136" s="367"/>
      <c r="JEU136" s="368" t="s">
        <v>168</v>
      </c>
      <c r="JEV136" s="369">
        <v>0.5</v>
      </c>
      <c r="JEW136" s="370" t="e">
        <f>10/JES134</f>
        <v>#DIV/0!</v>
      </c>
      <c r="JEX136" s="371">
        <v>15.38</v>
      </c>
      <c r="JEY136" s="371" t="e">
        <f>JEV136*JEW136*JEX136</f>
        <v>#DIV/0!</v>
      </c>
      <c r="JEZ136" s="367" t="s">
        <v>206</v>
      </c>
      <c r="JFA136" s="367"/>
      <c r="JFB136" s="367"/>
      <c r="JFC136" s="368" t="s">
        <v>168</v>
      </c>
      <c r="JFD136" s="369">
        <v>0.5</v>
      </c>
      <c r="JFE136" s="370" t="e">
        <f>10/JFA134</f>
        <v>#DIV/0!</v>
      </c>
      <c r="JFF136" s="371">
        <v>15.38</v>
      </c>
      <c r="JFG136" s="371" t="e">
        <f>JFD136*JFE136*JFF136</f>
        <v>#DIV/0!</v>
      </c>
      <c r="JFH136" s="367" t="s">
        <v>206</v>
      </c>
      <c r="JFI136" s="367"/>
      <c r="JFJ136" s="367"/>
      <c r="JFK136" s="368" t="s">
        <v>168</v>
      </c>
      <c r="JFL136" s="369">
        <v>0.5</v>
      </c>
      <c r="JFM136" s="370" t="e">
        <f>10/JFI134</f>
        <v>#DIV/0!</v>
      </c>
      <c r="JFN136" s="371">
        <v>15.38</v>
      </c>
      <c r="JFO136" s="371" t="e">
        <f>JFL136*JFM136*JFN136</f>
        <v>#DIV/0!</v>
      </c>
      <c r="JFP136" s="367" t="s">
        <v>206</v>
      </c>
      <c r="JFQ136" s="367"/>
      <c r="JFR136" s="367"/>
      <c r="JFS136" s="368" t="s">
        <v>168</v>
      </c>
      <c r="JFT136" s="369">
        <v>0.5</v>
      </c>
      <c r="JFU136" s="370" t="e">
        <f>10/JFQ134</f>
        <v>#DIV/0!</v>
      </c>
      <c r="JFV136" s="371">
        <v>15.38</v>
      </c>
      <c r="JFW136" s="371" t="e">
        <f>JFT136*JFU136*JFV136</f>
        <v>#DIV/0!</v>
      </c>
      <c r="JFX136" s="367" t="s">
        <v>206</v>
      </c>
      <c r="JFY136" s="367"/>
      <c r="JFZ136" s="367"/>
      <c r="JGA136" s="368" t="s">
        <v>168</v>
      </c>
      <c r="JGB136" s="369">
        <v>0.5</v>
      </c>
      <c r="JGC136" s="370" t="e">
        <f>10/JFY134</f>
        <v>#DIV/0!</v>
      </c>
      <c r="JGD136" s="371">
        <v>15.38</v>
      </c>
      <c r="JGE136" s="371" t="e">
        <f>JGB136*JGC136*JGD136</f>
        <v>#DIV/0!</v>
      </c>
      <c r="JGF136" s="367" t="s">
        <v>206</v>
      </c>
      <c r="JGG136" s="367"/>
      <c r="JGH136" s="367"/>
      <c r="JGI136" s="368" t="s">
        <v>168</v>
      </c>
      <c r="JGJ136" s="369">
        <v>0.5</v>
      </c>
      <c r="JGK136" s="370" t="e">
        <f>10/JGG134</f>
        <v>#DIV/0!</v>
      </c>
      <c r="JGL136" s="371">
        <v>15.38</v>
      </c>
      <c r="JGM136" s="371" t="e">
        <f>JGJ136*JGK136*JGL136</f>
        <v>#DIV/0!</v>
      </c>
      <c r="JGN136" s="367" t="s">
        <v>206</v>
      </c>
      <c r="JGO136" s="367"/>
      <c r="JGP136" s="367"/>
      <c r="JGQ136" s="368" t="s">
        <v>168</v>
      </c>
      <c r="JGR136" s="369">
        <v>0.5</v>
      </c>
      <c r="JGS136" s="370" t="e">
        <f>10/JGO134</f>
        <v>#DIV/0!</v>
      </c>
      <c r="JGT136" s="371">
        <v>15.38</v>
      </c>
      <c r="JGU136" s="371" t="e">
        <f>JGR136*JGS136*JGT136</f>
        <v>#DIV/0!</v>
      </c>
      <c r="JGV136" s="367" t="s">
        <v>206</v>
      </c>
      <c r="JGW136" s="367"/>
      <c r="JGX136" s="367"/>
      <c r="JGY136" s="368" t="s">
        <v>168</v>
      </c>
      <c r="JGZ136" s="369">
        <v>0.5</v>
      </c>
      <c r="JHA136" s="370" t="e">
        <f>10/JGW134</f>
        <v>#DIV/0!</v>
      </c>
      <c r="JHB136" s="371">
        <v>15.38</v>
      </c>
      <c r="JHC136" s="371" t="e">
        <f>JGZ136*JHA136*JHB136</f>
        <v>#DIV/0!</v>
      </c>
      <c r="JHD136" s="367" t="s">
        <v>206</v>
      </c>
      <c r="JHE136" s="367"/>
      <c r="JHF136" s="367"/>
      <c r="JHG136" s="368" t="s">
        <v>168</v>
      </c>
      <c r="JHH136" s="369">
        <v>0.5</v>
      </c>
      <c r="JHI136" s="370" t="e">
        <f>10/JHE134</f>
        <v>#DIV/0!</v>
      </c>
      <c r="JHJ136" s="371">
        <v>15.38</v>
      </c>
      <c r="JHK136" s="371" t="e">
        <f>JHH136*JHI136*JHJ136</f>
        <v>#DIV/0!</v>
      </c>
      <c r="JHL136" s="367" t="s">
        <v>206</v>
      </c>
      <c r="JHM136" s="367"/>
      <c r="JHN136" s="367"/>
      <c r="JHO136" s="368" t="s">
        <v>168</v>
      </c>
      <c r="JHP136" s="369">
        <v>0.5</v>
      </c>
      <c r="JHQ136" s="370" t="e">
        <f>10/JHM134</f>
        <v>#DIV/0!</v>
      </c>
      <c r="JHR136" s="371">
        <v>15.38</v>
      </c>
      <c r="JHS136" s="371" t="e">
        <f>JHP136*JHQ136*JHR136</f>
        <v>#DIV/0!</v>
      </c>
      <c r="JHT136" s="367" t="s">
        <v>206</v>
      </c>
      <c r="JHU136" s="367"/>
      <c r="JHV136" s="367"/>
      <c r="JHW136" s="368" t="s">
        <v>168</v>
      </c>
      <c r="JHX136" s="369">
        <v>0.5</v>
      </c>
      <c r="JHY136" s="370" t="e">
        <f>10/JHU134</f>
        <v>#DIV/0!</v>
      </c>
      <c r="JHZ136" s="371">
        <v>15.38</v>
      </c>
      <c r="JIA136" s="371" t="e">
        <f>JHX136*JHY136*JHZ136</f>
        <v>#DIV/0!</v>
      </c>
      <c r="JIB136" s="367" t="s">
        <v>206</v>
      </c>
      <c r="JIC136" s="367"/>
      <c r="JID136" s="367"/>
      <c r="JIE136" s="368" t="s">
        <v>168</v>
      </c>
      <c r="JIF136" s="369">
        <v>0.5</v>
      </c>
      <c r="JIG136" s="370" t="e">
        <f>10/JIC134</f>
        <v>#DIV/0!</v>
      </c>
      <c r="JIH136" s="371">
        <v>15.38</v>
      </c>
      <c r="JII136" s="371" t="e">
        <f>JIF136*JIG136*JIH136</f>
        <v>#DIV/0!</v>
      </c>
      <c r="JIJ136" s="367" t="s">
        <v>206</v>
      </c>
      <c r="JIK136" s="367"/>
      <c r="JIL136" s="367"/>
      <c r="JIM136" s="368" t="s">
        <v>168</v>
      </c>
      <c r="JIN136" s="369">
        <v>0.5</v>
      </c>
      <c r="JIO136" s="370" t="e">
        <f>10/JIK134</f>
        <v>#DIV/0!</v>
      </c>
      <c r="JIP136" s="371">
        <v>15.38</v>
      </c>
      <c r="JIQ136" s="371" t="e">
        <f>JIN136*JIO136*JIP136</f>
        <v>#DIV/0!</v>
      </c>
      <c r="JIR136" s="367" t="s">
        <v>206</v>
      </c>
      <c r="JIS136" s="367"/>
      <c r="JIT136" s="367"/>
      <c r="JIU136" s="368" t="s">
        <v>168</v>
      </c>
      <c r="JIV136" s="369">
        <v>0.5</v>
      </c>
      <c r="JIW136" s="370" t="e">
        <f>10/JIS134</f>
        <v>#DIV/0!</v>
      </c>
      <c r="JIX136" s="371">
        <v>15.38</v>
      </c>
      <c r="JIY136" s="371" t="e">
        <f>JIV136*JIW136*JIX136</f>
        <v>#DIV/0!</v>
      </c>
      <c r="JIZ136" s="367" t="s">
        <v>206</v>
      </c>
      <c r="JJA136" s="367"/>
      <c r="JJB136" s="367"/>
      <c r="JJC136" s="368" t="s">
        <v>168</v>
      </c>
      <c r="JJD136" s="369">
        <v>0.5</v>
      </c>
      <c r="JJE136" s="370" t="e">
        <f>10/JJA134</f>
        <v>#DIV/0!</v>
      </c>
      <c r="JJF136" s="371">
        <v>15.38</v>
      </c>
      <c r="JJG136" s="371" t="e">
        <f>JJD136*JJE136*JJF136</f>
        <v>#DIV/0!</v>
      </c>
      <c r="JJH136" s="367" t="s">
        <v>206</v>
      </c>
      <c r="JJI136" s="367"/>
      <c r="JJJ136" s="367"/>
      <c r="JJK136" s="368" t="s">
        <v>168</v>
      </c>
      <c r="JJL136" s="369">
        <v>0.5</v>
      </c>
      <c r="JJM136" s="370" t="e">
        <f>10/JJI134</f>
        <v>#DIV/0!</v>
      </c>
      <c r="JJN136" s="371">
        <v>15.38</v>
      </c>
      <c r="JJO136" s="371" t="e">
        <f>JJL136*JJM136*JJN136</f>
        <v>#DIV/0!</v>
      </c>
      <c r="JJP136" s="367" t="s">
        <v>206</v>
      </c>
      <c r="JJQ136" s="367"/>
      <c r="JJR136" s="367"/>
      <c r="JJS136" s="368" t="s">
        <v>168</v>
      </c>
      <c r="JJT136" s="369">
        <v>0.5</v>
      </c>
      <c r="JJU136" s="370" t="e">
        <f>10/JJQ134</f>
        <v>#DIV/0!</v>
      </c>
      <c r="JJV136" s="371">
        <v>15.38</v>
      </c>
      <c r="JJW136" s="371" t="e">
        <f>JJT136*JJU136*JJV136</f>
        <v>#DIV/0!</v>
      </c>
      <c r="JJX136" s="367" t="s">
        <v>206</v>
      </c>
      <c r="JJY136" s="367"/>
      <c r="JJZ136" s="367"/>
      <c r="JKA136" s="368" t="s">
        <v>168</v>
      </c>
      <c r="JKB136" s="369">
        <v>0.5</v>
      </c>
      <c r="JKC136" s="370" t="e">
        <f>10/JJY134</f>
        <v>#DIV/0!</v>
      </c>
      <c r="JKD136" s="371">
        <v>15.38</v>
      </c>
      <c r="JKE136" s="371" t="e">
        <f>JKB136*JKC136*JKD136</f>
        <v>#DIV/0!</v>
      </c>
      <c r="JKF136" s="367" t="s">
        <v>206</v>
      </c>
      <c r="JKG136" s="367"/>
      <c r="JKH136" s="367"/>
      <c r="JKI136" s="368" t="s">
        <v>168</v>
      </c>
      <c r="JKJ136" s="369">
        <v>0.5</v>
      </c>
      <c r="JKK136" s="370" t="e">
        <f>10/JKG134</f>
        <v>#DIV/0!</v>
      </c>
      <c r="JKL136" s="371">
        <v>15.38</v>
      </c>
      <c r="JKM136" s="371" t="e">
        <f>JKJ136*JKK136*JKL136</f>
        <v>#DIV/0!</v>
      </c>
      <c r="JKN136" s="367" t="s">
        <v>206</v>
      </c>
      <c r="JKO136" s="367"/>
      <c r="JKP136" s="367"/>
      <c r="JKQ136" s="368" t="s">
        <v>168</v>
      </c>
      <c r="JKR136" s="369">
        <v>0.5</v>
      </c>
      <c r="JKS136" s="370" t="e">
        <f>10/JKO134</f>
        <v>#DIV/0!</v>
      </c>
      <c r="JKT136" s="371">
        <v>15.38</v>
      </c>
      <c r="JKU136" s="371" t="e">
        <f>JKR136*JKS136*JKT136</f>
        <v>#DIV/0!</v>
      </c>
      <c r="JKV136" s="367" t="s">
        <v>206</v>
      </c>
      <c r="JKW136" s="367"/>
      <c r="JKX136" s="367"/>
      <c r="JKY136" s="368" t="s">
        <v>168</v>
      </c>
      <c r="JKZ136" s="369">
        <v>0.5</v>
      </c>
      <c r="JLA136" s="370" t="e">
        <f>10/JKW134</f>
        <v>#DIV/0!</v>
      </c>
      <c r="JLB136" s="371">
        <v>15.38</v>
      </c>
      <c r="JLC136" s="371" t="e">
        <f>JKZ136*JLA136*JLB136</f>
        <v>#DIV/0!</v>
      </c>
      <c r="JLD136" s="367" t="s">
        <v>206</v>
      </c>
      <c r="JLE136" s="367"/>
      <c r="JLF136" s="367"/>
      <c r="JLG136" s="368" t="s">
        <v>168</v>
      </c>
      <c r="JLH136" s="369">
        <v>0.5</v>
      </c>
      <c r="JLI136" s="370" t="e">
        <f>10/JLE134</f>
        <v>#DIV/0!</v>
      </c>
      <c r="JLJ136" s="371">
        <v>15.38</v>
      </c>
      <c r="JLK136" s="371" t="e">
        <f>JLH136*JLI136*JLJ136</f>
        <v>#DIV/0!</v>
      </c>
      <c r="JLL136" s="367" t="s">
        <v>206</v>
      </c>
      <c r="JLM136" s="367"/>
      <c r="JLN136" s="367"/>
      <c r="JLO136" s="368" t="s">
        <v>168</v>
      </c>
      <c r="JLP136" s="369">
        <v>0.5</v>
      </c>
      <c r="JLQ136" s="370" t="e">
        <f>10/JLM134</f>
        <v>#DIV/0!</v>
      </c>
      <c r="JLR136" s="371">
        <v>15.38</v>
      </c>
      <c r="JLS136" s="371" t="e">
        <f>JLP136*JLQ136*JLR136</f>
        <v>#DIV/0!</v>
      </c>
      <c r="JLT136" s="367" t="s">
        <v>206</v>
      </c>
      <c r="JLU136" s="367"/>
      <c r="JLV136" s="367"/>
      <c r="JLW136" s="368" t="s">
        <v>168</v>
      </c>
      <c r="JLX136" s="369">
        <v>0.5</v>
      </c>
      <c r="JLY136" s="370" t="e">
        <f>10/JLU134</f>
        <v>#DIV/0!</v>
      </c>
      <c r="JLZ136" s="371">
        <v>15.38</v>
      </c>
      <c r="JMA136" s="371" t="e">
        <f>JLX136*JLY136*JLZ136</f>
        <v>#DIV/0!</v>
      </c>
      <c r="JMB136" s="367" t="s">
        <v>206</v>
      </c>
      <c r="JMC136" s="367"/>
      <c r="JMD136" s="367"/>
      <c r="JME136" s="368" t="s">
        <v>168</v>
      </c>
      <c r="JMF136" s="369">
        <v>0.5</v>
      </c>
      <c r="JMG136" s="370" t="e">
        <f>10/JMC134</f>
        <v>#DIV/0!</v>
      </c>
      <c r="JMH136" s="371">
        <v>15.38</v>
      </c>
      <c r="JMI136" s="371" t="e">
        <f>JMF136*JMG136*JMH136</f>
        <v>#DIV/0!</v>
      </c>
      <c r="JMJ136" s="367" t="s">
        <v>206</v>
      </c>
      <c r="JMK136" s="367"/>
      <c r="JML136" s="367"/>
      <c r="JMM136" s="368" t="s">
        <v>168</v>
      </c>
      <c r="JMN136" s="369">
        <v>0.5</v>
      </c>
      <c r="JMO136" s="370" t="e">
        <f>10/JMK134</f>
        <v>#DIV/0!</v>
      </c>
      <c r="JMP136" s="371">
        <v>15.38</v>
      </c>
      <c r="JMQ136" s="371" t="e">
        <f>JMN136*JMO136*JMP136</f>
        <v>#DIV/0!</v>
      </c>
      <c r="JMR136" s="367" t="s">
        <v>206</v>
      </c>
      <c r="JMS136" s="367"/>
      <c r="JMT136" s="367"/>
      <c r="JMU136" s="368" t="s">
        <v>168</v>
      </c>
      <c r="JMV136" s="369">
        <v>0.5</v>
      </c>
      <c r="JMW136" s="370" t="e">
        <f>10/JMS134</f>
        <v>#DIV/0!</v>
      </c>
      <c r="JMX136" s="371">
        <v>15.38</v>
      </c>
      <c r="JMY136" s="371" t="e">
        <f>JMV136*JMW136*JMX136</f>
        <v>#DIV/0!</v>
      </c>
      <c r="JMZ136" s="367" t="s">
        <v>206</v>
      </c>
      <c r="JNA136" s="367"/>
      <c r="JNB136" s="367"/>
      <c r="JNC136" s="368" t="s">
        <v>168</v>
      </c>
      <c r="JND136" s="369">
        <v>0.5</v>
      </c>
      <c r="JNE136" s="370" t="e">
        <f>10/JNA134</f>
        <v>#DIV/0!</v>
      </c>
      <c r="JNF136" s="371">
        <v>15.38</v>
      </c>
      <c r="JNG136" s="371" t="e">
        <f>JND136*JNE136*JNF136</f>
        <v>#DIV/0!</v>
      </c>
      <c r="JNH136" s="367" t="s">
        <v>206</v>
      </c>
      <c r="JNI136" s="367"/>
      <c r="JNJ136" s="367"/>
      <c r="JNK136" s="368" t="s">
        <v>168</v>
      </c>
      <c r="JNL136" s="369">
        <v>0.5</v>
      </c>
      <c r="JNM136" s="370" t="e">
        <f>10/JNI134</f>
        <v>#DIV/0!</v>
      </c>
      <c r="JNN136" s="371">
        <v>15.38</v>
      </c>
      <c r="JNO136" s="371" t="e">
        <f>JNL136*JNM136*JNN136</f>
        <v>#DIV/0!</v>
      </c>
      <c r="JNP136" s="367" t="s">
        <v>206</v>
      </c>
      <c r="JNQ136" s="367"/>
      <c r="JNR136" s="367"/>
      <c r="JNS136" s="368" t="s">
        <v>168</v>
      </c>
      <c r="JNT136" s="369">
        <v>0.5</v>
      </c>
      <c r="JNU136" s="370" t="e">
        <f>10/JNQ134</f>
        <v>#DIV/0!</v>
      </c>
      <c r="JNV136" s="371">
        <v>15.38</v>
      </c>
      <c r="JNW136" s="371" t="e">
        <f>JNT136*JNU136*JNV136</f>
        <v>#DIV/0!</v>
      </c>
      <c r="JNX136" s="367" t="s">
        <v>206</v>
      </c>
      <c r="JNY136" s="367"/>
      <c r="JNZ136" s="367"/>
      <c r="JOA136" s="368" t="s">
        <v>168</v>
      </c>
      <c r="JOB136" s="369">
        <v>0.5</v>
      </c>
      <c r="JOC136" s="370" t="e">
        <f>10/JNY134</f>
        <v>#DIV/0!</v>
      </c>
      <c r="JOD136" s="371">
        <v>15.38</v>
      </c>
      <c r="JOE136" s="371" t="e">
        <f>JOB136*JOC136*JOD136</f>
        <v>#DIV/0!</v>
      </c>
      <c r="JOF136" s="367" t="s">
        <v>206</v>
      </c>
      <c r="JOG136" s="367"/>
      <c r="JOH136" s="367"/>
      <c r="JOI136" s="368" t="s">
        <v>168</v>
      </c>
      <c r="JOJ136" s="369">
        <v>0.5</v>
      </c>
      <c r="JOK136" s="370" t="e">
        <f>10/JOG134</f>
        <v>#DIV/0!</v>
      </c>
      <c r="JOL136" s="371">
        <v>15.38</v>
      </c>
      <c r="JOM136" s="371" t="e">
        <f>JOJ136*JOK136*JOL136</f>
        <v>#DIV/0!</v>
      </c>
      <c r="JON136" s="367" t="s">
        <v>206</v>
      </c>
      <c r="JOO136" s="367"/>
      <c r="JOP136" s="367"/>
      <c r="JOQ136" s="368" t="s">
        <v>168</v>
      </c>
      <c r="JOR136" s="369">
        <v>0.5</v>
      </c>
      <c r="JOS136" s="370" t="e">
        <f>10/JOO134</f>
        <v>#DIV/0!</v>
      </c>
      <c r="JOT136" s="371">
        <v>15.38</v>
      </c>
      <c r="JOU136" s="371" t="e">
        <f>JOR136*JOS136*JOT136</f>
        <v>#DIV/0!</v>
      </c>
      <c r="JOV136" s="367" t="s">
        <v>206</v>
      </c>
      <c r="JOW136" s="367"/>
      <c r="JOX136" s="367"/>
      <c r="JOY136" s="368" t="s">
        <v>168</v>
      </c>
      <c r="JOZ136" s="369">
        <v>0.5</v>
      </c>
      <c r="JPA136" s="370" t="e">
        <f>10/JOW134</f>
        <v>#DIV/0!</v>
      </c>
      <c r="JPB136" s="371">
        <v>15.38</v>
      </c>
      <c r="JPC136" s="371" t="e">
        <f>JOZ136*JPA136*JPB136</f>
        <v>#DIV/0!</v>
      </c>
      <c r="JPD136" s="367" t="s">
        <v>206</v>
      </c>
      <c r="JPE136" s="367"/>
      <c r="JPF136" s="367"/>
      <c r="JPG136" s="368" t="s">
        <v>168</v>
      </c>
      <c r="JPH136" s="369">
        <v>0.5</v>
      </c>
      <c r="JPI136" s="370" t="e">
        <f>10/JPE134</f>
        <v>#DIV/0!</v>
      </c>
      <c r="JPJ136" s="371">
        <v>15.38</v>
      </c>
      <c r="JPK136" s="371" t="e">
        <f>JPH136*JPI136*JPJ136</f>
        <v>#DIV/0!</v>
      </c>
      <c r="JPL136" s="367" t="s">
        <v>206</v>
      </c>
      <c r="JPM136" s="367"/>
      <c r="JPN136" s="367"/>
      <c r="JPO136" s="368" t="s">
        <v>168</v>
      </c>
      <c r="JPP136" s="369">
        <v>0.5</v>
      </c>
      <c r="JPQ136" s="370" t="e">
        <f>10/JPM134</f>
        <v>#DIV/0!</v>
      </c>
      <c r="JPR136" s="371">
        <v>15.38</v>
      </c>
      <c r="JPS136" s="371" t="e">
        <f>JPP136*JPQ136*JPR136</f>
        <v>#DIV/0!</v>
      </c>
      <c r="JPT136" s="367" t="s">
        <v>206</v>
      </c>
      <c r="JPU136" s="367"/>
      <c r="JPV136" s="367"/>
      <c r="JPW136" s="368" t="s">
        <v>168</v>
      </c>
      <c r="JPX136" s="369">
        <v>0.5</v>
      </c>
      <c r="JPY136" s="370" t="e">
        <f>10/JPU134</f>
        <v>#DIV/0!</v>
      </c>
      <c r="JPZ136" s="371">
        <v>15.38</v>
      </c>
      <c r="JQA136" s="371" t="e">
        <f>JPX136*JPY136*JPZ136</f>
        <v>#DIV/0!</v>
      </c>
      <c r="JQB136" s="367" t="s">
        <v>206</v>
      </c>
      <c r="JQC136" s="367"/>
      <c r="JQD136" s="367"/>
      <c r="JQE136" s="368" t="s">
        <v>168</v>
      </c>
      <c r="JQF136" s="369">
        <v>0.5</v>
      </c>
      <c r="JQG136" s="370" t="e">
        <f>10/JQC134</f>
        <v>#DIV/0!</v>
      </c>
      <c r="JQH136" s="371">
        <v>15.38</v>
      </c>
      <c r="JQI136" s="371" t="e">
        <f>JQF136*JQG136*JQH136</f>
        <v>#DIV/0!</v>
      </c>
      <c r="JQJ136" s="367" t="s">
        <v>206</v>
      </c>
      <c r="JQK136" s="367"/>
      <c r="JQL136" s="367"/>
      <c r="JQM136" s="368" t="s">
        <v>168</v>
      </c>
      <c r="JQN136" s="369">
        <v>0.5</v>
      </c>
      <c r="JQO136" s="370" t="e">
        <f>10/JQK134</f>
        <v>#DIV/0!</v>
      </c>
      <c r="JQP136" s="371">
        <v>15.38</v>
      </c>
      <c r="JQQ136" s="371" t="e">
        <f>JQN136*JQO136*JQP136</f>
        <v>#DIV/0!</v>
      </c>
      <c r="JQR136" s="367" t="s">
        <v>206</v>
      </c>
      <c r="JQS136" s="367"/>
      <c r="JQT136" s="367"/>
      <c r="JQU136" s="368" t="s">
        <v>168</v>
      </c>
      <c r="JQV136" s="369">
        <v>0.5</v>
      </c>
      <c r="JQW136" s="370" t="e">
        <f>10/JQS134</f>
        <v>#DIV/0!</v>
      </c>
      <c r="JQX136" s="371">
        <v>15.38</v>
      </c>
      <c r="JQY136" s="371" t="e">
        <f>JQV136*JQW136*JQX136</f>
        <v>#DIV/0!</v>
      </c>
      <c r="JQZ136" s="367" t="s">
        <v>206</v>
      </c>
      <c r="JRA136" s="367"/>
      <c r="JRB136" s="367"/>
      <c r="JRC136" s="368" t="s">
        <v>168</v>
      </c>
      <c r="JRD136" s="369">
        <v>0.5</v>
      </c>
      <c r="JRE136" s="370" t="e">
        <f>10/JRA134</f>
        <v>#DIV/0!</v>
      </c>
      <c r="JRF136" s="371">
        <v>15.38</v>
      </c>
      <c r="JRG136" s="371" t="e">
        <f>JRD136*JRE136*JRF136</f>
        <v>#DIV/0!</v>
      </c>
      <c r="JRH136" s="367" t="s">
        <v>206</v>
      </c>
      <c r="JRI136" s="367"/>
      <c r="JRJ136" s="367"/>
      <c r="JRK136" s="368" t="s">
        <v>168</v>
      </c>
      <c r="JRL136" s="369">
        <v>0.5</v>
      </c>
      <c r="JRM136" s="370" t="e">
        <f>10/JRI134</f>
        <v>#DIV/0!</v>
      </c>
      <c r="JRN136" s="371">
        <v>15.38</v>
      </c>
      <c r="JRO136" s="371" t="e">
        <f>JRL136*JRM136*JRN136</f>
        <v>#DIV/0!</v>
      </c>
      <c r="JRP136" s="367" t="s">
        <v>206</v>
      </c>
      <c r="JRQ136" s="367"/>
      <c r="JRR136" s="367"/>
      <c r="JRS136" s="368" t="s">
        <v>168</v>
      </c>
      <c r="JRT136" s="369">
        <v>0.5</v>
      </c>
      <c r="JRU136" s="370" t="e">
        <f>10/JRQ134</f>
        <v>#DIV/0!</v>
      </c>
      <c r="JRV136" s="371">
        <v>15.38</v>
      </c>
      <c r="JRW136" s="371" t="e">
        <f>JRT136*JRU136*JRV136</f>
        <v>#DIV/0!</v>
      </c>
      <c r="JRX136" s="367" t="s">
        <v>206</v>
      </c>
      <c r="JRY136" s="367"/>
      <c r="JRZ136" s="367"/>
      <c r="JSA136" s="368" t="s">
        <v>168</v>
      </c>
      <c r="JSB136" s="369">
        <v>0.5</v>
      </c>
      <c r="JSC136" s="370" t="e">
        <f>10/JRY134</f>
        <v>#DIV/0!</v>
      </c>
      <c r="JSD136" s="371">
        <v>15.38</v>
      </c>
      <c r="JSE136" s="371" t="e">
        <f>JSB136*JSC136*JSD136</f>
        <v>#DIV/0!</v>
      </c>
      <c r="JSF136" s="367" t="s">
        <v>206</v>
      </c>
      <c r="JSG136" s="367"/>
      <c r="JSH136" s="367"/>
      <c r="JSI136" s="368" t="s">
        <v>168</v>
      </c>
      <c r="JSJ136" s="369">
        <v>0.5</v>
      </c>
      <c r="JSK136" s="370" t="e">
        <f>10/JSG134</f>
        <v>#DIV/0!</v>
      </c>
      <c r="JSL136" s="371">
        <v>15.38</v>
      </c>
      <c r="JSM136" s="371" t="e">
        <f>JSJ136*JSK136*JSL136</f>
        <v>#DIV/0!</v>
      </c>
      <c r="JSN136" s="367" t="s">
        <v>206</v>
      </c>
      <c r="JSO136" s="367"/>
      <c r="JSP136" s="367"/>
      <c r="JSQ136" s="368" t="s">
        <v>168</v>
      </c>
      <c r="JSR136" s="369">
        <v>0.5</v>
      </c>
      <c r="JSS136" s="370" t="e">
        <f>10/JSO134</f>
        <v>#DIV/0!</v>
      </c>
      <c r="JST136" s="371">
        <v>15.38</v>
      </c>
      <c r="JSU136" s="371" t="e">
        <f>JSR136*JSS136*JST136</f>
        <v>#DIV/0!</v>
      </c>
      <c r="JSV136" s="367" t="s">
        <v>206</v>
      </c>
      <c r="JSW136" s="367"/>
      <c r="JSX136" s="367"/>
      <c r="JSY136" s="368" t="s">
        <v>168</v>
      </c>
      <c r="JSZ136" s="369">
        <v>0.5</v>
      </c>
      <c r="JTA136" s="370" t="e">
        <f>10/JSW134</f>
        <v>#DIV/0!</v>
      </c>
      <c r="JTB136" s="371">
        <v>15.38</v>
      </c>
      <c r="JTC136" s="371" t="e">
        <f>JSZ136*JTA136*JTB136</f>
        <v>#DIV/0!</v>
      </c>
      <c r="JTD136" s="367" t="s">
        <v>206</v>
      </c>
      <c r="JTE136" s="367"/>
      <c r="JTF136" s="367"/>
      <c r="JTG136" s="368" t="s">
        <v>168</v>
      </c>
      <c r="JTH136" s="369">
        <v>0.5</v>
      </c>
      <c r="JTI136" s="370" t="e">
        <f>10/JTE134</f>
        <v>#DIV/0!</v>
      </c>
      <c r="JTJ136" s="371">
        <v>15.38</v>
      </c>
      <c r="JTK136" s="371" t="e">
        <f>JTH136*JTI136*JTJ136</f>
        <v>#DIV/0!</v>
      </c>
      <c r="JTL136" s="367" t="s">
        <v>206</v>
      </c>
      <c r="JTM136" s="367"/>
      <c r="JTN136" s="367"/>
      <c r="JTO136" s="368" t="s">
        <v>168</v>
      </c>
      <c r="JTP136" s="369">
        <v>0.5</v>
      </c>
      <c r="JTQ136" s="370" t="e">
        <f>10/JTM134</f>
        <v>#DIV/0!</v>
      </c>
      <c r="JTR136" s="371">
        <v>15.38</v>
      </c>
      <c r="JTS136" s="371" t="e">
        <f>JTP136*JTQ136*JTR136</f>
        <v>#DIV/0!</v>
      </c>
      <c r="JTT136" s="367" t="s">
        <v>206</v>
      </c>
      <c r="JTU136" s="367"/>
      <c r="JTV136" s="367"/>
      <c r="JTW136" s="368" t="s">
        <v>168</v>
      </c>
      <c r="JTX136" s="369">
        <v>0.5</v>
      </c>
      <c r="JTY136" s="370" t="e">
        <f>10/JTU134</f>
        <v>#DIV/0!</v>
      </c>
      <c r="JTZ136" s="371">
        <v>15.38</v>
      </c>
      <c r="JUA136" s="371" t="e">
        <f>JTX136*JTY136*JTZ136</f>
        <v>#DIV/0!</v>
      </c>
      <c r="JUB136" s="367" t="s">
        <v>206</v>
      </c>
      <c r="JUC136" s="367"/>
      <c r="JUD136" s="367"/>
      <c r="JUE136" s="368" t="s">
        <v>168</v>
      </c>
      <c r="JUF136" s="369">
        <v>0.5</v>
      </c>
      <c r="JUG136" s="370" t="e">
        <f>10/JUC134</f>
        <v>#DIV/0!</v>
      </c>
      <c r="JUH136" s="371">
        <v>15.38</v>
      </c>
      <c r="JUI136" s="371" t="e">
        <f>JUF136*JUG136*JUH136</f>
        <v>#DIV/0!</v>
      </c>
      <c r="JUJ136" s="367" t="s">
        <v>206</v>
      </c>
      <c r="JUK136" s="367"/>
      <c r="JUL136" s="367"/>
      <c r="JUM136" s="368" t="s">
        <v>168</v>
      </c>
      <c r="JUN136" s="369">
        <v>0.5</v>
      </c>
      <c r="JUO136" s="370" t="e">
        <f>10/JUK134</f>
        <v>#DIV/0!</v>
      </c>
      <c r="JUP136" s="371">
        <v>15.38</v>
      </c>
      <c r="JUQ136" s="371" t="e">
        <f>JUN136*JUO136*JUP136</f>
        <v>#DIV/0!</v>
      </c>
      <c r="JUR136" s="367" t="s">
        <v>206</v>
      </c>
      <c r="JUS136" s="367"/>
      <c r="JUT136" s="367"/>
      <c r="JUU136" s="368" t="s">
        <v>168</v>
      </c>
      <c r="JUV136" s="369">
        <v>0.5</v>
      </c>
      <c r="JUW136" s="370" t="e">
        <f>10/JUS134</f>
        <v>#DIV/0!</v>
      </c>
      <c r="JUX136" s="371">
        <v>15.38</v>
      </c>
      <c r="JUY136" s="371" t="e">
        <f>JUV136*JUW136*JUX136</f>
        <v>#DIV/0!</v>
      </c>
      <c r="JUZ136" s="367" t="s">
        <v>206</v>
      </c>
      <c r="JVA136" s="367"/>
      <c r="JVB136" s="367"/>
      <c r="JVC136" s="368" t="s">
        <v>168</v>
      </c>
      <c r="JVD136" s="369">
        <v>0.5</v>
      </c>
      <c r="JVE136" s="370" t="e">
        <f>10/JVA134</f>
        <v>#DIV/0!</v>
      </c>
      <c r="JVF136" s="371">
        <v>15.38</v>
      </c>
      <c r="JVG136" s="371" t="e">
        <f>JVD136*JVE136*JVF136</f>
        <v>#DIV/0!</v>
      </c>
      <c r="JVH136" s="367" t="s">
        <v>206</v>
      </c>
      <c r="JVI136" s="367"/>
      <c r="JVJ136" s="367"/>
      <c r="JVK136" s="368" t="s">
        <v>168</v>
      </c>
      <c r="JVL136" s="369">
        <v>0.5</v>
      </c>
      <c r="JVM136" s="370" t="e">
        <f>10/JVI134</f>
        <v>#DIV/0!</v>
      </c>
      <c r="JVN136" s="371">
        <v>15.38</v>
      </c>
      <c r="JVO136" s="371" t="e">
        <f>JVL136*JVM136*JVN136</f>
        <v>#DIV/0!</v>
      </c>
      <c r="JVP136" s="367" t="s">
        <v>206</v>
      </c>
      <c r="JVQ136" s="367"/>
      <c r="JVR136" s="367"/>
      <c r="JVS136" s="368" t="s">
        <v>168</v>
      </c>
      <c r="JVT136" s="369">
        <v>0.5</v>
      </c>
      <c r="JVU136" s="370" t="e">
        <f>10/JVQ134</f>
        <v>#DIV/0!</v>
      </c>
      <c r="JVV136" s="371">
        <v>15.38</v>
      </c>
      <c r="JVW136" s="371" t="e">
        <f>JVT136*JVU136*JVV136</f>
        <v>#DIV/0!</v>
      </c>
      <c r="JVX136" s="367" t="s">
        <v>206</v>
      </c>
      <c r="JVY136" s="367"/>
      <c r="JVZ136" s="367"/>
      <c r="JWA136" s="368" t="s">
        <v>168</v>
      </c>
      <c r="JWB136" s="369">
        <v>0.5</v>
      </c>
      <c r="JWC136" s="370" t="e">
        <f>10/JVY134</f>
        <v>#DIV/0!</v>
      </c>
      <c r="JWD136" s="371">
        <v>15.38</v>
      </c>
      <c r="JWE136" s="371" t="e">
        <f>JWB136*JWC136*JWD136</f>
        <v>#DIV/0!</v>
      </c>
      <c r="JWF136" s="367" t="s">
        <v>206</v>
      </c>
      <c r="JWG136" s="367"/>
      <c r="JWH136" s="367"/>
      <c r="JWI136" s="368" t="s">
        <v>168</v>
      </c>
      <c r="JWJ136" s="369">
        <v>0.5</v>
      </c>
      <c r="JWK136" s="370" t="e">
        <f>10/JWG134</f>
        <v>#DIV/0!</v>
      </c>
      <c r="JWL136" s="371">
        <v>15.38</v>
      </c>
      <c r="JWM136" s="371" t="e">
        <f>JWJ136*JWK136*JWL136</f>
        <v>#DIV/0!</v>
      </c>
      <c r="JWN136" s="367" t="s">
        <v>206</v>
      </c>
      <c r="JWO136" s="367"/>
      <c r="JWP136" s="367"/>
      <c r="JWQ136" s="368" t="s">
        <v>168</v>
      </c>
      <c r="JWR136" s="369">
        <v>0.5</v>
      </c>
      <c r="JWS136" s="370" t="e">
        <f>10/JWO134</f>
        <v>#DIV/0!</v>
      </c>
      <c r="JWT136" s="371">
        <v>15.38</v>
      </c>
      <c r="JWU136" s="371" t="e">
        <f>JWR136*JWS136*JWT136</f>
        <v>#DIV/0!</v>
      </c>
      <c r="JWV136" s="367" t="s">
        <v>206</v>
      </c>
      <c r="JWW136" s="367"/>
      <c r="JWX136" s="367"/>
      <c r="JWY136" s="368" t="s">
        <v>168</v>
      </c>
      <c r="JWZ136" s="369">
        <v>0.5</v>
      </c>
      <c r="JXA136" s="370" t="e">
        <f>10/JWW134</f>
        <v>#DIV/0!</v>
      </c>
      <c r="JXB136" s="371">
        <v>15.38</v>
      </c>
      <c r="JXC136" s="371" t="e">
        <f>JWZ136*JXA136*JXB136</f>
        <v>#DIV/0!</v>
      </c>
      <c r="JXD136" s="367" t="s">
        <v>206</v>
      </c>
      <c r="JXE136" s="367"/>
      <c r="JXF136" s="367"/>
      <c r="JXG136" s="368" t="s">
        <v>168</v>
      </c>
      <c r="JXH136" s="369">
        <v>0.5</v>
      </c>
      <c r="JXI136" s="370" t="e">
        <f>10/JXE134</f>
        <v>#DIV/0!</v>
      </c>
      <c r="JXJ136" s="371">
        <v>15.38</v>
      </c>
      <c r="JXK136" s="371" t="e">
        <f>JXH136*JXI136*JXJ136</f>
        <v>#DIV/0!</v>
      </c>
      <c r="JXL136" s="367" t="s">
        <v>206</v>
      </c>
      <c r="JXM136" s="367"/>
      <c r="JXN136" s="367"/>
      <c r="JXO136" s="368" t="s">
        <v>168</v>
      </c>
      <c r="JXP136" s="369">
        <v>0.5</v>
      </c>
      <c r="JXQ136" s="370" t="e">
        <f>10/JXM134</f>
        <v>#DIV/0!</v>
      </c>
      <c r="JXR136" s="371">
        <v>15.38</v>
      </c>
      <c r="JXS136" s="371" t="e">
        <f>JXP136*JXQ136*JXR136</f>
        <v>#DIV/0!</v>
      </c>
      <c r="JXT136" s="367" t="s">
        <v>206</v>
      </c>
      <c r="JXU136" s="367"/>
      <c r="JXV136" s="367"/>
      <c r="JXW136" s="368" t="s">
        <v>168</v>
      </c>
      <c r="JXX136" s="369">
        <v>0.5</v>
      </c>
      <c r="JXY136" s="370" t="e">
        <f>10/JXU134</f>
        <v>#DIV/0!</v>
      </c>
      <c r="JXZ136" s="371">
        <v>15.38</v>
      </c>
      <c r="JYA136" s="371" t="e">
        <f>JXX136*JXY136*JXZ136</f>
        <v>#DIV/0!</v>
      </c>
      <c r="JYB136" s="367" t="s">
        <v>206</v>
      </c>
      <c r="JYC136" s="367"/>
      <c r="JYD136" s="367"/>
      <c r="JYE136" s="368" t="s">
        <v>168</v>
      </c>
      <c r="JYF136" s="369">
        <v>0.5</v>
      </c>
      <c r="JYG136" s="370" t="e">
        <f>10/JYC134</f>
        <v>#DIV/0!</v>
      </c>
      <c r="JYH136" s="371">
        <v>15.38</v>
      </c>
      <c r="JYI136" s="371" t="e">
        <f>JYF136*JYG136*JYH136</f>
        <v>#DIV/0!</v>
      </c>
      <c r="JYJ136" s="367" t="s">
        <v>206</v>
      </c>
      <c r="JYK136" s="367"/>
      <c r="JYL136" s="367"/>
      <c r="JYM136" s="368" t="s">
        <v>168</v>
      </c>
      <c r="JYN136" s="369">
        <v>0.5</v>
      </c>
      <c r="JYO136" s="370" t="e">
        <f>10/JYK134</f>
        <v>#DIV/0!</v>
      </c>
      <c r="JYP136" s="371">
        <v>15.38</v>
      </c>
      <c r="JYQ136" s="371" t="e">
        <f>JYN136*JYO136*JYP136</f>
        <v>#DIV/0!</v>
      </c>
      <c r="JYR136" s="367" t="s">
        <v>206</v>
      </c>
      <c r="JYS136" s="367"/>
      <c r="JYT136" s="367"/>
      <c r="JYU136" s="368" t="s">
        <v>168</v>
      </c>
      <c r="JYV136" s="369">
        <v>0.5</v>
      </c>
      <c r="JYW136" s="370" t="e">
        <f>10/JYS134</f>
        <v>#DIV/0!</v>
      </c>
      <c r="JYX136" s="371">
        <v>15.38</v>
      </c>
      <c r="JYY136" s="371" t="e">
        <f>JYV136*JYW136*JYX136</f>
        <v>#DIV/0!</v>
      </c>
      <c r="JYZ136" s="367" t="s">
        <v>206</v>
      </c>
      <c r="JZA136" s="367"/>
      <c r="JZB136" s="367"/>
      <c r="JZC136" s="368" t="s">
        <v>168</v>
      </c>
      <c r="JZD136" s="369">
        <v>0.5</v>
      </c>
      <c r="JZE136" s="370" t="e">
        <f>10/JZA134</f>
        <v>#DIV/0!</v>
      </c>
      <c r="JZF136" s="371">
        <v>15.38</v>
      </c>
      <c r="JZG136" s="371" t="e">
        <f>JZD136*JZE136*JZF136</f>
        <v>#DIV/0!</v>
      </c>
      <c r="JZH136" s="367" t="s">
        <v>206</v>
      </c>
      <c r="JZI136" s="367"/>
      <c r="JZJ136" s="367"/>
      <c r="JZK136" s="368" t="s">
        <v>168</v>
      </c>
      <c r="JZL136" s="369">
        <v>0.5</v>
      </c>
      <c r="JZM136" s="370" t="e">
        <f>10/JZI134</f>
        <v>#DIV/0!</v>
      </c>
      <c r="JZN136" s="371">
        <v>15.38</v>
      </c>
      <c r="JZO136" s="371" t="e">
        <f>JZL136*JZM136*JZN136</f>
        <v>#DIV/0!</v>
      </c>
      <c r="JZP136" s="367" t="s">
        <v>206</v>
      </c>
      <c r="JZQ136" s="367"/>
      <c r="JZR136" s="367"/>
      <c r="JZS136" s="368" t="s">
        <v>168</v>
      </c>
      <c r="JZT136" s="369">
        <v>0.5</v>
      </c>
      <c r="JZU136" s="370" t="e">
        <f>10/JZQ134</f>
        <v>#DIV/0!</v>
      </c>
      <c r="JZV136" s="371">
        <v>15.38</v>
      </c>
      <c r="JZW136" s="371" t="e">
        <f>JZT136*JZU136*JZV136</f>
        <v>#DIV/0!</v>
      </c>
      <c r="JZX136" s="367" t="s">
        <v>206</v>
      </c>
      <c r="JZY136" s="367"/>
      <c r="JZZ136" s="367"/>
      <c r="KAA136" s="368" t="s">
        <v>168</v>
      </c>
      <c r="KAB136" s="369">
        <v>0.5</v>
      </c>
      <c r="KAC136" s="370" t="e">
        <f>10/JZY134</f>
        <v>#DIV/0!</v>
      </c>
      <c r="KAD136" s="371">
        <v>15.38</v>
      </c>
      <c r="KAE136" s="371" t="e">
        <f>KAB136*KAC136*KAD136</f>
        <v>#DIV/0!</v>
      </c>
      <c r="KAF136" s="367" t="s">
        <v>206</v>
      </c>
      <c r="KAG136" s="367"/>
      <c r="KAH136" s="367"/>
      <c r="KAI136" s="368" t="s">
        <v>168</v>
      </c>
      <c r="KAJ136" s="369">
        <v>0.5</v>
      </c>
      <c r="KAK136" s="370" t="e">
        <f>10/KAG134</f>
        <v>#DIV/0!</v>
      </c>
      <c r="KAL136" s="371">
        <v>15.38</v>
      </c>
      <c r="KAM136" s="371" t="e">
        <f>KAJ136*KAK136*KAL136</f>
        <v>#DIV/0!</v>
      </c>
      <c r="KAN136" s="367" t="s">
        <v>206</v>
      </c>
      <c r="KAO136" s="367"/>
      <c r="KAP136" s="367"/>
      <c r="KAQ136" s="368" t="s">
        <v>168</v>
      </c>
      <c r="KAR136" s="369">
        <v>0.5</v>
      </c>
      <c r="KAS136" s="370" t="e">
        <f>10/KAO134</f>
        <v>#DIV/0!</v>
      </c>
      <c r="KAT136" s="371">
        <v>15.38</v>
      </c>
      <c r="KAU136" s="371" t="e">
        <f>KAR136*KAS136*KAT136</f>
        <v>#DIV/0!</v>
      </c>
      <c r="KAV136" s="367" t="s">
        <v>206</v>
      </c>
      <c r="KAW136" s="367"/>
      <c r="KAX136" s="367"/>
      <c r="KAY136" s="368" t="s">
        <v>168</v>
      </c>
      <c r="KAZ136" s="369">
        <v>0.5</v>
      </c>
      <c r="KBA136" s="370" t="e">
        <f>10/KAW134</f>
        <v>#DIV/0!</v>
      </c>
      <c r="KBB136" s="371">
        <v>15.38</v>
      </c>
      <c r="KBC136" s="371" t="e">
        <f>KAZ136*KBA136*KBB136</f>
        <v>#DIV/0!</v>
      </c>
      <c r="KBD136" s="367" t="s">
        <v>206</v>
      </c>
      <c r="KBE136" s="367"/>
      <c r="KBF136" s="367"/>
      <c r="KBG136" s="368" t="s">
        <v>168</v>
      </c>
      <c r="KBH136" s="369">
        <v>0.5</v>
      </c>
      <c r="KBI136" s="370" t="e">
        <f>10/KBE134</f>
        <v>#DIV/0!</v>
      </c>
      <c r="KBJ136" s="371">
        <v>15.38</v>
      </c>
      <c r="KBK136" s="371" t="e">
        <f>KBH136*KBI136*KBJ136</f>
        <v>#DIV/0!</v>
      </c>
      <c r="KBL136" s="367" t="s">
        <v>206</v>
      </c>
      <c r="KBM136" s="367"/>
      <c r="KBN136" s="367"/>
      <c r="KBO136" s="368" t="s">
        <v>168</v>
      </c>
      <c r="KBP136" s="369">
        <v>0.5</v>
      </c>
      <c r="KBQ136" s="370" t="e">
        <f>10/KBM134</f>
        <v>#DIV/0!</v>
      </c>
      <c r="KBR136" s="371">
        <v>15.38</v>
      </c>
      <c r="KBS136" s="371" t="e">
        <f>KBP136*KBQ136*KBR136</f>
        <v>#DIV/0!</v>
      </c>
      <c r="KBT136" s="367" t="s">
        <v>206</v>
      </c>
      <c r="KBU136" s="367"/>
      <c r="KBV136" s="367"/>
      <c r="KBW136" s="368" t="s">
        <v>168</v>
      </c>
      <c r="KBX136" s="369">
        <v>0.5</v>
      </c>
      <c r="KBY136" s="370" t="e">
        <f>10/KBU134</f>
        <v>#DIV/0!</v>
      </c>
      <c r="KBZ136" s="371">
        <v>15.38</v>
      </c>
      <c r="KCA136" s="371" t="e">
        <f>KBX136*KBY136*KBZ136</f>
        <v>#DIV/0!</v>
      </c>
      <c r="KCB136" s="367" t="s">
        <v>206</v>
      </c>
      <c r="KCC136" s="367"/>
      <c r="KCD136" s="367"/>
      <c r="KCE136" s="368" t="s">
        <v>168</v>
      </c>
      <c r="KCF136" s="369">
        <v>0.5</v>
      </c>
      <c r="KCG136" s="370" t="e">
        <f>10/KCC134</f>
        <v>#DIV/0!</v>
      </c>
      <c r="KCH136" s="371">
        <v>15.38</v>
      </c>
      <c r="KCI136" s="371" t="e">
        <f>KCF136*KCG136*KCH136</f>
        <v>#DIV/0!</v>
      </c>
      <c r="KCJ136" s="367" t="s">
        <v>206</v>
      </c>
      <c r="KCK136" s="367"/>
      <c r="KCL136" s="367"/>
      <c r="KCM136" s="368" t="s">
        <v>168</v>
      </c>
      <c r="KCN136" s="369">
        <v>0.5</v>
      </c>
      <c r="KCO136" s="370" t="e">
        <f>10/KCK134</f>
        <v>#DIV/0!</v>
      </c>
      <c r="KCP136" s="371">
        <v>15.38</v>
      </c>
      <c r="KCQ136" s="371" t="e">
        <f>KCN136*KCO136*KCP136</f>
        <v>#DIV/0!</v>
      </c>
      <c r="KCR136" s="367" t="s">
        <v>206</v>
      </c>
      <c r="KCS136" s="367"/>
      <c r="KCT136" s="367"/>
      <c r="KCU136" s="368" t="s">
        <v>168</v>
      </c>
      <c r="KCV136" s="369">
        <v>0.5</v>
      </c>
      <c r="KCW136" s="370" t="e">
        <f>10/KCS134</f>
        <v>#DIV/0!</v>
      </c>
      <c r="KCX136" s="371">
        <v>15.38</v>
      </c>
      <c r="KCY136" s="371" t="e">
        <f>KCV136*KCW136*KCX136</f>
        <v>#DIV/0!</v>
      </c>
      <c r="KCZ136" s="367" t="s">
        <v>206</v>
      </c>
      <c r="KDA136" s="367"/>
      <c r="KDB136" s="367"/>
      <c r="KDC136" s="368" t="s">
        <v>168</v>
      </c>
      <c r="KDD136" s="369">
        <v>0.5</v>
      </c>
      <c r="KDE136" s="370" t="e">
        <f>10/KDA134</f>
        <v>#DIV/0!</v>
      </c>
      <c r="KDF136" s="371">
        <v>15.38</v>
      </c>
      <c r="KDG136" s="371" t="e">
        <f>KDD136*KDE136*KDF136</f>
        <v>#DIV/0!</v>
      </c>
      <c r="KDH136" s="367" t="s">
        <v>206</v>
      </c>
      <c r="KDI136" s="367"/>
      <c r="KDJ136" s="367"/>
      <c r="KDK136" s="368" t="s">
        <v>168</v>
      </c>
      <c r="KDL136" s="369">
        <v>0.5</v>
      </c>
      <c r="KDM136" s="370" t="e">
        <f>10/KDI134</f>
        <v>#DIV/0!</v>
      </c>
      <c r="KDN136" s="371">
        <v>15.38</v>
      </c>
      <c r="KDO136" s="371" t="e">
        <f>KDL136*KDM136*KDN136</f>
        <v>#DIV/0!</v>
      </c>
      <c r="KDP136" s="367" t="s">
        <v>206</v>
      </c>
      <c r="KDQ136" s="367"/>
      <c r="KDR136" s="367"/>
      <c r="KDS136" s="368" t="s">
        <v>168</v>
      </c>
      <c r="KDT136" s="369">
        <v>0.5</v>
      </c>
      <c r="KDU136" s="370" t="e">
        <f>10/KDQ134</f>
        <v>#DIV/0!</v>
      </c>
      <c r="KDV136" s="371">
        <v>15.38</v>
      </c>
      <c r="KDW136" s="371" t="e">
        <f>KDT136*KDU136*KDV136</f>
        <v>#DIV/0!</v>
      </c>
      <c r="KDX136" s="367" t="s">
        <v>206</v>
      </c>
      <c r="KDY136" s="367"/>
      <c r="KDZ136" s="367"/>
      <c r="KEA136" s="368" t="s">
        <v>168</v>
      </c>
      <c r="KEB136" s="369">
        <v>0.5</v>
      </c>
      <c r="KEC136" s="370" t="e">
        <f>10/KDY134</f>
        <v>#DIV/0!</v>
      </c>
      <c r="KED136" s="371">
        <v>15.38</v>
      </c>
      <c r="KEE136" s="371" t="e">
        <f>KEB136*KEC136*KED136</f>
        <v>#DIV/0!</v>
      </c>
      <c r="KEF136" s="367" t="s">
        <v>206</v>
      </c>
      <c r="KEG136" s="367"/>
      <c r="KEH136" s="367"/>
      <c r="KEI136" s="368" t="s">
        <v>168</v>
      </c>
      <c r="KEJ136" s="369">
        <v>0.5</v>
      </c>
      <c r="KEK136" s="370" t="e">
        <f>10/KEG134</f>
        <v>#DIV/0!</v>
      </c>
      <c r="KEL136" s="371">
        <v>15.38</v>
      </c>
      <c r="KEM136" s="371" t="e">
        <f>KEJ136*KEK136*KEL136</f>
        <v>#DIV/0!</v>
      </c>
      <c r="KEN136" s="367" t="s">
        <v>206</v>
      </c>
      <c r="KEO136" s="367"/>
      <c r="KEP136" s="367"/>
      <c r="KEQ136" s="368" t="s">
        <v>168</v>
      </c>
      <c r="KER136" s="369">
        <v>0.5</v>
      </c>
      <c r="KES136" s="370" t="e">
        <f>10/KEO134</f>
        <v>#DIV/0!</v>
      </c>
      <c r="KET136" s="371">
        <v>15.38</v>
      </c>
      <c r="KEU136" s="371" t="e">
        <f>KER136*KES136*KET136</f>
        <v>#DIV/0!</v>
      </c>
      <c r="KEV136" s="367" t="s">
        <v>206</v>
      </c>
      <c r="KEW136" s="367"/>
      <c r="KEX136" s="367"/>
      <c r="KEY136" s="368" t="s">
        <v>168</v>
      </c>
      <c r="KEZ136" s="369">
        <v>0.5</v>
      </c>
      <c r="KFA136" s="370" t="e">
        <f>10/KEW134</f>
        <v>#DIV/0!</v>
      </c>
      <c r="KFB136" s="371">
        <v>15.38</v>
      </c>
      <c r="KFC136" s="371" t="e">
        <f>KEZ136*KFA136*KFB136</f>
        <v>#DIV/0!</v>
      </c>
      <c r="KFD136" s="367" t="s">
        <v>206</v>
      </c>
      <c r="KFE136" s="367"/>
      <c r="KFF136" s="367"/>
      <c r="KFG136" s="368" t="s">
        <v>168</v>
      </c>
      <c r="KFH136" s="369">
        <v>0.5</v>
      </c>
      <c r="KFI136" s="370" t="e">
        <f>10/KFE134</f>
        <v>#DIV/0!</v>
      </c>
      <c r="KFJ136" s="371">
        <v>15.38</v>
      </c>
      <c r="KFK136" s="371" t="e">
        <f>KFH136*KFI136*KFJ136</f>
        <v>#DIV/0!</v>
      </c>
      <c r="KFL136" s="367" t="s">
        <v>206</v>
      </c>
      <c r="KFM136" s="367"/>
      <c r="KFN136" s="367"/>
      <c r="KFO136" s="368" t="s">
        <v>168</v>
      </c>
      <c r="KFP136" s="369">
        <v>0.5</v>
      </c>
      <c r="KFQ136" s="370" t="e">
        <f>10/KFM134</f>
        <v>#DIV/0!</v>
      </c>
      <c r="KFR136" s="371">
        <v>15.38</v>
      </c>
      <c r="KFS136" s="371" t="e">
        <f>KFP136*KFQ136*KFR136</f>
        <v>#DIV/0!</v>
      </c>
      <c r="KFT136" s="367" t="s">
        <v>206</v>
      </c>
      <c r="KFU136" s="367"/>
      <c r="KFV136" s="367"/>
      <c r="KFW136" s="368" t="s">
        <v>168</v>
      </c>
      <c r="KFX136" s="369">
        <v>0.5</v>
      </c>
      <c r="KFY136" s="370" t="e">
        <f>10/KFU134</f>
        <v>#DIV/0!</v>
      </c>
      <c r="KFZ136" s="371">
        <v>15.38</v>
      </c>
      <c r="KGA136" s="371" t="e">
        <f>KFX136*KFY136*KFZ136</f>
        <v>#DIV/0!</v>
      </c>
      <c r="KGB136" s="367" t="s">
        <v>206</v>
      </c>
      <c r="KGC136" s="367"/>
      <c r="KGD136" s="367"/>
      <c r="KGE136" s="368" t="s">
        <v>168</v>
      </c>
      <c r="KGF136" s="369">
        <v>0.5</v>
      </c>
      <c r="KGG136" s="370" t="e">
        <f>10/KGC134</f>
        <v>#DIV/0!</v>
      </c>
      <c r="KGH136" s="371">
        <v>15.38</v>
      </c>
      <c r="KGI136" s="371" t="e">
        <f>KGF136*KGG136*KGH136</f>
        <v>#DIV/0!</v>
      </c>
      <c r="KGJ136" s="367" t="s">
        <v>206</v>
      </c>
      <c r="KGK136" s="367"/>
      <c r="KGL136" s="367"/>
      <c r="KGM136" s="368" t="s">
        <v>168</v>
      </c>
      <c r="KGN136" s="369">
        <v>0.5</v>
      </c>
      <c r="KGO136" s="370" t="e">
        <f>10/KGK134</f>
        <v>#DIV/0!</v>
      </c>
      <c r="KGP136" s="371">
        <v>15.38</v>
      </c>
      <c r="KGQ136" s="371" t="e">
        <f>KGN136*KGO136*KGP136</f>
        <v>#DIV/0!</v>
      </c>
      <c r="KGR136" s="367" t="s">
        <v>206</v>
      </c>
      <c r="KGS136" s="367"/>
      <c r="KGT136" s="367"/>
      <c r="KGU136" s="368" t="s">
        <v>168</v>
      </c>
      <c r="KGV136" s="369">
        <v>0.5</v>
      </c>
      <c r="KGW136" s="370" t="e">
        <f>10/KGS134</f>
        <v>#DIV/0!</v>
      </c>
      <c r="KGX136" s="371">
        <v>15.38</v>
      </c>
      <c r="KGY136" s="371" t="e">
        <f>KGV136*KGW136*KGX136</f>
        <v>#DIV/0!</v>
      </c>
      <c r="KGZ136" s="367" t="s">
        <v>206</v>
      </c>
      <c r="KHA136" s="367"/>
      <c r="KHB136" s="367"/>
      <c r="KHC136" s="368" t="s">
        <v>168</v>
      </c>
      <c r="KHD136" s="369">
        <v>0.5</v>
      </c>
      <c r="KHE136" s="370" t="e">
        <f>10/KHA134</f>
        <v>#DIV/0!</v>
      </c>
      <c r="KHF136" s="371">
        <v>15.38</v>
      </c>
      <c r="KHG136" s="371" t="e">
        <f>KHD136*KHE136*KHF136</f>
        <v>#DIV/0!</v>
      </c>
      <c r="KHH136" s="367" t="s">
        <v>206</v>
      </c>
      <c r="KHI136" s="367"/>
      <c r="KHJ136" s="367"/>
      <c r="KHK136" s="368" t="s">
        <v>168</v>
      </c>
      <c r="KHL136" s="369">
        <v>0.5</v>
      </c>
      <c r="KHM136" s="370" t="e">
        <f>10/KHI134</f>
        <v>#DIV/0!</v>
      </c>
      <c r="KHN136" s="371">
        <v>15.38</v>
      </c>
      <c r="KHO136" s="371" t="e">
        <f>KHL136*KHM136*KHN136</f>
        <v>#DIV/0!</v>
      </c>
      <c r="KHP136" s="367" t="s">
        <v>206</v>
      </c>
      <c r="KHQ136" s="367"/>
      <c r="KHR136" s="367"/>
      <c r="KHS136" s="368" t="s">
        <v>168</v>
      </c>
      <c r="KHT136" s="369">
        <v>0.5</v>
      </c>
      <c r="KHU136" s="370" t="e">
        <f>10/KHQ134</f>
        <v>#DIV/0!</v>
      </c>
      <c r="KHV136" s="371">
        <v>15.38</v>
      </c>
      <c r="KHW136" s="371" t="e">
        <f>KHT136*KHU136*KHV136</f>
        <v>#DIV/0!</v>
      </c>
      <c r="KHX136" s="367" t="s">
        <v>206</v>
      </c>
      <c r="KHY136" s="367"/>
      <c r="KHZ136" s="367"/>
      <c r="KIA136" s="368" t="s">
        <v>168</v>
      </c>
      <c r="KIB136" s="369">
        <v>0.5</v>
      </c>
      <c r="KIC136" s="370" t="e">
        <f>10/KHY134</f>
        <v>#DIV/0!</v>
      </c>
      <c r="KID136" s="371">
        <v>15.38</v>
      </c>
      <c r="KIE136" s="371" t="e">
        <f>KIB136*KIC136*KID136</f>
        <v>#DIV/0!</v>
      </c>
      <c r="KIF136" s="367" t="s">
        <v>206</v>
      </c>
      <c r="KIG136" s="367"/>
      <c r="KIH136" s="367"/>
      <c r="KII136" s="368" t="s">
        <v>168</v>
      </c>
      <c r="KIJ136" s="369">
        <v>0.5</v>
      </c>
      <c r="KIK136" s="370" t="e">
        <f>10/KIG134</f>
        <v>#DIV/0!</v>
      </c>
      <c r="KIL136" s="371">
        <v>15.38</v>
      </c>
      <c r="KIM136" s="371" t="e">
        <f>KIJ136*KIK136*KIL136</f>
        <v>#DIV/0!</v>
      </c>
      <c r="KIN136" s="367" t="s">
        <v>206</v>
      </c>
      <c r="KIO136" s="367"/>
      <c r="KIP136" s="367"/>
      <c r="KIQ136" s="368" t="s">
        <v>168</v>
      </c>
      <c r="KIR136" s="369">
        <v>0.5</v>
      </c>
      <c r="KIS136" s="370" t="e">
        <f>10/KIO134</f>
        <v>#DIV/0!</v>
      </c>
      <c r="KIT136" s="371">
        <v>15.38</v>
      </c>
      <c r="KIU136" s="371" t="e">
        <f>KIR136*KIS136*KIT136</f>
        <v>#DIV/0!</v>
      </c>
      <c r="KIV136" s="367" t="s">
        <v>206</v>
      </c>
      <c r="KIW136" s="367"/>
      <c r="KIX136" s="367"/>
      <c r="KIY136" s="368" t="s">
        <v>168</v>
      </c>
      <c r="KIZ136" s="369">
        <v>0.5</v>
      </c>
      <c r="KJA136" s="370" t="e">
        <f>10/KIW134</f>
        <v>#DIV/0!</v>
      </c>
      <c r="KJB136" s="371">
        <v>15.38</v>
      </c>
      <c r="KJC136" s="371" t="e">
        <f>KIZ136*KJA136*KJB136</f>
        <v>#DIV/0!</v>
      </c>
      <c r="KJD136" s="367" t="s">
        <v>206</v>
      </c>
      <c r="KJE136" s="367"/>
      <c r="KJF136" s="367"/>
      <c r="KJG136" s="368" t="s">
        <v>168</v>
      </c>
      <c r="KJH136" s="369">
        <v>0.5</v>
      </c>
      <c r="KJI136" s="370" t="e">
        <f>10/KJE134</f>
        <v>#DIV/0!</v>
      </c>
      <c r="KJJ136" s="371">
        <v>15.38</v>
      </c>
      <c r="KJK136" s="371" t="e">
        <f>KJH136*KJI136*KJJ136</f>
        <v>#DIV/0!</v>
      </c>
      <c r="KJL136" s="367" t="s">
        <v>206</v>
      </c>
      <c r="KJM136" s="367"/>
      <c r="KJN136" s="367"/>
      <c r="KJO136" s="368" t="s">
        <v>168</v>
      </c>
      <c r="KJP136" s="369">
        <v>0.5</v>
      </c>
      <c r="KJQ136" s="370" t="e">
        <f>10/KJM134</f>
        <v>#DIV/0!</v>
      </c>
      <c r="KJR136" s="371">
        <v>15.38</v>
      </c>
      <c r="KJS136" s="371" t="e">
        <f>KJP136*KJQ136*KJR136</f>
        <v>#DIV/0!</v>
      </c>
      <c r="KJT136" s="367" t="s">
        <v>206</v>
      </c>
      <c r="KJU136" s="367"/>
      <c r="KJV136" s="367"/>
      <c r="KJW136" s="368" t="s">
        <v>168</v>
      </c>
      <c r="KJX136" s="369">
        <v>0.5</v>
      </c>
      <c r="KJY136" s="370" t="e">
        <f>10/KJU134</f>
        <v>#DIV/0!</v>
      </c>
      <c r="KJZ136" s="371">
        <v>15.38</v>
      </c>
      <c r="KKA136" s="371" t="e">
        <f>KJX136*KJY136*KJZ136</f>
        <v>#DIV/0!</v>
      </c>
      <c r="KKB136" s="367" t="s">
        <v>206</v>
      </c>
      <c r="KKC136" s="367"/>
      <c r="KKD136" s="367"/>
      <c r="KKE136" s="368" t="s">
        <v>168</v>
      </c>
      <c r="KKF136" s="369">
        <v>0.5</v>
      </c>
      <c r="KKG136" s="370" t="e">
        <f>10/KKC134</f>
        <v>#DIV/0!</v>
      </c>
      <c r="KKH136" s="371">
        <v>15.38</v>
      </c>
      <c r="KKI136" s="371" t="e">
        <f>KKF136*KKG136*KKH136</f>
        <v>#DIV/0!</v>
      </c>
      <c r="KKJ136" s="367" t="s">
        <v>206</v>
      </c>
      <c r="KKK136" s="367"/>
      <c r="KKL136" s="367"/>
      <c r="KKM136" s="368" t="s">
        <v>168</v>
      </c>
      <c r="KKN136" s="369">
        <v>0.5</v>
      </c>
      <c r="KKO136" s="370" t="e">
        <f>10/KKK134</f>
        <v>#DIV/0!</v>
      </c>
      <c r="KKP136" s="371">
        <v>15.38</v>
      </c>
      <c r="KKQ136" s="371" t="e">
        <f>KKN136*KKO136*KKP136</f>
        <v>#DIV/0!</v>
      </c>
      <c r="KKR136" s="367" t="s">
        <v>206</v>
      </c>
      <c r="KKS136" s="367"/>
      <c r="KKT136" s="367"/>
      <c r="KKU136" s="368" t="s">
        <v>168</v>
      </c>
      <c r="KKV136" s="369">
        <v>0.5</v>
      </c>
      <c r="KKW136" s="370" t="e">
        <f>10/KKS134</f>
        <v>#DIV/0!</v>
      </c>
      <c r="KKX136" s="371">
        <v>15.38</v>
      </c>
      <c r="KKY136" s="371" t="e">
        <f>KKV136*KKW136*KKX136</f>
        <v>#DIV/0!</v>
      </c>
      <c r="KKZ136" s="367" t="s">
        <v>206</v>
      </c>
      <c r="KLA136" s="367"/>
      <c r="KLB136" s="367"/>
      <c r="KLC136" s="368" t="s">
        <v>168</v>
      </c>
      <c r="KLD136" s="369">
        <v>0.5</v>
      </c>
      <c r="KLE136" s="370" t="e">
        <f>10/KLA134</f>
        <v>#DIV/0!</v>
      </c>
      <c r="KLF136" s="371">
        <v>15.38</v>
      </c>
      <c r="KLG136" s="371" t="e">
        <f>KLD136*KLE136*KLF136</f>
        <v>#DIV/0!</v>
      </c>
      <c r="KLH136" s="367" t="s">
        <v>206</v>
      </c>
      <c r="KLI136" s="367"/>
      <c r="KLJ136" s="367"/>
      <c r="KLK136" s="368" t="s">
        <v>168</v>
      </c>
      <c r="KLL136" s="369">
        <v>0.5</v>
      </c>
      <c r="KLM136" s="370" t="e">
        <f>10/KLI134</f>
        <v>#DIV/0!</v>
      </c>
      <c r="KLN136" s="371">
        <v>15.38</v>
      </c>
      <c r="KLO136" s="371" t="e">
        <f>KLL136*KLM136*KLN136</f>
        <v>#DIV/0!</v>
      </c>
      <c r="KLP136" s="367" t="s">
        <v>206</v>
      </c>
      <c r="KLQ136" s="367"/>
      <c r="KLR136" s="367"/>
      <c r="KLS136" s="368" t="s">
        <v>168</v>
      </c>
      <c r="KLT136" s="369">
        <v>0.5</v>
      </c>
      <c r="KLU136" s="370" t="e">
        <f>10/KLQ134</f>
        <v>#DIV/0!</v>
      </c>
      <c r="KLV136" s="371">
        <v>15.38</v>
      </c>
      <c r="KLW136" s="371" t="e">
        <f>KLT136*KLU136*KLV136</f>
        <v>#DIV/0!</v>
      </c>
      <c r="KLX136" s="367" t="s">
        <v>206</v>
      </c>
      <c r="KLY136" s="367"/>
      <c r="KLZ136" s="367"/>
      <c r="KMA136" s="368" t="s">
        <v>168</v>
      </c>
      <c r="KMB136" s="369">
        <v>0.5</v>
      </c>
      <c r="KMC136" s="370" t="e">
        <f>10/KLY134</f>
        <v>#DIV/0!</v>
      </c>
      <c r="KMD136" s="371">
        <v>15.38</v>
      </c>
      <c r="KME136" s="371" t="e">
        <f>KMB136*KMC136*KMD136</f>
        <v>#DIV/0!</v>
      </c>
      <c r="KMF136" s="367" t="s">
        <v>206</v>
      </c>
      <c r="KMG136" s="367"/>
      <c r="KMH136" s="367"/>
      <c r="KMI136" s="368" t="s">
        <v>168</v>
      </c>
      <c r="KMJ136" s="369">
        <v>0.5</v>
      </c>
      <c r="KMK136" s="370" t="e">
        <f>10/KMG134</f>
        <v>#DIV/0!</v>
      </c>
      <c r="KML136" s="371">
        <v>15.38</v>
      </c>
      <c r="KMM136" s="371" t="e">
        <f>KMJ136*KMK136*KML136</f>
        <v>#DIV/0!</v>
      </c>
      <c r="KMN136" s="367" t="s">
        <v>206</v>
      </c>
      <c r="KMO136" s="367"/>
      <c r="KMP136" s="367"/>
      <c r="KMQ136" s="368" t="s">
        <v>168</v>
      </c>
      <c r="KMR136" s="369">
        <v>0.5</v>
      </c>
      <c r="KMS136" s="370" t="e">
        <f>10/KMO134</f>
        <v>#DIV/0!</v>
      </c>
      <c r="KMT136" s="371">
        <v>15.38</v>
      </c>
      <c r="KMU136" s="371" t="e">
        <f>KMR136*KMS136*KMT136</f>
        <v>#DIV/0!</v>
      </c>
      <c r="KMV136" s="367" t="s">
        <v>206</v>
      </c>
      <c r="KMW136" s="367"/>
      <c r="KMX136" s="367"/>
      <c r="KMY136" s="368" t="s">
        <v>168</v>
      </c>
      <c r="KMZ136" s="369">
        <v>0.5</v>
      </c>
      <c r="KNA136" s="370" t="e">
        <f>10/KMW134</f>
        <v>#DIV/0!</v>
      </c>
      <c r="KNB136" s="371">
        <v>15.38</v>
      </c>
      <c r="KNC136" s="371" t="e">
        <f>KMZ136*KNA136*KNB136</f>
        <v>#DIV/0!</v>
      </c>
      <c r="KND136" s="367" t="s">
        <v>206</v>
      </c>
      <c r="KNE136" s="367"/>
      <c r="KNF136" s="367"/>
      <c r="KNG136" s="368" t="s">
        <v>168</v>
      </c>
      <c r="KNH136" s="369">
        <v>0.5</v>
      </c>
      <c r="KNI136" s="370" t="e">
        <f>10/KNE134</f>
        <v>#DIV/0!</v>
      </c>
      <c r="KNJ136" s="371">
        <v>15.38</v>
      </c>
      <c r="KNK136" s="371" t="e">
        <f>KNH136*KNI136*KNJ136</f>
        <v>#DIV/0!</v>
      </c>
      <c r="KNL136" s="367" t="s">
        <v>206</v>
      </c>
      <c r="KNM136" s="367"/>
      <c r="KNN136" s="367"/>
      <c r="KNO136" s="368" t="s">
        <v>168</v>
      </c>
      <c r="KNP136" s="369">
        <v>0.5</v>
      </c>
      <c r="KNQ136" s="370" t="e">
        <f>10/KNM134</f>
        <v>#DIV/0!</v>
      </c>
      <c r="KNR136" s="371">
        <v>15.38</v>
      </c>
      <c r="KNS136" s="371" t="e">
        <f>KNP136*KNQ136*KNR136</f>
        <v>#DIV/0!</v>
      </c>
      <c r="KNT136" s="367" t="s">
        <v>206</v>
      </c>
      <c r="KNU136" s="367"/>
      <c r="KNV136" s="367"/>
      <c r="KNW136" s="368" t="s">
        <v>168</v>
      </c>
      <c r="KNX136" s="369">
        <v>0.5</v>
      </c>
      <c r="KNY136" s="370" t="e">
        <f>10/KNU134</f>
        <v>#DIV/0!</v>
      </c>
      <c r="KNZ136" s="371">
        <v>15.38</v>
      </c>
      <c r="KOA136" s="371" t="e">
        <f>KNX136*KNY136*KNZ136</f>
        <v>#DIV/0!</v>
      </c>
      <c r="KOB136" s="367" t="s">
        <v>206</v>
      </c>
      <c r="KOC136" s="367"/>
      <c r="KOD136" s="367"/>
      <c r="KOE136" s="368" t="s">
        <v>168</v>
      </c>
      <c r="KOF136" s="369">
        <v>0.5</v>
      </c>
      <c r="KOG136" s="370" t="e">
        <f>10/KOC134</f>
        <v>#DIV/0!</v>
      </c>
      <c r="KOH136" s="371">
        <v>15.38</v>
      </c>
      <c r="KOI136" s="371" t="e">
        <f>KOF136*KOG136*KOH136</f>
        <v>#DIV/0!</v>
      </c>
      <c r="KOJ136" s="367" t="s">
        <v>206</v>
      </c>
      <c r="KOK136" s="367"/>
      <c r="KOL136" s="367"/>
      <c r="KOM136" s="368" t="s">
        <v>168</v>
      </c>
      <c r="KON136" s="369">
        <v>0.5</v>
      </c>
      <c r="KOO136" s="370" t="e">
        <f>10/KOK134</f>
        <v>#DIV/0!</v>
      </c>
      <c r="KOP136" s="371">
        <v>15.38</v>
      </c>
      <c r="KOQ136" s="371" t="e">
        <f>KON136*KOO136*KOP136</f>
        <v>#DIV/0!</v>
      </c>
      <c r="KOR136" s="367" t="s">
        <v>206</v>
      </c>
      <c r="KOS136" s="367"/>
      <c r="KOT136" s="367"/>
      <c r="KOU136" s="368" t="s">
        <v>168</v>
      </c>
      <c r="KOV136" s="369">
        <v>0.5</v>
      </c>
      <c r="KOW136" s="370" t="e">
        <f>10/KOS134</f>
        <v>#DIV/0!</v>
      </c>
      <c r="KOX136" s="371">
        <v>15.38</v>
      </c>
      <c r="KOY136" s="371" t="e">
        <f>KOV136*KOW136*KOX136</f>
        <v>#DIV/0!</v>
      </c>
      <c r="KOZ136" s="367" t="s">
        <v>206</v>
      </c>
      <c r="KPA136" s="367"/>
      <c r="KPB136" s="367"/>
      <c r="KPC136" s="368" t="s">
        <v>168</v>
      </c>
      <c r="KPD136" s="369">
        <v>0.5</v>
      </c>
      <c r="KPE136" s="370" t="e">
        <f>10/KPA134</f>
        <v>#DIV/0!</v>
      </c>
      <c r="KPF136" s="371">
        <v>15.38</v>
      </c>
      <c r="KPG136" s="371" t="e">
        <f>KPD136*KPE136*KPF136</f>
        <v>#DIV/0!</v>
      </c>
      <c r="KPH136" s="367" t="s">
        <v>206</v>
      </c>
      <c r="KPI136" s="367"/>
      <c r="KPJ136" s="367"/>
      <c r="KPK136" s="368" t="s">
        <v>168</v>
      </c>
      <c r="KPL136" s="369">
        <v>0.5</v>
      </c>
      <c r="KPM136" s="370" t="e">
        <f>10/KPI134</f>
        <v>#DIV/0!</v>
      </c>
      <c r="KPN136" s="371">
        <v>15.38</v>
      </c>
      <c r="KPO136" s="371" t="e">
        <f>KPL136*KPM136*KPN136</f>
        <v>#DIV/0!</v>
      </c>
      <c r="KPP136" s="367" t="s">
        <v>206</v>
      </c>
      <c r="KPQ136" s="367"/>
      <c r="KPR136" s="367"/>
      <c r="KPS136" s="368" t="s">
        <v>168</v>
      </c>
      <c r="KPT136" s="369">
        <v>0.5</v>
      </c>
      <c r="KPU136" s="370" t="e">
        <f>10/KPQ134</f>
        <v>#DIV/0!</v>
      </c>
      <c r="KPV136" s="371">
        <v>15.38</v>
      </c>
      <c r="KPW136" s="371" t="e">
        <f>KPT136*KPU136*KPV136</f>
        <v>#DIV/0!</v>
      </c>
      <c r="KPX136" s="367" t="s">
        <v>206</v>
      </c>
      <c r="KPY136" s="367"/>
      <c r="KPZ136" s="367"/>
      <c r="KQA136" s="368" t="s">
        <v>168</v>
      </c>
      <c r="KQB136" s="369">
        <v>0.5</v>
      </c>
      <c r="KQC136" s="370" t="e">
        <f>10/KPY134</f>
        <v>#DIV/0!</v>
      </c>
      <c r="KQD136" s="371">
        <v>15.38</v>
      </c>
      <c r="KQE136" s="371" t="e">
        <f>KQB136*KQC136*KQD136</f>
        <v>#DIV/0!</v>
      </c>
      <c r="KQF136" s="367" t="s">
        <v>206</v>
      </c>
      <c r="KQG136" s="367"/>
      <c r="KQH136" s="367"/>
      <c r="KQI136" s="368" t="s">
        <v>168</v>
      </c>
      <c r="KQJ136" s="369">
        <v>0.5</v>
      </c>
      <c r="KQK136" s="370" t="e">
        <f>10/KQG134</f>
        <v>#DIV/0!</v>
      </c>
      <c r="KQL136" s="371">
        <v>15.38</v>
      </c>
      <c r="KQM136" s="371" t="e">
        <f>KQJ136*KQK136*KQL136</f>
        <v>#DIV/0!</v>
      </c>
      <c r="KQN136" s="367" t="s">
        <v>206</v>
      </c>
      <c r="KQO136" s="367"/>
      <c r="KQP136" s="367"/>
      <c r="KQQ136" s="368" t="s">
        <v>168</v>
      </c>
      <c r="KQR136" s="369">
        <v>0.5</v>
      </c>
      <c r="KQS136" s="370" t="e">
        <f>10/KQO134</f>
        <v>#DIV/0!</v>
      </c>
      <c r="KQT136" s="371">
        <v>15.38</v>
      </c>
      <c r="KQU136" s="371" t="e">
        <f>KQR136*KQS136*KQT136</f>
        <v>#DIV/0!</v>
      </c>
      <c r="KQV136" s="367" t="s">
        <v>206</v>
      </c>
      <c r="KQW136" s="367"/>
      <c r="KQX136" s="367"/>
      <c r="KQY136" s="368" t="s">
        <v>168</v>
      </c>
      <c r="KQZ136" s="369">
        <v>0.5</v>
      </c>
      <c r="KRA136" s="370" t="e">
        <f>10/KQW134</f>
        <v>#DIV/0!</v>
      </c>
      <c r="KRB136" s="371">
        <v>15.38</v>
      </c>
      <c r="KRC136" s="371" t="e">
        <f>KQZ136*KRA136*KRB136</f>
        <v>#DIV/0!</v>
      </c>
      <c r="KRD136" s="367" t="s">
        <v>206</v>
      </c>
      <c r="KRE136" s="367"/>
      <c r="KRF136" s="367"/>
      <c r="KRG136" s="368" t="s">
        <v>168</v>
      </c>
      <c r="KRH136" s="369">
        <v>0.5</v>
      </c>
      <c r="KRI136" s="370" t="e">
        <f>10/KRE134</f>
        <v>#DIV/0!</v>
      </c>
      <c r="KRJ136" s="371">
        <v>15.38</v>
      </c>
      <c r="KRK136" s="371" t="e">
        <f>KRH136*KRI136*KRJ136</f>
        <v>#DIV/0!</v>
      </c>
      <c r="KRL136" s="367" t="s">
        <v>206</v>
      </c>
      <c r="KRM136" s="367"/>
      <c r="KRN136" s="367"/>
      <c r="KRO136" s="368" t="s">
        <v>168</v>
      </c>
      <c r="KRP136" s="369">
        <v>0.5</v>
      </c>
      <c r="KRQ136" s="370" t="e">
        <f>10/KRM134</f>
        <v>#DIV/0!</v>
      </c>
      <c r="KRR136" s="371">
        <v>15.38</v>
      </c>
      <c r="KRS136" s="371" t="e">
        <f>KRP136*KRQ136*KRR136</f>
        <v>#DIV/0!</v>
      </c>
      <c r="KRT136" s="367" t="s">
        <v>206</v>
      </c>
      <c r="KRU136" s="367"/>
      <c r="KRV136" s="367"/>
      <c r="KRW136" s="368" t="s">
        <v>168</v>
      </c>
      <c r="KRX136" s="369">
        <v>0.5</v>
      </c>
      <c r="KRY136" s="370" t="e">
        <f>10/KRU134</f>
        <v>#DIV/0!</v>
      </c>
      <c r="KRZ136" s="371">
        <v>15.38</v>
      </c>
      <c r="KSA136" s="371" t="e">
        <f>KRX136*KRY136*KRZ136</f>
        <v>#DIV/0!</v>
      </c>
      <c r="KSB136" s="367" t="s">
        <v>206</v>
      </c>
      <c r="KSC136" s="367"/>
      <c r="KSD136" s="367"/>
      <c r="KSE136" s="368" t="s">
        <v>168</v>
      </c>
      <c r="KSF136" s="369">
        <v>0.5</v>
      </c>
      <c r="KSG136" s="370" t="e">
        <f>10/KSC134</f>
        <v>#DIV/0!</v>
      </c>
      <c r="KSH136" s="371">
        <v>15.38</v>
      </c>
      <c r="KSI136" s="371" t="e">
        <f>KSF136*KSG136*KSH136</f>
        <v>#DIV/0!</v>
      </c>
      <c r="KSJ136" s="367" t="s">
        <v>206</v>
      </c>
      <c r="KSK136" s="367"/>
      <c r="KSL136" s="367"/>
      <c r="KSM136" s="368" t="s">
        <v>168</v>
      </c>
      <c r="KSN136" s="369">
        <v>0.5</v>
      </c>
      <c r="KSO136" s="370" t="e">
        <f>10/KSK134</f>
        <v>#DIV/0!</v>
      </c>
      <c r="KSP136" s="371">
        <v>15.38</v>
      </c>
      <c r="KSQ136" s="371" t="e">
        <f>KSN136*KSO136*KSP136</f>
        <v>#DIV/0!</v>
      </c>
      <c r="KSR136" s="367" t="s">
        <v>206</v>
      </c>
      <c r="KSS136" s="367"/>
      <c r="KST136" s="367"/>
      <c r="KSU136" s="368" t="s">
        <v>168</v>
      </c>
      <c r="KSV136" s="369">
        <v>0.5</v>
      </c>
      <c r="KSW136" s="370" t="e">
        <f>10/KSS134</f>
        <v>#DIV/0!</v>
      </c>
      <c r="KSX136" s="371">
        <v>15.38</v>
      </c>
      <c r="KSY136" s="371" t="e">
        <f>KSV136*KSW136*KSX136</f>
        <v>#DIV/0!</v>
      </c>
      <c r="KSZ136" s="367" t="s">
        <v>206</v>
      </c>
      <c r="KTA136" s="367"/>
      <c r="KTB136" s="367"/>
      <c r="KTC136" s="368" t="s">
        <v>168</v>
      </c>
      <c r="KTD136" s="369">
        <v>0.5</v>
      </c>
      <c r="KTE136" s="370" t="e">
        <f>10/KTA134</f>
        <v>#DIV/0!</v>
      </c>
      <c r="KTF136" s="371">
        <v>15.38</v>
      </c>
      <c r="KTG136" s="371" t="e">
        <f>KTD136*KTE136*KTF136</f>
        <v>#DIV/0!</v>
      </c>
      <c r="KTH136" s="367" t="s">
        <v>206</v>
      </c>
      <c r="KTI136" s="367"/>
      <c r="KTJ136" s="367"/>
      <c r="KTK136" s="368" t="s">
        <v>168</v>
      </c>
      <c r="KTL136" s="369">
        <v>0.5</v>
      </c>
      <c r="KTM136" s="370" t="e">
        <f>10/KTI134</f>
        <v>#DIV/0!</v>
      </c>
      <c r="KTN136" s="371">
        <v>15.38</v>
      </c>
      <c r="KTO136" s="371" t="e">
        <f>KTL136*KTM136*KTN136</f>
        <v>#DIV/0!</v>
      </c>
      <c r="KTP136" s="367" t="s">
        <v>206</v>
      </c>
      <c r="KTQ136" s="367"/>
      <c r="KTR136" s="367"/>
      <c r="KTS136" s="368" t="s">
        <v>168</v>
      </c>
      <c r="KTT136" s="369">
        <v>0.5</v>
      </c>
      <c r="KTU136" s="370" t="e">
        <f>10/KTQ134</f>
        <v>#DIV/0!</v>
      </c>
      <c r="KTV136" s="371">
        <v>15.38</v>
      </c>
      <c r="KTW136" s="371" t="e">
        <f>KTT136*KTU136*KTV136</f>
        <v>#DIV/0!</v>
      </c>
      <c r="KTX136" s="367" t="s">
        <v>206</v>
      </c>
      <c r="KTY136" s="367"/>
      <c r="KTZ136" s="367"/>
      <c r="KUA136" s="368" t="s">
        <v>168</v>
      </c>
      <c r="KUB136" s="369">
        <v>0.5</v>
      </c>
      <c r="KUC136" s="370" t="e">
        <f>10/KTY134</f>
        <v>#DIV/0!</v>
      </c>
      <c r="KUD136" s="371">
        <v>15.38</v>
      </c>
      <c r="KUE136" s="371" t="e">
        <f>KUB136*KUC136*KUD136</f>
        <v>#DIV/0!</v>
      </c>
      <c r="KUF136" s="367" t="s">
        <v>206</v>
      </c>
      <c r="KUG136" s="367"/>
      <c r="KUH136" s="367"/>
      <c r="KUI136" s="368" t="s">
        <v>168</v>
      </c>
      <c r="KUJ136" s="369">
        <v>0.5</v>
      </c>
      <c r="KUK136" s="370" t="e">
        <f>10/KUG134</f>
        <v>#DIV/0!</v>
      </c>
      <c r="KUL136" s="371">
        <v>15.38</v>
      </c>
      <c r="KUM136" s="371" t="e">
        <f>KUJ136*KUK136*KUL136</f>
        <v>#DIV/0!</v>
      </c>
      <c r="KUN136" s="367" t="s">
        <v>206</v>
      </c>
      <c r="KUO136" s="367"/>
      <c r="KUP136" s="367"/>
      <c r="KUQ136" s="368" t="s">
        <v>168</v>
      </c>
      <c r="KUR136" s="369">
        <v>0.5</v>
      </c>
      <c r="KUS136" s="370" t="e">
        <f>10/KUO134</f>
        <v>#DIV/0!</v>
      </c>
      <c r="KUT136" s="371">
        <v>15.38</v>
      </c>
      <c r="KUU136" s="371" t="e">
        <f>KUR136*KUS136*KUT136</f>
        <v>#DIV/0!</v>
      </c>
      <c r="KUV136" s="367" t="s">
        <v>206</v>
      </c>
      <c r="KUW136" s="367"/>
      <c r="KUX136" s="367"/>
      <c r="KUY136" s="368" t="s">
        <v>168</v>
      </c>
      <c r="KUZ136" s="369">
        <v>0.5</v>
      </c>
      <c r="KVA136" s="370" t="e">
        <f>10/KUW134</f>
        <v>#DIV/0!</v>
      </c>
      <c r="KVB136" s="371">
        <v>15.38</v>
      </c>
      <c r="KVC136" s="371" t="e">
        <f>KUZ136*KVA136*KVB136</f>
        <v>#DIV/0!</v>
      </c>
      <c r="KVD136" s="367" t="s">
        <v>206</v>
      </c>
      <c r="KVE136" s="367"/>
      <c r="KVF136" s="367"/>
      <c r="KVG136" s="368" t="s">
        <v>168</v>
      </c>
      <c r="KVH136" s="369">
        <v>0.5</v>
      </c>
      <c r="KVI136" s="370" t="e">
        <f>10/KVE134</f>
        <v>#DIV/0!</v>
      </c>
      <c r="KVJ136" s="371">
        <v>15.38</v>
      </c>
      <c r="KVK136" s="371" t="e">
        <f>KVH136*KVI136*KVJ136</f>
        <v>#DIV/0!</v>
      </c>
      <c r="KVL136" s="367" t="s">
        <v>206</v>
      </c>
      <c r="KVM136" s="367"/>
      <c r="KVN136" s="367"/>
      <c r="KVO136" s="368" t="s">
        <v>168</v>
      </c>
      <c r="KVP136" s="369">
        <v>0.5</v>
      </c>
      <c r="KVQ136" s="370" t="e">
        <f>10/KVM134</f>
        <v>#DIV/0!</v>
      </c>
      <c r="KVR136" s="371">
        <v>15.38</v>
      </c>
      <c r="KVS136" s="371" t="e">
        <f>KVP136*KVQ136*KVR136</f>
        <v>#DIV/0!</v>
      </c>
      <c r="KVT136" s="367" t="s">
        <v>206</v>
      </c>
      <c r="KVU136" s="367"/>
      <c r="KVV136" s="367"/>
      <c r="KVW136" s="368" t="s">
        <v>168</v>
      </c>
      <c r="KVX136" s="369">
        <v>0.5</v>
      </c>
      <c r="KVY136" s="370" t="e">
        <f>10/KVU134</f>
        <v>#DIV/0!</v>
      </c>
      <c r="KVZ136" s="371">
        <v>15.38</v>
      </c>
      <c r="KWA136" s="371" t="e">
        <f>KVX136*KVY136*KVZ136</f>
        <v>#DIV/0!</v>
      </c>
      <c r="KWB136" s="367" t="s">
        <v>206</v>
      </c>
      <c r="KWC136" s="367"/>
      <c r="KWD136" s="367"/>
      <c r="KWE136" s="368" t="s">
        <v>168</v>
      </c>
      <c r="KWF136" s="369">
        <v>0.5</v>
      </c>
      <c r="KWG136" s="370" t="e">
        <f>10/KWC134</f>
        <v>#DIV/0!</v>
      </c>
      <c r="KWH136" s="371">
        <v>15.38</v>
      </c>
      <c r="KWI136" s="371" t="e">
        <f>KWF136*KWG136*KWH136</f>
        <v>#DIV/0!</v>
      </c>
      <c r="KWJ136" s="367" t="s">
        <v>206</v>
      </c>
      <c r="KWK136" s="367"/>
      <c r="KWL136" s="367"/>
      <c r="KWM136" s="368" t="s">
        <v>168</v>
      </c>
      <c r="KWN136" s="369">
        <v>0.5</v>
      </c>
      <c r="KWO136" s="370" t="e">
        <f>10/KWK134</f>
        <v>#DIV/0!</v>
      </c>
      <c r="KWP136" s="371">
        <v>15.38</v>
      </c>
      <c r="KWQ136" s="371" t="e">
        <f>KWN136*KWO136*KWP136</f>
        <v>#DIV/0!</v>
      </c>
      <c r="KWR136" s="367" t="s">
        <v>206</v>
      </c>
      <c r="KWS136" s="367"/>
      <c r="KWT136" s="367"/>
      <c r="KWU136" s="368" t="s">
        <v>168</v>
      </c>
      <c r="KWV136" s="369">
        <v>0.5</v>
      </c>
      <c r="KWW136" s="370" t="e">
        <f>10/KWS134</f>
        <v>#DIV/0!</v>
      </c>
      <c r="KWX136" s="371">
        <v>15.38</v>
      </c>
      <c r="KWY136" s="371" t="e">
        <f>KWV136*KWW136*KWX136</f>
        <v>#DIV/0!</v>
      </c>
      <c r="KWZ136" s="367" t="s">
        <v>206</v>
      </c>
      <c r="KXA136" s="367"/>
      <c r="KXB136" s="367"/>
      <c r="KXC136" s="368" t="s">
        <v>168</v>
      </c>
      <c r="KXD136" s="369">
        <v>0.5</v>
      </c>
      <c r="KXE136" s="370" t="e">
        <f>10/KXA134</f>
        <v>#DIV/0!</v>
      </c>
      <c r="KXF136" s="371">
        <v>15.38</v>
      </c>
      <c r="KXG136" s="371" t="e">
        <f>KXD136*KXE136*KXF136</f>
        <v>#DIV/0!</v>
      </c>
      <c r="KXH136" s="367" t="s">
        <v>206</v>
      </c>
      <c r="KXI136" s="367"/>
      <c r="KXJ136" s="367"/>
      <c r="KXK136" s="368" t="s">
        <v>168</v>
      </c>
      <c r="KXL136" s="369">
        <v>0.5</v>
      </c>
      <c r="KXM136" s="370" t="e">
        <f>10/KXI134</f>
        <v>#DIV/0!</v>
      </c>
      <c r="KXN136" s="371">
        <v>15.38</v>
      </c>
      <c r="KXO136" s="371" t="e">
        <f>KXL136*KXM136*KXN136</f>
        <v>#DIV/0!</v>
      </c>
      <c r="KXP136" s="367" t="s">
        <v>206</v>
      </c>
      <c r="KXQ136" s="367"/>
      <c r="KXR136" s="367"/>
      <c r="KXS136" s="368" t="s">
        <v>168</v>
      </c>
      <c r="KXT136" s="369">
        <v>0.5</v>
      </c>
      <c r="KXU136" s="370" t="e">
        <f>10/KXQ134</f>
        <v>#DIV/0!</v>
      </c>
      <c r="KXV136" s="371">
        <v>15.38</v>
      </c>
      <c r="KXW136" s="371" t="e">
        <f>KXT136*KXU136*KXV136</f>
        <v>#DIV/0!</v>
      </c>
      <c r="KXX136" s="367" t="s">
        <v>206</v>
      </c>
      <c r="KXY136" s="367"/>
      <c r="KXZ136" s="367"/>
      <c r="KYA136" s="368" t="s">
        <v>168</v>
      </c>
      <c r="KYB136" s="369">
        <v>0.5</v>
      </c>
      <c r="KYC136" s="370" t="e">
        <f>10/KXY134</f>
        <v>#DIV/0!</v>
      </c>
      <c r="KYD136" s="371">
        <v>15.38</v>
      </c>
      <c r="KYE136" s="371" t="e">
        <f>KYB136*KYC136*KYD136</f>
        <v>#DIV/0!</v>
      </c>
      <c r="KYF136" s="367" t="s">
        <v>206</v>
      </c>
      <c r="KYG136" s="367"/>
      <c r="KYH136" s="367"/>
      <c r="KYI136" s="368" t="s">
        <v>168</v>
      </c>
      <c r="KYJ136" s="369">
        <v>0.5</v>
      </c>
      <c r="KYK136" s="370" t="e">
        <f>10/KYG134</f>
        <v>#DIV/0!</v>
      </c>
      <c r="KYL136" s="371">
        <v>15.38</v>
      </c>
      <c r="KYM136" s="371" t="e">
        <f>KYJ136*KYK136*KYL136</f>
        <v>#DIV/0!</v>
      </c>
      <c r="KYN136" s="367" t="s">
        <v>206</v>
      </c>
      <c r="KYO136" s="367"/>
      <c r="KYP136" s="367"/>
      <c r="KYQ136" s="368" t="s">
        <v>168</v>
      </c>
      <c r="KYR136" s="369">
        <v>0.5</v>
      </c>
      <c r="KYS136" s="370" t="e">
        <f>10/KYO134</f>
        <v>#DIV/0!</v>
      </c>
      <c r="KYT136" s="371">
        <v>15.38</v>
      </c>
      <c r="KYU136" s="371" t="e">
        <f>KYR136*KYS136*KYT136</f>
        <v>#DIV/0!</v>
      </c>
      <c r="KYV136" s="367" t="s">
        <v>206</v>
      </c>
      <c r="KYW136" s="367"/>
      <c r="KYX136" s="367"/>
      <c r="KYY136" s="368" t="s">
        <v>168</v>
      </c>
      <c r="KYZ136" s="369">
        <v>0.5</v>
      </c>
      <c r="KZA136" s="370" t="e">
        <f>10/KYW134</f>
        <v>#DIV/0!</v>
      </c>
      <c r="KZB136" s="371">
        <v>15.38</v>
      </c>
      <c r="KZC136" s="371" t="e">
        <f>KYZ136*KZA136*KZB136</f>
        <v>#DIV/0!</v>
      </c>
      <c r="KZD136" s="367" t="s">
        <v>206</v>
      </c>
      <c r="KZE136" s="367"/>
      <c r="KZF136" s="367"/>
      <c r="KZG136" s="368" t="s">
        <v>168</v>
      </c>
      <c r="KZH136" s="369">
        <v>0.5</v>
      </c>
      <c r="KZI136" s="370" t="e">
        <f>10/KZE134</f>
        <v>#DIV/0!</v>
      </c>
      <c r="KZJ136" s="371">
        <v>15.38</v>
      </c>
      <c r="KZK136" s="371" t="e">
        <f>KZH136*KZI136*KZJ136</f>
        <v>#DIV/0!</v>
      </c>
      <c r="KZL136" s="367" t="s">
        <v>206</v>
      </c>
      <c r="KZM136" s="367"/>
      <c r="KZN136" s="367"/>
      <c r="KZO136" s="368" t="s">
        <v>168</v>
      </c>
      <c r="KZP136" s="369">
        <v>0.5</v>
      </c>
      <c r="KZQ136" s="370" t="e">
        <f>10/KZM134</f>
        <v>#DIV/0!</v>
      </c>
      <c r="KZR136" s="371">
        <v>15.38</v>
      </c>
      <c r="KZS136" s="371" t="e">
        <f>KZP136*KZQ136*KZR136</f>
        <v>#DIV/0!</v>
      </c>
      <c r="KZT136" s="367" t="s">
        <v>206</v>
      </c>
      <c r="KZU136" s="367"/>
      <c r="KZV136" s="367"/>
      <c r="KZW136" s="368" t="s">
        <v>168</v>
      </c>
      <c r="KZX136" s="369">
        <v>0.5</v>
      </c>
      <c r="KZY136" s="370" t="e">
        <f>10/KZU134</f>
        <v>#DIV/0!</v>
      </c>
      <c r="KZZ136" s="371">
        <v>15.38</v>
      </c>
      <c r="LAA136" s="371" t="e">
        <f>KZX136*KZY136*KZZ136</f>
        <v>#DIV/0!</v>
      </c>
      <c r="LAB136" s="367" t="s">
        <v>206</v>
      </c>
      <c r="LAC136" s="367"/>
      <c r="LAD136" s="367"/>
      <c r="LAE136" s="368" t="s">
        <v>168</v>
      </c>
      <c r="LAF136" s="369">
        <v>0.5</v>
      </c>
      <c r="LAG136" s="370" t="e">
        <f>10/LAC134</f>
        <v>#DIV/0!</v>
      </c>
      <c r="LAH136" s="371">
        <v>15.38</v>
      </c>
      <c r="LAI136" s="371" t="e">
        <f>LAF136*LAG136*LAH136</f>
        <v>#DIV/0!</v>
      </c>
      <c r="LAJ136" s="367" t="s">
        <v>206</v>
      </c>
      <c r="LAK136" s="367"/>
      <c r="LAL136" s="367"/>
      <c r="LAM136" s="368" t="s">
        <v>168</v>
      </c>
      <c r="LAN136" s="369">
        <v>0.5</v>
      </c>
      <c r="LAO136" s="370" t="e">
        <f>10/LAK134</f>
        <v>#DIV/0!</v>
      </c>
      <c r="LAP136" s="371">
        <v>15.38</v>
      </c>
      <c r="LAQ136" s="371" t="e">
        <f>LAN136*LAO136*LAP136</f>
        <v>#DIV/0!</v>
      </c>
      <c r="LAR136" s="367" t="s">
        <v>206</v>
      </c>
      <c r="LAS136" s="367"/>
      <c r="LAT136" s="367"/>
      <c r="LAU136" s="368" t="s">
        <v>168</v>
      </c>
      <c r="LAV136" s="369">
        <v>0.5</v>
      </c>
      <c r="LAW136" s="370" t="e">
        <f>10/LAS134</f>
        <v>#DIV/0!</v>
      </c>
      <c r="LAX136" s="371">
        <v>15.38</v>
      </c>
      <c r="LAY136" s="371" t="e">
        <f>LAV136*LAW136*LAX136</f>
        <v>#DIV/0!</v>
      </c>
      <c r="LAZ136" s="367" t="s">
        <v>206</v>
      </c>
      <c r="LBA136" s="367"/>
      <c r="LBB136" s="367"/>
      <c r="LBC136" s="368" t="s">
        <v>168</v>
      </c>
      <c r="LBD136" s="369">
        <v>0.5</v>
      </c>
      <c r="LBE136" s="370" t="e">
        <f>10/LBA134</f>
        <v>#DIV/0!</v>
      </c>
      <c r="LBF136" s="371">
        <v>15.38</v>
      </c>
      <c r="LBG136" s="371" t="e">
        <f>LBD136*LBE136*LBF136</f>
        <v>#DIV/0!</v>
      </c>
      <c r="LBH136" s="367" t="s">
        <v>206</v>
      </c>
      <c r="LBI136" s="367"/>
      <c r="LBJ136" s="367"/>
      <c r="LBK136" s="368" t="s">
        <v>168</v>
      </c>
      <c r="LBL136" s="369">
        <v>0.5</v>
      </c>
      <c r="LBM136" s="370" t="e">
        <f>10/LBI134</f>
        <v>#DIV/0!</v>
      </c>
      <c r="LBN136" s="371">
        <v>15.38</v>
      </c>
      <c r="LBO136" s="371" t="e">
        <f>LBL136*LBM136*LBN136</f>
        <v>#DIV/0!</v>
      </c>
      <c r="LBP136" s="367" t="s">
        <v>206</v>
      </c>
      <c r="LBQ136" s="367"/>
      <c r="LBR136" s="367"/>
      <c r="LBS136" s="368" t="s">
        <v>168</v>
      </c>
      <c r="LBT136" s="369">
        <v>0.5</v>
      </c>
      <c r="LBU136" s="370" t="e">
        <f>10/LBQ134</f>
        <v>#DIV/0!</v>
      </c>
      <c r="LBV136" s="371">
        <v>15.38</v>
      </c>
      <c r="LBW136" s="371" t="e">
        <f>LBT136*LBU136*LBV136</f>
        <v>#DIV/0!</v>
      </c>
      <c r="LBX136" s="367" t="s">
        <v>206</v>
      </c>
      <c r="LBY136" s="367"/>
      <c r="LBZ136" s="367"/>
      <c r="LCA136" s="368" t="s">
        <v>168</v>
      </c>
      <c r="LCB136" s="369">
        <v>0.5</v>
      </c>
      <c r="LCC136" s="370" t="e">
        <f>10/LBY134</f>
        <v>#DIV/0!</v>
      </c>
      <c r="LCD136" s="371">
        <v>15.38</v>
      </c>
      <c r="LCE136" s="371" t="e">
        <f>LCB136*LCC136*LCD136</f>
        <v>#DIV/0!</v>
      </c>
      <c r="LCF136" s="367" t="s">
        <v>206</v>
      </c>
      <c r="LCG136" s="367"/>
      <c r="LCH136" s="367"/>
      <c r="LCI136" s="368" t="s">
        <v>168</v>
      </c>
      <c r="LCJ136" s="369">
        <v>0.5</v>
      </c>
      <c r="LCK136" s="370" t="e">
        <f>10/LCG134</f>
        <v>#DIV/0!</v>
      </c>
      <c r="LCL136" s="371">
        <v>15.38</v>
      </c>
      <c r="LCM136" s="371" t="e">
        <f>LCJ136*LCK136*LCL136</f>
        <v>#DIV/0!</v>
      </c>
      <c r="LCN136" s="367" t="s">
        <v>206</v>
      </c>
      <c r="LCO136" s="367"/>
      <c r="LCP136" s="367"/>
      <c r="LCQ136" s="368" t="s">
        <v>168</v>
      </c>
      <c r="LCR136" s="369">
        <v>0.5</v>
      </c>
      <c r="LCS136" s="370" t="e">
        <f>10/LCO134</f>
        <v>#DIV/0!</v>
      </c>
      <c r="LCT136" s="371">
        <v>15.38</v>
      </c>
      <c r="LCU136" s="371" t="e">
        <f>LCR136*LCS136*LCT136</f>
        <v>#DIV/0!</v>
      </c>
      <c r="LCV136" s="367" t="s">
        <v>206</v>
      </c>
      <c r="LCW136" s="367"/>
      <c r="LCX136" s="367"/>
      <c r="LCY136" s="368" t="s">
        <v>168</v>
      </c>
      <c r="LCZ136" s="369">
        <v>0.5</v>
      </c>
      <c r="LDA136" s="370" t="e">
        <f>10/LCW134</f>
        <v>#DIV/0!</v>
      </c>
      <c r="LDB136" s="371">
        <v>15.38</v>
      </c>
      <c r="LDC136" s="371" t="e">
        <f>LCZ136*LDA136*LDB136</f>
        <v>#DIV/0!</v>
      </c>
      <c r="LDD136" s="367" t="s">
        <v>206</v>
      </c>
      <c r="LDE136" s="367"/>
      <c r="LDF136" s="367"/>
      <c r="LDG136" s="368" t="s">
        <v>168</v>
      </c>
      <c r="LDH136" s="369">
        <v>0.5</v>
      </c>
      <c r="LDI136" s="370" t="e">
        <f>10/LDE134</f>
        <v>#DIV/0!</v>
      </c>
      <c r="LDJ136" s="371">
        <v>15.38</v>
      </c>
      <c r="LDK136" s="371" t="e">
        <f>LDH136*LDI136*LDJ136</f>
        <v>#DIV/0!</v>
      </c>
      <c r="LDL136" s="367" t="s">
        <v>206</v>
      </c>
      <c r="LDM136" s="367"/>
      <c r="LDN136" s="367"/>
      <c r="LDO136" s="368" t="s">
        <v>168</v>
      </c>
      <c r="LDP136" s="369">
        <v>0.5</v>
      </c>
      <c r="LDQ136" s="370" t="e">
        <f>10/LDM134</f>
        <v>#DIV/0!</v>
      </c>
      <c r="LDR136" s="371">
        <v>15.38</v>
      </c>
      <c r="LDS136" s="371" t="e">
        <f>LDP136*LDQ136*LDR136</f>
        <v>#DIV/0!</v>
      </c>
      <c r="LDT136" s="367" t="s">
        <v>206</v>
      </c>
      <c r="LDU136" s="367"/>
      <c r="LDV136" s="367"/>
      <c r="LDW136" s="368" t="s">
        <v>168</v>
      </c>
      <c r="LDX136" s="369">
        <v>0.5</v>
      </c>
      <c r="LDY136" s="370" t="e">
        <f>10/LDU134</f>
        <v>#DIV/0!</v>
      </c>
      <c r="LDZ136" s="371">
        <v>15.38</v>
      </c>
      <c r="LEA136" s="371" t="e">
        <f>LDX136*LDY136*LDZ136</f>
        <v>#DIV/0!</v>
      </c>
      <c r="LEB136" s="367" t="s">
        <v>206</v>
      </c>
      <c r="LEC136" s="367"/>
      <c r="LED136" s="367"/>
      <c r="LEE136" s="368" t="s">
        <v>168</v>
      </c>
      <c r="LEF136" s="369">
        <v>0.5</v>
      </c>
      <c r="LEG136" s="370" t="e">
        <f>10/LEC134</f>
        <v>#DIV/0!</v>
      </c>
      <c r="LEH136" s="371">
        <v>15.38</v>
      </c>
      <c r="LEI136" s="371" t="e">
        <f>LEF136*LEG136*LEH136</f>
        <v>#DIV/0!</v>
      </c>
      <c r="LEJ136" s="367" t="s">
        <v>206</v>
      </c>
      <c r="LEK136" s="367"/>
      <c r="LEL136" s="367"/>
      <c r="LEM136" s="368" t="s">
        <v>168</v>
      </c>
      <c r="LEN136" s="369">
        <v>0.5</v>
      </c>
      <c r="LEO136" s="370" t="e">
        <f>10/LEK134</f>
        <v>#DIV/0!</v>
      </c>
      <c r="LEP136" s="371">
        <v>15.38</v>
      </c>
      <c r="LEQ136" s="371" t="e">
        <f>LEN136*LEO136*LEP136</f>
        <v>#DIV/0!</v>
      </c>
      <c r="LER136" s="367" t="s">
        <v>206</v>
      </c>
      <c r="LES136" s="367"/>
      <c r="LET136" s="367"/>
      <c r="LEU136" s="368" t="s">
        <v>168</v>
      </c>
      <c r="LEV136" s="369">
        <v>0.5</v>
      </c>
      <c r="LEW136" s="370" t="e">
        <f>10/LES134</f>
        <v>#DIV/0!</v>
      </c>
      <c r="LEX136" s="371">
        <v>15.38</v>
      </c>
      <c r="LEY136" s="371" t="e">
        <f>LEV136*LEW136*LEX136</f>
        <v>#DIV/0!</v>
      </c>
      <c r="LEZ136" s="367" t="s">
        <v>206</v>
      </c>
      <c r="LFA136" s="367"/>
      <c r="LFB136" s="367"/>
      <c r="LFC136" s="368" t="s">
        <v>168</v>
      </c>
      <c r="LFD136" s="369">
        <v>0.5</v>
      </c>
      <c r="LFE136" s="370" t="e">
        <f>10/LFA134</f>
        <v>#DIV/0!</v>
      </c>
      <c r="LFF136" s="371">
        <v>15.38</v>
      </c>
      <c r="LFG136" s="371" t="e">
        <f>LFD136*LFE136*LFF136</f>
        <v>#DIV/0!</v>
      </c>
      <c r="LFH136" s="367" t="s">
        <v>206</v>
      </c>
      <c r="LFI136" s="367"/>
      <c r="LFJ136" s="367"/>
      <c r="LFK136" s="368" t="s">
        <v>168</v>
      </c>
      <c r="LFL136" s="369">
        <v>0.5</v>
      </c>
      <c r="LFM136" s="370" t="e">
        <f>10/LFI134</f>
        <v>#DIV/0!</v>
      </c>
      <c r="LFN136" s="371">
        <v>15.38</v>
      </c>
      <c r="LFO136" s="371" t="e">
        <f>LFL136*LFM136*LFN136</f>
        <v>#DIV/0!</v>
      </c>
      <c r="LFP136" s="367" t="s">
        <v>206</v>
      </c>
      <c r="LFQ136" s="367"/>
      <c r="LFR136" s="367"/>
      <c r="LFS136" s="368" t="s">
        <v>168</v>
      </c>
      <c r="LFT136" s="369">
        <v>0.5</v>
      </c>
      <c r="LFU136" s="370" t="e">
        <f>10/LFQ134</f>
        <v>#DIV/0!</v>
      </c>
      <c r="LFV136" s="371">
        <v>15.38</v>
      </c>
      <c r="LFW136" s="371" t="e">
        <f>LFT136*LFU136*LFV136</f>
        <v>#DIV/0!</v>
      </c>
      <c r="LFX136" s="367" t="s">
        <v>206</v>
      </c>
      <c r="LFY136" s="367"/>
      <c r="LFZ136" s="367"/>
      <c r="LGA136" s="368" t="s">
        <v>168</v>
      </c>
      <c r="LGB136" s="369">
        <v>0.5</v>
      </c>
      <c r="LGC136" s="370" t="e">
        <f>10/LFY134</f>
        <v>#DIV/0!</v>
      </c>
      <c r="LGD136" s="371">
        <v>15.38</v>
      </c>
      <c r="LGE136" s="371" t="e">
        <f>LGB136*LGC136*LGD136</f>
        <v>#DIV/0!</v>
      </c>
      <c r="LGF136" s="367" t="s">
        <v>206</v>
      </c>
      <c r="LGG136" s="367"/>
      <c r="LGH136" s="367"/>
      <c r="LGI136" s="368" t="s">
        <v>168</v>
      </c>
      <c r="LGJ136" s="369">
        <v>0.5</v>
      </c>
      <c r="LGK136" s="370" t="e">
        <f>10/LGG134</f>
        <v>#DIV/0!</v>
      </c>
      <c r="LGL136" s="371">
        <v>15.38</v>
      </c>
      <c r="LGM136" s="371" t="e">
        <f>LGJ136*LGK136*LGL136</f>
        <v>#DIV/0!</v>
      </c>
      <c r="LGN136" s="367" t="s">
        <v>206</v>
      </c>
      <c r="LGO136" s="367"/>
      <c r="LGP136" s="367"/>
      <c r="LGQ136" s="368" t="s">
        <v>168</v>
      </c>
      <c r="LGR136" s="369">
        <v>0.5</v>
      </c>
      <c r="LGS136" s="370" t="e">
        <f>10/LGO134</f>
        <v>#DIV/0!</v>
      </c>
      <c r="LGT136" s="371">
        <v>15.38</v>
      </c>
      <c r="LGU136" s="371" t="e">
        <f>LGR136*LGS136*LGT136</f>
        <v>#DIV/0!</v>
      </c>
      <c r="LGV136" s="367" t="s">
        <v>206</v>
      </c>
      <c r="LGW136" s="367"/>
      <c r="LGX136" s="367"/>
      <c r="LGY136" s="368" t="s">
        <v>168</v>
      </c>
      <c r="LGZ136" s="369">
        <v>0.5</v>
      </c>
      <c r="LHA136" s="370" t="e">
        <f>10/LGW134</f>
        <v>#DIV/0!</v>
      </c>
      <c r="LHB136" s="371">
        <v>15.38</v>
      </c>
      <c r="LHC136" s="371" t="e">
        <f>LGZ136*LHA136*LHB136</f>
        <v>#DIV/0!</v>
      </c>
      <c r="LHD136" s="367" t="s">
        <v>206</v>
      </c>
      <c r="LHE136" s="367"/>
      <c r="LHF136" s="367"/>
      <c r="LHG136" s="368" t="s">
        <v>168</v>
      </c>
      <c r="LHH136" s="369">
        <v>0.5</v>
      </c>
      <c r="LHI136" s="370" t="e">
        <f>10/LHE134</f>
        <v>#DIV/0!</v>
      </c>
      <c r="LHJ136" s="371">
        <v>15.38</v>
      </c>
      <c r="LHK136" s="371" t="e">
        <f>LHH136*LHI136*LHJ136</f>
        <v>#DIV/0!</v>
      </c>
      <c r="LHL136" s="367" t="s">
        <v>206</v>
      </c>
      <c r="LHM136" s="367"/>
      <c r="LHN136" s="367"/>
      <c r="LHO136" s="368" t="s">
        <v>168</v>
      </c>
      <c r="LHP136" s="369">
        <v>0.5</v>
      </c>
      <c r="LHQ136" s="370" t="e">
        <f>10/LHM134</f>
        <v>#DIV/0!</v>
      </c>
      <c r="LHR136" s="371">
        <v>15.38</v>
      </c>
      <c r="LHS136" s="371" t="e">
        <f>LHP136*LHQ136*LHR136</f>
        <v>#DIV/0!</v>
      </c>
      <c r="LHT136" s="367" t="s">
        <v>206</v>
      </c>
      <c r="LHU136" s="367"/>
      <c r="LHV136" s="367"/>
      <c r="LHW136" s="368" t="s">
        <v>168</v>
      </c>
      <c r="LHX136" s="369">
        <v>0.5</v>
      </c>
      <c r="LHY136" s="370" t="e">
        <f>10/LHU134</f>
        <v>#DIV/0!</v>
      </c>
      <c r="LHZ136" s="371">
        <v>15.38</v>
      </c>
      <c r="LIA136" s="371" t="e">
        <f>LHX136*LHY136*LHZ136</f>
        <v>#DIV/0!</v>
      </c>
      <c r="LIB136" s="367" t="s">
        <v>206</v>
      </c>
      <c r="LIC136" s="367"/>
      <c r="LID136" s="367"/>
      <c r="LIE136" s="368" t="s">
        <v>168</v>
      </c>
      <c r="LIF136" s="369">
        <v>0.5</v>
      </c>
      <c r="LIG136" s="370" t="e">
        <f>10/LIC134</f>
        <v>#DIV/0!</v>
      </c>
      <c r="LIH136" s="371">
        <v>15.38</v>
      </c>
      <c r="LII136" s="371" t="e">
        <f>LIF136*LIG136*LIH136</f>
        <v>#DIV/0!</v>
      </c>
      <c r="LIJ136" s="367" t="s">
        <v>206</v>
      </c>
      <c r="LIK136" s="367"/>
      <c r="LIL136" s="367"/>
      <c r="LIM136" s="368" t="s">
        <v>168</v>
      </c>
      <c r="LIN136" s="369">
        <v>0.5</v>
      </c>
      <c r="LIO136" s="370" t="e">
        <f>10/LIK134</f>
        <v>#DIV/0!</v>
      </c>
      <c r="LIP136" s="371">
        <v>15.38</v>
      </c>
      <c r="LIQ136" s="371" t="e">
        <f>LIN136*LIO136*LIP136</f>
        <v>#DIV/0!</v>
      </c>
      <c r="LIR136" s="367" t="s">
        <v>206</v>
      </c>
      <c r="LIS136" s="367"/>
      <c r="LIT136" s="367"/>
      <c r="LIU136" s="368" t="s">
        <v>168</v>
      </c>
      <c r="LIV136" s="369">
        <v>0.5</v>
      </c>
      <c r="LIW136" s="370" t="e">
        <f>10/LIS134</f>
        <v>#DIV/0!</v>
      </c>
      <c r="LIX136" s="371">
        <v>15.38</v>
      </c>
      <c r="LIY136" s="371" t="e">
        <f>LIV136*LIW136*LIX136</f>
        <v>#DIV/0!</v>
      </c>
      <c r="LIZ136" s="367" t="s">
        <v>206</v>
      </c>
      <c r="LJA136" s="367"/>
      <c r="LJB136" s="367"/>
      <c r="LJC136" s="368" t="s">
        <v>168</v>
      </c>
      <c r="LJD136" s="369">
        <v>0.5</v>
      </c>
      <c r="LJE136" s="370" t="e">
        <f>10/LJA134</f>
        <v>#DIV/0!</v>
      </c>
      <c r="LJF136" s="371">
        <v>15.38</v>
      </c>
      <c r="LJG136" s="371" t="e">
        <f>LJD136*LJE136*LJF136</f>
        <v>#DIV/0!</v>
      </c>
      <c r="LJH136" s="367" t="s">
        <v>206</v>
      </c>
      <c r="LJI136" s="367"/>
      <c r="LJJ136" s="367"/>
      <c r="LJK136" s="368" t="s">
        <v>168</v>
      </c>
      <c r="LJL136" s="369">
        <v>0.5</v>
      </c>
      <c r="LJM136" s="370" t="e">
        <f>10/LJI134</f>
        <v>#DIV/0!</v>
      </c>
      <c r="LJN136" s="371">
        <v>15.38</v>
      </c>
      <c r="LJO136" s="371" t="e">
        <f>LJL136*LJM136*LJN136</f>
        <v>#DIV/0!</v>
      </c>
      <c r="LJP136" s="367" t="s">
        <v>206</v>
      </c>
      <c r="LJQ136" s="367"/>
      <c r="LJR136" s="367"/>
      <c r="LJS136" s="368" t="s">
        <v>168</v>
      </c>
      <c r="LJT136" s="369">
        <v>0.5</v>
      </c>
      <c r="LJU136" s="370" t="e">
        <f>10/LJQ134</f>
        <v>#DIV/0!</v>
      </c>
      <c r="LJV136" s="371">
        <v>15.38</v>
      </c>
      <c r="LJW136" s="371" t="e">
        <f>LJT136*LJU136*LJV136</f>
        <v>#DIV/0!</v>
      </c>
      <c r="LJX136" s="367" t="s">
        <v>206</v>
      </c>
      <c r="LJY136" s="367"/>
      <c r="LJZ136" s="367"/>
      <c r="LKA136" s="368" t="s">
        <v>168</v>
      </c>
      <c r="LKB136" s="369">
        <v>0.5</v>
      </c>
      <c r="LKC136" s="370" t="e">
        <f>10/LJY134</f>
        <v>#DIV/0!</v>
      </c>
      <c r="LKD136" s="371">
        <v>15.38</v>
      </c>
      <c r="LKE136" s="371" t="e">
        <f>LKB136*LKC136*LKD136</f>
        <v>#DIV/0!</v>
      </c>
      <c r="LKF136" s="367" t="s">
        <v>206</v>
      </c>
      <c r="LKG136" s="367"/>
      <c r="LKH136" s="367"/>
      <c r="LKI136" s="368" t="s">
        <v>168</v>
      </c>
      <c r="LKJ136" s="369">
        <v>0.5</v>
      </c>
      <c r="LKK136" s="370" t="e">
        <f>10/LKG134</f>
        <v>#DIV/0!</v>
      </c>
      <c r="LKL136" s="371">
        <v>15.38</v>
      </c>
      <c r="LKM136" s="371" t="e">
        <f>LKJ136*LKK136*LKL136</f>
        <v>#DIV/0!</v>
      </c>
      <c r="LKN136" s="367" t="s">
        <v>206</v>
      </c>
      <c r="LKO136" s="367"/>
      <c r="LKP136" s="367"/>
      <c r="LKQ136" s="368" t="s">
        <v>168</v>
      </c>
      <c r="LKR136" s="369">
        <v>0.5</v>
      </c>
      <c r="LKS136" s="370" t="e">
        <f>10/LKO134</f>
        <v>#DIV/0!</v>
      </c>
      <c r="LKT136" s="371">
        <v>15.38</v>
      </c>
      <c r="LKU136" s="371" t="e">
        <f>LKR136*LKS136*LKT136</f>
        <v>#DIV/0!</v>
      </c>
      <c r="LKV136" s="367" t="s">
        <v>206</v>
      </c>
      <c r="LKW136" s="367"/>
      <c r="LKX136" s="367"/>
      <c r="LKY136" s="368" t="s">
        <v>168</v>
      </c>
      <c r="LKZ136" s="369">
        <v>0.5</v>
      </c>
      <c r="LLA136" s="370" t="e">
        <f>10/LKW134</f>
        <v>#DIV/0!</v>
      </c>
      <c r="LLB136" s="371">
        <v>15.38</v>
      </c>
      <c r="LLC136" s="371" t="e">
        <f>LKZ136*LLA136*LLB136</f>
        <v>#DIV/0!</v>
      </c>
      <c r="LLD136" s="367" t="s">
        <v>206</v>
      </c>
      <c r="LLE136" s="367"/>
      <c r="LLF136" s="367"/>
      <c r="LLG136" s="368" t="s">
        <v>168</v>
      </c>
      <c r="LLH136" s="369">
        <v>0.5</v>
      </c>
      <c r="LLI136" s="370" t="e">
        <f>10/LLE134</f>
        <v>#DIV/0!</v>
      </c>
      <c r="LLJ136" s="371">
        <v>15.38</v>
      </c>
      <c r="LLK136" s="371" t="e">
        <f>LLH136*LLI136*LLJ136</f>
        <v>#DIV/0!</v>
      </c>
      <c r="LLL136" s="367" t="s">
        <v>206</v>
      </c>
      <c r="LLM136" s="367"/>
      <c r="LLN136" s="367"/>
      <c r="LLO136" s="368" t="s">
        <v>168</v>
      </c>
      <c r="LLP136" s="369">
        <v>0.5</v>
      </c>
      <c r="LLQ136" s="370" t="e">
        <f>10/LLM134</f>
        <v>#DIV/0!</v>
      </c>
      <c r="LLR136" s="371">
        <v>15.38</v>
      </c>
      <c r="LLS136" s="371" t="e">
        <f>LLP136*LLQ136*LLR136</f>
        <v>#DIV/0!</v>
      </c>
      <c r="LLT136" s="367" t="s">
        <v>206</v>
      </c>
      <c r="LLU136" s="367"/>
      <c r="LLV136" s="367"/>
      <c r="LLW136" s="368" t="s">
        <v>168</v>
      </c>
      <c r="LLX136" s="369">
        <v>0.5</v>
      </c>
      <c r="LLY136" s="370" t="e">
        <f>10/LLU134</f>
        <v>#DIV/0!</v>
      </c>
      <c r="LLZ136" s="371">
        <v>15.38</v>
      </c>
      <c r="LMA136" s="371" t="e">
        <f>LLX136*LLY136*LLZ136</f>
        <v>#DIV/0!</v>
      </c>
      <c r="LMB136" s="367" t="s">
        <v>206</v>
      </c>
      <c r="LMC136" s="367"/>
      <c r="LMD136" s="367"/>
      <c r="LME136" s="368" t="s">
        <v>168</v>
      </c>
      <c r="LMF136" s="369">
        <v>0.5</v>
      </c>
      <c r="LMG136" s="370" t="e">
        <f>10/LMC134</f>
        <v>#DIV/0!</v>
      </c>
      <c r="LMH136" s="371">
        <v>15.38</v>
      </c>
      <c r="LMI136" s="371" t="e">
        <f>LMF136*LMG136*LMH136</f>
        <v>#DIV/0!</v>
      </c>
      <c r="LMJ136" s="367" t="s">
        <v>206</v>
      </c>
      <c r="LMK136" s="367"/>
      <c r="LML136" s="367"/>
      <c r="LMM136" s="368" t="s">
        <v>168</v>
      </c>
      <c r="LMN136" s="369">
        <v>0.5</v>
      </c>
      <c r="LMO136" s="370" t="e">
        <f>10/LMK134</f>
        <v>#DIV/0!</v>
      </c>
      <c r="LMP136" s="371">
        <v>15.38</v>
      </c>
      <c r="LMQ136" s="371" t="e">
        <f>LMN136*LMO136*LMP136</f>
        <v>#DIV/0!</v>
      </c>
      <c r="LMR136" s="367" t="s">
        <v>206</v>
      </c>
      <c r="LMS136" s="367"/>
      <c r="LMT136" s="367"/>
      <c r="LMU136" s="368" t="s">
        <v>168</v>
      </c>
      <c r="LMV136" s="369">
        <v>0.5</v>
      </c>
      <c r="LMW136" s="370" t="e">
        <f>10/LMS134</f>
        <v>#DIV/0!</v>
      </c>
      <c r="LMX136" s="371">
        <v>15.38</v>
      </c>
      <c r="LMY136" s="371" t="e">
        <f>LMV136*LMW136*LMX136</f>
        <v>#DIV/0!</v>
      </c>
      <c r="LMZ136" s="367" t="s">
        <v>206</v>
      </c>
      <c r="LNA136" s="367"/>
      <c r="LNB136" s="367"/>
      <c r="LNC136" s="368" t="s">
        <v>168</v>
      </c>
      <c r="LND136" s="369">
        <v>0.5</v>
      </c>
      <c r="LNE136" s="370" t="e">
        <f>10/LNA134</f>
        <v>#DIV/0!</v>
      </c>
      <c r="LNF136" s="371">
        <v>15.38</v>
      </c>
      <c r="LNG136" s="371" t="e">
        <f>LND136*LNE136*LNF136</f>
        <v>#DIV/0!</v>
      </c>
      <c r="LNH136" s="367" t="s">
        <v>206</v>
      </c>
      <c r="LNI136" s="367"/>
      <c r="LNJ136" s="367"/>
      <c r="LNK136" s="368" t="s">
        <v>168</v>
      </c>
      <c r="LNL136" s="369">
        <v>0.5</v>
      </c>
      <c r="LNM136" s="370" t="e">
        <f>10/LNI134</f>
        <v>#DIV/0!</v>
      </c>
      <c r="LNN136" s="371">
        <v>15.38</v>
      </c>
      <c r="LNO136" s="371" t="e">
        <f>LNL136*LNM136*LNN136</f>
        <v>#DIV/0!</v>
      </c>
      <c r="LNP136" s="367" t="s">
        <v>206</v>
      </c>
      <c r="LNQ136" s="367"/>
      <c r="LNR136" s="367"/>
      <c r="LNS136" s="368" t="s">
        <v>168</v>
      </c>
      <c r="LNT136" s="369">
        <v>0.5</v>
      </c>
      <c r="LNU136" s="370" t="e">
        <f>10/LNQ134</f>
        <v>#DIV/0!</v>
      </c>
      <c r="LNV136" s="371">
        <v>15.38</v>
      </c>
      <c r="LNW136" s="371" t="e">
        <f>LNT136*LNU136*LNV136</f>
        <v>#DIV/0!</v>
      </c>
      <c r="LNX136" s="367" t="s">
        <v>206</v>
      </c>
      <c r="LNY136" s="367"/>
      <c r="LNZ136" s="367"/>
      <c r="LOA136" s="368" t="s">
        <v>168</v>
      </c>
      <c r="LOB136" s="369">
        <v>0.5</v>
      </c>
      <c r="LOC136" s="370" t="e">
        <f>10/LNY134</f>
        <v>#DIV/0!</v>
      </c>
      <c r="LOD136" s="371">
        <v>15.38</v>
      </c>
      <c r="LOE136" s="371" t="e">
        <f>LOB136*LOC136*LOD136</f>
        <v>#DIV/0!</v>
      </c>
      <c r="LOF136" s="367" t="s">
        <v>206</v>
      </c>
      <c r="LOG136" s="367"/>
      <c r="LOH136" s="367"/>
      <c r="LOI136" s="368" t="s">
        <v>168</v>
      </c>
      <c r="LOJ136" s="369">
        <v>0.5</v>
      </c>
      <c r="LOK136" s="370" t="e">
        <f>10/LOG134</f>
        <v>#DIV/0!</v>
      </c>
      <c r="LOL136" s="371">
        <v>15.38</v>
      </c>
      <c r="LOM136" s="371" t="e">
        <f>LOJ136*LOK136*LOL136</f>
        <v>#DIV/0!</v>
      </c>
      <c r="LON136" s="367" t="s">
        <v>206</v>
      </c>
      <c r="LOO136" s="367"/>
      <c r="LOP136" s="367"/>
      <c r="LOQ136" s="368" t="s">
        <v>168</v>
      </c>
      <c r="LOR136" s="369">
        <v>0.5</v>
      </c>
      <c r="LOS136" s="370" t="e">
        <f>10/LOO134</f>
        <v>#DIV/0!</v>
      </c>
      <c r="LOT136" s="371">
        <v>15.38</v>
      </c>
      <c r="LOU136" s="371" t="e">
        <f>LOR136*LOS136*LOT136</f>
        <v>#DIV/0!</v>
      </c>
      <c r="LOV136" s="367" t="s">
        <v>206</v>
      </c>
      <c r="LOW136" s="367"/>
      <c r="LOX136" s="367"/>
      <c r="LOY136" s="368" t="s">
        <v>168</v>
      </c>
      <c r="LOZ136" s="369">
        <v>0.5</v>
      </c>
      <c r="LPA136" s="370" t="e">
        <f>10/LOW134</f>
        <v>#DIV/0!</v>
      </c>
      <c r="LPB136" s="371">
        <v>15.38</v>
      </c>
      <c r="LPC136" s="371" t="e">
        <f>LOZ136*LPA136*LPB136</f>
        <v>#DIV/0!</v>
      </c>
      <c r="LPD136" s="367" t="s">
        <v>206</v>
      </c>
      <c r="LPE136" s="367"/>
      <c r="LPF136" s="367"/>
      <c r="LPG136" s="368" t="s">
        <v>168</v>
      </c>
      <c r="LPH136" s="369">
        <v>0.5</v>
      </c>
      <c r="LPI136" s="370" t="e">
        <f>10/LPE134</f>
        <v>#DIV/0!</v>
      </c>
      <c r="LPJ136" s="371">
        <v>15.38</v>
      </c>
      <c r="LPK136" s="371" t="e">
        <f>LPH136*LPI136*LPJ136</f>
        <v>#DIV/0!</v>
      </c>
      <c r="LPL136" s="367" t="s">
        <v>206</v>
      </c>
      <c r="LPM136" s="367"/>
      <c r="LPN136" s="367"/>
      <c r="LPO136" s="368" t="s">
        <v>168</v>
      </c>
      <c r="LPP136" s="369">
        <v>0.5</v>
      </c>
      <c r="LPQ136" s="370" t="e">
        <f>10/LPM134</f>
        <v>#DIV/0!</v>
      </c>
      <c r="LPR136" s="371">
        <v>15.38</v>
      </c>
      <c r="LPS136" s="371" t="e">
        <f>LPP136*LPQ136*LPR136</f>
        <v>#DIV/0!</v>
      </c>
      <c r="LPT136" s="367" t="s">
        <v>206</v>
      </c>
      <c r="LPU136" s="367"/>
      <c r="LPV136" s="367"/>
      <c r="LPW136" s="368" t="s">
        <v>168</v>
      </c>
      <c r="LPX136" s="369">
        <v>0.5</v>
      </c>
      <c r="LPY136" s="370" t="e">
        <f>10/LPU134</f>
        <v>#DIV/0!</v>
      </c>
      <c r="LPZ136" s="371">
        <v>15.38</v>
      </c>
      <c r="LQA136" s="371" t="e">
        <f>LPX136*LPY136*LPZ136</f>
        <v>#DIV/0!</v>
      </c>
      <c r="LQB136" s="367" t="s">
        <v>206</v>
      </c>
      <c r="LQC136" s="367"/>
      <c r="LQD136" s="367"/>
      <c r="LQE136" s="368" t="s">
        <v>168</v>
      </c>
      <c r="LQF136" s="369">
        <v>0.5</v>
      </c>
      <c r="LQG136" s="370" t="e">
        <f>10/LQC134</f>
        <v>#DIV/0!</v>
      </c>
      <c r="LQH136" s="371">
        <v>15.38</v>
      </c>
      <c r="LQI136" s="371" t="e">
        <f>LQF136*LQG136*LQH136</f>
        <v>#DIV/0!</v>
      </c>
      <c r="LQJ136" s="367" t="s">
        <v>206</v>
      </c>
      <c r="LQK136" s="367"/>
      <c r="LQL136" s="367"/>
      <c r="LQM136" s="368" t="s">
        <v>168</v>
      </c>
      <c r="LQN136" s="369">
        <v>0.5</v>
      </c>
      <c r="LQO136" s="370" t="e">
        <f>10/LQK134</f>
        <v>#DIV/0!</v>
      </c>
      <c r="LQP136" s="371">
        <v>15.38</v>
      </c>
      <c r="LQQ136" s="371" t="e">
        <f>LQN136*LQO136*LQP136</f>
        <v>#DIV/0!</v>
      </c>
      <c r="LQR136" s="367" t="s">
        <v>206</v>
      </c>
      <c r="LQS136" s="367"/>
      <c r="LQT136" s="367"/>
      <c r="LQU136" s="368" t="s">
        <v>168</v>
      </c>
      <c r="LQV136" s="369">
        <v>0.5</v>
      </c>
      <c r="LQW136" s="370" t="e">
        <f>10/LQS134</f>
        <v>#DIV/0!</v>
      </c>
      <c r="LQX136" s="371">
        <v>15.38</v>
      </c>
      <c r="LQY136" s="371" t="e">
        <f>LQV136*LQW136*LQX136</f>
        <v>#DIV/0!</v>
      </c>
      <c r="LQZ136" s="367" t="s">
        <v>206</v>
      </c>
      <c r="LRA136" s="367"/>
      <c r="LRB136" s="367"/>
      <c r="LRC136" s="368" t="s">
        <v>168</v>
      </c>
      <c r="LRD136" s="369">
        <v>0.5</v>
      </c>
      <c r="LRE136" s="370" t="e">
        <f>10/LRA134</f>
        <v>#DIV/0!</v>
      </c>
      <c r="LRF136" s="371">
        <v>15.38</v>
      </c>
      <c r="LRG136" s="371" t="e">
        <f>LRD136*LRE136*LRF136</f>
        <v>#DIV/0!</v>
      </c>
      <c r="LRH136" s="367" t="s">
        <v>206</v>
      </c>
      <c r="LRI136" s="367"/>
      <c r="LRJ136" s="367"/>
      <c r="LRK136" s="368" t="s">
        <v>168</v>
      </c>
      <c r="LRL136" s="369">
        <v>0.5</v>
      </c>
      <c r="LRM136" s="370" t="e">
        <f>10/LRI134</f>
        <v>#DIV/0!</v>
      </c>
      <c r="LRN136" s="371">
        <v>15.38</v>
      </c>
      <c r="LRO136" s="371" t="e">
        <f>LRL136*LRM136*LRN136</f>
        <v>#DIV/0!</v>
      </c>
      <c r="LRP136" s="367" t="s">
        <v>206</v>
      </c>
      <c r="LRQ136" s="367"/>
      <c r="LRR136" s="367"/>
      <c r="LRS136" s="368" t="s">
        <v>168</v>
      </c>
      <c r="LRT136" s="369">
        <v>0.5</v>
      </c>
      <c r="LRU136" s="370" t="e">
        <f>10/LRQ134</f>
        <v>#DIV/0!</v>
      </c>
      <c r="LRV136" s="371">
        <v>15.38</v>
      </c>
      <c r="LRW136" s="371" t="e">
        <f>LRT136*LRU136*LRV136</f>
        <v>#DIV/0!</v>
      </c>
      <c r="LRX136" s="367" t="s">
        <v>206</v>
      </c>
      <c r="LRY136" s="367"/>
      <c r="LRZ136" s="367"/>
      <c r="LSA136" s="368" t="s">
        <v>168</v>
      </c>
      <c r="LSB136" s="369">
        <v>0.5</v>
      </c>
      <c r="LSC136" s="370" t="e">
        <f>10/LRY134</f>
        <v>#DIV/0!</v>
      </c>
      <c r="LSD136" s="371">
        <v>15.38</v>
      </c>
      <c r="LSE136" s="371" t="e">
        <f>LSB136*LSC136*LSD136</f>
        <v>#DIV/0!</v>
      </c>
      <c r="LSF136" s="367" t="s">
        <v>206</v>
      </c>
      <c r="LSG136" s="367"/>
      <c r="LSH136" s="367"/>
      <c r="LSI136" s="368" t="s">
        <v>168</v>
      </c>
      <c r="LSJ136" s="369">
        <v>0.5</v>
      </c>
      <c r="LSK136" s="370" t="e">
        <f>10/LSG134</f>
        <v>#DIV/0!</v>
      </c>
      <c r="LSL136" s="371">
        <v>15.38</v>
      </c>
      <c r="LSM136" s="371" t="e">
        <f>LSJ136*LSK136*LSL136</f>
        <v>#DIV/0!</v>
      </c>
      <c r="LSN136" s="367" t="s">
        <v>206</v>
      </c>
      <c r="LSO136" s="367"/>
      <c r="LSP136" s="367"/>
      <c r="LSQ136" s="368" t="s">
        <v>168</v>
      </c>
      <c r="LSR136" s="369">
        <v>0.5</v>
      </c>
      <c r="LSS136" s="370" t="e">
        <f>10/LSO134</f>
        <v>#DIV/0!</v>
      </c>
      <c r="LST136" s="371">
        <v>15.38</v>
      </c>
      <c r="LSU136" s="371" t="e">
        <f>LSR136*LSS136*LST136</f>
        <v>#DIV/0!</v>
      </c>
      <c r="LSV136" s="367" t="s">
        <v>206</v>
      </c>
      <c r="LSW136" s="367"/>
      <c r="LSX136" s="367"/>
      <c r="LSY136" s="368" t="s">
        <v>168</v>
      </c>
      <c r="LSZ136" s="369">
        <v>0.5</v>
      </c>
      <c r="LTA136" s="370" t="e">
        <f>10/LSW134</f>
        <v>#DIV/0!</v>
      </c>
      <c r="LTB136" s="371">
        <v>15.38</v>
      </c>
      <c r="LTC136" s="371" t="e">
        <f>LSZ136*LTA136*LTB136</f>
        <v>#DIV/0!</v>
      </c>
      <c r="LTD136" s="367" t="s">
        <v>206</v>
      </c>
      <c r="LTE136" s="367"/>
      <c r="LTF136" s="367"/>
      <c r="LTG136" s="368" t="s">
        <v>168</v>
      </c>
      <c r="LTH136" s="369">
        <v>0.5</v>
      </c>
      <c r="LTI136" s="370" t="e">
        <f>10/LTE134</f>
        <v>#DIV/0!</v>
      </c>
      <c r="LTJ136" s="371">
        <v>15.38</v>
      </c>
      <c r="LTK136" s="371" t="e">
        <f>LTH136*LTI136*LTJ136</f>
        <v>#DIV/0!</v>
      </c>
      <c r="LTL136" s="367" t="s">
        <v>206</v>
      </c>
      <c r="LTM136" s="367"/>
      <c r="LTN136" s="367"/>
      <c r="LTO136" s="368" t="s">
        <v>168</v>
      </c>
      <c r="LTP136" s="369">
        <v>0.5</v>
      </c>
      <c r="LTQ136" s="370" t="e">
        <f>10/LTM134</f>
        <v>#DIV/0!</v>
      </c>
      <c r="LTR136" s="371">
        <v>15.38</v>
      </c>
      <c r="LTS136" s="371" t="e">
        <f>LTP136*LTQ136*LTR136</f>
        <v>#DIV/0!</v>
      </c>
      <c r="LTT136" s="367" t="s">
        <v>206</v>
      </c>
      <c r="LTU136" s="367"/>
      <c r="LTV136" s="367"/>
      <c r="LTW136" s="368" t="s">
        <v>168</v>
      </c>
      <c r="LTX136" s="369">
        <v>0.5</v>
      </c>
      <c r="LTY136" s="370" t="e">
        <f>10/LTU134</f>
        <v>#DIV/0!</v>
      </c>
      <c r="LTZ136" s="371">
        <v>15.38</v>
      </c>
      <c r="LUA136" s="371" t="e">
        <f>LTX136*LTY136*LTZ136</f>
        <v>#DIV/0!</v>
      </c>
      <c r="LUB136" s="367" t="s">
        <v>206</v>
      </c>
      <c r="LUC136" s="367"/>
      <c r="LUD136" s="367"/>
      <c r="LUE136" s="368" t="s">
        <v>168</v>
      </c>
      <c r="LUF136" s="369">
        <v>0.5</v>
      </c>
      <c r="LUG136" s="370" t="e">
        <f>10/LUC134</f>
        <v>#DIV/0!</v>
      </c>
      <c r="LUH136" s="371">
        <v>15.38</v>
      </c>
      <c r="LUI136" s="371" t="e">
        <f>LUF136*LUG136*LUH136</f>
        <v>#DIV/0!</v>
      </c>
      <c r="LUJ136" s="367" t="s">
        <v>206</v>
      </c>
      <c r="LUK136" s="367"/>
      <c r="LUL136" s="367"/>
      <c r="LUM136" s="368" t="s">
        <v>168</v>
      </c>
      <c r="LUN136" s="369">
        <v>0.5</v>
      </c>
      <c r="LUO136" s="370" t="e">
        <f>10/LUK134</f>
        <v>#DIV/0!</v>
      </c>
      <c r="LUP136" s="371">
        <v>15.38</v>
      </c>
      <c r="LUQ136" s="371" t="e">
        <f>LUN136*LUO136*LUP136</f>
        <v>#DIV/0!</v>
      </c>
      <c r="LUR136" s="367" t="s">
        <v>206</v>
      </c>
      <c r="LUS136" s="367"/>
      <c r="LUT136" s="367"/>
      <c r="LUU136" s="368" t="s">
        <v>168</v>
      </c>
      <c r="LUV136" s="369">
        <v>0.5</v>
      </c>
      <c r="LUW136" s="370" t="e">
        <f>10/LUS134</f>
        <v>#DIV/0!</v>
      </c>
      <c r="LUX136" s="371">
        <v>15.38</v>
      </c>
      <c r="LUY136" s="371" t="e">
        <f>LUV136*LUW136*LUX136</f>
        <v>#DIV/0!</v>
      </c>
      <c r="LUZ136" s="367" t="s">
        <v>206</v>
      </c>
      <c r="LVA136" s="367"/>
      <c r="LVB136" s="367"/>
      <c r="LVC136" s="368" t="s">
        <v>168</v>
      </c>
      <c r="LVD136" s="369">
        <v>0.5</v>
      </c>
      <c r="LVE136" s="370" t="e">
        <f>10/LVA134</f>
        <v>#DIV/0!</v>
      </c>
      <c r="LVF136" s="371">
        <v>15.38</v>
      </c>
      <c r="LVG136" s="371" t="e">
        <f>LVD136*LVE136*LVF136</f>
        <v>#DIV/0!</v>
      </c>
      <c r="LVH136" s="367" t="s">
        <v>206</v>
      </c>
      <c r="LVI136" s="367"/>
      <c r="LVJ136" s="367"/>
      <c r="LVK136" s="368" t="s">
        <v>168</v>
      </c>
      <c r="LVL136" s="369">
        <v>0.5</v>
      </c>
      <c r="LVM136" s="370" t="e">
        <f>10/LVI134</f>
        <v>#DIV/0!</v>
      </c>
      <c r="LVN136" s="371">
        <v>15.38</v>
      </c>
      <c r="LVO136" s="371" t="e">
        <f>LVL136*LVM136*LVN136</f>
        <v>#DIV/0!</v>
      </c>
      <c r="LVP136" s="367" t="s">
        <v>206</v>
      </c>
      <c r="LVQ136" s="367"/>
      <c r="LVR136" s="367"/>
      <c r="LVS136" s="368" t="s">
        <v>168</v>
      </c>
      <c r="LVT136" s="369">
        <v>0.5</v>
      </c>
      <c r="LVU136" s="370" t="e">
        <f>10/LVQ134</f>
        <v>#DIV/0!</v>
      </c>
      <c r="LVV136" s="371">
        <v>15.38</v>
      </c>
      <c r="LVW136" s="371" t="e">
        <f>LVT136*LVU136*LVV136</f>
        <v>#DIV/0!</v>
      </c>
      <c r="LVX136" s="367" t="s">
        <v>206</v>
      </c>
      <c r="LVY136" s="367"/>
      <c r="LVZ136" s="367"/>
      <c r="LWA136" s="368" t="s">
        <v>168</v>
      </c>
      <c r="LWB136" s="369">
        <v>0.5</v>
      </c>
      <c r="LWC136" s="370" t="e">
        <f>10/LVY134</f>
        <v>#DIV/0!</v>
      </c>
      <c r="LWD136" s="371">
        <v>15.38</v>
      </c>
      <c r="LWE136" s="371" t="e">
        <f>LWB136*LWC136*LWD136</f>
        <v>#DIV/0!</v>
      </c>
      <c r="LWF136" s="367" t="s">
        <v>206</v>
      </c>
      <c r="LWG136" s="367"/>
      <c r="LWH136" s="367"/>
      <c r="LWI136" s="368" t="s">
        <v>168</v>
      </c>
      <c r="LWJ136" s="369">
        <v>0.5</v>
      </c>
      <c r="LWK136" s="370" t="e">
        <f>10/LWG134</f>
        <v>#DIV/0!</v>
      </c>
      <c r="LWL136" s="371">
        <v>15.38</v>
      </c>
      <c r="LWM136" s="371" t="e">
        <f>LWJ136*LWK136*LWL136</f>
        <v>#DIV/0!</v>
      </c>
      <c r="LWN136" s="367" t="s">
        <v>206</v>
      </c>
      <c r="LWO136" s="367"/>
      <c r="LWP136" s="367"/>
      <c r="LWQ136" s="368" t="s">
        <v>168</v>
      </c>
      <c r="LWR136" s="369">
        <v>0.5</v>
      </c>
      <c r="LWS136" s="370" t="e">
        <f>10/LWO134</f>
        <v>#DIV/0!</v>
      </c>
      <c r="LWT136" s="371">
        <v>15.38</v>
      </c>
      <c r="LWU136" s="371" t="e">
        <f>LWR136*LWS136*LWT136</f>
        <v>#DIV/0!</v>
      </c>
      <c r="LWV136" s="367" t="s">
        <v>206</v>
      </c>
      <c r="LWW136" s="367"/>
      <c r="LWX136" s="367"/>
      <c r="LWY136" s="368" t="s">
        <v>168</v>
      </c>
      <c r="LWZ136" s="369">
        <v>0.5</v>
      </c>
      <c r="LXA136" s="370" t="e">
        <f>10/LWW134</f>
        <v>#DIV/0!</v>
      </c>
      <c r="LXB136" s="371">
        <v>15.38</v>
      </c>
      <c r="LXC136" s="371" t="e">
        <f>LWZ136*LXA136*LXB136</f>
        <v>#DIV/0!</v>
      </c>
      <c r="LXD136" s="367" t="s">
        <v>206</v>
      </c>
      <c r="LXE136" s="367"/>
      <c r="LXF136" s="367"/>
      <c r="LXG136" s="368" t="s">
        <v>168</v>
      </c>
      <c r="LXH136" s="369">
        <v>0.5</v>
      </c>
      <c r="LXI136" s="370" t="e">
        <f>10/LXE134</f>
        <v>#DIV/0!</v>
      </c>
      <c r="LXJ136" s="371">
        <v>15.38</v>
      </c>
      <c r="LXK136" s="371" t="e">
        <f>LXH136*LXI136*LXJ136</f>
        <v>#DIV/0!</v>
      </c>
      <c r="LXL136" s="367" t="s">
        <v>206</v>
      </c>
      <c r="LXM136" s="367"/>
      <c r="LXN136" s="367"/>
      <c r="LXO136" s="368" t="s">
        <v>168</v>
      </c>
      <c r="LXP136" s="369">
        <v>0.5</v>
      </c>
      <c r="LXQ136" s="370" t="e">
        <f>10/LXM134</f>
        <v>#DIV/0!</v>
      </c>
      <c r="LXR136" s="371">
        <v>15.38</v>
      </c>
      <c r="LXS136" s="371" t="e">
        <f>LXP136*LXQ136*LXR136</f>
        <v>#DIV/0!</v>
      </c>
      <c r="LXT136" s="367" t="s">
        <v>206</v>
      </c>
      <c r="LXU136" s="367"/>
      <c r="LXV136" s="367"/>
      <c r="LXW136" s="368" t="s">
        <v>168</v>
      </c>
      <c r="LXX136" s="369">
        <v>0.5</v>
      </c>
      <c r="LXY136" s="370" t="e">
        <f>10/LXU134</f>
        <v>#DIV/0!</v>
      </c>
      <c r="LXZ136" s="371">
        <v>15.38</v>
      </c>
      <c r="LYA136" s="371" t="e">
        <f>LXX136*LXY136*LXZ136</f>
        <v>#DIV/0!</v>
      </c>
      <c r="LYB136" s="367" t="s">
        <v>206</v>
      </c>
      <c r="LYC136" s="367"/>
      <c r="LYD136" s="367"/>
      <c r="LYE136" s="368" t="s">
        <v>168</v>
      </c>
      <c r="LYF136" s="369">
        <v>0.5</v>
      </c>
      <c r="LYG136" s="370" t="e">
        <f>10/LYC134</f>
        <v>#DIV/0!</v>
      </c>
      <c r="LYH136" s="371">
        <v>15.38</v>
      </c>
      <c r="LYI136" s="371" t="e">
        <f>LYF136*LYG136*LYH136</f>
        <v>#DIV/0!</v>
      </c>
      <c r="LYJ136" s="367" t="s">
        <v>206</v>
      </c>
      <c r="LYK136" s="367"/>
      <c r="LYL136" s="367"/>
      <c r="LYM136" s="368" t="s">
        <v>168</v>
      </c>
      <c r="LYN136" s="369">
        <v>0.5</v>
      </c>
      <c r="LYO136" s="370" t="e">
        <f>10/LYK134</f>
        <v>#DIV/0!</v>
      </c>
      <c r="LYP136" s="371">
        <v>15.38</v>
      </c>
      <c r="LYQ136" s="371" t="e">
        <f>LYN136*LYO136*LYP136</f>
        <v>#DIV/0!</v>
      </c>
      <c r="LYR136" s="367" t="s">
        <v>206</v>
      </c>
      <c r="LYS136" s="367"/>
      <c r="LYT136" s="367"/>
      <c r="LYU136" s="368" t="s">
        <v>168</v>
      </c>
      <c r="LYV136" s="369">
        <v>0.5</v>
      </c>
      <c r="LYW136" s="370" t="e">
        <f>10/LYS134</f>
        <v>#DIV/0!</v>
      </c>
      <c r="LYX136" s="371">
        <v>15.38</v>
      </c>
      <c r="LYY136" s="371" t="e">
        <f>LYV136*LYW136*LYX136</f>
        <v>#DIV/0!</v>
      </c>
      <c r="LYZ136" s="367" t="s">
        <v>206</v>
      </c>
      <c r="LZA136" s="367"/>
      <c r="LZB136" s="367"/>
      <c r="LZC136" s="368" t="s">
        <v>168</v>
      </c>
      <c r="LZD136" s="369">
        <v>0.5</v>
      </c>
      <c r="LZE136" s="370" t="e">
        <f>10/LZA134</f>
        <v>#DIV/0!</v>
      </c>
      <c r="LZF136" s="371">
        <v>15.38</v>
      </c>
      <c r="LZG136" s="371" t="e">
        <f>LZD136*LZE136*LZF136</f>
        <v>#DIV/0!</v>
      </c>
      <c r="LZH136" s="367" t="s">
        <v>206</v>
      </c>
      <c r="LZI136" s="367"/>
      <c r="LZJ136" s="367"/>
      <c r="LZK136" s="368" t="s">
        <v>168</v>
      </c>
      <c r="LZL136" s="369">
        <v>0.5</v>
      </c>
      <c r="LZM136" s="370" t="e">
        <f>10/LZI134</f>
        <v>#DIV/0!</v>
      </c>
      <c r="LZN136" s="371">
        <v>15.38</v>
      </c>
      <c r="LZO136" s="371" t="e">
        <f>LZL136*LZM136*LZN136</f>
        <v>#DIV/0!</v>
      </c>
      <c r="LZP136" s="367" t="s">
        <v>206</v>
      </c>
      <c r="LZQ136" s="367"/>
      <c r="LZR136" s="367"/>
      <c r="LZS136" s="368" t="s">
        <v>168</v>
      </c>
      <c r="LZT136" s="369">
        <v>0.5</v>
      </c>
      <c r="LZU136" s="370" t="e">
        <f>10/LZQ134</f>
        <v>#DIV/0!</v>
      </c>
      <c r="LZV136" s="371">
        <v>15.38</v>
      </c>
      <c r="LZW136" s="371" t="e">
        <f>LZT136*LZU136*LZV136</f>
        <v>#DIV/0!</v>
      </c>
      <c r="LZX136" s="367" t="s">
        <v>206</v>
      </c>
      <c r="LZY136" s="367"/>
      <c r="LZZ136" s="367"/>
      <c r="MAA136" s="368" t="s">
        <v>168</v>
      </c>
      <c r="MAB136" s="369">
        <v>0.5</v>
      </c>
      <c r="MAC136" s="370" t="e">
        <f>10/LZY134</f>
        <v>#DIV/0!</v>
      </c>
      <c r="MAD136" s="371">
        <v>15.38</v>
      </c>
      <c r="MAE136" s="371" t="e">
        <f>MAB136*MAC136*MAD136</f>
        <v>#DIV/0!</v>
      </c>
      <c r="MAF136" s="367" t="s">
        <v>206</v>
      </c>
      <c r="MAG136" s="367"/>
      <c r="MAH136" s="367"/>
      <c r="MAI136" s="368" t="s">
        <v>168</v>
      </c>
      <c r="MAJ136" s="369">
        <v>0.5</v>
      </c>
      <c r="MAK136" s="370" t="e">
        <f>10/MAG134</f>
        <v>#DIV/0!</v>
      </c>
      <c r="MAL136" s="371">
        <v>15.38</v>
      </c>
      <c r="MAM136" s="371" t="e">
        <f>MAJ136*MAK136*MAL136</f>
        <v>#DIV/0!</v>
      </c>
      <c r="MAN136" s="367" t="s">
        <v>206</v>
      </c>
      <c r="MAO136" s="367"/>
      <c r="MAP136" s="367"/>
      <c r="MAQ136" s="368" t="s">
        <v>168</v>
      </c>
      <c r="MAR136" s="369">
        <v>0.5</v>
      </c>
      <c r="MAS136" s="370" t="e">
        <f>10/MAO134</f>
        <v>#DIV/0!</v>
      </c>
      <c r="MAT136" s="371">
        <v>15.38</v>
      </c>
      <c r="MAU136" s="371" t="e">
        <f>MAR136*MAS136*MAT136</f>
        <v>#DIV/0!</v>
      </c>
      <c r="MAV136" s="367" t="s">
        <v>206</v>
      </c>
      <c r="MAW136" s="367"/>
      <c r="MAX136" s="367"/>
      <c r="MAY136" s="368" t="s">
        <v>168</v>
      </c>
      <c r="MAZ136" s="369">
        <v>0.5</v>
      </c>
      <c r="MBA136" s="370" t="e">
        <f>10/MAW134</f>
        <v>#DIV/0!</v>
      </c>
      <c r="MBB136" s="371">
        <v>15.38</v>
      </c>
      <c r="MBC136" s="371" t="e">
        <f>MAZ136*MBA136*MBB136</f>
        <v>#DIV/0!</v>
      </c>
      <c r="MBD136" s="367" t="s">
        <v>206</v>
      </c>
      <c r="MBE136" s="367"/>
      <c r="MBF136" s="367"/>
      <c r="MBG136" s="368" t="s">
        <v>168</v>
      </c>
      <c r="MBH136" s="369">
        <v>0.5</v>
      </c>
      <c r="MBI136" s="370" t="e">
        <f>10/MBE134</f>
        <v>#DIV/0!</v>
      </c>
      <c r="MBJ136" s="371">
        <v>15.38</v>
      </c>
      <c r="MBK136" s="371" t="e">
        <f>MBH136*MBI136*MBJ136</f>
        <v>#DIV/0!</v>
      </c>
      <c r="MBL136" s="367" t="s">
        <v>206</v>
      </c>
      <c r="MBM136" s="367"/>
      <c r="MBN136" s="367"/>
      <c r="MBO136" s="368" t="s">
        <v>168</v>
      </c>
      <c r="MBP136" s="369">
        <v>0.5</v>
      </c>
      <c r="MBQ136" s="370" t="e">
        <f>10/MBM134</f>
        <v>#DIV/0!</v>
      </c>
      <c r="MBR136" s="371">
        <v>15.38</v>
      </c>
      <c r="MBS136" s="371" t="e">
        <f>MBP136*MBQ136*MBR136</f>
        <v>#DIV/0!</v>
      </c>
      <c r="MBT136" s="367" t="s">
        <v>206</v>
      </c>
      <c r="MBU136" s="367"/>
      <c r="MBV136" s="367"/>
      <c r="MBW136" s="368" t="s">
        <v>168</v>
      </c>
      <c r="MBX136" s="369">
        <v>0.5</v>
      </c>
      <c r="MBY136" s="370" t="e">
        <f>10/MBU134</f>
        <v>#DIV/0!</v>
      </c>
      <c r="MBZ136" s="371">
        <v>15.38</v>
      </c>
      <c r="MCA136" s="371" t="e">
        <f>MBX136*MBY136*MBZ136</f>
        <v>#DIV/0!</v>
      </c>
      <c r="MCB136" s="367" t="s">
        <v>206</v>
      </c>
      <c r="MCC136" s="367"/>
      <c r="MCD136" s="367"/>
      <c r="MCE136" s="368" t="s">
        <v>168</v>
      </c>
      <c r="MCF136" s="369">
        <v>0.5</v>
      </c>
      <c r="MCG136" s="370" t="e">
        <f>10/MCC134</f>
        <v>#DIV/0!</v>
      </c>
      <c r="MCH136" s="371">
        <v>15.38</v>
      </c>
      <c r="MCI136" s="371" t="e">
        <f>MCF136*MCG136*MCH136</f>
        <v>#DIV/0!</v>
      </c>
      <c r="MCJ136" s="367" t="s">
        <v>206</v>
      </c>
      <c r="MCK136" s="367"/>
      <c r="MCL136" s="367"/>
      <c r="MCM136" s="368" t="s">
        <v>168</v>
      </c>
      <c r="MCN136" s="369">
        <v>0.5</v>
      </c>
      <c r="MCO136" s="370" t="e">
        <f>10/MCK134</f>
        <v>#DIV/0!</v>
      </c>
      <c r="MCP136" s="371">
        <v>15.38</v>
      </c>
      <c r="MCQ136" s="371" t="e">
        <f>MCN136*MCO136*MCP136</f>
        <v>#DIV/0!</v>
      </c>
      <c r="MCR136" s="367" t="s">
        <v>206</v>
      </c>
      <c r="MCS136" s="367"/>
      <c r="MCT136" s="367"/>
      <c r="MCU136" s="368" t="s">
        <v>168</v>
      </c>
      <c r="MCV136" s="369">
        <v>0.5</v>
      </c>
      <c r="MCW136" s="370" t="e">
        <f>10/MCS134</f>
        <v>#DIV/0!</v>
      </c>
      <c r="MCX136" s="371">
        <v>15.38</v>
      </c>
      <c r="MCY136" s="371" t="e">
        <f>MCV136*MCW136*MCX136</f>
        <v>#DIV/0!</v>
      </c>
      <c r="MCZ136" s="367" t="s">
        <v>206</v>
      </c>
      <c r="MDA136" s="367"/>
      <c r="MDB136" s="367"/>
      <c r="MDC136" s="368" t="s">
        <v>168</v>
      </c>
      <c r="MDD136" s="369">
        <v>0.5</v>
      </c>
      <c r="MDE136" s="370" t="e">
        <f>10/MDA134</f>
        <v>#DIV/0!</v>
      </c>
      <c r="MDF136" s="371">
        <v>15.38</v>
      </c>
      <c r="MDG136" s="371" t="e">
        <f>MDD136*MDE136*MDF136</f>
        <v>#DIV/0!</v>
      </c>
      <c r="MDH136" s="367" t="s">
        <v>206</v>
      </c>
      <c r="MDI136" s="367"/>
      <c r="MDJ136" s="367"/>
      <c r="MDK136" s="368" t="s">
        <v>168</v>
      </c>
      <c r="MDL136" s="369">
        <v>0.5</v>
      </c>
      <c r="MDM136" s="370" t="e">
        <f>10/MDI134</f>
        <v>#DIV/0!</v>
      </c>
      <c r="MDN136" s="371">
        <v>15.38</v>
      </c>
      <c r="MDO136" s="371" t="e">
        <f>MDL136*MDM136*MDN136</f>
        <v>#DIV/0!</v>
      </c>
      <c r="MDP136" s="367" t="s">
        <v>206</v>
      </c>
      <c r="MDQ136" s="367"/>
      <c r="MDR136" s="367"/>
      <c r="MDS136" s="368" t="s">
        <v>168</v>
      </c>
      <c r="MDT136" s="369">
        <v>0.5</v>
      </c>
      <c r="MDU136" s="370" t="e">
        <f>10/MDQ134</f>
        <v>#DIV/0!</v>
      </c>
      <c r="MDV136" s="371">
        <v>15.38</v>
      </c>
      <c r="MDW136" s="371" t="e">
        <f>MDT136*MDU136*MDV136</f>
        <v>#DIV/0!</v>
      </c>
      <c r="MDX136" s="367" t="s">
        <v>206</v>
      </c>
      <c r="MDY136" s="367"/>
      <c r="MDZ136" s="367"/>
      <c r="MEA136" s="368" t="s">
        <v>168</v>
      </c>
      <c r="MEB136" s="369">
        <v>0.5</v>
      </c>
      <c r="MEC136" s="370" t="e">
        <f>10/MDY134</f>
        <v>#DIV/0!</v>
      </c>
      <c r="MED136" s="371">
        <v>15.38</v>
      </c>
      <c r="MEE136" s="371" t="e">
        <f>MEB136*MEC136*MED136</f>
        <v>#DIV/0!</v>
      </c>
      <c r="MEF136" s="367" t="s">
        <v>206</v>
      </c>
      <c r="MEG136" s="367"/>
      <c r="MEH136" s="367"/>
      <c r="MEI136" s="368" t="s">
        <v>168</v>
      </c>
      <c r="MEJ136" s="369">
        <v>0.5</v>
      </c>
      <c r="MEK136" s="370" t="e">
        <f>10/MEG134</f>
        <v>#DIV/0!</v>
      </c>
      <c r="MEL136" s="371">
        <v>15.38</v>
      </c>
      <c r="MEM136" s="371" t="e">
        <f>MEJ136*MEK136*MEL136</f>
        <v>#DIV/0!</v>
      </c>
      <c r="MEN136" s="367" t="s">
        <v>206</v>
      </c>
      <c r="MEO136" s="367"/>
      <c r="MEP136" s="367"/>
      <c r="MEQ136" s="368" t="s">
        <v>168</v>
      </c>
      <c r="MER136" s="369">
        <v>0.5</v>
      </c>
      <c r="MES136" s="370" t="e">
        <f>10/MEO134</f>
        <v>#DIV/0!</v>
      </c>
      <c r="MET136" s="371">
        <v>15.38</v>
      </c>
      <c r="MEU136" s="371" t="e">
        <f>MER136*MES136*MET136</f>
        <v>#DIV/0!</v>
      </c>
      <c r="MEV136" s="367" t="s">
        <v>206</v>
      </c>
      <c r="MEW136" s="367"/>
      <c r="MEX136" s="367"/>
      <c r="MEY136" s="368" t="s">
        <v>168</v>
      </c>
      <c r="MEZ136" s="369">
        <v>0.5</v>
      </c>
      <c r="MFA136" s="370" t="e">
        <f>10/MEW134</f>
        <v>#DIV/0!</v>
      </c>
      <c r="MFB136" s="371">
        <v>15.38</v>
      </c>
      <c r="MFC136" s="371" t="e">
        <f>MEZ136*MFA136*MFB136</f>
        <v>#DIV/0!</v>
      </c>
      <c r="MFD136" s="367" t="s">
        <v>206</v>
      </c>
      <c r="MFE136" s="367"/>
      <c r="MFF136" s="367"/>
      <c r="MFG136" s="368" t="s">
        <v>168</v>
      </c>
      <c r="MFH136" s="369">
        <v>0.5</v>
      </c>
      <c r="MFI136" s="370" t="e">
        <f>10/MFE134</f>
        <v>#DIV/0!</v>
      </c>
      <c r="MFJ136" s="371">
        <v>15.38</v>
      </c>
      <c r="MFK136" s="371" t="e">
        <f>MFH136*MFI136*MFJ136</f>
        <v>#DIV/0!</v>
      </c>
      <c r="MFL136" s="367" t="s">
        <v>206</v>
      </c>
      <c r="MFM136" s="367"/>
      <c r="MFN136" s="367"/>
      <c r="MFO136" s="368" t="s">
        <v>168</v>
      </c>
      <c r="MFP136" s="369">
        <v>0.5</v>
      </c>
      <c r="MFQ136" s="370" t="e">
        <f>10/MFM134</f>
        <v>#DIV/0!</v>
      </c>
      <c r="MFR136" s="371">
        <v>15.38</v>
      </c>
      <c r="MFS136" s="371" t="e">
        <f>MFP136*MFQ136*MFR136</f>
        <v>#DIV/0!</v>
      </c>
      <c r="MFT136" s="367" t="s">
        <v>206</v>
      </c>
      <c r="MFU136" s="367"/>
      <c r="MFV136" s="367"/>
      <c r="MFW136" s="368" t="s">
        <v>168</v>
      </c>
      <c r="MFX136" s="369">
        <v>0.5</v>
      </c>
      <c r="MFY136" s="370" t="e">
        <f>10/MFU134</f>
        <v>#DIV/0!</v>
      </c>
      <c r="MFZ136" s="371">
        <v>15.38</v>
      </c>
      <c r="MGA136" s="371" t="e">
        <f>MFX136*MFY136*MFZ136</f>
        <v>#DIV/0!</v>
      </c>
      <c r="MGB136" s="367" t="s">
        <v>206</v>
      </c>
      <c r="MGC136" s="367"/>
      <c r="MGD136" s="367"/>
      <c r="MGE136" s="368" t="s">
        <v>168</v>
      </c>
      <c r="MGF136" s="369">
        <v>0.5</v>
      </c>
      <c r="MGG136" s="370" t="e">
        <f>10/MGC134</f>
        <v>#DIV/0!</v>
      </c>
      <c r="MGH136" s="371">
        <v>15.38</v>
      </c>
      <c r="MGI136" s="371" t="e">
        <f>MGF136*MGG136*MGH136</f>
        <v>#DIV/0!</v>
      </c>
      <c r="MGJ136" s="367" t="s">
        <v>206</v>
      </c>
      <c r="MGK136" s="367"/>
      <c r="MGL136" s="367"/>
      <c r="MGM136" s="368" t="s">
        <v>168</v>
      </c>
      <c r="MGN136" s="369">
        <v>0.5</v>
      </c>
      <c r="MGO136" s="370" t="e">
        <f>10/MGK134</f>
        <v>#DIV/0!</v>
      </c>
      <c r="MGP136" s="371">
        <v>15.38</v>
      </c>
      <c r="MGQ136" s="371" t="e">
        <f>MGN136*MGO136*MGP136</f>
        <v>#DIV/0!</v>
      </c>
      <c r="MGR136" s="367" t="s">
        <v>206</v>
      </c>
      <c r="MGS136" s="367"/>
      <c r="MGT136" s="367"/>
      <c r="MGU136" s="368" t="s">
        <v>168</v>
      </c>
      <c r="MGV136" s="369">
        <v>0.5</v>
      </c>
      <c r="MGW136" s="370" t="e">
        <f>10/MGS134</f>
        <v>#DIV/0!</v>
      </c>
      <c r="MGX136" s="371">
        <v>15.38</v>
      </c>
      <c r="MGY136" s="371" t="e">
        <f>MGV136*MGW136*MGX136</f>
        <v>#DIV/0!</v>
      </c>
      <c r="MGZ136" s="367" t="s">
        <v>206</v>
      </c>
      <c r="MHA136" s="367"/>
      <c r="MHB136" s="367"/>
      <c r="MHC136" s="368" t="s">
        <v>168</v>
      </c>
      <c r="MHD136" s="369">
        <v>0.5</v>
      </c>
      <c r="MHE136" s="370" t="e">
        <f>10/MHA134</f>
        <v>#DIV/0!</v>
      </c>
      <c r="MHF136" s="371">
        <v>15.38</v>
      </c>
      <c r="MHG136" s="371" t="e">
        <f>MHD136*MHE136*MHF136</f>
        <v>#DIV/0!</v>
      </c>
      <c r="MHH136" s="367" t="s">
        <v>206</v>
      </c>
      <c r="MHI136" s="367"/>
      <c r="MHJ136" s="367"/>
      <c r="MHK136" s="368" t="s">
        <v>168</v>
      </c>
      <c r="MHL136" s="369">
        <v>0.5</v>
      </c>
      <c r="MHM136" s="370" t="e">
        <f>10/MHI134</f>
        <v>#DIV/0!</v>
      </c>
      <c r="MHN136" s="371">
        <v>15.38</v>
      </c>
      <c r="MHO136" s="371" t="e">
        <f>MHL136*MHM136*MHN136</f>
        <v>#DIV/0!</v>
      </c>
      <c r="MHP136" s="367" t="s">
        <v>206</v>
      </c>
      <c r="MHQ136" s="367"/>
      <c r="MHR136" s="367"/>
      <c r="MHS136" s="368" t="s">
        <v>168</v>
      </c>
      <c r="MHT136" s="369">
        <v>0.5</v>
      </c>
      <c r="MHU136" s="370" t="e">
        <f>10/MHQ134</f>
        <v>#DIV/0!</v>
      </c>
      <c r="MHV136" s="371">
        <v>15.38</v>
      </c>
      <c r="MHW136" s="371" t="e">
        <f>MHT136*MHU136*MHV136</f>
        <v>#DIV/0!</v>
      </c>
      <c r="MHX136" s="367" t="s">
        <v>206</v>
      </c>
      <c r="MHY136" s="367"/>
      <c r="MHZ136" s="367"/>
      <c r="MIA136" s="368" t="s">
        <v>168</v>
      </c>
      <c r="MIB136" s="369">
        <v>0.5</v>
      </c>
      <c r="MIC136" s="370" t="e">
        <f>10/MHY134</f>
        <v>#DIV/0!</v>
      </c>
      <c r="MID136" s="371">
        <v>15.38</v>
      </c>
      <c r="MIE136" s="371" t="e">
        <f>MIB136*MIC136*MID136</f>
        <v>#DIV/0!</v>
      </c>
      <c r="MIF136" s="367" t="s">
        <v>206</v>
      </c>
      <c r="MIG136" s="367"/>
      <c r="MIH136" s="367"/>
      <c r="MII136" s="368" t="s">
        <v>168</v>
      </c>
      <c r="MIJ136" s="369">
        <v>0.5</v>
      </c>
      <c r="MIK136" s="370" t="e">
        <f>10/MIG134</f>
        <v>#DIV/0!</v>
      </c>
      <c r="MIL136" s="371">
        <v>15.38</v>
      </c>
      <c r="MIM136" s="371" t="e">
        <f>MIJ136*MIK136*MIL136</f>
        <v>#DIV/0!</v>
      </c>
      <c r="MIN136" s="367" t="s">
        <v>206</v>
      </c>
      <c r="MIO136" s="367"/>
      <c r="MIP136" s="367"/>
      <c r="MIQ136" s="368" t="s">
        <v>168</v>
      </c>
      <c r="MIR136" s="369">
        <v>0.5</v>
      </c>
      <c r="MIS136" s="370" t="e">
        <f>10/MIO134</f>
        <v>#DIV/0!</v>
      </c>
      <c r="MIT136" s="371">
        <v>15.38</v>
      </c>
      <c r="MIU136" s="371" t="e">
        <f>MIR136*MIS136*MIT136</f>
        <v>#DIV/0!</v>
      </c>
      <c r="MIV136" s="367" t="s">
        <v>206</v>
      </c>
      <c r="MIW136" s="367"/>
      <c r="MIX136" s="367"/>
      <c r="MIY136" s="368" t="s">
        <v>168</v>
      </c>
      <c r="MIZ136" s="369">
        <v>0.5</v>
      </c>
      <c r="MJA136" s="370" t="e">
        <f>10/MIW134</f>
        <v>#DIV/0!</v>
      </c>
      <c r="MJB136" s="371">
        <v>15.38</v>
      </c>
      <c r="MJC136" s="371" t="e">
        <f>MIZ136*MJA136*MJB136</f>
        <v>#DIV/0!</v>
      </c>
      <c r="MJD136" s="367" t="s">
        <v>206</v>
      </c>
      <c r="MJE136" s="367"/>
      <c r="MJF136" s="367"/>
      <c r="MJG136" s="368" t="s">
        <v>168</v>
      </c>
      <c r="MJH136" s="369">
        <v>0.5</v>
      </c>
      <c r="MJI136" s="370" t="e">
        <f>10/MJE134</f>
        <v>#DIV/0!</v>
      </c>
      <c r="MJJ136" s="371">
        <v>15.38</v>
      </c>
      <c r="MJK136" s="371" t="e">
        <f>MJH136*MJI136*MJJ136</f>
        <v>#DIV/0!</v>
      </c>
      <c r="MJL136" s="367" t="s">
        <v>206</v>
      </c>
      <c r="MJM136" s="367"/>
      <c r="MJN136" s="367"/>
      <c r="MJO136" s="368" t="s">
        <v>168</v>
      </c>
      <c r="MJP136" s="369">
        <v>0.5</v>
      </c>
      <c r="MJQ136" s="370" t="e">
        <f>10/MJM134</f>
        <v>#DIV/0!</v>
      </c>
      <c r="MJR136" s="371">
        <v>15.38</v>
      </c>
      <c r="MJS136" s="371" t="e">
        <f>MJP136*MJQ136*MJR136</f>
        <v>#DIV/0!</v>
      </c>
      <c r="MJT136" s="367" t="s">
        <v>206</v>
      </c>
      <c r="MJU136" s="367"/>
      <c r="MJV136" s="367"/>
      <c r="MJW136" s="368" t="s">
        <v>168</v>
      </c>
      <c r="MJX136" s="369">
        <v>0.5</v>
      </c>
      <c r="MJY136" s="370" t="e">
        <f>10/MJU134</f>
        <v>#DIV/0!</v>
      </c>
      <c r="MJZ136" s="371">
        <v>15.38</v>
      </c>
      <c r="MKA136" s="371" t="e">
        <f>MJX136*MJY136*MJZ136</f>
        <v>#DIV/0!</v>
      </c>
      <c r="MKB136" s="367" t="s">
        <v>206</v>
      </c>
      <c r="MKC136" s="367"/>
      <c r="MKD136" s="367"/>
      <c r="MKE136" s="368" t="s">
        <v>168</v>
      </c>
      <c r="MKF136" s="369">
        <v>0.5</v>
      </c>
      <c r="MKG136" s="370" t="e">
        <f>10/MKC134</f>
        <v>#DIV/0!</v>
      </c>
      <c r="MKH136" s="371">
        <v>15.38</v>
      </c>
      <c r="MKI136" s="371" t="e">
        <f>MKF136*MKG136*MKH136</f>
        <v>#DIV/0!</v>
      </c>
      <c r="MKJ136" s="367" t="s">
        <v>206</v>
      </c>
      <c r="MKK136" s="367"/>
      <c r="MKL136" s="367"/>
      <c r="MKM136" s="368" t="s">
        <v>168</v>
      </c>
      <c r="MKN136" s="369">
        <v>0.5</v>
      </c>
      <c r="MKO136" s="370" t="e">
        <f>10/MKK134</f>
        <v>#DIV/0!</v>
      </c>
      <c r="MKP136" s="371">
        <v>15.38</v>
      </c>
      <c r="MKQ136" s="371" t="e">
        <f>MKN136*MKO136*MKP136</f>
        <v>#DIV/0!</v>
      </c>
      <c r="MKR136" s="367" t="s">
        <v>206</v>
      </c>
      <c r="MKS136" s="367"/>
      <c r="MKT136" s="367"/>
      <c r="MKU136" s="368" t="s">
        <v>168</v>
      </c>
      <c r="MKV136" s="369">
        <v>0.5</v>
      </c>
      <c r="MKW136" s="370" t="e">
        <f>10/MKS134</f>
        <v>#DIV/0!</v>
      </c>
      <c r="MKX136" s="371">
        <v>15.38</v>
      </c>
      <c r="MKY136" s="371" t="e">
        <f>MKV136*MKW136*MKX136</f>
        <v>#DIV/0!</v>
      </c>
      <c r="MKZ136" s="367" t="s">
        <v>206</v>
      </c>
      <c r="MLA136" s="367"/>
      <c r="MLB136" s="367"/>
      <c r="MLC136" s="368" t="s">
        <v>168</v>
      </c>
      <c r="MLD136" s="369">
        <v>0.5</v>
      </c>
      <c r="MLE136" s="370" t="e">
        <f>10/MLA134</f>
        <v>#DIV/0!</v>
      </c>
      <c r="MLF136" s="371">
        <v>15.38</v>
      </c>
      <c r="MLG136" s="371" t="e">
        <f>MLD136*MLE136*MLF136</f>
        <v>#DIV/0!</v>
      </c>
      <c r="MLH136" s="367" t="s">
        <v>206</v>
      </c>
      <c r="MLI136" s="367"/>
      <c r="MLJ136" s="367"/>
      <c r="MLK136" s="368" t="s">
        <v>168</v>
      </c>
      <c r="MLL136" s="369">
        <v>0.5</v>
      </c>
      <c r="MLM136" s="370" t="e">
        <f>10/MLI134</f>
        <v>#DIV/0!</v>
      </c>
      <c r="MLN136" s="371">
        <v>15.38</v>
      </c>
      <c r="MLO136" s="371" t="e">
        <f>MLL136*MLM136*MLN136</f>
        <v>#DIV/0!</v>
      </c>
      <c r="MLP136" s="367" t="s">
        <v>206</v>
      </c>
      <c r="MLQ136" s="367"/>
      <c r="MLR136" s="367"/>
      <c r="MLS136" s="368" t="s">
        <v>168</v>
      </c>
      <c r="MLT136" s="369">
        <v>0.5</v>
      </c>
      <c r="MLU136" s="370" t="e">
        <f>10/MLQ134</f>
        <v>#DIV/0!</v>
      </c>
      <c r="MLV136" s="371">
        <v>15.38</v>
      </c>
      <c r="MLW136" s="371" t="e">
        <f>MLT136*MLU136*MLV136</f>
        <v>#DIV/0!</v>
      </c>
      <c r="MLX136" s="367" t="s">
        <v>206</v>
      </c>
      <c r="MLY136" s="367"/>
      <c r="MLZ136" s="367"/>
      <c r="MMA136" s="368" t="s">
        <v>168</v>
      </c>
      <c r="MMB136" s="369">
        <v>0.5</v>
      </c>
      <c r="MMC136" s="370" t="e">
        <f>10/MLY134</f>
        <v>#DIV/0!</v>
      </c>
      <c r="MMD136" s="371">
        <v>15.38</v>
      </c>
      <c r="MME136" s="371" t="e">
        <f>MMB136*MMC136*MMD136</f>
        <v>#DIV/0!</v>
      </c>
      <c r="MMF136" s="367" t="s">
        <v>206</v>
      </c>
      <c r="MMG136" s="367"/>
      <c r="MMH136" s="367"/>
      <c r="MMI136" s="368" t="s">
        <v>168</v>
      </c>
      <c r="MMJ136" s="369">
        <v>0.5</v>
      </c>
      <c r="MMK136" s="370" t="e">
        <f>10/MMG134</f>
        <v>#DIV/0!</v>
      </c>
      <c r="MML136" s="371">
        <v>15.38</v>
      </c>
      <c r="MMM136" s="371" t="e">
        <f>MMJ136*MMK136*MML136</f>
        <v>#DIV/0!</v>
      </c>
      <c r="MMN136" s="367" t="s">
        <v>206</v>
      </c>
      <c r="MMO136" s="367"/>
      <c r="MMP136" s="367"/>
      <c r="MMQ136" s="368" t="s">
        <v>168</v>
      </c>
      <c r="MMR136" s="369">
        <v>0.5</v>
      </c>
      <c r="MMS136" s="370" t="e">
        <f>10/MMO134</f>
        <v>#DIV/0!</v>
      </c>
      <c r="MMT136" s="371">
        <v>15.38</v>
      </c>
      <c r="MMU136" s="371" t="e">
        <f>MMR136*MMS136*MMT136</f>
        <v>#DIV/0!</v>
      </c>
      <c r="MMV136" s="367" t="s">
        <v>206</v>
      </c>
      <c r="MMW136" s="367"/>
      <c r="MMX136" s="367"/>
      <c r="MMY136" s="368" t="s">
        <v>168</v>
      </c>
      <c r="MMZ136" s="369">
        <v>0.5</v>
      </c>
      <c r="MNA136" s="370" t="e">
        <f>10/MMW134</f>
        <v>#DIV/0!</v>
      </c>
      <c r="MNB136" s="371">
        <v>15.38</v>
      </c>
      <c r="MNC136" s="371" t="e">
        <f>MMZ136*MNA136*MNB136</f>
        <v>#DIV/0!</v>
      </c>
      <c r="MND136" s="367" t="s">
        <v>206</v>
      </c>
      <c r="MNE136" s="367"/>
      <c r="MNF136" s="367"/>
      <c r="MNG136" s="368" t="s">
        <v>168</v>
      </c>
      <c r="MNH136" s="369">
        <v>0.5</v>
      </c>
      <c r="MNI136" s="370" t="e">
        <f>10/MNE134</f>
        <v>#DIV/0!</v>
      </c>
      <c r="MNJ136" s="371">
        <v>15.38</v>
      </c>
      <c r="MNK136" s="371" t="e">
        <f>MNH136*MNI136*MNJ136</f>
        <v>#DIV/0!</v>
      </c>
      <c r="MNL136" s="367" t="s">
        <v>206</v>
      </c>
      <c r="MNM136" s="367"/>
      <c r="MNN136" s="367"/>
      <c r="MNO136" s="368" t="s">
        <v>168</v>
      </c>
      <c r="MNP136" s="369">
        <v>0.5</v>
      </c>
      <c r="MNQ136" s="370" t="e">
        <f>10/MNM134</f>
        <v>#DIV/0!</v>
      </c>
      <c r="MNR136" s="371">
        <v>15.38</v>
      </c>
      <c r="MNS136" s="371" t="e">
        <f>MNP136*MNQ136*MNR136</f>
        <v>#DIV/0!</v>
      </c>
      <c r="MNT136" s="367" t="s">
        <v>206</v>
      </c>
      <c r="MNU136" s="367"/>
      <c r="MNV136" s="367"/>
      <c r="MNW136" s="368" t="s">
        <v>168</v>
      </c>
      <c r="MNX136" s="369">
        <v>0.5</v>
      </c>
      <c r="MNY136" s="370" t="e">
        <f>10/MNU134</f>
        <v>#DIV/0!</v>
      </c>
      <c r="MNZ136" s="371">
        <v>15.38</v>
      </c>
      <c r="MOA136" s="371" t="e">
        <f>MNX136*MNY136*MNZ136</f>
        <v>#DIV/0!</v>
      </c>
      <c r="MOB136" s="367" t="s">
        <v>206</v>
      </c>
      <c r="MOC136" s="367"/>
      <c r="MOD136" s="367"/>
      <c r="MOE136" s="368" t="s">
        <v>168</v>
      </c>
      <c r="MOF136" s="369">
        <v>0.5</v>
      </c>
      <c r="MOG136" s="370" t="e">
        <f>10/MOC134</f>
        <v>#DIV/0!</v>
      </c>
      <c r="MOH136" s="371">
        <v>15.38</v>
      </c>
      <c r="MOI136" s="371" t="e">
        <f>MOF136*MOG136*MOH136</f>
        <v>#DIV/0!</v>
      </c>
      <c r="MOJ136" s="367" t="s">
        <v>206</v>
      </c>
      <c r="MOK136" s="367"/>
      <c r="MOL136" s="367"/>
      <c r="MOM136" s="368" t="s">
        <v>168</v>
      </c>
      <c r="MON136" s="369">
        <v>0.5</v>
      </c>
      <c r="MOO136" s="370" t="e">
        <f>10/MOK134</f>
        <v>#DIV/0!</v>
      </c>
      <c r="MOP136" s="371">
        <v>15.38</v>
      </c>
      <c r="MOQ136" s="371" t="e">
        <f>MON136*MOO136*MOP136</f>
        <v>#DIV/0!</v>
      </c>
      <c r="MOR136" s="367" t="s">
        <v>206</v>
      </c>
      <c r="MOS136" s="367"/>
      <c r="MOT136" s="367"/>
      <c r="MOU136" s="368" t="s">
        <v>168</v>
      </c>
      <c r="MOV136" s="369">
        <v>0.5</v>
      </c>
      <c r="MOW136" s="370" t="e">
        <f>10/MOS134</f>
        <v>#DIV/0!</v>
      </c>
      <c r="MOX136" s="371">
        <v>15.38</v>
      </c>
      <c r="MOY136" s="371" t="e">
        <f>MOV136*MOW136*MOX136</f>
        <v>#DIV/0!</v>
      </c>
      <c r="MOZ136" s="367" t="s">
        <v>206</v>
      </c>
      <c r="MPA136" s="367"/>
      <c r="MPB136" s="367"/>
      <c r="MPC136" s="368" t="s">
        <v>168</v>
      </c>
      <c r="MPD136" s="369">
        <v>0.5</v>
      </c>
      <c r="MPE136" s="370" t="e">
        <f>10/MPA134</f>
        <v>#DIV/0!</v>
      </c>
      <c r="MPF136" s="371">
        <v>15.38</v>
      </c>
      <c r="MPG136" s="371" t="e">
        <f>MPD136*MPE136*MPF136</f>
        <v>#DIV/0!</v>
      </c>
      <c r="MPH136" s="367" t="s">
        <v>206</v>
      </c>
      <c r="MPI136" s="367"/>
      <c r="MPJ136" s="367"/>
      <c r="MPK136" s="368" t="s">
        <v>168</v>
      </c>
      <c r="MPL136" s="369">
        <v>0.5</v>
      </c>
      <c r="MPM136" s="370" t="e">
        <f>10/MPI134</f>
        <v>#DIV/0!</v>
      </c>
      <c r="MPN136" s="371">
        <v>15.38</v>
      </c>
      <c r="MPO136" s="371" t="e">
        <f>MPL136*MPM136*MPN136</f>
        <v>#DIV/0!</v>
      </c>
      <c r="MPP136" s="367" t="s">
        <v>206</v>
      </c>
      <c r="MPQ136" s="367"/>
      <c r="MPR136" s="367"/>
      <c r="MPS136" s="368" t="s">
        <v>168</v>
      </c>
      <c r="MPT136" s="369">
        <v>0.5</v>
      </c>
      <c r="MPU136" s="370" t="e">
        <f>10/MPQ134</f>
        <v>#DIV/0!</v>
      </c>
      <c r="MPV136" s="371">
        <v>15.38</v>
      </c>
      <c r="MPW136" s="371" t="e">
        <f>MPT136*MPU136*MPV136</f>
        <v>#DIV/0!</v>
      </c>
      <c r="MPX136" s="367" t="s">
        <v>206</v>
      </c>
      <c r="MPY136" s="367"/>
      <c r="MPZ136" s="367"/>
      <c r="MQA136" s="368" t="s">
        <v>168</v>
      </c>
      <c r="MQB136" s="369">
        <v>0.5</v>
      </c>
      <c r="MQC136" s="370" t="e">
        <f>10/MPY134</f>
        <v>#DIV/0!</v>
      </c>
      <c r="MQD136" s="371">
        <v>15.38</v>
      </c>
      <c r="MQE136" s="371" t="e">
        <f>MQB136*MQC136*MQD136</f>
        <v>#DIV/0!</v>
      </c>
      <c r="MQF136" s="367" t="s">
        <v>206</v>
      </c>
      <c r="MQG136" s="367"/>
      <c r="MQH136" s="367"/>
      <c r="MQI136" s="368" t="s">
        <v>168</v>
      </c>
      <c r="MQJ136" s="369">
        <v>0.5</v>
      </c>
      <c r="MQK136" s="370" t="e">
        <f>10/MQG134</f>
        <v>#DIV/0!</v>
      </c>
      <c r="MQL136" s="371">
        <v>15.38</v>
      </c>
      <c r="MQM136" s="371" t="e">
        <f>MQJ136*MQK136*MQL136</f>
        <v>#DIV/0!</v>
      </c>
      <c r="MQN136" s="367" t="s">
        <v>206</v>
      </c>
      <c r="MQO136" s="367"/>
      <c r="MQP136" s="367"/>
      <c r="MQQ136" s="368" t="s">
        <v>168</v>
      </c>
      <c r="MQR136" s="369">
        <v>0.5</v>
      </c>
      <c r="MQS136" s="370" t="e">
        <f>10/MQO134</f>
        <v>#DIV/0!</v>
      </c>
      <c r="MQT136" s="371">
        <v>15.38</v>
      </c>
      <c r="MQU136" s="371" t="e">
        <f>MQR136*MQS136*MQT136</f>
        <v>#DIV/0!</v>
      </c>
      <c r="MQV136" s="367" t="s">
        <v>206</v>
      </c>
      <c r="MQW136" s="367"/>
      <c r="MQX136" s="367"/>
      <c r="MQY136" s="368" t="s">
        <v>168</v>
      </c>
      <c r="MQZ136" s="369">
        <v>0.5</v>
      </c>
      <c r="MRA136" s="370" t="e">
        <f>10/MQW134</f>
        <v>#DIV/0!</v>
      </c>
      <c r="MRB136" s="371">
        <v>15.38</v>
      </c>
      <c r="MRC136" s="371" t="e">
        <f>MQZ136*MRA136*MRB136</f>
        <v>#DIV/0!</v>
      </c>
      <c r="MRD136" s="367" t="s">
        <v>206</v>
      </c>
      <c r="MRE136" s="367"/>
      <c r="MRF136" s="367"/>
      <c r="MRG136" s="368" t="s">
        <v>168</v>
      </c>
      <c r="MRH136" s="369">
        <v>0.5</v>
      </c>
      <c r="MRI136" s="370" t="e">
        <f>10/MRE134</f>
        <v>#DIV/0!</v>
      </c>
      <c r="MRJ136" s="371">
        <v>15.38</v>
      </c>
      <c r="MRK136" s="371" t="e">
        <f>MRH136*MRI136*MRJ136</f>
        <v>#DIV/0!</v>
      </c>
      <c r="MRL136" s="367" t="s">
        <v>206</v>
      </c>
      <c r="MRM136" s="367"/>
      <c r="MRN136" s="367"/>
      <c r="MRO136" s="368" t="s">
        <v>168</v>
      </c>
      <c r="MRP136" s="369">
        <v>0.5</v>
      </c>
      <c r="MRQ136" s="370" t="e">
        <f>10/MRM134</f>
        <v>#DIV/0!</v>
      </c>
      <c r="MRR136" s="371">
        <v>15.38</v>
      </c>
      <c r="MRS136" s="371" t="e">
        <f>MRP136*MRQ136*MRR136</f>
        <v>#DIV/0!</v>
      </c>
      <c r="MRT136" s="367" t="s">
        <v>206</v>
      </c>
      <c r="MRU136" s="367"/>
      <c r="MRV136" s="367"/>
      <c r="MRW136" s="368" t="s">
        <v>168</v>
      </c>
      <c r="MRX136" s="369">
        <v>0.5</v>
      </c>
      <c r="MRY136" s="370" t="e">
        <f>10/MRU134</f>
        <v>#DIV/0!</v>
      </c>
      <c r="MRZ136" s="371">
        <v>15.38</v>
      </c>
      <c r="MSA136" s="371" t="e">
        <f>MRX136*MRY136*MRZ136</f>
        <v>#DIV/0!</v>
      </c>
      <c r="MSB136" s="367" t="s">
        <v>206</v>
      </c>
      <c r="MSC136" s="367"/>
      <c r="MSD136" s="367"/>
      <c r="MSE136" s="368" t="s">
        <v>168</v>
      </c>
      <c r="MSF136" s="369">
        <v>0.5</v>
      </c>
      <c r="MSG136" s="370" t="e">
        <f>10/MSC134</f>
        <v>#DIV/0!</v>
      </c>
      <c r="MSH136" s="371">
        <v>15.38</v>
      </c>
      <c r="MSI136" s="371" t="e">
        <f>MSF136*MSG136*MSH136</f>
        <v>#DIV/0!</v>
      </c>
      <c r="MSJ136" s="367" t="s">
        <v>206</v>
      </c>
      <c r="MSK136" s="367"/>
      <c r="MSL136" s="367"/>
      <c r="MSM136" s="368" t="s">
        <v>168</v>
      </c>
      <c r="MSN136" s="369">
        <v>0.5</v>
      </c>
      <c r="MSO136" s="370" t="e">
        <f>10/MSK134</f>
        <v>#DIV/0!</v>
      </c>
      <c r="MSP136" s="371">
        <v>15.38</v>
      </c>
      <c r="MSQ136" s="371" t="e">
        <f>MSN136*MSO136*MSP136</f>
        <v>#DIV/0!</v>
      </c>
      <c r="MSR136" s="367" t="s">
        <v>206</v>
      </c>
      <c r="MSS136" s="367"/>
      <c r="MST136" s="367"/>
      <c r="MSU136" s="368" t="s">
        <v>168</v>
      </c>
      <c r="MSV136" s="369">
        <v>0.5</v>
      </c>
      <c r="MSW136" s="370" t="e">
        <f>10/MSS134</f>
        <v>#DIV/0!</v>
      </c>
      <c r="MSX136" s="371">
        <v>15.38</v>
      </c>
      <c r="MSY136" s="371" t="e">
        <f>MSV136*MSW136*MSX136</f>
        <v>#DIV/0!</v>
      </c>
      <c r="MSZ136" s="367" t="s">
        <v>206</v>
      </c>
      <c r="MTA136" s="367"/>
      <c r="MTB136" s="367"/>
      <c r="MTC136" s="368" t="s">
        <v>168</v>
      </c>
      <c r="MTD136" s="369">
        <v>0.5</v>
      </c>
      <c r="MTE136" s="370" t="e">
        <f>10/MTA134</f>
        <v>#DIV/0!</v>
      </c>
      <c r="MTF136" s="371">
        <v>15.38</v>
      </c>
      <c r="MTG136" s="371" t="e">
        <f>MTD136*MTE136*MTF136</f>
        <v>#DIV/0!</v>
      </c>
      <c r="MTH136" s="367" t="s">
        <v>206</v>
      </c>
      <c r="MTI136" s="367"/>
      <c r="MTJ136" s="367"/>
      <c r="MTK136" s="368" t="s">
        <v>168</v>
      </c>
      <c r="MTL136" s="369">
        <v>0.5</v>
      </c>
      <c r="MTM136" s="370" t="e">
        <f>10/MTI134</f>
        <v>#DIV/0!</v>
      </c>
      <c r="MTN136" s="371">
        <v>15.38</v>
      </c>
      <c r="MTO136" s="371" t="e">
        <f>MTL136*MTM136*MTN136</f>
        <v>#DIV/0!</v>
      </c>
      <c r="MTP136" s="367" t="s">
        <v>206</v>
      </c>
      <c r="MTQ136" s="367"/>
      <c r="MTR136" s="367"/>
      <c r="MTS136" s="368" t="s">
        <v>168</v>
      </c>
      <c r="MTT136" s="369">
        <v>0.5</v>
      </c>
      <c r="MTU136" s="370" t="e">
        <f>10/MTQ134</f>
        <v>#DIV/0!</v>
      </c>
      <c r="MTV136" s="371">
        <v>15.38</v>
      </c>
      <c r="MTW136" s="371" t="e">
        <f>MTT136*MTU136*MTV136</f>
        <v>#DIV/0!</v>
      </c>
      <c r="MTX136" s="367" t="s">
        <v>206</v>
      </c>
      <c r="MTY136" s="367"/>
      <c r="MTZ136" s="367"/>
      <c r="MUA136" s="368" t="s">
        <v>168</v>
      </c>
      <c r="MUB136" s="369">
        <v>0.5</v>
      </c>
      <c r="MUC136" s="370" t="e">
        <f>10/MTY134</f>
        <v>#DIV/0!</v>
      </c>
      <c r="MUD136" s="371">
        <v>15.38</v>
      </c>
      <c r="MUE136" s="371" t="e">
        <f>MUB136*MUC136*MUD136</f>
        <v>#DIV/0!</v>
      </c>
      <c r="MUF136" s="367" t="s">
        <v>206</v>
      </c>
      <c r="MUG136" s="367"/>
      <c r="MUH136" s="367"/>
      <c r="MUI136" s="368" t="s">
        <v>168</v>
      </c>
      <c r="MUJ136" s="369">
        <v>0.5</v>
      </c>
      <c r="MUK136" s="370" t="e">
        <f>10/MUG134</f>
        <v>#DIV/0!</v>
      </c>
      <c r="MUL136" s="371">
        <v>15.38</v>
      </c>
      <c r="MUM136" s="371" t="e">
        <f>MUJ136*MUK136*MUL136</f>
        <v>#DIV/0!</v>
      </c>
      <c r="MUN136" s="367" t="s">
        <v>206</v>
      </c>
      <c r="MUO136" s="367"/>
      <c r="MUP136" s="367"/>
      <c r="MUQ136" s="368" t="s">
        <v>168</v>
      </c>
      <c r="MUR136" s="369">
        <v>0.5</v>
      </c>
      <c r="MUS136" s="370" t="e">
        <f>10/MUO134</f>
        <v>#DIV/0!</v>
      </c>
      <c r="MUT136" s="371">
        <v>15.38</v>
      </c>
      <c r="MUU136" s="371" t="e">
        <f>MUR136*MUS136*MUT136</f>
        <v>#DIV/0!</v>
      </c>
      <c r="MUV136" s="367" t="s">
        <v>206</v>
      </c>
      <c r="MUW136" s="367"/>
      <c r="MUX136" s="367"/>
      <c r="MUY136" s="368" t="s">
        <v>168</v>
      </c>
      <c r="MUZ136" s="369">
        <v>0.5</v>
      </c>
      <c r="MVA136" s="370" t="e">
        <f>10/MUW134</f>
        <v>#DIV/0!</v>
      </c>
      <c r="MVB136" s="371">
        <v>15.38</v>
      </c>
      <c r="MVC136" s="371" t="e">
        <f>MUZ136*MVA136*MVB136</f>
        <v>#DIV/0!</v>
      </c>
      <c r="MVD136" s="367" t="s">
        <v>206</v>
      </c>
      <c r="MVE136" s="367"/>
      <c r="MVF136" s="367"/>
      <c r="MVG136" s="368" t="s">
        <v>168</v>
      </c>
      <c r="MVH136" s="369">
        <v>0.5</v>
      </c>
      <c r="MVI136" s="370" t="e">
        <f>10/MVE134</f>
        <v>#DIV/0!</v>
      </c>
      <c r="MVJ136" s="371">
        <v>15.38</v>
      </c>
      <c r="MVK136" s="371" t="e">
        <f>MVH136*MVI136*MVJ136</f>
        <v>#DIV/0!</v>
      </c>
      <c r="MVL136" s="367" t="s">
        <v>206</v>
      </c>
      <c r="MVM136" s="367"/>
      <c r="MVN136" s="367"/>
      <c r="MVO136" s="368" t="s">
        <v>168</v>
      </c>
      <c r="MVP136" s="369">
        <v>0.5</v>
      </c>
      <c r="MVQ136" s="370" t="e">
        <f>10/MVM134</f>
        <v>#DIV/0!</v>
      </c>
      <c r="MVR136" s="371">
        <v>15.38</v>
      </c>
      <c r="MVS136" s="371" t="e">
        <f>MVP136*MVQ136*MVR136</f>
        <v>#DIV/0!</v>
      </c>
      <c r="MVT136" s="367" t="s">
        <v>206</v>
      </c>
      <c r="MVU136" s="367"/>
      <c r="MVV136" s="367"/>
      <c r="MVW136" s="368" t="s">
        <v>168</v>
      </c>
      <c r="MVX136" s="369">
        <v>0.5</v>
      </c>
      <c r="MVY136" s="370" t="e">
        <f>10/MVU134</f>
        <v>#DIV/0!</v>
      </c>
      <c r="MVZ136" s="371">
        <v>15.38</v>
      </c>
      <c r="MWA136" s="371" t="e">
        <f>MVX136*MVY136*MVZ136</f>
        <v>#DIV/0!</v>
      </c>
      <c r="MWB136" s="367" t="s">
        <v>206</v>
      </c>
      <c r="MWC136" s="367"/>
      <c r="MWD136" s="367"/>
      <c r="MWE136" s="368" t="s">
        <v>168</v>
      </c>
      <c r="MWF136" s="369">
        <v>0.5</v>
      </c>
      <c r="MWG136" s="370" t="e">
        <f>10/MWC134</f>
        <v>#DIV/0!</v>
      </c>
      <c r="MWH136" s="371">
        <v>15.38</v>
      </c>
      <c r="MWI136" s="371" t="e">
        <f>MWF136*MWG136*MWH136</f>
        <v>#DIV/0!</v>
      </c>
      <c r="MWJ136" s="367" t="s">
        <v>206</v>
      </c>
      <c r="MWK136" s="367"/>
      <c r="MWL136" s="367"/>
      <c r="MWM136" s="368" t="s">
        <v>168</v>
      </c>
      <c r="MWN136" s="369">
        <v>0.5</v>
      </c>
      <c r="MWO136" s="370" t="e">
        <f>10/MWK134</f>
        <v>#DIV/0!</v>
      </c>
      <c r="MWP136" s="371">
        <v>15.38</v>
      </c>
      <c r="MWQ136" s="371" t="e">
        <f>MWN136*MWO136*MWP136</f>
        <v>#DIV/0!</v>
      </c>
      <c r="MWR136" s="367" t="s">
        <v>206</v>
      </c>
      <c r="MWS136" s="367"/>
      <c r="MWT136" s="367"/>
      <c r="MWU136" s="368" t="s">
        <v>168</v>
      </c>
      <c r="MWV136" s="369">
        <v>0.5</v>
      </c>
      <c r="MWW136" s="370" t="e">
        <f>10/MWS134</f>
        <v>#DIV/0!</v>
      </c>
      <c r="MWX136" s="371">
        <v>15.38</v>
      </c>
      <c r="MWY136" s="371" t="e">
        <f>MWV136*MWW136*MWX136</f>
        <v>#DIV/0!</v>
      </c>
      <c r="MWZ136" s="367" t="s">
        <v>206</v>
      </c>
      <c r="MXA136" s="367"/>
      <c r="MXB136" s="367"/>
      <c r="MXC136" s="368" t="s">
        <v>168</v>
      </c>
      <c r="MXD136" s="369">
        <v>0.5</v>
      </c>
      <c r="MXE136" s="370" t="e">
        <f>10/MXA134</f>
        <v>#DIV/0!</v>
      </c>
      <c r="MXF136" s="371">
        <v>15.38</v>
      </c>
      <c r="MXG136" s="371" t="e">
        <f>MXD136*MXE136*MXF136</f>
        <v>#DIV/0!</v>
      </c>
      <c r="MXH136" s="367" t="s">
        <v>206</v>
      </c>
      <c r="MXI136" s="367"/>
      <c r="MXJ136" s="367"/>
      <c r="MXK136" s="368" t="s">
        <v>168</v>
      </c>
      <c r="MXL136" s="369">
        <v>0.5</v>
      </c>
      <c r="MXM136" s="370" t="e">
        <f>10/MXI134</f>
        <v>#DIV/0!</v>
      </c>
      <c r="MXN136" s="371">
        <v>15.38</v>
      </c>
      <c r="MXO136" s="371" t="e">
        <f>MXL136*MXM136*MXN136</f>
        <v>#DIV/0!</v>
      </c>
      <c r="MXP136" s="367" t="s">
        <v>206</v>
      </c>
      <c r="MXQ136" s="367"/>
      <c r="MXR136" s="367"/>
      <c r="MXS136" s="368" t="s">
        <v>168</v>
      </c>
      <c r="MXT136" s="369">
        <v>0.5</v>
      </c>
      <c r="MXU136" s="370" t="e">
        <f>10/MXQ134</f>
        <v>#DIV/0!</v>
      </c>
      <c r="MXV136" s="371">
        <v>15.38</v>
      </c>
      <c r="MXW136" s="371" t="e">
        <f>MXT136*MXU136*MXV136</f>
        <v>#DIV/0!</v>
      </c>
      <c r="MXX136" s="367" t="s">
        <v>206</v>
      </c>
      <c r="MXY136" s="367"/>
      <c r="MXZ136" s="367"/>
      <c r="MYA136" s="368" t="s">
        <v>168</v>
      </c>
      <c r="MYB136" s="369">
        <v>0.5</v>
      </c>
      <c r="MYC136" s="370" t="e">
        <f>10/MXY134</f>
        <v>#DIV/0!</v>
      </c>
      <c r="MYD136" s="371">
        <v>15.38</v>
      </c>
      <c r="MYE136" s="371" t="e">
        <f>MYB136*MYC136*MYD136</f>
        <v>#DIV/0!</v>
      </c>
      <c r="MYF136" s="367" t="s">
        <v>206</v>
      </c>
      <c r="MYG136" s="367"/>
      <c r="MYH136" s="367"/>
      <c r="MYI136" s="368" t="s">
        <v>168</v>
      </c>
      <c r="MYJ136" s="369">
        <v>0.5</v>
      </c>
      <c r="MYK136" s="370" t="e">
        <f>10/MYG134</f>
        <v>#DIV/0!</v>
      </c>
      <c r="MYL136" s="371">
        <v>15.38</v>
      </c>
      <c r="MYM136" s="371" t="e">
        <f>MYJ136*MYK136*MYL136</f>
        <v>#DIV/0!</v>
      </c>
      <c r="MYN136" s="367" t="s">
        <v>206</v>
      </c>
      <c r="MYO136" s="367"/>
      <c r="MYP136" s="367"/>
      <c r="MYQ136" s="368" t="s">
        <v>168</v>
      </c>
      <c r="MYR136" s="369">
        <v>0.5</v>
      </c>
      <c r="MYS136" s="370" t="e">
        <f>10/MYO134</f>
        <v>#DIV/0!</v>
      </c>
      <c r="MYT136" s="371">
        <v>15.38</v>
      </c>
      <c r="MYU136" s="371" t="e">
        <f>MYR136*MYS136*MYT136</f>
        <v>#DIV/0!</v>
      </c>
      <c r="MYV136" s="367" t="s">
        <v>206</v>
      </c>
      <c r="MYW136" s="367"/>
      <c r="MYX136" s="367"/>
      <c r="MYY136" s="368" t="s">
        <v>168</v>
      </c>
      <c r="MYZ136" s="369">
        <v>0.5</v>
      </c>
      <c r="MZA136" s="370" t="e">
        <f>10/MYW134</f>
        <v>#DIV/0!</v>
      </c>
      <c r="MZB136" s="371">
        <v>15.38</v>
      </c>
      <c r="MZC136" s="371" t="e">
        <f>MYZ136*MZA136*MZB136</f>
        <v>#DIV/0!</v>
      </c>
      <c r="MZD136" s="367" t="s">
        <v>206</v>
      </c>
      <c r="MZE136" s="367"/>
      <c r="MZF136" s="367"/>
      <c r="MZG136" s="368" t="s">
        <v>168</v>
      </c>
      <c r="MZH136" s="369">
        <v>0.5</v>
      </c>
      <c r="MZI136" s="370" t="e">
        <f>10/MZE134</f>
        <v>#DIV/0!</v>
      </c>
      <c r="MZJ136" s="371">
        <v>15.38</v>
      </c>
      <c r="MZK136" s="371" t="e">
        <f>MZH136*MZI136*MZJ136</f>
        <v>#DIV/0!</v>
      </c>
      <c r="MZL136" s="367" t="s">
        <v>206</v>
      </c>
      <c r="MZM136" s="367"/>
      <c r="MZN136" s="367"/>
      <c r="MZO136" s="368" t="s">
        <v>168</v>
      </c>
      <c r="MZP136" s="369">
        <v>0.5</v>
      </c>
      <c r="MZQ136" s="370" t="e">
        <f>10/MZM134</f>
        <v>#DIV/0!</v>
      </c>
      <c r="MZR136" s="371">
        <v>15.38</v>
      </c>
      <c r="MZS136" s="371" t="e">
        <f>MZP136*MZQ136*MZR136</f>
        <v>#DIV/0!</v>
      </c>
      <c r="MZT136" s="367" t="s">
        <v>206</v>
      </c>
      <c r="MZU136" s="367"/>
      <c r="MZV136" s="367"/>
      <c r="MZW136" s="368" t="s">
        <v>168</v>
      </c>
      <c r="MZX136" s="369">
        <v>0.5</v>
      </c>
      <c r="MZY136" s="370" t="e">
        <f>10/MZU134</f>
        <v>#DIV/0!</v>
      </c>
      <c r="MZZ136" s="371">
        <v>15.38</v>
      </c>
      <c r="NAA136" s="371" t="e">
        <f>MZX136*MZY136*MZZ136</f>
        <v>#DIV/0!</v>
      </c>
      <c r="NAB136" s="367" t="s">
        <v>206</v>
      </c>
      <c r="NAC136" s="367"/>
      <c r="NAD136" s="367"/>
      <c r="NAE136" s="368" t="s">
        <v>168</v>
      </c>
      <c r="NAF136" s="369">
        <v>0.5</v>
      </c>
      <c r="NAG136" s="370" t="e">
        <f>10/NAC134</f>
        <v>#DIV/0!</v>
      </c>
      <c r="NAH136" s="371">
        <v>15.38</v>
      </c>
      <c r="NAI136" s="371" t="e">
        <f>NAF136*NAG136*NAH136</f>
        <v>#DIV/0!</v>
      </c>
      <c r="NAJ136" s="367" t="s">
        <v>206</v>
      </c>
      <c r="NAK136" s="367"/>
      <c r="NAL136" s="367"/>
      <c r="NAM136" s="368" t="s">
        <v>168</v>
      </c>
      <c r="NAN136" s="369">
        <v>0.5</v>
      </c>
      <c r="NAO136" s="370" t="e">
        <f>10/NAK134</f>
        <v>#DIV/0!</v>
      </c>
      <c r="NAP136" s="371">
        <v>15.38</v>
      </c>
      <c r="NAQ136" s="371" t="e">
        <f>NAN136*NAO136*NAP136</f>
        <v>#DIV/0!</v>
      </c>
      <c r="NAR136" s="367" t="s">
        <v>206</v>
      </c>
      <c r="NAS136" s="367"/>
      <c r="NAT136" s="367"/>
      <c r="NAU136" s="368" t="s">
        <v>168</v>
      </c>
      <c r="NAV136" s="369">
        <v>0.5</v>
      </c>
      <c r="NAW136" s="370" t="e">
        <f>10/NAS134</f>
        <v>#DIV/0!</v>
      </c>
      <c r="NAX136" s="371">
        <v>15.38</v>
      </c>
      <c r="NAY136" s="371" t="e">
        <f>NAV136*NAW136*NAX136</f>
        <v>#DIV/0!</v>
      </c>
      <c r="NAZ136" s="367" t="s">
        <v>206</v>
      </c>
      <c r="NBA136" s="367"/>
      <c r="NBB136" s="367"/>
      <c r="NBC136" s="368" t="s">
        <v>168</v>
      </c>
      <c r="NBD136" s="369">
        <v>0.5</v>
      </c>
      <c r="NBE136" s="370" t="e">
        <f>10/NBA134</f>
        <v>#DIV/0!</v>
      </c>
      <c r="NBF136" s="371">
        <v>15.38</v>
      </c>
      <c r="NBG136" s="371" t="e">
        <f>NBD136*NBE136*NBF136</f>
        <v>#DIV/0!</v>
      </c>
      <c r="NBH136" s="367" t="s">
        <v>206</v>
      </c>
      <c r="NBI136" s="367"/>
      <c r="NBJ136" s="367"/>
      <c r="NBK136" s="368" t="s">
        <v>168</v>
      </c>
      <c r="NBL136" s="369">
        <v>0.5</v>
      </c>
      <c r="NBM136" s="370" t="e">
        <f>10/NBI134</f>
        <v>#DIV/0!</v>
      </c>
      <c r="NBN136" s="371">
        <v>15.38</v>
      </c>
      <c r="NBO136" s="371" t="e">
        <f>NBL136*NBM136*NBN136</f>
        <v>#DIV/0!</v>
      </c>
      <c r="NBP136" s="367" t="s">
        <v>206</v>
      </c>
      <c r="NBQ136" s="367"/>
      <c r="NBR136" s="367"/>
      <c r="NBS136" s="368" t="s">
        <v>168</v>
      </c>
      <c r="NBT136" s="369">
        <v>0.5</v>
      </c>
      <c r="NBU136" s="370" t="e">
        <f>10/NBQ134</f>
        <v>#DIV/0!</v>
      </c>
      <c r="NBV136" s="371">
        <v>15.38</v>
      </c>
      <c r="NBW136" s="371" t="e">
        <f>NBT136*NBU136*NBV136</f>
        <v>#DIV/0!</v>
      </c>
      <c r="NBX136" s="367" t="s">
        <v>206</v>
      </c>
      <c r="NBY136" s="367"/>
      <c r="NBZ136" s="367"/>
      <c r="NCA136" s="368" t="s">
        <v>168</v>
      </c>
      <c r="NCB136" s="369">
        <v>0.5</v>
      </c>
      <c r="NCC136" s="370" t="e">
        <f>10/NBY134</f>
        <v>#DIV/0!</v>
      </c>
      <c r="NCD136" s="371">
        <v>15.38</v>
      </c>
      <c r="NCE136" s="371" t="e">
        <f>NCB136*NCC136*NCD136</f>
        <v>#DIV/0!</v>
      </c>
      <c r="NCF136" s="367" t="s">
        <v>206</v>
      </c>
      <c r="NCG136" s="367"/>
      <c r="NCH136" s="367"/>
      <c r="NCI136" s="368" t="s">
        <v>168</v>
      </c>
      <c r="NCJ136" s="369">
        <v>0.5</v>
      </c>
      <c r="NCK136" s="370" t="e">
        <f>10/NCG134</f>
        <v>#DIV/0!</v>
      </c>
      <c r="NCL136" s="371">
        <v>15.38</v>
      </c>
      <c r="NCM136" s="371" t="e">
        <f>NCJ136*NCK136*NCL136</f>
        <v>#DIV/0!</v>
      </c>
      <c r="NCN136" s="367" t="s">
        <v>206</v>
      </c>
      <c r="NCO136" s="367"/>
      <c r="NCP136" s="367"/>
      <c r="NCQ136" s="368" t="s">
        <v>168</v>
      </c>
      <c r="NCR136" s="369">
        <v>0.5</v>
      </c>
      <c r="NCS136" s="370" t="e">
        <f>10/NCO134</f>
        <v>#DIV/0!</v>
      </c>
      <c r="NCT136" s="371">
        <v>15.38</v>
      </c>
      <c r="NCU136" s="371" t="e">
        <f>NCR136*NCS136*NCT136</f>
        <v>#DIV/0!</v>
      </c>
      <c r="NCV136" s="367" t="s">
        <v>206</v>
      </c>
      <c r="NCW136" s="367"/>
      <c r="NCX136" s="367"/>
      <c r="NCY136" s="368" t="s">
        <v>168</v>
      </c>
      <c r="NCZ136" s="369">
        <v>0.5</v>
      </c>
      <c r="NDA136" s="370" t="e">
        <f>10/NCW134</f>
        <v>#DIV/0!</v>
      </c>
      <c r="NDB136" s="371">
        <v>15.38</v>
      </c>
      <c r="NDC136" s="371" t="e">
        <f>NCZ136*NDA136*NDB136</f>
        <v>#DIV/0!</v>
      </c>
      <c r="NDD136" s="367" t="s">
        <v>206</v>
      </c>
      <c r="NDE136" s="367"/>
      <c r="NDF136" s="367"/>
      <c r="NDG136" s="368" t="s">
        <v>168</v>
      </c>
      <c r="NDH136" s="369">
        <v>0.5</v>
      </c>
      <c r="NDI136" s="370" t="e">
        <f>10/NDE134</f>
        <v>#DIV/0!</v>
      </c>
      <c r="NDJ136" s="371">
        <v>15.38</v>
      </c>
      <c r="NDK136" s="371" t="e">
        <f>NDH136*NDI136*NDJ136</f>
        <v>#DIV/0!</v>
      </c>
      <c r="NDL136" s="367" t="s">
        <v>206</v>
      </c>
      <c r="NDM136" s="367"/>
      <c r="NDN136" s="367"/>
      <c r="NDO136" s="368" t="s">
        <v>168</v>
      </c>
      <c r="NDP136" s="369">
        <v>0.5</v>
      </c>
      <c r="NDQ136" s="370" t="e">
        <f>10/NDM134</f>
        <v>#DIV/0!</v>
      </c>
      <c r="NDR136" s="371">
        <v>15.38</v>
      </c>
      <c r="NDS136" s="371" t="e">
        <f>NDP136*NDQ136*NDR136</f>
        <v>#DIV/0!</v>
      </c>
      <c r="NDT136" s="367" t="s">
        <v>206</v>
      </c>
      <c r="NDU136" s="367"/>
      <c r="NDV136" s="367"/>
      <c r="NDW136" s="368" t="s">
        <v>168</v>
      </c>
      <c r="NDX136" s="369">
        <v>0.5</v>
      </c>
      <c r="NDY136" s="370" t="e">
        <f>10/NDU134</f>
        <v>#DIV/0!</v>
      </c>
      <c r="NDZ136" s="371">
        <v>15.38</v>
      </c>
      <c r="NEA136" s="371" t="e">
        <f>NDX136*NDY136*NDZ136</f>
        <v>#DIV/0!</v>
      </c>
      <c r="NEB136" s="367" t="s">
        <v>206</v>
      </c>
      <c r="NEC136" s="367"/>
      <c r="NED136" s="367"/>
      <c r="NEE136" s="368" t="s">
        <v>168</v>
      </c>
      <c r="NEF136" s="369">
        <v>0.5</v>
      </c>
      <c r="NEG136" s="370" t="e">
        <f>10/NEC134</f>
        <v>#DIV/0!</v>
      </c>
      <c r="NEH136" s="371">
        <v>15.38</v>
      </c>
      <c r="NEI136" s="371" t="e">
        <f>NEF136*NEG136*NEH136</f>
        <v>#DIV/0!</v>
      </c>
      <c r="NEJ136" s="367" t="s">
        <v>206</v>
      </c>
      <c r="NEK136" s="367"/>
      <c r="NEL136" s="367"/>
      <c r="NEM136" s="368" t="s">
        <v>168</v>
      </c>
      <c r="NEN136" s="369">
        <v>0.5</v>
      </c>
      <c r="NEO136" s="370" t="e">
        <f>10/NEK134</f>
        <v>#DIV/0!</v>
      </c>
      <c r="NEP136" s="371">
        <v>15.38</v>
      </c>
      <c r="NEQ136" s="371" t="e">
        <f>NEN136*NEO136*NEP136</f>
        <v>#DIV/0!</v>
      </c>
      <c r="NER136" s="367" t="s">
        <v>206</v>
      </c>
      <c r="NES136" s="367"/>
      <c r="NET136" s="367"/>
      <c r="NEU136" s="368" t="s">
        <v>168</v>
      </c>
      <c r="NEV136" s="369">
        <v>0.5</v>
      </c>
      <c r="NEW136" s="370" t="e">
        <f>10/NES134</f>
        <v>#DIV/0!</v>
      </c>
      <c r="NEX136" s="371">
        <v>15.38</v>
      </c>
      <c r="NEY136" s="371" t="e">
        <f>NEV136*NEW136*NEX136</f>
        <v>#DIV/0!</v>
      </c>
      <c r="NEZ136" s="367" t="s">
        <v>206</v>
      </c>
      <c r="NFA136" s="367"/>
      <c r="NFB136" s="367"/>
      <c r="NFC136" s="368" t="s">
        <v>168</v>
      </c>
      <c r="NFD136" s="369">
        <v>0.5</v>
      </c>
      <c r="NFE136" s="370" t="e">
        <f>10/NFA134</f>
        <v>#DIV/0!</v>
      </c>
      <c r="NFF136" s="371">
        <v>15.38</v>
      </c>
      <c r="NFG136" s="371" t="e">
        <f>NFD136*NFE136*NFF136</f>
        <v>#DIV/0!</v>
      </c>
      <c r="NFH136" s="367" t="s">
        <v>206</v>
      </c>
      <c r="NFI136" s="367"/>
      <c r="NFJ136" s="367"/>
      <c r="NFK136" s="368" t="s">
        <v>168</v>
      </c>
      <c r="NFL136" s="369">
        <v>0.5</v>
      </c>
      <c r="NFM136" s="370" t="e">
        <f>10/NFI134</f>
        <v>#DIV/0!</v>
      </c>
      <c r="NFN136" s="371">
        <v>15.38</v>
      </c>
      <c r="NFO136" s="371" t="e">
        <f>NFL136*NFM136*NFN136</f>
        <v>#DIV/0!</v>
      </c>
      <c r="NFP136" s="367" t="s">
        <v>206</v>
      </c>
      <c r="NFQ136" s="367"/>
      <c r="NFR136" s="367"/>
      <c r="NFS136" s="368" t="s">
        <v>168</v>
      </c>
      <c r="NFT136" s="369">
        <v>0.5</v>
      </c>
      <c r="NFU136" s="370" t="e">
        <f>10/NFQ134</f>
        <v>#DIV/0!</v>
      </c>
      <c r="NFV136" s="371">
        <v>15.38</v>
      </c>
      <c r="NFW136" s="371" t="e">
        <f>NFT136*NFU136*NFV136</f>
        <v>#DIV/0!</v>
      </c>
      <c r="NFX136" s="367" t="s">
        <v>206</v>
      </c>
      <c r="NFY136" s="367"/>
      <c r="NFZ136" s="367"/>
      <c r="NGA136" s="368" t="s">
        <v>168</v>
      </c>
      <c r="NGB136" s="369">
        <v>0.5</v>
      </c>
      <c r="NGC136" s="370" t="e">
        <f>10/NFY134</f>
        <v>#DIV/0!</v>
      </c>
      <c r="NGD136" s="371">
        <v>15.38</v>
      </c>
      <c r="NGE136" s="371" t="e">
        <f>NGB136*NGC136*NGD136</f>
        <v>#DIV/0!</v>
      </c>
      <c r="NGF136" s="367" t="s">
        <v>206</v>
      </c>
      <c r="NGG136" s="367"/>
      <c r="NGH136" s="367"/>
      <c r="NGI136" s="368" t="s">
        <v>168</v>
      </c>
      <c r="NGJ136" s="369">
        <v>0.5</v>
      </c>
      <c r="NGK136" s="370" t="e">
        <f>10/NGG134</f>
        <v>#DIV/0!</v>
      </c>
      <c r="NGL136" s="371">
        <v>15.38</v>
      </c>
      <c r="NGM136" s="371" t="e">
        <f>NGJ136*NGK136*NGL136</f>
        <v>#DIV/0!</v>
      </c>
      <c r="NGN136" s="367" t="s">
        <v>206</v>
      </c>
      <c r="NGO136" s="367"/>
      <c r="NGP136" s="367"/>
      <c r="NGQ136" s="368" t="s">
        <v>168</v>
      </c>
      <c r="NGR136" s="369">
        <v>0.5</v>
      </c>
      <c r="NGS136" s="370" t="e">
        <f>10/NGO134</f>
        <v>#DIV/0!</v>
      </c>
      <c r="NGT136" s="371">
        <v>15.38</v>
      </c>
      <c r="NGU136" s="371" t="e">
        <f>NGR136*NGS136*NGT136</f>
        <v>#DIV/0!</v>
      </c>
      <c r="NGV136" s="367" t="s">
        <v>206</v>
      </c>
      <c r="NGW136" s="367"/>
      <c r="NGX136" s="367"/>
      <c r="NGY136" s="368" t="s">
        <v>168</v>
      </c>
      <c r="NGZ136" s="369">
        <v>0.5</v>
      </c>
      <c r="NHA136" s="370" t="e">
        <f>10/NGW134</f>
        <v>#DIV/0!</v>
      </c>
      <c r="NHB136" s="371">
        <v>15.38</v>
      </c>
      <c r="NHC136" s="371" t="e">
        <f>NGZ136*NHA136*NHB136</f>
        <v>#DIV/0!</v>
      </c>
      <c r="NHD136" s="367" t="s">
        <v>206</v>
      </c>
      <c r="NHE136" s="367"/>
      <c r="NHF136" s="367"/>
      <c r="NHG136" s="368" t="s">
        <v>168</v>
      </c>
      <c r="NHH136" s="369">
        <v>0.5</v>
      </c>
      <c r="NHI136" s="370" t="e">
        <f>10/NHE134</f>
        <v>#DIV/0!</v>
      </c>
      <c r="NHJ136" s="371">
        <v>15.38</v>
      </c>
      <c r="NHK136" s="371" t="e">
        <f>NHH136*NHI136*NHJ136</f>
        <v>#DIV/0!</v>
      </c>
      <c r="NHL136" s="367" t="s">
        <v>206</v>
      </c>
      <c r="NHM136" s="367"/>
      <c r="NHN136" s="367"/>
      <c r="NHO136" s="368" t="s">
        <v>168</v>
      </c>
      <c r="NHP136" s="369">
        <v>0.5</v>
      </c>
      <c r="NHQ136" s="370" t="e">
        <f>10/NHM134</f>
        <v>#DIV/0!</v>
      </c>
      <c r="NHR136" s="371">
        <v>15.38</v>
      </c>
      <c r="NHS136" s="371" t="e">
        <f>NHP136*NHQ136*NHR136</f>
        <v>#DIV/0!</v>
      </c>
      <c r="NHT136" s="367" t="s">
        <v>206</v>
      </c>
      <c r="NHU136" s="367"/>
      <c r="NHV136" s="367"/>
      <c r="NHW136" s="368" t="s">
        <v>168</v>
      </c>
      <c r="NHX136" s="369">
        <v>0.5</v>
      </c>
      <c r="NHY136" s="370" t="e">
        <f>10/NHU134</f>
        <v>#DIV/0!</v>
      </c>
      <c r="NHZ136" s="371">
        <v>15.38</v>
      </c>
      <c r="NIA136" s="371" t="e">
        <f>NHX136*NHY136*NHZ136</f>
        <v>#DIV/0!</v>
      </c>
      <c r="NIB136" s="367" t="s">
        <v>206</v>
      </c>
      <c r="NIC136" s="367"/>
      <c r="NID136" s="367"/>
      <c r="NIE136" s="368" t="s">
        <v>168</v>
      </c>
      <c r="NIF136" s="369">
        <v>0.5</v>
      </c>
      <c r="NIG136" s="370" t="e">
        <f>10/NIC134</f>
        <v>#DIV/0!</v>
      </c>
      <c r="NIH136" s="371">
        <v>15.38</v>
      </c>
      <c r="NII136" s="371" t="e">
        <f>NIF136*NIG136*NIH136</f>
        <v>#DIV/0!</v>
      </c>
      <c r="NIJ136" s="367" t="s">
        <v>206</v>
      </c>
      <c r="NIK136" s="367"/>
      <c r="NIL136" s="367"/>
      <c r="NIM136" s="368" t="s">
        <v>168</v>
      </c>
      <c r="NIN136" s="369">
        <v>0.5</v>
      </c>
      <c r="NIO136" s="370" t="e">
        <f>10/NIK134</f>
        <v>#DIV/0!</v>
      </c>
      <c r="NIP136" s="371">
        <v>15.38</v>
      </c>
      <c r="NIQ136" s="371" t="e">
        <f>NIN136*NIO136*NIP136</f>
        <v>#DIV/0!</v>
      </c>
      <c r="NIR136" s="367" t="s">
        <v>206</v>
      </c>
      <c r="NIS136" s="367"/>
      <c r="NIT136" s="367"/>
      <c r="NIU136" s="368" t="s">
        <v>168</v>
      </c>
      <c r="NIV136" s="369">
        <v>0.5</v>
      </c>
      <c r="NIW136" s="370" t="e">
        <f>10/NIS134</f>
        <v>#DIV/0!</v>
      </c>
      <c r="NIX136" s="371">
        <v>15.38</v>
      </c>
      <c r="NIY136" s="371" t="e">
        <f>NIV136*NIW136*NIX136</f>
        <v>#DIV/0!</v>
      </c>
      <c r="NIZ136" s="367" t="s">
        <v>206</v>
      </c>
      <c r="NJA136" s="367"/>
      <c r="NJB136" s="367"/>
      <c r="NJC136" s="368" t="s">
        <v>168</v>
      </c>
      <c r="NJD136" s="369">
        <v>0.5</v>
      </c>
      <c r="NJE136" s="370" t="e">
        <f>10/NJA134</f>
        <v>#DIV/0!</v>
      </c>
      <c r="NJF136" s="371">
        <v>15.38</v>
      </c>
      <c r="NJG136" s="371" t="e">
        <f>NJD136*NJE136*NJF136</f>
        <v>#DIV/0!</v>
      </c>
      <c r="NJH136" s="367" t="s">
        <v>206</v>
      </c>
      <c r="NJI136" s="367"/>
      <c r="NJJ136" s="367"/>
      <c r="NJK136" s="368" t="s">
        <v>168</v>
      </c>
      <c r="NJL136" s="369">
        <v>0.5</v>
      </c>
      <c r="NJM136" s="370" t="e">
        <f>10/NJI134</f>
        <v>#DIV/0!</v>
      </c>
      <c r="NJN136" s="371">
        <v>15.38</v>
      </c>
      <c r="NJO136" s="371" t="e">
        <f>NJL136*NJM136*NJN136</f>
        <v>#DIV/0!</v>
      </c>
      <c r="NJP136" s="367" t="s">
        <v>206</v>
      </c>
      <c r="NJQ136" s="367"/>
      <c r="NJR136" s="367"/>
      <c r="NJS136" s="368" t="s">
        <v>168</v>
      </c>
      <c r="NJT136" s="369">
        <v>0.5</v>
      </c>
      <c r="NJU136" s="370" t="e">
        <f>10/NJQ134</f>
        <v>#DIV/0!</v>
      </c>
      <c r="NJV136" s="371">
        <v>15.38</v>
      </c>
      <c r="NJW136" s="371" t="e">
        <f>NJT136*NJU136*NJV136</f>
        <v>#DIV/0!</v>
      </c>
      <c r="NJX136" s="367" t="s">
        <v>206</v>
      </c>
      <c r="NJY136" s="367"/>
      <c r="NJZ136" s="367"/>
      <c r="NKA136" s="368" t="s">
        <v>168</v>
      </c>
      <c r="NKB136" s="369">
        <v>0.5</v>
      </c>
      <c r="NKC136" s="370" t="e">
        <f>10/NJY134</f>
        <v>#DIV/0!</v>
      </c>
      <c r="NKD136" s="371">
        <v>15.38</v>
      </c>
      <c r="NKE136" s="371" t="e">
        <f>NKB136*NKC136*NKD136</f>
        <v>#DIV/0!</v>
      </c>
      <c r="NKF136" s="367" t="s">
        <v>206</v>
      </c>
      <c r="NKG136" s="367"/>
      <c r="NKH136" s="367"/>
      <c r="NKI136" s="368" t="s">
        <v>168</v>
      </c>
      <c r="NKJ136" s="369">
        <v>0.5</v>
      </c>
      <c r="NKK136" s="370" t="e">
        <f>10/NKG134</f>
        <v>#DIV/0!</v>
      </c>
      <c r="NKL136" s="371">
        <v>15.38</v>
      </c>
      <c r="NKM136" s="371" t="e">
        <f>NKJ136*NKK136*NKL136</f>
        <v>#DIV/0!</v>
      </c>
      <c r="NKN136" s="367" t="s">
        <v>206</v>
      </c>
      <c r="NKO136" s="367"/>
      <c r="NKP136" s="367"/>
      <c r="NKQ136" s="368" t="s">
        <v>168</v>
      </c>
      <c r="NKR136" s="369">
        <v>0.5</v>
      </c>
      <c r="NKS136" s="370" t="e">
        <f>10/NKO134</f>
        <v>#DIV/0!</v>
      </c>
      <c r="NKT136" s="371">
        <v>15.38</v>
      </c>
      <c r="NKU136" s="371" t="e">
        <f>NKR136*NKS136*NKT136</f>
        <v>#DIV/0!</v>
      </c>
      <c r="NKV136" s="367" t="s">
        <v>206</v>
      </c>
      <c r="NKW136" s="367"/>
      <c r="NKX136" s="367"/>
      <c r="NKY136" s="368" t="s">
        <v>168</v>
      </c>
      <c r="NKZ136" s="369">
        <v>0.5</v>
      </c>
      <c r="NLA136" s="370" t="e">
        <f>10/NKW134</f>
        <v>#DIV/0!</v>
      </c>
      <c r="NLB136" s="371">
        <v>15.38</v>
      </c>
      <c r="NLC136" s="371" t="e">
        <f>NKZ136*NLA136*NLB136</f>
        <v>#DIV/0!</v>
      </c>
      <c r="NLD136" s="367" t="s">
        <v>206</v>
      </c>
      <c r="NLE136" s="367"/>
      <c r="NLF136" s="367"/>
      <c r="NLG136" s="368" t="s">
        <v>168</v>
      </c>
      <c r="NLH136" s="369">
        <v>0.5</v>
      </c>
      <c r="NLI136" s="370" t="e">
        <f>10/NLE134</f>
        <v>#DIV/0!</v>
      </c>
      <c r="NLJ136" s="371">
        <v>15.38</v>
      </c>
      <c r="NLK136" s="371" t="e">
        <f>NLH136*NLI136*NLJ136</f>
        <v>#DIV/0!</v>
      </c>
      <c r="NLL136" s="367" t="s">
        <v>206</v>
      </c>
      <c r="NLM136" s="367"/>
      <c r="NLN136" s="367"/>
      <c r="NLO136" s="368" t="s">
        <v>168</v>
      </c>
      <c r="NLP136" s="369">
        <v>0.5</v>
      </c>
      <c r="NLQ136" s="370" t="e">
        <f>10/NLM134</f>
        <v>#DIV/0!</v>
      </c>
      <c r="NLR136" s="371">
        <v>15.38</v>
      </c>
      <c r="NLS136" s="371" t="e">
        <f>NLP136*NLQ136*NLR136</f>
        <v>#DIV/0!</v>
      </c>
      <c r="NLT136" s="367" t="s">
        <v>206</v>
      </c>
      <c r="NLU136" s="367"/>
      <c r="NLV136" s="367"/>
      <c r="NLW136" s="368" t="s">
        <v>168</v>
      </c>
      <c r="NLX136" s="369">
        <v>0.5</v>
      </c>
      <c r="NLY136" s="370" t="e">
        <f>10/NLU134</f>
        <v>#DIV/0!</v>
      </c>
      <c r="NLZ136" s="371">
        <v>15.38</v>
      </c>
      <c r="NMA136" s="371" t="e">
        <f>NLX136*NLY136*NLZ136</f>
        <v>#DIV/0!</v>
      </c>
      <c r="NMB136" s="367" t="s">
        <v>206</v>
      </c>
      <c r="NMC136" s="367"/>
      <c r="NMD136" s="367"/>
      <c r="NME136" s="368" t="s">
        <v>168</v>
      </c>
      <c r="NMF136" s="369">
        <v>0.5</v>
      </c>
      <c r="NMG136" s="370" t="e">
        <f>10/NMC134</f>
        <v>#DIV/0!</v>
      </c>
      <c r="NMH136" s="371">
        <v>15.38</v>
      </c>
      <c r="NMI136" s="371" t="e">
        <f>NMF136*NMG136*NMH136</f>
        <v>#DIV/0!</v>
      </c>
      <c r="NMJ136" s="367" t="s">
        <v>206</v>
      </c>
      <c r="NMK136" s="367"/>
      <c r="NML136" s="367"/>
      <c r="NMM136" s="368" t="s">
        <v>168</v>
      </c>
      <c r="NMN136" s="369">
        <v>0.5</v>
      </c>
      <c r="NMO136" s="370" t="e">
        <f>10/NMK134</f>
        <v>#DIV/0!</v>
      </c>
      <c r="NMP136" s="371">
        <v>15.38</v>
      </c>
      <c r="NMQ136" s="371" t="e">
        <f>NMN136*NMO136*NMP136</f>
        <v>#DIV/0!</v>
      </c>
      <c r="NMR136" s="367" t="s">
        <v>206</v>
      </c>
      <c r="NMS136" s="367"/>
      <c r="NMT136" s="367"/>
      <c r="NMU136" s="368" t="s">
        <v>168</v>
      </c>
      <c r="NMV136" s="369">
        <v>0.5</v>
      </c>
      <c r="NMW136" s="370" t="e">
        <f>10/NMS134</f>
        <v>#DIV/0!</v>
      </c>
      <c r="NMX136" s="371">
        <v>15.38</v>
      </c>
      <c r="NMY136" s="371" t="e">
        <f>NMV136*NMW136*NMX136</f>
        <v>#DIV/0!</v>
      </c>
      <c r="NMZ136" s="367" t="s">
        <v>206</v>
      </c>
      <c r="NNA136" s="367"/>
      <c r="NNB136" s="367"/>
      <c r="NNC136" s="368" t="s">
        <v>168</v>
      </c>
      <c r="NND136" s="369">
        <v>0.5</v>
      </c>
      <c r="NNE136" s="370" t="e">
        <f>10/NNA134</f>
        <v>#DIV/0!</v>
      </c>
      <c r="NNF136" s="371">
        <v>15.38</v>
      </c>
      <c r="NNG136" s="371" t="e">
        <f>NND136*NNE136*NNF136</f>
        <v>#DIV/0!</v>
      </c>
      <c r="NNH136" s="367" t="s">
        <v>206</v>
      </c>
      <c r="NNI136" s="367"/>
      <c r="NNJ136" s="367"/>
      <c r="NNK136" s="368" t="s">
        <v>168</v>
      </c>
      <c r="NNL136" s="369">
        <v>0.5</v>
      </c>
      <c r="NNM136" s="370" t="e">
        <f>10/NNI134</f>
        <v>#DIV/0!</v>
      </c>
      <c r="NNN136" s="371">
        <v>15.38</v>
      </c>
      <c r="NNO136" s="371" t="e">
        <f>NNL136*NNM136*NNN136</f>
        <v>#DIV/0!</v>
      </c>
      <c r="NNP136" s="367" t="s">
        <v>206</v>
      </c>
      <c r="NNQ136" s="367"/>
      <c r="NNR136" s="367"/>
      <c r="NNS136" s="368" t="s">
        <v>168</v>
      </c>
      <c r="NNT136" s="369">
        <v>0.5</v>
      </c>
      <c r="NNU136" s="370" t="e">
        <f>10/NNQ134</f>
        <v>#DIV/0!</v>
      </c>
      <c r="NNV136" s="371">
        <v>15.38</v>
      </c>
      <c r="NNW136" s="371" t="e">
        <f>NNT136*NNU136*NNV136</f>
        <v>#DIV/0!</v>
      </c>
      <c r="NNX136" s="367" t="s">
        <v>206</v>
      </c>
      <c r="NNY136" s="367"/>
      <c r="NNZ136" s="367"/>
      <c r="NOA136" s="368" t="s">
        <v>168</v>
      </c>
      <c r="NOB136" s="369">
        <v>0.5</v>
      </c>
      <c r="NOC136" s="370" t="e">
        <f>10/NNY134</f>
        <v>#DIV/0!</v>
      </c>
      <c r="NOD136" s="371">
        <v>15.38</v>
      </c>
      <c r="NOE136" s="371" t="e">
        <f>NOB136*NOC136*NOD136</f>
        <v>#DIV/0!</v>
      </c>
      <c r="NOF136" s="367" t="s">
        <v>206</v>
      </c>
      <c r="NOG136" s="367"/>
      <c r="NOH136" s="367"/>
      <c r="NOI136" s="368" t="s">
        <v>168</v>
      </c>
      <c r="NOJ136" s="369">
        <v>0.5</v>
      </c>
      <c r="NOK136" s="370" t="e">
        <f>10/NOG134</f>
        <v>#DIV/0!</v>
      </c>
      <c r="NOL136" s="371">
        <v>15.38</v>
      </c>
      <c r="NOM136" s="371" t="e">
        <f>NOJ136*NOK136*NOL136</f>
        <v>#DIV/0!</v>
      </c>
      <c r="NON136" s="367" t="s">
        <v>206</v>
      </c>
      <c r="NOO136" s="367"/>
      <c r="NOP136" s="367"/>
      <c r="NOQ136" s="368" t="s">
        <v>168</v>
      </c>
      <c r="NOR136" s="369">
        <v>0.5</v>
      </c>
      <c r="NOS136" s="370" t="e">
        <f>10/NOO134</f>
        <v>#DIV/0!</v>
      </c>
      <c r="NOT136" s="371">
        <v>15.38</v>
      </c>
      <c r="NOU136" s="371" t="e">
        <f>NOR136*NOS136*NOT136</f>
        <v>#DIV/0!</v>
      </c>
      <c r="NOV136" s="367" t="s">
        <v>206</v>
      </c>
      <c r="NOW136" s="367"/>
      <c r="NOX136" s="367"/>
      <c r="NOY136" s="368" t="s">
        <v>168</v>
      </c>
      <c r="NOZ136" s="369">
        <v>0.5</v>
      </c>
      <c r="NPA136" s="370" t="e">
        <f>10/NOW134</f>
        <v>#DIV/0!</v>
      </c>
      <c r="NPB136" s="371">
        <v>15.38</v>
      </c>
      <c r="NPC136" s="371" t="e">
        <f>NOZ136*NPA136*NPB136</f>
        <v>#DIV/0!</v>
      </c>
      <c r="NPD136" s="367" t="s">
        <v>206</v>
      </c>
      <c r="NPE136" s="367"/>
      <c r="NPF136" s="367"/>
      <c r="NPG136" s="368" t="s">
        <v>168</v>
      </c>
      <c r="NPH136" s="369">
        <v>0.5</v>
      </c>
      <c r="NPI136" s="370" t="e">
        <f>10/NPE134</f>
        <v>#DIV/0!</v>
      </c>
      <c r="NPJ136" s="371">
        <v>15.38</v>
      </c>
      <c r="NPK136" s="371" t="e">
        <f>NPH136*NPI136*NPJ136</f>
        <v>#DIV/0!</v>
      </c>
      <c r="NPL136" s="367" t="s">
        <v>206</v>
      </c>
      <c r="NPM136" s="367"/>
      <c r="NPN136" s="367"/>
      <c r="NPO136" s="368" t="s">
        <v>168</v>
      </c>
      <c r="NPP136" s="369">
        <v>0.5</v>
      </c>
      <c r="NPQ136" s="370" t="e">
        <f>10/NPM134</f>
        <v>#DIV/0!</v>
      </c>
      <c r="NPR136" s="371">
        <v>15.38</v>
      </c>
      <c r="NPS136" s="371" t="e">
        <f>NPP136*NPQ136*NPR136</f>
        <v>#DIV/0!</v>
      </c>
      <c r="NPT136" s="367" t="s">
        <v>206</v>
      </c>
      <c r="NPU136" s="367"/>
      <c r="NPV136" s="367"/>
      <c r="NPW136" s="368" t="s">
        <v>168</v>
      </c>
      <c r="NPX136" s="369">
        <v>0.5</v>
      </c>
      <c r="NPY136" s="370" t="e">
        <f>10/NPU134</f>
        <v>#DIV/0!</v>
      </c>
      <c r="NPZ136" s="371">
        <v>15.38</v>
      </c>
      <c r="NQA136" s="371" t="e">
        <f>NPX136*NPY136*NPZ136</f>
        <v>#DIV/0!</v>
      </c>
      <c r="NQB136" s="367" t="s">
        <v>206</v>
      </c>
      <c r="NQC136" s="367"/>
      <c r="NQD136" s="367"/>
      <c r="NQE136" s="368" t="s">
        <v>168</v>
      </c>
      <c r="NQF136" s="369">
        <v>0.5</v>
      </c>
      <c r="NQG136" s="370" t="e">
        <f>10/NQC134</f>
        <v>#DIV/0!</v>
      </c>
      <c r="NQH136" s="371">
        <v>15.38</v>
      </c>
      <c r="NQI136" s="371" t="e">
        <f>NQF136*NQG136*NQH136</f>
        <v>#DIV/0!</v>
      </c>
      <c r="NQJ136" s="367" t="s">
        <v>206</v>
      </c>
      <c r="NQK136" s="367"/>
      <c r="NQL136" s="367"/>
      <c r="NQM136" s="368" t="s">
        <v>168</v>
      </c>
      <c r="NQN136" s="369">
        <v>0.5</v>
      </c>
      <c r="NQO136" s="370" t="e">
        <f>10/NQK134</f>
        <v>#DIV/0!</v>
      </c>
      <c r="NQP136" s="371">
        <v>15.38</v>
      </c>
      <c r="NQQ136" s="371" t="e">
        <f>NQN136*NQO136*NQP136</f>
        <v>#DIV/0!</v>
      </c>
      <c r="NQR136" s="367" t="s">
        <v>206</v>
      </c>
      <c r="NQS136" s="367"/>
      <c r="NQT136" s="367"/>
      <c r="NQU136" s="368" t="s">
        <v>168</v>
      </c>
      <c r="NQV136" s="369">
        <v>0.5</v>
      </c>
      <c r="NQW136" s="370" t="e">
        <f>10/NQS134</f>
        <v>#DIV/0!</v>
      </c>
      <c r="NQX136" s="371">
        <v>15.38</v>
      </c>
      <c r="NQY136" s="371" t="e">
        <f>NQV136*NQW136*NQX136</f>
        <v>#DIV/0!</v>
      </c>
      <c r="NQZ136" s="367" t="s">
        <v>206</v>
      </c>
      <c r="NRA136" s="367"/>
      <c r="NRB136" s="367"/>
      <c r="NRC136" s="368" t="s">
        <v>168</v>
      </c>
      <c r="NRD136" s="369">
        <v>0.5</v>
      </c>
      <c r="NRE136" s="370" t="e">
        <f>10/NRA134</f>
        <v>#DIV/0!</v>
      </c>
      <c r="NRF136" s="371">
        <v>15.38</v>
      </c>
      <c r="NRG136" s="371" t="e">
        <f>NRD136*NRE136*NRF136</f>
        <v>#DIV/0!</v>
      </c>
      <c r="NRH136" s="367" t="s">
        <v>206</v>
      </c>
      <c r="NRI136" s="367"/>
      <c r="NRJ136" s="367"/>
      <c r="NRK136" s="368" t="s">
        <v>168</v>
      </c>
      <c r="NRL136" s="369">
        <v>0.5</v>
      </c>
      <c r="NRM136" s="370" t="e">
        <f>10/NRI134</f>
        <v>#DIV/0!</v>
      </c>
      <c r="NRN136" s="371">
        <v>15.38</v>
      </c>
      <c r="NRO136" s="371" t="e">
        <f>NRL136*NRM136*NRN136</f>
        <v>#DIV/0!</v>
      </c>
      <c r="NRP136" s="367" t="s">
        <v>206</v>
      </c>
      <c r="NRQ136" s="367"/>
      <c r="NRR136" s="367"/>
      <c r="NRS136" s="368" t="s">
        <v>168</v>
      </c>
      <c r="NRT136" s="369">
        <v>0.5</v>
      </c>
      <c r="NRU136" s="370" t="e">
        <f>10/NRQ134</f>
        <v>#DIV/0!</v>
      </c>
      <c r="NRV136" s="371">
        <v>15.38</v>
      </c>
      <c r="NRW136" s="371" t="e">
        <f>NRT136*NRU136*NRV136</f>
        <v>#DIV/0!</v>
      </c>
      <c r="NRX136" s="367" t="s">
        <v>206</v>
      </c>
      <c r="NRY136" s="367"/>
      <c r="NRZ136" s="367"/>
      <c r="NSA136" s="368" t="s">
        <v>168</v>
      </c>
      <c r="NSB136" s="369">
        <v>0.5</v>
      </c>
      <c r="NSC136" s="370" t="e">
        <f>10/NRY134</f>
        <v>#DIV/0!</v>
      </c>
      <c r="NSD136" s="371">
        <v>15.38</v>
      </c>
      <c r="NSE136" s="371" t="e">
        <f>NSB136*NSC136*NSD136</f>
        <v>#DIV/0!</v>
      </c>
      <c r="NSF136" s="367" t="s">
        <v>206</v>
      </c>
      <c r="NSG136" s="367"/>
      <c r="NSH136" s="367"/>
      <c r="NSI136" s="368" t="s">
        <v>168</v>
      </c>
      <c r="NSJ136" s="369">
        <v>0.5</v>
      </c>
      <c r="NSK136" s="370" t="e">
        <f>10/NSG134</f>
        <v>#DIV/0!</v>
      </c>
      <c r="NSL136" s="371">
        <v>15.38</v>
      </c>
      <c r="NSM136" s="371" t="e">
        <f>NSJ136*NSK136*NSL136</f>
        <v>#DIV/0!</v>
      </c>
      <c r="NSN136" s="367" t="s">
        <v>206</v>
      </c>
      <c r="NSO136" s="367"/>
      <c r="NSP136" s="367"/>
      <c r="NSQ136" s="368" t="s">
        <v>168</v>
      </c>
      <c r="NSR136" s="369">
        <v>0.5</v>
      </c>
      <c r="NSS136" s="370" t="e">
        <f>10/NSO134</f>
        <v>#DIV/0!</v>
      </c>
      <c r="NST136" s="371">
        <v>15.38</v>
      </c>
      <c r="NSU136" s="371" t="e">
        <f>NSR136*NSS136*NST136</f>
        <v>#DIV/0!</v>
      </c>
      <c r="NSV136" s="367" t="s">
        <v>206</v>
      </c>
      <c r="NSW136" s="367"/>
      <c r="NSX136" s="367"/>
      <c r="NSY136" s="368" t="s">
        <v>168</v>
      </c>
      <c r="NSZ136" s="369">
        <v>0.5</v>
      </c>
      <c r="NTA136" s="370" t="e">
        <f>10/NSW134</f>
        <v>#DIV/0!</v>
      </c>
      <c r="NTB136" s="371">
        <v>15.38</v>
      </c>
      <c r="NTC136" s="371" t="e">
        <f>NSZ136*NTA136*NTB136</f>
        <v>#DIV/0!</v>
      </c>
      <c r="NTD136" s="367" t="s">
        <v>206</v>
      </c>
      <c r="NTE136" s="367"/>
      <c r="NTF136" s="367"/>
      <c r="NTG136" s="368" t="s">
        <v>168</v>
      </c>
      <c r="NTH136" s="369">
        <v>0.5</v>
      </c>
      <c r="NTI136" s="370" t="e">
        <f>10/NTE134</f>
        <v>#DIV/0!</v>
      </c>
      <c r="NTJ136" s="371">
        <v>15.38</v>
      </c>
      <c r="NTK136" s="371" t="e">
        <f>NTH136*NTI136*NTJ136</f>
        <v>#DIV/0!</v>
      </c>
      <c r="NTL136" s="367" t="s">
        <v>206</v>
      </c>
      <c r="NTM136" s="367"/>
      <c r="NTN136" s="367"/>
      <c r="NTO136" s="368" t="s">
        <v>168</v>
      </c>
      <c r="NTP136" s="369">
        <v>0.5</v>
      </c>
      <c r="NTQ136" s="370" t="e">
        <f>10/NTM134</f>
        <v>#DIV/0!</v>
      </c>
      <c r="NTR136" s="371">
        <v>15.38</v>
      </c>
      <c r="NTS136" s="371" t="e">
        <f>NTP136*NTQ136*NTR136</f>
        <v>#DIV/0!</v>
      </c>
      <c r="NTT136" s="367" t="s">
        <v>206</v>
      </c>
      <c r="NTU136" s="367"/>
      <c r="NTV136" s="367"/>
      <c r="NTW136" s="368" t="s">
        <v>168</v>
      </c>
      <c r="NTX136" s="369">
        <v>0.5</v>
      </c>
      <c r="NTY136" s="370" t="e">
        <f>10/NTU134</f>
        <v>#DIV/0!</v>
      </c>
      <c r="NTZ136" s="371">
        <v>15.38</v>
      </c>
      <c r="NUA136" s="371" t="e">
        <f>NTX136*NTY136*NTZ136</f>
        <v>#DIV/0!</v>
      </c>
      <c r="NUB136" s="367" t="s">
        <v>206</v>
      </c>
      <c r="NUC136" s="367"/>
      <c r="NUD136" s="367"/>
      <c r="NUE136" s="368" t="s">
        <v>168</v>
      </c>
      <c r="NUF136" s="369">
        <v>0.5</v>
      </c>
      <c r="NUG136" s="370" t="e">
        <f>10/NUC134</f>
        <v>#DIV/0!</v>
      </c>
      <c r="NUH136" s="371">
        <v>15.38</v>
      </c>
      <c r="NUI136" s="371" t="e">
        <f>NUF136*NUG136*NUH136</f>
        <v>#DIV/0!</v>
      </c>
      <c r="NUJ136" s="367" t="s">
        <v>206</v>
      </c>
      <c r="NUK136" s="367"/>
      <c r="NUL136" s="367"/>
      <c r="NUM136" s="368" t="s">
        <v>168</v>
      </c>
      <c r="NUN136" s="369">
        <v>0.5</v>
      </c>
      <c r="NUO136" s="370" t="e">
        <f>10/NUK134</f>
        <v>#DIV/0!</v>
      </c>
      <c r="NUP136" s="371">
        <v>15.38</v>
      </c>
      <c r="NUQ136" s="371" t="e">
        <f>NUN136*NUO136*NUP136</f>
        <v>#DIV/0!</v>
      </c>
      <c r="NUR136" s="367" t="s">
        <v>206</v>
      </c>
      <c r="NUS136" s="367"/>
      <c r="NUT136" s="367"/>
      <c r="NUU136" s="368" t="s">
        <v>168</v>
      </c>
      <c r="NUV136" s="369">
        <v>0.5</v>
      </c>
      <c r="NUW136" s="370" t="e">
        <f>10/NUS134</f>
        <v>#DIV/0!</v>
      </c>
      <c r="NUX136" s="371">
        <v>15.38</v>
      </c>
      <c r="NUY136" s="371" t="e">
        <f>NUV136*NUW136*NUX136</f>
        <v>#DIV/0!</v>
      </c>
      <c r="NUZ136" s="367" t="s">
        <v>206</v>
      </c>
      <c r="NVA136" s="367"/>
      <c r="NVB136" s="367"/>
      <c r="NVC136" s="368" t="s">
        <v>168</v>
      </c>
      <c r="NVD136" s="369">
        <v>0.5</v>
      </c>
      <c r="NVE136" s="370" t="e">
        <f>10/NVA134</f>
        <v>#DIV/0!</v>
      </c>
      <c r="NVF136" s="371">
        <v>15.38</v>
      </c>
      <c r="NVG136" s="371" t="e">
        <f>NVD136*NVE136*NVF136</f>
        <v>#DIV/0!</v>
      </c>
      <c r="NVH136" s="367" t="s">
        <v>206</v>
      </c>
      <c r="NVI136" s="367"/>
      <c r="NVJ136" s="367"/>
      <c r="NVK136" s="368" t="s">
        <v>168</v>
      </c>
      <c r="NVL136" s="369">
        <v>0.5</v>
      </c>
      <c r="NVM136" s="370" t="e">
        <f>10/NVI134</f>
        <v>#DIV/0!</v>
      </c>
      <c r="NVN136" s="371">
        <v>15.38</v>
      </c>
      <c r="NVO136" s="371" t="e">
        <f>NVL136*NVM136*NVN136</f>
        <v>#DIV/0!</v>
      </c>
      <c r="NVP136" s="367" t="s">
        <v>206</v>
      </c>
      <c r="NVQ136" s="367"/>
      <c r="NVR136" s="367"/>
      <c r="NVS136" s="368" t="s">
        <v>168</v>
      </c>
      <c r="NVT136" s="369">
        <v>0.5</v>
      </c>
      <c r="NVU136" s="370" t="e">
        <f>10/NVQ134</f>
        <v>#DIV/0!</v>
      </c>
      <c r="NVV136" s="371">
        <v>15.38</v>
      </c>
      <c r="NVW136" s="371" t="e">
        <f>NVT136*NVU136*NVV136</f>
        <v>#DIV/0!</v>
      </c>
      <c r="NVX136" s="367" t="s">
        <v>206</v>
      </c>
      <c r="NVY136" s="367"/>
      <c r="NVZ136" s="367"/>
      <c r="NWA136" s="368" t="s">
        <v>168</v>
      </c>
      <c r="NWB136" s="369">
        <v>0.5</v>
      </c>
      <c r="NWC136" s="370" t="e">
        <f>10/NVY134</f>
        <v>#DIV/0!</v>
      </c>
      <c r="NWD136" s="371">
        <v>15.38</v>
      </c>
      <c r="NWE136" s="371" t="e">
        <f>NWB136*NWC136*NWD136</f>
        <v>#DIV/0!</v>
      </c>
      <c r="NWF136" s="367" t="s">
        <v>206</v>
      </c>
      <c r="NWG136" s="367"/>
      <c r="NWH136" s="367"/>
      <c r="NWI136" s="368" t="s">
        <v>168</v>
      </c>
      <c r="NWJ136" s="369">
        <v>0.5</v>
      </c>
      <c r="NWK136" s="370" t="e">
        <f>10/NWG134</f>
        <v>#DIV/0!</v>
      </c>
      <c r="NWL136" s="371">
        <v>15.38</v>
      </c>
      <c r="NWM136" s="371" t="e">
        <f>NWJ136*NWK136*NWL136</f>
        <v>#DIV/0!</v>
      </c>
      <c r="NWN136" s="367" t="s">
        <v>206</v>
      </c>
      <c r="NWO136" s="367"/>
      <c r="NWP136" s="367"/>
      <c r="NWQ136" s="368" t="s">
        <v>168</v>
      </c>
      <c r="NWR136" s="369">
        <v>0.5</v>
      </c>
      <c r="NWS136" s="370" t="e">
        <f>10/NWO134</f>
        <v>#DIV/0!</v>
      </c>
      <c r="NWT136" s="371">
        <v>15.38</v>
      </c>
      <c r="NWU136" s="371" t="e">
        <f>NWR136*NWS136*NWT136</f>
        <v>#DIV/0!</v>
      </c>
      <c r="NWV136" s="367" t="s">
        <v>206</v>
      </c>
      <c r="NWW136" s="367"/>
      <c r="NWX136" s="367"/>
      <c r="NWY136" s="368" t="s">
        <v>168</v>
      </c>
      <c r="NWZ136" s="369">
        <v>0.5</v>
      </c>
      <c r="NXA136" s="370" t="e">
        <f>10/NWW134</f>
        <v>#DIV/0!</v>
      </c>
      <c r="NXB136" s="371">
        <v>15.38</v>
      </c>
      <c r="NXC136" s="371" t="e">
        <f>NWZ136*NXA136*NXB136</f>
        <v>#DIV/0!</v>
      </c>
      <c r="NXD136" s="367" t="s">
        <v>206</v>
      </c>
      <c r="NXE136" s="367"/>
      <c r="NXF136" s="367"/>
      <c r="NXG136" s="368" t="s">
        <v>168</v>
      </c>
      <c r="NXH136" s="369">
        <v>0.5</v>
      </c>
      <c r="NXI136" s="370" t="e">
        <f>10/NXE134</f>
        <v>#DIV/0!</v>
      </c>
      <c r="NXJ136" s="371">
        <v>15.38</v>
      </c>
      <c r="NXK136" s="371" t="e">
        <f>NXH136*NXI136*NXJ136</f>
        <v>#DIV/0!</v>
      </c>
      <c r="NXL136" s="367" t="s">
        <v>206</v>
      </c>
      <c r="NXM136" s="367"/>
      <c r="NXN136" s="367"/>
      <c r="NXO136" s="368" t="s">
        <v>168</v>
      </c>
      <c r="NXP136" s="369">
        <v>0.5</v>
      </c>
      <c r="NXQ136" s="370" t="e">
        <f>10/NXM134</f>
        <v>#DIV/0!</v>
      </c>
      <c r="NXR136" s="371">
        <v>15.38</v>
      </c>
      <c r="NXS136" s="371" t="e">
        <f>NXP136*NXQ136*NXR136</f>
        <v>#DIV/0!</v>
      </c>
      <c r="NXT136" s="367" t="s">
        <v>206</v>
      </c>
      <c r="NXU136" s="367"/>
      <c r="NXV136" s="367"/>
      <c r="NXW136" s="368" t="s">
        <v>168</v>
      </c>
      <c r="NXX136" s="369">
        <v>0.5</v>
      </c>
      <c r="NXY136" s="370" t="e">
        <f>10/NXU134</f>
        <v>#DIV/0!</v>
      </c>
      <c r="NXZ136" s="371">
        <v>15.38</v>
      </c>
      <c r="NYA136" s="371" t="e">
        <f>NXX136*NXY136*NXZ136</f>
        <v>#DIV/0!</v>
      </c>
      <c r="NYB136" s="367" t="s">
        <v>206</v>
      </c>
      <c r="NYC136" s="367"/>
      <c r="NYD136" s="367"/>
      <c r="NYE136" s="368" t="s">
        <v>168</v>
      </c>
      <c r="NYF136" s="369">
        <v>0.5</v>
      </c>
      <c r="NYG136" s="370" t="e">
        <f>10/NYC134</f>
        <v>#DIV/0!</v>
      </c>
      <c r="NYH136" s="371">
        <v>15.38</v>
      </c>
      <c r="NYI136" s="371" t="e">
        <f>NYF136*NYG136*NYH136</f>
        <v>#DIV/0!</v>
      </c>
      <c r="NYJ136" s="367" t="s">
        <v>206</v>
      </c>
      <c r="NYK136" s="367"/>
      <c r="NYL136" s="367"/>
      <c r="NYM136" s="368" t="s">
        <v>168</v>
      </c>
      <c r="NYN136" s="369">
        <v>0.5</v>
      </c>
      <c r="NYO136" s="370" t="e">
        <f>10/NYK134</f>
        <v>#DIV/0!</v>
      </c>
      <c r="NYP136" s="371">
        <v>15.38</v>
      </c>
      <c r="NYQ136" s="371" t="e">
        <f>NYN136*NYO136*NYP136</f>
        <v>#DIV/0!</v>
      </c>
      <c r="NYR136" s="367" t="s">
        <v>206</v>
      </c>
      <c r="NYS136" s="367"/>
      <c r="NYT136" s="367"/>
      <c r="NYU136" s="368" t="s">
        <v>168</v>
      </c>
      <c r="NYV136" s="369">
        <v>0.5</v>
      </c>
      <c r="NYW136" s="370" t="e">
        <f>10/NYS134</f>
        <v>#DIV/0!</v>
      </c>
      <c r="NYX136" s="371">
        <v>15.38</v>
      </c>
      <c r="NYY136" s="371" t="e">
        <f>NYV136*NYW136*NYX136</f>
        <v>#DIV/0!</v>
      </c>
      <c r="NYZ136" s="367" t="s">
        <v>206</v>
      </c>
      <c r="NZA136" s="367"/>
      <c r="NZB136" s="367"/>
      <c r="NZC136" s="368" t="s">
        <v>168</v>
      </c>
      <c r="NZD136" s="369">
        <v>0.5</v>
      </c>
      <c r="NZE136" s="370" t="e">
        <f>10/NZA134</f>
        <v>#DIV/0!</v>
      </c>
      <c r="NZF136" s="371">
        <v>15.38</v>
      </c>
      <c r="NZG136" s="371" t="e">
        <f>NZD136*NZE136*NZF136</f>
        <v>#DIV/0!</v>
      </c>
      <c r="NZH136" s="367" t="s">
        <v>206</v>
      </c>
      <c r="NZI136" s="367"/>
      <c r="NZJ136" s="367"/>
      <c r="NZK136" s="368" t="s">
        <v>168</v>
      </c>
      <c r="NZL136" s="369">
        <v>0.5</v>
      </c>
      <c r="NZM136" s="370" t="e">
        <f>10/NZI134</f>
        <v>#DIV/0!</v>
      </c>
      <c r="NZN136" s="371">
        <v>15.38</v>
      </c>
      <c r="NZO136" s="371" t="e">
        <f>NZL136*NZM136*NZN136</f>
        <v>#DIV/0!</v>
      </c>
      <c r="NZP136" s="367" t="s">
        <v>206</v>
      </c>
      <c r="NZQ136" s="367"/>
      <c r="NZR136" s="367"/>
      <c r="NZS136" s="368" t="s">
        <v>168</v>
      </c>
      <c r="NZT136" s="369">
        <v>0.5</v>
      </c>
      <c r="NZU136" s="370" t="e">
        <f>10/NZQ134</f>
        <v>#DIV/0!</v>
      </c>
      <c r="NZV136" s="371">
        <v>15.38</v>
      </c>
      <c r="NZW136" s="371" t="e">
        <f>NZT136*NZU136*NZV136</f>
        <v>#DIV/0!</v>
      </c>
      <c r="NZX136" s="367" t="s">
        <v>206</v>
      </c>
      <c r="NZY136" s="367"/>
      <c r="NZZ136" s="367"/>
      <c r="OAA136" s="368" t="s">
        <v>168</v>
      </c>
      <c r="OAB136" s="369">
        <v>0.5</v>
      </c>
      <c r="OAC136" s="370" t="e">
        <f>10/NZY134</f>
        <v>#DIV/0!</v>
      </c>
      <c r="OAD136" s="371">
        <v>15.38</v>
      </c>
      <c r="OAE136" s="371" t="e">
        <f>OAB136*OAC136*OAD136</f>
        <v>#DIV/0!</v>
      </c>
      <c r="OAF136" s="367" t="s">
        <v>206</v>
      </c>
      <c r="OAG136" s="367"/>
      <c r="OAH136" s="367"/>
      <c r="OAI136" s="368" t="s">
        <v>168</v>
      </c>
      <c r="OAJ136" s="369">
        <v>0.5</v>
      </c>
      <c r="OAK136" s="370" t="e">
        <f>10/OAG134</f>
        <v>#DIV/0!</v>
      </c>
      <c r="OAL136" s="371">
        <v>15.38</v>
      </c>
      <c r="OAM136" s="371" t="e">
        <f>OAJ136*OAK136*OAL136</f>
        <v>#DIV/0!</v>
      </c>
      <c r="OAN136" s="367" t="s">
        <v>206</v>
      </c>
      <c r="OAO136" s="367"/>
      <c r="OAP136" s="367"/>
      <c r="OAQ136" s="368" t="s">
        <v>168</v>
      </c>
      <c r="OAR136" s="369">
        <v>0.5</v>
      </c>
      <c r="OAS136" s="370" t="e">
        <f>10/OAO134</f>
        <v>#DIV/0!</v>
      </c>
      <c r="OAT136" s="371">
        <v>15.38</v>
      </c>
      <c r="OAU136" s="371" t="e">
        <f>OAR136*OAS136*OAT136</f>
        <v>#DIV/0!</v>
      </c>
      <c r="OAV136" s="367" t="s">
        <v>206</v>
      </c>
      <c r="OAW136" s="367"/>
      <c r="OAX136" s="367"/>
      <c r="OAY136" s="368" t="s">
        <v>168</v>
      </c>
      <c r="OAZ136" s="369">
        <v>0.5</v>
      </c>
      <c r="OBA136" s="370" t="e">
        <f>10/OAW134</f>
        <v>#DIV/0!</v>
      </c>
      <c r="OBB136" s="371">
        <v>15.38</v>
      </c>
      <c r="OBC136" s="371" t="e">
        <f>OAZ136*OBA136*OBB136</f>
        <v>#DIV/0!</v>
      </c>
      <c r="OBD136" s="367" t="s">
        <v>206</v>
      </c>
      <c r="OBE136" s="367"/>
      <c r="OBF136" s="367"/>
      <c r="OBG136" s="368" t="s">
        <v>168</v>
      </c>
      <c r="OBH136" s="369">
        <v>0.5</v>
      </c>
      <c r="OBI136" s="370" t="e">
        <f>10/OBE134</f>
        <v>#DIV/0!</v>
      </c>
      <c r="OBJ136" s="371">
        <v>15.38</v>
      </c>
      <c r="OBK136" s="371" t="e">
        <f>OBH136*OBI136*OBJ136</f>
        <v>#DIV/0!</v>
      </c>
      <c r="OBL136" s="367" t="s">
        <v>206</v>
      </c>
      <c r="OBM136" s="367"/>
      <c r="OBN136" s="367"/>
      <c r="OBO136" s="368" t="s">
        <v>168</v>
      </c>
      <c r="OBP136" s="369">
        <v>0.5</v>
      </c>
      <c r="OBQ136" s="370" t="e">
        <f>10/OBM134</f>
        <v>#DIV/0!</v>
      </c>
      <c r="OBR136" s="371">
        <v>15.38</v>
      </c>
      <c r="OBS136" s="371" t="e">
        <f>OBP136*OBQ136*OBR136</f>
        <v>#DIV/0!</v>
      </c>
      <c r="OBT136" s="367" t="s">
        <v>206</v>
      </c>
      <c r="OBU136" s="367"/>
      <c r="OBV136" s="367"/>
      <c r="OBW136" s="368" t="s">
        <v>168</v>
      </c>
      <c r="OBX136" s="369">
        <v>0.5</v>
      </c>
      <c r="OBY136" s="370" t="e">
        <f>10/OBU134</f>
        <v>#DIV/0!</v>
      </c>
      <c r="OBZ136" s="371">
        <v>15.38</v>
      </c>
      <c r="OCA136" s="371" t="e">
        <f>OBX136*OBY136*OBZ136</f>
        <v>#DIV/0!</v>
      </c>
      <c r="OCB136" s="367" t="s">
        <v>206</v>
      </c>
      <c r="OCC136" s="367"/>
      <c r="OCD136" s="367"/>
      <c r="OCE136" s="368" t="s">
        <v>168</v>
      </c>
      <c r="OCF136" s="369">
        <v>0.5</v>
      </c>
      <c r="OCG136" s="370" t="e">
        <f>10/OCC134</f>
        <v>#DIV/0!</v>
      </c>
      <c r="OCH136" s="371">
        <v>15.38</v>
      </c>
      <c r="OCI136" s="371" t="e">
        <f>OCF136*OCG136*OCH136</f>
        <v>#DIV/0!</v>
      </c>
      <c r="OCJ136" s="367" t="s">
        <v>206</v>
      </c>
      <c r="OCK136" s="367"/>
      <c r="OCL136" s="367"/>
      <c r="OCM136" s="368" t="s">
        <v>168</v>
      </c>
      <c r="OCN136" s="369">
        <v>0.5</v>
      </c>
      <c r="OCO136" s="370" t="e">
        <f>10/OCK134</f>
        <v>#DIV/0!</v>
      </c>
      <c r="OCP136" s="371">
        <v>15.38</v>
      </c>
      <c r="OCQ136" s="371" t="e">
        <f>OCN136*OCO136*OCP136</f>
        <v>#DIV/0!</v>
      </c>
      <c r="OCR136" s="367" t="s">
        <v>206</v>
      </c>
      <c r="OCS136" s="367"/>
      <c r="OCT136" s="367"/>
      <c r="OCU136" s="368" t="s">
        <v>168</v>
      </c>
      <c r="OCV136" s="369">
        <v>0.5</v>
      </c>
      <c r="OCW136" s="370" t="e">
        <f>10/OCS134</f>
        <v>#DIV/0!</v>
      </c>
      <c r="OCX136" s="371">
        <v>15.38</v>
      </c>
      <c r="OCY136" s="371" t="e">
        <f>OCV136*OCW136*OCX136</f>
        <v>#DIV/0!</v>
      </c>
      <c r="OCZ136" s="367" t="s">
        <v>206</v>
      </c>
      <c r="ODA136" s="367"/>
      <c r="ODB136" s="367"/>
      <c r="ODC136" s="368" t="s">
        <v>168</v>
      </c>
      <c r="ODD136" s="369">
        <v>0.5</v>
      </c>
      <c r="ODE136" s="370" t="e">
        <f>10/ODA134</f>
        <v>#DIV/0!</v>
      </c>
      <c r="ODF136" s="371">
        <v>15.38</v>
      </c>
      <c r="ODG136" s="371" t="e">
        <f>ODD136*ODE136*ODF136</f>
        <v>#DIV/0!</v>
      </c>
      <c r="ODH136" s="367" t="s">
        <v>206</v>
      </c>
      <c r="ODI136" s="367"/>
      <c r="ODJ136" s="367"/>
      <c r="ODK136" s="368" t="s">
        <v>168</v>
      </c>
      <c r="ODL136" s="369">
        <v>0.5</v>
      </c>
      <c r="ODM136" s="370" t="e">
        <f>10/ODI134</f>
        <v>#DIV/0!</v>
      </c>
      <c r="ODN136" s="371">
        <v>15.38</v>
      </c>
      <c r="ODO136" s="371" t="e">
        <f>ODL136*ODM136*ODN136</f>
        <v>#DIV/0!</v>
      </c>
      <c r="ODP136" s="367" t="s">
        <v>206</v>
      </c>
      <c r="ODQ136" s="367"/>
      <c r="ODR136" s="367"/>
      <c r="ODS136" s="368" t="s">
        <v>168</v>
      </c>
      <c r="ODT136" s="369">
        <v>0.5</v>
      </c>
      <c r="ODU136" s="370" t="e">
        <f>10/ODQ134</f>
        <v>#DIV/0!</v>
      </c>
      <c r="ODV136" s="371">
        <v>15.38</v>
      </c>
      <c r="ODW136" s="371" t="e">
        <f>ODT136*ODU136*ODV136</f>
        <v>#DIV/0!</v>
      </c>
      <c r="ODX136" s="367" t="s">
        <v>206</v>
      </c>
      <c r="ODY136" s="367"/>
      <c r="ODZ136" s="367"/>
      <c r="OEA136" s="368" t="s">
        <v>168</v>
      </c>
      <c r="OEB136" s="369">
        <v>0.5</v>
      </c>
      <c r="OEC136" s="370" t="e">
        <f>10/ODY134</f>
        <v>#DIV/0!</v>
      </c>
      <c r="OED136" s="371">
        <v>15.38</v>
      </c>
      <c r="OEE136" s="371" t="e">
        <f>OEB136*OEC136*OED136</f>
        <v>#DIV/0!</v>
      </c>
      <c r="OEF136" s="367" t="s">
        <v>206</v>
      </c>
      <c r="OEG136" s="367"/>
      <c r="OEH136" s="367"/>
      <c r="OEI136" s="368" t="s">
        <v>168</v>
      </c>
      <c r="OEJ136" s="369">
        <v>0.5</v>
      </c>
      <c r="OEK136" s="370" t="e">
        <f>10/OEG134</f>
        <v>#DIV/0!</v>
      </c>
      <c r="OEL136" s="371">
        <v>15.38</v>
      </c>
      <c r="OEM136" s="371" t="e">
        <f>OEJ136*OEK136*OEL136</f>
        <v>#DIV/0!</v>
      </c>
      <c r="OEN136" s="367" t="s">
        <v>206</v>
      </c>
      <c r="OEO136" s="367"/>
      <c r="OEP136" s="367"/>
      <c r="OEQ136" s="368" t="s">
        <v>168</v>
      </c>
      <c r="OER136" s="369">
        <v>0.5</v>
      </c>
      <c r="OES136" s="370" t="e">
        <f>10/OEO134</f>
        <v>#DIV/0!</v>
      </c>
      <c r="OET136" s="371">
        <v>15.38</v>
      </c>
      <c r="OEU136" s="371" t="e">
        <f>OER136*OES136*OET136</f>
        <v>#DIV/0!</v>
      </c>
      <c r="OEV136" s="367" t="s">
        <v>206</v>
      </c>
      <c r="OEW136" s="367"/>
      <c r="OEX136" s="367"/>
      <c r="OEY136" s="368" t="s">
        <v>168</v>
      </c>
      <c r="OEZ136" s="369">
        <v>0.5</v>
      </c>
      <c r="OFA136" s="370" t="e">
        <f>10/OEW134</f>
        <v>#DIV/0!</v>
      </c>
      <c r="OFB136" s="371">
        <v>15.38</v>
      </c>
      <c r="OFC136" s="371" t="e">
        <f>OEZ136*OFA136*OFB136</f>
        <v>#DIV/0!</v>
      </c>
      <c r="OFD136" s="367" t="s">
        <v>206</v>
      </c>
      <c r="OFE136" s="367"/>
      <c r="OFF136" s="367"/>
      <c r="OFG136" s="368" t="s">
        <v>168</v>
      </c>
      <c r="OFH136" s="369">
        <v>0.5</v>
      </c>
      <c r="OFI136" s="370" t="e">
        <f>10/OFE134</f>
        <v>#DIV/0!</v>
      </c>
      <c r="OFJ136" s="371">
        <v>15.38</v>
      </c>
      <c r="OFK136" s="371" t="e">
        <f>OFH136*OFI136*OFJ136</f>
        <v>#DIV/0!</v>
      </c>
      <c r="OFL136" s="367" t="s">
        <v>206</v>
      </c>
      <c r="OFM136" s="367"/>
      <c r="OFN136" s="367"/>
      <c r="OFO136" s="368" t="s">
        <v>168</v>
      </c>
      <c r="OFP136" s="369">
        <v>0.5</v>
      </c>
      <c r="OFQ136" s="370" t="e">
        <f>10/OFM134</f>
        <v>#DIV/0!</v>
      </c>
      <c r="OFR136" s="371">
        <v>15.38</v>
      </c>
      <c r="OFS136" s="371" t="e">
        <f>OFP136*OFQ136*OFR136</f>
        <v>#DIV/0!</v>
      </c>
      <c r="OFT136" s="367" t="s">
        <v>206</v>
      </c>
      <c r="OFU136" s="367"/>
      <c r="OFV136" s="367"/>
      <c r="OFW136" s="368" t="s">
        <v>168</v>
      </c>
      <c r="OFX136" s="369">
        <v>0.5</v>
      </c>
      <c r="OFY136" s="370" t="e">
        <f>10/OFU134</f>
        <v>#DIV/0!</v>
      </c>
      <c r="OFZ136" s="371">
        <v>15.38</v>
      </c>
      <c r="OGA136" s="371" t="e">
        <f>OFX136*OFY136*OFZ136</f>
        <v>#DIV/0!</v>
      </c>
      <c r="OGB136" s="367" t="s">
        <v>206</v>
      </c>
      <c r="OGC136" s="367"/>
      <c r="OGD136" s="367"/>
      <c r="OGE136" s="368" t="s">
        <v>168</v>
      </c>
      <c r="OGF136" s="369">
        <v>0.5</v>
      </c>
      <c r="OGG136" s="370" t="e">
        <f>10/OGC134</f>
        <v>#DIV/0!</v>
      </c>
      <c r="OGH136" s="371">
        <v>15.38</v>
      </c>
      <c r="OGI136" s="371" t="e">
        <f>OGF136*OGG136*OGH136</f>
        <v>#DIV/0!</v>
      </c>
      <c r="OGJ136" s="367" t="s">
        <v>206</v>
      </c>
      <c r="OGK136" s="367"/>
      <c r="OGL136" s="367"/>
      <c r="OGM136" s="368" t="s">
        <v>168</v>
      </c>
      <c r="OGN136" s="369">
        <v>0.5</v>
      </c>
      <c r="OGO136" s="370" t="e">
        <f>10/OGK134</f>
        <v>#DIV/0!</v>
      </c>
      <c r="OGP136" s="371">
        <v>15.38</v>
      </c>
      <c r="OGQ136" s="371" t="e">
        <f>OGN136*OGO136*OGP136</f>
        <v>#DIV/0!</v>
      </c>
      <c r="OGR136" s="367" t="s">
        <v>206</v>
      </c>
      <c r="OGS136" s="367"/>
      <c r="OGT136" s="367"/>
      <c r="OGU136" s="368" t="s">
        <v>168</v>
      </c>
      <c r="OGV136" s="369">
        <v>0.5</v>
      </c>
      <c r="OGW136" s="370" t="e">
        <f>10/OGS134</f>
        <v>#DIV/0!</v>
      </c>
      <c r="OGX136" s="371">
        <v>15.38</v>
      </c>
      <c r="OGY136" s="371" t="e">
        <f>OGV136*OGW136*OGX136</f>
        <v>#DIV/0!</v>
      </c>
      <c r="OGZ136" s="367" t="s">
        <v>206</v>
      </c>
      <c r="OHA136" s="367"/>
      <c r="OHB136" s="367"/>
      <c r="OHC136" s="368" t="s">
        <v>168</v>
      </c>
      <c r="OHD136" s="369">
        <v>0.5</v>
      </c>
      <c r="OHE136" s="370" t="e">
        <f>10/OHA134</f>
        <v>#DIV/0!</v>
      </c>
      <c r="OHF136" s="371">
        <v>15.38</v>
      </c>
      <c r="OHG136" s="371" t="e">
        <f>OHD136*OHE136*OHF136</f>
        <v>#DIV/0!</v>
      </c>
      <c r="OHH136" s="367" t="s">
        <v>206</v>
      </c>
      <c r="OHI136" s="367"/>
      <c r="OHJ136" s="367"/>
      <c r="OHK136" s="368" t="s">
        <v>168</v>
      </c>
      <c r="OHL136" s="369">
        <v>0.5</v>
      </c>
      <c r="OHM136" s="370" t="e">
        <f>10/OHI134</f>
        <v>#DIV/0!</v>
      </c>
      <c r="OHN136" s="371">
        <v>15.38</v>
      </c>
      <c r="OHO136" s="371" t="e">
        <f>OHL136*OHM136*OHN136</f>
        <v>#DIV/0!</v>
      </c>
      <c r="OHP136" s="367" t="s">
        <v>206</v>
      </c>
      <c r="OHQ136" s="367"/>
      <c r="OHR136" s="367"/>
      <c r="OHS136" s="368" t="s">
        <v>168</v>
      </c>
      <c r="OHT136" s="369">
        <v>0.5</v>
      </c>
      <c r="OHU136" s="370" t="e">
        <f>10/OHQ134</f>
        <v>#DIV/0!</v>
      </c>
      <c r="OHV136" s="371">
        <v>15.38</v>
      </c>
      <c r="OHW136" s="371" t="e">
        <f>OHT136*OHU136*OHV136</f>
        <v>#DIV/0!</v>
      </c>
      <c r="OHX136" s="367" t="s">
        <v>206</v>
      </c>
      <c r="OHY136" s="367"/>
      <c r="OHZ136" s="367"/>
      <c r="OIA136" s="368" t="s">
        <v>168</v>
      </c>
      <c r="OIB136" s="369">
        <v>0.5</v>
      </c>
      <c r="OIC136" s="370" t="e">
        <f>10/OHY134</f>
        <v>#DIV/0!</v>
      </c>
      <c r="OID136" s="371">
        <v>15.38</v>
      </c>
      <c r="OIE136" s="371" t="e">
        <f>OIB136*OIC136*OID136</f>
        <v>#DIV/0!</v>
      </c>
      <c r="OIF136" s="367" t="s">
        <v>206</v>
      </c>
      <c r="OIG136" s="367"/>
      <c r="OIH136" s="367"/>
      <c r="OII136" s="368" t="s">
        <v>168</v>
      </c>
      <c r="OIJ136" s="369">
        <v>0.5</v>
      </c>
      <c r="OIK136" s="370" t="e">
        <f>10/OIG134</f>
        <v>#DIV/0!</v>
      </c>
      <c r="OIL136" s="371">
        <v>15.38</v>
      </c>
      <c r="OIM136" s="371" t="e">
        <f>OIJ136*OIK136*OIL136</f>
        <v>#DIV/0!</v>
      </c>
      <c r="OIN136" s="367" t="s">
        <v>206</v>
      </c>
      <c r="OIO136" s="367"/>
      <c r="OIP136" s="367"/>
      <c r="OIQ136" s="368" t="s">
        <v>168</v>
      </c>
      <c r="OIR136" s="369">
        <v>0.5</v>
      </c>
      <c r="OIS136" s="370" t="e">
        <f>10/OIO134</f>
        <v>#DIV/0!</v>
      </c>
      <c r="OIT136" s="371">
        <v>15.38</v>
      </c>
      <c r="OIU136" s="371" t="e">
        <f>OIR136*OIS136*OIT136</f>
        <v>#DIV/0!</v>
      </c>
      <c r="OIV136" s="367" t="s">
        <v>206</v>
      </c>
      <c r="OIW136" s="367"/>
      <c r="OIX136" s="367"/>
      <c r="OIY136" s="368" t="s">
        <v>168</v>
      </c>
      <c r="OIZ136" s="369">
        <v>0.5</v>
      </c>
      <c r="OJA136" s="370" t="e">
        <f>10/OIW134</f>
        <v>#DIV/0!</v>
      </c>
      <c r="OJB136" s="371">
        <v>15.38</v>
      </c>
      <c r="OJC136" s="371" t="e">
        <f>OIZ136*OJA136*OJB136</f>
        <v>#DIV/0!</v>
      </c>
      <c r="OJD136" s="367" t="s">
        <v>206</v>
      </c>
      <c r="OJE136" s="367"/>
      <c r="OJF136" s="367"/>
      <c r="OJG136" s="368" t="s">
        <v>168</v>
      </c>
      <c r="OJH136" s="369">
        <v>0.5</v>
      </c>
      <c r="OJI136" s="370" t="e">
        <f>10/OJE134</f>
        <v>#DIV/0!</v>
      </c>
      <c r="OJJ136" s="371">
        <v>15.38</v>
      </c>
      <c r="OJK136" s="371" t="e">
        <f>OJH136*OJI136*OJJ136</f>
        <v>#DIV/0!</v>
      </c>
      <c r="OJL136" s="367" t="s">
        <v>206</v>
      </c>
      <c r="OJM136" s="367"/>
      <c r="OJN136" s="367"/>
      <c r="OJO136" s="368" t="s">
        <v>168</v>
      </c>
      <c r="OJP136" s="369">
        <v>0.5</v>
      </c>
      <c r="OJQ136" s="370" t="e">
        <f>10/OJM134</f>
        <v>#DIV/0!</v>
      </c>
      <c r="OJR136" s="371">
        <v>15.38</v>
      </c>
      <c r="OJS136" s="371" t="e">
        <f>OJP136*OJQ136*OJR136</f>
        <v>#DIV/0!</v>
      </c>
      <c r="OJT136" s="367" t="s">
        <v>206</v>
      </c>
      <c r="OJU136" s="367"/>
      <c r="OJV136" s="367"/>
      <c r="OJW136" s="368" t="s">
        <v>168</v>
      </c>
      <c r="OJX136" s="369">
        <v>0.5</v>
      </c>
      <c r="OJY136" s="370" t="e">
        <f>10/OJU134</f>
        <v>#DIV/0!</v>
      </c>
      <c r="OJZ136" s="371">
        <v>15.38</v>
      </c>
      <c r="OKA136" s="371" t="e">
        <f>OJX136*OJY136*OJZ136</f>
        <v>#DIV/0!</v>
      </c>
      <c r="OKB136" s="367" t="s">
        <v>206</v>
      </c>
      <c r="OKC136" s="367"/>
      <c r="OKD136" s="367"/>
      <c r="OKE136" s="368" t="s">
        <v>168</v>
      </c>
      <c r="OKF136" s="369">
        <v>0.5</v>
      </c>
      <c r="OKG136" s="370" t="e">
        <f>10/OKC134</f>
        <v>#DIV/0!</v>
      </c>
      <c r="OKH136" s="371">
        <v>15.38</v>
      </c>
      <c r="OKI136" s="371" t="e">
        <f>OKF136*OKG136*OKH136</f>
        <v>#DIV/0!</v>
      </c>
      <c r="OKJ136" s="367" t="s">
        <v>206</v>
      </c>
      <c r="OKK136" s="367"/>
      <c r="OKL136" s="367"/>
      <c r="OKM136" s="368" t="s">
        <v>168</v>
      </c>
      <c r="OKN136" s="369">
        <v>0.5</v>
      </c>
      <c r="OKO136" s="370" t="e">
        <f>10/OKK134</f>
        <v>#DIV/0!</v>
      </c>
      <c r="OKP136" s="371">
        <v>15.38</v>
      </c>
      <c r="OKQ136" s="371" t="e">
        <f>OKN136*OKO136*OKP136</f>
        <v>#DIV/0!</v>
      </c>
      <c r="OKR136" s="367" t="s">
        <v>206</v>
      </c>
      <c r="OKS136" s="367"/>
      <c r="OKT136" s="367"/>
      <c r="OKU136" s="368" t="s">
        <v>168</v>
      </c>
      <c r="OKV136" s="369">
        <v>0.5</v>
      </c>
      <c r="OKW136" s="370" t="e">
        <f>10/OKS134</f>
        <v>#DIV/0!</v>
      </c>
      <c r="OKX136" s="371">
        <v>15.38</v>
      </c>
      <c r="OKY136" s="371" t="e">
        <f>OKV136*OKW136*OKX136</f>
        <v>#DIV/0!</v>
      </c>
      <c r="OKZ136" s="367" t="s">
        <v>206</v>
      </c>
      <c r="OLA136" s="367"/>
      <c r="OLB136" s="367"/>
      <c r="OLC136" s="368" t="s">
        <v>168</v>
      </c>
      <c r="OLD136" s="369">
        <v>0.5</v>
      </c>
      <c r="OLE136" s="370" t="e">
        <f>10/OLA134</f>
        <v>#DIV/0!</v>
      </c>
      <c r="OLF136" s="371">
        <v>15.38</v>
      </c>
      <c r="OLG136" s="371" t="e">
        <f>OLD136*OLE136*OLF136</f>
        <v>#DIV/0!</v>
      </c>
      <c r="OLH136" s="367" t="s">
        <v>206</v>
      </c>
      <c r="OLI136" s="367"/>
      <c r="OLJ136" s="367"/>
      <c r="OLK136" s="368" t="s">
        <v>168</v>
      </c>
      <c r="OLL136" s="369">
        <v>0.5</v>
      </c>
      <c r="OLM136" s="370" t="e">
        <f>10/OLI134</f>
        <v>#DIV/0!</v>
      </c>
      <c r="OLN136" s="371">
        <v>15.38</v>
      </c>
      <c r="OLO136" s="371" t="e">
        <f>OLL136*OLM136*OLN136</f>
        <v>#DIV/0!</v>
      </c>
      <c r="OLP136" s="367" t="s">
        <v>206</v>
      </c>
      <c r="OLQ136" s="367"/>
      <c r="OLR136" s="367"/>
      <c r="OLS136" s="368" t="s">
        <v>168</v>
      </c>
      <c r="OLT136" s="369">
        <v>0.5</v>
      </c>
      <c r="OLU136" s="370" t="e">
        <f>10/OLQ134</f>
        <v>#DIV/0!</v>
      </c>
      <c r="OLV136" s="371">
        <v>15.38</v>
      </c>
      <c r="OLW136" s="371" t="e">
        <f>OLT136*OLU136*OLV136</f>
        <v>#DIV/0!</v>
      </c>
      <c r="OLX136" s="367" t="s">
        <v>206</v>
      </c>
      <c r="OLY136" s="367"/>
      <c r="OLZ136" s="367"/>
      <c r="OMA136" s="368" t="s">
        <v>168</v>
      </c>
      <c r="OMB136" s="369">
        <v>0.5</v>
      </c>
      <c r="OMC136" s="370" t="e">
        <f>10/OLY134</f>
        <v>#DIV/0!</v>
      </c>
      <c r="OMD136" s="371">
        <v>15.38</v>
      </c>
      <c r="OME136" s="371" t="e">
        <f>OMB136*OMC136*OMD136</f>
        <v>#DIV/0!</v>
      </c>
      <c r="OMF136" s="367" t="s">
        <v>206</v>
      </c>
      <c r="OMG136" s="367"/>
      <c r="OMH136" s="367"/>
      <c r="OMI136" s="368" t="s">
        <v>168</v>
      </c>
      <c r="OMJ136" s="369">
        <v>0.5</v>
      </c>
      <c r="OMK136" s="370" t="e">
        <f>10/OMG134</f>
        <v>#DIV/0!</v>
      </c>
      <c r="OML136" s="371">
        <v>15.38</v>
      </c>
      <c r="OMM136" s="371" t="e">
        <f>OMJ136*OMK136*OML136</f>
        <v>#DIV/0!</v>
      </c>
      <c r="OMN136" s="367" t="s">
        <v>206</v>
      </c>
      <c r="OMO136" s="367"/>
      <c r="OMP136" s="367"/>
      <c r="OMQ136" s="368" t="s">
        <v>168</v>
      </c>
      <c r="OMR136" s="369">
        <v>0.5</v>
      </c>
      <c r="OMS136" s="370" t="e">
        <f>10/OMO134</f>
        <v>#DIV/0!</v>
      </c>
      <c r="OMT136" s="371">
        <v>15.38</v>
      </c>
      <c r="OMU136" s="371" t="e">
        <f>OMR136*OMS136*OMT136</f>
        <v>#DIV/0!</v>
      </c>
      <c r="OMV136" s="367" t="s">
        <v>206</v>
      </c>
      <c r="OMW136" s="367"/>
      <c r="OMX136" s="367"/>
      <c r="OMY136" s="368" t="s">
        <v>168</v>
      </c>
      <c r="OMZ136" s="369">
        <v>0.5</v>
      </c>
      <c r="ONA136" s="370" t="e">
        <f>10/OMW134</f>
        <v>#DIV/0!</v>
      </c>
      <c r="ONB136" s="371">
        <v>15.38</v>
      </c>
      <c r="ONC136" s="371" t="e">
        <f>OMZ136*ONA136*ONB136</f>
        <v>#DIV/0!</v>
      </c>
      <c r="OND136" s="367" t="s">
        <v>206</v>
      </c>
      <c r="ONE136" s="367"/>
      <c r="ONF136" s="367"/>
      <c r="ONG136" s="368" t="s">
        <v>168</v>
      </c>
      <c r="ONH136" s="369">
        <v>0.5</v>
      </c>
      <c r="ONI136" s="370" t="e">
        <f>10/ONE134</f>
        <v>#DIV/0!</v>
      </c>
      <c r="ONJ136" s="371">
        <v>15.38</v>
      </c>
      <c r="ONK136" s="371" t="e">
        <f>ONH136*ONI136*ONJ136</f>
        <v>#DIV/0!</v>
      </c>
      <c r="ONL136" s="367" t="s">
        <v>206</v>
      </c>
      <c r="ONM136" s="367"/>
      <c r="ONN136" s="367"/>
      <c r="ONO136" s="368" t="s">
        <v>168</v>
      </c>
      <c r="ONP136" s="369">
        <v>0.5</v>
      </c>
      <c r="ONQ136" s="370" t="e">
        <f>10/ONM134</f>
        <v>#DIV/0!</v>
      </c>
      <c r="ONR136" s="371">
        <v>15.38</v>
      </c>
      <c r="ONS136" s="371" t="e">
        <f>ONP136*ONQ136*ONR136</f>
        <v>#DIV/0!</v>
      </c>
      <c r="ONT136" s="367" t="s">
        <v>206</v>
      </c>
      <c r="ONU136" s="367"/>
      <c r="ONV136" s="367"/>
      <c r="ONW136" s="368" t="s">
        <v>168</v>
      </c>
      <c r="ONX136" s="369">
        <v>0.5</v>
      </c>
      <c r="ONY136" s="370" t="e">
        <f>10/ONU134</f>
        <v>#DIV/0!</v>
      </c>
      <c r="ONZ136" s="371">
        <v>15.38</v>
      </c>
      <c r="OOA136" s="371" t="e">
        <f>ONX136*ONY136*ONZ136</f>
        <v>#DIV/0!</v>
      </c>
      <c r="OOB136" s="367" t="s">
        <v>206</v>
      </c>
      <c r="OOC136" s="367"/>
      <c r="OOD136" s="367"/>
      <c r="OOE136" s="368" t="s">
        <v>168</v>
      </c>
      <c r="OOF136" s="369">
        <v>0.5</v>
      </c>
      <c r="OOG136" s="370" t="e">
        <f>10/OOC134</f>
        <v>#DIV/0!</v>
      </c>
      <c r="OOH136" s="371">
        <v>15.38</v>
      </c>
      <c r="OOI136" s="371" t="e">
        <f>OOF136*OOG136*OOH136</f>
        <v>#DIV/0!</v>
      </c>
      <c r="OOJ136" s="367" t="s">
        <v>206</v>
      </c>
      <c r="OOK136" s="367"/>
      <c r="OOL136" s="367"/>
      <c r="OOM136" s="368" t="s">
        <v>168</v>
      </c>
      <c r="OON136" s="369">
        <v>0.5</v>
      </c>
      <c r="OOO136" s="370" t="e">
        <f>10/OOK134</f>
        <v>#DIV/0!</v>
      </c>
      <c r="OOP136" s="371">
        <v>15.38</v>
      </c>
      <c r="OOQ136" s="371" t="e">
        <f>OON136*OOO136*OOP136</f>
        <v>#DIV/0!</v>
      </c>
      <c r="OOR136" s="367" t="s">
        <v>206</v>
      </c>
      <c r="OOS136" s="367"/>
      <c r="OOT136" s="367"/>
      <c r="OOU136" s="368" t="s">
        <v>168</v>
      </c>
      <c r="OOV136" s="369">
        <v>0.5</v>
      </c>
      <c r="OOW136" s="370" t="e">
        <f>10/OOS134</f>
        <v>#DIV/0!</v>
      </c>
      <c r="OOX136" s="371">
        <v>15.38</v>
      </c>
      <c r="OOY136" s="371" t="e">
        <f>OOV136*OOW136*OOX136</f>
        <v>#DIV/0!</v>
      </c>
      <c r="OOZ136" s="367" t="s">
        <v>206</v>
      </c>
      <c r="OPA136" s="367"/>
      <c r="OPB136" s="367"/>
      <c r="OPC136" s="368" t="s">
        <v>168</v>
      </c>
      <c r="OPD136" s="369">
        <v>0.5</v>
      </c>
      <c r="OPE136" s="370" t="e">
        <f>10/OPA134</f>
        <v>#DIV/0!</v>
      </c>
      <c r="OPF136" s="371">
        <v>15.38</v>
      </c>
      <c r="OPG136" s="371" t="e">
        <f>OPD136*OPE136*OPF136</f>
        <v>#DIV/0!</v>
      </c>
      <c r="OPH136" s="367" t="s">
        <v>206</v>
      </c>
      <c r="OPI136" s="367"/>
      <c r="OPJ136" s="367"/>
      <c r="OPK136" s="368" t="s">
        <v>168</v>
      </c>
      <c r="OPL136" s="369">
        <v>0.5</v>
      </c>
      <c r="OPM136" s="370" t="e">
        <f>10/OPI134</f>
        <v>#DIV/0!</v>
      </c>
      <c r="OPN136" s="371">
        <v>15.38</v>
      </c>
      <c r="OPO136" s="371" t="e">
        <f>OPL136*OPM136*OPN136</f>
        <v>#DIV/0!</v>
      </c>
      <c r="OPP136" s="367" t="s">
        <v>206</v>
      </c>
      <c r="OPQ136" s="367"/>
      <c r="OPR136" s="367"/>
      <c r="OPS136" s="368" t="s">
        <v>168</v>
      </c>
      <c r="OPT136" s="369">
        <v>0.5</v>
      </c>
      <c r="OPU136" s="370" t="e">
        <f>10/OPQ134</f>
        <v>#DIV/0!</v>
      </c>
      <c r="OPV136" s="371">
        <v>15.38</v>
      </c>
      <c r="OPW136" s="371" t="e">
        <f>OPT136*OPU136*OPV136</f>
        <v>#DIV/0!</v>
      </c>
      <c r="OPX136" s="367" t="s">
        <v>206</v>
      </c>
      <c r="OPY136" s="367"/>
      <c r="OPZ136" s="367"/>
      <c r="OQA136" s="368" t="s">
        <v>168</v>
      </c>
      <c r="OQB136" s="369">
        <v>0.5</v>
      </c>
      <c r="OQC136" s="370" t="e">
        <f>10/OPY134</f>
        <v>#DIV/0!</v>
      </c>
      <c r="OQD136" s="371">
        <v>15.38</v>
      </c>
      <c r="OQE136" s="371" t="e">
        <f>OQB136*OQC136*OQD136</f>
        <v>#DIV/0!</v>
      </c>
      <c r="OQF136" s="367" t="s">
        <v>206</v>
      </c>
      <c r="OQG136" s="367"/>
      <c r="OQH136" s="367"/>
      <c r="OQI136" s="368" t="s">
        <v>168</v>
      </c>
      <c r="OQJ136" s="369">
        <v>0.5</v>
      </c>
      <c r="OQK136" s="370" t="e">
        <f>10/OQG134</f>
        <v>#DIV/0!</v>
      </c>
      <c r="OQL136" s="371">
        <v>15.38</v>
      </c>
      <c r="OQM136" s="371" t="e">
        <f>OQJ136*OQK136*OQL136</f>
        <v>#DIV/0!</v>
      </c>
      <c r="OQN136" s="367" t="s">
        <v>206</v>
      </c>
      <c r="OQO136" s="367"/>
      <c r="OQP136" s="367"/>
      <c r="OQQ136" s="368" t="s">
        <v>168</v>
      </c>
      <c r="OQR136" s="369">
        <v>0.5</v>
      </c>
      <c r="OQS136" s="370" t="e">
        <f>10/OQO134</f>
        <v>#DIV/0!</v>
      </c>
      <c r="OQT136" s="371">
        <v>15.38</v>
      </c>
      <c r="OQU136" s="371" t="e">
        <f>OQR136*OQS136*OQT136</f>
        <v>#DIV/0!</v>
      </c>
      <c r="OQV136" s="367" t="s">
        <v>206</v>
      </c>
      <c r="OQW136" s="367"/>
      <c r="OQX136" s="367"/>
      <c r="OQY136" s="368" t="s">
        <v>168</v>
      </c>
      <c r="OQZ136" s="369">
        <v>0.5</v>
      </c>
      <c r="ORA136" s="370" t="e">
        <f>10/OQW134</f>
        <v>#DIV/0!</v>
      </c>
      <c r="ORB136" s="371">
        <v>15.38</v>
      </c>
      <c r="ORC136" s="371" t="e">
        <f>OQZ136*ORA136*ORB136</f>
        <v>#DIV/0!</v>
      </c>
      <c r="ORD136" s="367" t="s">
        <v>206</v>
      </c>
      <c r="ORE136" s="367"/>
      <c r="ORF136" s="367"/>
      <c r="ORG136" s="368" t="s">
        <v>168</v>
      </c>
      <c r="ORH136" s="369">
        <v>0.5</v>
      </c>
      <c r="ORI136" s="370" t="e">
        <f>10/ORE134</f>
        <v>#DIV/0!</v>
      </c>
      <c r="ORJ136" s="371">
        <v>15.38</v>
      </c>
      <c r="ORK136" s="371" t="e">
        <f>ORH136*ORI136*ORJ136</f>
        <v>#DIV/0!</v>
      </c>
      <c r="ORL136" s="367" t="s">
        <v>206</v>
      </c>
      <c r="ORM136" s="367"/>
      <c r="ORN136" s="367"/>
      <c r="ORO136" s="368" t="s">
        <v>168</v>
      </c>
      <c r="ORP136" s="369">
        <v>0.5</v>
      </c>
      <c r="ORQ136" s="370" t="e">
        <f>10/ORM134</f>
        <v>#DIV/0!</v>
      </c>
      <c r="ORR136" s="371">
        <v>15.38</v>
      </c>
      <c r="ORS136" s="371" t="e">
        <f>ORP136*ORQ136*ORR136</f>
        <v>#DIV/0!</v>
      </c>
      <c r="ORT136" s="367" t="s">
        <v>206</v>
      </c>
      <c r="ORU136" s="367"/>
      <c r="ORV136" s="367"/>
      <c r="ORW136" s="368" t="s">
        <v>168</v>
      </c>
      <c r="ORX136" s="369">
        <v>0.5</v>
      </c>
      <c r="ORY136" s="370" t="e">
        <f>10/ORU134</f>
        <v>#DIV/0!</v>
      </c>
      <c r="ORZ136" s="371">
        <v>15.38</v>
      </c>
      <c r="OSA136" s="371" t="e">
        <f>ORX136*ORY136*ORZ136</f>
        <v>#DIV/0!</v>
      </c>
      <c r="OSB136" s="367" t="s">
        <v>206</v>
      </c>
      <c r="OSC136" s="367"/>
      <c r="OSD136" s="367"/>
      <c r="OSE136" s="368" t="s">
        <v>168</v>
      </c>
      <c r="OSF136" s="369">
        <v>0.5</v>
      </c>
      <c r="OSG136" s="370" t="e">
        <f>10/OSC134</f>
        <v>#DIV/0!</v>
      </c>
      <c r="OSH136" s="371">
        <v>15.38</v>
      </c>
      <c r="OSI136" s="371" t="e">
        <f>OSF136*OSG136*OSH136</f>
        <v>#DIV/0!</v>
      </c>
      <c r="OSJ136" s="367" t="s">
        <v>206</v>
      </c>
      <c r="OSK136" s="367"/>
      <c r="OSL136" s="367"/>
      <c r="OSM136" s="368" t="s">
        <v>168</v>
      </c>
      <c r="OSN136" s="369">
        <v>0.5</v>
      </c>
      <c r="OSO136" s="370" t="e">
        <f>10/OSK134</f>
        <v>#DIV/0!</v>
      </c>
      <c r="OSP136" s="371">
        <v>15.38</v>
      </c>
      <c r="OSQ136" s="371" t="e">
        <f>OSN136*OSO136*OSP136</f>
        <v>#DIV/0!</v>
      </c>
      <c r="OSR136" s="367" t="s">
        <v>206</v>
      </c>
      <c r="OSS136" s="367"/>
      <c r="OST136" s="367"/>
      <c r="OSU136" s="368" t="s">
        <v>168</v>
      </c>
      <c r="OSV136" s="369">
        <v>0.5</v>
      </c>
      <c r="OSW136" s="370" t="e">
        <f>10/OSS134</f>
        <v>#DIV/0!</v>
      </c>
      <c r="OSX136" s="371">
        <v>15.38</v>
      </c>
      <c r="OSY136" s="371" t="e">
        <f>OSV136*OSW136*OSX136</f>
        <v>#DIV/0!</v>
      </c>
      <c r="OSZ136" s="367" t="s">
        <v>206</v>
      </c>
      <c r="OTA136" s="367"/>
      <c r="OTB136" s="367"/>
      <c r="OTC136" s="368" t="s">
        <v>168</v>
      </c>
      <c r="OTD136" s="369">
        <v>0.5</v>
      </c>
      <c r="OTE136" s="370" t="e">
        <f>10/OTA134</f>
        <v>#DIV/0!</v>
      </c>
      <c r="OTF136" s="371">
        <v>15.38</v>
      </c>
      <c r="OTG136" s="371" t="e">
        <f>OTD136*OTE136*OTF136</f>
        <v>#DIV/0!</v>
      </c>
      <c r="OTH136" s="367" t="s">
        <v>206</v>
      </c>
      <c r="OTI136" s="367"/>
      <c r="OTJ136" s="367"/>
      <c r="OTK136" s="368" t="s">
        <v>168</v>
      </c>
      <c r="OTL136" s="369">
        <v>0.5</v>
      </c>
      <c r="OTM136" s="370" t="e">
        <f>10/OTI134</f>
        <v>#DIV/0!</v>
      </c>
      <c r="OTN136" s="371">
        <v>15.38</v>
      </c>
      <c r="OTO136" s="371" t="e">
        <f>OTL136*OTM136*OTN136</f>
        <v>#DIV/0!</v>
      </c>
      <c r="OTP136" s="367" t="s">
        <v>206</v>
      </c>
      <c r="OTQ136" s="367"/>
      <c r="OTR136" s="367"/>
      <c r="OTS136" s="368" t="s">
        <v>168</v>
      </c>
      <c r="OTT136" s="369">
        <v>0.5</v>
      </c>
      <c r="OTU136" s="370" t="e">
        <f>10/OTQ134</f>
        <v>#DIV/0!</v>
      </c>
      <c r="OTV136" s="371">
        <v>15.38</v>
      </c>
      <c r="OTW136" s="371" t="e">
        <f>OTT136*OTU136*OTV136</f>
        <v>#DIV/0!</v>
      </c>
      <c r="OTX136" s="367" t="s">
        <v>206</v>
      </c>
      <c r="OTY136" s="367"/>
      <c r="OTZ136" s="367"/>
      <c r="OUA136" s="368" t="s">
        <v>168</v>
      </c>
      <c r="OUB136" s="369">
        <v>0.5</v>
      </c>
      <c r="OUC136" s="370" t="e">
        <f>10/OTY134</f>
        <v>#DIV/0!</v>
      </c>
      <c r="OUD136" s="371">
        <v>15.38</v>
      </c>
      <c r="OUE136" s="371" t="e">
        <f>OUB136*OUC136*OUD136</f>
        <v>#DIV/0!</v>
      </c>
      <c r="OUF136" s="367" t="s">
        <v>206</v>
      </c>
      <c r="OUG136" s="367"/>
      <c r="OUH136" s="367"/>
      <c r="OUI136" s="368" t="s">
        <v>168</v>
      </c>
      <c r="OUJ136" s="369">
        <v>0.5</v>
      </c>
      <c r="OUK136" s="370" t="e">
        <f>10/OUG134</f>
        <v>#DIV/0!</v>
      </c>
      <c r="OUL136" s="371">
        <v>15.38</v>
      </c>
      <c r="OUM136" s="371" t="e">
        <f>OUJ136*OUK136*OUL136</f>
        <v>#DIV/0!</v>
      </c>
      <c r="OUN136" s="367" t="s">
        <v>206</v>
      </c>
      <c r="OUO136" s="367"/>
      <c r="OUP136" s="367"/>
      <c r="OUQ136" s="368" t="s">
        <v>168</v>
      </c>
      <c r="OUR136" s="369">
        <v>0.5</v>
      </c>
      <c r="OUS136" s="370" t="e">
        <f>10/OUO134</f>
        <v>#DIV/0!</v>
      </c>
      <c r="OUT136" s="371">
        <v>15.38</v>
      </c>
      <c r="OUU136" s="371" t="e">
        <f>OUR136*OUS136*OUT136</f>
        <v>#DIV/0!</v>
      </c>
      <c r="OUV136" s="367" t="s">
        <v>206</v>
      </c>
      <c r="OUW136" s="367"/>
      <c r="OUX136" s="367"/>
      <c r="OUY136" s="368" t="s">
        <v>168</v>
      </c>
      <c r="OUZ136" s="369">
        <v>0.5</v>
      </c>
      <c r="OVA136" s="370" t="e">
        <f>10/OUW134</f>
        <v>#DIV/0!</v>
      </c>
      <c r="OVB136" s="371">
        <v>15.38</v>
      </c>
      <c r="OVC136" s="371" t="e">
        <f>OUZ136*OVA136*OVB136</f>
        <v>#DIV/0!</v>
      </c>
      <c r="OVD136" s="367" t="s">
        <v>206</v>
      </c>
      <c r="OVE136" s="367"/>
      <c r="OVF136" s="367"/>
      <c r="OVG136" s="368" t="s">
        <v>168</v>
      </c>
      <c r="OVH136" s="369">
        <v>0.5</v>
      </c>
      <c r="OVI136" s="370" t="e">
        <f>10/OVE134</f>
        <v>#DIV/0!</v>
      </c>
      <c r="OVJ136" s="371">
        <v>15.38</v>
      </c>
      <c r="OVK136" s="371" t="e">
        <f>OVH136*OVI136*OVJ136</f>
        <v>#DIV/0!</v>
      </c>
      <c r="OVL136" s="367" t="s">
        <v>206</v>
      </c>
      <c r="OVM136" s="367"/>
      <c r="OVN136" s="367"/>
      <c r="OVO136" s="368" t="s">
        <v>168</v>
      </c>
      <c r="OVP136" s="369">
        <v>0.5</v>
      </c>
      <c r="OVQ136" s="370" t="e">
        <f>10/OVM134</f>
        <v>#DIV/0!</v>
      </c>
      <c r="OVR136" s="371">
        <v>15.38</v>
      </c>
      <c r="OVS136" s="371" t="e">
        <f>OVP136*OVQ136*OVR136</f>
        <v>#DIV/0!</v>
      </c>
      <c r="OVT136" s="367" t="s">
        <v>206</v>
      </c>
      <c r="OVU136" s="367"/>
      <c r="OVV136" s="367"/>
      <c r="OVW136" s="368" t="s">
        <v>168</v>
      </c>
      <c r="OVX136" s="369">
        <v>0.5</v>
      </c>
      <c r="OVY136" s="370" t="e">
        <f>10/OVU134</f>
        <v>#DIV/0!</v>
      </c>
      <c r="OVZ136" s="371">
        <v>15.38</v>
      </c>
      <c r="OWA136" s="371" t="e">
        <f>OVX136*OVY136*OVZ136</f>
        <v>#DIV/0!</v>
      </c>
      <c r="OWB136" s="367" t="s">
        <v>206</v>
      </c>
      <c r="OWC136" s="367"/>
      <c r="OWD136" s="367"/>
      <c r="OWE136" s="368" t="s">
        <v>168</v>
      </c>
      <c r="OWF136" s="369">
        <v>0.5</v>
      </c>
      <c r="OWG136" s="370" t="e">
        <f>10/OWC134</f>
        <v>#DIV/0!</v>
      </c>
      <c r="OWH136" s="371">
        <v>15.38</v>
      </c>
      <c r="OWI136" s="371" t="e">
        <f>OWF136*OWG136*OWH136</f>
        <v>#DIV/0!</v>
      </c>
      <c r="OWJ136" s="367" t="s">
        <v>206</v>
      </c>
      <c r="OWK136" s="367"/>
      <c r="OWL136" s="367"/>
      <c r="OWM136" s="368" t="s">
        <v>168</v>
      </c>
      <c r="OWN136" s="369">
        <v>0.5</v>
      </c>
      <c r="OWO136" s="370" t="e">
        <f>10/OWK134</f>
        <v>#DIV/0!</v>
      </c>
      <c r="OWP136" s="371">
        <v>15.38</v>
      </c>
      <c r="OWQ136" s="371" t="e">
        <f>OWN136*OWO136*OWP136</f>
        <v>#DIV/0!</v>
      </c>
      <c r="OWR136" s="367" t="s">
        <v>206</v>
      </c>
      <c r="OWS136" s="367"/>
      <c r="OWT136" s="367"/>
      <c r="OWU136" s="368" t="s">
        <v>168</v>
      </c>
      <c r="OWV136" s="369">
        <v>0.5</v>
      </c>
      <c r="OWW136" s="370" t="e">
        <f>10/OWS134</f>
        <v>#DIV/0!</v>
      </c>
      <c r="OWX136" s="371">
        <v>15.38</v>
      </c>
      <c r="OWY136" s="371" t="e">
        <f>OWV136*OWW136*OWX136</f>
        <v>#DIV/0!</v>
      </c>
      <c r="OWZ136" s="367" t="s">
        <v>206</v>
      </c>
      <c r="OXA136" s="367"/>
      <c r="OXB136" s="367"/>
      <c r="OXC136" s="368" t="s">
        <v>168</v>
      </c>
      <c r="OXD136" s="369">
        <v>0.5</v>
      </c>
      <c r="OXE136" s="370" t="e">
        <f>10/OXA134</f>
        <v>#DIV/0!</v>
      </c>
      <c r="OXF136" s="371">
        <v>15.38</v>
      </c>
      <c r="OXG136" s="371" t="e">
        <f>OXD136*OXE136*OXF136</f>
        <v>#DIV/0!</v>
      </c>
      <c r="OXH136" s="367" t="s">
        <v>206</v>
      </c>
      <c r="OXI136" s="367"/>
      <c r="OXJ136" s="367"/>
      <c r="OXK136" s="368" t="s">
        <v>168</v>
      </c>
      <c r="OXL136" s="369">
        <v>0.5</v>
      </c>
      <c r="OXM136" s="370" t="e">
        <f>10/OXI134</f>
        <v>#DIV/0!</v>
      </c>
      <c r="OXN136" s="371">
        <v>15.38</v>
      </c>
      <c r="OXO136" s="371" t="e">
        <f>OXL136*OXM136*OXN136</f>
        <v>#DIV/0!</v>
      </c>
      <c r="OXP136" s="367" t="s">
        <v>206</v>
      </c>
      <c r="OXQ136" s="367"/>
      <c r="OXR136" s="367"/>
      <c r="OXS136" s="368" t="s">
        <v>168</v>
      </c>
      <c r="OXT136" s="369">
        <v>0.5</v>
      </c>
      <c r="OXU136" s="370" t="e">
        <f>10/OXQ134</f>
        <v>#DIV/0!</v>
      </c>
      <c r="OXV136" s="371">
        <v>15.38</v>
      </c>
      <c r="OXW136" s="371" t="e">
        <f>OXT136*OXU136*OXV136</f>
        <v>#DIV/0!</v>
      </c>
      <c r="OXX136" s="367" t="s">
        <v>206</v>
      </c>
      <c r="OXY136" s="367"/>
      <c r="OXZ136" s="367"/>
      <c r="OYA136" s="368" t="s">
        <v>168</v>
      </c>
      <c r="OYB136" s="369">
        <v>0.5</v>
      </c>
      <c r="OYC136" s="370" t="e">
        <f>10/OXY134</f>
        <v>#DIV/0!</v>
      </c>
      <c r="OYD136" s="371">
        <v>15.38</v>
      </c>
      <c r="OYE136" s="371" t="e">
        <f>OYB136*OYC136*OYD136</f>
        <v>#DIV/0!</v>
      </c>
      <c r="OYF136" s="367" t="s">
        <v>206</v>
      </c>
      <c r="OYG136" s="367"/>
      <c r="OYH136" s="367"/>
      <c r="OYI136" s="368" t="s">
        <v>168</v>
      </c>
      <c r="OYJ136" s="369">
        <v>0.5</v>
      </c>
      <c r="OYK136" s="370" t="e">
        <f>10/OYG134</f>
        <v>#DIV/0!</v>
      </c>
      <c r="OYL136" s="371">
        <v>15.38</v>
      </c>
      <c r="OYM136" s="371" t="e">
        <f>OYJ136*OYK136*OYL136</f>
        <v>#DIV/0!</v>
      </c>
      <c r="OYN136" s="367" t="s">
        <v>206</v>
      </c>
      <c r="OYO136" s="367"/>
      <c r="OYP136" s="367"/>
      <c r="OYQ136" s="368" t="s">
        <v>168</v>
      </c>
      <c r="OYR136" s="369">
        <v>0.5</v>
      </c>
      <c r="OYS136" s="370" t="e">
        <f>10/OYO134</f>
        <v>#DIV/0!</v>
      </c>
      <c r="OYT136" s="371">
        <v>15.38</v>
      </c>
      <c r="OYU136" s="371" t="e">
        <f>OYR136*OYS136*OYT136</f>
        <v>#DIV/0!</v>
      </c>
      <c r="OYV136" s="367" t="s">
        <v>206</v>
      </c>
      <c r="OYW136" s="367"/>
      <c r="OYX136" s="367"/>
      <c r="OYY136" s="368" t="s">
        <v>168</v>
      </c>
      <c r="OYZ136" s="369">
        <v>0.5</v>
      </c>
      <c r="OZA136" s="370" t="e">
        <f>10/OYW134</f>
        <v>#DIV/0!</v>
      </c>
      <c r="OZB136" s="371">
        <v>15.38</v>
      </c>
      <c r="OZC136" s="371" t="e">
        <f>OYZ136*OZA136*OZB136</f>
        <v>#DIV/0!</v>
      </c>
      <c r="OZD136" s="367" t="s">
        <v>206</v>
      </c>
      <c r="OZE136" s="367"/>
      <c r="OZF136" s="367"/>
      <c r="OZG136" s="368" t="s">
        <v>168</v>
      </c>
      <c r="OZH136" s="369">
        <v>0.5</v>
      </c>
      <c r="OZI136" s="370" t="e">
        <f>10/OZE134</f>
        <v>#DIV/0!</v>
      </c>
      <c r="OZJ136" s="371">
        <v>15.38</v>
      </c>
      <c r="OZK136" s="371" t="e">
        <f>OZH136*OZI136*OZJ136</f>
        <v>#DIV/0!</v>
      </c>
      <c r="OZL136" s="367" t="s">
        <v>206</v>
      </c>
      <c r="OZM136" s="367"/>
      <c r="OZN136" s="367"/>
      <c r="OZO136" s="368" t="s">
        <v>168</v>
      </c>
      <c r="OZP136" s="369">
        <v>0.5</v>
      </c>
      <c r="OZQ136" s="370" t="e">
        <f>10/OZM134</f>
        <v>#DIV/0!</v>
      </c>
      <c r="OZR136" s="371">
        <v>15.38</v>
      </c>
      <c r="OZS136" s="371" t="e">
        <f>OZP136*OZQ136*OZR136</f>
        <v>#DIV/0!</v>
      </c>
      <c r="OZT136" s="367" t="s">
        <v>206</v>
      </c>
      <c r="OZU136" s="367"/>
      <c r="OZV136" s="367"/>
      <c r="OZW136" s="368" t="s">
        <v>168</v>
      </c>
      <c r="OZX136" s="369">
        <v>0.5</v>
      </c>
      <c r="OZY136" s="370" t="e">
        <f>10/OZU134</f>
        <v>#DIV/0!</v>
      </c>
      <c r="OZZ136" s="371">
        <v>15.38</v>
      </c>
      <c r="PAA136" s="371" t="e">
        <f>OZX136*OZY136*OZZ136</f>
        <v>#DIV/0!</v>
      </c>
      <c r="PAB136" s="367" t="s">
        <v>206</v>
      </c>
      <c r="PAC136" s="367"/>
      <c r="PAD136" s="367"/>
      <c r="PAE136" s="368" t="s">
        <v>168</v>
      </c>
      <c r="PAF136" s="369">
        <v>0.5</v>
      </c>
      <c r="PAG136" s="370" t="e">
        <f>10/PAC134</f>
        <v>#DIV/0!</v>
      </c>
      <c r="PAH136" s="371">
        <v>15.38</v>
      </c>
      <c r="PAI136" s="371" t="e">
        <f>PAF136*PAG136*PAH136</f>
        <v>#DIV/0!</v>
      </c>
      <c r="PAJ136" s="367" t="s">
        <v>206</v>
      </c>
      <c r="PAK136" s="367"/>
      <c r="PAL136" s="367"/>
      <c r="PAM136" s="368" t="s">
        <v>168</v>
      </c>
      <c r="PAN136" s="369">
        <v>0.5</v>
      </c>
      <c r="PAO136" s="370" t="e">
        <f>10/PAK134</f>
        <v>#DIV/0!</v>
      </c>
      <c r="PAP136" s="371">
        <v>15.38</v>
      </c>
      <c r="PAQ136" s="371" t="e">
        <f>PAN136*PAO136*PAP136</f>
        <v>#DIV/0!</v>
      </c>
      <c r="PAR136" s="367" t="s">
        <v>206</v>
      </c>
      <c r="PAS136" s="367"/>
      <c r="PAT136" s="367"/>
      <c r="PAU136" s="368" t="s">
        <v>168</v>
      </c>
      <c r="PAV136" s="369">
        <v>0.5</v>
      </c>
      <c r="PAW136" s="370" t="e">
        <f>10/PAS134</f>
        <v>#DIV/0!</v>
      </c>
      <c r="PAX136" s="371">
        <v>15.38</v>
      </c>
      <c r="PAY136" s="371" t="e">
        <f>PAV136*PAW136*PAX136</f>
        <v>#DIV/0!</v>
      </c>
      <c r="PAZ136" s="367" t="s">
        <v>206</v>
      </c>
      <c r="PBA136" s="367"/>
      <c r="PBB136" s="367"/>
      <c r="PBC136" s="368" t="s">
        <v>168</v>
      </c>
      <c r="PBD136" s="369">
        <v>0.5</v>
      </c>
      <c r="PBE136" s="370" t="e">
        <f>10/PBA134</f>
        <v>#DIV/0!</v>
      </c>
      <c r="PBF136" s="371">
        <v>15.38</v>
      </c>
      <c r="PBG136" s="371" t="e">
        <f>PBD136*PBE136*PBF136</f>
        <v>#DIV/0!</v>
      </c>
      <c r="PBH136" s="367" t="s">
        <v>206</v>
      </c>
      <c r="PBI136" s="367"/>
      <c r="PBJ136" s="367"/>
      <c r="PBK136" s="368" t="s">
        <v>168</v>
      </c>
      <c r="PBL136" s="369">
        <v>0.5</v>
      </c>
      <c r="PBM136" s="370" t="e">
        <f>10/PBI134</f>
        <v>#DIV/0!</v>
      </c>
      <c r="PBN136" s="371">
        <v>15.38</v>
      </c>
      <c r="PBO136" s="371" t="e">
        <f>PBL136*PBM136*PBN136</f>
        <v>#DIV/0!</v>
      </c>
      <c r="PBP136" s="367" t="s">
        <v>206</v>
      </c>
      <c r="PBQ136" s="367"/>
      <c r="PBR136" s="367"/>
      <c r="PBS136" s="368" t="s">
        <v>168</v>
      </c>
      <c r="PBT136" s="369">
        <v>0.5</v>
      </c>
      <c r="PBU136" s="370" t="e">
        <f>10/PBQ134</f>
        <v>#DIV/0!</v>
      </c>
      <c r="PBV136" s="371">
        <v>15.38</v>
      </c>
      <c r="PBW136" s="371" t="e">
        <f>PBT136*PBU136*PBV136</f>
        <v>#DIV/0!</v>
      </c>
      <c r="PBX136" s="367" t="s">
        <v>206</v>
      </c>
      <c r="PBY136" s="367"/>
      <c r="PBZ136" s="367"/>
      <c r="PCA136" s="368" t="s">
        <v>168</v>
      </c>
      <c r="PCB136" s="369">
        <v>0.5</v>
      </c>
      <c r="PCC136" s="370" t="e">
        <f>10/PBY134</f>
        <v>#DIV/0!</v>
      </c>
      <c r="PCD136" s="371">
        <v>15.38</v>
      </c>
      <c r="PCE136" s="371" t="e">
        <f>PCB136*PCC136*PCD136</f>
        <v>#DIV/0!</v>
      </c>
      <c r="PCF136" s="367" t="s">
        <v>206</v>
      </c>
      <c r="PCG136" s="367"/>
      <c r="PCH136" s="367"/>
      <c r="PCI136" s="368" t="s">
        <v>168</v>
      </c>
      <c r="PCJ136" s="369">
        <v>0.5</v>
      </c>
      <c r="PCK136" s="370" t="e">
        <f>10/PCG134</f>
        <v>#DIV/0!</v>
      </c>
      <c r="PCL136" s="371">
        <v>15.38</v>
      </c>
      <c r="PCM136" s="371" t="e">
        <f>PCJ136*PCK136*PCL136</f>
        <v>#DIV/0!</v>
      </c>
      <c r="PCN136" s="367" t="s">
        <v>206</v>
      </c>
      <c r="PCO136" s="367"/>
      <c r="PCP136" s="367"/>
      <c r="PCQ136" s="368" t="s">
        <v>168</v>
      </c>
      <c r="PCR136" s="369">
        <v>0.5</v>
      </c>
      <c r="PCS136" s="370" t="e">
        <f>10/PCO134</f>
        <v>#DIV/0!</v>
      </c>
      <c r="PCT136" s="371">
        <v>15.38</v>
      </c>
      <c r="PCU136" s="371" t="e">
        <f>PCR136*PCS136*PCT136</f>
        <v>#DIV/0!</v>
      </c>
      <c r="PCV136" s="367" t="s">
        <v>206</v>
      </c>
      <c r="PCW136" s="367"/>
      <c r="PCX136" s="367"/>
      <c r="PCY136" s="368" t="s">
        <v>168</v>
      </c>
      <c r="PCZ136" s="369">
        <v>0.5</v>
      </c>
      <c r="PDA136" s="370" t="e">
        <f>10/PCW134</f>
        <v>#DIV/0!</v>
      </c>
      <c r="PDB136" s="371">
        <v>15.38</v>
      </c>
      <c r="PDC136" s="371" t="e">
        <f>PCZ136*PDA136*PDB136</f>
        <v>#DIV/0!</v>
      </c>
      <c r="PDD136" s="367" t="s">
        <v>206</v>
      </c>
      <c r="PDE136" s="367"/>
      <c r="PDF136" s="367"/>
      <c r="PDG136" s="368" t="s">
        <v>168</v>
      </c>
      <c r="PDH136" s="369">
        <v>0.5</v>
      </c>
      <c r="PDI136" s="370" t="e">
        <f>10/PDE134</f>
        <v>#DIV/0!</v>
      </c>
      <c r="PDJ136" s="371">
        <v>15.38</v>
      </c>
      <c r="PDK136" s="371" t="e">
        <f>PDH136*PDI136*PDJ136</f>
        <v>#DIV/0!</v>
      </c>
      <c r="PDL136" s="367" t="s">
        <v>206</v>
      </c>
      <c r="PDM136" s="367"/>
      <c r="PDN136" s="367"/>
      <c r="PDO136" s="368" t="s">
        <v>168</v>
      </c>
      <c r="PDP136" s="369">
        <v>0.5</v>
      </c>
      <c r="PDQ136" s="370" t="e">
        <f>10/PDM134</f>
        <v>#DIV/0!</v>
      </c>
      <c r="PDR136" s="371">
        <v>15.38</v>
      </c>
      <c r="PDS136" s="371" t="e">
        <f>PDP136*PDQ136*PDR136</f>
        <v>#DIV/0!</v>
      </c>
      <c r="PDT136" s="367" t="s">
        <v>206</v>
      </c>
      <c r="PDU136" s="367"/>
      <c r="PDV136" s="367"/>
      <c r="PDW136" s="368" t="s">
        <v>168</v>
      </c>
      <c r="PDX136" s="369">
        <v>0.5</v>
      </c>
      <c r="PDY136" s="370" t="e">
        <f>10/PDU134</f>
        <v>#DIV/0!</v>
      </c>
      <c r="PDZ136" s="371">
        <v>15.38</v>
      </c>
      <c r="PEA136" s="371" t="e">
        <f>PDX136*PDY136*PDZ136</f>
        <v>#DIV/0!</v>
      </c>
      <c r="PEB136" s="367" t="s">
        <v>206</v>
      </c>
      <c r="PEC136" s="367"/>
      <c r="PED136" s="367"/>
      <c r="PEE136" s="368" t="s">
        <v>168</v>
      </c>
      <c r="PEF136" s="369">
        <v>0.5</v>
      </c>
      <c r="PEG136" s="370" t="e">
        <f>10/PEC134</f>
        <v>#DIV/0!</v>
      </c>
      <c r="PEH136" s="371">
        <v>15.38</v>
      </c>
      <c r="PEI136" s="371" t="e">
        <f>PEF136*PEG136*PEH136</f>
        <v>#DIV/0!</v>
      </c>
      <c r="PEJ136" s="367" t="s">
        <v>206</v>
      </c>
      <c r="PEK136" s="367"/>
      <c r="PEL136" s="367"/>
      <c r="PEM136" s="368" t="s">
        <v>168</v>
      </c>
      <c r="PEN136" s="369">
        <v>0.5</v>
      </c>
      <c r="PEO136" s="370" t="e">
        <f>10/PEK134</f>
        <v>#DIV/0!</v>
      </c>
      <c r="PEP136" s="371">
        <v>15.38</v>
      </c>
      <c r="PEQ136" s="371" t="e">
        <f>PEN136*PEO136*PEP136</f>
        <v>#DIV/0!</v>
      </c>
      <c r="PER136" s="367" t="s">
        <v>206</v>
      </c>
      <c r="PES136" s="367"/>
      <c r="PET136" s="367"/>
      <c r="PEU136" s="368" t="s">
        <v>168</v>
      </c>
      <c r="PEV136" s="369">
        <v>0.5</v>
      </c>
      <c r="PEW136" s="370" t="e">
        <f>10/PES134</f>
        <v>#DIV/0!</v>
      </c>
      <c r="PEX136" s="371">
        <v>15.38</v>
      </c>
      <c r="PEY136" s="371" t="e">
        <f>PEV136*PEW136*PEX136</f>
        <v>#DIV/0!</v>
      </c>
      <c r="PEZ136" s="367" t="s">
        <v>206</v>
      </c>
      <c r="PFA136" s="367"/>
      <c r="PFB136" s="367"/>
      <c r="PFC136" s="368" t="s">
        <v>168</v>
      </c>
      <c r="PFD136" s="369">
        <v>0.5</v>
      </c>
      <c r="PFE136" s="370" t="e">
        <f>10/PFA134</f>
        <v>#DIV/0!</v>
      </c>
      <c r="PFF136" s="371">
        <v>15.38</v>
      </c>
      <c r="PFG136" s="371" t="e">
        <f>PFD136*PFE136*PFF136</f>
        <v>#DIV/0!</v>
      </c>
      <c r="PFH136" s="367" t="s">
        <v>206</v>
      </c>
      <c r="PFI136" s="367"/>
      <c r="PFJ136" s="367"/>
      <c r="PFK136" s="368" t="s">
        <v>168</v>
      </c>
      <c r="PFL136" s="369">
        <v>0.5</v>
      </c>
      <c r="PFM136" s="370" t="e">
        <f>10/PFI134</f>
        <v>#DIV/0!</v>
      </c>
      <c r="PFN136" s="371">
        <v>15.38</v>
      </c>
      <c r="PFO136" s="371" t="e">
        <f>PFL136*PFM136*PFN136</f>
        <v>#DIV/0!</v>
      </c>
      <c r="PFP136" s="367" t="s">
        <v>206</v>
      </c>
      <c r="PFQ136" s="367"/>
      <c r="PFR136" s="367"/>
      <c r="PFS136" s="368" t="s">
        <v>168</v>
      </c>
      <c r="PFT136" s="369">
        <v>0.5</v>
      </c>
      <c r="PFU136" s="370" t="e">
        <f>10/PFQ134</f>
        <v>#DIV/0!</v>
      </c>
      <c r="PFV136" s="371">
        <v>15.38</v>
      </c>
      <c r="PFW136" s="371" t="e">
        <f>PFT136*PFU136*PFV136</f>
        <v>#DIV/0!</v>
      </c>
      <c r="PFX136" s="367" t="s">
        <v>206</v>
      </c>
      <c r="PFY136" s="367"/>
      <c r="PFZ136" s="367"/>
      <c r="PGA136" s="368" t="s">
        <v>168</v>
      </c>
      <c r="PGB136" s="369">
        <v>0.5</v>
      </c>
      <c r="PGC136" s="370" t="e">
        <f>10/PFY134</f>
        <v>#DIV/0!</v>
      </c>
      <c r="PGD136" s="371">
        <v>15.38</v>
      </c>
      <c r="PGE136" s="371" t="e">
        <f>PGB136*PGC136*PGD136</f>
        <v>#DIV/0!</v>
      </c>
      <c r="PGF136" s="367" t="s">
        <v>206</v>
      </c>
      <c r="PGG136" s="367"/>
      <c r="PGH136" s="367"/>
      <c r="PGI136" s="368" t="s">
        <v>168</v>
      </c>
      <c r="PGJ136" s="369">
        <v>0.5</v>
      </c>
      <c r="PGK136" s="370" t="e">
        <f>10/PGG134</f>
        <v>#DIV/0!</v>
      </c>
      <c r="PGL136" s="371">
        <v>15.38</v>
      </c>
      <c r="PGM136" s="371" t="e">
        <f>PGJ136*PGK136*PGL136</f>
        <v>#DIV/0!</v>
      </c>
      <c r="PGN136" s="367" t="s">
        <v>206</v>
      </c>
      <c r="PGO136" s="367"/>
      <c r="PGP136" s="367"/>
      <c r="PGQ136" s="368" t="s">
        <v>168</v>
      </c>
      <c r="PGR136" s="369">
        <v>0.5</v>
      </c>
      <c r="PGS136" s="370" t="e">
        <f>10/PGO134</f>
        <v>#DIV/0!</v>
      </c>
      <c r="PGT136" s="371">
        <v>15.38</v>
      </c>
      <c r="PGU136" s="371" t="e">
        <f>PGR136*PGS136*PGT136</f>
        <v>#DIV/0!</v>
      </c>
      <c r="PGV136" s="367" t="s">
        <v>206</v>
      </c>
      <c r="PGW136" s="367"/>
      <c r="PGX136" s="367"/>
      <c r="PGY136" s="368" t="s">
        <v>168</v>
      </c>
      <c r="PGZ136" s="369">
        <v>0.5</v>
      </c>
      <c r="PHA136" s="370" t="e">
        <f>10/PGW134</f>
        <v>#DIV/0!</v>
      </c>
      <c r="PHB136" s="371">
        <v>15.38</v>
      </c>
      <c r="PHC136" s="371" t="e">
        <f>PGZ136*PHA136*PHB136</f>
        <v>#DIV/0!</v>
      </c>
      <c r="PHD136" s="367" t="s">
        <v>206</v>
      </c>
      <c r="PHE136" s="367"/>
      <c r="PHF136" s="367"/>
      <c r="PHG136" s="368" t="s">
        <v>168</v>
      </c>
      <c r="PHH136" s="369">
        <v>0.5</v>
      </c>
      <c r="PHI136" s="370" t="e">
        <f>10/PHE134</f>
        <v>#DIV/0!</v>
      </c>
      <c r="PHJ136" s="371">
        <v>15.38</v>
      </c>
      <c r="PHK136" s="371" t="e">
        <f>PHH136*PHI136*PHJ136</f>
        <v>#DIV/0!</v>
      </c>
      <c r="PHL136" s="367" t="s">
        <v>206</v>
      </c>
      <c r="PHM136" s="367"/>
      <c r="PHN136" s="367"/>
      <c r="PHO136" s="368" t="s">
        <v>168</v>
      </c>
      <c r="PHP136" s="369">
        <v>0.5</v>
      </c>
      <c r="PHQ136" s="370" t="e">
        <f>10/PHM134</f>
        <v>#DIV/0!</v>
      </c>
      <c r="PHR136" s="371">
        <v>15.38</v>
      </c>
      <c r="PHS136" s="371" t="e">
        <f>PHP136*PHQ136*PHR136</f>
        <v>#DIV/0!</v>
      </c>
      <c r="PHT136" s="367" t="s">
        <v>206</v>
      </c>
      <c r="PHU136" s="367"/>
      <c r="PHV136" s="367"/>
      <c r="PHW136" s="368" t="s">
        <v>168</v>
      </c>
      <c r="PHX136" s="369">
        <v>0.5</v>
      </c>
      <c r="PHY136" s="370" t="e">
        <f>10/PHU134</f>
        <v>#DIV/0!</v>
      </c>
      <c r="PHZ136" s="371">
        <v>15.38</v>
      </c>
      <c r="PIA136" s="371" t="e">
        <f>PHX136*PHY136*PHZ136</f>
        <v>#DIV/0!</v>
      </c>
      <c r="PIB136" s="367" t="s">
        <v>206</v>
      </c>
      <c r="PIC136" s="367"/>
      <c r="PID136" s="367"/>
      <c r="PIE136" s="368" t="s">
        <v>168</v>
      </c>
      <c r="PIF136" s="369">
        <v>0.5</v>
      </c>
      <c r="PIG136" s="370" t="e">
        <f>10/PIC134</f>
        <v>#DIV/0!</v>
      </c>
      <c r="PIH136" s="371">
        <v>15.38</v>
      </c>
      <c r="PII136" s="371" t="e">
        <f>PIF136*PIG136*PIH136</f>
        <v>#DIV/0!</v>
      </c>
      <c r="PIJ136" s="367" t="s">
        <v>206</v>
      </c>
      <c r="PIK136" s="367"/>
      <c r="PIL136" s="367"/>
      <c r="PIM136" s="368" t="s">
        <v>168</v>
      </c>
      <c r="PIN136" s="369">
        <v>0.5</v>
      </c>
      <c r="PIO136" s="370" t="e">
        <f>10/PIK134</f>
        <v>#DIV/0!</v>
      </c>
      <c r="PIP136" s="371">
        <v>15.38</v>
      </c>
      <c r="PIQ136" s="371" t="e">
        <f>PIN136*PIO136*PIP136</f>
        <v>#DIV/0!</v>
      </c>
      <c r="PIR136" s="367" t="s">
        <v>206</v>
      </c>
      <c r="PIS136" s="367"/>
      <c r="PIT136" s="367"/>
      <c r="PIU136" s="368" t="s">
        <v>168</v>
      </c>
      <c r="PIV136" s="369">
        <v>0.5</v>
      </c>
      <c r="PIW136" s="370" t="e">
        <f>10/PIS134</f>
        <v>#DIV/0!</v>
      </c>
      <c r="PIX136" s="371">
        <v>15.38</v>
      </c>
      <c r="PIY136" s="371" t="e">
        <f>PIV136*PIW136*PIX136</f>
        <v>#DIV/0!</v>
      </c>
      <c r="PIZ136" s="367" t="s">
        <v>206</v>
      </c>
      <c r="PJA136" s="367"/>
      <c r="PJB136" s="367"/>
      <c r="PJC136" s="368" t="s">
        <v>168</v>
      </c>
      <c r="PJD136" s="369">
        <v>0.5</v>
      </c>
      <c r="PJE136" s="370" t="e">
        <f>10/PJA134</f>
        <v>#DIV/0!</v>
      </c>
      <c r="PJF136" s="371">
        <v>15.38</v>
      </c>
      <c r="PJG136" s="371" t="e">
        <f>PJD136*PJE136*PJF136</f>
        <v>#DIV/0!</v>
      </c>
      <c r="PJH136" s="367" t="s">
        <v>206</v>
      </c>
      <c r="PJI136" s="367"/>
      <c r="PJJ136" s="367"/>
      <c r="PJK136" s="368" t="s">
        <v>168</v>
      </c>
      <c r="PJL136" s="369">
        <v>0.5</v>
      </c>
      <c r="PJM136" s="370" t="e">
        <f>10/PJI134</f>
        <v>#DIV/0!</v>
      </c>
      <c r="PJN136" s="371">
        <v>15.38</v>
      </c>
      <c r="PJO136" s="371" t="e">
        <f>PJL136*PJM136*PJN136</f>
        <v>#DIV/0!</v>
      </c>
      <c r="PJP136" s="367" t="s">
        <v>206</v>
      </c>
      <c r="PJQ136" s="367"/>
      <c r="PJR136" s="367"/>
      <c r="PJS136" s="368" t="s">
        <v>168</v>
      </c>
      <c r="PJT136" s="369">
        <v>0.5</v>
      </c>
      <c r="PJU136" s="370" t="e">
        <f>10/PJQ134</f>
        <v>#DIV/0!</v>
      </c>
      <c r="PJV136" s="371">
        <v>15.38</v>
      </c>
      <c r="PJW136" s="371" t="e">
        <f>PJT136*PJU136*PJV136</f>
        <v>#DIV/0!</v>
      </c>
      <c r="PJX136" s="367" t="s">
        <v>206</v>
      </c>
      <c r="PJY136" s="367"/>
      <c r="PJZ136" s="367"/>
      <c r="PKA136" s="368" t="s">
        <v>168</v>
      </c>
      <c r="PKB136" s="369">
        <v>0.5</v>
      </c>
      <c r="PKC136" s="370" t="e">
        <f>10/PJY134</f>
        <v>#DIV/0!</v>
      </c>
      <c r="PKD136" s="371">
        <v>15.38</v>
      </c>
      <c r="PKE136" s="371" t="e">
        <f>PKB136*PKC136*PKD136</f>
        <v>#DIV/0!</v>
      </c>
      <c r="PKF136" s="367" t="s">
        <v>206</v>
      </c>
      <c r="PKG136" s="367"/>
      <c r="PKH136" s="367"/>
      <c r="PKI136" s="368" t="s">
        <v>168</v>
      </c>
      <c r="PKJ136" s="369">
        <v>0.5</v>
      </c>
      <c r="PKK136" s="370" t="e">
        <f>10/PKG134</f>
        <v>#DIV/0!</v>
      </c>
      <c r="PKL136" s="371">
        <v>15.38</v>
      </c>
      <c r="PKM136" s="371" t="e">
        <f>PKJ136*PKK136*PKL136</f>
        <v>#DIV/0!</v>
      </c>
      <c r="PKN136" s="367" t="s">
        <v>206</v>
      </c>
      <c r="PKO136" s="367"/>
      <c r="PKP136" s="367"/>
      <c r="PKQ136" s="368" t="s">
        <v>168</v>
      </c>
      <c r="PKR136" s="369">
        <v>0.5</v>
      </c>
      <c r="PKS136" s="370" t="e">
        <f>10/PKO134</f>
        <v>#DIV/0!</v>
      </c>
      <c r="PKT136" s="371">
        <v>15.38</v>
      </c>
      <c r="PKU136" s="371" t="e">
        <f>PKR136*PKS136*PKT136</f>
        <v>#DIV/0!</v>
      </c>
      <c r="PKV136" s="367" t="s">
        <v>206</v>
      </c>
      <c r="PKW136" s="367"/>
      <c r="PKX136" s="367"/>
      <c r="PKY136" s="368" t="s">
        <v>168</v>
      </c>
      <c r="PKZ136" s="369">
        <v>0.5</v>
      </c>
      <c r="PLA136" s="370" t="e">
        <f>10/PKW134</f>
        <v>#DIV/0!</v>
      </c>
      <c r="PLB136" s="371">
        <v>15.38</v>
      </c>
      <c r="PLC136" s="371" t="e">
        <f>PKZ136*PLA136*PLB136</f>
        <v>#DIV/0!</v>
      </c>
      <c r="PLD136" s="367" t="s">
        <v>206</v>
      </c>
      <c r="PLE136" s="367"/>
      <c r="PLF136" s="367"/>
      <c r="PLG136" s="368" t="s">
        <v>168</v>
      </c>
      <c r="PLH136" s="369">
        <v>0.5</v>
      </c>
      <c r="PLI136" s="370" t="e">
        <f>10/PLE134</f>
        <v>#DIV/0!</v>
      </c>
      <c r="PLJ136" s="371">
        <v>15.38</v>
      </c>
      <c r="PLK136" s="371" t="e">
        <f>PLH136*PLI136*PLJ136</f>
        <v>#DIV/0!</v>
      </c>
      <c r="PLL136" s="367" t="s">
        <v>206</v>
      </c>
      <c r="PLM136" s="367"/>
      <c r="PLN136" s="367"/>
      <c r="PLO136" s="368" t="s">
        <v>168</v>
      </c>
      <c r="PLP136" s="369">
        <v>0.5</v>
      </c>
      <c r="PLQ136" s="370" t="e">
        <f>10/PLM134</f>
        <v>#DIV/0!</v>
      </c>
      <c r="PLR136" s="371">
        <v>15.38</v>
      </c>
      <c r="PLS136" s="371" t="e">
        <f>PLP136*PLQ136*PLR136</f>
        <v>#DIV/0!</v>
      </c>
      <c r="PLT136" s="367" t="s">
        <v>206</v>
      </c>
      <c r="PLU136" s="367"/>
      <c r="PLV136" s="367"/>
      <c r="PLW136" s="368" t="s">
        <v>168</v>
      </c>
      <c r="PLX136" s="369">
        <v>0.5</v>
      </c>
      <c r="PLY136" s="370" t="e">
        <f>10/PLU134</f>
        <v>#DIV/0!</v>
      </c>
      <c r="PLZ136" s="371">
        <v>15.38</v>
      </c>
      <c r="PMA136" s="371" t="e">
        <f>PLX136*PLY136*PLZ136</f>
        <v>#DIV/0!</v>
      </c>
      <c r="PMB136" s="367" t="s">
        <v>206</v>
      </c>
      <c r="PMC136" s="367"/>
      <c r="PMD136" s="367"/>
      <c r="PME136" s="368" t="s">
        <v>168</v>
      </c>
      <c r="PMF136" s="369">
        <v>0.5</v>
      </c>
      <c r="PMG136" s="370" t="e">
        <f>10/PMC134</f>
        <v>#DIV/0!</v>
      </c>
      <c r="PMH136" s="371">
        <v>15.38</v>
      </c>
      <c r="PMI136" s="371" t="e">
        <f>PMF136*PMG136*PMH136</f>
        <v>#DIV/0!</v>
      </c>
      <c r="PMJ136" s="367" t="s">
        <v>206</v>
      </c>
      <c r="PMK136" s="367"/>
      <c r="PML136" s="367"/>
      <c r="PMM136" s="368" t="s">
        <v>168</v>
      </c>
      <c r="PMN136" s="369">
        <v>0.5</v>
      </c>
      <c r="PMO136" s="370" t="e">
        <f>10/PMK134</f>
        <v>#DIV/0!</v>
      </c>
      <c r="PMP136" s="371">
        <v>15.38</v>
      </c>
      <c r="PMQ136" s="371" t="e">
        <f>PMN136*PMO136*PMP136</f>
        <v>#DIV/0!</v>
      </c>
      <c r="PMR136" s="367" t="s">
        <v>206</v>
      </c>
      <c r="PMS136" s="367"/>
      <c r="PMT136" s="367"/>
      <c r="PMU136" s="368" t="s">
        <v>168</v>
      </c>
      <c r="PMV136" s="369">
        <v>0.5</v>
      </c>
      <c r="PMW136" s="370" t="e">
        <f>10/PMS134</f>
        <v>#DIV/0!</v>
      </c>
      <c r="PMX136" s="371">
        <v>15.38</v>
      </c>
      <c r="PMY136" s="371" t="e">
        <f>PMV136*PMW136*PMX136</f>
        <v>#DIV/0!</v>
      </c>
      <c r="PMZ136" s="367" t="s">
        <v>206</v>
      </c>
      <c r="PNA136" s="367"/>
      <c r="PNB136" s="367"/>
      <c r="PNC136" s="368" t="s">
        <v>168</v>
      </c>
      <c r="PND136" s="369">
        <v>0.5</v>
      </c>
      <c r="PNE136" s="370" t="e">
        <f>10/PNA134</f>
        <v>#DIV/0!</v>
      </c>
      <c r="PNF136" s="371">
        <v>15.38</v>
      </c>
      <c r="PNG136" s="371" t="e">
        <f>PND136*PNE136*PNF136</f>
        <v>#DIV/0!</v>
      </c>
      <c r="PNH136" s="367" t="s">
        <v>206</v>
      </c>
      <c r="PNI136" s="367"/>
      <c r="PNJ136" s="367"/>
      <c r="PNK136" s="368" t="s">
        <v>168</v>
      </c>
      <c r="PNL136" s="369">
        <v>0.5</v>
      </c>
      <c r="PNM136" s="370" t="e">
        <f>10/PNI134</f>
        <v>#DIV/0!</v>
      </c>
      <c r="PNN136" s="371">
        <v>15.38</v>
      </c>
      <c r="PNO136" s="371" t="e">
        <f>PNL136*PNM136*PNN136</f>
        <v>#DIV/0!</v>
      </c>
      <c r="PNP136" s="367" t="s">
        <v>206</v>
      </c>
      <c r="PNQ136" s="367"/>
      <c r="PNR136" s="367"/>
      <c r="PNS136" s="368" t="s">
        <v>168</v>
      </c>
      <c r="PNT136" s="369">
        <v>0.5</v>
      </c>
      <c r="PNU136" s="370" t="e">
        <f>10/PNQ134</f>
        <v>#DIV/0!</v>
      </c>
      <c r="PNV136" s="371">
        <v>15.38</v>
      </c>
      <c r="PNW136" s="371" t="e">
        <f>PNT136*PNU136*PNV136</f>
        <v>#DIV/0!</v>
      </c>
      <c r="PNX136" s="367" t="s">
        <v>206</v>
      </c>
      <c r="PNY136" s="367"/>
      <c r="PNZ136" s="367"/>
      <c r="POA136" s="368" t="s">
        <v>168</v>
      </c>
      <c r="POB136" s="369">
        <v>0.5</v>
      </c>
      <c r="POC136" s="370" t="e">
        <f>10/PNY134</f>
        <v>#DIV/0!</v>
      </c>
      <c r="POD136" s="371">
        <v>15.38</v>
      </c>
      <c r="POE136" s="371" t="e">
        <f>POB136*POC136*POD136</f>
        <v>#DIV/0!</v>
      </c>
      <c r="POF136" s="367" t="s">
        <v>206</v>
      </c>
      <c r="POG136" s="367"/>
      <c r="POH136" s="367"/>
      <c r="POI136" s="368" t="s">
        <v>168</v>
      </c>
      <c r="POJ136" s="369">
        <v>0.5</v>
      </c>
      <c r="POK136" s="370" t="e">
        <f>10/POG134</f>
        <v>#DIV/0!</v>
      </c>
      <c r="POL136" s="371">
        <v>15.38</v>
      </c>
      <c r="POM136" s="371" t="e">
        <f>POJ136*POK136*POL136</f>
        <v>#DIV/0!</v>
      </c>
      <c r="PON136" s="367" t="s">
        <v>206</v>
      </c>
      <c r="POO136" s="367"/>
      <c r="POP136" s="367"/>
      <c r="POQ136" s="368" t="s">
        <v>168</v>
      </c>
      <c r="POR136" s="369">
        <v>0.5</v>
      </c>
      <c r="POS136" s="370" t="e">
        <f>10/POO134</f>
        <v>#DIV/0!</v>
      </c>
      <c r="POT136" s="371">
        <v>15.38</v>
      </c>
      <c r="POU136" s="371" t="e">
        <f>POR136*POS136*POT136</f>
        <v>#DIV/0!</v>
      </c>
      <c r="POV136" s="367" t="s">
        <v>206</v>
      </c>
      <c r="POW136" s="367"/>
      <c r="POX136" s="367"/>
      <c r="POY136" s="368" t="s">
        <v>168</v>
      </c>
      <c r="POZ136" s="369">
        <v>0.5</v>
      </c>
      <c r="PPA136" s="370" t="e">
        <f>10/POW134</f>
        <v>#DIV/0!</v>
      </c>
      <c r="PPB136" s="371">
        <v>15.38</v>
      </c>
      <c r="PPC136" s="371" t="e">
        <f>POZ136*PPA136*PPB136</f>
        <v>#DIV/0!</v>
      </c>
      <c r="PPD136" s="367" t="s">
        <v>206</v>
      </c>
      <c r="PPE136" s="367"/>
      <c r="PPF136" s="367"/>
      <c r="PPG136" s="368" t="s">
        <v>168</v>
      </c>
      <c r="PPH136" s="369">
        <v>0.5</v>
      </c>
      <c r="PPI136" s="370" t="e">
        <f>10/PPE134</f>
        <v>#DIV/0!</v>
      </c>
      <c r="PPJ136" s="371">
        <v>15.38</v>
      </c>
      <c r="PPK136" s="371" t="e">
        <f>PPH136*PPI136*PPJ136</f>
        <v>#DIV/0!</v>
      </c>
      <c r="PPL136" s="367" t="s">
        <v>206</v>
      </c>
      <c r="PPM136" s="367"/>
      <c r="PPN136" s="367"/>
      <c r="PPO136" s="368" t="s">
        <v>168</v>
      </c>
      <c r="PPP136" s="369">
        <v>0.5</v>
      </c>
      <c r="PPQ136" s="370" t="e">
        <f>10/PPM134</f>
        <v>#DIV/0!</v>
      </c>
      <c r="PPR136" s="371">
        <v>15.38</v>
      </c>
      <c r="PPS136" s="371" t="e">
        <f>PPP136*PPQ136*PPR136</f>
        <v>#DIV/0!</v>
      </c>
      <c r="PPT136" s="367" t="s">
        <v>206</v>
      </c>
      <c r="PPU136" s="367"/>
      <c r="PPV136" s="367"/>
      <c r="PPW136" s="368" t="s">
        <v>168</v>
      </c>
      <c r="PPX136" s="369">
        <v>0.5</v>
      </c>
      <c r="PPY136" s="370" t="e">
        <f>10/PPU134</f>
        <v>#DIV/0!</v>
      </c>
      <c r="PPZ136" s="371">
        <v>15.38</v>
      </c>
      <c r="PQA136" s="371" t="e">
        <f>PPX136*PPY136*PPZ136</f>
        <v>#DIV/0!</v>
      </c>
      <c r="PQB136" s="367" t="s">
        <v>206</v>
      </c>
      <c r="PQC136" s="367"/>
      <c r="PQD136" s="367"/>
      <c r="PQE136" s="368" t="s">
        <v>168</v>
      </c>
      <c r="PQF136" s="369">
        <v>0.5</v>
      </c>
      <c r="PQG136" s="370" t="e">
        <f>10/PQC134</f>
        <v>#DIV/0!</v>
      </c>
      <c r="PQH136" s="371">
        <v>15.38</v>
      </c>
      <c r="PQI136" s="371" t="e">
        <f>PQF136*PQG136*PQH136</f>
        <v>#DIV/0!</v>
      </c>
      <c r="PQJ136" s="367" t="s">
        <v>206</v>
      </c>
      <c r="PQK136" s="367"/>
      <c r="PQL136" s="367"/>
      <c r="PQM136" s="368" t="s">
        <v>168</v>
      </c>
      <c r="PQN136" s="369">
        <v>0.5</v>
      </c>
      <c r="PQO136" s="370" t="e">
        <f>10/PQK134</f>
        <v>#DIV/0!</v>
      </c>
      <c r="PQP136" s="371">
        <v>15.38</v>
      </c>
      <c r="PQQ136" s="371" t="e">
        <f>PQN136*PQO136*PQP136</f>
        <v>#DIV/0!</v>
      </c>
      <c r="PQR136" s="367" t="s">
        <v>206</v>
      </c>
      <c r="PQS136" s="367"/>
      <c r="PQT136" s="367"/>
      <c r="PQU136" s="368" t="s">
        <v>168</v>
      </c>
      <c r="PQV136" s="369">
        <v>0.5</v>
      </c>
      <c r="PQW136" s="370" t="e">
        <f>10/PQS134</f>
        <v>#DIV/0!</v>
      </c>
      <c r="PQX136" s="371">
        <v>15.38</v>
      </c>
      <c r="PQY136" s="371" t="e">
        <f>PQV136*PQW136*PQX136</f>
        <v>#DIV/0!</v>
      </c>
      <c r="PQZ136" s="367" t="s">
        <v>206</v>
      </c>
      <c r="PRA136" s="367"/>
      <c r="PRB136" s="367"/>
      <c r="PRC136" s="368" t="s">
        <v>168</v>
      </c>
      <c r="PRD136" s="369">
        <v>0.5</v>
      </c>
      <c r="PRE136" s="370" t="e">
        <f>10/PRA134</f>
        <v>#DIV/0!</v>
      </c>
      <c r="PRF136" s="371">
        <v>15.38</v>
      </c>
      <c r="PRG136" s="371" t="e">
        <f>PRD136*PRE136*PRF136</f>
        <v>#DIV/0!</v>
      </c>
      <c r="PRH136" s="367" t="s">
        <v>206</v>
      </c>
      <c r="PRI136" s="367"/>
      <c r="PRJ136" s="367"/>
      <c r="PRK136" s="368" t="s">
        <v>168</v>
      </c>
      <c r="PRL136" s="369">
        <v>0.5</v>
      </c>
      <c r="PRM136" s="370" t="e">
        <f>10/PRI134</f>
        <v>#DIV/0!</v>
      </c>
      <c r="PRN136" s="371">
        <v>15.38</v>
      </c>
      <c r="PRO136" s="371" t="e">
        <f>PRL136*PRM136*PRN136</f>
        <v>#DIV/0!</v>
      </c>
      <c r="PRP136" s="367" t="s">
        <v>206</v>
      </c>
      <c r="PRQ136" s="367"/>
      <c r="PRR136" s="367"/>
      <c r="PRS136" s="368" t="s">
        <v>168</v>
      </c>
      <c r="PRT136" s="369">
        <v>0.5</v>
      </c>
      <c r="PRU136" s="370" t="e">
        <f>10/PRQ134</f>
        <v>#DIV/0!</v>
      </c>
      <c r="PRV136" s="371">
        <v>15.38</v>
      </c>
      <c r="PRW136" s="371" t="e">
        <f>PRT136*PRU136*PRV136</f>
        <v>#DIV/0!</v>
      </c>
      <c r="PRX136" s="367" t="s">
        <v>206</v>
      </c>
      <c r="PRY136" s="367"/>
      <c r="PRZ136" s="367"/>
      <c r="PSA136" s="368" t="s">
        <v>168</v>
      </c>
      <c r="PSB136" s="369">
        <v>0.5</v>
      </c>
      <c r="PSC136" s="370" t="e">
        <f>10/PRY134</f>
        <v>#DIV/0!</v>
      </c>
      <c r="PSD136" s="371">
        <v>15.38</v>
      </c>
      <c r="PSE136" s="371" t="e">
        <f>PSB136*PSC136*PSD136</f>
        <v>#DIV/0!</v>
      </c>
      <c r="PSF136" s="367" t="s">
        <v>206</v>
      </c>
      <c r="PSG136" s="367"/>
      <c r="PSH136" s="367"/>
      <c r="PSI136" s="368" t="s">
        <v>168</v>
      </c>
      <c r="PSJ136" s="369">
        <v>0.5</v>
      </c>
      <c r="PSK136" s="370" t="e">
        <f>10/PSG134</f>
        <v>#DIV/0!</v>
      </c>
      <c r="PSL136" s="371">
        <v>15.38</v>
      </c>
      <c r="PSM136" s="371" t="e">
        <f>PSJ136*PSK136*PSL136</f>
        <v>#DIV/0!</v>
      </c>
      <c r="PSN136" s="367" t="s">
        <v>206</v>
      </c>
      <c r="PSO136" s="367"/>
      <c r="PSP136" s="367"/>
      <c r="PSQ136" s="368" t="s">
        <v>168</v>
      </c>
      <c r="PSR136" s="369">
        <v>0.5</v>
      </c>
      <c r="PSS136" s="370" t="e">
        <f>10/PSO134</f>
        <v>#DIV/0!</v>
      </c>
      <c r="PST136" s="371">
        <v>15.38</v>
      </c>
      <c r="PSU136" s="371" t="e">
        <f>PSR136*PSS136*PST136</f>
        <v>#DIV/0!</v>
      </c>
      <c r="PSV136" s="367" t="s">
        <v>206</v>
      </c>
      <c r="PSW136" s="367"/>
      <c r="PSX136" s="367"/>
      <c r="PSY136" s="368" t="s">
        <v>168</v>
      </c>
      <c r="PSZ136" s="369">
        <v>0.5</v>
      </c>
      <c r="PTA136" s="370" t="e">
        <f>10/PSW134</f>
        <v>#DIV/0!</v>
      </c>
      <c r="PTB136" s="371">
        <v>15.38</v>
      </c>
      <c r="PTC136" s="371" t="e">
        <f>PSZ136*PTA136*PTB136</f>
        <v>#DIV/0!</v>
      </c>
      <c r="PTD136" s="367" t="s">
        <v>206</v>
      </c>
      <c r="PTE136" s="367"/>
      <c r="PTF136" s="367"/>
      <c r="PTG136" s="368" t="s">
        <v>168</v>
      </c>
      <c r="PTH136" s="369">
        <v>0.5</v>
      </c>
      <c r="PTI136" s="370" t="e">
        <f>10/PTE134</f>
        <v>#DIV/0!</v>
      </c>
      <c r="PTJ136" s="371">
        <v>15.38</v>
      </c>
      <c r="PTK136" s="371" t="e">
        <f>PTH136*PTI136*PTJ136</f>
        <v>#DIV/0!</v>
      </c>
      <c r="PTL136" s="367" t="s">
        <v>206</v>
      </c>
      <c r="PTM136" s="367"/>
      <c r="PTN136" s="367"/>
      <c r="PTO136" s="368" t="s">
        <v>168</v>
      </c>
      <c r="PTP136" s="369">
        <v>0.5</v>
      </c>
      <c r="PTQ136" s="370" t="e">
        <f>10/PTM134</f>
        <v>#DIV/0!</v>
      </c>
      <c r="PTR136" s="371">
        <v>15.38</v>
      </c>
      <c r="PTS136" s="371" t="e">
        <f>PTP136*PTQ136*PTR136</f>
        <v>#DIV/0!</v>
      </c>
      <c r="PTT136" s="367" t="s">
        <v>206</v>
      </c>
      <c r="PTU136" s="367"/>
      <c r="PTV136" s="367"/>
      <c r="PTW136" s="368" t="s">
        <v>168</v>
      </c>
      <c r="PTX136" s="369">
        <v>0.5</v>
      </c>
      <c r="PTY136" s="370" t="e">
        <f>10/PTU134</f>
        <v>#DIV/0!</v>
      </c>
      <c r="PTZ136" s="371">
        <v>15.38</v>
      </c>
      <c r="PUA136" s="371" t="e">
        <f>PTX136*PTY136*PTZ136</f>
        <v>#DIV/0!</v>
      </c>
      <c r="PUB136" s="367" t="s">
        <v>206</v>
      </c>
      <c r="PUC136" s="367"/>
      <c r="PUD136" s="367"/>
      <c r="PUE136" s="368" t="s">
        <v>168</v>
      </c>
      <c r="PUF136" s="369">
        <v>0.5</v>
      </c>
      <c r="PUG136" s="370" t="e">
        <f>10/PUC134</f>
        <v>#DIV/0!</v>
      </c>
      <c r="PUH136" s="371">
        <v>15.38</v>
      </c>
      <c r="PUI136" s="371" t="e">
        <f>PUF136*PUG136*PUH136</f>
        <v>#DIV/0!</v>
      </c>
      <c r="PUJ136" s="367" t="s">
        <v>206</v>
      </c>
      <c r="PUK136" s="367"/>
      <c r="PUL136" s="367"/>
      <c r="PUM136" s="368" t="s">
        <v>168</v>
      </c>
      <c r="PUN136" s="369">
        <v>0.5</v>
      </c>
      <c r="PUO136" s="370" t="e">
        <f>10/PUK134</f>
        <v>#DIV/0!</v>
      </c>
      <c r="PUP136" s="371">
        <v>15.38</v>
      </c>
      <c r="PUQ136" s="371" t="e">
        <f>PUN136*PUO136*PUP136</f>
        <v>#DIV/0!</v>
      </c>
      <c r="PUR136" s="367" t="s">
        <v>206</v>
      </c>
      <c r="PUS136" s="367"/>
      <c r="PUT136" s="367"/>
      <c r="PUU136" s="368" t="s">
        <v>168</v>
      </c>
      <c r="PUV136" s="369">
        <v>0.5</v>
      </c>
      <c r="PUW136" s="370" t="e">
        <f>10/PUS134</f>
        <v>#DIV/0!</v>
      </c>
      <c r="PUX136" s="371">
        <v>15.38</v>
      </c>
      <c r="PUY136" s="371" t="e">
        <f>PUV136*PUW136*PUX136</f>
        <v>#DIV/0!</v>
      </c>
      <c r="PUZ136" s="367" t="s">
        <v>206</v>
      </c>
      <c r="PVA136" s="367"/>
      <c r="PVB136" s="367"/>
      <c r="PVC136" s="368" t="s">
        <v>168</v>
      </c>
      <c r="PVD136" s="369">
        <v>0.5</v>
      </c>
      <c r="PVE136" s="370" t="e">
        <f>10/PVA134</f>
        <v>#DIV/0!</v>
      </c>
      <c r="PVF136" s="371">
        <v>15.38</v>
      </c>
      <c r="PVG136" s="371" t="e">
        <f>PVD136*PVE136*PVF136</f>
        <v>#DIV/0!</v>
      </c>
      <c r="PVH136" s="367" t="s">
        <v>206</v>
      </c>
      <c r="PVI136" s="367"/>
      <c r="PVJ136" s="367"/>
      <c r="PVK136" s="368" t="s">
        <v>168</v>
      </c>
      <c r="PVL136" s="369">
        <v>0.5</v>
      </c>
      <c r="PVM136" s="370" t="e">
        <f>10/PVI134</f>
        <v>#DIV/0!</v>
      </c>
      <c r="PVN136" s="371">
        <v>15.38</v>
      </c>
      <c r="PVO136" s="371" t="e">
        <f>PVL136*PVM136*PVN136</f>
        <v>#DIV/0!</v>
      </c>
      <c r="PVP136" s="367" t="s">
        <v>206</v>
      </c>
      <c r="PVQ136" s="367"/>
      <c r="PVR136" s="367"/>
      <c r="PVS136" s="368" t="s">
        <v>168</v>
      </c>
      <c r="PVT136" s="369">
        <v>0.5</v>
      </c>
      <c r="PVU136" s="370" t="e">
        <f>10/PVQ134</f>
        <v>#DIV/0!</v>
      </c>
      <c r="PVV136" s="371">
        <v>15.38</v>
      </c>
      <c r="PVW136" s="371" t="e">
        <f>PVT136*PVU136*PVV136</f>
        <v>#DIV/0!</v>
      </c>
      <c r="PVX136" s="367" t="s">
        <v>206</v>
      </c>
      <c r="PVY136" s="367"/>
      <c r="PVZ136" s="367"/>
      <c r="PWA136" s="368" t="s">
        <v>168</v>
      </c>
      <c r="PWB136" s="369">
        <v>0.5</v>
      </c>
      <c r="PWC136" s="370" t="e">
        <f>10/PVY134</f>
        <v>#DIV/0!</v>
      </c>
      <c r="PWD136" s="371">
        <v>15.38</v>
      </c>
      <c r="PWE136" s="371" t="e">
        <f>PWB136*PWC136*PWD136</f>
        <v>#DIV/0!</v>
      </c>
      <c r="PWF136" s="367" t="s">
        <v>206</v>
      </c>
      <c r="PWG136" s="367"/>
      <c r="PWH136" s="367"/>
      <c r="PWI136" s="368" t="s">
        <v>168</v>
      </c>
      <c r="PWJ136" s="369">
        <v>0.5</v>
      </c>
      <c r="PWK136" s="370" t="e">
        <f>10/PWG134</f>
        <v>#DIV/0!</v>
      </c>
      <c r="PWL136" s="371">
        <v>15.38</v>
      </c>
      <c r="PWM136" s="371" t="e">
        <f>PWJ136*PWK136*PWL136</f>
        <v>#DIV/0!</v>
      </c>
      <c r="PWN136" s="367" t="s">
        <v>206</v>
      </c>
      <c r="PWO136" s="367"/>
      <c r="PWP136" s="367"/>
      <c r="PWQ136" s="368" t="s">
        <v>168</v>
      </c>
      <c r="PWR136" s="369">
        <v>0.5</v>
      </c>
      <c r="PWS136" s="370" t="e">
        <f>10/PWO134</f>
        <v>#DIV/0!</v>
      </c>
      <c r="PWT136" s="371">
        <v>15.38</v>
      </c>
      <c r="PWU136" s="371" t="e">
        <f>PWR136*PWS136*PWT136</f>
        <v>#DIV/0!</v>
      </c>
      <c r="PWV136" s="367" t="s">
        <v>206</v>
      </c>
      <c r="PWW136" s="367"/>
      <c r="PWX136" s="367"/>
      <c r="PWY136" s="368" t="s">
        <v>168</v>
      </c>
      <c r="PWZ136" s="369">
        <v>0.5</v>
      </c>
      <c r="PXA136" s="370" t="e">
        <f>10/PWW134</f>
        <v>#DIV/0!</v>
      </c>
      <c r="PXB136" s="371">
        <v>15.38</v>
      </c>
      <c r="PXC136" s="371" t="e">
        <f>PWZ136*PXA136*PXB136</f>
        <v>#DIV/0!</v>
      </c>
      <c r="PXD136" s="367" t="s">
        <v>206</v>
      </c>
      <c r="PXE136" s="367"/>
      <c r="PXF136" s="367"/>
      <c r="PXG136" s="368" t="s">
        <v>168</v>
      </c>
      <c r="PXH136" s="369">
        <v>0.5</v>
      </c>
      <c r="PXI136" s="370" t="e">
        <f>10/PXE134</f>
        <v>#DIV/0!</v>
      </c>
      <c r="PXJ136" s="371">
        <v>15.38</v>
      </c>
      <c r="PXK136" s="371" t="e">
        <f>PXH136*PXI136*PXJ136</f>
        <v>#DIV/0!</v>
      </c>
      <c r="PXL136" s="367" t="s">
        <v>206</v>
      </c>
      <c r="PXM136" s="367"/>
      <c r="PXN136" s="367"/>
      <c r="PXO136" s="368" t="s">
        <v>168</v>
      </c>
      <c r="PXP136" s="369">
        <v>0.5</v>
      </c>
      <c r="PXQ136" s="370" t="e">
        <f>10/PXM134</f>
        <v>#DIV/0!</v>
      </c>
      <c r="PXR136" s="371">
        <v>15.38</v>
      </c>
      <c r="PXS136" s="371" t="e">
        <f>PXP136*PXQ136*PXR136</f>
        <v>#DIV/0!</v>
      </c>
      <c r="PXT136" s="367" t="s">
        <v>206</v>
      </c>
      <c r="PXU136" s="367"/>
      <c r="PXV136" s="367"/>
      <c r="PXW136" s="368" t="s">
        <v>168</v>
      </c>
      <c r="PXX136" s="369">
        <v>0.5</v>
      </c>
      <c r="PXY136" s="370" t="e">
        <f>10/PXU134</f>
        <v>#DIV/0!</v>
      </c>
      <c r="PXZ136" s="371">
        <v>15.38</v>
      </c>
      <c r="PYA136" s="371" t="e">
        <f>PXX136*PXY136*PXZ136</f>
        <v>#DIV/0!</v>
      </c>
      <c r="PYB136" s="367" t="s">
        <v>206</v>
      </c>
      <c r="PYC136" s="367"/>
      <c r="PYD136" s="367"/>
      <c r="PYE136" s="368" t="s">
        <v>168</v>
      </c>
      <c r="PYF136" s="369">
        <v>0.5</v>
      </c>
      <c r="PYG136" s="370" t="e">
        <f>10/PYC134</f>
        <v>#DIV/0!</v>
      </c>
      <c r="PYH136" s="371">
        <v>15.38</v>
      </c>
      <c r="PYI136" s="371" t="e">
        <f>PYF136*PYG136*PYH136</f>
        <v>#DIV/0!</v>
      </c>
      <c r="PYJ136" s="367" t="s">
        <v>206</v>
      </c>
      <c r="PYK136" s="367"/>
      <c r="PYL136" s="367"/>
      <c r="PYM136" s="368" t="s">
        <v>168</v>
      </c>
      <c r="PYN136" s="369">
        <v>0.5</v>
      </c>
      <c r="PYO136" s="370" t="e">
        <f>10/PYK134</f>
        <v>#DIV/0!</v>
      </c>
      <c r="PYP136" s="371">
        <v>15.38</v>
      </c>
      <c r="PYQ136" s="371" t="e">
        <f>PYN136*PYO136*PYP136</f>
        <v>#DIV/0!</v>
      </c>
      <c r="PYR136" s="367" t="s">
        <v>206</v>
      </c>
      <c r="PYS136" s="367"/>
      <c r="PYT136" s="367"/>
      <c r="PYU136" s="368" t="s">
        <v>168</v>
      </c>
      <c r="PYV136" s="369">
        <v>0.5</v>
      </c>
      <c r="PYW136" s="370" t="e">
        <f>10/PYS134</f>
        <v>#DIV/0!</v>
      </c>
      <c r="PYX136" s="371">
        <v>15.38</v>
      </c>
      <c r="PYY136" s="371" t="e">
        <f>PYV136*PYW136*PYX136</f>
        <v>#DIV/0!</v>
      </c>
      <c r="PYZ136" s="367" t="s">
        <v>206</v>
      </c>
      <c r="PZA136" s="367"/>
      <c r="PZB136" s="367"/>
      <c r="PZC136" s="368" t="s">
        <v>168</v>
      </c>
      <c r="PZD136" s="369">
        <v>0.5</v>
      </c>
      <c r="PZE136" s="370" t="e">
        <f>10/PZA134</f>
        <v>#DIV/0!</v>
      </c>
      <c r="PZF136" s="371">
        <v>15.38</v>
      </c>
      <c r="PZG136" s="371" t="e">
        <f>PZD136*PZE136*PZF136</f>
        <v>#DIV/0!</v>
      </c>
      <c r="PZH136" s="367" t="s">
        <v>206</v>
      </c>
      <c r="PZI136" s="367"/>
      <c r="PZJ136" s="367"/>
      <c r="PZK136" s="368" t="s">
        <v>168</v>
      </c>
      <c r="PZL136" s="369">
        <v>0.5</v>
      </c>
      <c r="PZM136" s="370" t="e">
        <f>10/PZI134</f>
        <v>#DIV/0!</v>
      </c>
      <c r="PZN136" s="371">
        <v>15.38</v>
      </c>
      <c r="PZO136" s="371" t="e">
        <f>PZL136*PZM136*PZN136</f>
        <v>#DIV/0!</v>
      </c>
      <c r="PZP136" s="367" t="s">
        <v>206</v>
      </c>
      <c r="PZQ136" s="367"/>
      <c r="PZR136" s="367"/>
      <c r="PZS136" s="368" t="s">
        <v>168</v>
      </c>
      <c r="PZT136" s="369">
        <v>0.5</v>
      </c>
      <c r="PZU136" s="370" t="e">
        <f>10/PZQ134</f>
        <v>#DIV/0!</v>
      </c>
      <c r="PZV136" s="371">
        <v>15.38</v>
      </c>
      <c r="PZW136" s="371" t="e">
        <f>PZT136*PZU136*PZV136</f>
        <v>#DIV/0!</v>
      </c>
      <c r="PZX136" s="367" t="s">
        <v>206</v>
      </c>
      <c r="PZY136" s="367"/>
      <c r="PZZ136" s="367"/>
      <c r="QAA136" s="368" t="s">
        <v>168</v>
      </c>
      <c r="QAB136" s="369">
        <v>0.5</v>
      </c>
      <c r="QAC136" s="370" t="e">
        <f>10/PZY134</f>
        <v>#DIV/0!</v>
      </c>
      <c r="QAD136" s="371">
        <v>15.38</v>
      </c>
      <c r="QAE136" s="371" t="e">
        <f>QAB136*QAC136*QAD136</f>
        <v>#DIV/0!</v>
      </c>
      <c r="QAF136" s="367" t="s">
        <v>206</v>
      </c>
      <c r="QAG136" s="367"/>
      <c r="QAH136" s="367"/>
      <c r="QAI136" s="368" t="s">
        <v>168</v>
      </c>
      <c r="QAJ136" s="369">
        <v>0.5</v>
      </c>
      <c r="QAK136" s="370" t="e">
        <f>10/QAG134</f>
        <v>#DIV/0!</v>
      </c>
      <c r="QAL136" s="371">
        <v>15.38</v>
      </c>
      <c r="QAM136" s="371" t="e">
        <f>QAJ136*QAK136*QAL136</f>
        <v>#DIV/0!</v>
      </c>
      <c r="QAN136" s="367" t="s">
        <v>206</v>
      </c>
      <c r="QAO136" s="367"/>
      <c r="QAP136" s="367"/>
      <c r="QAQ136" s="368" t="s">
        <v>168</v>
      </c>
      <c r="QAR136" s="369">
        <v>0.5</v>
      </c>
      <c r="QAS136" s="370" t="e">
        <f>10/QAO134</f>
        <v>#DIV/0!</v>
      </c>
      <c r="QAT136" s="371">
        <v>15.38</v>
      </c>
      <c r="QAU136" s="371" t="e">
        <f>QAR136*QAS136*QAT136</f>
        <v>#DIV/0!</v>
      </c>
      <c r="QAV136" s="367" t="s">
        <v>206</v>
      </c>
      <c r="QAW136" s="367"/>
      <c r="QAX136" s="367"/>
      <c r="QAY136" s="368" t="s">
        <v>168</v>
      </c>
      <c r="QAZ136" s="369">
        <v>0.5</v>
      </c>
      <c r="QBA136" s="370" t="e">
        <f>10/QAW134</f>
        <v>#DIV/0!</v>
      </c>
      <c r="QBB136" s="371">
        <v>15.38</v>
      </c>
      <c r="QBC136" s="371" t="e">
        <f>QAZ136*QBA136*QBB136</f>
        <v>#DIV/0!</v>
      </c>
      <c r="QBD136" s="367" t="s">
        <v>206</v>
      </c>
      <c r="QBE136" s="367"/>
      <c r="QBF136" s="367"/>
      <c r="QBG136" s="368" t="s">
        <v>168</v>
      </c>
      <c r="QBH136" s="369">
        <v>0.5</v>
      </c>
      <c r="QBI136" s="370" t="e">
        <f>10/QBE134</f>
        <v>#DIV/0!</v>
      </c>
      <c r="QBJ136" s="371">
        <v>15.38</v>
      </c>
      <c r="QBK136" s="371" t="e">
        <f>QBH136*QBI136*QBJ136</f>
        <v>#DIV/0!</v>
      </c>
      <c r="QBL136" s="367" t="s">
        <v>206</v>
      </c>
      <c r="QBM136" s="367"/>
      <c r="QBN136" s="367"/>
      <c r="QBO136" s="368" t="s">
        <v>168</v>
      </c>
      <c r="QBP136" s="369">
        <v>0.5</v>
      </c>
      <c r="QBQ136" s="370" t="e">
        <f>10/QBM134</f>
        <v>#DIV/0!</v>
      </c>
      <c r="QBR136" s="371">
        <v>15.38</v>
      </c>
      <c r="QBS136" s="371" t="e">
        <f>QBP136*QBQ136*QBR136</f>
        <v>#DIV/0!</v>
      </c>
      <c r="QBT136" s="367" t="s">
        <v>206</v>
      </c>
      <c r="QBU136" s="367"/>
      <c r="QBV136" s="367"/>
      <c r="QBW136" s="368" t="s">
        <v>168</v>
      </c>
      <c r="QBX136" s="369">
        <v>0.5</v>
      </c>
      <c r="QBY136" s="370" t="e">
        <f>10/QBU134</f>
        <v>#DIV/0!</v>
      </c>
      <c r="QBZ136" s="371">
        <v>15.38</v>
      </c>
      <c r="QCA136" s="371" t="e">
        <f>QBX136*QBY136*QBZ136</f>
        <v>#DIV/0!</v>
      </c>
      <c r="QCB136" s="367" t="s">
        <v>206</v>
      </c>
      <c r="QCC136" s="367"/>
      <c r="QCD136" s="367"/>
      <c r="QCE136" s="368" t="s">
        <v>168</v>
      </c>
      <c r="QCF136" s="369">
        <v>0.5</v>
      </c>
      <c r="QCG136" s="370" t="e">
        <f>10/QCC134</f>
        <v>#DIV/0!</v>
      </c>
      <c r="QCH136" s="371">
        <v>15.38</v>
      </c>
      <c r="QCI136" s="371" t="e">
        <f>QCF136*QCG136*QCH136</f>
        <v>#DIV/0!</v>
      </c>
      <c r="QCJ136" s="367" t="s">
        <v>206</v>
      </c>
      <c r="QCK136" s="367"/>
      <c r="QCL136" s="367"/>
      <c r="QCM136" s="368" t="s">
        <v>168</v>
      </c>
      <c r="QCN136" s="369">
        <v>0.5</v>
      </c>
      <c r="QCO136" s="370" t="e">
        <f>10/QCK134</f>
        <v>#DIV/0!</v>
      </c>
      <c r="QCP136" s="371">
        <v>15.38</v>
      </c>
      <c r="QCQ136" s="371" t="e">
        <f>QCN136*QCO136*QCP136</f>
        <v>#DIV/0!</v>
      </c>
      <c r="QCR136" s="367" t="s">
        <v>206</v>
      </c>
      <c r="QCS136" s="367"/>
      <c r="QCT136" s="367"/>
      <c r="QCU136" s="368" t="s">
        <v>168</v>
      </c>
      <c r="QCV136" s="369">
        <v>0.5</v>
      </c>
      <c r="QCW136" s="370" t="e">
        <f>10/QCS134</f>
        <v>#DIV/0!</v>
      </c>
      <c r="QCX136" s="371">
        <v>15.38</v>
      </c>
      <c r="QCY136" s="371" t="e">
        <f>QCV136*QCW136*QCX136</f>
        <v>#DIV/0!</v>
      </c>
      <c r="QCZ136" s="367" t="s">
        <v>206</v>
      </c>
      <c r="QDA136" s="367"/>
      <c r="QDB136" s="367"/>
      <c r="QDC136" s="368" t="s">
        <v>168</v>
      </c>
      <c r="QDD136" s="369">
        <v>0.5</v>
      </c>
      <c r="QDE136" s="370" t="e">
        <f>10/QDA134</f>
        <v>#DIV/0!</v>
      </c>
      <c r="QDF136" s="371">
        <v>15.38</v>
      </c>
      <c r="QDG136" s="371" t="e">
        <f>QDD136*QDE136*QDF136</f>
        <v>#DIV/0!</v>
      </c>
      <c r="QDH136" s="367" t="s">
        <v>206</v>
      </c>
      <c r="QDI136" s="367"/>
      <c r="QDJ136" s="367"/>
      <c r="QDK136" s="368" t="s">
        <v>168</v>
      </c>
      <c r="QDL136" s="369">
        <v>0.5</v>
      </c>
      <c r="QDM136" s="370" t="e">
        <f>10/QDI134</f>
        <v>#DIV/0!</v>
      </c>
      <c r="QDN136" s="371">
        <v>15.38</v>
      </c>
      <c r="QDO136" s="371" t="e">
        <f>QDL136*QDM136*QDN136</f>
        <v>#DIV/0!</v>
      </c>
      <c r="QDP136" s="367" t="s">
        <v>206</v>
      </c>
      <c r="QDQ136" s="367"/>
      <c r="QDR136" s="367"/>
      <c r="QDS136" s="368" t="s">
        <v>168</v>
      </c>
      <c r="QDT136" s="369">
        <v>0.5</v>
      </c>
      <c r="QDU136" s="370" t="e">
        <f>10/QDQ134</f>
        <v>#DIV/0!</v>
      </c>
      <c r="QDV136" s="371">
        <v>15.38</v>
      </c>
      <c r="QDW136" s="371" t="e">
        <f>QDT136*QDU136*QDV136</f>
        <v>#DIV/0!</v>
      </c>
      <c r="QDX136" s="367" t="s">
        <v>206</v>
      </c>
      <c r="QDY136" s="367"/>
      <c r="QDZ136" s="367"/>
      <c r="QEA136" s="368" t="s">
        <v>168</v>
      </c>
      <c r="QEB136" s="369">
        <v>0.5</v>
      </c>
      <c r="QEC136" s="370" t="e">
        <f>10/QDY134</f>
        <v>#DIV/0!</v>
      </c>
      <c r="QED136" s="371">
        <v>15.38</v>
      </c>
      <c r="QEE136" s="371" t="e">
        <f>QEB136*QEC136*QED136</f>
        <v>#DIV/0!</v>
      </c>
      <c r="QEF136" s="367" t="s">
        <v>206</v>
      </c>
      <c r="QEG136" s="367"/>
      <c r="QEH136" s="367"/>
      <c r="QEI136" s="368" t="s">
        <v>168</v>
      </c>
      <c r="QEJ136" s="369">
        <v>0.5</v>
      </c>
      <c r="QEK136" s="370" t="e">
        <f>10/QEG134</f>
        <v>#DIV/0!</v>
      </c>
      <c r="QEL136" s="371">
        <v>15.38</v>
      </c>
      <c r="QEM136" s="371" t="e">
        <f>QEJ136*QEK136*QEL136</f>
        <v>#DIV/0!</v>
      </c>
      <c r="QEN136" s="367" t="s">
        <v>206</v>
      </c>
      <c r="QEO136" s="367"/>
      <c r="QEP136" s="367"/>
      <c r="QEQ136" s="368" t="s">
        <v>168</v>
      </c>
      <c r="QER136" s="369">
        <v>0.5</v>
      </c>
      <c r="QES136" s="370" t="e">
        <f>10/QEO134</f>
        <v>#DIV/0!</v>
      </c>
      <c r="QET136" s="371">
        <v>15.38</v>
      </c>
      <c r="QEU136" s="371" t="e">
        <f>QER136*QES136*QET136</f>
        <v>#DIV/0!</v>
      </c>
      <c r="QEV136" s="367" t="s">
        <v>206</v>
      </c>
      <c r="QEW136" s="367"/>
      <c r="QEX136" s="367"/>
      <c r="QEY136" s="368" t="s">
        <v>168</v>
      </c>
      <c r="QEZ136" s="369">
        <v>0.5</v>
      </c>
      <c r="QFA136" s="370" t="e">
        <f>10/QEW134</f>
        <v>#DIV/0!</v>
      </c>
      <c r="QFB136" s="371">
        <v>15.38</v>
      </c>
      <c r="QFC136" s="371" t="e">
        <f>QEZ136*QFA136*QFB136</f>
        <v>#DIV/0!</v>
      </c>
      <c r="QFD136" s="367" t="s">
        <v>206</v>
      </c>
      <c r="QFE136" s="367"/>
      <c r="QFF136" s="367"/>
      <c r="QFG136" s="368" t="s">
        <v>168</v>
      </c>
      <c r="QFH136" s="369">
        <v>0.5</v>
      </c>
      <c r="QFI136" s="370" t="e">
        <f>10/QFE134</f>
        <v>#DIV/0!</v>
      </c>
      <c r="QFJ136" s="371">
        <v>15.38</v>
      </c>
      <c r="QFK136" s="371" t="e">
        <f>QFH136*QFI136*QFJ136</f>
        <v>#DIV/0!</v>
      </c>
      <c r="QFL136" s="367" t="s">
        <v>206</v>
      </c>
      <c r="QFM136" s="367"/>
      <c r="QFN136" s="367"/>
      <c r="QFO136" s="368" t="s">
        <v>168</v>
      </c>
      <c r="QFP136" s="369">
        <v>0.5</v>
      </c>
      <c r="QFQ136" s="370" t="e">
        <f>10/QFM134</f>
        <v>#DIV/0!</v>
      </c>
      <c r="QFR136" s="371">
        <v>15.38</v>
      </c>
      <c r="QFS136" s="371" t="e">
        <f>QFP136*QFQ136*QFR136</f>
        <v>#DIV/0!</v>
      </c>
      <c r="QFT136" s="367" t="s">
        <v>206</v>
      </c>
      <c r="QFU136" s="367"/>
      <c r="QFV136" s="367"/>
      <c r="QFW136" s="368" t="s">
        <v>168</v>
      </c>
      <c r="QFX136" s="369">
        <v>0.5</v>
      </c>
      <c r="QFY136" s="370" t="e">
        <f>10/QFU134</f>
        <v>#DIV/0!</v>
      </c>
      <c r="QFZ136" s="371">
        <v>15.38</v>
      </c>
      <c r="QGA136" s="371" t="e">
        <f>QFX136*QFY136*QFZ136</f>
        <v>#DIV/0!</v>
      </c>
      <c r="QGB136" s="367" t="s">
        <v>206</v>
      </c>
      <c r="QGC136" s="367"/>
      <c r="QGD136" s="367"/>
      <c r="QGE136" s="368" t="s">
        <v>168</v>
      </c>
      <c r="QGF136" s="369">
        <v>0.5</v>
      </c>
      <c r="QGG136" s="370" t="e">
        <f>10/QGC134</f>
        <v>#DIV/0!</v>
      </c>
      <c r="QGH136" s="371">
        <v>15.38</v>
      </c>
      <c r="QGI136" s="371" t="e">
        <f>QGF136*QGG136*QGH136</f>
        <v>#DIV/0!</v>
      </c>
      <c r="QGJ136" s="367" t="s">
        <v>206</v>
      </c>
      <c r="QGK136" s="367"/>
      <c r="QGL136" s="367"/>
      <c r="QGM136" s="368" t="s">
        <v>168</v>
      </c>
      <c r="QGN136" s="369">
        <v>0.5</v>
      </c>
      <c r="QGO136" s="370" t="e">
        <f>10/QGK134</f>
        <v>#DIV/0!</v>
      </c>
      <c r="QGP136" s="371">
        <v>15.38</v>
      </c>
      <c r="QGQ136" s="371" t="e">
        <f>QGN136*QGO136*QGP136</f>
        <v>#DIV/0!</v>
      </c>
      <c r="QGR136" s="367" t="s">
        <v>206</v>
      </c>
      <c r="QGS136" s="367"/>
      <c r="QGT136" s="367"/>
      <c r="QGU136" s="368" t="s">
        <v>168</v>
      </c>
      <c r="QGV136" s="369">
        <v>0.5</v>
      </c>
      <c r="QGW136" s="370" t="e">
        <f>10/QGS134</f>
        <v>#DIV/0!</v>
      </c>
      <c r="QGX136" s="371">
        <v>15.38</v>
      </c>
      <c r="QGY136" s="371" t="e">
        <f>QGV136*QGW136*QGX136</f>
        <v>#DIV/0!</v>
      </c>
      <c r="QGZ136" s="367" t="s">
        <v>206</v>
      </c>
      <c r="QHA136" s="367"/>
      <c r="QHB136" s="367"/>
      <c r="QHC136" s="368" t="s">
        <v>168</v>
      </c>
      <c r="QHD136" s="369">
        <v>0.5</v>
      </c>
      <c r="QHE136" s="370" t="e">
        <f>10/QHA134</f>
        <v>#DIV/0!</v>
      </c>
      <c r="QHF136" s="371">
        <v>15.38</v>
      </c>
      <c r="QHG136" s="371" t="e">
        <f>QHD136*QHE136*QHF136</f>
        <v>#DIV/0!</v>
      </c>
      <c r="QHH136" s="367" t="s">
        <v>206</v>
      </c>
      <c r="QHI136" s="367"/>
      <c r="QHJ136" s="367"/>
      <c r="QHK136" s="368" t="s">
        <v>168</v>
      </c>
      <c r="QHL136" s="369">
        <v>0.5</v>
      </c>
      <c r="QHM136" s="370" t="e">
        <f>10/QHI134</f>
        <v>#DIV/0!</v>
      </c>
      <c r="QHN136" s="371">
        <v>15.38</v>
      </c>
      <c r="QHO136" s="371" t="e">
        <f>QHL136*QHM136*QHN136</f>
        <v>#DIV/0!</v>
      </c>
      <c r="QHP136" s="367" t="s">
        <v>206</v>
      </c>
      <c r="QHQ136" s="367"/>
      <c r="QHR136" s="367"/>
      <c r="QHS136" s="368" t="s">
        <v>168</v>
      </c>
      <c r="QHT136" s="369">
        <v>0.5</v>
      </c>
      <c r="QHU136" s="370" t="e">
        <f>10/QHQ134</f>
        <v>#DIV/0!</v>
      </c>
      <c r="QHV136" s="371">
        <v>15.38</v>
      </c>
      <c r="QHW136" s="371" t="e">
        <f>QHT136*QHU136*QHV136</f>
        <v>#DIV/0!</v>
      </c>
      <c r="QHX136" s="367" t="s">
        <v>206</v>
      </c>
      <c r="QHY136" s="367"/>
      <c r="QHZ136" s="367"/>
      <c r="QIA136" s="368" t="s">
        <v>168</v>
      </c>
      <c r="QIB136" s="369">
        <v>0.5</v>
      </c>
      <c r="QIC136" s="370" t="e">
        <f>10/QHY134</f>
        <v>#DIV/0!</v>
      </c>
      <c r="QID136" s="371">
        <v>15.38</v>
      </c>
      <c r="QIE136" s="371" t="e">
        <f>QIB136*QIC136*QID136</f>
        <v>#DIV/0!</v>
      </c>
      <c r="QIF136" s="367" t="s">
        <v>206</v>
      </c>
      <c r="QIG136" s="367"/>
      <c r="QIH136" s="367"/>
      <c r="QII136" s="368" t="s">
        <v>168</v>
      </c>
      <c r="QIJ136" s="369">
        <v>0.5</v>
      </c>
      <c r="QIK136" s="370" t="e">
        <f>10/QIG134</f>
        <v>#DIV/0!</v>
      </c>
      <c r="QIL136" s="371">
        <v>15.38</v>
      </c>
      <c r="QIM136" s="371" t="e">
        <f>QIJ136*QIK136*QIL136</f>
        <v>#DIV/0!</v>
      </c>
      <c r="QIN136" s="367" t="s">
        <v>206</v>
      </c>
      <c r="QIO136" s="367"/>
      <c r="QIP136" s="367"/>
      <c r="QIQ136" s="368" t="s">
        <v>168</v>
      </c>
      <c r="QIR136" s="369">
        <v>0.5</v>
      </c>
      <c r="QIS136" s="370" t="e">
        <f>10/QIO134</f>
        <v>#DIV/0!</v>
      </c>
      <c r="QIT136" s="371">
        <v>15.38</v>
      </c>
      <c r="QIU136" s="371" t="e">
        <f>QIR136*QIS136*QIT136</f>
        <v>#DIV/0!</v>
      </c>
      <c r="QIV136" s="367" t="s">
        <v>206</v>
      </c>
      <c r="QIW136" s="367"/>
      <c r="QIX136" s="367"/>
      <c r="QIY136" s="368" t="s">
        <v>168</v>
      </c>
      <c r="QIZ136" s="369">
        <v>0.5</v>
      </c>
      <c r="QJA136" s="370" t="e">
        <f>10/QIW134</f>
        <v>#DIV/0!</v>
      </c>
      <c r="QJB136" s="371">
        <v>15.38</v>
      </c>
      <c r="QJC136" s="371" t="e">
        <f>QIZ136*QJA136*QJB136</f>
        <v>#DIV/0!</v>
      </c>
      <c r="QJD136" s="367" t="s">
        <v>206</v>
      </c>
      <c r="QJE136" s="367"/>
      <c r="QJF136" s="367"/>
      <c r="QJG136" s="368" t="s">
        <v>168</v>
      </c>
      <c r="QJH136" s="369">
        <v>0.5</v>
      </c>
      <c r="QJI136" s="370" t="e">
        <f>10/QJE134</f>
        <v>#DIV/0!</v>
      </c>
      <c r="QJJ136" s="371">
        <v>15.38</v>
      </c>
      <c r="QJK136" s="371" t="e">
        <f>QJH136*QJI136*QJJ136</f>
        <v>#DIV/0!</v>
      </c>
      <c r="QJL136" s="367" t="s">
        <v>206</v>
      </c>
      <c r="QJM136" s="367"/>
      <c r="QJN136" s="367"/>
      <c r="QJO136" s="368" t="s">
        <v>168</v>
      </c>
      <c r="QJP136" s="369">
        <v>0.5</v>
      </c>
      <c r="QJQ136" s="370" t="e">
        <f>10/QJM134</f>
        <v>#DIV/0!</v>
      </c>
      <c r="QJR136" s="371">
        <v>15.38</v>
      </c>
      <c r="QJS136" s="371" t="e">
        <f>QJP136*QJQ136*QJR136</f>
        <v>#DIV/0!</v>
      </c>
      <c r="QJT136" s="367" t="s">
        <v>206</v>
      </c>
      <c r="QJU136" s="367"/>
      <c r="QJV136" s="367"/>
      <c r="QJW136" s="368" t="s">
        <v>168</v>
      </c>
      <c r="QJX136" s="369">
        <v>0.5</v>
      </c>
      <c r="QJY136" s="370" t="e">
        <f>10/QJU134</f>
        <v>#DIV/0!</v>
      </c>
      <c r="QJZ136" s="371">
        <v>15.38</v>
      </c>
      <c r="QKA136" s="371" t="e">
        <f>QJX136*QJY136*QJZ136</f>
        <v>#DIV/0!</v>
      </c>
      <c r="QKB136" s="367" t="s">
        <v>206</v>
      </c>
      <c r="QKC136" s="367"/>
      <c r="QKD136" s="367"/>
      <c r="QKE136" s="368" t="s">
        <v>168</v>
      </c>
      <c r="QKF136" s="369">
        <v>0.5</v>
      </c>
      <c r="QKG136" s="370" t="e">
        <f>10/QKC134</f>
        <v>#DIV/0!</v>
      </c>
      <c r="QKH136" s="371">
        <v>15.38</v>
      </c>
      <c r="QKI136" s="371" t="e">
        <f>QKF136*QKG136*QKH136</f>
        <v>#DIV/0!</v>
      </c>
      <c r="QKJ136" s="367" t="s">
        <v>206</v>
      </c>
      <c r="QKK136" s="367"/>
      <c r="QKL136" s="367"/>
      <c r="QKM136" s="368" t="s">
        <v>168</v>
      </c>
      <c r="QKN136" s="369">
        <v>0.5</v>
      </c>
      <c r="QKO136" s="370" t="e">
        <f>10/QKK134</f>
        <v>#DIV/0!</v>
      </c>
      <c r="QKP136" s="371">
        <v>15.38</v>
      </c>
      <c r="QKQ136" s="371" t="e">
        <f>QKN136*QKO136*QKP136</f>
        <v>#DIV/0!</v>
      </c>
      <c r="QKR136" s="367" t="s">
        <v>206</v>
      </c>
      <c r="QKS136" s="367"/>
      <c r="QKT136" s="367"/>
      <c r="QKU136" s="368" t="s">
        <v>168</v>
      </c>
      <c r="QKV136" s="369">
        <v>0.5</v>
      </c>
      <c r="QKW136" s="370" t="e">
        <f>10/QKS134</f>
        <v>#DIV/0!</v>
      </c>
      <c r="QKX136" s="371">
        <v>15.38</v>
      </c>
      <c r="QKY136" s="371" t="e">
        <f>QKV136*QKW136*QKX136</f>
        <v>#DIV/0!</v>
      </c>
      <c r="QKZ136" s="367" t="s">
        <v>206</v>
      </c>
      <c r="QLA136" s="367"/>
      <c r="QLB136" s="367"/>
      <c r="QLC136" s="368" t="s">
        <v>168</v>
      </c>
      <c r="QLD136" s="369">
        <v>0.5</v>
      </c>
      <c r="QLE136" s="370" t="e">
        <f>10/QLA134</f>
        <v>#DIV/0!</v>
      </c>
      <c r="QLF136" s="371">
        <v>15.38</v>
      </c>
      <c r="QLG136" s="371" t="e">
        <f>QLD136*QLE136*QLF136</f>
        <v>#DIV/0!</v>
      </c>
      <c r="QLH136" s="367" t="s">
        <v>206</v>
      </c>
      <c r="QLI136" s="367"/>
      <c r="QLJ136" s="367"/>
      <c r="QLK136" s="368" t="s">
        <v>168</v>
      </c>
      <c r="QLL136" s="369">
        <v>0.5</v>
      </c>
      <c r="QLM136" s="370" t="e">
        <f>10/QLI134</f>
        <v>#DIV/0!</v>
      </c>
      <c r="QLN136" s="371">
        <v>15.38</v>
      </c>
      <c r="QLO136" s="371" t="e">
        <f>QLL136*QLM136*QLN136</f>
        <v>#DIV/0!</v>
      </c>
      <c r="QLP136" s="367" t="s">
        <v>206</v>
      </c>
      <c r="QLQ136" s="367"/>
      <c r="QLR136" s="367"/>
      <c r="QLS136" s="368" t="s">
        <v>168</v>
      </c>
      <c r="QLT136" s="369">
        <v>0.5</v>
      </c>
      <c r="QLU136" s="370" t="e">
        <f>10/QLQ134</f>
        <v>#DIV/0!</v>
      </c>
      <c r="QLV136" s="371">
        <v>15.38</v>
      </c>
      <c r="QLW136" s="371" t="e">
        <f>QLT136*QLU136*QLV136</f>
        <v>#DIV/0!</v>
      </c>
      <c r="QLX136" s="367" t="s">
        <v>206</v>
      </c>
      <c r="QLY136" s="367"/>
      <c r="QLZ136" s="367"/>
      <c r="QMA136" s="368" t="s">
        <v>168</v>
      </c>
      <c r="QMB136" s="369">
        <v>0.5</v>
      </c>
      <c r="QMC136" s="370" t="e">
        <f>10/QLY134</f>
        <v>#DIV/0!</v>
      </c>
      <c r="QMD136" s="371">
        <v>15.38</v>
      </c>
      <c r="QME136" s="371" t="e">
        <f>QMB136*QMC136*QMD136</f>
        <v>#DIV/0!</v>
      </c>
      <c r="QMF136" s="367" t="s">
        <v>206</v>
      </c>
      <c r="QMG136" s="367"/>
      <c r="QMH136" s="367"/>
      <c r="QMI136" s="368" t="s">
        <v>168</v>
      </c>
      <c r="QMJ136" s="369">
        <v>0.5</v>
      </c>
      <c r="QMK136" s="370" t="e">
        <f>10/QMG134</f>
        <v>#DIV/0!</v>
      </c>
      <c r="QML136" s="371">
        <v>15.38</v>
      </c>
      <c r="QMM136" s="371" t="e">
        <f>QMJ136*QMK136*QML136</f>
        <v>#DIV/0!</v>
      </c>
      <c r="QMN136" s="367" t="s">
        <v>206</v>
      </c>
      <c r="QMO136" s="367"/>
      <c r="QMP136" s="367"/>
      <c r="QMQ136" s="368" t="s">
        <v>168</v>
      </c>
      <c r="QMR136" s="369">
        <v>0.5</v>
      </c>
      <c r="QMS136" s="370" t="e">
        <f>10/QMO134</f>
        <v>#DIV/0!</v>
      </c>
      <c r="QMT136" s="371">
        <v>15.38</v>
      </c>
      <c r="QMU136" s="371" t="e">
        <f>QMR136*QMS136*QMT136</f>
        <v>#DIV/0!</v>
      </c>
      <c r="QMV136" s="367" t="s">
        <v>206</v>
      </c>
      <c r="QMW136" s="367"/>
      <c r="QMX136" s="367"/>
      <c r="QMY136" s="368" t="s">
        <v>168</v>
      </c>
      <c r="QMZ136" s="369">
        <v>0.5</v>
      </c>
      <c r="QNA136" s="370" t="e">
        <f>10/QMW134</f>
        <v>#DIV/0!</v>
      </c>
      <c r="QNB136" s="371">
        <v>15.38</v>
      </c>
      <c r="QNC136" s="371" t="e">
        <f>QMZ136*QNA136*QNB136</f>
        <v>#DIV/0!</v>
      </c>
      <c r="QND136" s="367" t="s">
        <v>206</v>
      </c>
      <c r="QNE136" s="367"/>
      <c r="QNF136" s="367"/>
      <c r="QNG136" s="368" t="s">
        <v>168</v>
      </c>
      <c r="QNH136" s="369">
        <v>0.5</v>
      </c>
      <c r="QNI136" s="370" t="e">
        <f>10/QNE134</f>
        <v>#DIV/0!</v>
      </c>
      <c r="QNJ136" s="371">
        <v>15.38</v>
      </c>
      <c r="QNK136" s="371" t="e">
        <f>QNH136*QNI136*QNJ136</f>
        <v>#DIV/0!</v>
      </c>
      <c r="QNL136" s="367" t="s">
        <v>206</v>
      </c>
      <c r="QNM136" s="367"/>
      <c r="QNN136" s="367"/>
      <c r="QNO136" s="368" t="s">
        <v>168</v>
      </c>
      <c r="QNP136" s="369">
        <v>0.5</v>
      </c>
      <c r="QNQ136" s="370" t="e">
        <f>10/QNM134</f>
        <v>#DIV/0!</v>
      </c>
      <c r="QNR136" s="371">
        <v>15.38</v>
      </c>
      <c r="QNS136" s="371" t="e">
        <f>QNP136*QNQ136*QNR136</f>
        <v>#DIV/0!</v>
      </c>
      <c r="QNT136" s="367" t="s">
        <v>206</v>
      </c>
      <c r="QNU136" s="367"/>
      <c r="QNV136" s="367"/>
      <c r="QNW136" s="368" t="s">
        <v>168</v>
      </c>
      <c r="QNX136" s="369">
        <v>0.5</v>
      </c>
      <c r="QNY136" s="370" t="e">
        <f>10/QNU134</f>
        <v>#DIV/0!</v>
      </c>
      <c r="QNZ136" s="371">
        <v>15.38</v>
      </c>
      <c r="QOA136" s="371" t="e">
        <f>QNX136*QNY136*QNZ136</f>
        <v>#DIV/0!</v>
      </c>
      <c r="QOB136" s="367" t="s">
        <v>206</v>
      </c>
      <c r="QOC136" s="367"/>
      <c r="QOD136" s="367"/>
      <c r="QOE136" s="368" t="s">
        <v>168</v>
      </c>
      <c r="QOF136" s="369">
        <v>0.5</v>
      </c>
      <c r="QOG136" s="370" t="e">
        <f>10/QOC134</f>
        <v>#DIV/0!</v>
      </c>
      <c r="QOH136" s="371">
        <v>15.38</v>
      </c>
      <c r="QOI136" s="371" t="e">
        <f>QOF136*QOG136*QOH136</f>
        <v>#DIV/0!</v>
      </c>
      <c r="QOJ136" s="367" t="s">
        <v>206</v>
      </c>
      <c r="QOK136" s="367"/>
      <c r="QOL136" s="367"/>
      <c r="QOM136" s="368" t="s">
        <v>168</v>
      </c>
      <c r="QON136" s="369">
        <v>0.5</v>
      </c>
      <c r="QOO136" s="370" t="e">
        <f>10/QOK134</f>
        <v>#DIV/0!</v>
      </c>
      <c r="QOP136" s="371">
        <v>15.38</v>
      </c>
      <c r="QOQ136" s="371" t="e">
        <f>QON136*QOO136*QOP136</f>
        <v>#DIV/0!</v>
      </c>
      <c r="QOR136" s="367" t="s">
        <v>206</v>
      </c>
      <c r="QOS136" s="367"/>
      <c r="QOT136" s="367"/>
      <c r="QOU136" s="368" t="s">
        <v>168</v>
      </c>
      <c r="QOV136" s="369">
        <v>0.5</v>
      </c>
      <c r="QOW136" s="370" t="e">
        <f>10/QOS134</f>
        <v>#DIV/0!</v>
      </c>
      <c r="QOX136" s="371">
        <v>15.38</v>
      </c>
      <c r="QOY136" s="371" t="e">
        <f>QOV136*QOW136*QOX136</f>
        <v>#DIV/0!</v>
      </c>
      <c r="QOZ136" s="367" t="s">
        <v>206</v>
      </c>
      <c r="QPA136" s="367"/>
      <c r="QPB136" s="367"/>
      <c r="QPC136" s="368" t="s">
        <v>168</v>
      </c>
      <c r="QPD136" s="369">
        <v>0.5</v>
      </c>
      <c r="QPE136" s="370" t="e">
        <f>10/QPA134</f>
        <v>#DIV/0!</v>
      </c>
      <c r="QPF136" s="371">
        <v>15.38</v>
      </c>
      <c r="QPG136" s="371" t="e">
        <f>QPD136*QPE136*QPF136</f>
        <v>#DIV/0!</v>
      </c>
      <c r="QPH136" s="367" t="s">
        <v>206</v>
      </c>
      <c r="QPI136" s="367"/>
      <c r="QPJ136" s="367"/>
      <c r="QPK136" s="368" t="s">
        <v>168</v>
      </c>
      <c r="QPL136" s="369">
        <v>0.5</v>
      </c>
      <c r="QPM136" s="370" t="e">
        <f>10/QPI134</f>
        <v>#DIV/0!</v>
      </c>
      <c r="QPN136" s="371">
        <v>15.38</v>
      </c>
      <c r="QPO136" s="371" t="e">
        <f>QPL136*QPM136*QPN136</f>
        <v>#DIV/0!</v>
      </c>
      <c r="QPP136" s="367" t="s">
        <v>206</v>
      </c>
      <c r="QPQ136" s="367"/>
      <c r="QPR136" s="367"/>
      <c r="QPS136" s="368" t="s">
        <v>168</v>
      </c>
      <c r="QPT136" s="369">
        <v>0.5</v>
      </c>
      <c r="QPU136" s="370" t="e">
        <f>10/QPQ134</f>
        <v>#DIV/0!</v>
      </c>
      <c r="QPV136" s="371">
        <v>15.38</v>
      </c>
      <c r="QPW136" s="371" t="e">
        <f>QPT136*QPU136*QPV136</f>
        <v>#DIV/0!</v>
      </c>
      <c r="QPX136" s="367" t="s">
        <v>206</v>
      </c>
      <c r="QPY136" s="367"/>
      <c r="QPZ136" s="367"/>
      <c r="QQA136" s="368" t="s">
        <v>168</v>
      </c>
      <c r="QQB136" s="369">
        <v>0.5</v>
      </c>
      <c r="QQC136" s="370" t="e">
        <f>10/QPY134</f>
        <v>#DIV/0!</v>
      </c>
      <c r="QQD136" s="371">
        <v>15.38</v>
      </c>
      <c r="QQE136" s="371" t="e">
        <f>QQB136*QQC136*QQD136</f>
        <v>#DIV/0!</v>
      </c>
      <c r="QQF136" s="367" t="s">
        <v>206</v>
      </c>
      <c r="QQG136" s="367"/>
      <c r="QQH136" s="367"/>
      <c r="QQI136" s="368" t="s">
        <v>168</v>
      </c>
      <c r="QQJ136" s="369">
        <v>0.5</v>
      </c>
      <c r="QQK136" s="370" t="e">
        <f>10/QQG134</f>
        <v>#DIV/0!</v>
      </c>
      <c r="QQL136" s="371">
        <v>15.38</v>
      </c>
      <c r="QQM136" s="371" t="e">
        <f>QQJ136*QQK136*QQL136</f>
        <v>#DIV/0!</v>
      </c>
      <c r="QQN136" s="367" t="s">
        <v>206</v>
      </c>
      <c r="QQO136" s="367"/>
      <c r="QQP136" s="367"/>
      <c r="QQQ136" s="368" t="s">
        <v>168</v>
      </c>
      <c r="QQR136" s="369">
        <v>0.5</v>
      </c>
      <c r="QQS136" s="370" t="e">
        <f>10/QQO134</f>
        <v>#DIV/0!</v>
      </c>
      <c r="QQT136" s="371">
        <v>15.38</v>
      </c>
      <c r="QQU136" s="371" t="e">
        <f>QQR136*QQS136*QQT136</f>
        <v>#DIV/0!</v>
      </c>
      <c r="QQV136" s="367" t="s">
        <v>206</v>
      </c>
      <c r="QQW136" s="367"/>
      <c r="QQX136" s="367"/>
      <c r="QQY136" s="368" t="s">
        <v>168</v>
      </c>
      <c r="QQZ136" s="369">
        <v>0.5</v>
      </c>
      <c r="QRA136" s="370" t="e">
        <f>10/QQW134</f>
        <v>#DIV/0!</v>
      </c>
      <c r="QRB136" s="371">
        <v>15.38</v>
      </c>
      <c r="QRC136" s="371" t="e">
        <f>QQZ136*QRA136*QRB136</f>
        <v>#DIV/0!</v>
      </c>
      <c r="QRD136" s="367" t="s">
        <v>206</v>
      </c>
      <c r="QRE136" s="367"/>
      <c r="QRF136" s="367"/>
      <c r="QRG136" s="368" t="s">
        <v>168</v>
      </c>
      <c r="QRH136" s="369">
        <v>0.5</v>
      </c>
      <c r="QRI136" s="370" t="e">
        <f>10/QRE134</f>
        <v>#DIV/0!</v>
      </c>
      <c r="QRJ136" s="371">
        <v>15.38</v>
      </c>
      <c r="QRK136" s="371" t="e">
        <f>QRH136*QRI136*QRJ136</f>
        <v>#DIV/0!</v>
      </c>
      <c r="QRL136" s="367" t="s">
        <v>206</v>
      </c>
      <c r="QRM136" s="367"/>
      <c r="QRN136" s="367"/>
      <c r="QRO136" s="368" t="s">
        <v>168</v>
      </c>
      <c r="QRP136" s="369">
        <v>0.5</v>
      </c>
      <c r="QRQ136" s="370" t="e">
        <f>10/QRM134</f>
        <v>#DIV/0!</v>
      </c>
      <c r="QRR136" s="371">
        <v>15.38</v>
      </c>
      <c r="QRS136" s="371" t="e">
        <f>QRP136*QRQ136*QRR136</f>
        <v>#DIV/0!</v>
      </c>
      <c r="QRT136" s="367" t="s">
        <v>206</v>
      </c>
      <c r="QRU136" s="367"/>
      <c r="QRV136" s="367"/>
      <c r="QRW136" s="368" t="s">
        <v>168</v>
      </c>
      <c r="QRX136" s="369">
        <v>0.5</v>
      </c>
      <c r="QRY136" s="370" t="e">
        <f>10/QRU134</f>
        <v>#DIV/0!</v>
      </c>
      <c r="QRZ136" s="371">
        <v>15.38</v>
      </c>
      <c r="QSA136" s="371" t="e">
        <f>QRX136*QRY136*QRZ136</f>
        <v>#DIV/0!</v>
      </c>
      <c r="QSB136" s="367" t="s">
        <v>206</v>
      </c>
      <c r="QSC136" s="367"/>
      <c r="QSD136" s="367"/>
      <c r="QSE136" s="368" t="s">
        <v>168</v>
      </c>
      <c r="QSF136" s="369">
        <v>0.5</v>
      </c>
      <c r="QSG136" s="370" t="e">
        <f>10/QSC134</f>
        <v>#DIV/0!</v>
      </c>
      <c r="QSH136" s="371">
        <v>15.38</v>
      </c>
      <c r="QSI136" s="371" t="e">
        <f>QSF136*QSG136*QSH136</f>
        <v>#DIV/0!</v>
      </c>
      <c r="QSJ136" s="367" t="s">
        <v>206</v>
      </c>
      <c r="QSK136" s="367"/>
      <c r="QSL136" s="367"/>
      <c r="QSM136" s="368" t="s">
        <v>168</v>
      </c>
      <c r="QSN136" s="369">
        <v>0.5</v>
      </c>
      <c r="QSO136" s="370" t="e">
        <f>10/QSK134</f>
        <v>#DIV/0!</v>
      </c>
      <c r="QSP136" s="371">
        <v>15.38</v>
      </c>
      <c r="QSQ136" s="371" t="e">
        <f>QSN136*QSO136*QSP136</f>
        <v>#DIV/0!</v>
      </c>
      <c r="QSR136" s="367" t="s">
        <v>206</v>
      </c>
      <c r="QSS136" s="367"/>
      <c r="QST136" s="367"/>
      <c r="QSU136" s="368" t="s">
        <v>168</v>
      </c>
      <c r="QSV136" s="369">
        <v>0.5</v>
      </c>
      <c r="QSW136" s="370" t="e">
        <f>10/QSS134</f>
        <v>#DIV/0!</v>
      </c>
      <c r="QSX136" s="371">
        <v>15.38</v>
      </c>
      <c r="QSY136" s="371" t="e">
        <f>QSV136*QSW136*QSX136</f>
        <v>#DIV/0!</v>
      </c>
      <c r="QSZ136" s="367" t="s">
        <v>206</v>
      </c>
      <c r="QTA136" s="367"/>
      <c r="QTB136" s="367"/>
      <c r="QTC136" s="368" t="s">
        <v>168</v>
      </c>
      <c r="QTD136" s="369">
        <v>0.5</v>
      </c>
      <c r="QTE136" s="370" t="e">
        <f>10/QTA134</f>
        <v>#DIV/0!</v>
      </c>
      <c r="QTF136" s="371">
        <v>15.38</v>
      </c>
      <c r="QTG136" s="371" t="e">
        <f>QTD136*QTE136*QTF136</f>
        <v>#DIV/0!</v>
      </c>
      <c r="QTH136" s="367" t="s">
        <v>206</v>
      </c>
      <c r="QTI136" s="367"/>
      <c r="QTJ136" s="367"/>
      <c r="QTK136" s="368" t="s">
        <v>168</v>
      </c>
      <c r="QTL136" s="369">
        <v>0.5</v>
      </c>
      <c r="QTM136" s="370" t="e">
        <f>10/QTI134</f>
        <v>#DIV/0!</v>
      </c>
      <c r="QTN136" s="371">
        <v>15.38</v>
      </c>
      <c r="QTO136" s="371" t="e">
        <f>QTL136*QTM136*QTN136</f>
        <v>#DIV/0!</v>
      </c>
      <c r="QTP136" s="367" t="s">
        <v>206</v>
      </c>
      <c r="QTQ136" s="367"/>
      <c r="QTR136" s="367"/>
      <c r="QTS136" s="368" t="s">
        <v>168</v>
      </c>
      <c r="QTT136" s="369">
        <v>0.5</v>
      </c>
      <c r="QTU136" s="370" t="e">
        <f>10/QTQ134</f>
        <v>#DIV/0!</v>
      </c>
      <c r="QTV136" s="371">
        <v>15.38</v>
      </c>
      <c r="QTW136" s="371" t="e">
        <f>QTT136*QTU136*QTV136</f>
        <v>#DIV/0!</v>
      </c>
      <c r="QTX136" s="367" t="s">
        <v>206</v>
      </c>
      <c r="QTY136" s="367"/>
      <c r="QTZ136" s="367"/>
      <c r="QUA136" s="368" t="s">
        <v>168</v>
      </c>
      <c r="QUB136" s="369">
        <v>0.5</v>
      </c>
      <c r="QUC136" s="370" t="e">
        <f>10/QTY134</f>
        <v>#DIV/0!</v>
      </c>
      <c r="QUD136" s="371">
        <v>15.38</v>
      </c>
      <c r="QUE136" s="371" t="e">
        <f>QUB136*QUC136*QUD136</f>
        <v>#DIV/0!</v>
      </c>
      <c r="QUF136" s="367" t="s">
        <v>206</v>
      </c>
      <c r="QUG136" s="367"/>
      <c r="QUH136" s="367"/>
      <c r="QUI136" s="368" t="s">
        <v>168</v>
      </c>
      <c r="QUJ136" s="369">
        <v>0.5</v>
      </c>
      <c r="QUK136" s="370" t="e">
        <f>10/QUG134</f>
        <v>#DIV/0!</v>
      </c>
      <c r="QUL136" s="371">
        <v>15.38</v>
      </c>
      <c r="QUM136" s="371" t="e">
        <f>QUJ136*QUK136*QUL136</f>
        <v>#DIV/0!</v>
      </c>
      <c r="QUN136" s="367" t="s">
        <v>206</v>
      </c>
      <c r="QUO136" s="367"/>
      <c r="QUP136" s="367"/>
      <c r="QUQ136" s="368" t="s">
        <v>168</v>
      </c>
      <c r="QUR136" s="369">
        <v>0.5</v>
      </c>
      <c r="QUS136" s="370" t="e">
        <f>10/QUO134</f>
        <v>#DIV/0!</v>
      </c>
      <c r="QUT136" s="371">
        <v>15.38</v>
      </c>
      <c r="QUU136" s="371" t="e">
        <f>QUR136*QUS136*QUT136</f>
        <v>#DIV/0!</v>
      </c>
      <c r="QUV136" s="367" t="s">
        <v>206</v>
      </c>
      <c r="QUW136" s="367"/>
      <c r="QUX136" s="367"/>
      <c r="QUY136" s="368" t="s">
        <v>168</v>
      </c>
      <c r="QUZ136" s="369">
        <v>0.5</v>
      </c>
      <c r="QVA136" s="370" t="e">
        <f>10/QUW134</f>
        <v>#DIV/0!</v>
      </c>
      <c r="QVB136" s="371">
        <v>15.38</v>
      </c>
      <c r="QVC136" s="371" t="e">
        <f>QUZ136*QVA136*QVB136</f>
        <v>#DIV/0!</v>
      </c>
      <c r="QVD136" s="367" t="s">
        <v>206</v>
      </c>
      <c r="QVE136" s="367"/>
      <c r="QVF136" s="367"/>
      <c r="QVG136" s="368" t="s">
        <v>168</v>
      </c>
      <c r="QVH136" s="369">
        <v>0.5</v>
      </c>
      <c r="QVI136" s="370" t="e">
        <f>10/QVE134</f>
        <v>#DIV/0!</v>
      </c>
      <c r="QVJ136" s="371">
        <v>15.38</v>
      </c>
      <c r="QVK136" s="371" t="e">
        <f>QVH136*QVI136*QVJ136</f>
        <v>#DIV/0!</v>
      </c>
      <c r="QVL136" s="367" t="s">
        <v>206</v>
      </c>
      <c r="QVM136" s="367"/>
      <c r="QVN136" s="367"/>
      <c r="QVO136" s="368" t="s">
        <v>168</v>
      </c>
      <c r="QVP136" s="369">
        <v>0.5</v>
      </c>
      <c r="QVQ136" s="370" t="e">
        <f>10/QVM134</f>
        <v>#DIV/0!</v>
      </c>
      <c r="QVR136" s="371">
        <v>15.38</v>
      </c>
      <c r="QVS136" s="371" t="e">
        <f>QVP136*QVQ136*QVR136</f>
        <v>#DIV/0!</v>
      </c>
      <c r="QVT136" s="367" t="s">
        <v>206</v>
      </c>
      <c r="QVU136" s="367"/>
      <c r="QVV136" s="367"/>
      <c r="QVW136" s="368" t="s">
        <v>168</v>
      </c>
      <c r="QVX136" s="369">
        <v>0.5</v>
      </c>
      <c r="QVY136" s="370" t="e">
        <f>10/QVU134</f>
        <v>#DIV/0!</v>
      </c>
      <c r="QVZ136" s="371">
        <v>15.38</v>
      </c>
      <c r="QWA136" s="371" t="e">
        <f>QVX136*QVY136*QVZ136</f>
        <v>#DIV/0!</v>
      </c>
      <c r="QWB136" s="367" t="s">
        <v>206</v>
      </c>
      <c r="QWC136" s="367"/>
      <c r="QWD136" s="367"/>
      <c r="QWE136" s="368" t="s">
        <v>168</v>
      </c>
      <c r="QWF136" s="369">
        <v>0.5</v>
      </c>
      <c r="QWG136" s="370" t="e">
        <f>10/QWC134</f>
        <v>#DIV/0!</v>
      </c>
      <c r="QWH136" s="371">
        <v>15.38</v>
      </c>
      <c r="QWI136" s="371" t="e">
        <f>QWF136*QWG136*QWH136</f>
        <v>#DIV/0!</v>
      </c>
      <c r="QWJ136" s="367" t="s">
        <v>206</v>
      </c>
      <c r="QWK136" s="367"/>
      <c r="QWL136" s="367"/>
      <c r="QWM136" s="368" t="s">
        <v>168</v>
      </c>
      <c r="QWN136" s="369">
        <v>0.5</v>
      </c>
      <c r="QWO136" s="370" t="e">
        <f>10/QWK134</f>
        <v>#DIV/0!</v>
      </c>
      <c r="QWP136" s="371">
        <v>15.38</v>
      </c>
      <c r="QWQ136" s="371" t="e">
        <f>QWN136*QWO136*QWP136</f>
        <v>#DIV/0!</v>
      </c>
      <c r="QWR136" s="367" t="s">
        <v>206</v>
      </c>
      <c r="QWS136" s="367"/>
      <c r="QWT136" s="367"/>
      <c r="QWU136" s="368" t="s">
        <v>168</v>
      </c>
      <c r="QWV136" s="369">
        <v>0.5</v>
      </c>
      <c r="QWW136" s="370" t="e">
        <f>10/QWS134</f>
        <v>#DIV/0!</v>
      </c>
      <c r="QWX136" s="371">
        <v>15.38</v>
      </c>
      <c r="QWY136" s="371" t="e">
        <f>QWV136*QWW136*QWX136</f>
        <v>#DIV/0!</v>
      </c>
      <c r="QWZ136" s="367" t="s">
        <v>206</v>
      </c>
      <c r="QXA136" s="367"/>
      <c r="QXB136" s="367"/>
      <c r="QXC136" s="368" t="s">
        <v>168</v>
      </c>
      <c r="QXD136" s="369">
        <v>0.5</v>
      </c>
      <c r="QXE136" s="370" t="e">
        <f>10/QXA134</f>
        <v>#DIV/0!</v>
      </c>
      <c r="QXF136" s="371">
        <v>15.38</v>
      </c>
      <c r="QXG136" s="371" t="e">
        <f>QXD136*QXE136*QXF136</f>
        <v>#DIV/0!</v>
      </c>
      <c r="QXH136" s="367" t="s">
        <v>206</v>
      </c>
      <c r="QXI136" s="367"/>
      <c r="QXJ136" s="367"/>
      <c r="QXK136" s="368" t="s">
        <v>168</v>
      </c>
      <c r="QXL136" s="369">
        <v>0.5</v>
      </c>
      <c r="QXM136" s="370" t="e">
        <f>10/QXI134</f>
        <v>#DIV/0!</v>
      </c>
      <c r="QXN136" s="371">
        <v>15.38</v>
      </c>
      <c r="QXO136" s="371" t="e">
        <f>QXL136*QXM136*QXN136</f>
        <v>#DIV/0!</v>
      </c>
      <c r="QXP136" s="367" t="s">
        <v>206</v>
      </c>
      <c r="QXQ136" s="367"/>
      <c r="QXR136" s="367"/>
      <c r="QXS136" s="368" t="s">
        <v>168</v>
      </c>
      <c r="QXT136" s="369">
        <v>0.5</v>
      </c>
      <c r="QXU136" s="370" t="e">
        <f>10/QXQ134</f>
        <v>#DIV/0!</v>
      </c>
      <c r="QXV136" s="371">
        <v>15.38</v>
      </c>
      <c r="QXW136" s="371" t="e">
        <f>QXT136*QXU136*QXV136</f>
        <v>#DIV/0!</v>
      </c>
      <c r="QXX136" s="367" t="s">
        <v>206</v>
      </c>
      <c r="QXY136" s="367"/>
      <c r="QXZ136" s="367"/>
      <c r="QYA136" s="368" t="s">
        <v>168</v>
      </c>
      <c r="QYB136" s="369">
        <v>0.5</v>
      </c>
      <c r="QYC136" s="370" t="e">
        <f>10/QXY134</f>
        <v>#DIV/0!</v>
      </c>
      <c r="QYD136" s="371">
        <v>15.38</v>
      </c>
      <c r="QYE136" s="371" t="e">
        <f>QYB136*QYC136*QYD136</f>
        <v>#DIV/0!</v>
      </c>
      <c r="QYF136" s="367" t="s">
        <v>206</v>
      </c>
      <c r="QYG136" s="367"/>
      <c r="QYH136" s="367"/>
      <c r="QYI136" s="368" t="s">
        <v>168</v>
      </c>
      <c r="QYJ136" s="369">
        <v>0.5</v>
      </c>
      <c r="QYK136" s="370" t="e">
        <f>10/QYG134</f>
        <v>#DIV/0!</v>
      </c>
      <c r="QYL136" s="371">
        <v>15.38</v>
      </c>
      <c r="QYM136" s="371" t="e">
        <f>QYJ136*QYK136*QYL136</f>
        <v>#DIV/0!</v>
      </c>
      <c r="QYN136" s="367" t="s">
        <v>206</v>
      </c>
      <c r="QYO136" s="367"/>
      <c r="QYP136" s="367"/>
      <c r="QYQ136" s="368" t="s">
        <v>168</v>
      </c>
      <c r="QYR136" s="369">
        <v>0.5</v>
      </c>
      <c r="QYS136" s="370" t="e">
        <f>10/QYO134</f>
        <v>#DIV/0!</v>
      </c>
      <c r="QYT136" s="371">
        <v>15.38</v>
      </c>
      <c r="QYU136" s="371" t="e">
        <f>QYR136*QYS136*QYT136</f>
        <v>#DIV/0!</v>
      </c>
      <c r="QYV136" s="367" t="s">
        <v>206</v>
      </c>
      <c r="QYW136" s="367"/>
      <c r="QYX136" s="367"/>
      <c r="QYY136" s="368" t="s">
        <v>168</v>
      </c>
      <c r="QYZ136" s="369">
        <v>0.5</v>
      </c>
      <c r="QZA136" s="370" t="e">
        <f>10/QYW134</f>
        <v>#DIV/0!</v>
      </c>
      <c r="QZB136" s="371">
        <v>15.38</v>
      </c>
      <c r="QZC136" s="371" t="e">
        <f>QYZ136*QZA136*QZB136</f>
        <v>#DIV/0!</v>
      </c>
      <c r="QZD136" s="367" t="s">
        <v>206</v>
      </c>
      <c r="QZE136" s="367"/>
      <c r="QZF136" s="367"/>
      <c r="QZG136" s="368" t="s">
        <v>168</v>
      </c>
      <c r="QZH136" s="369">
        <v>0.5</v>
      </c>
      <c r="QZI136" s="370" t="e">
        <f>10/QZE134</f>
        <v>#DIV/0!</v>
      </c>
      <c r="QZJ136" s="371">
        <v>15.38</v>
      </c>
      <c r="QZK136" s="371" t="e">
        <f>QZH136*QZI136*QZJ136</f>
        <v>#DIV/0!</v>
      </c>
      <c r="QZL136" s="367" t="s">
        <v>206</v>
      </c>
      <c r="QZM136" s="367"/>
      <c r="QZN136" s="367"/>
      <c r="QZO136" s="368" t="s">
        <v>168</v>
      </c>
      <c r="QZP136" s="369">
        <v>0.5</v>
      </c>
      <c r="QZQ136" s="370" t="e">
        <f>10/QZM134</f>
        <v>#DIV/0!</v>
      </c>
      <c r="QZR136" s="371">
        <v>15.38</v>
      </c>
      <c r="QZS136" s="371" t="e">
        <f>QZP136*QZQ136*QZR136</f>
        <v>#DIV/0!</v>
      </c>
      <c r="QZT136" s="367" t="s">
        <v>206</v>
      </c>
      <c r="QZU136" s="367"/>
      <c r="QZV136" s="367"/>
      <c r="QZW136" s="368" t="s">
        <v>168</v>
      </c>
      <c r="QZX136" s="369">
        <v>0.5</v>
      </c>
      <c r="QZY136" s="370" t="e">
        <f>10/QZU134</f>
        <v>#DIV/0!</v>
      </c>
      <c r="QZZ136" s="371">
        <v>15.38</v>
      </c>
      <c r="RAA136" s="371" t="e">
        <f>QZX136*QZY136*QZZ136</f>
        <v>#DIV/0!</v>
      </c>
      <c r="RAB136" s="367" t="s">
        <v>206</v>
      </c>
      <c r="RAC136" s="367"/>
      <c r="RAD136" s="367"/>
      <c r="RAE136" s="368" t="s">
        <v>168</v>
      </c>
      <c r="RAF136" s="369">
        <v>0.5</v>
      </c>
      <c r="RAG136" s="370" t="e">
        <f>10/RAC134</f>
        <v>#DIV/0!</v>
      </c>
      <c r="RAH136" s="371">
        <v>15.38</v>
      </c>
      <c r="RAI136" s="371" t="e">
        <f>RAF136*RAG136*RAH136</f>
        <v>#DIV/0!</v>
      </c>
      <c r="RAJ136" s="367" t="s">
        <v>206</v>
      </c>
      <c r="RAK136" s="367"/>
      <c r="RAL136" s="367"/>
      <c r="RAM136" s="368" t="s">
        <v>168</v>
      </c>
      <c r="RAN136" s="369">
        <v>0.5</v>
      </c>
      <c r="RAO136" s="370" t="e">
        <f>10/RAK134</f>
        <v>#DIV/0!</v>
      </c>
      <c r="RAP136" s="371">
        <v>15.38</v>
      </c>
      <c r="RAQ136" s="371" t="e">
        <f>RAN136*RAO136*RAP136</f>
        <v>#DIV/0!</v>
      </c>
      <c r="RAR136" s="367" t="s">
        <v>206</v>
      </c>
      <c r="RAS136" s="367"/>
      <c r="RAT136" s="367"/>
      <c r="RAU136" s="368" t="s">
        <v>168</v>
      </c>
      <c r="RAV136" s="369">
        <v>0.5</v>
      </c>
      <c r="RAW136" s="370" t="e">
        <f>10/RAS134</f>
        <v>#DIV/0!</v>
      </c>
      <c r="RAX136" s="371">
        <v>15.38</v>
      </c>
      <c r="RAY136" s="371" t="e">
        <f>RAV136*RAW136*RAX136</f>
        <v>#DIV/0!</v>
      </c>
      <c r="RAZ136" s="367" t="s">
        <v>206</v>
      </c>
      <c r="RBA136" s="367"/>
      <c r="RBB136" s="367"/>
      <c r="RBC136" s="368" t="s">
        <v>168</v>
      </c>
      <c r="RBD136" s="369">
        <v>0.5</v>
      </c>
      <c r="RBE136" s="370" t="e">
        <f>10/RBA134</f>
        <v>#DIV/0!</v>
      </c>
      <c r="RBF136" s="371">
        <v>15.38</v>
      </c>
      <c r="RBG136" s="371" t="e">
        <f>RBD136*RBE136*RBF136</f>
        <v>#DIV/0!</v>
      </c>
      <c r="RBH136" s="367" t="s">
        <v>206</v>
      </c>
      <c r="RBI136" s="367"/>
      <c r="RBJ136" s="367"/>
      <c r="RBK136" s="368" t="s">
        <v>168</v>
      </c>
      <c r="RBL136" s="369">
        <v>0.5</v>
      </c>
      <c r="RBM136" s="370" t="e">
        <f>10/RBI134</f>
        <v>#DIV/0!</v>
      </c>
      <c r="RBN136" s="371">
        <v>15.38</v>
      </c>
      <c r="RBO136" s="371" t="e">
        <f>RBL136*RBM136*RBN136</f>
        <v>#DIV/0!</v>
      </c>
      <c r="RBP136" s="367" t="s">
        <v>206</v>
      </c>
      <c r="RBQ136" s="367"/>
      <c r="RBR136" s="367"/>
      <c r="RBS136" s="368" t="s">
        <v>168</v>
      </c>
      <c r="RBT136" s="369">
        <v>0.5</v>
      </c>
      <c r="RBU136" s="370" t="e">
        <f>10/RBQ134</f>
        <v>#DIV/0!</v>
      </c>
      <c r="RBV136" s="371">
        <v>15.38</v>
      </c>
      <c r="RBW136" s="371" t="e">
        <f>RBT136*RBU136*RBV136</f>
        <v>#DIV/0!</v>
      </c>
      <c r="RBX136" s="367" t="s">
        <v>206</v>
      </c>
      <c r="RBY136" s="367"/>
      <c r="RBZ136" s="367"/>
      <c r="RCA136" s="368" t="s">
        <v>168</v>
      </c>
      <c r="RCB136" s="369">
        <v>0.5</v>
      </c>
      <c r="RCC136" s="370" t="e">
        <f>10/RBY134</f>
        <v>#DIV/0!</v>
      </c>
      <c r="RCD136" s="371">
        <v>15.38</v>
      </c>
      <c r="RCE136" s="371" t="e">
        <f>RCB136*RCC136*RCD136</f>
        <v>#DIV/0!</v>
      </c>
      <c r="RCF136" s="367" t="s">
        <v>206</v>
      </c>
      <c r="RCG136" s="367"/>
      <c r="RCH136" s="367"/>
      <c r="RCI136" s="368" t="s">
        <v>168</v>
      </c>
      <c r="RCJ136" s="369">
        <v>0.5</v>
      </c>
      <c r="RCK136" s="370" t="e">
        <f>10/RCG134</f>
        <v>#DIV/0!</v>
      </c>
      <c r="RCL136" s="371">
        <v>15.38</v>
      </c>
      <c r="RCM136" s="371" t="e">
        <f>RCJ136*RCK136*RCL136</f>
        <v>#DIV/0!</v>
      </c>
      <c r="RCN136" s="367" t="s">
        <v>206</v>
      </c>
      <c r="RCO136" s="367"/>
      <c r="RCP136" s="367"/>
      <c r="RCQ136" s="368" t="s">
        <v>168</v>
      </c>
      <c r="RCR136" s="369">
        <v>0.5</v>
      </c>
      <c r="RCS136" s="370" t="e">
        <f>10/RCO134</f>
        <v>#DIV/0!</v>
      </c>
      <c r="RCT136" s="371">
        <v>15.38</v>
      </c>
      <c r="RCU136" s="371" t="e">
        <f>RCR136*RCS136*RCT136</f>
        <v>#DIV/0!</v>
      </c>
      <c r="RCV136" s="367" t="s">
        <v>206</v>
      </c>
      <c r="RCW136" s="367"/>
      <c r="RCX136" s="367"/>
      <c r="RCY136" s="368" t="s">
        <v>168</v>
      </c>
      <c r="RCZ136" s="369">
        <v>0.5</v>
      </c>
      <c r="RDA136" s="370" t="e">
        <f>10/RCW134</f>
        <v>#DIV/0!</v>
      </c>
      <c r="RDB136" s="371">
        <v>15.38</v>
      </c>
      <c r="RDC136" s="371" t="e">
        <f>RCZ136*RDA136*RDB136</f>
        <v>#DIV/0!</v>
      </c>
      <c r="RDD136" s="367" t="s">
        <v>206</v>
      </c>
      <c r="RDE136" s="367"/>
      <c r="RDF136" s="367"/>
      <c r="RDG136" s="368" t="s">
        <v>168</v>
      </c>
      <c r="RDH136" s="369">
        <v>0.5</v>
      </c>
      <c r="RDI136" s="370" t="e">
        <f>10/RDE134</f>
        <v>#DIV/0!</v>
      </c>
      <c r="RDJ136" s="371">
        <v>15.38</v>
      </c>
      <c r="RDK136" s="371" t="e">
        <f>RDH136*RDI136*RDJ136</f>
        <v>#DIV/0!</v>
      </c>
      <c r="RDL136" s="367" t="s">
        <v>206</v>
      </c>
      <c r="RDM136" s="367"/>
      <c r="RDN136" s="367"/>
      <c r="RDO136" s="368" t="s">
        <v>168</v>
      </c>
      <c r="RDP136" s="369">
        <v>0.5</v>
      </c>
      <c r="RDQ136" s="370" t="e">
        <f>10/RDM134</f>
        <v>#DIV/0!</v>
      </c>
      <c r="RDR136" s="371">
        <v>15.38</v>
      </c>
      <c r="RDS136" s="371" t="e">
        <f>RDP136*RDQ136*RDR136</f>
        <v>#DIV/0!</v>
      </c>
      <c r="RDT136" s="367" t="s">
        <v>206</v>
      </c>
      <c r="RDU136" s="367"/>
      <c r="RDV136" s="367"/>
      <c r="RDW136" s="368" t="s">
        <v>168</v>
      </c>
      <c r="RDX136" s="369">
        <v>0.5</v>
      </c>
      <c r="RDY136" s="370" t="e">
        <f>10/RDU134</f>
        <v>#DIV/0!</v>
      </c>
      <c r="RDZ136" s="371">
        <v>15.38</v>
      </c>
      <c r="REA136" s="371" t="e">
        <f>RDX136*RDY136*RDZ136</f>
        <v>#DIV/0!</v>
      </c>
      <c r="REB136" s="367" t="s">
        <v>206</v>
      </c>
      <c r="REC136" s="367"/>
      <c r="RED136" s="367"/>
      <c r="REE136" s="368" t="s">
        <v>168</v>
      </c>
      <c r="REF136" s="369">
        <v>0.5</v>
      </c>
      <c r="REG136" s="370" t="e">
        <f>10/REC134</f>
        <v>#DIV/0!</v>
      </c>
      <c r="REH136" s="371">
        <v>15.38</v>
      </c>
      <c r="REI136" s="371" t="e">
        <f>REF136*REG136*REH136</f>
        <v>#DIV/0!</v>
      </c>
      <c r="REJ136" s="367" t="s">
        <v>206</v>
      </c>
      <c r="REK136" s="367"/>
      <c r="REL136" s="367"/>
      <c r="REM136" s="368" t="s">
        <v>168</v>
      </c>
      <c r="REN136" s="369">
        <v>0.5</v>
      </c>
      <c r="REO136" s="370" t="e">
        <f>10/REK134</f>
        <v>#DIV/0!</v>
      </c>
      <c r="REP136" s="371">
        <v>15.38</v>
      </c>
      <c r="REQ136" s="371" t="e">
        <f>REN136*REO136*REP136</f>
        <v>#DIV/0!</v>
      </c>
      <c r="RER136" s="367" t="s">
        <v>206</v>
      </c>
      <c r="RES136" s="367"/>
      <c r="RET136" s="367"/>
      <c r="REU136" s="368" t="s">
        <v>168</v>
      </c>
      <c r="REV136" s="369">
        <v>0.5</v>
      </c>
      <c r="REW136" s="370" t="e">
        <f>10/RES134</f>
        <v>#DIV/0!</v>
      </c>
      <c r="REX136" s="371">
        <v>15.38</v>
      </c>
      <c r="REY136" s="371" t="e">
        <f>REV136*REW136*REX136</f>
        <v>#DIV/0!</v>
      </c>
      <c r="REZ136" s="367" t="s">
        <v>206</v>
      </c>
      <c r="RFA136" s="367"/>
      <c r="RFB136" s="367"/>
      <c r="RFC136" s="368" t="s">
        <v>168</v>
      </c>
      <c r="RFD136" s="369">
        <v>0.5</v>
      </c>
      <c r="RFE136" s="370" t="e">
        <f>10/RFA134</f>
        <v>#DIV/0!</v>
      </c>
      <c r="RFF136" s="371">
        <v>15.38</v>
      </c>
      <c r="RFG136" s="371" t="e">
        <f>RFD136*RFE136*RFF136</f>
        <v>#DIV/0!</v>
      </c>
      <c r="RFH136" s="367" t="s">
        <v>206</v>
      </c>
      <c r="RFI136" s="367"/>
      <c r="RFJ136" s="367"/>
      <c r="RFK136" s="368" t="s">
        <v>168</v>
      </c>
      <c r="RFL136" s="369">
        <v>0.5</v>
      </c>
      <c r="RFM136" s="370" t="e">
        <f>10/RFI134</f>
        <v>#DIV/0!</v>
      </c>
      <c r="RFN136" s="371">
        <v>15.38</v>
      </c>
      <c r="RFO136" s="371" t="e">
        <f>RFL136*RFM136*RFN136</f>
        <v>#DIV/0!</v>
      </c>
      <c r="RFP136" s="367" t="s">
        <v>206</v>
      </c>
      <c r="RFQ136" s="367"/>
      <c r="RFR136" s="367"/>
      <c r="RFS136" s="368" t="s">
        <v>168</v>
      </c>
      <c r="RFT136" s="369">
        <v>0.5</v>
      </c>
      <c r="RFU136" s="370" t="e">
        <f>10/RFQ134</f>
        <v>#DIV/0!</v>
      </c>
      <c r="RFV136" s="371">
        <v>15.38</v>
      </c>
      <c r="RFW136" s="371" t="e">
        <f>RFT136*RFU136*RFV136</f>
        <v>#DIV/0!</v>
      </c>
      <c r="RFX136" s="367" t="s">
        <v>206</v>
      </c>
      <c r="RFY136" s="367"/>
      <c r="RFZ136" s="367"/>
      <c r="RGA136" s="368" t="s">
        <v>168</v>
      </c>
      <c r="RGB136" s="369">
        <v>0.5</v>
      </c>
      <c r="RGC136" s="370" t="e">
        <f>10/RFY134</f>
        <v>#DIV/0!</v>
      </c>
      <c r="RGD136" s="371">
        <v>15.38</v>
      </c>
      <c r="RGE136" s="371" t="e">
        <f>RGB136*RGC136*RGD136</f>
        <v>#DIV/0!</v>
      </c>
      <c r="RGF136" s="367" t="s">
        <v>206</v>
      </c>
      <c r="RGG136" s="367"/>
      <c r="RGH136" s="367"/>
      <c r="RGI136" s="368" t="s">
        <v>168</v>
      </c>
      <c r="RGJ136" s="369">
        <v>0.5</v>
      </c>
      <c r="RGK136" s="370" t="e">
        <f>10/RGG134</f>
        <v>#DIV/0!</v>
      </c>
      <c r="RGL136" s="371">
        <v>15.38</v>
      </c>
      <c r="RGM136" s="371" t="e">
        <f>RGJ136*RGK136*RGL136</f>
        <v>#DIV/0!</v>
      </c>
      <c r="RGN136" s="367" t="s">
        <v>206</v>
      </c>
      <c r="RGO136" s="367"/>
      <c r="RGP136" s="367"/>
      <c r="RGQ136" s="368" t="s">
        <v>168</v>
      </c>
      <c r="RGR136" s="369">
        <v>0.5</v>
      </c>
      <c r="RGS136" s="370" t="e">
        <f>10/RGO134</f>
        <v>#DIV/0!</v>
      </c>
      <c r="RGT136" s="371">
        <v>15.38</v>
      </c>
      <c r="RGU136" s="371" t="e">
        <f>RGR136*RGS136*RGT136</f>
        <v>#DIV/0!</v>
      </c>
      <c r="RGV136" s="367" t="s">
        <v>206</v>
      </c>
      <c r="RGW136" s="367"/>
      <c r="RGX136" s="367"/>
      <c r="RGY136" s="368" t="s">
        <v>168</v>
      </c>
      <c r="RGZ136" s="369">
        <v>0.5</v>
      </c>
      <c r="RHA136" s="370" t="e">
        <f>10/RGW134</f>
        <v>#DIV/0!</v>
      </c>
      <c r="RHB136" s="371">
        <v>15.38</v>
      </c>
      <c r="RHC136" s="371" t="e">
        <f>RGZ136*RHA136*RHB136</f>
        <v>#DIV/0!</v>
      </c>
      <c r="RHD136" s="367" t="s">
        <v>206</v>
      </c>
      <c r="RHE136" s="367"/>
      <c r="RHF136" s="367"/>
      <c r="RHG136" s="368" t="s">
        <v>168</v>
      </c>
      <c r="RHH136" s="369">
        <v>0.5</v>
      </c>
      <c r="RHI136" s="370" t="e">
        <f>10/RHE134</f>
        <v>#DIV/0!</v>
      </c>
      <c r="RHJ136" s="371">
        <v>15.38</v>
      </c>
      <c r="RHK136" s="371" t="e">
        <f>RHH136*RHI136*RHJ136</f>
        <v>#DIV/0!</v>
      </c>
      <c r="RHL136" s="367" t="s">
        <v>206</v>
      </c>
      <c r="RHM136" s="367"/>
      <c r="RHN136" s="367"/>
      <c r="RHO136" s="368" t="s">
        <v>168</v>
      </c>
      <c r="RHP136" s="369">
        <v>0.5</v>
      </c>
      <c r="RHQ136" s="370" t="e">
        <f>10/RHM134</f>
        <v>#DIV/0!</v>
      </c>
      <c r="RHR136" s="371">
        <v>15.38</v>
      </c>
      <c r="RHS136" s="371" t="e">
        <f>RHP136*RHQ136*RHR136</f>
        <v>#DIV/0!</v>
      </c>
      <c r="RHT136" s="367" t="s">
        <v>206</v>
      </c>
      <c r="RHU136" s="367"/>
      <c r="RHV136" s="367"/>
      <c r="RHW136" s="368" t="s">
        <v>168</v>
      </c>
      <c r="RHX136" s="369">
        <v>0.5</v>
      </c>
      <c r="RHY136" s="370" t="e">
        <f>10/RHU134</f>
        <v>#DIV/0!</v>
      </c>
      <c r="RHZ136" s="371">
        <v>15.38</v>
      </c>
      <c r="RIA136" s="371" t="e">
        <f>RHX136*RHY136*RHZ136</f>
        <v>#DIV/0!</v>
      </c>
      <c r="RIB136" s="367" t="s">
        <v>206</v>
      </c>
      <c r="RIC136" s="367"/>
      <c r="RID136" s="367"/>
      <c r="RIE136" s="368" t="s">
        <v>168</v>
      </c>
      <c r="RIF136" s="369">
        <v>0.5</v>
      </c>
      <c r="RIG136" s="370" t="e">
        <f>10/RIC134</f>
        <v>#DIV/0!</v>
      </c>
      <c r="RIH136" s="371">
        <v>15.38</v>
      </c>
      <c r="RII136" s="371" t="e">
        <f>RIF136*RIG136*RIH136</f>
        <v>#DIV/0!</v>
      </c>
      <c r="RIJ136" s="367" t="s">
        <v>206</v>
      </c>
      <c r="RIK136" s="367"/>
      <c r="RIL136" s="367"/>
      <c r="RIM136" s="368" t="s">
        <v>168</v>
      </c>
      <c r="RIN136" s="369">
        <v>0.5</v>
      </c>
      <c r="RIO136" s="370" t="e">
        <f>10/RIK134</f>
        <v>#DIV/0!</v>
      </c>
      <c r="RIP136" s="371">
        <v>15.38</v>
      </c>
      <c r="RIQ136" s="371" t="e">
        <f>RIN136*RIO136*RIP136</f>
        <v>#DIV/0!</v>
      </c>
      <c r="RIR136" s="367" t="s">
        <v>206</v>
      </c>
      <c r="RIS136" s="367"/>
      <c r="RIT136" s="367"/>
      <c r="RIU136" s="368" t="s">
        <v>168</v>
      </c>
      <c r="RIV136" s="369">
        <v>0.5</v>
      </c>
      <c r="RIW136" s="370" t="e">
        <f>10/RIS134</f>
        <v>#DIV/0!</v>
      </c>
      <c r="RIX136" s="371">
        <v>15.38</v>
      </c>
      <c r="RIY136" s="371" t="e">
        <f>RIV136*RIW136*RIX136</f>
        <v>#DIV/0!</v>
      </c>
      <c r="RIZ136" s="367" t="s">
        <v>206</v>
      </c>
      <c r="RJA136" s="367"/>
      <c r="RJB136" s="367"/>
      <c r="RJC136" s="368" t="s">
        <v>168</v>
      </c>
      <c r="RJD136" s="369">
        <v>0.5</v>
      </c>
      <c r="RJE136" s="370" t="e">
        <f>10/RJA134</f>
        <v>#DIV/0!</v>
      </c>
      <c r="RJF136" s="371">
        <v>15.38</v>
      </c>
      <c r="RJG136" s="371" t="e">
        <f>RJD136*RJE136*RJF136</f>
        <v>#DIV/0!</v>
      </c>
      <c r="RJH136" s="367" t="s">
        <v>206</v>
      </c>
      <c r="RJI136" s="367"/>
      <c r="RJJ136" s="367"/>
      <c r="RJK136" s="368" t="s">
        <v>168</v>
      </c>
      <c r="RJL136" s="369">
        <v>0.5</v>
      </c>
      <c r="RJM136" s="370" t="e">
        <f>10/RJI134</f>
        <v>#DIV/0!</v>
      </c>
      <c r="RJN136" s="371">
        <v>15.38</v>
      </c>
      <c r="RJO136" s="371" t="e">
        <f>RJL136*RJM136*RJN136</f>
        <v>#DIV/0!</v>
      </c>
      <c r="RJP136" s="367" t="s">
        <v>206</v>
      </c>
      <c r="RJQ136" s="367"/>
      <c r="RJR136" s="367"/>
      <c r="RJS136" s="368" t="s">
        <v>168</v>
      </c>
      <c r="RJT136" s="369">
        <v>0.5</v>
      </c>
      <c r="RJU136" s="370" t="e">
        <f>10/RJQ134</f>
        <v>#DIV/0!</v>
      </c>
      <c r="RJV136" s="371">
        <v>15.38</v>
      </c>
      <c r="RJW136" s="371" t="e">
        <f>RJT136*RJU136*RJV136</f>
        <v>#DIV/0!</v>
      </c>
      <c r="RJX136" s="367" t="s">
        <v>206</v>
      </c>
      <c r="RJY136" s="367"/>
      <c r="RJZ136" s="367"/>
      <c r="RKA136" s="368" t="s">
        <v>168</v>
      </c>
      <c r="RKB136" s="369">
        <v>0.5</v>
      </c>
      <c r="RKC136" s="370" t="e">
        <f>10/RJY134</f>
        <v>#DIV/0!</v>
      </c>
      <c r="RKD136" s="371">
        <v>15.38</v>
      </c>
      <c r="RKE136" s="371" t="e">
        <f>RKB136*RKC136*RKD136</f>
        <v>#DIV/0!</v>
      </c>
      <c r="RKF136" s="367" t="s">
        <v>206</v>
      </c>
      <c r="RKG136" s="367"/>
      <c r="RKH136" s="367"/>
      <c r="RKI136" s="368" t="s">
        <v>168</v>
      </c>
      <c r="RKJ136" s="369">
        <v>0.5</v>
      </c>
      <c r="RKK136" s="370" t="e">
        <f>10/RKG134</f>
        <v>#DIV/0!</v>
      </c>
      <c r="RKL136" s="371">
        <v>15.38</v>
      </c>
      <c r="RKM136" s="371" t="e">
        <f>RKJ136*RKK136*RKL136</f>
        <v>#DIV/0!</v>
      </c>
      <c r="RKN136" s="367" t="s">
        <v>206</v>
      </c>
      <c r="RKO136" s="367"/>
      <c r="RKP136" s="367"/>
      <c r="RKQ136" s="368" t="s">
        <v>168</v>
      </c>
      <c r="RKR136" s="369">
        <v>0.5</v>
      </c>
      <c r="RKS136" s="370" t="e">
        <f>10/RKO134</f>
        <v>#DIV/0!</v>
      </c>
      <c r="RKT136" s="371">
        <v>15.38</v>
      </c>
      <c r="RKU136" s="371" t="e">
        <f>RKR136*RKS136*RKT136</f>
        <v>#DIV/0!</v>
      </c>
      <c r="RKV136" s="367" t="s">
        <v>206</v>
      </c>
      <c r="RKW136" s="367"/>
      <c r="RKX136" s="367"/>
      <c r="RKY136" s="368" t="s">
        <v>168</v>
      </c>
      <c r="RKZ136" s="369">
        <v>0.5</v>
      </c>
      <c r="RLA136" s="370" t="e">
        <f>10/RKW134</f>
        <v>#DIV/0!</v>
      </c>
      <c r="RLB136" s="371">
        <v>15.38</v>
      </c>
      <c r="RLC136" s="371" t="e">
        <f>RKZ136*RLA136*RLB136</f>
        <v>#DIV/0!</v>
      </c>
      <c r="RLD136" s="367" t="s">
        <v>206</v>
      </c>
      <c r="RLE136" s="367"/>
      <c r="RLF136" s="367"/>
      <c r="RLG136" s="368" t="s">
        <v>168</v>
      </c>
      <c r="RLH136" s="369">
        <v>0.5</v>
      </c>
      <c r="RLI136" s="370" t="e">
        <f>10/RLE134</f>
        <v>#DIV/0!</v>
      </c>
      <c r="RLJ136" s="371">
        <v>15.38</v>
      </c>
      <c r="RLK136" s="371" t="e">
        <f>RLH136*RLI136*RLJ136</f>
        <v>#DIV/0!</v>
      </c>
      <c r="RLL136" s="367" t="s">
        <v>206</v>
      </c>
      <c r="RLM136" s="367"/>
      <c r="RLN136" s="367"/>
      <c r="RLO136" s="368" t="s">
        <v>168</v>
      </c>
      <c r="RLP136" s="369">
        <v>0.5</v>
      </c>
      <c r="RLQ136" s="370" t="e">
        <f>10/RLM134</f>
        <v>#DIV/0!</v>
      </c>
      <c r="RLR136" s="371">
        <v>15.38</v>
      </c>
      <c r="RLS136" s="371" t="e">
        <f>RLP136*RLQ136*RLR136</f>
        <v>#DIV/0!</v>
      </c>
      <c r="RLT136" s="367" t="s">
        <v>206</v>
      </c>
      <c r="RLU136" s="367"/>
      <c r="RLV136" s="367"/>
      <c r="RLW136" s="368" t="s">
        <v>168</v>
      </c>
      <c r="RLX136" s="369">
        <v>0.5</v>
      </c>
      <c r="RLY136" s="370" t="e">
        <f>10/RLU134</f>
        <v>#DIV/0!</v>
      </c>
      <c r="RLZ136" s="371">
        <v>15.38</v>
      </c>
      <c r="RMA136" s="371" t="e">
        <f>RLX136*RLY136*RLZ136</f>
        <v>#DIV/0!</v>
      </c>
      <c r="RMB136" s="367" t="s">
        <v>206</v>
      </c>
      <c r="RMC136" s="367"/>
      <c r="RMD136" s="367"/>
      <c r="RME136" s="368" t="s">
        <v>168</v>
      </c>
      <c r="RMF136" s="369">
        <v>0.5</v>
      </c>
      <c r="RMG136" s="370" t="e">
        <f>10/RMC134</f>
        <v>#DIV/0!</v>
      </c>
      <c r="RMH136" s="371">
        <v>15.38</v>
      </c>
      <c r="RMI136" s="371" t="e">
        <f>RMF136*RMG136*RMH136</f>
        <v>#DIV/0!</v>
      </c>
      <c r="RMJ136" s="367" t="s">
        <v>206</v>
      </c>
      <c r="RMK136" s="367"/>
      <c r="RML136" s="367"/>
      <c r="RMM136" s="368" t="s">
        <v>168</v>
      </c>
      <c r="RMN136" s="369">
        <v>0.5</v>
      </c>
      <c r="RMO136" s="370" t="e">
        <f>10/RMK134</f>
        <v>#DIV/0!</v>
      </c>
      <c r="RMP136" s="371">
        <v>15.38</v>
      </c>
      <c r="RMQ136" s="371" t="e">
        <f>RMN136*RMO136*RMP136</f>
        <v>#DIV/0!</v>
      </c>
      <c r="RMR136" s="367" t="s">
        <v>206</v>
      </c>
      <c r="RMS136" s="367"/>
      <c r="RMT136" s="367"/>
      <c r="RMU136" s="368" t="s">
        <v>168</v>
      </c>
      <c r="RMV136" s="369">
        <v>0.5</v>
      </c>
      <c r="RMW136" s="370" t="e">
        <f>10/RMS134</f>
        <v>#DIV/0!</v>
      </c>
      <c r="RMX136" s="371">
        <v>15.38</v>
      </c>
      <c r="RMY136" s="371" t="e">
        <f>RMV136*RMW136*RMX136</f>
        <v>#DIV/0!</v>
      </c>
      <c r="RMZ136" s="367" t="s">
        <v>206</v>
      </c>
      <c r="RNA136" s="367"/>
      <c r="RNB136" s="367"/>
      <c r="RNC136" s="368" t="s">
        <v>168</v>
      </c>
      <c r="RND136" s="369">
        <v>0.5</v>
      </c>
      <c r="RNE136" s="370" t="e">
        <f>10/RNA134</f>
        <v>#DIV/0!</v>
      </c>
      <c r="RNF136" s="371">
        <v>15.38</v>
      </c>
      <c r="RNG136" s="371" t="e">
        <f>RND136*RNE136*RNF136</f>
        <v>#DIV/0!</v>
      </c>
      <c r="RNH136" s="367" t="s">
        <v>206</v>
      </c>
      <c r="RNI136" s="367"/>
      <c r="RNJ136" s="367"/>
      <c r="RNK136" s="368" t="s">
        <v>168</v>
      </c>
      <c r="RNL136" s="369">
        <v>0.5</v>
      </c>
      <c r="RNM136" s="370" t="e">
        <f>10/RNI134</f>
        <v>#DIV/0!</v>
      </c>
      <c r="RNN136" s="371">
        <v>15.38</v>
      </c>
      <c r="RNO136" s="371" t="e">
        <f>RNL136*RNM136*RNN136</f>
        <v>#DIV/0!</v>
      </c>
      <c r="RNP136" s="367" t="s">
        <v>206</v>
      </c>
      <c r="RNQ136" s="367"/>
      <c r="RNR136" s="367"/>
      <c r="RNS136" s="368" t="s">
        <v>168</v>
      </c>
      <c r="RNT136" s="369">
        <v>0.5</v>
      </c>
      <c r="RNU136" s="370" t="e">
        <f>10/RNQ134</f>
        <v>#DIV/0!</v>
      </c>
      <c r="RNV136" s="371">
        <v>15.38</v>
      </c>
      <c r="RNW136" s="371" t="e">
        <f>RNT136*RNU136*RNV136</f>
        <v>#DIV/0!</v>
      </c>
      <c r="RNX136" s="367" t="s">
        <v>206</v>
      </c>
      <c r="RNY136" s="367"/>
      <c r="RNZ136" s="367"/>
      <c r="ROA136" s="368" t="s">
        <v>168</v>
      </c>
      <c r="ROB136" s="369">
        <v>0.5</v>
      </c>
      <c r="ROC136" s="370" t="e">
        <f>10/RNY134</f>
        <v>#DIV/0!</v>
      </c>
      <c r="ROD136" s="371">
        <v>15.38</v>
      </c>
      <c r="ROE136" s="371" t="e">
        <f>ROB136*ROC136*ROD136</f>
        <v>#DIV/0!</v>
      </c>
      <c r="ROF136" s="367" t="s">
        <v>206</v>
      </c>
      <c r="ROG136" s="367"/>
      <c r="ROH136" s="367"/>
      <c r="ROI136" s="368" t="s">
        <v>168</v>
      </c>
      <c r="ROJ136" s="369">
        <v>0.5</v>
      </c>
      <c r="ROK136" s="370" t="e">
        <f>10/ROG134</f>
        <v>#DIV/0!</v>
      </c>
      <c r="ROL136" s="371">
        <v>15.38</v>
      </c>
      <c r="ROM136" s="371" t="e">
        <f>ROJ136*ROK136*ROL136</f>
        <v>#DIV/0!</v>
      </c>
      <c r="RON136" s="367" t="s">
        <v>206</v>
      </c>
      <c r="ROO136" s="367"/>
      <c r="ROP136" s="367"/>
      <c r="ROQ136" s="368" t="s">
        <v>168</v>
      </c>
      <c r="ROR136" s="369">
        <v>0.5</v>
      </c>
      <c r="ROS136" s="370" t="e">
        <f>10/ROO134</f>
        <v>#DIV/0!</v>
      </c>
      <c r="ROT136" s="371">
        <v>15.38</v>
      </c>
      <c r="ROU136" s="371" t="e">
        <f>ROR136*ROS136*ROT136</f>
        <v>#DIV/0!</v>
      </c>
      <c r="ROV136" s="367" t="s">
        <v>206</v>
      </c>
      <c r="ROW136" s="367"/>
      <c r="ROX136" s="367"/>
      <c r="ROY136" s="368" t="s">
        <v>168</v>
      </c>
      <c r="ROZ136" s="369">
        <v>0.5</v>
      </c>
      <c r="RPA136" s="370" t="e">
        <f>10/ROW134</f>
        <v>#DIV/0!</v>
      </c>
      <c r="RPB136" s="371">
        <v>15.38</v>
      </c>
      <c r="RPC136" s="371" t="e">
        <f>ROZ136*RPA136*RPB136</f>
        <v>#DIV/0!</v>
      </c>
      <c r="RPD136" s="367" t="s">
        <v>206</v>
      </c>
      <c r="RPE136" s="367"/>
      <c r="RPF136" s="367"/>
      <c r="RPG136" s="368" t="s">
        <v>168</v>
      </c>
      <c r="RPH136" s="369">
        <v>0.5</v>
      </c>
      <c r="RPI136" s="370" t="e">
        <f>10/RPE134</f>
        <v>#DIV/0!</v>
      </c>
      <c r="RPJ136" s="371">
        <v>15.38</v>
      </c>
      <c r="RPK136" s="371" t="e">
        <f>RPH136*RPI136*RPJ136</f>
        <v>#DIV/0!</v>
      </c>
      <c r="RPL136" s="367" t="s">
        <v>206</v>
      </c>
      <c r="RPM136" s="367"/>
      <c r="RPN136" s="367"/>
      <c r="RPO136" s="368" t="s">
        <v>168</v>
      </c>
      <c r="RPP136" s="369">
        <v>0.5</v>
      </c>
      <c r="RPQ136" s="370" t="e">
        <f>10/RPM134</f>
        <v>#DIV/0!</v>
      </c>
      <c r="RPR136" s="371">
        <v>15.38</v>
      </c>
      <c r="RPS136" s="371" t="e">
        <f>RPP136*RPQ136*RPR136</f>
        <v>#DIV/0!</v>
      </c>
      <c r="RPT136" s="367" t="s">
        <v>206</v>
      </c>
      <c r="RPU136" s="367"/>
      <c r="RPV136" s="367"/>
      <c r="RPW136" s="368" t="s">
        <v>168</v>
      </c>
      <c r="RPX136" s="369">
        <v>0.5</v>
      </c>
      <c r="RPY136" s="370" t="e">
        <f>10/RPU134</f>
        <v>#DIV/0!</v>
      </c>
      <c r="RPZ136" s="371">
        <v>15.38</v>
      </c>
      <c r="RQA136" s="371" t="e">
        <f>RPX136*RPY136*RPZ136</f>
        <v>#DIV/0!</v>
      </c>
      <c r="RQB136" s="367" t="s">
        <v>206</v>
      </c>
      <c r="RQC136" s="367"/>
      <c r="RQD136" s="367"/>
      <c r="RQE136" s="368" t="s">
        <v>168</v>
      </c>
      <c r="RQF136" s="369">
        <v>0.5</v>
      </c>
      <c r="RQG136" s="370" t="e">
        <f>10/RQC134</f>
        <v>#DIV/0!</v>
      </c>
      <c r="RQH136" s="371">
        <v>15.38</v>
      </c>
      <c r="RQI136" s="371" t="e">
        <f>RQF136*RQG136*RQH136</f>
        <v>#DIV/0!</v>
      </c>
      <c r="RQJ136" s="367" t="s">
        <v>206</v>
      </c>
      <c r="RQK136" s="367"/>
      <c r="RQL136" s="367"/>
      <c r="RQM136" s="368" t="s">
        <v>168</v>
      </c>
      <c r="RQN136" s="369">
        <v>0.5</v>
      </c>
      <c r="RQO136" s="370" t="e">
        <f>10/RQK134</f>
        <v>#DIV/0!</v>
      </c>
      <c r="RQP136" s="371">
        <v>15.38</v>
      </c>
      <c r="RQQ136" s="371" t="e">
        <f>RQN136*RQO136*RQP136</f>
        <v>#DIV/0!</v>
      </c>
      <c r="RQR136" s="367" t="s">
        <v>206</v>
      </c>
      <c r="RQS136" s="367"/>
      <c r="RQT136" s="367"/>
      <c r="RQU136" s="368" t="s">
        <v>168</v>
      </c>
      <c r="RQV136" s="369">
        <v>0.5</v>
      </c>
      <c r="RQW136" s="370" t="e">
        <f>10/RQS134</f>
        <v>#DIV/0!</v>
      </c>
      <c r="RQX136" s="371">
        <v>15.38</v>
      </c>
      <c r="RQY136" s="371" t="e">
        <f>RQV136*RQW136*RQX136</f>
        <v>#DIV/0!</v>
      </c>
      <c r="RQZ136" s="367" t="s">
        <v>206</v>
      </c>
      <c r="RRA136" s="367"/>
      <c r="RRB136" s="367"/>
      <c r="RRC136" s="368" t="s">
        <v>168</v>
      </c>
      <c r="RRD136" s="369">
        <v>0.5</v>
      </c>
      <c r="RRE136" s="370" t="e">
        <f>10/RRA134</f>
        <v>#DIV/0!</v>
      </c>
      <c r="RRF136" s="371">
        <v>15.38</v>
      </c>
      <c r="RRG136" s="371" t="e">
        <f>RRD136*RRE136*RRF136</f>
        <v>#DIV/0!</v>
      </c>
      <c r="RRH136" s="367" t="s">
        <v>206</v>
      </c>
      <c r="RRI136" s="367"/>
      <c r="RRJ136" s="367"/>
      <c r="RRK136" s="368" t="s">
        <v>168</v>
      </c>
      <c r="RRL136" s="369">
        <v>0.5</v>
      </c>
      <c r="RRM136" s="370" t="e">
        <f>10/RRI134</f>
        <v>#DIV/0!</v>
      </c>
      <c r="RRN136" s="371">
        <v>15.38</v>
      </c>
      <c r="RRO136" s="371" t="e">
        <f>RRL136*RRM136*RRN136</f>
        <v>#DIV/0!</v>
      </c>
      <c r="RRP136" s="367" t="s">
        <v>206</v>
      </c>
      <c r="RRQ136" s="367"/>
      <c r="RRR136" s="367"/>
      <c r="RRS136" s="368" t="s">
        <v>168</v>
      </c>
      <c r="RRT136" s="369">
        <v>0.5</v>
      </c>
      <c r="RRU136" s="370" t="e">
        <f>10/RRQ134</f>
        <v>#DIV/0!</v>
      </c>
      <c r="RRV136" s="371">
        <v>15.38</v>
      </c>
      <c r="RRW136" s="371" t="e">
        <f>RRT136*RRU136*RRV136</f>
        <v>#DIV/0!</v>
      </c>
      <c r="RRX136" s="367" t="s">
        <v>206</v>
      </c>
      <c r="RRY136" s="367"/>
      <c r="RRZ136" s="367"/>
      <c r="RSA136" s="368" t="s">
        <v>168</v>
      </c>
      <c r="RSB136" s="369">
        <v>0.5</v>
      </c>
      <c r="RSC136" s="370" t="e">
        <f>10/RRY134</f>
        <v>#DIV/0!</v>
      </c>
      <c r="RSD136" s="371">
        <v>15.38</v>
      </c>
      <c r="RSE136" s="371" t="e">
        <f>RSB136*RSC136*RSD136</f>
        <v>#DIV/0!</v>
      </c>
      <c r="RSF136" s="367" t="s">
        <v>206</v>
      </c>
      <c r="RSG136" s="367"/>
      <c r="RSH136" s="367"/>
      <c r="RSI136" s="368" t="s">
        <v>168</v>
      </c>
      <c r="RSJ136" s="369">
        <v>0.5</v>
      </c>
      <c r="RSK136" s="370" t="e">
        <f>10/RSG134</f>
        <v>#DIV/0!</v>
      </c>
      <c r="RSL136" s="371">
        <v>15.38</v>
      </c>
      <c r="RSM136" s="371" t="e">
        <f>RSJ136*RSK136*RSL136</f>
        <v>#DIV/0!</v>
      </c>
      <c r="RSN136" s="367" t="s">
        <v>206</v>
      </c>
      <c r="RSO136" s="367"/>
      <c r="RSP136" s="367"/>
      <c r="RSQ136" s="368" t="s">
        <v>168</v>
      </c>
      <c r="RSR136" s="369">
        <v>0.5</v>
      </c>
      <c r="RSS136" s="370" t="e">
        <f>10/RSO134</f>
        <v>#DIV/0!</v>
      </c>
      <c r="RST136" s="371">
        <v>15.38</v>
      </c>
      <c r="RSU136" s="371" t="e">
        <f>RSR136*RSS136*RST136</f>
        <v>#DIV/0!</v>
      </c>
      <c r="RSV136" s="367" t="s">
        <v>206</v>
      </c>
      <c r="RSW136" s="367"/>
      <c r="RSX136" s="367"/>
      <c r="RSY136" s="368" t="s">
        <v>168</v>
      </c>
      <c r="RSZ136" s="369">
        <v>0.5</v>
      </c>
      <c r="RTA136" s="370" t="e">
        <f>10/RSW134</f>
        <v>#DIV/0!</v>
      </c>
      <c r="RTB136" s="371">
        <v>15.38</v>
      </c>
      <c r="RTC136" s="371" t="e">
        <f>RSZ136*RTA136*RTB136</f>
        <v>#DIV/0!</v>
      </c>
      <c r="RTD136" s="367" t="s">
        <v>206</v>
      </c>
      <c r="RTE136" s="367"/>
      <c r="RTF136" s="367"/>
      <c r="RTG136" s="368" t="s">
        <v>168</v>
      </c>
      <c r="RTH136" s="369">
        <v>0.5</v>
      </c>
      <c r="RTI136" s="370" t="e">
        <f>10/RTE134</f>
        <v>#DIV/0!</v>
      </c>
      <c r="RTJ136" s="371">
        <v>15.38</v>
      </c>
      <c r="RTK136" s="371" t="e">
        <f>RTH136*RTI136*RTJ136</f>
        <v>#DIV/0!</v>
      </c>
      <c r="RTL136" s="367" t="s">
        <v>206</v>
      </c>
      <c r="RTM136" s="367"/>
      <c r="RTN136" s="367"/>
      <c r="RTO136" s="368" t="s">
        <v>168</v>
      </c>
      <c r="RTP136" s="369">
        <v>0.5</v>
      </c>
      <c r="RTQ136" s="370" t="e">
        <f>10/RTM134</f>
        <v>#DIV/0!</v>
      </c>
      <c r="RTR136" s="371">
        <v>15.38</v>
      </c>
      <c r="RTS136" s="371" t="e">
        <f>RTP136*RTQ136*RTR136</f>
        <v>#DIV/0!</v>
      </c>
      <c r="RTT136" s="367" t="s">
        <v>206</v>
      </c>
      <c r="RTU136" s="367"/>
      <c r="RTV136" s="367"/>
      <c r="RTW136" s="368" t="s">
        <v>168</v>
      </c>
      <c r="RTX136" s="369">
        <v>0.5</v>
      </c>
      <c r="RTY136" s="370" t="e">
        <f>10/RTU134</f>
        <v>#DIV/0!</v>
      </c>
      <c r="RTZ136" s="371">
        <v>15.38</v>
      </c>
      <c r="RUA136" s="371" t="e">
        <f>RTX136*RTY136*RTZ136</f>
        <v>#DIV/0!</v>
      </c>
      <c r="RUB136" s="367" t="s">
        <v>206</v>
      </c>
      <c r="RUC136" s="367"/>
      <c r="RUD136" s="367"/>
      <c r="RUE136" s="368" t="s">
        <v>168</v>
      </c>
      <c r="RUF136" s="369">
        <v>0.5</v>
      </c>
      <c r="RUG136" s="370" t="e">
        <f>10/RUC134</f>
        <v>#DIV/0!</v>
      </c>
      <c r="RUH136" s="371">
        <v>15.38</v>
      </c>
      <c r="RUI136" s="371" t="e">
        <f>RUF136*RUG136*RUH136</f>
        <v>#DIV/0!</v>
      </c>
      <c r="RUJ136" s="367" t="s">
        <v>206</v>
      </c>
      <c r="RUK136" s="367"/>
      <c r="RUL136" s="367"/>
      <c r="RUM136" s="368" t="s">
        <v>168</v>
      </c>
      <c r="RUN136" s="369">
        <v>0.5</v>
      </c>
      <c r="RUO136" s="370" t="e">
        <f>10/RUK134</f>
        <v>#DIV/0!</v>
      </c>
      <c r="RUP136" s="371">
        <v>15.38</v>
      </c>
      <c r="RUQ136" s="371" t="e">
        <f>RUN136*RUO136*RUP136</f>
        <v>#DIV/0!</v>
      </c>
      <c r="RUR136" s="367" t="s">
        <v>206</v>
      </c>
      <c r="RUS136" s="367"/>
      <c r="RUT136" s="367"/>
      <c r="RUU136" s="368" t="s">
        <v>168</v>
      </c>
      <c r="RUV136" s="369">
        <v>0.5</v>
      </c>
      <c r="RUW136" s="370" t="e">
        <f>10/RUS134</f>
        <v>#DIV/0!</v>
      </c>
      <c r="RUX136" s="371">
        <v>15.38</v>
      </c>
      <c r="RUY136" s="371" t="e">
        <f>RUV136*RUW136*RUX136</f>
        <v>#DIV/0!</v>
      </c>
      <c r="RUZ136" s="367" t="s">
        <v>206</v>
      </c>
      <c r="RVA136" s="367"/>
      <c r="RVB136" s="367"/>
      <c r="RVC136" s="368" t="s">
        <v>168</v>
      </c>
      <c r="RVD136" s="369">
        <v>0.5</v>
      </c>
      <c r="RVE136" s="370" t="e">
        <f>10/RVA134</f>
        <v>#DIV/0!</v>
      </c>
      <c r="RVF136" s="371">
        <v>15.38</v>
      </c>
      <c r="RVG136" s="371" t="e">
        <f>RVD136*RVE136*RVF136</f>
        <v>#DIV/0!</v>
      </c>
      <c r="RVH136" s="367" t="s">
        <v>206</v>
      </c>
      <c r="RVI136" s="367"/>
      <c r="RVJ136" s="367"/>
      <c r="RVK136" s="368" t="s">
        <v>168</v>
      </c>
      <c r="RVL136" s="369">
        <v>0.5</v>
      </c>
      <c r="RVM136" s="370" t="e">
        <f>10/RVI134</f>
        <v>#DIV/0!</v>
      </c>
      <c r="RVN136" s="371">
        <v>15.38</v>
      </c>
      <c r="RVO136" s="371" t="e">
        <f>RVL136*RVM136*RVN136</f>
        <v>#DIV/0!</v>
      </c>
      <c r="RVP136" s="367" t="s">
        <v>206</v>
      </c>
      <c r="RVQ136" s="367"/>
      <c r="RVR136" s="367"/>
      <c r="RVS136" s="368" t="s">
        <v>168</v>
      </c>
      <c r="RVT136" s="369">
        <v>0.5</v>
      </c>
      <c r="RVU136" s="370" t="e">
        <f>10/RVQ134</f>
        <v>#DIV/0!</v>
      </c>
      <c r="RVV136" s="371">
        <v>15.38</v>
      </c>
      <c r="RVW136" s="371" t="e">
        <f>RVT136*RVU136*RVV136</f>
        <v>#DIV/0!</v>
      </c>
      <c r="RVX136" s="367" t="s">
        <v>206</v>
      </c>
      <c r="RVY136" s="367"/>
      <c r="RVZ136" s="367"/>
      <c r="RWA136" s="368" t="s">
        <v>168</v>
      </c>
      <c r="RWB136" s="369">
        <v>0.5</v>
      </c>
      <c r="RWC136" s="370" t="e">
        <f>10/RVY134</f>
        <v>#DIV/0!</v>
      </c>
      <c r="RWD136" s="371">
        <v>15.38</v>
      </c>
      <c r="RWE136" s="371" t="e">
        <f>RWB136*RWC136*RWD136</f>
        <v>#DIV/0!</v>
      </c>
      <c r="RWF136" s="367" t="s">
        <v>206</v>
      </c>
      <c r="RWG136" s="367"/>
      <c r="RWH136" s="367"/>
      <c r="RWI136" s="368" t="s">
        <v>168</v>
      </c>
      <c r="RWJ136" s="369">
        <v>0.5</v>
      </c>
      <c r="RWK136" s="370" t="e">
        <f>10/RWG134</f>
        <v>#DIV/0!</v>
      </c>
      <c r="RWL136" s="371">
        <v>15.38</v>
      </c>
      <c r="RWM136" s="371" t="e">
        <f>RWJ136*RWK136*RWL136</f>
        <v>#DIV/0!</v>
      </c>
      <c r="RWN136" s="367" t="s">
        <v>206</v>
      </c>
      <c r="RWO136" s="367"/>
      <c r="RWP136" s="367"/>
      <c r="RWQ136" s="368" t="s">
        <v>168</v>
      </c>
      <c r="RWR136" s="369">
        <v>0.5</v>
      </c>
      <c r="RWS136" s="370" t="e">
        <f>10/RWO134</f>
        <v>#DIV/0!</v>
      </c>
      <c r="RWT136" s="371">
        <v>15.38</v>
      </c>
      <c r="RWU136" s="371" t="e">
        <f>RWR136*RWS136*RWT136</f>
        <v>#DIV/0!</v>
      </c>
      <c r="RWV136" s="367" t="s">
        <v>206</v>
      </c>
      <c r="RWW136" s="367"/>
      <c r="RWX136" s="367"/>
      <c r="RWY136" s="368" t="s">
        <v>168</v>
      </c>
      <c r="RWZ136" s="369">
        <v>0.5</v>
      </c>
      <c r="RXA136" s="370" t="e">
        <f>10/RWW134</f>
        <v>#DIV/0!</v>
      </c>
      <c r="RXB136" s="371">
        <v>15.38</v>
      </c>
      <c r="RXC136" s="371" t="e">
        <f>RWZ136*RXA136*RXB136</f>
        <v>#DIV/0!</v>
      </c>
      <c r="RXD136" s="367" t="s">
        <v>206</v>
      </c>
      <c r="RXE136" s="367"/>
      <c r="RXF136" s="367"/>
      <c r="RXG136" s="368" t="s">
        <v>168</v>
      </c>
      <c r="RXH136" s="369">
        <v>0.5</v>
      </c>
      <c r="RXI136" s="370" t="e">
        <f>10/RXE134</f>
        <v>#DIV/0!</v>
      </c>
      <c r="RXJ136" s="371">
        <v>15.38</v>
      </c>
      <c r="RXK136" s="371" t="e">
        <f>RXH136*RXI136*RXJ136</f>
        <v>#DIV/0!</v>
      </c>
      <c r="RXL136" s="367" t="s">
        <v>206</v>
      </c>
      <c r="RXM136" s="367"/>
      <c r="RXN136" s="367"/>
      <c r="RXO136" s="368" t="s">
        <v>168</v>
      </c>
      <c r="RXP136" s="369">
        <v>0.5</v>
      </c>
      <c r="RXQ136" s="370" t="e">
        <f>10/RXM134</f>
        <v>#DIV/0!</v>
      </c>
      <c r="RXR136" s="371">
        <v>15.38</v>
      </c>
      <c r="RXS136" s="371" t="e">
        <f>RXP136*RXQ136*RXR136</f>
        <v>#DIV/0!</v>
      </c>
      <c r="RXT136" s="367" t="s">
        <v>206</v>
      </c>
      <c r="RXU136" s="367"/>
      <c r="RXV136" s="367"/>
      <c r="RXW136" s="368" t="s">
        <v>168</v>
      </c>
      <c r="RXX136" s="369">
        <v>0.5</v>
      </c>
      <c r="RXY136" s="370" t="e">
        <f>10/RXU134</f>
        <v>#DIV/0!</v>
      </c>
      <c r="RXZ136" s="371">
        <v>15.38</v>
      </c>
      <c r="RYA136" s="371" t="e">
        <f>RXX136*RXY136*RXZ136</f>
        <v>#DIV/0!</v>
      </c>
      <c r="RYB136" s="367" t="s">
        <v>206</v>
      </c>
      <c r="RYC136" s="367"/>
      <c r="RYD136" s="367"/>
      <c r="RYE136" s="368" t="s">
        <v>168</v>
      </c>
      <c r="RYF136" s="369">
        <v>0.5</v>
      </c>
      <c r="RYG136" s="370" t="e">
        <f>10/RYC134</f>
        <v>#DIV/0!</v>
      </c>
      <c r="RYH136" s="371">
        <v>15.38</v>
      </c>
      <c r="RYI136" s="371" t="e">
        <f>RYF136*RYG136*RYH136</f>
        <v>#DIV/0!</v>
      </c>
      <c r="RYJ136" s="367" t="s">
        <v>206</v>
      </c>
      <c r="RYK136" s="367"/>
      <c r="RYL136" s="367"/>
      <c r="RYM136" s="368" t="s">
        <v>168</v>
      </c>
      <c r="RYN136" s="369">
        <v>0.5</v>
      </c>
      <c r="RYO136" s="370" t="e">
        <f>10/RYK134</f>
        <v>#DIV/0!</v>
      </c>
      <c r="RYP136" s="371">
        <v>15.38</v>
      </c>
      <c r="RYQ136" s="371" t="e">
        <f>RYN136*RYO136*RYP136</f>
        <v>#DIV/0!</v>
      </c>
      <c r="RYR136" s="367" t="s">
        <v>206</v>
      </c>
      <c r="RYS136" s="367"/>
      <c r="RYT136" s="367"/>
      <c r="RYU136" s="368" t="s">
        <v>168</v>
      </c>
      <c r="RYV136" s="369">
        <v>0.5</v>
      </c>
      <c r="RYW136" s="370" t="e">
        <f>10/RYS134</f>
        <v>#DIV/0!</v>
      </c>
      <c r="RYX136" s="371">
        <v>15.38</v>
      </c>
      <c r="RYY136" s="371" t="e">
        <f>RYV136*RYW136*RYX136</f>
        <v>#DIV/0!</v>
      </c>
      <c r="RYZ136" s="367" t="s">
        <v>206</v>
      </c>
      <c r="RZA136" s="367"/>
      <c r="RZB136" s="367"/>
      <c r="RZC136" s="368" t="s">
        <v>168</v>
      </c>
      <c r="RZD136" s="369">
        <v>0.5</v>
      </c>
      <c r="RZE136" s="370" t="e">
        <f>10/RZA134</f>
        <v>#DIV/0!</v>
      </c>
      <c r="RZF136" s="371">
        <v>15.38</v>
      </c>
      <c r="RZG136" s="371" t="e">
        <f>RZD136*RZE136*RZF136</f>
        <v>#DIV/0!</v>
      </c>
      <c r="RZH136" s="367" t="s">
        <v>206</v>
      </c>
      <c r="RZI136" s="367"/>
      <c r="RZJ136" s="367"/>
      <c r="RZK136" s="368" t="s">
        <v>168</v>
      </c>
      <c r="RZL136" s="369">
        <v>0.5</v>
      </c>
      <c r="RZM136" s="370" t="e">
        <f>10/RZI134</f>
        <v>#DIV/0!</v>
      </c>
      <c r="RZN136" s="371">
        <v>15.38</v>
      </c>
      <c r="RZO136" s="371" t="e">
        <f>RZL136*RZM136*RZN136</f>
        <v>#DIV/0!</v>
      </c>
      <c r="RZP136" s="367" t="s">
        <v>206</v>
      </c>
      <c r="RZQ136" s="367"/>
      <c r="RZR136" s="367"/>
      <c r="RZS136" s="368" t="s">
        <v>168</v>
      </c>
      <c r="RZT136" s="369">
        <v>0.5</v>
      </c>
      <c r="RZU136" s="370" t="e">
        <f>10/RZQ134</f>
        <v>#DIV/0!</v>
      </c>
      <c r="RZV136" s="371">
        <v>15.38</v>
      </c>
      <c r="RZW136" s="371" t="e">
        <f>RZT136*RZU136*RZV136</f>
        <v>#DIV/0!</v>
      </c>
      <c r="RZX136" s="367" t="s">
        <v>206</v>
      </c>
      <c r="RZY136" s="367"/>
      <c r="RZZ136" s="367"/>
      <c r="SAA136" s="368" t="s">
        <v>168</v>
      </c>
      <c r="SAB136" s="369">
        <v>0.5</v>
      </c>
      <c r="SAC136" s="370" t="e">
        <f>10/RZY134</f>
        <v>#DIV/0!</v>
      </c>
      <c r="SAD136" s="371">
        <v>15.38</v>
      </c>
      <c r="SAE136" s="371" t="e">
        <f>SAB136*SAC136*SAD136</f>
        <v>#DIV/0!</v>
      </c>
      <c r="SAF136" s="367" t="s">
        <v>206</v>
      </c>
      <c r="SAG136" s="367"/>
      <c r="SAH136" s="367"/>
      <c r="SAI136" s="368" t="s">
        <v>168</v>
      </c>
      <c r="SAJ136" s="369">
        <v>0.5</v>
      </c>
      <c r="SAK136" s="370" t="e">
        <f>10/SAG134</f>
        <v>#DIV/0!</v>
      </c>
      <c r="SAL136" s="371">
        <v>15.38</v>
      </c>
      <c r="SAM136" s="371" t="e">
        <f>SAJ136*SAK136*SAL136</f>
        <v>#DIV/0!</v>
      </c>
      <c r="SAN136" s="367" t="s">
        <v>206</v>
      </c>
      <c r="SAO136" s="367"/>
      <c r="SAP136" s="367"/>
      <c r="SAQ136" s="368" t="s">
        <v>168</v>
      </c>
      <c r="SAR136" s="369">
        <v>0.5</v>
      </c>
      <c r="SAS136" s="370" t="e">
        <f>10/SAO134</f>
        <v>#DIV/0!</v>
      </c>
      <c r="SAT136" s="371">
        <v>15.38</v>
      </c>
      <c r="SAU136" s="371" t="e">
        <f>SAR136*SAS136*SAT136</f>
        <v>#DIV/0!</v>
      </c>
      <c r="SAV136" s="367" t="s">
        <v>206</v>
      </c>
      <c r="SAW136" s="367"/>
      <c r="SAX136" s="367"/>
      <c r="SAY136" s="368" t="s">
        <v>168</v>
      </c>
      <c r="SAZ136" s="369">
        <v>0.5</v>
      </c>
      <c r="SBA136" s="370" t="e">
        <f>10/SAW134</f>
        <v>#DIV/0!</v>
      </c>
      <c r="SBB136" s="371">
        <v>15.38</v>
      </c>
      <c r="SBC136" s="371" t="e">
        <f>SAZ136*SBA136*SBB136</f>
        <v>#DIV/0!</v>
      </c>
      <c r="SBD136" s="367" t="s">
        <v>206</v>
      </c>
      <c r="SBE136" s="367"/>
      <c r="SBF136" s="367"/>
      <c r="SBG136" s="368" t="s">
        <v>168</v>
      </c>
      <c r="SBH136" s="369">
        <v>0.5</v>
      </c>
      <c r="SBI136" s="370" t="e">
        <f>10/SBE134</f>
        <v>#DIV/0!</v>
      </c>
      <c r="SBJ136" s="371">
        <v>15.38</v>
      </c>
      <c r="SBK136" s="371" t="e">
        <f>SBH136*SBI136*SBJ136</f>
        <v>#DIV/0!</v>
      </c>
      <c r="SBL136" s="367" t="s">
        <v>206</v>
      </c>
      <c r="SBM136" s="367"/>
      <c r="SBN136" s="367"/>
      <c r="SBO136" s="368" t="s">
        <v>168</v>
      </c>
      <c r="SBP136" s="369">
        <v>0.5</v>
      </c>
      <c r="SBQ136" s="370" t="e">
        <f>10/SBM134</f>
        <v>#DIV/0!</v>
      </c>
      <c r="SBR136" s="371">
        <v>15.38</v>
      </c>
      <c r="SBS136" s="371" t="e">
        <f>SBP136*SBQ136*SBR136</f>
        <v>#DIV/0!</v>
      </c>
      <c r="SBT136" s="367" t="s">
        <v>206</v>
      </c>
      <c r="SBU136" s="367"/>
      <c r="SBV136" s="367"/>
      <c r="SBW136" s="368" t="s">
        <v>168</v>
      </c>
      <c r="SBX136" s="369">
        <v>0.5</v>
      </c>
      <c r="SBY136" s="370" t="e">
        <f>10/SBU134</f>
        <v>#DIV/0!</v>
      </c>
      <c r="SBZ136" s="371">
        <v>15.38</v>
      </c>
      <c r="SCA136" s="371" t="e">
        <f>SBX136*SBY136*SBZ136</f>
        <v>#DIV/0!</v>
      </c>
      <c r="SCB136" s="367" t="s">
        <v>206</v>
      </c>
      <c r="SCC136" s="367"/>
      <c r="SCD136" s="367"/>
      <c r="SCE136" s="368" t="s">
        <v>168</v>
      </c>
      <c r="SCF136" s="369">
        <v>0.5</v>
      </c>
      <c r="SCG136" s="370" t="e">
        <f>10/SCC134</f>
        <v>#DIV/0!</v>
      </c>
      <c r="SCH136" s="371">
        <v>15.38</v>
      </c>
      <c r="SCI136" s="371" t="e">
        <f>SCF136*SCG136*SCH136</f>
        <v>#DIV/0!</v>
      </c>
      <c r="SCJ136" s="367" t="s">
        <v>206</v>
      </c>
      <c r="SCK136" s="367"/>
      <c r="SCL136" s="367"/>
      <c r="SCM136" s="368" t="s">
        <v>168</v>
      </c>
      <c r="SCN136" s="369">
        <v>0.5</v>
      </c>
      <c r="SCO136" s="370" t="e">
        <f>10/SCK134</f>
        <v>#DIV/0!</v>
      </c>
      <c r="SCP136" s="371">
        <v>15.38</v>
      </c>
      <c r="SCQ136" s="371" t="e">
        <f>SCN136*SCO136*SCP136</f>
        <v>#DIV/0!</v>
      </c>
      <c r="SCR136" s="367" t="s">
        <v>206</v>
      </c>
      <c r="SCS136" s="367"/>
      <c r="SCT136" s="367"/>
      <c r="SCU136" s="368" t="s">
        <v>168</v>
      </c>
      <c r="SCV136" s="369">
        <v>0.5</v>
      </c>
      <c r="SCW136" s="370" t="e">
        <f>10/SCS134</f>
        <v>#DIV/0!</v>
      </c>
      <c r="SCX136" s="371">
        <v>15.38</v>
      </c>
      <c r="SCY136" s="371" t="e">
        <f>SCV136*SCW136*SCX136</f>
        <v>#DIV/0!</v>
      </c>
      <c r="SCZ136" s="367" t="s">
        <v>206</v>
      </c>
      <c r="SDA136" s="367"/>
      <c r="SDB136" s="367"/>
      <c r="SDC136" s="368" t="s">
        <v>168</v>
      </c>
      <c r="SDD136" s="369">
        <v>0.5</v>
      </c>
      <c r="SDE136" s="370" t="e">
        <f>10/SDA134</f>
        <v>#DIV/0!</v>
      </c>
      <c r="SDF136" s="371">
        <v>15.38</v>
      </c>
      <c r="SDG136" s="371" t="e">
        <f>SDD136*SDE136*SDF136</f>
        <v>#DIV/0!</v>
      </c>
      <c r="SDH136" s="367" t="s">
        <v>206</v>
      </c>
      <c r="SDI136" s="367"/>
      <c r="SDJ136" s="367"/>
      <c r="SDK136" s="368" t="s">
        <v>168</v>
      </c>
      <c r="SDL136" s="369">
        <v>0.5</v>
      </c>
      <c r="SDM136" s="370" t="e">
        <f>10/SDI134</f>
        <v>#DIV/0!</v>
      </c>
      <c r="SDN136" s="371">
        <v>15.38</v>
      </c>
      <c r="SDO136" s="371" t="e">
        <f>SDL136*SDM136*SDN136</f>
        <v>#DIV/0!</v>
      </c>
      <c r="SDP136" s="367" t="s">
        <v>206</v>
      </c>
      <c r="SDQ136" s="367"/>
      <c r="SDR136" s="367"/>
      <c r="SDS136" s="368" t="s">
        <v>168</v>
      </c>
      <c r="SDT136" s="369">
        <v>0.5</v>
      </c>
      <c r="SDU136" s="370" t="e">
        <f>10/SDQ134</f>
        <v>#DIV/0!</v>
      </c>
      <c r="SDV136" s="371">
        <v>15.38</v>
      </c>
      <c r="SDW136" s="371" t="e">
        <f>SDT136*SDU136*SDV136</f>
        <v>#DIV/0!</v>
      </c>
      <c r="SDX136" s="367" t="s">
        <v>206</v>
      </c>
      <c r="SDY136" s="367"/>
      <c r="SDZ136" s="367"/>
      <c r="SEA136" s="368" t="s">
        <v>168</v>
      </c>
      <c r="SEB136" s="369">
        <v>0.5</v>
      </c>
      <c r="SEC136" s="370" t="e">
        <f>10/SDY134</f>
        <v>#DIV/0!</v>
      </c>
      <c r="SED136" s="371">
        <v>15.38</v>
      </c>
      <c r="SEE136" s="371" t="e">
        <f>SEB136*SEC136*SED136</f>
        <v>#DIV/0!</v>
      </c>
      <c r="SEF136" s="367" t="s">
        <v>206</v>
      </c>
      <c r="SEG136" s="367"/>
      <c r="SEH136" s="367"/>
      <c r="SEI136" s="368" t="s">
        <v>168</v>
      </c>
      <c r="SEJ136" s="369">
        <v>0.5</v>
      </c>
      <c r="SEK136" s="370" t="e">
        <f>10/SEG134</f>
        <v>#DIV/0!</v>
      </c>
      <c r="SEL136" s="371">
        <v>15.38</v>
      </c>
      <c r="SEM136" s="371" t="e">
        <f>SEJ136*SEK136*SEL136</f>
        <v>#DIV/0!</v>
      </c>
      <c r="SEN136" s="367" t="s">
        <v>206</v>
      </c>
      <c r="SEO136" s="367"/>
      <c r="SEP136" s="367"/>
      <c r="SEQ136" s="368" t="s">
        <v>168</v>
      </c>
      <c r="SER136" s="369">
        <v>0.5</v>
      </c>
      <c r="SES136" s="370" t="e">
        <f>10/SEO134</f>
        <v>#DIV/0!</v>
      </c>
      <c r="SET136" s="371">
        <v>15.38</v>
      </c>
      <c r="SEU136" s="371" t="e">
        <f>SER136*SES136*SET136</f>
        <v>#DIV/0!</v>
      </c>
      <c r="SEV136" s="367" t="s">
        <v>206</v>
      </c>
      <c r="SEW136" s="367"/>
      <c r="SEX136" s="367"/>
      <c r="SEY136" s="368" t="s">
        <v>168</v>
      </c>
      <c r="SEZ136" s="369">
        <v>0.5</v>
      </c>
      <c r="SFA136" s="370" t="e">
        <f>10/SEW134</f>
        <v>#DIV/0!</v>
      </c>
      <c r="SFB136" s="371">
        <v>15.38</v>
      </c>
      <c r="SFC136" s="371" t="e">
        <f>SEZ136*SFA136*SFB136</f>
        <v>#DIV/0!</v>
      </c>
      <c r="SFD136" s="367" t="s">
        <v>206</v>
      </c>
      <c r="SFE136" s="367"/>
      <c r="SFF136" s="367"/>
      <c r="SFG136" s="368" t="s">
        <v>168</v>
      </c>
      <c r="SFH136" s="369">
        <v>0.5</v>
      </c>
      <c r="SFI136" s="370" t="e">
        <f>10/SFE134</f>
        <v>#DIV/0!</v>
      </c>
      <c r="SFJ136" s="371">
        <v>15.38</v>
      </c>
      <c r="SFK136" s="371" t="e">
        <f>SFH136*SFI136*SFJ136</f>
        <v>#DIV/0!</v>
      </c>
      <c r="SFL136" s="367" t="s">
        <v>206</v>
      </c>
      <c r="SFM136" s="367"/>
      <c r="SFN136" s="367"/>
      <c r="SFO136" s="368" t="s">
        <v>168</v>
      </c>
      <c r="SFP136" s="369">
        <v>0.5</v>
      </c>
      <c r="SFQ136" s="370" t="e">
        <f>10/SFM134</f>
        <v>#DIV/0!</v>
      </c>
      <c r="SFR136" s="371">
        <v>15.38</v>
      </c>
      <c r="SFS136" s="371" t="e">
        <f>SFP136*SFQ136*SFR136</f>
        <v>#DIV/0!</v>
      </c>
      <c r="SFT136" s="367" t="s">
        <v>206</v>
      </c>
      <c r="SFU136" s="367"/>
      <c r="SFV136" s="367"/>
      <c r="SFW136" s="368" t="s">
        <v>168</v>
      </c>
      <c r="SFX136" s="369">
        <v>0.5</v>
      </c>
      <c r="SFY136" s="370" t="e">
        <f>10/SFU134</f>
        <v>#DIV/0!</v>
      </c>
      <c r="SFZ136" s="371">
        <v>15.38</v>
      </c>
      <c r="SGA136" s="371" t="e">
        <f>SFX136*SFY136*SFZ136</f>
        <v>#DIV/0!</v>
      </c>
      <c r="SGB136" s="367" t="s">
        <v>206</v>
      </c>
      <c r="SGC136" s="367"/>
      <c r="SGD136" s="367"/>
      <c r="SGE136" s="368" t="s">
        <v>168</v>
      </c>
      <c r="SGF136" s="369">
        <v>0.5</v>
      </c>
      <c r="SGG136" s="370" t="e">
        <f>10/SGC134</f>
        <v>#DIV/0!</v>
      </c>
      <c r="SGH136" s="371">
        <v>15.38</v>
      </c>
      <c r="SGI136" s="371" t="e">
        <f>SGF136*SGG136*SGH136</f>
        <v>#DIV/0!</v>
      </c>
      <c r="SGJ136" s="367" t="s">
        <v>206</v>
      </c>
      <c r="SGK136" s="367"/>
      <c r="SGL136" s="367"/>
      <c r="SGM136" s="368" t="s">
        <v>168</v>
      </c>
      <c r="SGN136" s="369">
        <v>0.5</v>
      </c>
      <c r="SGO136" s="370" t="e">
        <f>10/SGK134</f>
        <v>#DIV/0!</v>
      </c>
      <c r="SGP136" s="371">
        <v>15.38</v>
      </c>
      <c r="SGQ136" s="371" t="e">
        <f>SGN136*SGO136*SGP136</f>
        <v>#DIV/0!</v>
      </c>
      <c r="SGR136" s="367" t="s">
        <v>206</v>
      </c>
      <c r="SGS136" s="367"/>
      <c r="SGT136" s="367"/>
      <c r="SGU136" s="368" t="s">
        <v>168</v>
      </c>
      <c r="SGV136" s="369">
        <v>0.5</v>
      </c>
      <c r="SGW136" s="370" t="e">
        <f>10/SGS134</f>
        <v>#DIV/0!</v>
      </c>
      <c r="SGX136" s="371">
        <v>15.38</v>
      </c>
      <c r="SGY136" s="371" t="e">
        <f>SGV136*SGW136*SGX136</f>
        <v>#DIV/0!</v>
      </c>
      <c r="SGZ136" s="367" t="s">
        <v>206</v>
      </c>
      <c r="SHA136" s="367"/>
      <c r="SHB136" s="367"/>
      <c r="SHC136" s="368" t="s">
        <v>168</v>
      </c>
      <c r="SHD136" s="369">
        <v>0.5</v>
      </c>
      <c r="SHE136" s="370" t="e">
        <f>10/SHA134</f>
        <v>#DIV/0!</v>
      </c>
      <c r="SHF136" s="371">
        <v>15.38</v>
      </c>
      <c r="SHG136" s="371" t="e">
        <f>SHD136*SHE136*SHF136</f>
        <v>#DIV/0!</v>
      </c>
      <c r="SHH136" s="367" t="s">
        <v>206</v>
      </c>
      <c r="SHI136" s="367"/>
      <c r="SHJ136" s="367"/>
      <c r="SHK136" s="368" t="s">
        <v>168</v>
      </c>
      <c r="SHL136" s="369">
        <v>0.5</v>
      </c>
      <c r="SHM136" s="370" t="e">
        <f>10/SHI134</f>
        <v>#DIV/0!</v>
      </c>
      <c r="SHN136" s="371">
        <v>15.38</v>
      </c>
      <c r="SHO136" s="371" t="e">
        <f>SHL136*SHM136*SHN136</f>
        <v>#DIV/0!</v>
      </c>
      <c r="SHP136" s="367" t="s">
        <v>206</v>
      </c>
      <c r="SHQ136" s="367"/>
      <c r="SHR136" s="367"/>
      <c r="SHS136" s="368" t="s">
        <v>168</v>
      </c>
      <c r="SHT136" s="369">
        <v>0.5</v>
      </c>
      <c r="SHU136" s="370" t="e">
        <f>10/SHQ134</f>
        <v>#DIV/0!</v>
      </c>
      <c r="SHV136" s="371">
        <v>15.38</v>
      </c>
      <c r="SHW136" s="371" t="e">
        <f>SHT136*SHU136*SHV136</f>
        <v>#DIV/0!</v>
      </c>
      <c r="SHX136" s="367" t="s">
        <v>206</v>
      </c>
      <c r="SHY136" s="367"/>
      <c r="SHZ136" s="367"/>
      <c r="SIA136" s="368" t="s">
        <v>168</v>
      </c>
      <c r="SIB136" s="369">
        <v>0.5</v>
      </c>
      <c r="SIC136" s="370" t="e">
        <f>10/SHY134</f>
        <v>#DIV/0!</v>
      </c>
      <c r="SID136" s="371">
        <v>15.38</v>
      </c>
      <c r="SIE136" s="371" t="e">
        <f>SIB136*SIC136*SID136</f>
        <v>#DIV/0!</v>
      </c>
      <c r="SIF136" s="367" t="s">
        <v>206</v>
      </c>
      <c r="SIG136" s="367"/>
      <c r="SIH136" s="367"/>
      <c r="SII136" s="368" t="s">
        <v>168</v>
      </c>
      <c r="SIJ136" s="369">
        <v>0.5</v>
      </c>
      <c r="SIK136" s="370" t="e">
        <f>10/SIG134</f>
        <v>#DIV/0!</v>
      </c>
      <c r="SIL136" s="371">
        <v>15.38</v>
      </c>
      <c r="SIM136" s="371" t="e">
        <f>SIJ136*SIK136*SIL136</f>
        <v>#DIV/0!</v>
      </c>
      <c r="SIN136" s="367" t="s">
        <v>206</v>
      </c>
      <c r="SIO136" s="367"/>
      <c r="SIP136" s="367"/>
      <c r="SIQ136" s="368" t="s">
        <v>168</v>
      </c>
      <c r="SIR136" s="369">
        <v>0.5</v>
      </c>
      <c r="SIS136" s="370" t="e">
        <f>10/SIO134</f>
        <v>#DIV/0!</v>
      </c>
      <c r="SIT136" s="371">
        <v>15.38</v>
      </c>
      <c r="SIU136" s="371" t="e">
        <f>SIR136*SIS136*SIT136</f>
        <v>#DIV/0!</v>
      </c>
      <c r="SIV136" s="367" t="s">
        <v>206</v>
      </c>
      <c r="SIW136" s="367"/>
      <c r="SIX136" s="367"/>
      <c r="SIY136" s="368" t="s">
        <v>168</v>
      </c>
      <c r="SIZ136" s="369">
        <v>0.5</v>
      </c>
      <c r="SJA136" s="370" t="e">
        <f>10/SIW134</f>
        <v>#DIV/0!</v>
      </c>
      <c r="SJB136" s="371">
        <v>15.38</v>
      </c>
      <c r="SJC136" s="371" t="e">
        <f>SIZ136*SJA136*SJB136</f>
        <v>#DIV/0!</v>
      </c>
      <c r="SJD136" s="367" t="s">
        <v>206</v>
      </c>
      <c r="SJE136" s="367"/>
      <c r="SJF136" s="367"/>
      <c r="SJG136" s="368" t="s">
        <v>168</v>
      </c>
      <c r="SJH136" s="369">
        <v>0.5</v>
      </c>
      <c r="SJI136" s="370" t="e">
        <f>10/SJE134</f>
        <v>#DIV/0!</v>
      </c>
      <c r="SJJ136" s="371">
        <v>15.38</v>
      </c>
      <c r="SJK136" s="371" t="e">
        <f>SJH136*SJI136*SJJ136</f>
        <v>#DIV/0!</v>
      </c>
      <c r="SJL136" s="367" t="s">
        <v>206</v>
      </c>
      <c r="SJM136" s="367"/>
      <c r="SJN136" s="367"/>
      <c r="SJO136" s="368" t="s">
        <v>168</v>
      </c>
      <c r="SJP136" s="369">
        <v>0.5</v>
      </c>
      <c r="SJQ136" s="370" t="e">
        <f>10/SJM134</f>
        <v>#DIV/0!</v>
      </c>
      <c r="SJR136" s="371">
        <v>15.38</v>
      </c>
      <c r="SJS136" s="371" t="e">
        <f>SJP136*SJQ136*SJR136</f>
        <v>#DIV/0!</v>
      </c>
      <c r="SJT136" s="367" t="s">
        <v>206</v>
      </c>
      <c r="SJU136" s="367"/>
      <c r="SJV136" s="367"/>
      <c r="SJW136" s="368" t="s">
        <v>168</v>
      </c>
      <c r="SJX136" s="369">
        <v>0.5</v>
      </c>
      <c r="SJY136" s="370" t="e">
        <f>10/SJU134</f>
        <v>#DIV/0!</v>
      </c>
      <c r="SJZ136" s="371">
        <v>15.38</v>
      </c>
      <c r="SKA136" s="371" t="e">
        <f>SJX136*SJY136*SJZ136</f>
        <v>#DIV/0!</v>
      </c>
      <c r="SKB136" s="367" t="s">
        <v>206</v>
      </c>
      <c r="SKC136" s="367"/>
      <c r="SKD136" s="367"/>
      <c r="SKE136" s="368" t="s">
        <v>168</v>
      </c>
      <c r="SKF136" s="369">
        <v>0.5</v>
      </c>
      <c r="SKG136" s="370" t="e">
        <f>10/SKC134</f>
        <v>#DIV/0!</v>
      </c>
      <c r="SKH136" s="371">
        <v>15.38</v>
      </c>
      <c r="SKI136" s="371" t="e">
        <f>SKF136*SKG136*SKH136</f>
        <v>#DIV/0!</v>
      </c>
      <c r="SKJ136" s="367" t="s">
        <v>206</v>
      </c>
      <c r="SKK136" s="367"/>
      <c r="SKL136" s="367"/>
      <c r="SKM136" s="368" t="s">
        <v>168</v>
      </c>
      <c r="SKN136" s="369">
        <v>0.5</v>
      </c>
      <c r="SKO136" s="370" t="e">
        <f>10/SKK134</f>
        <v>#DIV/0!</v>
      </c>
      <c r="SKP136" s="371">
        <v>15.38</v>
      </c>
      <c r="SKQ136" s="371" t="e">
        <f>SKN136*SKO136*SKP136</f>
        <v>#DIV/0!</v>
      </c>
      <c r="SKR136" s="367" t="s">
        <v>206</v>
      </c>
      <c r="SKS136" s="367"/>
      <c r="SKT136" s="367"/>
      <c r="SKU136" s="368" t="s">
        <v>168</v>
      </c>
      <c r="SKV136" s="369">
        <v>0.5</v>
      </c>
      <c r="SKW136" s="370" t="e">
        <f>10/SKS134</f>
        <v>#DIV/0!</v>
      </c>
      <c r="SKX136" s="371">
        <v>15.38</v>
      </c>
      <c r="SKY136" s="371" t="e">
        <f>SKV136*SKW136*SKX136</f>
        <v>#DIV/0!</v>
      </c>
      <c r="SKZ136" s="367" t="s">
        <v>206</v>
      </c>
      <c r="SLA136" s="367"/>
      <c r="SLB136" s="367"/>
      <c r="SLC136" s="368" t="s">
        <v>168</v>
      </c>
      <c r="SLD136" s="369">
        <v>0.5</v>
      </c>
      <c r="SLE136" s="370" t="e">
        <f>10/SLA134</f>
        <v>#DIV/0!</v>
      </c>
      <c r="SLF136" s="371">
        <v>15.38</v>
      </c>
      <c r="SLG136" s="371" t="e">
        <f>SLD136*SLE136*SLF136</f>
        <v>#DIV/0!</v>
      </c>
      <c r="SLH136" s="367" t="s">
        <v>206</v>
      </c>
      <c r="SLI136" s="367"/>
      <c r="SLJ136" s="367"/>
      <c r="SLK136" s="368" t="s">
        <v>168</v>
      </c>
      <c r="SLL136" s="369">
        <v>0.5</v>
      </c>
      <c r="SLM136" s="370" t="e">
        <f>10/SLI134</f>
        <v>#DIV/0!</v>
      </c>
      <c r="SLN136" s="371">
        <v>15.38</v>
      </c>
      <c r="SLO136" s="371" t="e">
        <f>SLL136*SLM136*SLN136</f>
        <v>#DIV/0!</v>
      </c>
      <c r="SLP136" s="367" t="s">
        <v>206</v>
      </c>
      <c r="SLQ136" s="367"/>
      <c r="SLR136" s="367"/>
      <c r="SLS136" s="368" t="s">
        <v>168</v>
      </c>
      <c r="SLT136" s="369">
        <v>0.5</v>
      </c>
      <c r="SLU136" s="370" t="e">
        <f>10/SLQ134</f>
        <v>#DIV/0!</v>
      </c>
      <c r="SLV136" s="371">
        <v>15.38</v>
      </c>
      <c r="SLW136" s="371" t="e">
        <f>SLT136*SLU136*SLV136</f>
        <v>#DIV/0!</v>
      </c>
      <c r="SLX136" s="367" t="s">
        <v>206</v>
      </c>
      <c r="SLY136" s="367"/>
      <c r="SLZ136" s="367"/>
      <c r="SMA136" s="368" t="s">
        <v>168</v>
      </c>
      <c r="SMB136" s="369">
        <v>0.5</v>
      </c>
      <c r="SMC136" s="370" t="e">
        <f>10/SLY134</f>
        <v>#DIV/0!</v>
      </c>
      <c r="SMD136" s="371">
        <v>15.38</v>
      </c>
      <c r="SME136" s="371" t="e">
        <f>SMB136*SMC136*SMD136</f>
        <v>#DIV/0!</v>
      </c>
      <c r="SMF136" s="367" t="s">
        <v>206</v>
      </c>
      <c r="SMG136" s="367"/>
      <c r="SMH136" s="367"/>
      <c r="SMI136" s="368" t="s">
        <v>168</v>
      </c>
      <c r="SMJ136" s="369">
        <v>0.5</v>
      </c>
      <c r="SMK136" s="370" t="e">
        <f>10/SMG134</f>
        <v>#DIV/0!</v>
      </c>
      <c r="SML136" s="371">
        <v>15.38</v>
      </c>
      <c r="SMM136" s="371" t="e">
        <f>SMJ136*SMK136*SML136</f>
        <v>#DIV/0!</v>
      </c>
      <c r="SMN136" s="367" t="s">
        <v>206</v>
      </c>
      <c r="SMO136" s="367"/>
      <c r="SMP136" s="367"/>
      <c r="SMQ136" s="368" t="s">
        <v>168</v>
      </c>
      <c r="SMR136" s="369">
        <v>0.5</v>
      </c>
      <c r="SMS136" s="370" t="e">
        <f>10/SMO134</f>
        <v>#DIV/0!</v>
      </c>
      <c r="SMT136" s="371">
        <v>15.38</v>
      </c>
      <c r="SMU136" s="371" t="e">
        <f>SMR136*SMS136*SMT136</f>
        <v>#DIV/0!</v>
      </c>
      <c r="SMV136" s="367" t="s">
        <v>206</v>
      </c>
      <c r="SMW136" s="367"/>
      <c r="SMX136" s="367"/>
      <c r="SMY136" s="368" t="s">
        <v>168</v>
      </c>
      <c r="SMZ136" s="369">
        <v>0.5</v>
      </c>
      <c r="SNA136" s="370" t="e">
        <f>10/SMW134</f>
        <v>#DIV/0!</v>
      </c>
      <c r="SNB136" s="371">
        <v>15.38</v>
      </c>
      <c r="SNC136" s="371" t="e">
        <f>SMZ136*SNA136*SNB136</f>
        <v>#DIV/0!</v>
      </c>
      <c r="SND136" s="367" t="s">
        <v>206</v>
      </c>
      <c r="SNE136" s="367"/>
      <c r="SNF136" s="367"/>
      <c r="SNG136" s="368" t="s">
        <v>168</v>
      </c>
      <c r="SNH136" s="369">
        <v>0.5</v>
      </c>
      <c r="SNI136" s="370" t="e">
        <f>10/SNE134</f>
        <v>#DIV/0!</v>
      </c>
      <c r="SNJ136" s="371">
        <v>15.38</v>
      </c>
      <c r="SNK136" s="371" t="e">
        <f>SNH136*SNI136*SNJ136</f>
        <v>#DIV/0!</v>
      </c>
      <c r="SNL136" s="367" t="s">
        <v>206</v>
      </c>
      <c r="SNM136" s="367"/>
      <c r="SNN136" s="367"/>
      <c r="SNO136" s="368" t="s">
        <v>168</v>
      </c>
      <c r="SNP136" s="369">
        <v>0.5</v>
      </c>
      <c r="SNQ136" s="370" t="e">
        <f>10/SNM134</f>
        <v>#DIV/0!</v>
      </c>
      <c r="SNR136" s="371">
        <v>15.38</v>
      </c>
      <c r="SNS136" s="371" t="e">
        <f>SNP136*SNQ136*SNR136</f>
        <v>#DIV/0!</v>
      </c>
      <c r="SNT136" s="367" t="s">
        <v>206</v>
      </c>
      <c r="SNU136" s="367"/>
      <c r="SNV136" s="367"/>
      <c r="SNW136" s="368" t="s">
        <v>168</v>
      </c>
      <c r="SNX136" s="369">
        <v>0.5</v>
      </c>
      <c r="SNY136" s="370" t="e">
        <f>10/SNU134</f>
        <v>#DIV/0!</v>
      </c>
      <c r="SNZ136" s="371">
        <v>15.38</v>
      </c>
      <c r="SOA136" s="371" t="e">
        <f>SNX136*SNY136*SNZ136</f>
        <v>#DIV/0!</v>
      </c>
      <c r="SOB136" s="367" t="s">
        <v>206</v>
      </c>
      <c r="SOC136" s="367"/>
      <c r="SOD136" s="367"/>
      <c r="SOE136" s="368" t="s">
        <v>168</v>
      </c>
      <c r="SOF136" s="369">
        <v>0.5</v>
      </c>
      <c r="SOG136" s="370" t="e">
        <f>10/SOC134</f>
        <v>#DIV/0!</v>
      </c>
      <c r="SOH136" s="371">
        <v>15.38</v>
      </c>
      <c r="SOI136" s="371" t="e">
        <f>SOF136*SOG136*SOH136</f>
        <v>#DIV/0!</v>
      </c>
      <c r="SOJ136" s="367" t="s">
        <v>206</v>
      </c>
      <c r="SOK136" s="367"/>
      <c r="SOL136" s="367"/>
      <c r="SOM136" s="368" t="s">
        <v>168</v>
      </c>
      <c r="SON136" s="369">
        <v>0.5</v>
      </c>
      <c r="SOO136" s="370" t="e">
        <f>10/SOK134</f>
        <v>#DIV/0!</v>
      </c>
      <c r="SOP136" s="371">
        <v>15.38</v>
      </c>
      <c r="SOQ136" s="371" t="e">
        <f>SON136*SOO136*SOP136</f>
        <v>#DIV/0!</v>
      </c>
      <c r="SOR136" s="367" t="s">
        <v>206</v>
      </c>
      <c r="SOS136" s="367"/>
      <c r="SOT136" s="367"/>
      <c r="SOU136" s="368" t="s">
        <v>168</v>
      </c>
      <c r="SOV136" s="369">
        <v>0.5</v>
      </c>
      <c r="SOW136" s="370" t="e">
        <f>10/SOS134</f>
        <v>#DIV/0!</v>
      </c>
      <c r="SOX136" s="371">
        <v>15.38</v>
      </c>
      <c r="SOY136" s="371" t="e">
        <f>SOV136*SOW136*SOX136</f>
        <v>#DIV/0!</v>
      </c>
      <c r="SOZ136" s="367" t="s">
        <v>206</v>
      </c>
      <c r="SPA136" s="367"/>
      <c r="SPB136" s="367"/>
      <c r="SPC136" s="368" t="s">
        <v>168</v>
      </c>
      <c r="SPD136" s="369">
        <v>0.5</v>
      </c>
      <c r="SPE136" s="370" t="e">
        <f>10/SPA134</f>
        <v>#DIV/0!</v>
      </c>
      <c r="SPF136" s="371">
        <v>15.38</v>
      </c>
      <c r="SPG136" s="371" t="e">
        <f>SPD136*SPE136*SPF136</f>
        <v>#DIV/0!</v>
      </c>
      <c r="SPH136" s="367" t="s">
        <v>206</v>
      </c>
      <c r="SPI136" s="367"/>
      <c r="SPJ136" s="367"/>
      <c r="SPK136" s="368" t="s">
        <v>168</v>
      </c>
      <c r="SPL136" s="369">
        <v>0.5</v>
      </c>
      <c r="SPM136" s="370" t="e">
        <f>10/SPI134</f>
        <v>#DIV/0!</v>
      </c>
      <c r="SPN136" s="371">
        <v>15.38</v>
      </c>
      <c r="SPO136" s="371" t="e">
        <f>SPL136*SPM136*SPN136</f>
        <v>#DIV/0!</v>
      </c>
      <c r="SPP136" s="367" t="s">
        <v>206</v>
      </c>
      <c r="SPQ136" s="367"/>
      <c r="SPR136" s="367"/>
      <c r="SPS136" s="368" t="s">
        <v>168</v>
      </c>
      <c r="SPT136" s="369">
        <v>0.5</v>
      </c>
      <c r="SPU136" s="370" t="e">
        <f>10/SPQ134</f>
        <v>#DIV/0!</v>
      </c>
      <c r="SPV136" s="371">
        <v>15.38</v>
      </c>
      <c r="SPW136" s="371" t="e">
        <f>SPT136*SPU136*SPV136</f>
        <v>#DIV/0!</v>
      </c>
      <c r="SPX136" s="367" t="s">
        <v>206</v>
      </c>
      <c r="SPY136" s="367"/>
      <c r="SPZ136" s="367"/>
      <c r="SQA136" s="368" t="s">
        <v>168</v>
      </c>
      <c r="SQB136" s="369">
        <v>0.5</v>
      </c>
      <c r="SQC136" s="370" t="e">
        <f>10/SPY134</f>
        <v>#DIV/0!</v>
      </c>
      <c r="SQD136" s="371">
        <v>15.38</v>
      </c>
      <c r="SQE136" s="371" t="e">
        <f>SQB136*SQC136*SQD136</f>
        <v>#DIV/0!</v>
      </c>
      <c r="SQF136" s="367" t="s">
        <v>206</v>
      </c>
      <c r="SQG136" s="367"/>
      <c r="SQH136" s="367"/>
      <c r="SQI136" s="368" t="s">
        <v>168</v>
      </c>
      <c r="SQJ136" s="369">
        <v>0.5</v>
      </c>
      <c r="SQK136" s="370" t="e">
        <f>10/SQG134</f>
        <v>#DIV/0!</v>
      </c>
      <c r="SQL136" s="371">
        <v>15.38</v>
      </c>
      <c r="SQM136" s="371" t="e">
        <f>SQJ136*SQK136*SQL136</f>
        <v>#DIV/0!</v>
      </c>
      <c r="SQN136" s="367" t="s">
        <v>206</v>
      </c>
      <c r="SQO136" s="367"/>
      <c r="SQP136" s="367"/>
      <c r="SQQ136" s="368" t="s">
        <v>168</v>
      </c>
      <c r="SQR136" s="369">
        <v>0.5</v>
      </c>
      <c r="SQS136" s="370" t="e">
        <f>10/SQO134</f>
        <v>#DIV/0!</v>
      </c>
      <c r="SQT136" s="371">
        <v>15.38</v>
      </c>
      <c r="SQU136" s="371" t="e">
        <f>SQR136*SQS136*SQT136</f>
        <v>#DIV/0!</v>
      </c>
      <c r="SQV136" s="367" t="s">
        <v>206</v>
      </c>
      <c r="SQW136" s="367"/>
      <c r="SQX136" s="367"/>
      <c r="SQY136" s="368" t="s">
        <v>168</v>
      </c>
      <c r="SQZ136" s="369">
        <v>0.5</v>
      </c>
      <c r="SRA136" s="370" t="e">
        <f>10/SQW134</f>
        <v>#DIV/0!</v>
      </c>
      <c r="SRB136" s="371">
        <v>15.38</v>
      </c>
      <c r="SRC136" s="371" t="e">
        <f>SQZ136*SRA136*SRB136</f>
        <v>#DIV/0!</v>
      </c>
      <c r="SRD136" s="367" t="s">
        <v>206</v>
      </c>
      <c r="SRE136" s="367"/>
      <c r="SRF136" s="367"/>
      <c r="SRG136" s="368" t="s">
        <v>168</v>
      </c>
      <c r="SRH136" s="369">
        <v>0.5</v>
      </c>
      <c r="SRI136" s="370" t="e">
        <f>10/SRE134</f>
        <v>#DIV/0!</v>
      </c>
      <c r="SRJ136" s="371">
        <v>15.38</v>
      </c>
      <c r="SRK136" s="371" t="e">
        <f>SRH136*SRI136*SRJ136</f>
        <v>#DIV/0!</v>
      </c>
      <c r="SRL136" s="367" t="s">
        <v>206</v>
      </c>
      <c r="SRM136" s="367"/>
      <c r="SRN136" s="367"/>
      <c r="SRO136" s="368" t="s">
        <v>168</v>
      </c>
      <c r="SRP136" s="369">
        <v>0.5</v>
      </c>
      <c r="SRQ136" s="370" t="e">
        <f>10/SRM134</f>
        <v>#DIV/0!</v>
      </c>
      <c r="SRR136" s="371">
        <v>15.38</v>
      </c>
      <c r="SRS136" s="371" t="e">
        <f>SRP136*SRQ136*SRR136</f>
        <v>#DIV/0!</v>
      </c>
      <c r="SRT136" s="367" t="s">
        <v>206</v>
      </c>
      <c r="SRU136" s="367"/>
      <c r="SRV136" s="367"/>
      <c r="SRW136" s="368" t="s">
        <v>168</v>
      </c>
      <c r="SRX136" s="369">
        <v>0.5</v>
      </c>
      <c r="SRY136" s="370" t="e">
        <f>10/SRU134</f>
        <v>#DIV/0!</v>
      </c>
      <c r="SRZ136" s="371">
        <v>15.38</v>
      </c>
      <c r="SSA136" s="371" t="e">
        <f>SRX136*SRY136*SRZ136</f>
        <v>#DIV/0!</v>
      </c>
      <c r="SSB136" s="367" t="s">
        <v>206</v>
      </c>
      <c r="SSC136" s="367"/>
      <c r="SSD136" s="367"/>
      <c r="SSE136" s="368" t="s">
        <v>168</v>
      </c>
      <c r="SSF136" s="369">
        <v>0.5</v>
      </c>
      <c r="SSG136" s="370" t="e">
        <f>10/SSC134</f>
        <v>#DIV/0!</v>
      </c>
      <c r="SSH136" s="371">
        <v>15.38</v>
      </c>
      <c r="SSI136" s="371" t="e">
        <f>SSF136*SSG136*SSH136</f>
        <v>#DIV/0!</v>
      </c>
      <c r="SSJ136" s="367" t="s">
        <v>206</v>
      </c>
      <c r="SSK136" s="367"/>
      <c r="SSL136" s="367"/>
      <c r="SSM136" s="368" t="s">
        <v>168</v>
      </c>
      <c r="SSN136" s="369">
        <v>0.5</v>
      </c>
      <c r="SSO136" s="370" t="e">
        <f>10/SSK134</f>
        <v>#DIV/0!</v>
      </c>
      <c r="SSP136" s="371">
        <v>15.38</v>
      </c>
      <c r="SSQ136" s="371" t="e">
        <f>SSN136*SSO136*SSP136</f>
        <v>#DIV/0!</v>
      </c>
      <c r="SSR136" s="367" t="s">
        <v>206</v>
      </c>
      <c r="SSS136" s="367"/>
      <c r="SST136" s="367"/>
      <c r="SSU136" s="368" t="s">
        <v>168</v>
      </c>
      <c r="SSV136" s="369">
        <v>0.5</v>
      </c>
      <c r="SSW136" s="370" t="e">
        <f>10/SSS134</f>
        <v>#DIV/0!</v>
      </c>
      <c r="SSX136" s="371">
        <v>15.38</v>
      </c>
      <c r="SSY136" s="371" t="e">
        <f>SSV136*SSW136*SSX136</f>
        <v>#DIV/0!</v>
      </c>
      <c r="SSZ136" s="367" t="s">
        <v>206</v>
      </c>
      <c r="STA136" s="367"/>
      <c r="STB136" s="367"/>
      <c r="STC136" s="368" t="s">
        <v>168</v>
      </c>
      <c r="STD136" s="369">
        <v>0.5</v>
      </c>
      <c r="STE136" s="370" t="e">
        <f>10/STA134</f>
        <v>#DIV/0!</v>
      </c>
      <c r="STF136" s="371">
        <v>15.38</v>
      </c>
      <c r="STG136" s="371" t="e">
        <f>STD136*STE136*STF136</f>
        <v>#DIV/0!</v>
      </c>
      <c r="STH136" s="367" t="s">
        <v>206</v>
      </c>
      <c r="STI136" s="367"/>
      <c r="STJ136" s="367"/>
      <c r="STK136" s="368" t="s">
        <v>168</v>
      </c>
      <c r="STL136" s="369">
        <v>0.5</v>
      </c>
      <c r="STM136" s="370" t="e">
        <f>10/STI134</f>
        <v>#DIV/0!</v>
      </c>
      <c r="STN136" s="371">
        <v>15.38</v>
      </c>
      <c r="STO136" s="371" t="e">
        <f>STL136*STM136*STN136</f>
        <v>#DIV/0!</v>
      </c>
      <c r="STP136" s="367" t="s">
        <v>206</v>
      </c>
      <c r="STQ136" s="367"/>
      <c r="STR136" s="367"/>
      <c r="STS136" s="368" t="s">
        <v>168</v>
      </c>
      <c r="STT136" s="369">
        <v>0.5</v>
      </c>
      <c r="STU136" s="370" t="e">
        <f>10/STQ134</f>
        <v>#DIV/0!</v>
      </c>
      <c r="STV136" s="371">
        <v>15.38</v>
      </c>
      <c r="STW136" s="371" t="e">
        <f>STT136*STU136*STV136</f>
        <v>#DIV/0!</v>
      </c>
      <c r="STX136" s="367" t="s">
        <v>206</v>
      </c>
      <c r="STY136" s="367"/>
      <c r="STZ136" s="367"/>
      <c r="SUA136" s="368" t="s">
        <v>168</v>
      </c>
      <c r="SUB136" s="369">
        <v>0.5</v>
      </c>
      <c r="SUC136" s="370" t="e">
        <f>10/STY134</f>
        <v>#DIV/0!</v>
      </c>
      <c r="SUD136" s="371">
        <v>15.38</v>
      </c>
      <c r="SUE136" s="371" t="e">
        <f>SUB136*SUC136*SUD136</f>
        <v>#DIV/0!</v>
      </c>
      <c r="SUF136" s="367" t="s">
        <v>206</v>
      </c>
      <c r="SUG136" s="367"/>
      <c r="SUH136" s="367"/>
      <c r="SUI136" s="368" t="s">
        <v>168</v>
      </c>
      <c r="SUJ136" s="369">
        <v>0.5</v>
      </c>
      <c r="SUK136" s="370" t="e">
        <f>10/SUG134</f>
        <v>#DIV/0!</v>
      </c>
      <c r="SUL136" s="371">
        <v>15.38</v>
      </c>
      <c r="SUM136" s="371" t="e">
        <f>SUJ136*SUK136*SUL136</f>
        <v>#DIV/0!</v>
      </c>
      <c r="SUN136" s="367" t="s">
        <v>206</v>
      </c>
      <c r="SUO136" s="367"/>
      <c r="SUP136" s="367"/>
      <c r="SUQ136" s="368" t="s">
        <v>168</v>
      </c>
      <c r="SUR136" s="369">
        <v>0.5</v>
      </c>
      <c r="SUS136" s="370" t="e">
        <f>10/SUO134</f>
        <v>#DIV/0!</v>
      </c>
      <c r="SUT136" s="371">
        <v>15.38</v>
      </c>
      <c r="SUU136" s="371" t="e">
        <f>SUR136*SUS136*SUT136</f>
        <v>#DIV/0!</v>
      </c>
      <c r="SUV136" s="367" t="s">
        <v>206</v>
      </c>
      <c r="SUW136" s="367"/>
      <c r="SUX136" s="367"/>
      <c r="SUY136" s="368" t="s">
        <v>168</v>
      </c>
      <c r="SUZ136" s="369">
        <v>0.5</v>
      </c>
      <c r="SVA136" s="370" t="e">
        <f>10/SUW134</f>
        <v>#DIV/0!</v>
      </c>
      <c r="SVB136" s="371">
        <v>15.38</v>
      </c>
      <c r="SVC136" s="371" t="e">
        <f>SUZ136*SVA136*SVB136</f>
        <v>#DIV/0!</v>
      </c>
      <c r="SVD136" s="367" t="s">
        <v>206</v>
      </c>
      <c r="SVE136" s="367"/>
      <c r="SVF136" s="367"/>
      <c r="SVG136" s="368" t="s">
        <v>168</v>
      </c>
      <c r="SVH136" s="369">
        <v>0.5</v>
      </c>
      <c r="SVI136" s="370" t="e">
        <f>10/SVE134</f>
        <v>#DIV/0!</v>
      </c>
      <c r="SVJ136" s="371">
        <v>15.38</v>
      </c>
      <c r="SVK136" s="371" t="e">
        <f>SVH136*SVI136*SVJ136</f>
        <v>#DIV/0!</v>
      </c>
      <c r="SVL136" s="367" t="s">
        <v>206</v>
      </c>
      <c r="SVM136" s="367"/>
      <c r="SVN136" s="367"/>
      <c r="SVO136" s="368" t="s">
        <v>168</v>
      </c>
      <c r="SVP136" s="369">
        <v>0.5</v>
      </c>
      <c r="SVQ136" s="370" t="e">
        <f>10/SVM134</f>
        <v>#DIV/0!</v>
      </c>
      <c r="SVR136" s="371">
        <v>15.38</v>
      </c>
      <c r="SVS136" s="371" t="e">
        <f>SVP136*SVQ136*SVR136</f>
        <v>#DIV/0!</v>
      </c>
      <c r="SVT136" s="367" t="s">
        <v>206</v>
      </c>
      <c r="SVU136" s="367"/>
      <c r="SVV136" s="367"/>
      <c r="SVW136" s="368" t="s">
        <v>168</v>
      </c>
      <c r="SVX136" s="369">
        <v>0.5</v>
      </c>
      <c r="SVY136" s="370" t="e">
        <f>10/SVU134</f>
        <v>#DIV/0!</v>
      </c>
      <c r="SVZ136" s="371">
        <v>15.38</v>
      </c>
      <c r="SWA136" s="371" t="e">
        <f>SVX136*SVY136*SVZ136</f>
        <v>#DIV/0!</v>
      </c>
      <c r="SWB136" s="367" t="s">
        <v>206</v>
      </c>
      <c r="SWC136" s="367"/>
      <c r="SWD136" s="367"/>
      <c r="SWE136" s="368" t="s">
        <v>168</v>
      </c>
      <c r="SWF136" s="369">
        <v>0.5</v>
      </c>
      <c r="SWG136" s="370" t="e">
        <f>10/SWC134</f>
        <v>#DIV/0!</v>
      </c>
      <c r="SWH136" s="371">
        <v>15.38</v>
      </c>
      <c r="SWI136" s="371" t="e">
        <f>SWF136*SWG136*SWH136</f>
        <v>#DIV/0!</v>
      </c>
      <c r="SWJ136" s="367" t="s">
        <v>206</v>
      </c>
      <c r="SWK136" s="367"/>
      <c r="SWL136" s="367"/>
      <c r="SWM136" s="368" t="s">
        <v>168</v>
      </c>
      <c r="SWN136" s="369">
        <v>0.5</v>
      </c>
      <c r="SWO136" s="370" t="e">
        <f>10/SWK134</f>
        <v>#DIV/0!</v>
      </c>
      <c r="SWP136" s="371">
        <v>15.38</v>
      </c>
      <c r="SWQ136" s="371" t="e">
        <f>SWN136*SWO136*SWP136</f>
        <v>#DIV/0!</v>
      </c>
      <c r="SWR136" s="367" t="s">
        <v>206</v>
      </c>
      <c r="SWS136" s="367"/>
      <c r="SWT136" s="367"/>
      <c r="SWU136" s="368" t="s">
        <v>168</v>
      </c>
      <c r="SWV136" s="369">
        <v>0.5</v>
      </c>
      <c r="SWW136" s="370" t="e">
        <f>10/SWS134</f>
        <v>#DIV/0!</v>
      </c>
      <c r="SWX136" s="371">
        <v>15.38</v>
      </c>
      <c r="SWY136" s="371" t="e">
        <f>SWV136*SWW136*SWX136</f>
        <v>#DIV/0!</v>
      </c>
      <c r="SWZ136" s="367" t="s">
        <v>206</v>
      </c>
      <c r="SXA136" s="367"/>
      <c r="SXB136" s="367"/>
      <c r="SXC136" s="368" t="s">
        <v>168</v>
      </c>
      <c r="SXD136" s="369">
        <v>0.5</v>
      </c>
      <c r="SXE136" s="370" t="e">
        <f>10/SXA134</f>
        <v>#DIV/0!</v>
      </c>
      <c r="SXF136" s="371">
        <v>15.38</v>
      </c>
      <c r="SXG136" s="371" t="e">
        <f>SXD136*SXE136*SXF136</f>
        <v>#DIV/0!</v>
      </c>
      <c r="SXH136" s="367" t="s">
        <v>206</v>
      </c>
      <c r="SXI136" s="367"/>
      <c r="SXJ136" s="367"/>
      <c r="SXK136" s="368" t="s">
        <v>168</v>
      </c>
      <c r="SXL136" s="369">
        <v>0.5</v>
      </c>
      <c r="SXM136" s="370" t="e">
        <f>10/SXI134</f>
        <v>#DIV/0!</v>
      </c>
      <c r="SXN136" s="371">
        <v>15.38</v>
      </c>
      <c r="SXO136" s="371" t="e">
        <f>SXL136*SXM136*SXN136</f>
        <v>#DIV/0!</v>
      </c>
      <c r="SXP136" s="367" t="s">
        <v>206</v>
      </c>
      <c r="SXQ136" s="367"/>
      <c r="SXR136" s="367"/>
      <c r="SXS136" s="368" t="s">
        <v>168</v>
      </c>
      <c r="SXT136" s="369">
        <v>0.5</v>
      </c>
      <c r="SXU136" s="370" t="e">
        <f>10/SXQ134</f>
        <v>#DIV/0!</v>
      </c>
      <c r="SXV136" s="371">
        <v>15.38</v>
      </c>
      <c r="SXW136" s="371" t="e">
        <f>SXT136*SXU136*SXV136</f>
        <v>#DIV/0!</v>
      </c>
      <c r="SXX136" s="367" t="s">
        <v>206</v>
      </c>
      <c r="SXY136" s="367"/>
      <c r="SXZ136" s="367"/>
      <c r="SYA136" s="368" t="s">
        <v>168</v>
      </c>
      <c r="SYB136" s="369">
        <v>0.5</v>
      </c>
      <c r="SYC136" s="370" t="e">
        <f>10/SXY134</f>
        <v>#DIV/0!</v>
      </c>
      <c r="SYD136" s="371">
        <v>15.38</v>
      </c>
      <c r="SYE136" s="371" t="e">
        <f>SYB136*SYC136*SYD136</f>
        <v>#DIV/0!</v>
      </c>
      <c r="SYF136" s="367" t="s">
        <v>206</v>
      </c>
      <c r="SYG136" s="367"/>
      <c r="SYH136" s="367"/>
      <c r="SYI136" s="368" t="s">
        <v>168</v>
      </c>
      <c r="SYJ136" s="369">
        <v>0.5</v>
      </c>
      <c r="SYK136" s="370" t="e">
        <f>10/SYG134</f>
        <v>#DIV/0!</v>
      </c>
      <c r="SYL136" s="371">
        <v>15.38</v>
      </c>
      <c r="SYM136" s="371" t="e">
        <f>SYJ136*SYK136*SYL136</f>
        <v>#DIV/0!</v>
      </c>
      <c r="SYN136" s="367" t="s">
        <v>206</v>
      </c>
      <c r="SYO136" s="367"/>
      <c r="SYP136" s="367"/>
      <c r="SYQ136" s="368" t="s">
        <v>168</v>
      </c>
      <c r="SYR136" s="369">
        <v>0.5</v>
      </c>
      <c r="SYS136" s="370" t="e">
        <f>10/SYO134</f>
        <v>#DIV/0!</v>
      </c>
      <c r="SYT136" s="371">
        <v>15.38</v>
      </c>
      <c r="SYU136" s="371" t="e">
        <f>SYR136*SYS136*SYT136</f>
        <v>#DIV/0!</v>
      </c>
      <c r="SYV136" s="367" t="s">
        <v>206</v>
      </c>
      <c r="SYW136" s="367"/>
      <c r="SYX136" s="367"/>
      <c r="SYY136" s="368" t="s">
        <v>168</v>
      </c>
      <c r="SYZ136" s="369">
        <v>0.5</v>
      </c>
      <c r="SZA136" s="370" t="e">
        <f>10/SYW134</f>
        <v>#DIV/0!</v>
      </c>
      <c r="SZB136" s="371">
        <v>15.38</v>
      </c>
      <c r="SZC136" s="371" t="e">
        <f>SYZ136*SZA136*SZB136</f>
        <v>#DIV/0!</v>
      </c>
      <c r="SZD136" s="367" t="s">
        <v>206</v>
      </c>
      <c r="SZE136" s="367"/>
      <c r="SZF136" s="367"/>
      <c r="SZG136" s="368" t="s">
        <v>168</v>
      </c>
      <c r="SZH136" s="369">
        <v>0.5</v>
      </c>
      <c r="SZI136" s="370" t="e">
        <f>10/SZE134</f>
        <v>#DIV/0!</v>
      </c>
      <c r="SZJ136" s="371">
        <v>15.38</v>
      </c>
      <c r="SZK136" s="371" t="e">
        <f>SZH136*SZI136*SZJ136</f>
        <v>#DIV/0!</v>
      </c>
      <c r="SZL136" s="367" t="s">
        <v>206</v>
      </c>
      <c r="SZM136" s="367"/>
      <c r="SZN136" s="367"/>
      <c r="SZO136" s="368" t="s">
        <v>168</v>
      </c>
      <c r="SZP136" s="369">
        <v>0.5</v>
      </c>
      <c r="SZQ136" s="370" t="e">
        <f>10/SZM134</f>
        <v>#DIV/0!</v>
      </c>
      <c r="SZR136" s="371">
        <v>15.38</v>
      </c>
      <c r="SZS136" s="371" t="e">
        <f>SZP136*SZQ136*SZR136</f>
        <v>#DIV/0!</v>
      </c>
      <c r="SZT136" s="367" t="s">
        <v>206</v>
      </c>
      <c r="SZU136" s="367"/>
      <c r="SZV136" s="367"/>
      <c r="SZW136" s="368" t="s">
        <v>168</v>
      </c>
      <c r="SZX136" s="369">
        <v>0.5</v>
      </c>
      <c r="SZY136" s="370" t="e">
        <f>10/SZU134</f>
        <v>#DIV/0!</v>
      </c>
      <c r="SZZ136" s="371">
        <v>15.38</v>
      </c>
      <c r="TAA136" s="371" t="e">
        <f>SZX136*SZY136*SZZ136</f>
        <v>#DIV/0!</v>
      </c>
      <c r="TAB136" s="367" t="s">
        <v>206</v>
      </c>
      <c r="TAC136" s="367"/>
      <c r="TAD136" s="367"/>
      <c r="TAE136" s="368" t="s">
        <v>168</v>
      </c>
      <c r="TAF136" s="369">
        <v>0.5</v>
      </c>
      <c r="TAG136" s="370" t="e">
        <f>10/TAC134</f>
        <v>#DIV/0!</v>
      </c>
      <c r="TAH136" s="371">
        <v>15.38</v>
      </c>
      <c r="TAI136" s="371" t="e">
        <f>TAF136*TAG136*TAH136</f>
        <v>#DIV/0!</v>
      </c>
      <c r="TAJ136" s="367" t="s">
        <v>206</v>
      </c>
      <c r="TAK136" s="367"/>
      <c r="TAL136" s="367"/>
      <c r="TAM136" s="368" t="s">
        <v>168</v>
      </c>
      <c r="TAN136" s="369">
        <v>0.5</v>
      </c>
      <c r="TAO136" s="370" t="e">
        <f>10/TAK134</f>
        <v>#DIV/0!</v>
      </c>
      <c r="TAP136" s="371">
        <v>15.38</v>
      </c>
      <c r="TAQ136" s="371" t="e">
        <f>TAN136*TAO136*TAP136</f>
        <v>#DIV/0!</v>
      </c>
      <c r="TAR136" s="367" t="s">
        <v>206</v>
      </c>
      <c r="TAS136" s="367"/>
      <c r="TAT136" s="367"/>
      <c r="TAU136" s="368" t="s">
        <v>168</v>
      </c>
      <c r="TAV136" s="369">
        <v>0.5</v>
      </c>
      <c r="TAW136" s="370" t="e">
        <f>10/TAS134</f>
        <v>#DIV/0!</v>
      </c>
      <c r="TAX136" s="371">
        <v>15.38</v>
      </c>
      <c r="TAY136" s="371" t="e">
        <f>TAV136*TAW136*TAX136</f>
        <v>#DIV/0!</v>
      </c>
      <c r="TAZ136" s="367" t="s">
        <v>206</v>
      </c>
      <c r="TBA136" s="367"/>
      <c r="TBB136" s="367"/>
      <c r="TBC136" s="368" t="s">
        <v>168</v>
      </c>
      <c r="TBD136" s="369">
        <v>0.5</v>
      </c>
      <c r="TBE136" s="370" t="e">
        <f>10/TBA134</f>
        <v>#DIV/0!</v>
      </c>
      <c r="TBF136" s="371">
        <v>15.38</v>
      </c>
      <c r="TBG136" s="371" t="e">
        <f>TBD136*TBE136*TBF136</f>
        <v>#DIV/0!</v>
      </c>
      <c r="TBH136" s="367" t="s">
        <v>206</v>
      </c>
      <c r="TBI136" s="367"/>
      <c r="TBJ136" s="367"/>
      <c r="TBK136" s="368" t="s">
        <v>168</v>
      </c>
      <c r="TBL136" s="369">
        <v>0.5</v>
      </c>
      <c r="TBM136" s="370" t="e">
        <f>10/TBI134</f>
        <v>#DIV/0!</v>
      </c>
      <c r="TBN136" s="371">
        <v>15.38</v>
      </c>
      <c r="TBO136" s="371" t="e">
        <f>TBL136*TBM136*TBN136</f>
        <v>#DIV/0!</v>
      </c>
      <c r="TBP136" s="367" t="s">
        <v>206</v>
      </c>
      <c r="TBQ136" s="367"/>
      <c r="TBR136" s="367"/>
      <c r="TBS136" s="368" t="s">
        <v>168</v>
      </c>
      <c r="TBT136" s="369">
        <v>0.5</v>
      </c>
      <c r="TBU136" s="370" t="e">
        <f>10/TBQ134</f>
        <v>#DIV/0!</v>
      </c>
      <c r="TBV136" s="371">
        <v>15.38</v>
      </c>
      <c r="TBW136" s="371" t="e">
        <f>TBT136*TBU136*TBV136</f>
        <v>#DIV/0!</v>
      </c>
      <c r="TBX136" s="367" t="s">
        <v>206</v>
      </c>
      <c r="TBY136" s="367"/>
      <c r="TBZ136" s="367"/>
      <c r="TCA136" s="368" t="s">
        <v>168</v>
      </c>
      <c r="TCB136" s="369">
        <v>0.5</v>
      </c>
      <c r="TCC136" s="370" t="e">
        <f>10/TBY134</f>
        <v>#DIV/0!</v>
      </c>
      <c r="TCD136" s="371">
        <v>15.38</v>
      </c>
      <c r="TCE136" s="371" t="e">
        <f>TCB136*TCC136*TCD136</f>
        <v>#DIV/0!</v>
      </c>
      <c r="TCF136" s="367" t="s">
        <v>206</v>
      </c>
      <c r="TCG136" s="367"/>
      <c r="TCH136" s="367"/>
      <c r="TCI136" s="368" t="s">
        <v>168</v>
      </c>
      <c r="TCJ136" s="369">
        <v>0.5</v>
      </c>
      <c r="TCK136" s="370" t="e">
        <f>10/TCG134</f>
        <v>#DIV/0!</v>
      </c>
      <c r="TCL136" s="371">
        <v>15.38</v>
      </c>
      <c r="TCM136" s="371" t="e">
        <f>TCJ136*TCK136*TCL136</f>
        <v>#DIV/0!</v>
      </c>
      <c r="TCN136" s="367" t="s">
        <v>206</v>
      </c>
      <c r="TCO136" s="367"/>
      <c r="TCP136" s="367"/>
      <c r="TCQ136" s="368" t="s">
        <v>168</v>
      </c>
      <c r="TCR136" s="369">
        <v>0.5</v>
      </c>
      <c r="TCS136" s="370" t="e">
        <f>10/TCO134</f>
        <v>#DIV/0!</v>
      </c>
      <c r="TCT136" s="371">
        <v>15.38</v>
      </c>
      <c r="TCU136" s="371" t="e">
        <f>TCR136*TCS136*TCT136</f>
        <v>#DIV/0!</v>
      </c>
      <c r="TCV136" s="367" t="s">
        <v>206</v>
      </c>
      <c r="TCW136" s="367"/>
      <c r="TCX136" s="367"/>
      <c r="TCY136" s="368" t="s">
        <v>168</v>
      </c>
      <c r="TCZ136" s="369">
        <v>0.5</v>
      </c>
      <c r="TDA136" s="370" t="e">
        <f>10/TCW134</f>
        <v>#DIV/0!</v>
      </c>
      <c r="TDB136" s="371">
        <v>15.38</v>
      </c>
      <c r="TDC136" s="371" t="e">
        <f>TCZ136*TDA136*TDB136</f>
        <v>#DIV/0!</v>
      </c>
      <c r="TDD136" s="367" t="s">
        <v>206</v>
      </c>
      <c r="TDE136" s="367"/>
      <c r="TDF136" s="367"/>
      <c r="TDG136" s="368" t="s">
        <v>168</v>
      </c>
      <c r="TDH136" s="369">
        <v>0.5</v>
      </c>
      <c r="TDI136" s="370" t="e">
        <f>10/TDE134</f>
        <v>#DIV/0!</v>
      </c>
      <c r="TDJ136" s="371">
        <v>15.38</v>
      </c>
      <c r="TDK136" s="371" t="e">
        <f>TDH136*TDI136*TDJ136</f>
        <v>#DIV/0!</v>
      </c>
      <c r="TDL136" s="367" t="s">
        <v>206</v>
      </c>
      <c r="TDM136" s="367"/>
      <c r="TDN136" s="367"/>
      <c r="TDO136" s="368" t="s">
        <v>168</v>
      </c>
      <c r="TDP136" s="369">
        <v>0.5</v>
      </c>
      <c r="TDQ136" s="370" t="e">
        <f>10/TDM134</f>
        <v>#DIV/0!</v>
      </c>
      <c r="TDR136" s="371">
        <v>15.38</v>
      </c>
      <c r="TDS136" s="371" t="e">
        <f>TDP136*TDQ136*TDR136</f>
        <v>#DIV/0!</v>
      </c>
      <c r="TDT136" s="367" t="s">
        <v>206</v>
      </c>
      <c r="TDU136" s="367"/>
      <c r="TDV136" s="367"/>
      <c r="TDW136" s="368" t="s">
        <v>168</v>
      </c>
      <c r="TDX136" s="369">
        <v>0.5</v>
      </c>
      <c r="TDY136" s="370" t="e">
        <f>10/TDU134</f>
        <v>#DIV/0!</v>
      </c>
      <c r="TDZ136" s="371">
        <v>15.38</v>
      </c>
      <c r="TEA136" s="371" t="e">
        <f>TDX136*TDY136*TDZ136</f>
        <v>#DIV/0!</v>
      </c>
      <c r="TEB136" s="367" t="s">
        <v>206</v>
      </c>
      <c r="TEC136" s="367"/>
      <c r="TED136" s="367"/>
      <c r="TEE136" s="368" t="s">
        <v>168</v>
      </c>
      <c r="TEF136" s="369">
        <v>0.5</v>
      </c>
      <c r="TEG136" s="370" t="e">
        <f>10/TEC134</f>
        <v>#DIV/0!</v>
      </c>
      <c r="TEH136" s="371">
        <v>15.38</v>
      </c>
      <c r="TEI136" s="371" t="e">
        <f>TEF136*TEG136*TEH136</f>
        <v>#DIV/0!</v>
      </c>
      <c r="TEJ136" s="367" t="s">
        <v>206</v>
      </c>
      <c r="TEK136" s="367"/>
      <c r="TEL136" s="367"/>
      <c r="TEM136" s="368" t="s">
        <v>168</v>
      </c>
      <c r="TEN136" s="369">
        <v>0.5</v>
      </c>
      <c r="TEO136" s="370" t="e">
        <f>10/TEK134</f>
        <v>#DIV/0!</v>
      </c>
      <c r="TEP136" s="371">
        <v>15.38</v>
      </c>
      <c r="TEQ136" s="371" t="e">
        <f>TEN136*TEO136*TEP136</f>
        <v>#DIV/0!</v>
      </c>
      <c r="TER136" s="367" t="s">
        <v>206</v>
      </c>
      <c r="TES136" s="367"/>
      <c r="TET136" s="367"/>
      <c r="TEU136" s="368" t="s">
        <v>168</v>
      </c>
      <c r="TEV136" s="369">
        <v>0.5</v>
      </c>
      <c r="TEW136" s="370" t="e">
        <f>10/TES134</f>
        <v>#DIV/0!</v>
      </c>
      <c r="TEX136" s="371">
        <v>15.38</v>
      </c>
      <c r="TEY136" s="371" t="e">
        <f>TEV136*TEW136*TEX136</f>
        <v>#DIV/0!</v>
      </c>
      <c r="TEZ136" s="367" t="s">
        <v>206</v>
      </c>
      <c r="TFA136" s="367"/>
      <c r="TFB136" s="367"/>
      <c r="TFC136" s="368" t="s">
        <v>168</v>
      </c>
      <c r="TFD136" s="369">
        <v>0.5</v>
      </c>
      <c r="TFE136" s="370" t="e">
        <f>10/TFA134</f>
        <v>#DIV/0!</v>
      </c>
      <c r="TFF136" s="371">
        <v>15.38</v>
      </c>
      <c r="TFG136" s="371" t="e">
        <f>TFD136*TFE136*TFF136</f>
        <v>#DIV/0!</v>
      </c>
      <c r="TFH136" s="367" t="s">
        <v>206</v>
      </c>
      <c r="TFI136" s="367"/>
      <c r="TFJ136" s="367"/>
      <c r="TFK136" s="368" t="s">
        <v>168</v>
      </c>
      <c r="TFL136" s="369">
        <v>0.5</v>
      </c>
      <c r="TFM136" s="370" t="e">
        <f>10/TFI134</f>
        <v>#DIV/0!</v>
      </c>
      <c r="TFN136" s="371">
        <v>15.38</v>
      </c>
      <c r="TFO136" s="371" t="e">
        <f>TFL136*TFM136*TFN136</f>
        <v>#DIV/0!</v>
      </c>
      <c r="TFP136" s="367" t="s">
        <v>206</v>
      </c>
      <c r="TFQ136" s="367"/>
      <c r="TFR136" s="367"/>
      <c r="TFS136" s="368" t="s">
        <v>168</v>
      </c>
      <c r="TFT136" s="369">
        <v>0.5</v>
      </c>
      <c r="TFU136" s="370" t="e">
        <f>10/TFQ134</f>
        <v>#DIV/0!</v>
      </c>
      <c r="TFV136" s="371">
        <v>15.38</v>
      </c>
      <c r="TFW136" s="371" t="e">
        <f>TFT136*TFU136*TFV136</f>
        <v>#DIV/0!</v>
      </c>
      <c r="TFX136" s="367" t="s">
        <v>206</v>
      </c>
      <c r="TFY136" s="367"/>
      <c r="TFZ136" s="367"/>
      <c r="TGA136" s="368" t="s">
        <v>168</v>
      </c>
      <c r="TGB136" s="369">
        <v>0.5</v>
      </c>
      <c r="TGC136" s="370" t="e">
        <f>10/TFY134</f>
        <v>#DIV/0!</v>
      </c>
      <c r="TGD136" s="371">
        <v>15.38</v>
      </c>
      <c r="TGE136" s="371" t="e">
        <f>TGB136*TGC136*TGD136</f>
        <v>#DIV/0!</v>
      </c>
      <c r="TGF136" s="367" t="s">
        <v>206</v>
      </c>
      <c r="TGG136" s="367"/>
      <c r="TGH136" s="367"/>
      <c r="TGI136" s="368" t="s">
        <v>168</v>
      </c>
      <c r="TGJ136" s="369">
        <v>0.5</v>
      </c>
      <c r="TGK136" s="370" t="e">
        <f>10/TGG134</f>
        <v>#DIV/0!</v>
      </c>
      <c r="TGL136" s="371">
        <v>15.38</v>
      </c>
      <c r="TGM136" s="371" t="e">
        <f>TGJ136*TGK136*TGL136</f>
        <v>#DIV/0!</v>
      </c>
      <c r="TGN136" s="367" t="s">
        <v>206</v>
      </c>
      <c r="TGO136" s="367"/>
      <c r="TGP136" s="367"/>
      <c r="TGQ136" s="368" t="s">
        <v>168</v>
      </c>
      <c r="TGR136" s="369">
        <v>0.5</v>
      </c>
      <c r="TGS136" s="370" t="e">
        <f>10/TGO134</f>
        <v>#DIV/0!</v>
      </c>
      <c r="TGT136" s="371">
        <v>15.38</v>
      </c>
      <c r="TGU136" s="371" t="e">
        <f>TGR136*TGS136*TGT136</f>
        <v>#DIV/0!</v>
      </c>
      <c r="TGV136" s="367" t="s">
        <v>206</v>
      </c>
      <c r="TGW136" s="367"/>
      <c r="TGX136" s="367"/>
      <c r="TGY136" s="368" t="s">
        <v>168</v>
      </c>
      <c r="TGZ136" s="369">
        <v>0.5</v>
      </c>
      <c r="THA136" s="370" t="e">
        <f>10/TGW134</f>
        <v>#DIV/0!</v>
      </c>
      <c r="THB136" s="371">
        <v>15.38</v>
      </c>
      <c r="THC136" s="371" t="e">
        <f>TGZ136*THA136*THB136</f>
        <v>#DIV/0!</v>
      </c>
      <c r="THD136" s="367" t="s">
        <v>206</v>
      </c>
      <c r="THE136" s="367"/>
      <c r="THF136" s="367"/>
      <c r="THG136" s="368" t="s">
        <v>168</v>
      </c>
      <c r="THH136" s="369">
        <v>0.5</v>
      </c>
      <c r="THI136" s="370" t="e">
        <f>10/THE134</f>
        <v>#DIV/0!</v>
      </c>
      <c r="THJ136" s="371">
        <v>15.38</v>
      </c>
      <c r="THK136" s="371" t="e">
        <f>THH136*THI136*THJ136</f>
        <v>#DIV/0!</v>
      </c>
      <c r="THL136" s="367" t="s">
        <v>206</v>
      </c>
      <c r="THM136" s="367"/>
      <c r="THN136" s="367"/>
      <c r="THO136" s="368" t="s">
        <v>168</v>
      </c>
      <c r="THP136" s="369">
        <v>0.5</v>
      </c>
      <c r="THQ136" s="370" t="e">
        <f>10/THM134</f>
        <v>#DIV/0!</v>
      </c>
      <c r="THR136" s="371">
        <v>15.38</v>
      </c>
      <c r="THS136" s="371" t="e">
        <f>THP136*THQ136*THR136</f>
        <v>#DIV/0!</v>
      </c>
      <c r="THT136" s="367" t="s">
        <v>206</v>
      </c>
      <c r="THU136" s="367"/>
      <c r="THV136" s="367"/>
      <c r="THW136" s="368" t="s">
        <v>168</v>
      </c>
      <c r="THX136" s="369">
        <v>0.5</v>
      </c>
      <c r="THY136" s="370" t="e">
        <f>10/THU134</f>
        <v>#DIV/0!</v>
      </c>
      <c r="THZ136" s="371">
        <v>15.38</v>
      </c>
      <c r="TIA136" s="371" t="e">
        <f>THX136*THY136*THZ136</f>
        <v>#DIV/0!</v>
      </c>
      <c r="TIB136" s="367" t="s">
        <v>206</v>
      </c>
      <c r="TIC136" s="367"/>
      <c r="TID136" s="367"/>
      <c r="TIE136" s="368" t="s">
        <v>168</v>
      </c>
      <c r="TIF136" s="369">
        <v>0.5</v>
      </c>
      <c r="TIG136" s="370" t="e">
        <f>10/TIC134</f>
        <v>#DIV/0!</v>
      </c>
      <c r="TIH136" s="371">
        <v>15.38</v>
      </c>
      <c r="TII136" s="371" t="e">
        <f>TIF136*TIG136*TIH136</f>
        <v>#DIV/0!</v>
      </c>
      <c r="TIJ136" s="367" t="s">
        <v>206</v>
      </c>
      <c r="TIK136" s="367"/>
      <c r="TIL136" s="367"/>
      <c r="TIM136" s="368" t="s">
        <v>168</v>
      </c>
      <c r="TIN136" s="369">
        <v>0.5</v>
      </c>
      <c r="TIO136" s="370" t="e">
        <f>10/TIK134</f>
        <v>#DIV/0!</v>
      </c>
      <c r="TIP136" s="371">
        <v>15.38</v>
      </c>
      <c r="TIQ136" s="371" t="e">
        <f>TIN136*TIO136*TIP136</f>
        <v>#DIV/0!</v>
      </c>
      <c r="TIR136" s="367" t="s">
        <v>206</v>
      </c>
      <c r="TIS136" s="367"/>
      <c r="TIT136" s="367"/>
      <c r="TIU136" s="368" t="s">
        <v>168</v>
      </c>
      <c r="TIV136" s="369">
        <v>0.5</v>
      </c>
      <c r="TIW136" s="370" t="e">
        <f>10/TIS134</f>
        <v>#DIV/0!</v>
      </c>
      <c r="TIX136" s="371">
        <v>15.38</v>
      </c>
      <c r="TIY136" s="371" t="e">
        <f>TIV136*TIW136*TIX136</f>
        <v>#DIV/0!</v>
      </c>
      <c r="TIZ136" s="367" t="s">
        <v>206</v>
      </c>
      <c r="TJA136" s="367"/>
      <c r="TJB136" s="367"/>
      <c r="TJC136" s="368" t="s">
        <v>168</v>
      </c>
      <c r="TJD136" s="369">
        <v>0.5</v>
      </c>
      <c r="TJE136" s="370" t="e">
        <f>10/TJA134</f>
        <v>#DIV/0!</v>
      </c>
      <c r="TJF136" s="371">
        <v>15.38</v>
      </c>
      <c r="TJG136" s="371" t="e">
        <f>TJD136*TJE136*TJF136</f>
        <v>#DIV/0!</v>
      </c>
      <c r="TJH136" s="367" t="s">
        <v>206</v>
      </c>
      <c r="TJI136" s="367"/>
      <c r="TJJ136" s="367"/>
      <c r="TJK136" s="368" t="s">
        <v>168</v>
      </c>
      <c r="TJL136" s="369">
        <v>0.5</v>
      </c>
      <c r="TJM136" s="370" t="e">
        <f>10/TJI134</f>
        <v>#DIV/0!</v>
      </c>
      <c r="TJN136" s="371">
        <v>15.38</v>
      </c>
      <c r="TJO136" s="371" t="e">
        <f>TJL136*TJM136*TJN136</f>
        <v>#DIV/0!</v>
      </c>
      <c r="TJP136" s="367" t="s">
        <v>206</v>
      </c>
      <c r="TJQ136" s="367"/>
      <c r="TJR136" s="367"/>
      <c r="TJS136" s="368" t="s">
        <v>168</v>
      </c>
      <c r="TJT136" s="369">
        <v>0.5</v>
      </c>
      <c r="TJU136" s="370" t="e">
        <f>10/TJQ134</f>
        <v>#DIV/0!</v>
      </c>
      <c r="TJV136" s="371">
        <v>15.38</v>
      </c>
      <c r="TJW136" s="371" t="e">
        <f>TJT136*TJU136*TJV136</f>
        <v>#DIV/0!</v>
      </c>
      <c r="TJX136" s="367" t="s">
        <v>206</v>
      </c>
      <c r="TJY136" s="367"/>
      <c r="TJZ136" s="367"/>
      <c r="TKA136" s="368" t="s">
        <v>168</v>
      </c>
      <c r="TKB136" s="369">
        <v>0.5</v>
      </c>
      <c r="TKC136" s="370" t="e">
        <f>10/TJY134</f>
        <v>#DIV/0!</v>
      </c>
      <c r="TKD136" s="371">
        <v>15.38</v>
      </c>
      <c r="TKE136" s="371" t="e">
        <f>TKB136*TKC136*TKD136</f>
        <v>#DIV/0!</v>
      </c>
      <c r="TKF136" s="367" t="s">
        <v>206</v>
      </c>
      <c r="TKG136" s="367"/>
      <c r="TKH136" s="367"/>
      <c r="TKI136" s="368" t="s">
        <v>168</v>
      </c>
      <c r="TKJ136" s="369">
        <v>0.5</v>
      </c>
      <c r="TKK136" s="370" t="e">
        <f>10/TKG134</f>
        <v>#DIV/0!</v>
      </c>
      <c r="TKL136" s="371">
        <v>15.38</v>
      </c>
      <c r="TKM136" s="371" t="e">
        <f>TKJ136*TKK136*TKL136</f>
        <v>#DIV/0!</v>
      </c>
      <c r="TKN136" s="367" t="s">
        <v>206</v>
      </c>
      <c r="TKO136" s="367"/>
      <c r="TKP136" s="367"/>
      <c r="TKQ136" s="368" t="s">
        <v>168</v>
      </c>
      <c r="TKR136" s="369">
        <v>0.5</v>
      </c>
      <c r="TKS136" s="370" t="e">
        <f>10/TKO134</f>
        <v>#DIV/0!</v>
      </c>
      <c r="TKT136" s="371">
        <v>15.38</v>
      </c>
      <c r="TKU136" s="371" t="e">
        <f>TKR136*TKS136*TKT136</f>
        <v>#DIV/0!</v>
      </c>
      <c r="TKV136" s="367" t="s">
        <v>206</v>
      </c>
      <c r="TKW136" s="367"/>
      <c r="TKX136" s="367"/>
      <c r="TKY136" s="368" t="s">
        <v>168</v>
      </c>
      <c r="TKZ136" s="369">
        <v>0.5</v>
      </c>
      <c r="TLA136" s="370" t="e">
        <f>10/TKW134</f>
        <v>#DIV/0!</v>
      </c>
      <c r="TLB136" s="371">
        <v>15.38</v>
      </c>
      <c r="TLC136" s="371" t="e">
        <f>TKZ136*TLA136*TLB136</f>
        <v>#DIV/0!</v>
      </c>
      <c r="TLD136" s="367" t="s">
        <v>206</v>
      </c>
      <c r="TLE136" s="367"/>
      <c r="TLF136" s="367"/>
      <c r="TLG136" s="368" t="s">
        <v>168</v>
      </c>
      <c r="TLH136" s="369">
        <v>0.5</v>
      </c>
      <c r="TLI136" s="370" t="e">
        <f>10/TLE134</f>
        <v>#DIV/0!</v>
      </c>
      <c r="TLJ136" s="371">
        <v>15.38</v>
      </c>
      <c r="TLK136" s="371" t="e">
        <f>TLH136*TLI136*TLJ136</f>
        <v>#DIV/0!</v>
      </c>
      <c r="TLL136" s="367" t="s">
        <v>206</v>
      </c>
      <c r="TLM136" s="367"/>
      <c r="TLN136" s="367"/>
      <c r="TLO136" s="368" t="s">
        <v>168</v>
      </c>
      <c r="TLP136" s="369">
        <v>0.5</v>
      </c>
      <c r="TLQ136" s="370" t="e">
        <f>10/TLM134</f>
        <v>#DIV/0!</v>
      </c>
      <c r="TLR136" s="371">
        <v>15.38</v>
      </c>
      <c r="TLS136" s="371" t="e">
        <f>TLP136*TLQ136*TLR136</f>
        <v>#DIV/0!</v>
      </c>
      <c r="TLT136" s="367" t="s">
        <v>206</v>
      </c>
      <c r="TLU136" s="367"/>
      <c r="TLV136" s="367"/>
      <c r="TLW136" s="368" t="s">
        <v>168</v>
      </c>
      <c r="TLX136" s="369">
        <v>0.5</v>
      </c>
      <c r="TLY136" s="370" t="e">
        <f>10/TLU134</f>
        <v>#DIV/0!</v>
      </c>
      <c r="TLZ136" s="371">
        <v>15.38</v>
      </c>
      <c r="TMA136" s="371" t="e">
        <f>TLX136*TLY136*TLZ136</f>
        <v>#DIV/0!</v>
      </c>
      <c r="TMB136" s="367" t="s">
        <v>206</v>
      </c>
      <c r="TMC136" s="367"/>
      <c r="TMD136" s="367"/>
      <c r="TME136" s="368" t="s">
        <v>168</v>
      </c>
      <c r="TMF136" s="369">
        <v>0.5</v>
      </c>
      <c r="TMG136" s="370" t="e">
        <f>10/TMC134</f>
        <v>#DIV/0!</v>
      </c>
      <c r="TMH136" s="371">
        <v>15.38</v>
      </c>
      <c r="TMI136" s="371" t="e">
        <f>TMF136*TMG136*TMH136</f>
        <v>#DIV/0!</v>
      </c>
      <c r="TMJ136" s="367" t="s">
        <v>206</v>
      </c>
      <c r="TMK136" s="367"/>
      <c r="TML136" s="367"/>
      <c r="TMM136" s="368" t="s">
        <v>168</v>
      </c>
      <c r="TMN136" s="369">
        <v>0.5</v>
      </c>
      <c r="TMO136" s="370" t="e">
        <f>10/TMK134</f>
        <v>#DIV/0!</v>
      </c>
      <c r="TMP136" s="371">
        <v>15.38</v>
      </c>
      <c r="TMQ136" s="371" t="e">
        <f>TMN136*TMO136*TMP136</f>
        <v>#DIV/0!</v>
      </c>
      <c r="TMR136" s="367" t="s">
        <v>206</v>
      </c>
      <c r="TMS136" s="367"/>
      <c r="TMT136" s="367"/>
      <c r="TMU136" s="368" t="s">
        <v>168</v>
      </c>
      <c r="TMV136" s="369">
        <v>0.5</v>
      </c>
      <c r="TMW136" s="370" t="e">
        <f>10/TMS134</f>
        <v>#DIV/0!</v>
      </c>
      <c r="TMX136" s="371">
        <v>15.38</v>
      </c>
      <c r="TMY136" s="371" t="e">
        <f>TMV136*TMW136*TMX136</f>
        <v>#DIV/0!</v>
      </c>
      <c r="TMZ136" s="367" t="s">
        <v>206</v>
      </c>
      <c r="TNA136" s="367"/>
      <c r="TNB136" s="367"/>
      <c r="TNC136" s="368" t="s">
        <v>168</v>
      </c>
      <c r="TND136" s="369">
        <v>0.5</v>
      </c>
      <c r="TNE136" s="370" t="e">
        <f>10/TNA134</f>
        <v>#DIV/0!</v>
      </c>
      <c r="TNF136" s="371">
        <v>15.38</v>
      </c>
      <c r="TNG136" s="371" t="e">
        <f>TND136*TNE136*TNF136</f>
        <v>#DIV/0!</v>
      </c>
      <c r="TNH136" s="367" t="s">
        <v>206</v>
      </c>
      <c r="TNI136" s="367"/>
      <c r="TNJ136" s="367"/>
      <c r="TNK136" s="368" t="s">
        <v>168</v>
      </c>
      <c r="TNL136" s="369">
        <v>0.5</v>
      </c>
      <c r="TNM136" s="370" t="e">
        <f>10/TNI134</f>
        <v>#DIV/0!</v>
      </c>
      <c r="TNN136" s="371">
        <v>15.38</v>
      </c>
      <c r="TNO136" s="371" t="e">
        <f>TNL136*TNM136*TNN136</f>
        <v>#DIV/0!</v>
      </c>
      <c r="TNP136" s="367" t="s">
        <v>206</v>
      </c>
      <c r="TNQ136" s="367"/>
      <c r="TNR136" s="367"/>
      <c r="TNS136" s="368" t="s">
        <v>168</v>
      </c>
      <c r="TNT136" s="369">
        <v>0.5</v>
      </c>
      <c r="TNU136" s="370" t="e">
        <f>10/TNQ134</f>
        <v>#DIV/0!</v>
      </c>
      <c r="TNV136" s="371">
        <v>15.38</v>
      </c>
      <c r="TNW136" s="371" t="e">
        <f>TNT136*TNU136*TNV136</f>
        <v>#DIV/0!</v>
      </c>
      <c r="TNX136" s="367" t="s">
        <v>206</v>
      </c>
      <c r="TNY136" s="367"/>
      <c r="TNZ136" s="367"/>
      <c r="TOA136" s="368" t="s">
        <v>168</v>
      </c>
      <c r="TOB136" s="369">
        <v>0.5</v>
      </c>
      <c r="TOC136" s="370" t="e">
        <f>10/TNY134</f>
        <v>#DIV/0!</v>
      </c>
      <c r="TOD136" s="371">
        <v>15.38</v>
      </c>
      <c r="TOE136" s="371" t="e">
        <f>TOB136*TOC136*TOD136</f>
        <v>#DIV/0!</v>
      </c>
      <c r="TOF136" s="367" t="s">
        <v>206</v>
      </c>
      <c r="TOG136" s="367"/>
      <c r="TOH136" s="367"/>
      <c r="TOI136" s="368" t="s">
        <v>168</v>
      </c>
      <c r="TOJ136" s="369">
        <v>0.5</v>
      </c>
      <c r="TOK136" s="370" t="e">
        <f>10/TOG134</f>
        <v>#DIV/0!</v>
      </c>
      <c r="TOL136" s="371">
        <v>15.38</v>
      </c>
      <c r="TOM136" s="371" t="e">
        <f>TOJ136*TOK136*TOL136</f>
        <v>#DIV/0!</v>
      </c>
      <c r="TON136" s="367" t="s">
        <v>206</v>
      </c>
      <c r="TOO136" s="367"/>
      <c r="TOP136" s="367"/>
      <c r="TOQ136" s="368" t="s">
        <v>168</v>
      </c>
      <c r="TOR136" s="369">
        <v>0.5</v>
      </c>
      <c r="TOS136" s="370" t="e">
        <f>10/TOO134</f>
        <v>#DIV/0!</v>
      </c>
      <c r="TOT136" s="371">
        <v>15.38</v>
      </c>
      <c r="TOU136" s="371" t="e">
        <f>TOR136*TOS136*TOT136</f>
        <v>#DIV/0!</v>
      </c>
      <c r="TOV136" s="367" t="s">
        <v>206</v>
      </c>
      <c r="TOW136" s="367"/>
      <c r="TOX136" s="367"/>
      <c r="TOY136" s="368" t="s">
        <v>168</v>
      </c>
      <c r="TOZ136" s="369">
        <v>0.5</v>
      </c>
      <c r="TPA136" s="370" t="e">
        <f>10/TOW134</f>
        <v>#DIV/0!</v>
      </c>
      <c r="TPB136" s="371">
        <v>15.38</v>
      </c>
      <c r="TPC136" s="371" t="e">
        <f>TOZ136*TPA136*TPB136</f>
        <v>#DIV/0!</v>
      </c>
      <c r="TPD136" s="367" t="s">
        <v>206</v>
      </c>
      <c r="TPE136" s="367"/>
      <c r="TPF136" s="367"/>
      <c r="TPG136" s="368" t="s">
        <v>168</v>
      </c>
      <c r="TPH136" s="369">
        <v>0.5</v>
      </c>
      <c r="TPI136" s="370" t="e">
        <f>10/TPE134</f>
        <v>#DIV/0!</v>
      </c>
      <c r="TPJ136" s="371">
        <v>15.38</v>
      </c>
      <c r="TPK136" s="371" t="e">
        <f>TPH136*TPI136*TPJ136</f>
        <v>#DIV/0!</v>
      </c>
      <c r="TPL136" s="367" t="s">
        <v>206</v>
      </c>
      <c r="TPM136" s="367"/>
      <c r="TPN136" s="367"/>
      <c r="TPO136" s="368" t="s">
        <v>168</v>
      </c>
      <c r="TPP136" s="369">
        <v>0.5</v>
      </c>
      <c r="TPQ136" s="370" t="e">
        <f>10/TPM134</f>
        <v>#DIV/0!</v>
      </c>
      <c r="TPR136" s="371">
        <v>15.38</v>
      </c>
      <c r="TPS136" s="371" t="e">
        <f>TPP136*TPQ136*TPR136</f>
        <v>#DIV/0!</v>
      </c>
      <c r="TPT136" s="367" t="s">
        <v>206</v>
      </c>
      <c r="TPU136" s="367"/>
      <c r="TPV136" s="367"/>
      <c r="TPW136" s="368" t="s">
        <v>168</v>
      </c>
      <c r="TPX136" s="369">
        <v>0.5</v>
      </c>
      <c r="TPY136" s="370" t="e">
        <f>10/TPU134</f>
        <v>#DIV/0!</v>
      </c>
      <c r="TPZ136" s="371">
        <v>15.38</v>
      </c>
      <c r="TQA136" s="371" t="e">
        <f>TPX136*TPY136*TPZ136</f>
        <v>#DIV/0!</v>
      </c>
      <c r="TQB136" s="367" t="s">
        <v>206</v>
      </c>
      <c r="TQC136" s="367"/>
      <c r="TQD136" s="367"/>
      <c r="TQE136" s="368" t="s">
        <v>168</v>
      </c>
      <c r="TQF136" s="369">
        <v>0.5</v>
      </c>
      <c r="TQG136" s="370" t="e">
        <f>10/TQC134</f>
        <v>#DIV/0!</v>
      </c>
      <c r="TQH136" s="371">
        <v>15.38</v>
      </c>
      <c r="TQI136" s="371" t="e">
        <f>TQF136*TQG136*TQH136</f>
        <v>#DIV/0!</v>
      </c>
      <c r="TQJ136" s="367" t="s">
        <v>206</v>
      </c>
      <c r="TQK136" s="367"/>
      <c r="TQL136" s="367"/>
      <c r="TQM136" s="368" t="s">
        <v>168</v>
      </c>
      <c r="TQN136" s="369">
        <v>0.5</v>
      </c>
      <c r="TQO136" s="370" t="e">
        <f>10/TQK134</f>
        <v>#DIV/0!</v>
      </c>
      <c r="TQP136" s="371">
        <v>15.38</v>
      </c>
      <c r="TQQ136" s="371" t="e">
        <f>TQN136*TQO136*TQP136</f>
        <v>#DIV/0!</v>
      </c>
      <c r="TQR136" s="367" t="s">
        <v>206</v>
      </c>
      <c r="TQS136" s="367"/>
      <c r="TQT136" s="367"/>
      <c r="TQU136" s="368" t="s">
        <v>168</v>
      </c>
      <c r="TQV136" s="369">
        <v>0.5</v>
      </c>
      <c r="TQW136" s="370" t="e">
        <f>10/TQS134</f>
        <v>#DIV/0!</v>
      </c>
      <c r="TQX136" s="371">
        <v>15.38</v>
      </c>
      <c r="TQY136" s="371" t="e">
        <f>TQV136*TQW136*TQX136</f>
        <v>#DIV/0!</v>
      </c>
      <c r="TQZ136" s="367" t="s">
        <v>206</v>
      </c>
      <c r="TRA136" s="367"/>
      <c r="TRB136" s="367"/>
      <c r="TRC136" s="368" t="s">
        <v>168</v>
      </c>
      <c r="TRD136" s="369">
        <v>0.5</v>
      </c>
      <c r="TRE136" s="370" t="e">
        <f>10/TRA134</f>
        <v>#DIV/0!</v>
      </c>
      <c r="TRF136" s="371">
        <v>15.38</v>
      </c>
      <c r="TRG136" s="371" t="e">
        <f>TRD136*TRE136*TRF136</f>
        <v>#DIV/0!</v>
      </c>
      <c r="TRH136" s="367" t="s">
        <v>206</v>
      </c>
      <c r="TRI136" s="367"/>
      <c r="TRJ136" s="367"/>
      <c r="TRK136" s="368" t="s">
        <v>168</v>
      </c>
      <c r="TRL136" s="369">
        <v>0.5</v>
      </c>
      <c r="TRM136" s="370" t="e">
        <f>10/TRI134</f>
        <v>#DIV/0!</v>
      </c>
      <c r="TRN136" s="371">
        <v>15.38</v>
      </c>
      <c r="TRO136" s="371" t="e">
        <f>TRL136*TRM136*TRN136</f>
        <v>#DIV/0!</v>
      </c>
      <c r="TRP136" s="367" t="s">
        <v>206</v>
      </c>
      <c r="TRQ136" s="367"/>
      <c r="TRR136" s="367"/>
      <c r="TRS136" s="368" t="s">
        <v>168</v>
      </c>
      <c r="TRT136" s="369">
        <v>0.5</v>
      </c>
      <c r="TRU136" s="370" t="e">
        <f>10/TRQ134</f>
        <v>#DIV/0!</v>
      </c>
      <c r="TRV136" s="371">
        <v>15.38</v>
      </c>
      <c r="TRW136" s="371" t="e">
        <f>TRT136*TRU136*TRV136</f>
        <v>#DIV/0!</v>
      </c>
      <c r="TRX136" s="367" t="s">
        <v>206</v>
      </c>
      <c r="TRY136" s="367"/>
      <c r="TRZ136" s="367"/>
      <c r="TSA136" s="368" t="s">
        <v>168</v>
      </c>
      <c r="TSB136" s="369">
        <v>0.5</v>
      </c>
      <c r="TSC136" s="370" t="e">
        <f>10/TRY134</f>
        <v>#DIV/0!</v>
      </c>
      <c r="TSD136" s="371">
        <v>15.38</v>
      </c>
      <c r="TSE136" s="371" t="e">
        <f>TSB136*TSC136*TSD136</f>
        <v>#DIV/0!</v>
      </c>
      <c r="TSF136" s="367" t="s">
        <v>206</v>
      </c>
      <c r="TSG136" s="367"/>
      <c r="TSH136" s="367"/>
      <c r="TSI136" s="368" t="s">
        <v>168</v>
      </c>
      <c r="TSJ136" s="369">
        <v>0.5</v>
      </c>
      <c r="TSK136" s="370" t="e">
        <f>10/TSG134</f>
        <v>#DIV/0!</v>
      </c>
      <c r="TSL136" s="371">
        <v>15.38</v>
      </c>
      <c r="TSM136" s="371" t="e">
        <f>TSJ136*TSK136*TSL136</f>
        <v>#DIV/0!</v>
      </c>
      <c r="TSN136" s="367" t="s">
        <v>206</v>
      </c>
      <c r="TSO136" s="367"/>
      <c r="TSP136" s="367"/>
      <c r="TSQ136" s="368" t="s">
        <v>168</v>
      </c>
      <c r="TSR136" s="369">
        <v>0.5</v>
      </c>
      <c r="TSS136" s="370" t="e">
        <f>10/TSO134</f>
        <v>#DIV/0!</v>
      </c>
      <c r="TST136" s="371">
        <v>15.38</v>
      </c>
      <c r="TSU136" s="371" t="e">
        <f>TSR136*TSS136*TST136</f>
        <v>#DIV/0!</v>
      </c>
      <c r="TSV136" s="367" t="s">
        <v>206</v>
      </c>
      <c r="TSW136" s="367"/>
      <c r="TSX136" s="367"/>
      <c r="TSY136" s="368" t="s">
        <v>168</v>
      </c>
      <c r="TSZ136" s="369">
        <v>0.5</v>
      </c>
      <c r="TTA136" s="370" t="e">
        <f>10/TSW134</f>
        <v>#DIV/0!</v>
      </c>
      <c r="TTB136" s="371">
        <v>15.38</v>
      </c>
      <c r="TTC136" s="371" t="e">
        <f>TSZ136*TTA136*TTB136</f>
        <v>#DIV/0!</v>
      </c>
      <c r="TTD136" s="367" t="s">
        <v>206</v>
      </c>
      <c r="TTE136" s="367"/>
      <c r="TTF136" s="367"/>
      <c r="TTG136" s="368" t="s">
        <v>168</v>
      </c>
      <c r="TTH136" s="369">
        <v>0.5</v>
      </c>
      <c r="TTI136" s="370" t="e">
        <f>10/TTE134</f>
        <v>#DIV/0!</v>
      </c>
      <c r="TTJ136" s="371">
        <v>15.38</v>
      </c>
      <c r="TTK136" s="371" t="e">
        <f>TTH136*TTI136*TTJ136</f>
        <v>#DIV/0!</v>
      </c>
      <c r="TTL136" s="367" t="s">
        <v>206</v>
      </c>
      <c r="TTM136" s="367"/>
      <c r="TTN136" s="367"/>
      <c r="TTO136" s="368" t="s">
        <v>168</v>
      </c>
      <c r="TTP136" s="369">
        <v>0.5</v>
      </c>
      <c r="TTQ136" s="370" t="e">
        <f>10/TTM134</f>
        <v>#DIV/0!</v>
      </c>
      <c r="TTR136" s="371">
        <v>15.38</v>
      </c>
      <c r="TTS136" s="371" t="e">
        <f>TTP136*TTQ136*TTR136</f>
        <v>#DIV/0!</v>
      </c>
      <c r="TTT136" s="367" t="s">
        <v>206</v>
      </c>
      <c r="TTU136" s="367"/>
      <c r="TTV136" s="367"/>
      <c r="TTW136" s="368" t="s">
        <v>168</v>
      </c>
      <c r="TTX136" s="369">
        <v>0.5</v>
      </c>
      <c r="TTY136" s="370" t="e">
        <f>10/TTU134</f>
        <v>#DIV/0!</v>
      </c>
      <c r="TTZ136" s="371">
        <v>15.38</v>
      </c>
      <c r="TUA136" s="371" t="e">
        <f>TTX136*TTY136*TTZ136</f>
        <v>#DIV/0!</v>
      </c>
      <c r="TUB136" s="367" t="s">
        <v>206</v>
      </c>
      <c r="TUC136" s="367"/>
      <c r="TUD136" s="367"/>
      <c r="TUE136" s="368" t="s">
        <v>168</v>
      </c>
      <c r="TUF136" s="369">
        <v>0.5</v>
      </c>
      <c r="TUG136" s="370" t="e">
        <f>10/TUC134</f>
        <v>#DIV/0!</v>
      </c>
      <c r="TUH136" s="371">
        <v>15.38</v>
      </c>
      <c r="TUI136" s="371" t="e">
        <f>TUF136*TUG136*TUH136</f>
        <v>#DIV/0!</v>
      </c>
      <c r="TUJ136" s="367" t="s">
        <v>206</v>
      </c>
      <c r="TUK136" s="367"/>
      <c r="TUL136" s="367"/>
      <c r="TUM136" s="368" t="s">
        <v>168</v>
      </c>
      <c r="TUN136" s="369">
        <v>0.5</v>
      </c>
      <c r="TUO136" s="370" t="e">
        <f>10/TUK134</f>
        <v>#DIV/0!</v>
      </c>
      <c r="TUP136" s="371">
        <v>15.38</v>
      </c>
      <c r="TUQ136" s="371" t="e">
        <f>TUN136*TUO136*TUP136</f>
        <v>#DIV/0!</v>
      </c>
      <c r="TUR136" s="367" t="s">
        <v>206</v>
      </c>
      <c r="TUS136" s="367"/>
      <c r="TUT136" s="367"/>
      <c r="TUU136" s="368" t="s">
        <v>168</v>
      </c>
      <c r="TUV136" s="369">
        <v>0.5</v>
      </c>
      <c r="TUW136" s="370" t="e">
        <f>10/TUS134</f>
        <v>#DIV/0!</v>
      </c>
      <c r="TUX136" s="371">
        <v>15.38</v>
      </c>
      <c r="TUY136" s="371" t="e">
        <f>TUV136*TUW136*TUX136</f>
        <v>#DIV/0!</v>
      </c>
      <c r="TUZ136" s="367" t="s">
        <v>206</v>
      </c>
      <c r="TVA136" s="367"/>
      <c r="TVB136" s="367"/>
      <c r="TVC136" s="368" t="s">
        <v>168</v>
      </c>
      <c r="TVD136" s="369">
        <v>0.5</v>
      </c>
      <c r="TVE136" s="370" t="e">
        <f>10/TVA134</f>
        <v>#DIV/0!</v>
      </c>
      <c r="TVF136" s="371">
        <v>15.38</v>
      </c>
      <c r="TVG136" s="371" t="e">
        <f>TVD136*TVE136*TVF136</f>
        <v>#DIV/0!</v>
      </c>
      <c r="TVH136" s="367" t="s">
        <v>206</v>
      </c>
      <c r="TVI136" s="367"/>
      <c r="TVJ136" s="367"/>
      <c r="TVK136" s="368" t="s">
        <v>168</v>
      </c>
      <c r="TVL136" s="369">
        <v>0.5</v>
      </c>
      <c r="TVM136" s="370" t="e">
        <f>10/TVI134</f>
        <v>#DIV/0!</v>
      </c>
      <c r="TVN136" s="371">
        <v>15.38</v>
      </c>
      <c r="TVO136" s="371" t="e">
        <f>TVL136*TVM136*TVN136</f>
        <v>#DIV/0!</v>
      </c>
      <c r="TVP136" s="367" t="s">
        <v>206</v>
      </c>
      <c r="TVQ136" s="367"/>
      <c r="TVR136" s="367"/>
      <c r="TVS136" s="368" t="s">
        <v>168</v>
      </c>
      <c r="TVT136" s="369">
        <v>0.5</v>
      </c>
      <c r="TVU136" s="370" t="e">
        <f>10/TVQ134</f>
        <v>#DIV/0!</v>
      </c>
      <c r="TVV136" s="371">
        <v>15.38</v>
      </c>
      <c r="TVW136" s="371" t="e">
        <f>TVT136*TVU136*TVV136</f>
        <v>#DIV/0!</v>
      </c>
      <c r="TVX136" s="367" t="s">
        <v>206</v>
      </c>
      <c r="TVY136" s="367"/>
      <c r="TVZ136" s="367"/>
      <c r="TWA136" s="368" t="s">
        <v>168</v>
      </c>
      <c r="TWB136" s="369">
        <v>0.5</v>
      </c>
      <c r="TWC136" s="370" t="e">
        <f>10/TVY134</f>
        <v>#DIV/0!</v>
      </c>
      <c r="TWD136" s="371">
        <v>15.38</v>
      </c>
      <c r="TWE136" s="371" t="e">
        <f>TWB136*TWC136*TWD136</f>
        <v>#DIV/0!</v>
      </c>
      <c r="TWF136" s="367" t="s">
        <v>206</v>
      </c>
      <c r="TWG136" s="367"/>
      <c r="TWH136" s="367"/>
      <c r="TWI136" s="368" t="s">
        <v>168</v>
      </c>
      <c r="TWJ136" s="369">
        <v>0.5</v>
      </c>
      <c r="TWK136" s="370" t="e">
        <f>10/TWG134</f>
        <v>#DIV/0!</v>
      </c>
      <c r="TWL136" s="371">
        <v>15.38</v>
      </c>
      <c r="TWM136" s="371" t="e">
        <f>TWJ136*TWK136*TWL136</f>
        <v>#DIV/0!</v>
      </c>
      <c r="TWN136" s="367" t="s">
        <v>206</v>
      </c>
      <c r="TWO136" s="367"/>
      <c r="TWP136" s="367"/>
      <c r="TWQ136" s="368" t="s">
        <v>168</v>
      </c>
      <c r="TWR136" s="369">
        <v>0.5</v>
      </c>
      <c r="TWS136" s="370" t="e">
        <f>10/TWO134</f>
        <v>#DIV/0!</v>
      </c>
      <c r="TWT136" s="371">
        <v>15.38</v>
      </c>
      <c r="TWU136" s="371" t="e">
        <f>TWR136*TWS136*TWT136</f>
        <v>#DIV/0!</v>
      </c>
      <c r="TWV136" s="367" t="s">
        <v>206</v>
      </c>
      <c r="TWW136" s="367"/>
      <c r="TWX136" s="367"/>
      <c r="TWY136" s="368" t="s">
        <v>168</v>
      </c>
      <c r="TWZ136" s="369">
        <v>0.5</v>
      </c>
      <c r="TXA136" s="370" t="e">
        <f>10/TWW134</f>
        <v>#DIV/0!</v>
      </c>
      <c r="TXB136" s="371">
        <v>15.38</v>
      </c>
      <c r="TXC136" s="371" t="e">
        <f>TWZ136*TXA136*TXB136</f>
        <v>#DIV/0!</v>
      </c>
      <c r="TXD136" s="367" t="s">
        <v>206</v>
      </c>
      <c r="TXE136" s="367"/>
      <c r="TXF136" s="367"/>
      <c r="TXG136" s="368" t="s">
        <v>168</v>
      </c>
      <c r="TXH136" s="369">
        <v>0.5</v>
      </c>
      <c r="TXI136" s="370" t="e">
        <f>10/TXE134</f>
        <v>#DIV/0!</v>
      </c>
      <c r="TXJ136" s="371">
        <v>15.38</v>
      </c>
      <c r="TXK136" s="371" t="e">
        <f>TXH136*TXI136*TXJ136</f>
        <v>#DIV/0!</v>
      </c>
      <c r="TXL136" s="367" t="s">
        <v>206</v>
      </c>
      <c r="TXM136" s="367"/>
      <c r="TXN136" s="367"/>
      <c r="TXO136" s="368" t="s">
        <v>168</v>
      </c>
      <c r="TXP136" s="369">
        <v>0.5</v>
      </c>
      <c r="TXQ136" s="370" t="e">
        <f>10/TXM134</f>
        <v>#DIV/0!</v>
      </c>
      <c r="TXR136" s="371">
        <v>15.38</v>
      </c>
      <c r="TXS136" s="371" t="e">
        <f>TXP136*TXQ136*TXR136</f>
        <v>#DIV/0!</v>
      </c>
      <c r="TXT136" s="367" t="s">
        <v>206</v>
      </c>
      <c r="TXU136" s="367"/>
      <c r="TXV136" s="367"/>
      <c r="TXW136" s="368" t="s">
        <v>168</v>
      </c>
      <c r="TXX136" s="369">
        <v>0.5</v>
      </c>
      <c r="TXY136" s="370" t="e">
        <f>10/TXU134</f>
        <v>#DIV/0!</v>
      </c>
      <c r="TXZ136" s="371">
        <v>15.38</v>
      </c>
      <c r="TYA136" s="371" t="e">
        <f>TXX136*TXY136*TXZ136</f>
        <v>#DIV/0!</v>
      </c>
      <c r="TYB136" s="367" t="s">
        <v>206</v>
      </c>
      <c r="TYC136" s="367"/>
      <c r="TYD136" s="367"/>
      <c r="TYE136" s="368" t="s">
        <v>168</v>
      </c>
      <c r="TYF136" s="369">
        <v>0.5</v>
      </c>
      <c r="TYG136" s="370" t="e">
        <f>10/TYC134</f>
        <v>#DIV/0!</v>
      </c>
      <c r="TYH136" s="371">
        <v>15.38</v>
      </c>
      <c r="TYI136" s="371" t="e">
        <f>TYF136*TYG136*TYH136</f>
        <v>#DIV/0!</v>
      </c>
      <c r="TYJ136" s="367" t="s">
        <v>206</v>
      </c>
      <c r="TYK136" s="367"/>
      <c r="TYL136" s="367"/>
      <c r="TYM136" s="368" t="s">
        <v>168</v>
      </c>
      <c r="TYN136" s="369">
        <v>0.5</v>
      </c>
      <c r="TYO136" s="370" t="e">
        <f>10/TYK134</f>
        <v>#DIV/0!</v>
      </c>
      <c r="TYP136" s="371">
        <v>15.38</v>
      </c>
      <c r="TYQ136" s="371" t="e">
        <f>TYN136*TYO136*TYP136</f>
        <v>#DIV/0!</v>
      </c>
      <c r="TYR136" s="367" t="s">
        <v>206</v>
      </c>
      <c r="TYS136" s="367"/>
      <c r="TYT136" s="367"/>
      <c r="TYU136" s="368" t="s">
        <v>168</v>
      </c>
      <c r="TYV136" s="369">
        <v>0.5</v>
      </c>
      <c r="TYW136" s="370" t="e">
        <f>10/TYS134</f>
        <v>#DIV/0!</v>
      </c>
      <c r="TYX136" s="371">
        <v>15.38</v>
      </c>
      <c r="TYY136" s="371" t="e">
        <f>TYV136*TYW136*TYX136</f>
        <v>#DIV/0!</v>
      </c>
      <c r="TYZ136" s="367" t="s">
        <v>206</v>
      </c>
      <c r="TZA136" s="367"/>
      <c r="TZB136" s="367"/>
      <c r="TZC136" s="368" t="s">
        <v>168</v>
      </c>
      <c r="TZD136" s="369">
        <v>0.5</v>
      </c>
      <c r="TZE136" s="370" t="e">
        <f>10/TZA134</f>
        <v>#DIV/0!</v>
      </c>
      <c r="TZF136" s="371">
        <v>15.38</v>
      </c>
      <c r="TZG136" s="371" t="e">
        <f>TZD136*TZE136*TZF136</f>
        <v>#DIV/0!</v>
      </c>
      <c r="TZH136" s="367" t="s">
        <v>206</v>
      </c>
      <c r="TZI136" s="367"/>
      <c r="TZJ136" s="367"/>
      <c r="TZK136" s="368" t="s">
        <v>168</v>
      </c>
      <c r="TZL136" s="369">
        <v>0.5</v>
      </c>
      <c r="TZM136" s="370" t="e">
        <f>10/TZI134</f>
        <v>#DIV/0!</v>
      </c>
      <c r="TZN136" s="371">
        <v>15.38</v>
      </c>
      <c r="TZO136" s="371" t="e">
        <f>TZL136*TZM136*TZN136</f>
        <v>#DIV/0!</v>
      </c>
      <c r="TZP136" s="367" t="s">
        <v>206</v>
      </c>
      <c r="TZQ136" s="367"/>
      <c r="TZR136" s="367"/>
      <c r="TZS136" s="368" t="s">
        <v>168</v>
      </c>
      <c r="TZT136" s="369">
        <v>0.5</v>
      </c>
      <c r="TZU136" s="370" t="e">
        <f>10/TZQ134</f>
        <v>#DIV/0!</v>
      </c>
      <c r="TZV136" s="371">
        <v>15.38</v>
      </c>
      <c r="TZW136" s="371" t="e">
        <f>TZT136*TZU136*TZV136</f>
        <v>#DIV/0!</v>
      </c>
      <c r="TZX136" s="367" t="s">
        <v>206</v>
      </c>
      <c r="TZY136" s="367"/>
      <c r="TZZ136" s="367"/>
      <c r="UAA136" s="368" t="s">
        <v>168</v>
      </c>
      <c r="UAB136" s="369">
        <v>0.5</v>
      </c>
      <c r="UAC136" s="370" t="e">
        <f>10/TZY134</f>
        <v>#DIV/0!</v>
      </c>
      <c r="UAD136" s="371">
        <v>15.38</v>
      </c>
      <c r="UAE136" s="371" t="e">
        <f>UAB136*UAC136*UAD136</f>
        <v>#DIV/0!</v>
      </c>
      <c r="UAF136" s="367" t="s">
        <v>206</v>
      </c>
      <c r="UAG136" s="367"/>
      <c r="UAH136" s="367"/>
      <c r="UAI136" s="368" t="s">
        <v>168</v>
      </c>
      <c r="UAJ136" s="369">
        <v>0.5</v>
      </c>
      <c r="UAK136" s="370" t="e">
        <f>10/UAG134</f>
        <v>#DIV/0!</v>
      </c>
      <c r="UAL136" s="371">
        <v>15.38</v>
      </c>
      <c r="UAM136" s="371" t="e">
        <f>UAJ136*UAK136*UAL136</f>
        <v>#DIV/0!</v>
      </c>
      <c r="UAN136" s="367" t="s">
        <v>206</v>
      </c>
      <c r="UAO136" s="367"/>
      <c r="UAP136" s="367"/>
      <c r="UAQ136" s="368" t="s">
        <v>168</v>
      </c>
      <c r="UAR136" s="369">
        <v>0.5</v>
      </c>
      <c r="UAS136" s="370" t="e">
        <f>10/UAO134</f>
        <v>#DIV/0!</v>
      </c>
      <c r="UAT136" s="371">
        <v>15.38</v>
      </c>
      <c r="UAU136" s="371" t="e">
        <f>UAR136*UAS136*UAT136</f>
        <v>#DIV/0!</v>
      </c>
      <c r="UAV136" s="367" t="s">
        <v>206</v>
      </c>
      <c r="UAW136" s="367"/>
      <c r="UAX136" s="367"/>
      <c r="UAY136" s="368" t="s">
        <v>168</v>
      </c>
      <c r="UAZ136" s="369">
        <v>0.5</v>
      </c>
      <c r="UBA136" s="370" t="e">
        <f>10/UAW134</f>
        <v>#DIV/0!</v>
      </c>
      <c r="UBB136" s="371">
        <v>15.38</v>
      </c>
      <c r="UBC136" s="371" t="e">
        <f>UAZ136*UBA136*UBB136</f>
        <v>#DIV/0!</v>
      </c>
      <c r="UBD136" s="367" t="s">
        <v>206</v>
      </c>
      <c r="UBE136" s="367"/>
      <c r="UBF136" s="367"/>
      <c r="UBG136" s="368" t="s">
        <v>168</v>
      </c>
      <c r="UBH136" s="369">
        <v>0.5</v>
      </c>
      <c r="UBI136" s="370" t="e">
        <f>10/UBE134</f>
        <v>#DIV/0!</v>
      </c>
      <c r="UBJ136" s="371">
        <v>15.38</v>
      </c>
      <c r="UBK136" s="371" t="e">
        <f>UBH136*UBI136*UBJ136</f>
        <v>#DIV/0!</v>
      </c>
      <c r="UBL136" s="367" t="s">
        <v>206</v>
      </c>
      <c r="UBM136" s="367"/>
      <c r="UBN136" s="367"/>
      <c r="UBO136" s="368" t="s">
        <v>168</v>
      </c>
      <c r="UBP136" s="369">
        <v>0.5</v>
      </c>
      <c r="UBQ136" s="370" t="e">
        <f>10/UBM134</f>
        <v>#DIV/0!</v>
      </c>
      <c r="UBR136" s="371">
        <v>15.38</v>
      </c>
      <c r="UBS136" s="371" t="e">
        <f>UBP136*UBQ136*UBR136</f>
        <v>#DIV/0!</v>
      </c>
      <c r="UBT136" s="367" t="s">
        <v>206</v>
      </c>
      <c r="UBU136" s="367"/>
      <c r="UBV136" s="367"/>
      <c r="UBW136" s="368" t="s">
        <v>168</v>
      </c>
      <c r="UBX136" s="369">
        <v>0.5</v>
      </c>
      <c r="UBY136" s="370" t="e">
        <f>10/UBU134</f>
        <v>#DIV/0!</v>
      </c>
      <c r="UBZ136" s="371">
        <v>15.38</v>
      </c>
      <c r="UCA136" s="371" t="e">
        <f>UBX136*UBY136*UBZ136</f>
        <v>#DIV/0!</v>
      </c>
      <c r="UCB136" s="367" t="s">
        <v>206</v>
      </c>
      <c r="UCC136" s="367"/>
      <c r="UCD136" s="367"/>
      <c r="UCE136" s="368" t="s">
        <v>168</v>
      </c>
      <c r="UCF136" s="369">
        <v>0.5</v>
      </c>
      <c r="UCG136" s="370" t="e">
        <f>10/UCC134</f>
        <v>#DIV/0!</v>
      </c>
      <c r="UCH136" s="371">
        <v>15.38</v>
      </c>
      <c r="UCI136" s="371" t="e">
        <f>UCF136*UCG136*UCH136</f>
        <v>#DIV/0!</v>
      </c>
      <c r="UCJ136" s="367" t="s">
        <v>206</v>
      </c>
      <c r="UCK136" s="367"/>
      <c r="UCL136" s="367"/>
      <c r="UCM136" s="368" t="s">
        <v>168</v>
      </c>
      <c r="UCN136" s="369">
        <v>0.5</v>
      </c>
      <c r="UCO136" s="370" t="e">
        <f>10/UCK134</f>
        <v>#DIV/0!</v>
      </c>
      <c r="UCP136" s="371">
        <v>15.38</v>
      </c>
      <c r="UCQ136" s="371" t="e">
        <f>UCN136*UCO136*UCP136</f>
        <v>#DIV/0!</v>
      </c>
      <c r="UCR136" s="367" t="s">
        <v>206</v>
      </c>
      <c r="UCS136" s="367"/>
      <c r="UCT136" s="367"/>
      <c r="UCU136" s="368" t="s">
        <v>168</v>
      </c>
      <c r="UCV136" s="369">
        <v>0.5</v>
      </c>
      <c r="UCW136" s="370" t="e">
        <f>10/UCS134</f>
        <v>#DIV/0!</v>
      </c>
      <c r="UCX136" s="371">
        <v>15.38</v>
      </c>
      <c r="UCY136" s="371" t="e">
        <f>UCV136*UCW136*UCX136</f>
        <v>#DIV/0!</v>
      </c>
      <c r="UCZ136" s="367" t="s">
        <v>206</v>
      </c>
      <c r="UDA136" s="367"/>
      <c r="UDB136" s="367"/>
      <c r="UDC136" s="368" t="s">
        <v>168</v>
      </c>
      <c r="UDD136" s="369">
        <v>0.5</v>
      </c>
      <c r="UDE136" s="370" t="e">
        <f>10/UDA134</f>
        <v>#DIV/0!</v>
      </c>
      <c r="UDF136" s="371">
        <v>15.38</v>
      </c>
      <c r="UDG136" s="371" t="e">
        <f>UDD136*UDE136*UDF136</f>
        <v>#DIV/0!</v>
      </c>
      <c r="UDH136" s="367" t="s">
        <v>206</v>
      </c>
      <c r="UDI136" s="367"/>
      <c r="UDJ136" s="367"/>
      <c r="UDK136" s="368" t="s">
        <v>168</v>
      </c>
      <c r="UDL136" s="369">
        <v>0.5</v>
      </c>
      <c r="UDM136" s="370" t="e">
        <f>10/UDI134</f>
        <v>#DIV/0!</v>
      </c>
      <c r="UDN136" s="371">
        <v>15.38</v>
      </c>
      <c r="UDO136" s="371" t="e">
        <f>UDL136*UDM136*UDN136</f>
        <v>#DIV/0!</v>
      </c>
      <c r="UDP136" s="367" t="s">
        <v>206</v>
      </c>
      <c r="UDQ136" s="367"/>
      <c r="UDR136" s="367"/>
      <c r="UDS136" s="368" t="s">
        <v>168</v>
      </c>
      <c r="UDT136" s="369">
        <v>0.5</v>
      </c>
      <c r="UDU136" s="370" t="e">
        <f>10/UDQ134</f>
        <v>#DIV/0!</v>
      </c>
      <c r="UDV136" s="371">
        <v>15.38</v>
      </c>
      <c r="UDW136" s="371" t="e">
        <f>UDT136*UDU136*UDV136</f>
        <v>#DIV/0!</v>
      </c>
      <c r="UDX136" s="367" t="s">
        <v>206</v>
      </c>
      <c r="UDY136" s="367"/>
      <c r="UDZ136" s="367"/>
      <c r="UEA136" s="368" t="s">
        <v>168</v>
      </c>
      <c r="UEB136" s="369">
        <v>0.5</v>
      </c>
      <c r="UEC136" s="370" t="e">
        <f>10/UDY134</f>
        <v>#DIV/0!</v>
      </c>
      <c r="UED136" s="371">
        <v>15.38</v>
      </c>
      <c r="UEE136" s="371" t="e">
        <f>UEB136*UEC136*UED136</f>
        <v>#DIV/0!</v>
      </c>
      <c r="UEF136" s="367" t="s">
        <v>206</v>
      </c>
      <c r="UEG136" s="367"/>
      <c r="UEH136" s="367"/>
      <c r="UEI136" s="368" t="s">
        <v>168</v>
      </c>
      <c r="UEJ136" s="369">
        <v>0.5</v>
      </c>
      <c r="UEK136" s="370" t="e">
        <f>10/UEG134</f>
        <v>#DIV/0!</v>
      </c>
      <c r="UEL136" s="371">
        <v>15.38</v>
      </c>
      <c r="UEM136" s="371" t="e">
        <f>UEJ136*UEK136*UEL136</f>
        <v>#DIV/0!</v>
      </c>
      <c r="UEN136" s="367" t="s">
        <v>206</v>
      </c>
      <c r="UEO136" s="367"/>
      <c r="UEP136" s="367"/>
      <c r="UEQ136" s="368" t="s">
        <v>168</v>
      </c>
      <c r="UER136" s="369">
        <v>0.5</v>
      </c>
      <c r="UES136" s="370" t="e">
        <f>10/UEO134</f>
        <v>#DIV/0!</v>
      </c>
      <c r="UET136" s="371">
        <v>15.38</v>
      </c>
      <c r="UEU136" s="371" t="e">
        <f>UER136*UES136*UET136</f>
        <v>#DIV/0!</v>
      </c>
      <c r="UEV136" s="367" t="s">
        <v>206</v>
      </c>
      <c r="UEW136" s="367"/>
      <c r="UEX136" s="367"/>
      <c r="UEY136" s="368" t="s">
        <v>168</v>
      </c>
      <c r="UEZ136" s="369">
        <v>0.5</v>
      </c>
      <c r="UFA136" s="370" t="e">
        <f>10/UEW134</f>
        <v>#DIV/0!</v>
      </c>
      <c r="UFB136" s="371">
        <v>15.38</v>
      </c>
      <c r="UFC136" s="371" t="e">
        <f>UEZ136*UFA136*UFB136</f>
        <v>#DIV/0!</v>
      </c>
      <c r="UFD136" s="367" t="s">
        <v>206</v>
      </c>
      <c r="UFE136" s="367"/>
      <c r="UFF136" s="367"/>
      <c r="UFG136" s="368" t="s">
        <v>168</v>
      </c>
      <c r="UFH136" s="369">
        <v>0.5</v>
      </c>
      <c r="UFI136" s="370" t="e">
        <f>10/UFE134</f>
        <v>#DIV/0!</v>
      </c>
      <c r="UFJ136" s="371">
        <v>15.38</v>
      </c>
      <c r="UFK136" s="371" t="e">
        <f>UFH136*UFI136*UFJ136</f>
        <v>#DIV/0!</v>
      </c>
      <c r="UFL136" s="367" t="s">
        <v>206</v>
      </c>
      <c r="UFM136" s="367"/>
      <c r="UFN136" s="367"/>
      <c r="UFO136" s="368" t="s">
        <v>168</v>
      </c>
      <c r="UFP136" s="369">
        <v>0.5</v>
      </c>
      <c r="UFQ136" s="370" t="e">
        <f>10/UFM134</f>
        <v>#DIV/0!</v>
      </c>
      <c r="UFR136" s="371">
        <v>15.38</v>
      </c>
      <c r="UFS136" s="371" t="e">
        <f>UFP136*UFQ136*UFR136</f>
        <v>#DIV/0!</v>
      </c>
      <c r="UFT136" s="367" t="s">
        <v>206</v>
      </c>
      <c r="UFU136" s="367"/>
      <c r="UFV136" s="367"/>
      <c r="UFW136" s="368" t="s">
        <v>168</v>
      </c>
      <c r="UFX136" s="369">
        <v>0.5</v>
      </c>
      <c r="UFY136" s="370" t="e">
        <f>10/UFU134</f>
        <v>#DIV/0!</v>
      </c>
      <c r="UFZ136" s="371">
        <v>15.38</v>
      </c>
      <c r="UGA136" s="371" t="e">
        <f>UFX136*UFY136*UFZ136</f>
        <v>#DIV/0!</v>
      </c>
      <c r="UGB136" s="367" t="s">
        <v>206</v>
      </c>
      <c r="UGC136" s="367"/>
      <c r="UGD136" s="367"/>
      <c r="UGE136" s="368" t="s">
        <v>168</v>
      </c>
      <c r="UGF136" s="369">
        <v>0.5</v>
      </c>
      <c r="UGG136" s="370" t="e">
        <f>10/UGC134</f>
        <v>#DIV/0!</v>
      </c>
      <c r="UGH136" s="371">
        <v>15.38</v>
      </c>
      <c r="UGI136" s="371" t="e">
        <f>UGF136*UGG136*UGH136</f>
        <v>#DIV/0!</v>
      </c>
      <c r="UGJ136" s="367" t="s">
        <v>206</v>
      </c>
      <c r="UGK136" s="367"/>
      <c r="UGL136" s="367"/>
      <c r="UGM136" s="368" t="s">
        <v>168</v>
      </c>
      <c r="UGN136" s="369">
        <v>0.5</v>
      </c>
      <c r="UGO136" s="370" t="e">
        <f>10/UGK134</f>
        <v>#DIV/0!</v>
      </c>
      <c r="UGP136" s="371">
        <v>15.38</v>
      </c>
      <c r="UGQ136" s="371" t="e">
        <f>UGN136*UGO136*UGP136</f>
        <v>#DIV/0!</v>
      </c>
      <c r="UGR136" s="367" t="s">
        <v>206</v>
      </c>
      <c r="UGS136" s="367"/>
      <c r="UGT136" s="367"/>
      <c r="UGU136" s="368" t="s">
        <v>168</v>
      </c>
      <c r="UGV136" s="369">
        <v>0.5</v>
      </c>
      <c r="UGW136" s="370" t="e">
        <f>10/UGS134</f>
        <v>#DIV/0!</v>
      </c>
      <c r="UGX136" s="371">
        <v>15.38</v>
      </c>
      <c r="UGY136" s="371" t="e">
        <f>UGV136*UGW136*UGX136</f>
        <v>#DIV/0!</v>
      </c>
      <c r="UGZ136" s="367" t="s">
        <v>206</v>
      </c>
      <c r="UHA136" s="367"/>
      <c r="UHB136" s="367"/>
      <c r="UHC136" s="368" t="s">
        <v>168</v>
      </c>
      <c r="UHD136" s="369">
        <v>0.5</v>
      </c>
      <c r="UHE136" s="370" t="e">
        <f>10/UHA134</f>
        <v>#DIV/0!</v>
      </c>
      <c r="UHF136" s="371">
        <v>15.38</v>
      </c>
      <c r="UHG136" s="371" t="e">
        <f>UHD136*UHE136*UHF136</f>
        <v>#DIV/0!</v>
      </c>
      <c r="UHH136" s="367" t="s">
        <v>206</v>
      </c>
      <c r="UHI136" s="367"/>
      <c r="UHJ136" s="367"/>
      <c r="UHK136" s="368" t="s">
        <v>168</v>
      </c>
      <c r="UHL136" s="369">
        <v>0.5</v>
      </c>
      <c r="UHM136" s="370" t="e">
        <f>10/UHI134</f>
        <v>#DIV/0!</v>
      </c>
      <c r="UHN136" s="371">
        <v>15.38</v>
      </c>
      <c r="UHO136" s="371" t="e">
        <f>UHL136*UHM136*UHN136</f>
        <v>#DIV/0!</v>
      </c>
      <c r="UHP136" s="367" t="s">
        <v>206</v>
      </c>
      <c r="UHQ136" s="367"/>
      <c r="UHR136" s="367"/>
      <c r="UHS136" s="368" t="s">
        <v>168</v>
      </c>
      <c r="UHT136" s="369">
        <v>0.5</v>
      </c>
      <c r="UHU136" s="370" t="e">
        <f>10/UHQ134</f>
        <v>#DIV/0!</v>
      </c>
      <c r="UHV136" s="371">
        <v>15.38</v>
      </c>
      <c r="UHW136" s="371" t="e">
        <f>UHT136*UHU136*UHV136</f>
        <v>#DIV/0!</v>
      </c>
      <c r="UHX136" s="367" t="s">
        <v>206</v>
      </c>
      <c r="UHY136" s="367"/>
      <c r="UHZ136" s="367"/>
      <c r="UIA136" s="368" t="s">
        <v>168</v>
      </c>
      <c r="UIB136" s="369">
        <v>0.5</v>
      </c>
      <c r="UIC136" s="370" t="e">
        <f>10/UHY134</f>
        <v>#DIV/0!</v>
      </c>
      <c r="UID136" s="371">
        <v>15.38</v>
      </c>
      <c r="UIE136" s="371" t="e">
        <f>UIB136*UIC136*UID136</f>
        <v>#DIV/0!</v>
      </c>
      <c r="UIF136" s="367" t="s">
        <v>206</v>
      </c>
      <c r="UIG136" s="367"/>
      <c r="UIH136" s="367"/>
      <c r="UII136" s="368" t="s">
        <v>168</v>
      </c>
      <c r="UIJ136" s="369">
        <v>0.5</v>
      </c>
      <c r="UIK136" s="370" t="e">
        <f>10/UIG134</f>
        <v>#DIV/0!</v>
      </c>
      <c r="UIL136" s="371">
        <v>15.38</v>
      </c>
      <c r="UIM136" s="371" t="e">
        <f>UIJ136*UIK136*UIL136</f>
        <v>#DIV/0!</v>
      </c>
      <c r="UIN136" s="367" t="s">
        <v>206</v>
      </c>
      <c r="UIO136" s="367"/>
      <c r="UIP136" s="367"/>
      <c r="UIQ136" s="368" t="s">
        <v>168</v>
      </c>
      <c r="UIR136" s="369">
        <v>0.5</v>
      </c>
      <c r="UIS136" s="370" t="e">
        <f>10/UIO134</f>
        <v>#DIV/0!</v>
      </c>
      <c r="UIT136" s="371">
        <v>15.38</v>
      </c>
      <c r="UIU136" s="371" t="e">
        <f>UIR136*UIS136*UIT136</f>
        <v>#DIV/0!</v>
      </c>
      <c r="UIV136" s="367" t="s">
        <v>206</v>
      </c>
      <c r="UIW136" s="367"/>
      <c r="UIX136" s="367"/>
      <c r="UIY136" s="368" t="s">
        <v>168</v>
      </c>
      <c r="UIZ136" s="369">
        <v>0.5</v>
      </c>
      <c r="UJA136" s="370" t="e">
        <f>10/UIW134</f>
        <v>#DIV/0!</v>
      </c>
      <c r="UJB136" s="371">
        <v>15.38</v>
      </c>
      <c r="UJC136" s="371" t="e">
        <f>UIZ136*UJA136*UJB136</f>
        <v>#DIV/0!</v>
      </c>
      <c r="UJD136" s="367" t="s">
        <v>206</v>
      </c>
      <c r="UJE136" s="367"/>
      <c r="UJF136" s="367"/>
      <c r="UJG136" s="368" t="s">
        <v>168</v>
      </c>
      <c r="UJH136" s="369">
        <v>0.5</v>
      </c>
      <c r="UJI136" s="370" t="e">
        <f>10/UJE134</f>
        <v>#DIV/0!</v>
      </c>
      <c r="UJJ136" s="371">
        <v>15.38</v>
      </c>
      <c r="UJK136" s="371" t="e">
        <f>UJH136*UJI136*UJJ136</f>
        <v>#DIV/0!</v>
      </c>
      <c r="UJL136" s="367" t="s">
        <v>206</v>
      </c>
      <c r="UJM136" s="367"/>
      <c r="UJN136" s="367"/>
      <c r="UJO136" s="368" t="s">
        <v>168</v>
      </c>
      <c r="UJP136" s="369">
        <v>0.5</v>
      </c>
      <c r="UJQ136" s="370" t="e">
        <f>10/UJM134</f>
        <v>#DIV/0!</v>
      </c>
      <c r="UJR136" s="371">
        <v>15.38</v>
      </c>
      <c r="UJS136" s="371" t="e">
        <f>UJP136*UJQ136*UJR136</f>
        <v>#DIV/0!</v>
      </c>
      <c r="UJT136" s="367" t="s">
        <v>206</v>
      </c>
      <c r="UJU136" s="367"/>
      <c r="UJV136" s="367"/>
      <c r="UJW136" s="368" t="s">
        <v>168</v>
      </c>
      <c r="UJX136" s="369">
        <v>0.5</v>
      </c>
      <c r="UJY136" s="370" t="e">
        <f>10/UJU134</f>
        <v>#DIV/0!</v>
      </c>
      <c r="UJZ136" s="371">
        <v>15.38</v>
      </c>
      <c r="UKA136" s="371" t="e">
        <f>UJX136*UJY136*UJZ136</f>
        <v>#DIV/0!</v>
      </c>
      <c r="UKB136" s="367" t="s">
        <v>206</v>
      </c>
      <c r="UKC136" s="367"/>
      <c r="UKD136" s="367"/>
      <c r="UKE136" s="368" t="s">
        <v>168</v>
      </c>
      <c r="UKF136" s="369">
        <v>0.5</v>
      </c>
      <c r="UKG136" s="370" t="e">
        <f>10/UKC134</f>
        <v>#DIV/0!</v>
      </c>
      <c r="UKH136" s="371">
        <v>15.38</v>
      </c>
      <c r="UKI136" s="371" t="e">
        <f>UKF136*UKG136*UKH136</f>
        <v>#DIV/0!</v>
      </c>
      <c r="UKJ136" s="367" t="s">
        <v>206</v>
      </c>
      <c r="UKK136" s="367"/>
      <c r="UKL136" s="367"/>
      <c r="UKM136" s="368" t="s">
        <v>168</v>
      </c>
      <c r="UKN136" s="369">
        <v>0.5</v>
      </c>
      <c r="UKO136" s="370" t="e">
        <f>10/UKK134</f>
        <v>#DIV/0!</v>
      </c>
      <c r="UKP136" s="371">
        <v>15.38</v>
      </c>
      <c r="UKQ136" s="371" t="e">
        <f>UKN136*UKO136*UKP136</f>
        <v>#DIV/0!</v>
      </c>
      <c r="UKR136" s="367" t="s">
        <v>206</v>
      </c>
      <c r="UKS136" s="367"/>
      <c r="UKT136" s="367"/>
      <c r="UKU136" s="368" t="s">
        <v>168</v>
      </c>
      <c r="UKV136" s="369">
        <v>0.5</v>
      </c>
      <c r="UKW136" s="370" t="e">
        <f>10/UKS134</f>
        <v>#DIV/0!</v>
      </c>
      <c r="UKX136" s="371">
        <v>15.38</v>
      </c>
      <c r="UKY136" s="371" t="e">
        <f>UKV136*UKW136*UKX136</f>
        <v>#DIV/0!</v>
      </c>
      <c r="UKZ136" s="367" t="s">
        <v>206</v>
      </c>
      <c r="ULA136" s="367"/>
      <c r="ULB136" s="367"/>
      <c r="ULC136" s="368" t="s">
        <v>168</v>
      </c>
      <c r="ULD136" s="369">
        <v>0.5</v>
      </c>
      <c r="ULE136" s="370" t="e">
        <f>10/ULA134</f>
        <v>#DIV/0!</v>
      </c>
      <c r="ULF136" s="371">
        <v>15.38</v>
      </c>
      <c r="ULG136" s="371" t="e">
        <f>ULD136*ULE136*ULF136</f>
        <v>#DIV/0!</v>
      </c>
      <c r="ULH136" s="367" t="s">
        <v>206</v>
      </c>
      <c r="ULI136" s="367"/>
      <c r="ULJ136" s="367"/>
      <c r="ULK136" s="368" t="s">
        <v>168</v>
      </c>
      <c r="ULL136" s="369">
        <v>0.5</v>
      </c>
      <c r="ULM136" s="370" t="e">
        <f>10/ULI134</f>
        <v>#DIV/0!</v>
      </c>
      <c r="ULN136" s="371">
        <v>15.38</v>
      </c>
      <c r="ULO136" s="371" t="e">
        <f>ULL136*ULM136*ULN136</f>
        <v>#DIV/0!</v>
      </c>
      <c r="ULP136" s="367" t="s">
        <v>206</v>
      </c>
      <c r="ULQ136" s="367"/>
      <c r="ULR136" s="367"/>
      <c r="ULS136" s="368" t="s">
        <v>168</v>
      </c>
      <c r="ULT136" s="369">
        <v>0.5</v>
      </c>
      <c r="ULU136" s="370" t="e">
        <f>10/ULQ134</f>
        <v>#DIV/0!</v>
      </c>
      <c r="ULV136" s="371">
        <v>15.38</v>
      </c>
      <c r="ULW136" s="371" t="e">
        <f>ULT136*ULU136*ULV136</f>
        <v>#DIV/0!</v>
      </c>
      <c r="ULX136" s="367" t="s">
        <v>206</v>
      </c>
      <c r="ULY136" s="367"/>
      <c r="ULZ136" s="367"/>
      <c r="UMA136" s="368" t="s">
        <v>168</v>
      </c>
      <c r="UMB136" s="369">
        <v>0.5</v>
      </c>
      <c r="UMC136" s="370" t="e">
        <f>10/ULY134</f>
        <v>#DIV/0!</v>
      </c>
      <c r="UMD136" s="371">
        <v>15.38</v>
      </c>
      <c r="UME136" s="371" t="e">
        <f>UMB136*UMC136*UMD136</f>
        <v>#DIV/0!</v>
      </c>
      <c r="UMF136" s="367" t="s">
        <v>206</v>
      </c>
      <c r="UMG136" s="367"/>
      <c r="UMH136" s="367"/>
      <c r="UMI136" s="368" t="s">
        <v>168</v>
      </c>
      <c r="UMJ136" s="369">
        <v>0.5</v>
      </c>
      <c r="UMK136" s="370" t="e">
        <f>10/UMG134</f>
        <v>#DIV/0!</v>
      </c>
      <c r="UML136" s="371">
        <v>15.38</v>
      </c>
      <c r="UMM136" s="371" t="e">
        <f>UMJ136*UMK136*UML136</f>
        <v>#DIV/0!</v>
      </c>
      <c r="UMN136" s="367" t="s">
        <v>206</v>
      </c>
      <c r="UMO136" s="367"/>
      <c r="UMP136" s="367"/>
      <c r="UMQ136" s="368" t="s">
        <v>168</v>
      </c>
      <c r="UMR136" s="369">
        <v>0.5</v>
      </c>
      <c r="UMS136" s="370" t="e">
        <f>10/UMO134</f>
        <v>#DIV/0!</v>
      </c>
      <c r="UMT136" s="371">
        <v>15.38</v>
      </c>
      <c r="UMU136" s="371" t="e">
        <f>UMR136*UMS136*UMT136</f>
        <v>#DIV/0!</v>
      </c>
      <c r="UMV136" s="367" t="s">
        <v>206</v>
      </c>
      <c r="UMW136" s="367"/>
      <c r="UMX136" s="367"/>
      <c r="UMY136" s="368" t="s">
        <v>168</v>
      </c>
      <c r="UMZ136" s="369">
        <v>0.5</v>
      </c>
      <c r="UNA136" s="370" t="e">
        <f>10/UMW134</f>
        <v>#DIV/0!</v>
      </c>
      <c r="UNB136" s="371">
        <v>15.38</v>
      </c>
      <c r="UNC136" s="371" t="e">
        <f>UMZ136*UNA136*UNB136</f>
        <v>#DIV/0!</v>
      </c>
      <c r="UND136" s="367" t="s">
        <v>206</v>
      </c>
      <c r="UNE136" s="367"/>
      <c r="UNF136" s="367"/>
      <c r="UNG136" s="368" t="s">
        <v>168</v>
      </c>
      <c r="UNH136" s="369">
        <v>0.5</v>
      </c>
      <c r="UNI136" s="370" t="e">
        <f>10/UNE134</f>
        <v>#DIV/0!</v>
      </c>
      <c r="UNJ136" s="371">
        <v>15.38</v>
      </c>
      <c r="UNK136" s="371" t="e">
        <f>UNH136*UNI136*UNJ136</f>
        <v>#DIV/0!</v>
      </c>
      <c r="UNL136" s="367" t="s">
        <v>206</v>
      </c>
      <c r="UNM136" s="367"/>
      <c r="UNN136" s="367"/>
      <c r="UNO136" s="368" t="s">
        <v>168</v>
      </c>
      <c r="UNP136" s="369">
        <v>0.5</v>
      </c>
      <c r="UNQ136" s="370" t="e">
        <f>10/UNM134</f>
        <v>#DIV/0!</v>
      </c>
      <c r="UNR136" s="371">
        <v>15.38</v>
      </c>
      <c r="UNS136" s="371" t="e">
        <f>UNP136*UNQ136*UNR136</f>
        <v>#DIV/0!</v>
      </c>
      <c r="UNT136" s="367" t="s">
        <v>206</v>
      </c>
      <c r="UNU136" s="367"/>
      <c r="UNV136" s="367"/>
      <c r="UNW136" s="368" t="s">
        <v>168</v>
      </c>
      <c r="UNX136" s="369">
        <v>0.5</v>
      </c>
      <c r="UNY136" s="370" t="e">
        <f>10/UNU134</f>
        <v>#DIV/0!</v>
      </c>
      <c r="UNZ136" s="371">
        <v>15.38</v>
      </c>
      <c r="UOA136" s="371" t="e">
        <f>UNX136*UNY136*UNZ136</f>
        <v>#DIV/0!</v>
      </c>
      <c r="UOB136" s="367" t="s">
        <v>206</v>
      </c>
      <c r="UOC136" s="367"/>
      <c r="UOD136" s="367"/>
      <c r="UOE136" s="368" t="s">
        <v>168</v>
      </c>
      <c r="UOF136" s="369">
        <v>0.5</v>
      </c>
      <c r="UOG136" s="370" t="e">
        <f>10/UOC134</f>
        <v>#DIV/0!</v>
      </c>
      <c r="UOH136" s="371">
        <v>15.38</v>
      </c>
      <c r="UOI136" s="371" t="e">
        <f>UOF136*UOG136*UOH136</f>
        <v>#DIV/0!</v>
      </c>
      <c r="UOJ136" s="367" t="s">
        <v>206</v>
      </c>
      <c r="UOK136" s="367"/>
      <c r="UOL136" s="367"/>
      <c r="UOM136" s="368" t="s">
        <v>168</v>
      </c>
      <c r="UON136" s="369">
        <v>0.5</v>
      </c>
      <c r="UOO136" s="370" t="e">
        <f>10/UOK134</f>
        <v>#DIV/0!</v>
      </c>
      <c r="UOP136" s="371">
        <v>15.38</v>
      </c>
      <c r="UOQ136" s="371" t="e">
        <f>UON136*UOO136*UOP136</f>
        <v>#DIV/0!</v>
      </c>
      <c r="UOR136" s="367" t="s">
        <v>206</v>
      </c>
      <c r="UOS136" s="367"/>
      <c r="UOT136" s="367"/>
      <c r="UOU136" s="368" t="s">
        <v>168</v>
      </c>
      <c r="UOV136" s="369">
        <v>0.5</v>
      </c>
      <c r="UOW136" s="370" t="e">
        <f>10/UOS134</f>
        <v>#DIV/0!</v>
      </c>
      <c r="UOX136" s="371">
        <v>15.38</v>
      </c>
      <c r="UOY136" s="371" t="e">
        <f>UOV136*UOW136*UOX136</f>
        <v>#DIV/0!</v>
      </c>
      <c r="UOZ136" s="367" t="s">
        <v>206</v>
      </c>
      <c r="UPA136" s="367"/>
      <c r="UPB136" s="367"/>
      <c r="UPC136" s="368" t="s">
        <v>168</v>
      </c>
      <c r="UPD136" s="369">
        <v>0.5</v>
      </c>
      <c r="UPE136" s="370" t="e">
        <f>10/UPA134</f>
        <v>#DIV/0!</v>
      </c>
      <c r="UPF136" s="371">
        <v>15.38</v>
      </c>
      <c r="UPG136" s="371" t="e">
        <f>UPD136*UPE136*UPF136</f>
        <v>#DIV/0!</v>
      </c>
      <c r="UPH136" s="367" t="s">
        <v>206</v>
      </c>
      <c r="UPI136" s="367"/>
      <c r="UPJ136" s="367"/>
      <c r="UPK136" s="368" t="s">
        <v>168</v>
      </c>
      <c r="UPL136" s="369">
        <v>0.5</v>
      </c>
      <c r="UPM136" s="370" t="e">
        <f>10/UPI134</f>
        <v>#DIV/0!</v>
      </c>
      <c r="UPN136" s="371">
        <v>15.38</v>
      </c>
      <c r="UPO136" s="371" t="e">
        <f>UPL136*UPM136*UPN136</f>
        <v>#DIV/0!</v>
      </c>
      <c r="UPP136" s="367" t="s">
        <v>206</v>
      </c>
      <c r="UPQ136" s="367"/>
      <c r="UPR136" s="367"/>
      <c r="UPS136" s="368" t="s">
        <v>168</v>
      </c>
      <c r="UPT136" s="369">
        <v>0.5</v>
      </c>
      <c r="UPU136" s="370" t="e">
        <f>10/UPQ134</f>
        <v>#DIV/0!</v>
      </c>
      <c r="UPV136" s="371">
        <v>15.38</v>
      </c>
      <c r="UPW136" s="371" t="e">
        <f>UPT136*UPU136*UPV136</f>
        <v>#DIV/0!</v>
      </c>
      <c r="UPX136" s="367" t="s">
        <v>206</v>
      </c>
      <c r="UPY136" s="367"/>
      <c r="UPZ136" s="367"/>
      <c r="UQA136" s="368" t="s">
        <v>168</v>
      </c>
      <c r="UQB136" s="369">
        <v>0.5</v>
      </c>
      <c r="UQC136" s="370" t="e">
        <f>10/UPY134</f>
        <v>#DIV/0!</v>
      </c>
      <c r="UQD136" s="371">
        <v>15.38</v>
      </c>
      <c r="UQE136" s="371" t="e">
        <f>UQB136*UQC136*UQD136</f>
        <v>#DIV/0!</v>
      </c>
      <c r="UQF136" s="367" t="s">
        <v>206</v>
      </c>
      <c r="UQG136" s="367"/>
      <c r="UQH136" s="367"/>
      <c r="UQI136" s="368" t="s">
        <v>168</v>
      </c>
      <c r="UQJ136" s="369">
        <v>0.5</v>
      </c>
      <c r="UQK136" s="370" t="e">
        <f>10/UQG134</f>
        <v>#DIV/0!</v>
      </c>
      <c r="UQL136" s="371">
        <v>15.38</v>
      </c>
      <c r="UQM136" s="371" t="e">
        <f>UQJ136*UQK136*UQL136</f>
        <v>#DIV/0!</v>
      </c>
      <c r="UQN136" s="367" t="s">
        <v>206</v>
      </c>
      <c r="UQO136" s="367"/>
      <c r="UQP136" s="367"/>
      <c r="UQQ136" s="368" t="s">
        <v>168</v>
      </c>
      <c r="UQR136" s="369">
        <v>0.5</v>
      </c>
      <c r="UQS136" s="370" t="e">
        <f>10/UQO134</f>
        <v>#DIV/0!</v>
      </c>
      <c r="UQT136" s="371">
        <v>15.38</v>
      </c>
      <c r="UQU136" s="371" t="e">
        <f>UQR136*UQS136*UQT136</f>
        <v>#DIV/0!</v>
      </c>
      <c r="UQV136" s="367" t="s">
        <v>206</v>
      </c>
      <c r="UQW136" s="367"/>
      <c r="UQX136" s="367"/>
      <c r="UQY136" s="368" t="s">
        <v>168</v>
      </c>
      <c r="UQZ136" s="369">
        <v>0.5</v>
      </c>
      <c r="URA136" s="370" t="e">
        <f>10/UQW134</f>
        <v>#DIV/0!</v>
      </c>
      <c r="URB136" s="371">
        <v>15.38</v>
      </c>
      <c r="URC136" s="371" t="e">
        <f>UQZ136*URA136*URB136</f>
        <v>#DIV/0!</v>
      </c>
      <c r="URD136" s="367" t="s">
        <v>206</v>
      </c>
      <c r="URE136" s="367"/>
      <c r="URF136" s="367"/>
      <c r="URG136" s="368" t="s">
        <v>168</v>
      </c>
      <c r="URH136" s="369">
        <v>0.5</v>
      </c>
      <c r="URI136" s="370" t="e">
        <f>10/URE134</f>
        <v>#DIV/0!</v>
      </c>
      <c r="URJ136" s="371">
        <v>15.38</v>
      </c>
      <c r="URK136" s="371" t="e">
        <f>URH136*URI136*URJ136</f>
        <v>#DIV/0!</v>
      </c>
      <c r="URL136" s="367" t="s">
        <v>206</v>
      </c>
      <c r="URM136" s="367"/>
      <c r="URN136" s="367"/>
      <c r="URO136" s="368" t="s">
        <v>168</v>
      </c>
      <c r="URP136" s="369">
        <v>0.5</v>
      </c>
      <c r="URQ136" s="370" t="e">
        <f>10/URM134</f>
        <v>#DIV/0!</v>
      </c>
      <c r="URR136" s="371">
        <v>15.38</v>
      </c>
      <c r="URS136" s="371" t="e">
        <f>URP136*URQ136*URR136</f>
        <v>#DIV/0!</v>
      </c>
      <c r="URT136" s="367" t="s">
        <v>206</v>
      </c>
      <c r="URU136" s="367"/>
      <c r="URV136" s="367"/>
      <c r="URW136" s="368" t="s">
        <v>168</v>
      </c>
      <c r="URX136" s="369">
        <v>0.5</v>
      </c>
      <c r="URY136" s="370" t="e">
        <f>10/URU134</f>
        <v>#DIV/0!</v>
      </c>
      <c r="URZ136" s="371">
        <v>15.38</v>
      </c>
      <c r="USA136" s="371" t="e">
        <f>URX136*URY136*URZ136</f>
        <v>#DIV/0!</v>
      </c>
      <c r="USB136" s="367" t="s">
        <v>206</v>
      </c>
      <c r="USC136" s="367"/>
      <c r="USD136" s="367"/>
      <c r="USE136" s="368" t="s">
        <v>168</v>
      </c>
      <c r="USF136" s="369">
        <v>0.5</v>
      </c>
      <c r="USG136" s="370" t="e">
        <f>10/USC134</f>
        <v>#DIV/0!</v>
      </c>
      <c r="USH136" s="371">
        <v>15.38</v>
      </c>
      <c r="USI136" s="371" t="e">
        <f>USF136*USG136*USH136</f>
        <v>#DIV/0!</v>
      </c>
      <c r="USJ136" s="367" t="s">
        <v>206</v>
      </c>
      <c r="USK136" s="367"/>
      <c r="USL136" s="367"/>
      <c r="USM136" s="368" t="s">
        <v>168</v>
      </c>
      <c r="USN136" s="369">
        <v>0.5</v>
      </c>
      <c r="USO136" s="370" t="e">
        <f>10/USK134</f>
        <v>#DIV/0!</v>
      </c>
      <c r="USP136" s="371">
        <v>15.38</v>
      </c>
      <c r="USQ136" s="371" t="e">
        <f>USN136*USO136*USP136</f>
        <v>#DIV/0!</v>
      </c>
      <c r="USR136" s="367" t="s">
        <v>206</v>
      </c>
      <c r="USS136" s="367"/>
      <c r="UST136" s="367"/>
      <c r="USU136" s="368" t="s">
        <v>168</v>
      </c>
      <c r="USV136" s="369">
        <v>0.5</v>
      </c>
      <c r="USW136" s="370" t="e">
        <f>10/USS134</f>
        <v>#DIV/0!</v>
      </c>
      <c r="USX136" s="371">
        <v>15.38</v>
      </c>
      <c r="USY136" s="371" t="e">
        <f>USV136*USW136*USX136</f>
        <v>#DIV/0!</v>
      </c>
      <c r="USZ136" s="367" t="s">
        <v>206</v>
      </c>
      <c r="UTA136" s="367"/>
      <c r="UTB136" s="367"/>
      <c r="UTC136" s="368" t="s">
        <v>168</v>
      </c>
      <c r="UTD136" s="369">
        <v>0.5</v>
      </c>
      <c r="UTE136" s="370" t="e">
        <f>10/UTA134</f>
        <v>#DIV/0!</v>
      </c>
      <c r="UTF136" s="371">
        <v>15.38</v>
      </c>
      <c r="UTG136" s="371" t="e">
        <f>UTD136*UTE136*UTF136</f>
        <v>#DIV/0!</v>
      </c>
      <c r="UTH136" s="367" t="s">
        <v>206</v>
      </c>
      <c r="UTI136" s="367"/>
      <c r="UTJ136" s="367"/>
      <c r="UTK136" s="368" t="s">
        <v>168</v>
      </c>
      <c r="UTL136" s="369">
        <v>0.5</v>
      </c>
      <c r="UTM136" s="370" t="e">
        <f>10/UTI134</f>
        <v>#DIV/0!</v>
      </c>
      <c r="UTN136" s="371">
        <v>15.38</v>
      </c>
      <c r="UTO136" s="371" t="e">
        <f>UTL136*UTM136*UTN136</f>
        <v>#DIV/0!</v>
      </c>
      <c r="UTP136" s="367" t="s">
        <v>206</v>
      </c>
      <c r="UTQ136" s="367"/>
      <c r="UTR136" s="367"/>
      <c r="UTS136" s="368" t="s">
        <v>168</v>
      </c>
      <c r="UTT136" s="369">
        <v>0.5</v>
      </c>
      <c r="UTU136" s="370" t="e">
        <f>10/UTQ134</f>
        <v>#DIV/0!</v>
      </c>
      <c r="UTV136" s="371">
        <v>15.38</v>
      </c>
      <c r="UTW136" s="371" t="e">
        <f>UTT136*UTU136*UTV136</f>
        <v>#DIV/0!</v>
      </c>
      <c r="UTX136" s="367" t="s">
        <v>206</v>
      </c>
      <c r="UTY136" s="367"/>
      <c r="UTZ136" s="367"/>
      <c r="UUA136" s="368" t="s">
        <v>168</v>
      </c>
      <c r="UUB136" s="369">
        <v>0.5</v>
      </c>
      <c r="UUC136" s="370" t="e">
        <f>10/UTY134</f>
        <v>#DIV/0!</v>
      </c>
      <c r="UUD136" s="371">
        <v>15.38</v>
      </c>
      <c r="UUE136" s="371" t="e">
        <f>UUB136*UUC136*UUD136</f>
        <v>#DIV/0!</v>
      </c>
      <c r="UUF136" s="367" t="s">
        <v>206</v>
      </c>
      <c r="UUG136" s="367"/>
      <c r="UUH136" s="367"/>
      <c r="UUI136" s="368" t="s">
        <v>168</v>
      </c>
      <c r="UUJ136" s="369">
        <v>0.5</v>
      </c>
      <c r="UUK136" s="370" t="e">
        <f>10/UUG134</f>
        <v>#DIV/0!</v>
      </c>
      <c r="UUL136" s="371">
        <v>15.38</v>
      </c>
      <c r="UUM136" s="371" t="e">
        <f>UUJ136*UUK136*UUL136</f>
        <v>#DIV/0!</v>
      </c>
      <c r="UUN136" s="367" t="s">
        <v>206</v>
      </c>
      <c r="UUO136" s="367"/>
      <c r="UUP136" s="367"/>
      <c r="UUQ136" s="368" t="s">
        <v>168</v>
      </c>
      <c r="UUR136" s="369">
        <v>0.5</v>
      </c>
      <c r="UUS136" s="370" t="e">
        <f>10/UUO134</f>
        <v>#DIV/0!</v>
      </c>
      <c r="UUT136" s="371">
        <v>15.38</v>
      </c>
      <c r="UUU136" s="371" t="e">
        <f>UUR136*UUS136*UUT136</f>
        <v>#DIV/0!</v>
      </c>
      <c r="UUV136" s="367" t="s">
        <v>206</v>
      </c>
      <c r="UUW136" s="367"/>
      <c r="UUX136" s="367"/>
      <c r="UUY136" s="368" t="s">
        <v>168</v>
      </c>
      <c r="UUZ136" s="369">
        <v>0.5</v>
      </c>
      <c r="UVA136" s="370" t="e">
        <f>10/UUW134</f>
        <v>#DIV/0!</v>
      </c>
      <c r="UVB136" s="371">
        <v>15.38</v>
      </c>
      <c r="UVC136" s="371" t="e">
        <f>UUZ136*UVA136*UVB136</f>
        <v>#DIV/0!</v>
      </c>
      <c r="UVD136" s="367" t="s">
        <v>206</v>
      </c>
      <c r="UVE136" s="367"/>
      <c r="UVF136" s="367"/>
      <c r="UVG136" s="368" t="s">
        <v>168</v>
      </c>
      <c r="UVH136" s="369">
        <v>0.5</v>
      </c>
      <c r="UVI136" s="370" t="e">
        <f>10/UVE134</f>
        <v>#DIV/0!</v>
      </c>
      <c r="UVJ136" s="371">
        <v>15.38</v>
      </c>
      <c r="UVK136" s="371" t="e">
        <f>UVH136*UVI136*UVJ136</f>
        <v>#DIV/0!</v>
      </c>
      <c r="UVL136" s="367" t="s">
        <v>206</v>
      </c>
      <c r="UVM136" s="367"/>
      <c r="UVN136" s="367"/>
      <c r="UVO136" s="368" t="s">
        <v>168</v>
      </c>
      <c r="UVP136" s="369">
        <v>0.5</v>
      </c>
      <c r="UVQ136" s="370" t="e">
        <f>10/UVM134</f>
        <v>#DIV/0!</v>
      </c>
      <c r="UVR136" s="371">
        <v>15.38</v>
      </c>
      <c r="UVS136" s="371" t="e">
        <f>UVP136*UVQ136*UVR136</f>
        <v>#DIV/0!</v>
      </c>
      <c r="UVT136" s="367" t="s">
        <v>206</v>
      </c>
      <c r="UVU136" s="367"/>
      <c r="UVV136" s="367"/>
      <c r="UVW136" s="368" t="s">
        <v>168</v>
      </c>
      <c r="UVX136" s="369">
        <v>0.5</v>
      </c>
      <c r="UVY136" s="370" t="e">
        <f>10/UVU134</f>
        <v>#DIV/0!</v>
      </c>
      <c r="UVZ136" s="371">
        <v>15.38</v>
      </c>
      <c r="UWA136" s="371" t="e">
        <f>UVX136*UVY136*UVZ136</f>
        <v>#DIV/0!</v>
      </c>
      <c r="UWB136" s="367" t="s">
        <v>206</v>
      </c>
      <c r="UWC136" s="367"/>
      <c r="UWD136" s="367"/>
      <c r="UWE136" s="368" t="s">
        <v>168</v>
      </c>
      <c r="UWF136" s="369">
        <v>0.5</v>
      </c>
      <c r="UWG136" s="370" t="e">
        <f>10/UWC134</f>
        <v>#DIV/0!</v>
      </c>
      <c r="UWH136" s="371">
        <v>15.38</v>
      </c>
      <c r="UWI136" s="371" t="e">
        <f>UWF136*UWG136*UWH136</f>
        <v>#DIV/0!</v>
      </c>
      <c r="UWJ136" s="367" t="s">
        <v>206</v>
      </c>
      <c r="UWK136" s="367"/>
      <c r="UWL136" s="367"/>
      <c r="UWM136" s="368" t="s">
        <v>168</v>
      </c>
      <c r="UWN136" s="369">
        <v>0.5</v>
      </c>
      <c r="UWO136" s="370" t="e">
        <f>10/UWK134</f>
        <v>#DIV/0!</v>
      </c>
      <c r="UWP136" s="371">
        <v>15.38</v>
      </c>
      <c r="UWQ136" s="371" t="e">
        <f>UWN136*UWO136*UWP136</f>
        <v>#DIV/0!</v>
      </c>
      <c r="UWR136" s="367" t="s">
        <v>206</v>
      </c>
      <c r="UWS136" s="367"/>
      <c r="UWT136" s="367"/>
      <c r="UWU136" s="368" t="s">
        <v>168</v>
      </c>
      <c r="UWV136" s="369">
        <v>0.5</v>
      </c>
      <c r="UWW136" s="370" t="e">
        <f>10/UWS134</f>
        <v>#DIV/0!</v>
      </c>
      <c r="UWX136" s="371">
        <v>15.38</v>
      </c>
      <c r="UWY136" s="371" t="e">
        <f>UWV136*UWW136*UWX136</f>
        <v>#DIV/0!</v>
      </c>
      <c r="UWZ136" s="367" t="s">
        <v>206</v>
      </c>
      <c r="UXA136" s="367"/>
      <c r="UXB136" s="367"/>
      <c r="UXC136" s="368" t="s">
        <v>168</v>
      </c>
      <c r="UXD136" s="369">
        <v>0.5</v>
      </c>
      <c r="UXE136" s="370" t="e">
        <f>10/UXA134</f>
        <v>#DIV/0!</v>
      </c>
      <c r="UXF136" s="371">
        <v>15.38</v>
      </c>
      <c r="UXG136" s="371" t="e">
        <f>UXD136*UXE136*UXF136</f>
        <v>#DIV/0!</v>
      </c>
      <c r="UXH136" s="367" t="s">
        <v>206</v>
      </c>
      <c r="UXI136" s="367"/>
      <c r="UXJ136" s="367"/>
      <c r="UXK136" s="368" t="s">
        <v>168</v>
      </c>
      <c r="UXL136" s="369">
        <v>0.5</v>
      </c>
      <c r="UXM136" s="370" t="e">
        <f>10/UXI134</f>
        <v>#DIV/0!</v>
      </c>
      <c r="UXN136" s="371">
        <v>15.38</v>
      </c>
      <c r="UXO136" s="371" t="e">
        <f>UXL136*UXM136*UXN136</f>
        <v>#DIV/0!</v>
      </c>
      <c r="UXP136" s="367" t="s">
        <v>206</v>
      </c>
      <c r="UXQ136" s="367"/>
      <c r="UXR136" s="367"/>
      <c r="UXS136" s="368" t="s">
        <v>168</v>
      </c>
      <c r="UXT136" s="369">
        <v>0.5</v>
      </c>
      <c r="UXU136" s="370" t="e">
        <f>10/UXQ134</f>
        <v>#DIV/0!</v>
      </c>
      <c r="UXV136" s="371">
        <v>15.38</v>
      </c>
      <c r="UXW136" s="371" t="e">
        <f>UXT136*UXU136*UXV136</f>
        <v>#DIV/0!</v>
      </c>
      <c r="UXX136" s="367" t="s">
        <v>206</v>
      </c>
      <c r="UXY136" s="367"/>
      <c r="UXZ136" s="367"/>
      <c r="UYA136" s="368" t="s">
        <v>168</v>
      </c>
      <c r="UYB136" s="369">
        <v>0.5</v>
      </c>
      <c r="UYC136" s="370" t="e">
        <f>10/UXY134</f>
        <v>#DIV/0!</v>
      </c>
      <c r="UYD136" s="371">
        <v>15.38</v>
      </c>
      <c r="UYE136" s="371" t="e">
        <f>UYB136*UYC136*UYD136</f>
        <v>#DIV/0!</v>
      </c>
      <c r="UYF136" s="367" t="s">
        <v>206</v>
      </c>
      <c r="UYG136" s="367"/>
      <c r="UYH136" s="367"/>
      <c r="UYI136" s="368" t="s">
        <v>168</v>
      </c>
      <c r="UYJ136" s="369">
        <v>0.5</v>
      </c>
      <c r="UYK136" s="370" t="e">
        <f>10/UYG134</f>
        <v>#DIV/0!</v>
      </c>
      <c r="UYL136" s="371">
        <v>15.38</v>
      </c>
      <c r="UYM136" s="371" t="e">
        <f>UYJ136*UYK136*UYL136</f>
        <v>#DIV/0!</v>
      </c>
      <c r="UYN136" s="367" t="s">
        <v>206</v>
      </c>
      <c r="UYO136" s="367"/>
      <c r="UYP136" s="367"/>
      <c r="UYQ136" s="368" t="s">
        <v>168</v>
      </c>
      <c r="UYR136" s="369">
        <v>0.5</v>
      </c>
      <c r="UYS136" s="370" t="e">
        <f>10/UYO134</f>
        <v>#DIV/0!</v>
      </c>
      <c r="UYT136" s="371">
        <v>15.38</v>
      </c>
      <c r="UYU136" s="371" t="e">
        <f>UYR136*UYS136*UYT136</f>
        <v>#DIV/0!</v>
      </c>
      <c r="UYV136" s="367" t="s">
        <v>206</v>
      </c>
      <c r="UYW136" s="367"/>
      <c r="UYX136" s="367"/>
      <c r="UYY136" s="368" t="s">
        <v>168</v>
      </c>
      <c r="UYZ136" s="369">
        <v>0.5</v>
      </c>
      <c r="UZA136" s="370" t="e">
        <f>10/UYW134</f>
        <v>#DIV/0!</v>
      </c>
      <c r="UZB136" s="371">
        <v>15.38</v>
      </c>
      <c r="UZC136" s="371" t="e">
        <f>UYZ136*UZA136*UZB136</f>
        <v>#DIV/0!</v>
      </c>
      <c r="UZD136" s="367" t="s">
        <v>206</v>
      </c>
      <c r="UZE136" s="367"/>
      <c r="UZF136" s="367"/>
      <c r="UZG136" s="368" t="s">
        <v>168</v>
      </c>
      <c r="UZH136" s="369">
        <v>0.5</v>
      </c>
      <c r="UZI136" s="370" t="e">
        <f>10/UZE134</f>
        <v>#DIV/0!</v>
      </c>
      <c r="UZJ136" s="371">
        <v>15.38</v>
      </c>
      <c r="UZK136" s="371" t="e">
        <f>UZH136*UZI136*UZJ136</f>
        <v>#DIV/0!</v>
      </c>
      <c r="UZL136" s="367" t="s">
        <v>206</v>
      </c>
      <c r="UZM136" s="367"/>
      <c r="UZN136" s="367"/>
      <c r="UZO136" s="368" t="s">
        <v>168</v>
      </c>
      <c r="UZP136" s="369">
        <v>0.5</v>
      </c>
      <c r="UZQ136" s="370" t="e">
        <f>10/UZM134</f>
        <v>#DIV/0!</v>
      </c>
      <c r="UZR136" s="371">
        <v>15.38</v>
      </c>
      <c r="UZS136" s="371" t="e">
        <f>UZP136*UZQ136*UZR136</f>
        <v>#DIV/0!</v>
      </c>
      <c r="UZT136" s="367" t="s">
        <v>206</v>
      </c>
      <c r="UZU136" s="367"/>
      <c r="UZV136" s="367"/>
      <c r="UZW136" s="368" t="s">
        <v>168</v>
      </c>
      <c r="UZX136" s="369">
        <v>0.5</v>
      </c>
      <c r="UZY136" s="370" t="e">
        <f>10/UZU134</f>
        <v>#DIV/0!</v>
      </c>
      <c r="UZZ136" s="371">
        <v>15.38</v>
      </c>
      <c r="VAA136" s="371" t="e">
        <f>UZX136*UZY136*UZZ136</f>
        <v>#DIV/0!</v>
      </c>
      <c r="VAB136" s="367" t="s">
        <v>206</v>
      </c>
      <c r="VAC136" s="367"/>
      <c r="VAD136" s="367"/>
      <c r="VAE136" s="368" t="s">
        <v>168</v>
      </c>
      <c r="VAF136" s="369">
        <v>0.5</v>
      </c>
      <c r="VAG136" s="370" t="e">
        <f>10/VAC134</f>
        <v>#DIV/0!</v>
      </c>
      <c r="VAH136" s="371">
        <v>15.38</v>
      </c>
      <c r="VAI136" s="371" t="e">
        <f>VAF136*VAG136*VAH136</f>
        <v>#DIV/0!</v>
      </c>
      <c r="VAJ136" s="367" t="s">
        <v>206</v>
      </c>
      <c r="VAK136" s="367"/>
      <c r="VAL136" s="367"/>
      <c r="VAM136" s="368" t="s">
        <v>168</v>
      </c>
      <c r="VAN136" s="369">
        <v>0.5</v>
      </c>
      <c r="VAO136" s="370" t="e">
        <f>10/VAK134</f>
        <v>#DIV/0!</v>
      </c>
      <c r="VAP136" s="371">
        <v>15.38</v>
      </c>
      <c r="VAQ136" s="371" t="e">
        <f>VAN136*VAO136*VAP136</f>
        <v>#DIV/0!</v>
      </c>
      <c r="VAR136" s="367" t="s">
        <v>206</v>
      </c>
      <c r="VAS136" s="367"/>
      <c r="VAT136" s="367"/>
      <c r="VAU136" s="368" t="s">
        <v>168</v>
      </c>
      <c r="VAV136" s="369">
        <v>0.5</v>
      </c>
      <c r="VAW136" s="370" t="e">
        <f>10/VAS134</f>
        <v>#DIV/0!</v>
      </c>
      <c r="VAX136" s="371">
        <v>15.38</v>
      </c>
      <c r="VAY136" s="371" t="e">
        <f>VAV136*VAW136*VAX136</f>
        <v>#DIV/0!</v>
      </c>
      <c r="VAZ136" s="367" t="s">
        <v>206</v>
      </c>
      <c r="VBA136" s="367"/>
      <c r="VBB136" s="367"/>
      <c r="VBC136" s="368" t="s">
        <v>168</v>
      </c>
      <c r="VBD136" s="369">
        <v>0.5</v>
      </c>
      <c r="VBE136" s="370" t="e">
        <f>10/VBA134</f>
        <v>#DIV/0!</v>
      </c>
      <c r="VBF136" s="371">
        <v>15.38</v>
      </c>
      <c r="VBG136" s="371" t="e">
        <f>VBD136*VBE136*VBF136</f>
        <v>#DIV/0!</v>
      </c>
      <c r="VBH136" s="367" t="s">
        <v>206</v>
      </c>
      <c r="VBI136" s="367"/>
      <c r="VBJ136" s="367"/>
      <c r="VBK136" s="368" t="s">
        <v>168</v>
      </c>
      <c r="VBL136" s="369">
        <v>0.5</v>
      </c>
      <c r="VBM136" s="370" t="e">
        <f>10/VBI134</f>
        <v>#DIV/0!</v>
      </c>
      <c r="VBN136" s="371">
        <v>15.38</v>
      </c>
      <c r="VBO136" s="371" t="e">
        <f>VBL136*VBM136*VBN136</f>
        <v>#DIV/0!</v>
      </c>
      <c r="VBP136" s="367" t="s">
        <v>206</v>
      </c>
      <c r="VBQ136" s="367"/>
      <c r="VBR136" s="367"/>
      <c r="VBS136" s="368" t="s">
        <v>168</v>
      </c>
      <c r="VBT136" s="369">
        <v>0.5</v>
      </c>
      <c r="VBU136" s="370" t="e">
        <f>10/VBQ134</f>
        <v>#DIV/0!</v>
      </c>
      <c r="VBV136" s="371">
        <v>15.38</v>
      </c>
      <c r="VBW136" s="371" t="e">
        <f>VBT136*VBU136*VBV136</f>
        <v>#DIV/0!</v>
      </c>
      <c r="VBX136" s="367" t="s">
        <v>206</v>
      </c>
      <c r="VBY136" s="367"/>
      <c r="VBZ136" s="367"/>
      <c r="VCA136" s="368" t="s">
        <v>168</v>
      </c>
      <c r="VCB136" s="369">
        <v>0.5</v>
      </c>
      <c r="VCC136" s="370" t="e">
        <f>10/VBY134</f>
        <v>#DIV/0!</v>
      </c>
      <c r="VCD136" s="371">
        <v>15.38</v>
      </c>
      <c r="VCE136" s="371" t="e">
        <f>VCB136*VCC136*VCD136</f>
        <v>#DIV/0!</v>
      </c>
      <c r="VCF136" s="367" t="s">
        <v>206</v>
      </c>
      <c r="VCG136" s="367"/>
      <c r="VCH136" s="367"/>
      <c r="VCI136" s="368" t="s">
        <v>168</v>
      </c>
      <c r="VCJ136" s="369">
        <v>0.5</v>
      </c>
      <c r="VCK136" s="370" t="e">
        <f>10/VCG134</f>
        <v>#DIV/0!</v>
      </c>
      <c r="VCL136" s="371">
        <v>15.38</v>
      </c>
      <c r="VCM136" s="371" t="e">
        <f>VCJ136*VCK136*VCL136</f>
        <v>#DIV/0!</v>
      </c>
      <c r="VCN136" s="367" t="s">
        <v>206</v>
      </c>
      <c r="VCO136" s="367"/>
      <c r="VCP136" s="367"/>
      <c r="VCQ136" s="368" t="s">
        <v>168</v>
      </c>
      <c r="VCR136" s="369">
        <v>0.5</v>
      </c>
      <c r="VCS136" s="370" t="e">
        <f>10/VCO134</f>
        <v>#DIV/0!</v>
      </c>
      <c r="VCT136" s="371">
        <v>15.38</v>
      </c>
      <c r="VCU136" s="371" t="e">
        <f>VCR136*VCS136*VCT136</f>
        <v>#DIV/0!</v>
      </c>
      <c r="VCV136" s="367" t="s">
        <v>206</v>
      </c>
      <c r="VCW136" s="367"/>
      <c r="VCX136" s="367"/>
      <c r="VCY136" s="368" t="s">
        <v>168</v>
      </c>
      <c r="VCZ136" s="369">
        <v>0.5</v>
      </c>
      <c r="VDA136" s="370" t="e">
        <f>10/VCW134</f>
        <v>#DIV/0!</v>
      </c>
      <c r="VDB136" s="371">
        <v>15.38</v>
      </c>
      <c r="VDC136" s="371" t="e">
        <f>VCZ136*VDA136*VDB136</f>
        <v>#DIV/0!</v>
      </c>
      <c r="VDD136" s="367" t="s">
        <v>206</v>
      </c>
      <c r="VDE136" s="367"/>
      <c r="VDF136" s="367"/>
      <c r="VDG136" s="368" t="s">
        <v>168</v>
      </c>
      <c r="VDH136" s="369">
        <v>0.5</v>
      </c>
      <c r="VDI136" s="370" t="e">
        <f>10/VDE134</f>
        <v>#DIV/0!</v>
      </c>
      <c r="VDJ136" s="371">
        <v>15.38</v>
      </c>
      <c r="VDK136" s="371" t="e">
        <f>VDH136*VDI136*VDJ136</f>
        <v>#DIV/0!</v>
      </c>
      <c r="VDL136" s="367" t="s">
        <v>206</v>
      </c>
      <c r="VDM136" s="367"/>
      <c r="VDN136" s="367"/>
      <c r="VDO136" s="368" t="s">
        <v>168</v>
      </c>
      <c r="VDP136" s="369">
        <v>0.5</v>
      </c>
      <c r="VDQ136" s="370" t="e">
        <f>10/VDM134</f>
        <v>#DIV/0!</v>
      </c>
      <c r="VDR136" s="371">
        <v>15.38</v>
      </c>
      <c r="VDS136" s="371" t="e">
        <f>VDP136*VDQ136*VDR136</f>
        <v>#DIV/0!</v>
      </c>
      <c r="VDT136" s="367" t="s">
        <v>206</v>
      </c>
      <c r="VDU136" s="367"/>
      <c r="VDV136" s="367"/>
      <c r="VDW136" s="368" t="s">
        <v>168</v>
      </c>
      <c r="VDX136" s="369">
        <v>0.5</v>
      </c>
      <c r="VDY136" s="370" t="e">
        <f>10/VDU134</f>
        <v>#DIV/0!</v>
      </c>
      <c r="VDZ136" s="371">
        <v>15.38</v>
      </c>
      <c r="VEA136" s="371" t="e">
        <f>VDX136*VDY136*VDZ136</f>
        <v>#DIV/0!</v>
      </c>
      <c r="VEB136" s="367" t="s">
        <v>206</v>
      </c>
      <c r="VEC136" s="367"/>
      <c r="VED136" s="367"/>
      <c r="VEE136" s="368" t="s">
        <v>168</v>
      </c>
      <c r="VEF136" s="369">
        <v>0.5</v>
      </c>
      <c r="VEG136" s="370" t="e">
        <f>10/VEC134</f>
        <v>#DIV/0!</v>
      </c>
      <c r="VEH136" s="371">
        <v>15.38</v>
      </c>
      <c r="VEI136" s="371" t="e">
        <f>VEF136*VEG136*VEH136</f>
        <v>#DIV/0!</v>
      </c>
      <c r="VEJ136" s="367" t="s">
        <v>206</v>
      </c>
      <c r="VEK136" s="367"/>
      <c r="VEL136" s="367"/>
      <c r="VEM136" s="368" t="s">
        <v>168</v>
      </c>
      <c r="VEN136" s="369">
        <v>0.5</v>
      </c>
      <c r="VEO136" s="370" t="e">
        <f>10/VEK134</f>
        <v>#DIV/0!</v>
      </c>
      <c r="VEP136" s="371">
        <v>15.38</v>
      </c>
      <c r="VEQ136" s="371" t="e">
        <f>VEN136*VEO136*VEP136</f>
        <v>#DIV/0!</v>
      </c>
      <c r="VER136" s="367" t="s">
        <v>206</v>
      </c>
      <c r="VES136" s="367"/>
      <c r="VET136" s="367"/>
      <c r="VEU136" s="368" t="s">
        <v>168</v>
      </c>
      <c r="VEV136" s="369">
        <v>0.5</v>
      </c>
      <c r="VEW136" s="370" t="e">
        <f>10/VES134</f>
        <v>#DIV/0!</v>
      </c>
      <c r="VEX136" s="371">
        <v>15.38</v>
      </c>
      <c r="VEY136" s="371" t="e">
        <f>VEV136*VEW136*VEX136</f>
        <v>#DIV/0!</v>
      </c>
      <c r="VEZ136" s="367" t="s">
        <v>206</v>
      </c>
      <c r="VFA136" s="367"/>
      <c r="VFB136" s="367"/>
      <c r="VFC136" s="368" t="s">
        <v>168</v>
      </c>
      <c r="VFD136" s="369">
        <v>0.5</v>
      </c>
      <c r="VFE136" s="370" t="e">
        <f>10/VFA134</f>
        <v>#DIV/0!</v>
      </c>
      <c r="VFF136" s="371">
        <v>15.38</v>
      </c>
      <c r="VFG136" s="371" t="e">
        <f>VFD136*VFE136*VFF136</f>
        <v>#DIV/0!</v>
      </c>
      <c r="VFH136" s="367" t="s">
        <v>206</v>
      </c>
      <c r="VFI136" s="367"/>
      <c r="VFJ136" s="367"/>
      <c r="VFK136" s="368" t="s">
        <v>168</v>
      </c>
      <c r="VFL136" s="369">
        <v>0.5</v>
      </c>
      <c r="VFM136" s="370" t="e">
        <f>10/VFI134</f>
        <v>#DIV/0!</v>
      </c>
      <c r="VFN136" s="371">
        <v>15.38</v>
      </c>
      <c r="VFO136" s="371" t="e">
        <f>VFL136*VFM136*VFN136</f>
        <v>#DIV/0!</v>
      </c>
      <c r="VFP136" s="367" t="s">
        <v>206</v>
      </c>
      <c r="VFQ136" s="367"/>
      <c r="VFR136" s="367"/>
      <c r="VFS136" s="368" t="s">
        <v>168</v>
      </c>
      <c r="VFT136" s="369">
        <v>0.5</v>
      </c>
      <c r="VFU136" s="370" t="e">
        <f>10/VFQ134</f>
        <v>#DIV/0!</v>
      </c>
      <c r="VFV136" s="371">
        <v>15.38</v>
      </c>
      <c r="VFW136" s="371" t="e">
        <f>VFT136*VFU136*VFV136</f>
        <v>#DIV/0!</v>
      </c>
      <c r="VFX136" s="367" t="s">
        <v>206</v>
      </c>
      <c r="VFY136" s="367"/>
      <c r="VFZ136" s="367"/>
      <c r="VGA136" s="368" t="s">
        <v>168</v>
      </c>
      <c r="VGB136" s="369">
        <v>0.5</v>
      </c>
      <c r="VGC136" s="370" t="e">
        <f>10/VFY134</f>
        <v>#DIV/0!</v>
      </c>
      <c r="VGD136" s="371">
        <v>15.38</v>
      </c>
      <c r="VGE136" s="371" t="e">
        <f>VGB136*VGC136*VGD136</f>
        <v>#DIV/0!</v>
      </c>
      <c r="VGF136" s="367" t="s">
        <v>206</v>
      </c>
      <c r="VGG136" s="367"/>
      <c r="VGH136" s="367"/>
      <c r="VGI136" s="368" t="s">
        <v>168</v>
      </c>
      <c r="VGJ136" s="369">
        <v>0.5</v>
      </c>
      <c r="VGK136" s="370" t="e">
        <f>10/VGG134</f>
        <v>#DIV/0!</v>
      </c>
      <c r="VGL136" s="371">
        <v>15.38</v>
      </c>
      <c r="VGM136" s="371" t="e">
        <f>VGJ136*VGK136*VGL136</f>
        <v>#DIV/0!</v>
      </c>
      <c r="VGN136" s="367" t="s">
        <v>206</v>
      </c>
      <c r="VGO136" s="367"/>
      <c r="VGP136" s="367"/>
      <c r="VGQ136" s="368" t="s">
        <v>168</v>
      </c>
      <c r="VGR136" s="369">
        <v>0.5</v>
      </c>
      <c r="VGS136" s="370" t="e">
        <f>10/VGO134</f>
        <v>#DIV/0!</v>
      </c>
      <c r="VGT136" s="371">
        <v>15.38</v>
      </c>
      <c r="VGU136" s="371" t="e">
        <f>VGR136*VGS136*VGT136</f>
        <v>#DIV/0!</v>
      </c>
      <c r="VGV136" s="367" t="s">
        <v>206</v>
      </c>
      <c r="VGW136" s="367"/>
      <c r="VGX136" s="367"/>
      <c r="VGY136" s="368" t="s">
        <v>168</v>
      </c>
      <c r="VGZ136" s="369">
        <v>0.5</v>
      </c>
      <c r="VHA136" s="370" t="e">
        <f>10/VGW134</f>
        <v>#DIV/0!</v>
      </c>
      <c r="VHB136" s="371">
        <v>15.38</v>
      </c>
      <c r="VHC136" s="371" t="e">
        <f>VGZ136*VHA136*VHB136</f>
        <v>#DIV/0!</v>
      </c>
      <c r="VHD136" s="367" t="s">
        <v>206</v>
      </c>
      <c r="VHE136" s="367"/>
      <c r="VHF136" s="367"/>
      <c r="VHG136" s="368" t="s">
        <v>168</v>
      </c>
      <c r="VHH136" s="369">
        <v>0.5</v>
      </c>
      <c r="VHI136" s="370" t="e">
        <f>10/VHE134</f>
        <v>#DIV/0!</v>
      </c>
      <c r="VHJ136" s="371">
        <v>15.38</v>
      </c>
      <c r="VHK136" s="371" t="e">
        <f>VHH136*VHI136*VHJ136</f>
        <v>#DIV/0!</v>
      </c>
      <c r="VHL136" s="367" t="s">
        <v>206</v>
      </c>
      <c r="VHM136" s="367"/>
      <c r="VHN136" s="367"/>
      <c r="VHO136" s="368" t="s">
        <v>168</v>
      </c>
      <c r="VHP136" s="369">
        <v>0.5</v>
      </c>
      <c r="VHQ136" s="370" t="e">
        <f>10/VHM134</f>
        <v>#DIV/0!</v>
      </c>
      <c r="VHR136" s="371">
        <v>15.38</v>
      </c>
      <c r="VHS136" s="371" t="e">
        <f>VHP136*VHQ136*VHR136</f>
        <v>#DIV/0!</v>
      </c>
      <c r="VHT136" s="367" t="s">
        <v>206</v>
      </c>
      <c r="VHU136" s="367"/>
      <c r="VHV136" s="367"/>
      <c r="VHW136" s="368" t="s">
        <v>168</v>
      </c>
      <c r="VHX136" s="369">
        <v>0.5</v>
      </c>
      <c r="VHY136" s="370" t="e">
        <f>10/VHU134</f>
        <v>#DIV/0!</v>
      </c>
      <c r="VHZ136" s="371">
        <v>15.38</v>
      </c>
      <c r="VIA136" s="371" t="e">
        <f>VHX136*VHY136*VHZ136</f>
        <v>#DIV/0!</v>
      </c>
      <c r="VIB136" s="367" t="s">
        <v>206</v>
      </c>
      <c r="VIC136" s="367"/>
      <c r="VID136" s="367"/>
      <c r="VIE136" s="368" t="s">
        <v>168</v>
      </c>
      <c r="VIF136" s="369">
        <v>0.5</v>
      </c>
      <c r="VIG136" s="370" t="e">
        <f>10/VIC134</f>
        <v>#DIV/0!</v>
      </c>
      <c r="VIH136" s="371">
        <v>15.38</v>
      </c>
      <c r="VII136" s="371" t="e">
        <f>VIF136*VIG136*VIH136</f>
        <v>#DIV/0!</v>
      </c>
      <c r="VIJ136" s="367" t="s">
        <v>206</v>
      </c>
      <c r="VIK136" s="367"/>
      <c r="VIL136" s="367"/>
      <c r="VIM136" s="368" t="s">
        <v>168</v>
      </c>
      <c r="VIN136" s="369">
        <v>0.5</v>
      </c>
      <c r="VIO136" s="370" t="e">
        <f>10/VIK134</f>
        <v>#DIV/0!</v>
      </c>
      <c r="VIP136" s="371">
        <v>15.38</v>
      </c>
      <c r="VIQ136" s="371" t="e">
        <f>VIN136*VIO136*VIP136</f>
        <v>#DIV/0!</v>
      </c>
      <c r="VIR136" s="367" t="s">
        <v>206</v>
      </c>
      <c r="VIS136" s="367"/>
      <c r="VIT136" s="367"/>
      <c r="VIU136" s="368" t="s">
        <v>168</v>
      </c>
      <c r="VIV136" s="369">
        <v>0.5</v>
      </c>
      <c r="VIW136" s="370" t="e">
        <f>10/VIS134</f>
        <v>#DIV/0!</v>
      </c>
      <c r="VIX136" s="371">
        <v>15.38</v>
      </c>
      <c r="VIY136" s="371" t="e">
        <f>VIV136*VIW136*VIX136</f>
        <v>#DIV/0!</v>
      </c>
      <c r="VIZ136" s="367" t="s">
        <v>206</v>
      </c>
      <c r="VJA136" s="367"/>
      <c r="VJB136" s="367"/>
      <c r="VJC136" s="368" t="s">
        <v>168</v>
      </c>
      <c r="VJD136" s="369">
        <v>0.5</v>
      </c>
      <c r="VJE136" s="370" t="e">
        <f>10/VJA134</f>
        <v>#DIV/0!</v>
      </c>
      <c r="VJF136" s="371">
        <v>15.38</v>
      </c>
      <c r="VJG136" s="371" t="e">
        <f>VJD136*VJE136*VJF136</f>
        <v>#DIV/0!</v>
      </c>
      <c r="VJH136" s="367" t="s">
        <v>206</v>
      </c>
      <c r="VJI136" s="367"/>
      <c r="VJJ136" s="367"/>
      <c r="VJK136" s="368" t="s">
        <v>168</v>
      </c>
      <c r="VJL136" s="369">
        <v>0.5</v>
      </c>
      <c r="VJM136" s="370" t="e">
        <f>10/VJI134</f>
        <v>#DIV/0!</v>
      </c>
      <c r="VJN136" s="371">
        <v>15.38</v>
      </c>
      <c r="VJO136" s="371" t="e">
        <f>VJL136*VJM136*VJN136</f>
        <v>#DIV/0!</v>
      </c>
      <c r="VJP136" s="367" t="s">
        <v>206</v>
      </c>
      <c r="VJQ136" s="367"/>
      <c r="VJR136" s="367"/>
      <c r="VJS136" s="368" t="s">
        <v>168</v>
      </c>
      <c r="VJT136" s="369">
        <v>0.5</v>
      </c>
      <c r="VJU136" s="370" t="e">
        <f>10/VJQ134</f>
        <v>#DIV/0!</v>
      </c>
      <c r="VJV136" s="371">
        <v>15.38</v>
      </c>
      <c r="VJW136" s="371" t="e">
        <f>VJT136*VJU136*VJV136</f>
        <v>#DIV/0!</v>
      </c>
      <c r="VJX136" s="367" t="s">
        <v>206</v>
      </c>
      <c r="VJY136" s="367"/>
      <c r="VJZ136" s="367"/>
      <c r="VKA136" s="368" t="s">
        <v>168</v>
      </c>
      <c r="VKB136" s="369">
        <v>0.5</v>
      </c>
      <c r="VKC136" s="370" t="e">
        <f>10/VJY134</f>
        <v>#DIV/0!</v>
      </c>
      <c r="VKD136" s="371">
        <v>15.38</v>
      </c>
      <c r="VKE136" s="371" t="e">
        <f>VKB136*VKC136*VKD136</f>
        <v>#DIV/0!</v>
      </c>
      <c r="VKF136" s="367" t="s">
        <v>206</v>
      </c>
      <c r="VKG136" s="367"/>
      <c r="VKH136" s="367"/>
      <c r="VKI136" s="368" t="s">
        <v>168</v>
      </c>
      <c r="VKJ136" s="369">
        <v>0.5</v>
      </c>
      <c r="VKK136" s="370" t="e">
        <f>10/VKG134</f>
        <v>#DIV/0!</v>
      </c>
      <c r="VKL136" s="371">
        <v>15.38</v>
      </c>
      <c r="VKM136" s="371" t="e">
        <f>VKJ136*VKK136*VKL136</f>
        <v>#DIV/0!</v>
      </c>
      <c r="VKN136" s="367" t="s">
        <v>206</v>
      </c>
      <c r="VKO136" s="367"/>
      <c r="VKP136" s="367"/>
      <c r="VKQ136" s="368" t="s">
        <v>168</v>
      </c>
      <c r="VKR136" s="369">
        <v>0.5</v>
      </c>
      <c r="VKS136" s="370" t="e">
        <f>10/VKO134</f>
        <v>#DIV/0!</v>
      </c>
      <c r="VKT136" s="371">
        <v>15.38</v>
      </c>
      <c r="VKU136" s="371" t="e">
        <f>VKR136*VKS136*VKT136</f>
        <v>#DIV/0!</v>
      </c>
      <c r="VKV136" s="367" t="s">
        <v>206</v>
      </c>
      <c r="VKW136" s="367"/>
      <c r="VKX136" s="367"/>
      <c r="VKY136" s="368" t="s">
        <v>168</v>
      </c>
      <c r="VKZ136" s="369">
        <v>0.5</v>
      </c>
      <c r="VLA136" s="370" t="e">
        <f>10/VKW134</f>
        <v>#DIV/0!</v>
      </c>
      <c r="VLB136" s="371">
        <v>15.38</v>
      </c>
      <c r="VLC136" s="371" t="e">
        <f>VKZ136*VLA136*VLB136</f>
        <v>#DIV/0!</v>
      </c>
      <c r="VLD136" s="367" t="s">
        <v>206</v>
      </c>
      <c r="VLE136" s="367"/>
      <c r="VLF136" s="367"/>
      <c r="VLG136" s="368" t="s">
        <v>168</v>
      </c>
      <c r="VLH136" s="369">
        <v>0.5</v>
      </c>
      <c r="VLI136" s="370" t="e">
        <f>10/VLE134</f>
        <v>#DIV/0!</v>
      </c>
      <c r="VLJ136" s="371">
        <v>15.38</v>
      </c>
      <c r="VLK136" s="371" t="e">
        <f>VLH136*VLI136*VLJ136</f>
        <v>#DIV/0!</v>
      </c>
      <c r="VLL136" s="367" t="s">
        <v>206</v>
      </c>
      <c r="VLM136" s="367"/>
      <c r="VLN136" s="367"/>
      <c r="VLO136" s="368" t="s">
        <v>168</v>
      </c>
      <c r="VLP136" s="369">
        <v>0.5</v>
      </c>
      <c r="VLQ136" s="370" t="e">
        <f>10/VLM134</f>
        <v>#DIV/0!</v>
      </c>
      <c r="VLR136" s="371">
        <v>15.38</v>
      </c>
      <c r="VLS136" s="371" t="e">
        <f>VLP136*VLQ136*VLR136</f>
        <v>#DIV/0!</v>
      </c>
      <c r="VLT136" s="367" t="s">
        <v>206</v>
      </c>
      <c r="VLU136" s="367"/>
      <c r="VLV136" s="367"/>
      <c r="VLW136" s="368" t="s">
        <v>168</v>
      </c>
      <c r="VLX136" s="369">
        <v>0.5</v>
      </c>
      <c r="VLY136" s="370" t="e">
        <f>10/VLU134</f>
        <v>#DIV/0!</v>
      </c>
      <c r="VLZ136" s="371">
        <v>15.38</v>
      </c>
      <c r="VMA136" s="371" t="e">
        <f>VLX136*VLY136*VLZ136</f>
        <v>#DIV/0!</v>
      </c>
      <c r="VMB136" s="367" t="s">
        <v>206</v>
      </c>
      <c r="VMC136" s="367"/>
      <c r="VMD136" s="367"/>
      <c r="VME136" s="368" t="s">
        <v>168</v>
      </c>
      <c r="VMF136" s="369">
        <v>0.5</v>
      </c>
      <c r="VMG136" s="370" t="e">
        <f>10/VMC134</f>
        <v>#DIV/0!</v>
      </c>
      <c r="VMH136" s="371">
        <v>15.38</v>
      </c>
      <c r="VMI136" s="371" t="e">
        <f>VMF136*VMG136*VMH136</f>
        <v>#DIV/0!</v>
      </c>
      <c r="VMJ136" s="367" t="s">
        <v>206</v>
      </c>
      <c r="VMK136" s="367"/>
      <c r="VML136" s="367"/>
      <c r="VMM136" s="368" t="s">
        <v>168</v>
      </c>
      <c r="VMN136" s="369">
        <v>0.5</v>
      </c>
      <c r="VMO136" s="370" t="e">
        <f>10/VMK134</f>
        <v>#DIV/0!</v>
      </c>
      <c r="VMP136" s="371">
        <v>15.38</v>
      </c>
      <c r="VMQ136" s="371" t="e">
        <f>VMN136*VMO136*VMP136</f>
        <v>#DIV/0!</v>
      </c>
      <c r="VMR136" s="367" t="s">
        <v>206</v>
      </c>
      <c r="VMS136" s="367"/>
      <c r="VMT136" s="367"/>
      <c r="VMU136" s="368" t="s">
        <v>168</v>
      </c>
      <c r="VMV136" s="369">
        <v>0.5</v>
      </c>
      <c r="VMW136" s="370" t="e">
        <f>10/VMS134</f>
        <v>#DIV/0!</v>
      </c>
      <c r="VMX136" s="371">
        <v>15.38</v>
      </c>
      <c r="VMY136" s="371" t="e">
        <f>VMV136*VMW136*VMX136</f>
        <v>#DIV/0!</v>
      </c>
      <c r="VMZ136" s="367" t="s">
        <v>206</v>
      </c>
      <c r="VNA136" s="367"/>
      <c r="VNB136" s="367"/>
      <c r="VNC136" s="368" t="s">
        <v>168</v>
      </c>
      <c r="VND136" s="369">
        <v>0.5</v>
      </c>
      <c r="VNE136" s="370" t="e">
        <f>10/VNA134</f>
        <v>#DIV/0!</v>
      </c>
      <c r="VNF136" s="371">
        <v>15.38</v>
      </c>
      <c r="VNG136" s="371" t="e">
        <f>VND136*VNE136*VNF136</f>
        <v>#DIV/0!</v>
      </c>
      <c r="VNH136" s="367" t="s">
        <v>206</v>
      </c>
      <c r="VNI136" s="367"/>
      <c r="VNJ136" s="367"/>
      <c r="VNK136" s="368" t="s">
        <v>168</v>
      </c>
      <c r="VNL136" s="369">
        <v>0.5</v>
      </c>
      <c r="VNM136" s="370" t="e">
        <f>10/VNI134</f>
        <v>#DIV/0!</v>
      </c>
      <c r="VNN136" s="371">
        <v>15.38</v>
      </c>
      <c r="VNO136" s="371" t="e">
        <f>VNL136*VNM136*VNN136</f>
        <v>#DIV/0!</v>
      </c>
      <c r="VNP136" s="367" t="s">
        <v>206</v>
      </c>
      <c r="VNQ136" s="367"/>
      <c r="VNR136" s="367"/>
      <c r="VNS136" s="368" t="s">
        <v>168</v>
      </c>
      <c r="VNT136" s="369">
        <v>0.5</v>
      </c>
      <c r="VNU136" s="370" t="e">
        <f>10/VNQ134</f>
        <v>#DIV/0!</v>
      </c>
      <c r="VNV136" s="371">
        <v>15.38</v>
      </c>
      <c r="VNW136" s="371" t="e">
        <f>VNT136*VNU136*VNV136</f>
        <v>#DIV/0!</v>
      </c>
      <c r="VNX136" s="367" t="s">
        <v>206</v>
      </c>
      <c r="VNY136" s="367"/>
      <c r="VNZ136" s="367"/>
      <c r="VOA136" s="368" t="s">
        <v>168</v>
      </c>
      <c r="VOB136" s="369">
        <v>0.5</v>
      </c>
      <c r="VOC136" s="370" t="e">
        <f>10/VNY134</f>
        <v>#DIV/0!</v>
      </c>
      <c r="VOD136" s="371">
        <v>15.38</v>
      </c>
      <c r="VOE136" s="371" t="e">
        <f>VOB136*VOC136*VOD136</f>
        <v>#DIV/0!</v>
      </c>
      <c r="VOF136" s="367" t="s">
        <v>206</v>
      </c>
      <c r="VOG136" s="367"/>
      <c r="VOH136" s="367"/>
      <c r="VOI136" s="368" t="s">
        <v>168</v>
      </c>
      <c r="VOJ136" s="369">
        <v>0.5</v>
      </c>
      <c r="VOK136" s="370" t="e">
        <f>10/VOG134</f>
        <v>#DIV/0!</v>
      </c>
      <c r="VOL136" s="371">
        <v>15.38</v>
      </c>
      <c r="VOM136" s="371" t="e">
        <f>VOJ136*VOK136*VOL136</f>
        <v>#DIV/0!</v>
      </c>
      <c r="VON136" s="367" t="s">
        <v>206</v>
      </c>
      <c r="VOO136" s="367"/>
      <c r="VOP136" s="367"/>
      <c r="VOQ136" s="368" t="s">
        <v>168</v>
      </c>
      <c r="VOR136" s="369">
        <v>0.5</v>
      </c>
      <c r="VOS136" s="370" t="e">
        <f>10/VOO134</f>
        <v>#DIV/0!</v>
      </c>
      <c r="VOT136" s="371">
        <v>15.38</v>
      </c>
      <c r="VOU136" s="371" t="e">
        <f>VOR136*VOS136*VOT136</f>
        <v>#DIV/0!</v>
      </c>
      <c r="VOV136" s="367" t="s">
        <v>206</v>
      </c>
      <c r="VOW136" s="367"/>
      <c r="VOX136" s="367"/>
      <c r="VOY136" s="368" t="s">
        <v>168</v>
      </c>
      <c r="VOZ136" s="369">
        <v>0.5</v>
      </c>
      <c r="VPA136" s="370" t="e">
        <f>10/VOW134</f>
        <v>#DIV/0!</v>
      </c>
      <c r="VPB136" s="371">
        <v>15.38</v>
      </c>
      <c r="VPC136" s="371" t="e">
        <f>VOZ136*VPA136*VPB136</f>
        <v>#DIV/0!</v>
      </c>
      <c r="VPD136" s="367" t="s">
        <v>206</v>
      </c>
      <c r="VPE136" s="367"/>
      <c r="VPF136" s="367"/>
      <c r="VPG136" s="368" t="s">
        <v>168</v>
      </c>
      <c r="VPH136" s="369">
        <v>0.5</v>
      </c>
      <c r="VPI136" s="370" t="e">
        <f>10/VPE134</f>
        <v>#DIV/0!</v>
      </c>
      <c r="VPJ136" s="371">
        <v>15.38</v>
      </c>
      <c r="VPK136" s="371" t="e">
        <f>VPH136*VPI136*VPJ136</f>
        <v>#DIV/0!</v>
      </c>
      <c r="VPL136" s="367" t="s">
        <v>206</v>
      </c>
      <c r="VPM136" s="367"/>
      <c r="VPN136" s="367"/>
      <c r="VPO136" s="368" t="s">
        <v>168</v>
      </c>
      <c r="VPP136" s="369">
        <v>0.5</v>
      </c>
      <c r="VPQ136" s="370" t="e">
        <f>10/VPM134</f>
        <v>#DIV/0!</v>
      </c>
      <c r="VPR136" s="371">
        <v>15.38</v>
      </c>
      <c r="VPS136" s="371" t="e">
        <f>VPP136*VPQ136*VPR136</f>
        <v>#DIV/0!</v>
      </c>
      <c r="VPT136" s="367" t="s">
        <v>206</v>
      </c>
      <c r="VPU136" s="367"/>
      <c r="VPV136" s="367"/>
      <c r="VPW136" s="368" t="s">
        <v>168</v>
      </c>
      <c r="VPX136" s="369">
        <v>0.5</v>
      </c>
      <c r="VPY136" s="370" t="e">
        <f>10/VPU134</f>
        <v>#DIV/0!</v>
      </c>
      <c r="VPZ136" s="371">
        <v>15.38</v>
      </c>
      <c r="VQA136" s="371" t="e">
        <f>VPX136*VPY136*VPZ136</f>
        <v>#DIV/0!</v>
      </c>
      <c r="VQB136" s="367" t="s">
        <v>206</v>
      </c>
      <c r="VQC136" s="367"/>
      <c r="VQD136" s="367"/>
      <c r="VQE136" s="368" t="s">
        <v>168</v>
      </c>
      <c r="VQF136" s="369">
        <v>0.5</v>
      </c>
      <c r="VQG136" s="370" t="e">
        <f>10/VQC134</f>
        <v>#DIV/0!</v>
      </c>
      <c r="VQH136" s="371">
        <v>15.38</v>
      </c>
      <c r="VQI136" s="371" t="e">
        <f>VQF136*VQG136*VQH136</f>
        <v>#DIV/0!</v>
      </c>
      <c r="VQJ136" s="367" t="s">
        <v>206</v>
      </c>
      <c r="VQK136" s="367"/>
      <c r="VQL136" s="367"/>
      <c r="VQM136" s="368" t="s">
        <v>168</v>
      </c>
      <c r="VQN136" s="369">
        <v>0.5</v>
      </c>
      <c r="VQO136" s="370" t="e">
        <f>10/VQK134</f>
        <v>#DIV/0!</v>
      </c>
      <c r="VQP136" s="371">
        <v>15.38</v>
      </c>
      <c r="VQQ136" s="371" t="e">
        <f>VQN136*VQO136*VQP136</f>
        <v>#DIV/0!</v>
      </c>
      <c r="VQR136" s="367" t="s">
        <v>206</v>
      </c>
      <c r="VQS136" s="367"/>
      <c r="VQT136" s="367"/>
      <c r="VQU136" s="368" t="s">
        <v>168</v>
      </c>
      <c r="VQV136" s="369">
        <v>0.5</v>
      </c>
      <c r="VQW136" s="370" t="e">
        <f>10/VQS134</f>
        <v>#DIV/0!</v>
      </c>
      <c r="VQX136" s="371">
        <v>15.38</v>
      </c>
      <c r="VQY136" s="371" t="e">
        <f>VQV136*VQW136*VQX136</f>
        <v>#DIV/0!</v>
      </c>
      <c r="VQZ136" s="367" t="s">
        <v>206</v>
      </c>
      <c r="VRA136" s="367"/>
      <c r="VRB136" s="367"/>
      <c r="VRC136" s="368" t="s">
        <v>168</v>
      </c>
      <c r="VRD136" s="369">
        <v>0.5</v>
      </c>
      <c r="VRE136" s="370" t="e">
        <f>10/VRA134</f>
        <v>#DIV/0!</v>
      </c>
      <c r="VRF136" s="371">
        <v>15.38</v>
      </c>
      <c r="VRG136" s="371" t="e">
        <f>VRD136*VRE136*VRF136</f>
        <v>#DIV/0!</v>
      </c>
      <c r="VRH136" s="367" t="s">
        <v>206</v>
      </c>
      <c r="VRI136" s="367"/>
      <c r="VRJ136" s="367"/>
      <c r="VRK136" s="368" t="s">
        <v>168</v>
      </c>
      <c r="VRL136" s="369">
        <v>0.5</v>
      </c>
      <c r="VRM136" s="370" t="e">
        <f>10/VRI134</f>
        <v>#DIV/0!</v>
      </c>
      <c r="VRN136" s="371">
        <v>15.38</v>
      </c>
      <c r="VRO136" s="371" t="e">
        <f>VRL136*VRM136*VRN136</f>
        <v>#DIV/0!</v>
      </c>
      <c r="VRP136" s="367" t="s">
        <v>206</v>
      </c>
      <c r="VRQ136" s="367"/>
      <c r="VRR136" s="367"/>
      <c r="VRS136" s="368" t="s">
        <v>168</v>
      </c>
      <c r="VRT136" s="369">
        <v>0.5</v>
      </c>
      <c r="VRU136" s="370" t="e">
        <f>10/VRQ134</f>
        <v>#DIV/0!</v>
      </c>
      <c r="VRV136" s="371">
        <v>15.38</v>
      </c>
      <c r="VRW136" s="371" t="e">
        <f>VRT136*VRU136*VRV136</f>
        <v>#DIV/0!</v>
      </c>
      <c r="VRX136" s="367" t="s">
        <v>206</v>
      </c>
      <c r="VRY136" s="367"/>
      <c r="VRZ136" s="367"/>
      <c r="VSA136" s="368" t="s">
        <v>168</v>
      </c>
      <c r="VSB136" s="369">
        <v>0.5</v>
      </c>
      <c r="VSC136" s="370" t="e">
        <f>10/VRY134</f>
        <v>#DIV/0!</v>
      </c>
      <c r="VSD136" s="371">
        <v>15.38</v>
      </c>
      <c r="VSE136" s="371" t="e">
        <f>VSB136*VSC136*VSD136</f>
        <v>#DIV/0!</v>
      </c>
      <c r="VSF136" s="367" t="s">
        <v>206</v>
      </c>
      <c r="VSG136" s="367"/>
      <c r="VSH136" s="367"/>
      <c r="VSI136" s="368" t="s">
        <v>168</v>
      </c>
      <c r="VSJ136" s="369">
        <v>0.5</v>
      </c>
      <c r="VSK136" s="370" t="e">
        <f>10/VSG134</f>
        <v>#DIV/0!</v>
      </c>
      <c r="VSL136" s="371">
        <v>15.38</v>
      </c>
      <c r="VSM136" s="371" t="e">
        <f>VSJ136*VSK136*VSL136</f>
        <v>#DIV/0!</v>
      </c>
      <c r="VSN136" s="367" t="s">
        <v>206</v>
      </c>
      <c r="VSO136" s="367"/>
      <c r="VSP136" s="367"/>
      <c r="VSQ136" s="368" t="s">
        <v>168</v>
      </c>
      <c r="VSR136" s="369">
        <v>0.5</v>
      </c>
      <c r="VSS136" s="370" t="e">
        <f>10/VSO134</f>
        <v>#DIV/0!</v>
      </c>
      <c r="VST136" s="371">
        <v>15.38</v>
      </c>
      <c r="VSU136" s="371" t="e">
        <f>VSR136*VSS136*VST136</f>
        <v>#DIV/0!</v>
      </c>
      <c r="VSV136" s="367" t="s">
        <v>206</v>
      </c>
      <c r="VSW136" s="367"/>
      <c r="VSX136" s="367"/>
      <c r="VSY136" s="368" t="s">
        <v>168</v>
      </c>
      <c r="VSZ136" s="369">
        <v>0.5</v>
      </c>
      <c r="VTA136" s="370" t="e">
        <f>10/VSW134</f>
        <v>#DIV/0!</v>
      </c>
      <c r="VTB136" s="371">
        <v>15.38</v>
      </c>
      <c r="VTC136" s="371" t="e">
        <f>VSZ136*VTA136*VTB136</f>
        <v>#DIV/0!</v>
      </c>
      <c r="VTD136" s="367" t="s">
        <v>206</v>
      </c>
      <c r="VTE136" s="367"/>
      <c r="VTF136" s="367"/>
      <c r="VTG136" s="368" t="s">
        <v>168</v>
      </c>
      <c r="VTH136" s="369">
        <v>0.5</v>
      </c>
      <c r="VTI136" s="370" t="e">
        <f>10/VTE134</f>
        <v>#DIV/0!</v>
      </c>
      <c r="VTJ136" s="371">
        <v>15.38</v>
      </c>
      <c r="VTK136" s="371" t="e">
        <f>VTH136*VTI136*VTJ136</f>
        <v>#DIV/0!</v>
      </c>
      <c r="VTL136" s="367" t="s">
        <v>206</v>
      </c>
      <c r="VTM136" s="367"/>
      <c r="VTN136" s="367"/>
      <c r="VTO136" s="368" t="s">
        <v>168</v>
      </c>
      <c r="VTP136" s="369">
        <v>0.5</v>
      </c>
      <c r="VTQ136" s="370" t="e">
        <f>10/VTM134</f>
        <v>#DIV/0!</v>
      </c>
      <c r="VTR136" s="371">
        <v>15.38</v>
      </c>
      <c r="VTS136" s="371" t="e">
        <f>VTP136*VTQ136*VTR136</f>
        <v>#DIV/0!</v>
      </c>
      <c r="VTT136" s="367" t="s">
        <v>206</v>
      </c>
      <c r="VTU136" s="367"/>
      <c r="VTV136" s="367"/>
      <c r="VTW136" s="368" t="s">
        <v>168</v>
      </c>
      <c r="VTX136" s="369">
        <v>0.5</v>
      </c>
      <c r="VTY136" s="370" t="e">
        <f>10/VTU134</f>
        <v>#DIV/0!</v>
      </c>
      <c r="VTZ136" s="371">
        <v>15.38</v>
      </c>
      <c r="VUA136" s="371" t="e">
        <f>VTX136*VTY136*VTZ136</f>
        <v>#DIV/0!</v>
      </c>
      <c r="VUB136" s="367" t="s">
        <v>206</v>
      </c>
      <c r="VUC136" s="367"/>
      <c r="VUD136" s="367"/>
      <c r="VUE136" s="368" t="s">
        <v>168</v>
      </c>
      <c r="VUF136" s="369">
        <v>0.5</v>
      </c>
      <c r="VUG136" s="370" t="e">
        <f>10/VUC134</f>
        <v>#DIV/0!</v>
      </c>
      <c r="VUH136" s="371">
        <v>15.38</v>
      </c>
      <c r="VUI136" s="371" t="e">
        <f>VUF136*VUG136*VUH136</f>
        <v>#DIV/0!</v>
      </c>
      <c r="VUJ136" s="367" t="s">
        <v>206</v>
      </c>
      <c r="VUK136" s="367"/>
      <c r="VUL136" s="367"/>
      <c r="VUM136" s="368" t="s">
        <v>168</v>
      </c>
      <c r="VUN136" s="369">
        <v>0.5</v>
      </c>
      <c r="VUO136" s="370" t="e">
        <f>10/VUK134</f>
        <v>#DIV/0!</v>
      </c>
      <c r="VUP136" s="371">
        <v>15.38</v>
      </c>
      <c r="VUQ136" s="371" t="e">
        <f>VUN136*VUO136*VUP136</f>
        <v>#DIV/0!</v>
      </c>
      <c r="VUR136" s="367" t="s">
        <v>206</v>
      </c>
      <c r="VUS136" s="367"/>
      <c r="VUT136" s="367"/>
      <c r="VUU136" s="368" t="s">
        <v>168</v>
      </c>
      <c r="VUV136" s="369">
        <v>0.5</v>
      </c>
      <c r="VUW136" s="370" t="e">
        <f>10/VUS134</f>
        <v>#DIV/0!</v>
      </c>
      <c r="VUX136" s="371">
        <v>15.38</v>
      </c>
      <c r="VUY136" s="371" t="e">
        <f>VUV136*VUW136*VUX136</f>
        <v>#DIV/0!</v>
      </c>
      <c r="VUZ136" s="367" t="s">
        <v>206</v>
      </c>
      <c r="VVA136" s="367"/>
      <c r="VVB136" s="367"/>
      <c r="VVC136" s="368" t="s">
        <v>168</v>
      </c>
      <c r="VVD136" s="369">
        <v>0.5</v>
      </c>
      <c r="VVE136" s="370" t="e">
        <f>10/VVA134</f>
        <v>#DIV/0!</v>
      </c>
      <c r="VVF136" s="371">
        <v>15.38</v>
      </c>
      <c r="VVG136" s="371" t="e">
        <f>VVD136*VVE136*VVF136</f>
        <v>#DIV/0!</v>
      </c>
      <c r="VVH136" s="367" t="s">
        <v>206</v>
      </c>
      <c r="VVI136" s="367"/>
      <c r="VVJ136" s="367"/>
      <c r="VVK136" s="368" t="s">
        <v>168</v>
      </c>
      <c r="VVL136" s="369">
        <v>0.5</v>
      </c>
      <c r="VVM136" s="370" t="e">
        <f>10/VVI134</f>
        <v>#DIV/0!</v>
      </c>
      <c r="VVN136" s="371">
        <v>15.38</v>
      </c>
      <c r="VVO136" s="371" t="e">
        <f>VVL136*VVM136*VVN136</f>
        <v>#DIV/0!</v>
      </c>
      <c r="VVP136" s="367" t="s">
        <v>206</v>
      </c>
      <c r="VVQ136" s="367"/>
      <c r="VVR136" s="367"/>
      <c r="VVS136" s="368" t="s">
        <v>168</v>
      </c>
      <c r="VVT136" s="369">
        <v>0.5</v>
      </c>
      <c r="VVU136" s="370" t="e">
        <f>10/VVQ134</f>
        <v>#DIV/0!</v>
      </c>
      <c r="VVV136" s="371">
        <v>15.38</v>
      </c>
      <c r="VVW136" s="371" t="e">
        <f>VVT136*VVU136*VVV136</f>
        <v>#DIV/0!</v>
      </c>
      <c r="VVX136" s="367" t="s">
        <v>206</v>
      </c>
      <c r="VVY136" s="367"/>
      <c r="VVZ136" s="367"/>
      <c r="VWA136" s="368" t="s">
        <v>168</v>
      </c>
      <c r="VWB136" s="369">
        <v>0.5</v>
      </c>
      <c r="VWC136" s="370" t="e">
        <f>10/VVY134</f>
        <v>#DIV/0!</v>
      </c>
      <c r="VWD136" s="371">
        <v>15.38</v>
      </c>
      <c r="VWE136" s="371" t="e">
        <f>VWB136*VWC136*VWD136</f>
        <v>#DIV/0!</v>
      </c>
      <c r="VWF136" s="367" t="s">
        <v>206</v>
      </c>
      <c r="VWG136" s="367"/>
      <c r="VWH136" s="367"/>
      <c r="VWI136" s="368" t="s">
        <v>168</v>
      </c>
      <c r="VWJ136" s="369">
        <v>0.5</v>
      </c>
      <c r="VWK136" s="370" t="e">
        <f>10/VWG134</f>
        <v>#DIV/0!</v>
      </c>
      <c r="VWL136" s="371">
        <v>15.38</v>
      </c>
      <c r="VWM136" s="371" t="e">
        <f>VWJ136*VWK136*VWL136</f>
        <v>#DIV/0!</v>
      </c>
      <c r="VWN136" s="367" t="s">
        <v>206</v>
      </c>
      <c r="VWO136" s="367"/>
      <c r="VWP136" s="367"/>
      <c r="VWQ136" s="368" t="s">
        <v>168</v>
      </c>
      <c r="VWR136" s="369">
        <v>0.5</v>
      </c>
      <c r="VWS136" s="370" t="e">
        <f>10/VWO134</f>
        <v>#DIV/0!</v>
      </c>
      <c r="VWT136" s="371">
        <v>15.38</v>
      </c>
      <c r="VWU136" s="371" t="e">
        <f>VWR136*VWS136*VWT136</f>
        <v>#DIV/0!</v>
      </c>
      <c r="VWV136" s="367" t="s">
        <v>206</v>
      </c>
      <c r="VWW136" s="367"/>
      <c r="VWX136" s="367"/>
      <c r="VWY136" s="368" t="s">
        <v>168</v>
      </c>
      <c r="VWZ136" s="369">
        <v>0.5</v>
      </c>
      <c r="VXA136" s="370" t="e">
        <f>10/VWW134</f>
        <v>#DIV/0!</v>
      </c>
      <c r="VXB136" s="371">
        <v>15.38</v>
      </c>
      <c r="VXC136" s="371" t="e">
        <f>VWZ136*VXA136*VXB136</f>
        <v>#DIV/0!</v>
      </c>
      <c r="VXD136" s="367" t="s">
        <v>206</v>
      </c>
      <c r="VXE136" s="367"/>
      <c r="VXF136" s="367"/>
      <c r="VXG136" s="368" t="s">
        <v>168</v>
      </c>
      <c r="VXH136" s="369">
        <v>0.5</v>
      </c>
      <c r="VXI136" s="370" t="e">
        <f>10/VXE134</f>
        <v>#DIV/0!</v>
      </c>
      <c r="VXJ136" s="371">
        <v>15.38</v>
      </c>
      <c r="VXK136" s="371" t="e">
        <f>VXH136*VXI136*VXJ136</f>
        <v>#DIV/0!</v>
      </c>
      <c r="VXL136" s="367" t="s">
        <v>206</v>
      </c>
      <c r="VXM136" s="367"/>
      <c r="VXN136" s="367"/>
      <c r="VXO136" s="368" t="s">
        <v>168</v>
      </c>
      <c r="VXP136" s="369">
        <v>0.5</v>
      </c>
      <c r="VXQ136" s="370" t="e">
        <f>10/VXM134</f>
        <v>#DIV/0!</v>
      </c>
      <c r="VXR136" s="371">
        <v>15.38</v>
      </c>
      <c r="VXS136" s="371" t="e">
        <f>VXP136*VXQ136*VXR136</f>
        <v>#DIV/0!</v>
      </c>
      <c r="VXT136" s="367" t="s">
        <v>206</v>
      </c>
      <c r="VXU136" s="367"/>
      <c r="VXV136" s="367"/>
      <c r="VXW136" s="368" t="s">
        <v>168</v>
      </c>
      <c r="VXX136" s="369">
        <v>0.5</v>
      </c>
      <c r="VXY136" s="370" t="e">
        <f>10/VXU134</f>
        <v>#DIV/0!</v>
      </c>
      <c r="VXZ136" s="371">
        <v>15.38</v>
      </c>
      <c r="VYA136" s="371" t="e">
        <f>VXX136*VXY136*VXZ136</f>
        <v>#DIV/0!</v>
      </c>
      <c r="VYB136" s="367" t="s">
        <v>206</v>
      </c>
      <c r="VYC136" s="367"/>
      <c r="VYD136" s="367"/>
      <c r="VYE136" s="368" t="s">
        <v>168</v>
      </c>
      <c r="VYF136" s="369">
        <v>0.5</v>
      </c>
      <c r="VYG136" s="370" t="e">
        <f>10/VYC134</f>
        <v>#DIV/0!</v>
      </c>
      <c r="VYH136" s="371">
        <v>15.38</v>
      </c>
      <c r="VYI136" s="371" t="e">
        <f>VYF136*VYG136*VYH136</f>
        <v>#DIV/0!</v>
      </c>
      <c r="VYJ136" s="367" t="s">
        <v>206</v>
      </c>
      <c r="VYK136" s="367"/>
      <c r="VYL136" s="367"/>
      <c r="VYM136" s="368" t="s">
        <v>168</v>
      </c>
      <c r="VYN136" s="369">
        <v>0.5</v>
      </c>
      <c r="VYO136" s="370" t="e">
        <f>10/VYK134</f>
        <v>#DIV/0!</v>
      </c>
      <c r="VYP136" s="371">
        <v>15.38</v>
      </c>
      <c r="VYQ136" s="371" t="e">
        <f>VYN136*VYO136*VYP136</f>
        <v>#DIV/0!</v>
      </c>
      <c r="VYR136" s="367" t="s">
        <v>206</v>
      </c>
      <c r="VYS136" s="367"/>
      <c r="VYT136" s="367"/>
      <c r="VYU136" s="368" t="s">
        <v>168</v>
      </c>
      <c r="VYV136" s="369">
        <v>0.5</v>
      </c>
      <c r="VYW136" s="370" t="e">
        <f>10/VYS134</f>
        <v>#DIV/0!</v>
      </c>
      <c r="VYX136" s="371">
        <v>15.38</v>
      </c>
      <c r="VYY136" s="371" t="e">
        <f>VYV136*VYW136*VYX136</f>
        <v>#DIV/0!</v>
      </c>
      <c r="VYZ136" s="367" t="s">
        <v>206</v>
      </c>
      <c r="VZA136" s="367"/>
      <c r="VZB136" s="367"/>
      <c r="VZC136" s="368" t="s">
        <v>168</v>
      </c>
      <c r="VZD136" s="369">
        <v>0.5</v>
      </c>
      <c r="VZE136" s="370" t="e">
        <f>10/VZA134</f>
        <v>#DIV/0!</v>
      </c>
      <c r="VZF136" s="371">
        <v>15.38</v>
      </c>
      <c r="VZG136" s="371" t="e">
        <f>VZD136*VZE136*VZF136</f>
        <v>#DIV/0!</v>
      </c>
      <c r="VZH136" s="367" t="s">
        <v>206</v>
      </c>
      <c r="VZI136" s="367"/>
      <c r="VZJ136" s="367"/>
      <c r="VZK136" s="368" t="s">
        <v>168</v>
      </c>
      <c r="VZL136" s="369">
        <v>0.5</v>
      </c>
      <c r="VZM136" s="370" t="e">
        <f>10/VZI134</f>
        <v>#DIV/0!</v>
      </c>
      <c r="VZN136" s="371">
        <v>15.38</v>
      </c>
      <c r="VZO136" s="371" t="e">
        <f>VZL136*VZM136*VZN136</f>
        <v>#DIV/0!</v>
      </c>
      <c r="VZP136" s="367" t="s">
        <v>206</v>
      </c>
      <c r="VZQ136" s="367"/>
      <c r="VZR136" s="367"/>
      <c r="VZS136" s="368" t="s">
        <v>168</v>
      </c>
      <c r="VZT136" s="369">
        <v>0.5</v>
      </c>
      <c r="VZU136" s="370" t="e">
        <f>10/VZQ134</f>
        <v>#DIV/0!</v>
      </c>
      <c r="VZV136" s="371">
        <v>15.38</v>
      </c>
      <c r="VZW136" s="371" t="e">
        <f>VZT136*VZU136*VZV136</f>
        <v>#DIV/0!</v>
      </c>
      <c r="VZX136" s="367" t="s">
        <v>206</v>
      </c>
      <c r="VZY136" s="367"/>
      <c r="VZZ136" s="367"/>
      <c r="WAA136" s="368" t="s">
        <v>168</v>
      </c>
      <c r="WAB136" s="369">
        <v>0.5</v>
      </c>
      <c r="WAC136" s="370" t="e">
        <f>10/VZY134</f>
        <v>#DIV/0!</v>
      </c>
      <c r="WAD136" s="371">
        <v>15.38</v>
      </c>
      <c r="WAE136" s="371" t="e">
        <f>WAB136*WAC136*WAD136</f>
        <v>#DIV/0!</v>
      </c>
      <c r="WAF136" s="367" t="s">
        <v>206</v>
      </c>
      <c r="WAG136" s="367"/>
      <c r="WAH136" s="367"/>
      <c r="WAI136" s="368" t="s">
        <v>168</v>
      </c>
      <c r="WAJ136" s="369">
        <v>0.5</v>
      </c>
      <c r="WAK136" s="370" t="e">
        <f>10/WAG134</f>
        <v>#DIV/0!</v>
      </c>
      <c r="WAL136" s="371">
        <v>15.38</v>
      </c>
      <c r="WAM136" s="371" t="e">
        <f>WAJ136*WAK136*WAL136</f>
        <v>#DIV/0!</v>
      </c>
      <c r="WAN136" s="367" t="s">
        <v>206</v>
      </c>
      <c r="WAO136" s="367"/>
      <c r="WAP136" s="367"/>
      <c r="WAQ136" s="368" t="s">
        <v>168</v>
      </c>
      <c r="WAR136" s="369">
        <v>0.5</v>
      </c>
      <c r="WAS136" s="370" t="e">
        <f>10/WAO134</f>
        <v>#DIV/0!</v>
      </c>
      <c r="WAT136" s="371">
        <v>15.38</v>
      </c>
      <c r="WAU136" s="371" t="e">
        <f>WAR136*WAS136*WAT136</f>
        <v>#DIV/0!</v>
      </c>
      <c r="WAV136" s="367" t="s">
        <v>206</v>
      </c>
      <c r="WAW136" s="367"/>
      <c r="WAX136" s="367"/>
      <c r="WAY136" s="368" t="s">
        <v>168</v>
      </c>
      <c r="WAZ136" s="369">
        <v>0.5</v>
      </c>
      <c r="WBA136" s="370" t="e">
        <f>10/WAW134</f>
        <v>#DIV/0!</v>
      </c>
      <c r="WBB136" s="371">
        <v>15.38</v>
      </c>
      <c r="WBC136" s="371" t="e">
        <f>WAZ136*WBA136*WBB136</f>
        <v>#DIV/0!</v>
      </c>
      <c r="WBD136" s="367" t="s">
        <v>206</v>
      </c>
      <c r="WBE136" s="367"/>
      <c r="WBF136" s="367"/>
      <c r="WBG136" s="368" t="s">
        <v>168</v>
      </c>
      <c r="WBH136" s="369">
        <v>0.5</v>
      </c>
      <c r="WBI136" s="370" t="e">
        <f>10/WBE134</f>
        <v>#DIV/0!</v>
      </c>
      <c r="WBJ136" s="371">
        <v>15.38</v>
      </c>
      <c r="WBK136" s="371" t="e">
        <f>WBH136*WBI136*WBJ136</f>
        <v>#DIV/0!</v>
      </c>
      <c r="WBL136" s="367" t="s">
        <v>206</v>
      </c>
      <c r="WBM136" s="367"/>
      <c r="WBN136" s="367"/>
      <c r="WBO136" s="368" t="s">
        <v>168</v>
      </c>
      <c r="WBP136" s="369">
        <v>0.5</v>
      </c>
      <c r="WBQ136" s="370" t="e">
        <f>10/WBM134</f>
        <v>#DIV/0!</v>
      </c>
      <c r="WBR136" s="371">
        <v>15.38</v>
      </c>
      <c r="WBS136" s="371" t="e">
        <f>WBP136*WBQ136*WBR136</f>
        <v>#DIV/0!</v>
      </c>
      <c r="WBT136" s="367" t="s">
        <v>206</v>
      </c>
      <c r="WBU136" s="367"/>
      <c r="WBV136" s="367"/>
      <c r="WBW136" s="368" t="s">
        <v>168</v>
      </c>
      <c r="WBX136" s="369">
        <v>0.5</v>
      </c>
      <c r="WBY136" s="370" t="e">
        <f>10/WBU134</f>
        <v>#DIV/0!</v>
      </c>
      <c r="WBZ136" s="371">
        <v>15.38</v>
      </c>
      <c r="WCA136" s="371" t="e">
        <f>WBX136*WBY136*WBZ136</f>
        <v>#DIV/0!</v>
      </c>
      <c r="WCB136" s="367" t="s">
        <v>206</v>
      </c>
      <c r="WCC136" s="367"/>
      <c r="WCD136" s="367"/>
      <c r="WCE136" s="368" t="s">
        <v>168</v>
      </c>
      <c r="WCF136" s="369">
        <v>0.5</v>
      </c>
      <c r="WCG136" s="370" t="e">
        <f>10/WCC134</f>
        <v>#DIV/0!</v>
      </c>
      <c r="WCH136" s="371">
        <v>15.38</v>
      </c>
      <c r="WCI136" s="371" t="e">
        <f>WCF136*WCG136*WCH136</f>
        <v>#DIV/0!</v>
      </c>
      <c r="WCJ136" s="367" t="s">
        <v>206</v>
      </c>
      <c r="WCK136" s="367"/>
      <c r="WCL136" s="367"/>
      <c r="WCM136" s="368" t="s">
        <v>168</v>
      </c>
      <c r="WCN136" s="369">
        <v>0.5</v>
      </c>
      <c r="WCO136" s="370" t="e">
        <f>10/WCK134</f>
        <v>#DIV/0!</v>
      </c>
      <c r="WCP136" s="371">
        <v>15.38</v>
      </c>
      <c r="WCQ136" s="371" t="e">
        <f>WCN136*WCO136*WCP136</f>
        <v>#DIV/0!</v>
      </c>
      <c r="WCR136" s="367" t="s">
        <v>206</v>
      </c>
      <c r="WCS136" s="367"/>
      <c r="WCT136" s="367"/>
      <c r="WCU136" s="368" t="s">
        <v>168</v>
      </c>
      <c r="WCV136" s="369">
        <v>0.5</v>
      </c>
      <c r="WCW136" s="370" t="e">
        <f>10/WCS134</f>
        <v>#DIV/0!</v>
      </c>
      <c r="WCX136" s="371">
        <v>15.38</v>
      </c>
      <c r="WCY136" s="371" t="e">
        <f>WCV136*WCW136*WCX136</f>
        <v>#DIV/0!</v>
      </c>
      <c r="WCZ136" s="367" t="s">
        <v>206</v>
      </c>
      <c r="WDA136" s="367"/>
      <c r="WDB136" s="367"/>
      <c r="WDC136" s="368" t="s">
        <v>168</v>
      </c>
      <c r="WDD136" s="369">
        <v>0.5</v>
      </c>
      <c r="WDE136" s="370" t="e">
        <f>10/WDA134</f>
        <v>#DIV/0!</v>
      </c>
      <c r="WDF136" s="371">
        <v>15.38</v>
      </c>
      <c r="WDG136" s="371" t="e">
        <f>WDD136*WDE136*WDF136</f>
        <v>#DIV/0!</v>
      </c>
      <c r="WDH136" s="367" t="s">
        <v>206</v>
      </c>
      <c r="WDI136" s="367"/>
      <c r="WDJ136" s="367"/>
      <c r="WDK136" s="368" t="s">
        <v>168</v>
      </c>
      <c r="WDL136" s="369">
        <v>0.5</v>
      </c>
      <c r="WDM136" s="370" t="e">
        <f>10/WDI134</f>
        <v>#DIV/0!</v>
      </c>
      <c r="WDN136" s="371">
        <v>15.38</v>
      </c>
      <c r="WDO136" s="371" t="e">
        <f>WDL136*WDM136*WDN136</f>
        <v>#DIV/0!</v>
      </c>
      <c r="WDP136" s="367" t="s">
        <v>206</v>
      </c>
      <c r="WDQ136" s="367"/>
      <c r="WDR136" s="367"/>
      <c r="WDS136" s="368" t="s">
        <v>168</v>
      </c>
      <c r="WDT136" s="369">
        <v>0.5</v>
      </c>
      <c r="WDU136" s="370" t="e">
        <f>10/WDQ134</f>
        <v>#DIV/0!</v>
      </c>
      <c r="WDV136" s="371">
        <v>15.38</v>
      </c>
      <c r="WDW136" s="371" t="e">
        <f>WDT136*WDU136*WDV136</f>
        <v>#DIV/0!</v>
      </c>
      <c r="WDX136" s="367" t="s">
        <v>206</v>
      </c>
      <c r="WDY136" s="367"/>
      <c r="WDZ136" s="367"/>
      <c r="WEA136" s="368" t="s">
        <v>168</v>
      </c>
      <c r="WEB136" s="369">
        <v>0.5</v>
      </c>
      <c r="WEC136" s="370" t="e">
        <f>10/WDY134</f>
        <v>#DIV/0!</v>
      </c>
      <c r="WED136" s="371">
        <v>15.38</v>
      </c>
      <c r="WEE136" s="371" t="e">
        <f>WEB136*WEC136*WED136</f>
        <v>#DIV/0!</v>
      </c>
      <c r="WEF136" s="367" t="s">
        <v>206</v>
      </c>
      <c r="WEG136" s="367"/>
      <c r="WEH136" s="367"/>
      <c r="WEI136" s="368" t="s">
        <v>168</v>
      </c>
      <c r="WEJ136" s="369">
        <v>0.5</v>
      </c>
      <c r="WEK136" s="370" t="e">
        <f>10/WEG134</f>
        <v>#DIV/0!</v>
      </c>
      <c r="WEL136" s="371">
        <v>15.38</v>
      </c>
      <c r="WEM136" s="371" t="e">
        <f>WEJ136*WEK136*WEL136</f>
        <v>#DIV/0!</v>
      </c>
      <c r="WEN136" s="367" t="s">
        <v>206</v>
      </c>
      <c r="WEO136" s="367"/>
      <c r="WEP136" s="367"/>
      <c r="WEQ136" s="368" t="s">
        <v>168</v>
      </c>
      <c r="WER136" s="369">
        <v>0.5</v>
      </c>
      <c r="WES136" s="370" t="e">
        <f>10/WEO134</f>
        <v>#DIV/0!</v>
      </c>
      <c r="WET136" s="371">
        <v>15.38</v>
      </c>
      <c r="WEU136" s="371" t="e">
        <f>WER136*WES136*WET136</f>
        <v>#DIV/0!</v>
      </c>
      <c r="WEV136" s="367" t="s">
        <v>206</v>
      </c>
      <c r="WEW136" s="367"/>
      <c r="WEX136" s="367"/>
      <c r="WEY136" s="368" t="s">
        <v>168</v>
      </c>
      <c r="WEZ136" s="369">
        <v>0.5</v>
      </c>
      <c r="WFA136" s="370" t="e">
        <f>10/WEW134</f>
        <v>#DIV/0!</v>
      </c>
      <c r="WFB136" s="371">
        <v>15.38</v>
      </c>
      <c r="WFC136" s="371" t="e">
        <f>WEZ136*WFA136*WFB136</f>
        <v>#DIV/0!</v>
      </c>
      <c r="WFD136" s="367" t="s">
        <v>206</v>
      </c>
      <c r="WFE136" s="367"/>
      <c r="WFF136" s="367"/>
      <c r="WFG136" s="368" t="s">
        <v>168</v>
      </c>
      <c r="WFH136" s="369">
        <v>0.5</v>
      </c>
      <c r="WFI136" s="370" t="e">
        <f>10/WFE134</f>
        <v>#DIV/0!</v>
      </c>
      <c r="WFJ136" s="371">
        <v>15.38</v>
      </c>
      <c r="WFK136" s="371" t="e">
        <f>WFH136*WFI136*WFJ136</f>
        <v>#DIV/0!</v>
      </c>
      <c r="WFL136" s="367" t="s">
        <v>206</v>
      </c>
      <c r="WFM136" s="367"/>
      <c r="WFN136" s="367"/>
      <c r="WFO136" s="368" t="s">
        <v>168</v>
      </c>
      <c r="WFP136" s="369">
        <v>0.5</v>
      </c>
      <c r="WFQ136" s="370" t="e">
        <f>10/WFM134</f>
        <v>#DIV/0!</v>
      </c>
      <c r="WFR136" s="371">
        <v>15.38</v>
      </c>
      <c r="WFS136" s="371" t="e">
        <f>WFP136*WFQ136*WFR136</f>
        <v>#DIV/0!</v>
      </c>
      <c r="WFT136" s="367" t="s">
        <v>206</v>
      </c>
      <c r="WFU136" s="367"/>
      <c r="WFV136" s="367"/>
      <c r="WFW136" s="368" t="s">
        <v>168</v>
      </c>
      <c r="WFX136" s="369">
        <v>0.5</v>
      </c>
      <c r="WFY136" s="370" t="e">
        <f>10/WFU134</f>
        <v>#DIV/0!</v>
      </c>
      <c r="WFZ136" s="371">
        <v>15.38</v>
      </c>
      <c r="WGA136" s="371" t="e">
        <f>WFX136*WFY136*WFZ136</f>
        <v>#DIV/0!</v>
      </c>
      <c r="WGB136" s="367" t="s">
        <v>206</v>
      </c>
      <c r="WGC136" s="367"/>
      <c r="WGD136" s="367"/>
      <c r="WGE136" s="368" t="s">
        <v>168</v>
      </c>
      <c r="WGF136" s="369">
        <v>0.5</v>
      </c>
      <c r="WGG136" s="370" t="e">
        <f>10/WGC134</f>
        <v>#DIV/0!</v>
      </c>
      <c r="WGH136" s="371">
        <v>15.38</v>
      </c>
      <c r="WGI136" s="371" t="e">
        <f>WGF136*WGG136*WGH136</f>
        <v>#DIV/0!</v>
      </c>
      <c r="WGJ136" s="367" t="s">
        <v>206</v>
      </c>
      <c r="WGK136" s="367"/>
      <c r="WGL136" s="367"/>
      <c r="WGM136" s="368" t="s">
        <v>168</v>
      </c>
      <c r="WGN136" s="369">
        <v>0.5</v>
      </c>
      <c r="WGO136" s="370" t="e">
        <f>10/WGK134</f>
        <v>#DIV/0!</v>
      </c>
      <c r="WGP136" s="371">
        <v>15.38</v>
      </c>
      <c r="WGQ136" s="371" t="e">
        <f>WGN136*WGO136*WGP136</f>
        <v>#DIV/0!</v>
      </c>
      <c r="WGR136" s="367" t="s">
        <v>206</v>
      </c>
      <c r="WGS136" s="367"/>
      <c r="WGT136" s="367"/>
      <c r="WGU136" s="368" t="s">
        <v>168</v>
      </c>
      <c r="WGV136" s="369">
        <v>0.5</v>
      </c>
      <c r="WGW136" s="370" t="e">
        <f>10/WGS134</f>
        <v>#DIV/0!</v>
      </c>
      <c r="WGX136" s="371">
        <v>15.38</v>
      </c>
      <c r="WGY136" s="371" t="e">
        <f>WGV136*WGW136*WGX136</f>
        <v>#DIV/0!</v>
      </c>
      <c r="WGZ136" s="367" t="s">
        <v>206</v>
      </c>
      <c r="WHA136" s="367"/>
      <c r="WHB136" s="367"/>
      <c r="WHC136" s="368" t="s">
        <v>168</v>
      </c>
      <c r="WHD136" s="369">
        <v>0.5</v>
      </c>
      <c r="WHE136" s="370" t="e">
        <f>10/WHA134</f>
        <v>#DIV/0!</v>
      </c>
      <c r="WHF136" s="371">
        <v>15.38</v>
      </c>
      <c r="WHG136" s="371" t="e">
        <f>WHD136*WHE136*WHF136</f>
        <v>#DIV/0!</v>
      </c>
      <c r="WHH136" s="367" t="s">
        <v>206</v>
      </c>
      <c r="WHI136" s="367"/>
      <c r="WHJ136" s="367"/>
      <c r="WHK136" s="368" t="s">
        <v>168</v>
      </c>
      <c r="WHL136" s="369">
        <v>0.5</v>
      </c>
      <c r="WHM136" s="370" t="e">
        <f>10/WHI134</f>
        <v>#DIV/0!</v>
      </c>
      <c r="WHN136" s="371">
        <v>15.38</v>
      </c>
      <c r="WHO136" s="371" t="e">
        <f>WHL136*WHM136*WHN136</f>
        <v>#DIV/0!</v>
      </c>
      <c r="WHP136" s="367" t="s">
        <v>206</v>
      </c>
      <c r="WHQ136" s="367"/>
      <c r="WHR136" s="367"/>
      <c r="WHS136" s="368" t="s">
        <v>168</v>
      </c>
      <c r="WHT136" s="369">
        <v>0.5</v>
      </c>
      <c r="WHU136" s="370" t="e">
        <f>10/WHQ134</f>
        <v>#DIV/0!</v>
      </c>
      <c r="WHV136" s="371">
        <v>15.38</v>
      </c>
      <c r="WHW136" s="371" t="e">
        <f>WHT136*WHU136*WHV136</f>
        <v>#DIV/0!</v>
      </c>
      <c r="WHX136" s="367" t="s">
        <v>206</v>
      </c>
      <c r="WHY136" s="367"/>
      <c r="WHZ136" s="367"/>
      <c r="WIA136" s="368" t="s">
        <v>168</v>
      </c>
      <c r="WIB136" s="369">
        <v>0.5</v>
      </c>
      <c r="WIC136" s="370" t="e">
        <f>10/WHY134</f>
        <v>#DIV/0!</v>
      </c>
      <c r="WID136" s="371">
        <v>15.38</v>
      </c>
      <c r="WIE136" s="371" t="e">
        <f>WIB136*WIC136*WID136</f>
        <v>#DIV/0!</v>
      </c>
      <c r="WIF136" s="367" t="s">
        <v>206</v>
      </c>
      <c r="WIG136" s="367"/>
      <c r="WIH136" s="367"/>
      <c r="WII136" s="368" t="s">
        <v>168</v>
      </c>
      <c r="WIJ136" s="369">
        <v>0.5</v>
      </c>
      <c r="WIK136" s="370" t="e">
        <f>10/WIG134</f>
        <v>#DIV/0!</v>
      </c>
      <c r="WIL136" s="371">
        <v>15.38</v>
      </c>
      <c r="WIM136" s="371" t="e">
        <f>WIJ136*WIK136*WIL136</f>
        <v>#DIV/0!</v>
      </c>
      <c r="WIN136" s="367" t="s">
        <v>206</v>
      </c>
      <c r="WIO136" s="367"/>
      <c r="WIP136" s="367"/>
      <c r="WIQ136" s="368" t="s">
        <v>168</v>
      </c>
      <c r="WIR136" s="369">
        <v>0.5</v>
      </c>
      <c r="WIS136" s="370" t="e">
        <f>10/WIO134</f>
        <v>#DIV/0!</v>
      </c>
      <c r="WIT136" s="371">
        <v>15.38</v>
      </c>
      <c r="WIU136" s="371" t="e">
        <f>WIR136*WIS136*WIT136</f>
        <v>#DIV/0!</v>
      </c>
      <c r="WIV136" s="367" t="s">
        <v>206</v>
      </c>
      <c r="WIW136" s="367"/>
      <c r="WIX136" s="367"/>
      <c r="WIY136" s="368" t="s">
        <v>168</v>
      </c>
      <c r="WIZ136" s="369">
        <v>0.5</v>
      </c>
      <c r="WJA136" s="370" t="e">
        <f>10/WIW134</f>
        <v>#DIV/0!</v>
      </c>
      <c r="WJB136" s="371">
        <v>15.38</v>
      </c>
      <c r="WJC136" s="371" t="e">
        <f>WIZ136*WJA136*WJB136</f>
        <v>#DIV/0!</v>
      </c>
      <c r="WJD136" s="367" t="s">
        <v>206</v>
      </c>
      <c r="WJE136" s="367"/>
      <c r="WJF136" s="367"/>
      <c r="WJG136" s="368" t="s">
        <v>168</v>
      </c>
      <c r="WJH136" s="369">
        <v>0.5</v>
      </c>
      <c r="WJI136" s="370" t="e">
        <f>10/WJE134</f>
        <v>#DIV/0!</v>
      </c>
      <c r="WJJ136" s="371">
        <v>15.38</v>
      </c>
      <c r="WJK136" s="371" t="e">
        <f>WJH136*WJI136*WJJ136</f>
        <v>#DIV/0!</v>
      </c>
      <c r="WJL136" s="367" t="s">
        <v>206</v>
      </c>
      <c r="WJM136" s="367"/>
      <c r="WJN136" s="367"/>
      <c r="WJO136" s="368" t="s">
        <v>168</v>
      </c>
      <c r="WJP136" s="369">
        <v>0.5</v>
      </c>
      <c r="WJQ136" s="370" t="e">
        <f>10/WJM134</f>
        <v>#DIV/0!</v>
      </c>
      <c r="WJR136" s="371">
        <v>15.38</v>
      </c>
      <c r="WJS136" s="371" t="e">
        <f>WJP136*WJQ136*WJR136</f>
        <v>#DIV/0!</v>
      </c>
      <c r="WJT136" s="367" t="s">
        <v>206</v>
      </c>
      <c r="WJU136" s="367"/>
      <c r="WJV136" s="367"/>
      <c r="WJW136" s="368" t="s">
        <v>168</v>
      </c>
      <c r="WJX136" s="369">
        <v>0.5</v>
      </c>
      <c r="WJY136" s="370" t="e">
        <f>10/WJU134</f>
        <v>#DIV/0!</v>
      </c>
      <c r="WJZ136" s="371">
        <v>15.38</v>
      </c>
      <c r="WKA136" s="371" t="e">
        <f>WJX136*WJY136*WJZ136</f>
        <v>#DIV/0!</v>
      </c>
      <c r="WKB136" s="367" t="s">
        <v>206</v>
      </c>
      <c r="WKC136" s="367"/>
      <c r="WKD136" s="367"/>
      <c r="WKE136" s="368" t="s">
        <v>168</v>
      </c>
      <c r="WKF136" s="369">
        <v>0.5</v>
      </c>
      <c r="WKG136" s="370" t="e">
        <f>10/WKC134</f>
        <v>#DIV/0!</v>
      </c>
      <c r="WKH136" s="371">
        <v>15.38</v>
      </c>
      <c r="WKI136" s="371" t="e">
        <f>WKF136*WKG136*WKH136</f>
        <v>#DIV/0!</v>
      </c>
      <c r="WKJ136" s="367" t="s">
        <v>206</v>
      </c>
      <c r="WKK136" s="367"/>
      <c r="WKL136" s="367"/>
      <c r="WKM136" s="368" t="s">
        <v>168</v>
      </c>
      <c r="WKN136" s="369">
        <v>0.5</v>
      </c>
      <c r="WKO136" s="370" t="e">
        <f>10/WKK134</f>
        <v>#DIV/0!</v>
      </c>
      <c r="WKP136" s="371">
        <v>15.38</v>
      </c>
      <c r="WKQ136" s="371" t="e">
        <f>WKN136*WKO136*WKP136</f>
        <v>#DIV/0!</v>
      </c>
      <c r="WKR136" s="367" t="s">
        <v>206</v>
      </c>
      <c r="WKS136" s="367"/>
      <c r="WKT136" s="367"/>
      <c r="WKU136" s="368" t="s">
        <v>168</v>
      </c>
      <c r="WKV136" s="369">
        <v>0.5</v>
      </c>
      <c r="WKW136" s="370" t="e">
        <f>10/WKS134</f>
        <v>#DIV/0!</v>
      </c>
      <c r="WKX136" s="371">
        <v>15.38</v>
      </c>
      <c r="WKY136" s="371" t="e">
        <f>WKV136*WKW136*WKX136</f>
        <v>#DIV/0!</v>
      </c>
      <c r="WKZ136" s="367" t="s">
        <v>206</v>
      </c>
      <c r="WLA136" s="367"/>
      <c r="WLB136" s="367"/>
      <c r="WLC136" s="368" t="s">
        <v>168</v>
      </c>
      <c r="WLD136" s="369">
        <v>0.5</v>
      </c>
      <c r="WLE136" s="370" t="e">
        <f>10/WLA134</f>
        <v>#DIV/0!</v>
      </c>
      <c r="WLF136" s="371">
        <v>15.38</v>
      </c>
      <c r="WLG136" s="371" t="e">
        <f>WLD136*WLE136*WLF136</f>
        <v>#DIV/0!</v>
      </c>
      <c r="WLH136" s="367" t="s">
        <v>206</v>
      </c>
      <c r="WLI136" s="367"/>
      <c r="WLJ136" s="367"/>
      <c r="WLK136" s="368" t="s">
        <v>168</v>
      </c>
      <c r="WLL136" s="369">
        <v>0.5</v>
      </c>
      <c r="WLM136" s="370" t="e">
        <f>10/WLI134</f>
        <v>#DIV/0!</v>
      </c>
      <c r="WLN136" s="371">
        <v>15.38</v>
      </c>
      <c r="WLO136" s="371" t="e">
        <f>WLL136*WLM136*WLN136</f>
        <v>#DIV/0!</v>
      </c>
      <c r="WLP136" s="367" t="s">
        <v>206</v>
      </c>
      <c r="WLQ136" s="367"/>
      <c r="WLR136" s="367"/>
      <c r="WLS136" s="368" t="s">
        <v>168</v>
      </c>
      <c r="WLT136" s="369">
        <v>0.5</v>
      </c>
      <c r="WLU136" s="370" t="e">
        <f>10/WLQ134</f>
        <v>#DIV/0!</v>
      </c>
      <c r="WLV136" s="371">
        <v>15.38</v>
      </c>
      <c r="WLW136" s="371" t="e">
        <f>WLT136*WLU136*WLV136</f>
        <v>#DIV/0!</v>
      </c>
      <c r="WLX136" s="367" t="s">
        <v>206</v>
      </c>
      <c r="WLY136" s="367"/>
      <c r="WLZ136" s="367"/>
      <c r="WMA136" s="368" t="s">
        <v>168</v>
      </c>
      <c r="WMB136" s="369">
        <v>0.5</v>
      </c>
      <c r="WMC136" s="370" t="e">
        <f>10/WLY134</f>
        <v>#DIV/0!</v>
      </c>
      <c r="WMD136" s="371">
        <v>15.38</v>
      </c>
      <c r="WME136" s="371" t="e">
        <f>WMB136*WMC136*WMD136</f>
        <v>#DIV/0!</v>
      </c>
      <c r="WMF136" s="367" t="s">
        <v>206</v>
      </c>
      <c r="WMG136" s="367"/>
      <c r="WMH136" s="367"/>
      <c r="WMI136" s="368" t="s">
        <v>168</v>
      </c>
      <c r="WMJ136" s="369">
        <v>0.5</v>
      </c>
      <c r="WMK136" s="370" t="e">
        <f>10/WMG134</f>
        <v>#DIV/0!</v>
      </c>
      <c r="WML136" s="371">
        <v>15.38</v>
      </c>
      <c r="WMM136" s="371" t="e">
        <f>WMJ136*WMK136*WML136</f>
        <v>#DIV/0!</v>
      </c>
      <c r="WMN136" s="367" t="s">
        <v>206</v>
      </c>
      <c r="WMO136" s="367"/>
      <c r="WMP136" s="367"/>
      <c r="WMQ136" s="368" t="s">
        <v>168</v>
      </c>
      <c r="WMR136" s="369">
        <v>0.5</v>
      </c>
      <c r="WMS136" s="370" t="e">
        <f>10/WMO134</f>
        <v>#DIV/0!</v>
      </c>
      <c r="WMT136" s="371">
        <v>15.38</v>
      </c>
      <c r="WMU136" s="371" t="e">
        <f>WMR136*WMS136*WMT136</f>
        <v>#DIV/0!</v>
      </c>
      <c r="WMV136" s="367" t="s">
        <v>206</v>
      </c>
      <c r="WMW136" s="367"/>
      <c r="WMX136" s="367"/>
      <c r="WMY136" s="368" t="s">
        <v>168</v>
      </c>
      <c r="WMZ136" s="369">
        <v>0.5</v>
      </c>
      <c r="WNA136" s="370" t="e">
        <f>10/WMW134</f>
        <v>#DIV/0!</v>
      </c>
      <c r="WNB136" s="371">
        <v>15.38</v>
      </c>
      <c r="WNC136" s="371" t="e">
        <f>WMZ136*WNA136*WNB136</f>
        <v>#DIV/0!</v>
      </c>
      <c r="WND136" s="367" t="s">
        <v>206</v>
      </c>
      <c r="WNE136" s="367"/>
      <c r="WNF136" s="367"/>
      <c r="WNG136" s="368" t="s">
        <v>168</v>
      </c>
      <c r="WNH136" s="369">
        <v>0.5</v>
      </c>
      <c r="WNI136" s="370" t="e">
        <f>10/WNE134</f>
        <v>#DIV/0!</v>
      </c>
      <c r="WNJ136" s="371">
        <v>15.38</v>
      </c>
      <c r="WNK136" s="371" t="e">
        <f>WNH136*WNI136*WNJ136</f>
        <v>#DIV/0!</v>
      </c>
      <c r="WNL136" s="367" t="s">
        <v>206</v>
      </c>
      <c r="WNM136" s="367"/>
      <c r="WNN136" s="367"/>
      <c r="WNO136" s="368" t="s">
        <v>168</v>
      </c>
      <c r="WNP136" s="369">
        <v>0.5</v>
      </c>
      <c r="WNQ136" s="370" t="e">
        <f>10/WNM134</f>
        <v>#DIV/0!</v>
      </c>
      <c r="WNR136" s="371">
        <v>15.38</v>
      </c>
      <c r="WNS136" s="371" t="e">
        <f>WNP136*WNQ136*WNR136</f>
        <v>#DIV/0!</v>
      </c>
      <c r="WNT136" s="367" t="s">
        <v>206</v>
      </c>
      <c r="WNU136" s="367"/>
      <c r="WNV136" s="367"/>
      <c r="WNW136" s="368" t="s">
        <v>168</v>
      </c>
      <c r="WNX136" s="369">
        <v>0.5</v>
      </c>
      <c r="WNY136" s="370" t="e">
        <f>10/WNU134</f>
        <v>#DIV/0!</v>
      </c>
      <c r="WNZ136" s="371">
        <v>15.38</v>
      </c>
      <c r="WOA136" s="371" t="e">
        <f>WNX136*WNY136*WNZ136</f>
        <v>#DIV/0!</v>
      </c>
      <c r="WOB136" s="367" t="s">
        <v>206</v>
      </c>
      <c r="WOC136" s="367"/>
      <c r="WOD136" s="367"/>
      <c r="WOE136" s="368" t="s">
        <v>168</v>
      </c>
      <c r="WOF136" s="369">
        <v>0.5</v>
      </c>
      <c r="WOG136" s="370" t="e">
        <f>10/WOC134</f>
        <v>#DIV/0!</v>
      </c>
      <c r="WOH136" s="371">
        <v>15.38</v>
      </c>
      <c r="WOI136" s="371" t="e">
        <f>WOF136*WOG136*WOH136</f>
        <v>#DIV/0!</v>
      </c>
      <c r="WOJ136" s="367" t="s">
        <v>206</v>
      </c>
      <c r="WOK136" s="367"/>
      <c r="WOL136" s="367"/>
      <c r="WOM136" s="368" t="s">
        <v>168</v>
      </c>
      <c r="WON136" s="369">
        <v>0.5</v>
      </c>
      <c r="WOO136" s="370" t="e">
        <f>10/WOK134</f>
        <v>#DIV/0!</v>
      </c>
      <c r="WOP136" s="371">
        <v>15.38</v>
      </c>
      <c r="WOQ136" s="371" t="e">
        <f>WON136*WOO136*WOP136</f>
        <v>#DIV/0!</v>
      </c>
      <c r="WOR136" s="367" t="s">
        <v>206</v>
      </c>
      <c r="WOS136" s="367"/>
      <c r="WOT136" s="367"/>
      <c r="WOU136" s="368" t="s">
        <v>168</v>
      </c>
      <c r="WOV136" s="369">
        <v>0.5</v>
      </c>
      <c r="WOW136" s="370" t="e">
        <f>10/WOS134</f>
        <v>#DIV/0!</v>
      </c>
      <c r="WOX136" s="371">
        <v>15.38</v>
      </c>
      <c r="WOY136" s="371" t="e">
        <f>WOV136*WOW136*WOX136</f>
        <v>#DIV/0!</v>
      </c>
      <c r="WOZ136" s="367" t="s">
        <v>206</v>
      </c>
      <c r="WPA136" s="367"/>
      <c r="WPB136" s="367"/>
      <c r="WPC136" s="368" t="s">
        <v>168</v>
      </c>
      <c r="WPD136" s="369">
        <v>0.5</v>
      </c>
      <c r="WPE136" s="370" t="e">
        <f>10/WPA134</f>
        <v>#DIV/0!</v>
      </c>
      <c r="WPF136" s="371">
        <v>15.38</v>
      </c>
      <c r="WPG136" s="371" t="e">
        <f>WPD136*WPE136*WPF136</f>
        <v>#DIV/0!</v>
      </c>
      <c r="WPH136" s="367" t="s">
        <v>206</v>
      </c>
      <c r="WPI136" s="367"/>
      <c r="WPJ136" s="367"/>
      <c r="WPK136" s="368" t="s">
        <v>168</v>
      </c>
      <c r="WPL136" s="369">
        <v>0.5</v>
      </c>
      <c r="WPM136" s="370" t="e">
        <f>10/WPI134</f>
        <v>#DIV/0!</v>
      </c>
      <c r="WPN136" s="371">
        <v>15.38</v>
      </c>
      <c r="WPO136" s="371" t="e">
        <f>WPL136*WPM136*WPN136</f>
        <v>#DIV/0!</v>
      </c>
      <c r="WPP136" s="367" t="s">
        <v>206</v>
      </c>
      <c r="WPQ136" s="367"/>
      <c r="WPR136" s="367"/>
      <c r="WPS136" s="368" t="s">
        <v>168</v>
      </c>
      <c r="WPT136" s="369">
        <v>0.5</v>
      </c>
      <c r="WPU136" s="370" t="e">
        <f>10/WPQ134</f>
        <v>#DIV/0!</v>
      </c>
      <c r="WPV136" s="371">
        <v>15.38</v>
      </c>
      <c r="WPW136" s="371" t="e">
        <f>WPT136*WPU136*WPV136</f>
        <v>#DIV/0!</v>
      </c>
      <c r="WPX136" s="367" t="s">
        <v>206</v>
      </c>
      <c r="WPY136" s="367"/>
      <c r="WPZ136" s="367"/>
      <c r="WQA136" s="368" t="s">
        <v>168</v>
      </c>
      <c r="WQB136" s="369">
        <v>0.5</v>
      </c>
      <c r="WQC136" s="370" t="e">
        <f>10/WPY134</f>
        <v>#DIV/0!</v>
      </c>
      <c r="WQD136" s="371">
        <v>15.38</v>
      </c>
      <c r="WQE136" s="371" t="e">
        <f>WQB136*WQC136*WQD136</f>
        <v>#DIV/0!</v>
      </c>
      <c r="WQF136" s="367" t="s">
        <v>206</v>
      </c>
      <c r="WQG136" s="367"/>
      <c r="WQH136" s="367"/>
      <c r="WQI136" s="368" t="s">
        <v>168</v>
      </c>
      <c r="WQJ136" s="369">
        <v>0.5</v>
      </c>
      <c r="WQK136" s="370" t="e">
        <f>10/WQG134</f>
        <v>#DIV/0!</v>
      </c>
      <c r="WQL136" s="371">
        <v>15.38</v>
      </c>
      <c r="WQM136" s="371" t="e">
        <f>WQJ136*WQK136*WQL136</f>
        <v>#DIV/0!</v>
      </c>
      <c r="WQN136" s="367" t="s">
        <v>206</v>
      </c>
      <c r="WQO136" s="367"/>
      <c r="WQP136" s="367"/>
      <c r="WQQ136" s="368" t="s">
        <v>168</v>
      </c>
      <c r="WQR136" s="369">
        <v>0.5</v>
      </c>
      <c r="WQS136" s="370" t="e">
        <f>10/WQO134</f>
        <v>#DIV/0!</v>
      </c>
      <c r="WQT136" s="371">
        <v>15.38</v>
      </c>
      <c r="WQU136" s="371" t="e">
        <f>WQR136*WQS136*WQT136</f>
        <v>#DIV/0!</v>
      </c>
      <c r="WQV136" s="367" t="s">
        <v>206</v>
      </c>
      <c r="WQW136" s="367"/>
      <c r="WQX136" s="367"/>
      <c r="WQY136" s="368" t="s">
        <v>168</v>
      </c>
      <c r="WQZ136" s="369">
        <v>0.5</v>
      </c>
      <c r="WRA136" s="370" t="e">
        <f>10/WQW134</f>
        <v>#DIV/0!</v>
      </c>
      <c r="WRB136" s="371">
        <v>15.38</v>
      </c>
      <c r="WRC136" s="371" t="e">
        <f>WQZ136*WRA136*WRB136</f>
        <v>#DIV/0!</v>
      </c>
      <c r="WRD136" s="367" t="s">
        <v>206</v>
      </c>
      <c r="WRE136" s="367"/>
      <c r="WRF136" s="367"/>
      <c r="WRG136" s="368" t="s">
        <v>168</v>
      </c>
      <c r="WRH136" s="369">
        <v>0.5</v>
      </c>
      <c r="WRI136" s="370" t="e">
        <f>10/WRE134</f>
        <v>#DIV/0!</v>
      </c>
      <c r="WRJ136" s="371">
        <v>15.38</v>
      </c>
      <c r="WRK136" s="371" t="e">
        <f>WRH136*WRI136*WRJ136</f>
        <v>#DIV/0!</v>
      </c>
      <c r="WRL136" s="367" t="s">
        <v>206</v>
      </c>
      <c r="WRM136" s="367"/>
      <c r="WRN136" s="367"/>
      <c r="WRO136" s="368" t="s">
        <v>168</v>
      </c>
      <c r="WRP136" s="369">
        <v>0.5</v>
      </c>
      <c r="WRQ136" s="370" t="e">
        <f>10/WRM134</f>
        <v>#DIV/0!</v>
      </c>
      <c r="WRR136" s="371">
        <v>15.38</v>
      </c>
      <c r="WRS136" s="371" t="e">
        <f>WRP136*WRQ136*WRR136</f>
        <v>#DIV/0!</v>
      </c>
      <c r="WRT136" s="367" t="s">
        <v>206</v>
      </c>
      <c r="WRU136" s="367"/>
      <c r="WRV136" s="367"/>
      <c r="WRW136" s="368" t="s">
        <v>168</v>
      </c>
      <c r="WRX136" s="369">
        <v>0.5</v>
      </c>
      <c r="WRY136" s="370" t="e">
        <f>10/WRU134</f>
        <v>#DIV/0!</v>
      </c>
      <c r="WRZ136" s="371">
        <v>15.38</v>
      </c>
      <c r="WSA136" s="371" t="e">
        <f>WRX136*WRY136*WRZ136</f>
        <v>#DIV/0!</v>
      </c>
      <c r="WSB136" s="367" t="s">
        <v>206</v>
      </c>
      <c r="WSC136" s="367"/>
      <c r="WSD136" s="367"/>
      <c r="WSE136" s="368" t="s">
        <v>168</v>
      </c>
      <c r="WSF136" s="369">
        <v>0.5</v>
      </c>
      <c r="WSG136" s="370" t="e">
        <f>10/WSC134</f>
        <v>#DIV/0!</v>
      </c>
      <c r="WSH136" s="371">
        <v>15.38</v>
      </c>
      <c r="WSI136" s="371" t="e">
        <f>WSF136*WSG136*WSH136</f>
        <v>#DIV/0!</v>
      </c>
      <c r="WSJ136" s="367" t="s">
        <v>206</v>
      </c>
      <c r="WSK136" s="367"/>
      <c r="WSL136" s="367"/>
      <c r="WSM136" s="368" t="s">
        <v>168</v>
      </c>
      <c r="WSN136" s="369">
        <v>0.5</v>
      </c>
      <c r="WSO136" s="370" t="e">
        <f>10/WSK134</f>
        <v>#DIV/0!</v>
      </c>
      <c r="WSP136" s="371">
        <v>15.38</v>
      </c>
      <c r="WSQ136" s="371" t="e">
        <f>WSN136*WSO136*WSP136</f>
        <v>#DIV/0!</v>
      </c>
      <c r="WSR136" s="367" t="s">
        <v>206</v>
      </c>
      <c r="WSS136" s="367"/>
      <c r="WST136" s="367"/>
      <c r="WSU136" s="368" t="s">
        <v>168</v>
      </c>
      <c r="WSV136" s="369">
        <v>0.5</v>
      </c>
      <c r="WSW136" s="370" t="e">
        <f>10/WSS134</f>
        <v>#DIV/0!</v>
      </c>
      <c r="WSX136" s="371">
        <v>15.38</v>
      </c>
      <c r="WSY136" s="371" t="e">
        <f>WSV136*WSW136*WSX136</f>
        <v>#DIV/0!</v>
      </c>
      <c r="WSZ136" s="367" t="s">
        <v>206</v>
      </c>
      <c r="WTA136" s="367"/>
      <c r="WTB136" s="367"/>
      <c r="WTC136" s="368" t="s">
        <v>168</v>
      </c>
      <c r="WTD136" s="369">
        <v>0.5</v>
      </c>
      <c r="WTE136" s="370" t="e">
        <f>10/WTA134</f>
        <v>#DIV/0!</v>
      </c>
      <c r="WTF136" s="371">
        <v>15.38</v>
      </c>
      <c r="WTG136" s="371" t="e">
        <f>WTD136*WTE136*WTF136</f>
        <v>#DIV/0!</v>
      </c>
      <c r="WTH136" s="367" t="s">
        <v>206</v>
      </c>
      <c r="WTI136" s="367"/>
      <c r="WTJ136" s="367"/>
      <c r="WTK136" s="368" t="s">
        <v>168</v>
      </c>
      <c r="WTL136" s="369">
        <v>0.5</v>
      </c>
      <c r="WTM136" s="370" t="e">
        <f>10/WTI134</f>
        <v>#DIV/0!</v>
      </c>
      <c r="WTN136" s="371">
        <v>15.38</v>
      </c>
      <c r="WTO136" s="371" t="e">
        <f>WTL136*WTM136*WTN136</f>
        <v>#DIV/0!</v>
      </c>
      <c r="WTP136" s="367" t="s">
        <v>206</v>
      </c>
      <c r="WTQ136" s="367"/>
      <c r="WTR136" s="367"/>
      <c r="WTS136" s="368" t="s">
        <v>168</v>
      </c>
      <c r="WTT136" s="369">
        <v>0.5</v>
      </c>
      <c r="WTU136" s="370" t="e">
        <f>10/WTQ134</f>
        <v>#DIV/0!</v>
      </c>
      <c r="WTV136" s="371">
        <v>15.38</v>
      </c>
      <c r="WTW136" s="371" t="e">
        <f>WTT136*WTU136*WTV136</f>
        <v>#DIV/0!</v>
      </c>
      <c r="WTX136" s="367" t="s">
        <v>206</v>
      </c>
      <c r="WTY136" s="367"/>
      <c r="WTZ136" s="367"/>
      <c r="WUA136" s="368" t="s">
        <v>168</v>
      </c>
      <c r="WUB136" s="369">
        <v>0.5</v>
      </c>
      <c r="WUC136" s="370" t="e">
        <f>10/WTY134</f>
        <v>#DIV/0!</v>
      </c>
      <c r="WUD136" s="371">
        <v>15.38</v>
      </c>
      <c r="WUE136" s="371" t="e">
        <f>WUB136*WUC136*WUD136</f>
        <v>#DIV/0!</v>
      </c>
      <c r="WUF136" s="367" t="s">
        <v>206</v>
      </c>
      <c r="WUG136" s="367"/>
      <c r="WUH136" s="367"/>
      <c r="WUI136" s="368" t="s">
        <v>168</v>
      </c>
      <c r="WUJ136" s="369">
        <v>0.5</v>
      </c>
      <c r="WUK136" s="370" t="e">
        <f>10/WUG134</f>
        <v>#DIV/0!</v>
      </c>
      <c r="WUL136" s="371">
        <v>15.38</v>
      </c>
      <c r="WUM136" s="371" t="e">
        <f>WUJ136*WUK136*WUL136</f>
        <v>#DIV/0!</v>
      </c>
      <c r="WUN136" s="367" t="s">
        <v>206</v>
      </c>
      <c r="WUO136" s="367"/>
      <c r="WUP136" s="367"/>
      <c r="WUQ136" s="368" t="s">
        <v>168</v>
      </c>
      <c r="WUR136" s="369">
        <v>0.5</v>
      </c>
      <c r="WUS136" s="370" t="e">
        <f>10/WUO134</f>
        <v>#DIV/0!</v>
      </c>
      <c r="WUT136" s="371">
        <v>15.38</v>
      </c>
      <c r="WUU136" s="371" t="e">
        <f>WUR136*WUS136*WUT136</f>
        <v>#DIV/0!</v>
      </c>
      <c r="WUV136" s="367" t="s">
        <v>206</v>
      </c>
      <c r="WUW136" s="367"/>
      <c r="WUX136" s="367"/>
      <c r="WUY136" s="368" t="s">
        <v>168</v>
      </c>
      <c r="WUZ136" s="369">
        <v>0.5</v>
      </c>
      <c r="WVA136" s="370" t="e">
        <f>10/WUW134</f>
        <v>#DIV/0!</v>
      </c>
      <c r="WVB136" s="371">
        <v>15.38</v>
      </c>
      <c r="WVC136" s="371" t="e">
        <f>WUZ136*WVA136*WVB136</f>
        <v>#DIV/0!</v>
      </c>
      <c r="WVD136" s="367" t="s">
        <v>206</v>
      </c>
      <c r="WVE136" s="367"/>
      <c r="WVF136" s="367"/>
      <c r="WVG136" s="368" t="s">
        <v>168</v>
      </c>
      <c r="WVH136" s="369">
        <v>0.5</v>
      </c>
      <c r="WVI136" s="370" t="e">
        <f>10/WVE134</f>
        <v>#DIV/0!</v>
      </c>
      <c r="WVJ136" s="371">
        <v>15.38</v>
      </c>
      <c r="WVK136" s="371" t="e">
        <f>WVH136*WVI136*WVJ136</f>
        <v>#DIV/0!</v>
      </c>
      <c r="WVL136" s="367" t="s">
        <v>206</v>
      </c>
      <c r="WVM136" s="367"/>
      <c r="WVN136" s="367"/>
      <c r="WVO136" s="368" t="s">
        <v>168</v>
      </c>
      <c r="WVP136" s="369">
        <v>0.5</v>
      </c>
      <c r="WVQ136" s="370" t="e">
        <f>10/WVM134</f>
        <v>#DIV/0!</v>
      </c>
      <c r="WVR136" s="371">
        <v>15.38</v>
      </c>
      <c r="WVS136" s="371" t="e">
        <f>WVP136*WVQ136*WVR136</f>
        <v>#DIV/0!</v>
      </c>
      <c r="WVT136" s="367" t="s">
        <v>206</v>
      </c>
      <c r="WVU136" s="367"/>
      <c r="WVV136" s="367"/>
      <c r="WVW136" s="368" t="s">
        <v>168</v>
      </c>
      <c r="WVX136" s="369">
        <v>0.5</v>
      </c>
      <c r="WVY136" s="370" t="e">
        <f>10/WVU134</f>
        <v>#DIV/0!</v>
      </c>
      <c r="WVZ136" s="371">
        <v>15.38</v>
      </c>
      <c r="WWA136" s="371" t="e">
        <f>WVX136*WVY136*WVZ136</f>
        <v>#DIV/0!</v>
      </c>
      <c r="WWB136" s="367" t="s">
        <v>206</v>
      </c>
      <c r="WWC136" s="367"/>
      <c r="WWD136" s="367"/>
      <c r="WWE136" s="368" t="s">
        <v>168</v>
      </c>
      <c r="WWF136" s="369">
        <v>0.5</v>
      </c>
      <c r="WWG136" s="370" t="e">
        <f>10/WWC134</f>
        <v>#DIV/0!</v>
      </c>
      <c r="WWH136" s="371">
        <v>15.38</v>
      </c>
      <c r="WWI136" s="371" t="e">
        <f>WWF136*WWG136*WWH136</f>
        <v>#DIV/0!</v>
      </c>
      <c r="WWJ136" s="367" t="s">
        <v>206</v>
      </c>
      <c r="WWK136" s="367"/>
      <c r="WWL136" s="367"/>
      <c r="WWM136" s="368" t="s">
        <v>168</v>
      </c>
      <c r="WWN136" s="369">
        <v>0.5</v>
      </c>
      <c r="WWO136" s="370" t="e">
        <f>10/WWK134</f>
        <v>#DIV/0!</v>
      </c>
      <c r="WWP136" s="371">
        <v>15.38</v>
      </c>
      <c r="WWQ136" s="371" t="e">
        <f>WWN136*WWO136*WWP136</f>
        <v>#DIV/0!</v>
      </c>
      <c r="WWR136" s="367" t="s">
        <v>206</v>
      </c>
      <c r="WWS136" s="367"/>
      <c r="WWT136" s="367"/>
      <c r="WWU136" s="368" t="s">
        <v>168</v>
      </c>
      <c r="WWV136" s="369">
        <v>0.5</v>
      </c>
      <c r="WWW136" s="370" t="e">
        <f>10/WWS134</f>
        <v>#DIV/0!</v>
      </c>
      <c r="WWX136" s="371">
        <v>15.38</v>
      </c>
      <c r="WWY136" s="371" t="e">
        <f>WWV136*WWW136*WWX136</f>
        <v>#DIV/0!</v>
      </c>
      <c r="WWZ136" s="367" t="s">
        <v>206</v>
      </c>
      <c r="WXA136" s="367"/>
      <c r="WXB136" s="367"/>
      <c r="WXC136" s="368" t="s">
        <v>168</v>
      </c>
      <c r="WXD136" s="369">
        <v>0.5</v>
      </c>
      <c r="WXE136" s="370" t="e">
        <f>10/WXA134</f>
        <v>#DIV/0!</v>
      </c>
      <c r="WXF136" s="371">
        <v>15.38</v>
      </c>
      <c r="WXG136" s="371" t="e">
        <f>WXD136*WXE136*WXF136</f>
        <v>#DIV/0!</v>
      </c>
      <c r="WXH136" s="367" t="s">
        <v>206</v>
      </c>
      <c r="WXI136" s="367"/>
      <c r="WXJ136" s="367"/>
      <c r="WXK136" s="368" t="s">
        <v>168</v>
      </c>
      <c r="WXL136" s="369">
        <v>0.5</v>
      </c>
      <c r="WXM136" s="370" t="e">
        <f>10/WXI134</f>
        <v>#DIV/0!</v>
      </c>
      <c r="WXN136" s="371">
        <v>15.38</v>
      </c>
      <c r="WXO136" s="371" t="e">
        <f>WXL136*WXM136*WXN136</f>
        <v>#DIV/0!</v>
      </c>
      <c r="WXP136" s="367" t="s">
        <v>206</v>
      </c>
      <c r="WXQ136" s="367"/>
      <c r="WXR136" s="367"/>
      <c r="WXS136" s="368" t="s">
        <v>168</v>
      </c>
      <c r="WXT136" s="369">
        <v>0.5</v>
      </c>
      <c r="WXU136" s="370" t="e">
        <f>10/WXQ134</f>
        <v>#DIV/0!</v>
      </c>
      <c r="WXV136" s="371">
        <v>15.38</v>
      </c>
      <c r="WXW136" s="371" t="e">
        <f>WXT136*WXU136*WXV136</f>
        <v>#DIV/0!</v>
      </c>
      <c r="WXX136" s="367" t="s">
        <v>206</v>
      </c>
      <c r="WXY136" s="367"/>
      <c r="WXZ136" s="367"/>
      <c r="WYA136" s="368" t="s">
        <v>168</v>
      </c>
      <c r="WYB136" s="369">
        <v>0.5</v>
      </c>
      <c r="WYC136" s="370" t="e">
        <f>10/WXY134</f>
        <v>#DIV/0!</v>
      </c>
      <c r="WYD136" s="371">
        <v>15.38</v>
      </c>
      <c r="WYE136" s="371" t="e">
        <f>WYB136*WYC136*WYD136</f>
        <v>#DIV/0!</v>
      </c>
      <c r="WYF136" s="367" t="s">
        <v>206</v>
      </c>
      <c r="WYG136" s="367"/>
      <c r="WYH136" s="367"/>
      <c r="WYI136" s="368" t="s">
        <v>168</v>
      </c>
      <c r="WYJ136" s="369">
        <v>0.5</v>
      </c>
      <c r="WYK136" s="370" t="e">
        <f>10/WYG134</f>
        <v>#DIV/0!</v>
      </c>
      <c r="WYL136" s="371">
        <v>15.38</v>
      </c>
      <c r="WYM136" s="371" t="e">
        <f>WYJ136*WYK136*WYL136</f>
        <v>#DIV/0!</v>
      </c>
      <c r="WYN136" s="367" t="s">
        <v>206</v>
      </c>
      <c r="WYO136" s="367"/>
      <c r="WYP136" s="367"/>
      <c r="WYQ136" s="368" t="s">
        <v>168</v>
      </c>
      <c r="WYR136" s="369">
        <v>0.5</v>
      </c>
      <c r="WYS136" s="370" t="e">
        <f>10/WYO134</f>
        <v>#DIV/0!</v>
      </c>
      <c r="WYT136" s="371">
        <v>15.38</v>
      </c>
      <c r="WYU136" s="371" t="e">
        <f>WYR136*WYS136*WYT136</f>
        <v>#DIV/0!</v>
      </c>
      <c r="WYV136" s="367" t="s">
        <v>206</v>
      </c>
      <c r="WYW136" s="367"/>
      <c r="WYX136" s="367"/>
      <c r="WYY136" s="368" t="s">
        <v>168</v>
      </c>
      <c r="WYZ136" s="369">
        <v>0.5</v>
      </c>
      <c r="WZA136" s="370" t="e">
        <f>10/WYW134</f>
        <v>#DIV/0!</v>
      </c>
      <c r="WZB136" s="371">
        <v>15.38</v>
      </c>
      <c r="WZC136" s="371" t="e">
        <f>WYZ136*WZA136*WZB136</f>
        <v>#DIV/0!</v>
      </c>
      <c r="WZD136" s="367" t="s">
        <v>206</v>
      </c>
      <c r="WZE136" s="367"/>
      <c r="WZF136" s="367"/>
      <c r="WZG136" s="368" t="s">
        <v>168</v>
      </c>
      <c r="WZH136" s="369">
        <v>0.5</v>
      </c>
      <c r="WZI136" s="370" t="e">
        <f>10/WZE134</f>
        <v>#DIV/0!</v>
      </c>
      <c r="WZJ136" s="371">
        <v>15.38</v>
      </c>
      <c r="WZK136" s="371" t="e">
        <f>WZH136*WZI136*WZJ136</f>
        <v>#DIV/0!</v>
      </c>
      <c r="WZL136" s="367" t="s">
        <v>206</v>
      </c>
      <c r="WZM136" s="367"/>
      <c r="WZN136" s="367"/>
      <c r="WZO136" s="368" t="s">
        <v>168</v>
      </c>
      <c r="WZP136" s="369">
        <v>0.5</v>
      </c>
      <c r="WZQ136" s="370" t="e">
        <f>10/WZM134</f>
        <v>#DIV/0!</v>
      </c>
      <c r="WZR136" s="371">
        <v>15.38</v>
      </c>
      <c r="WZS136" s="371" t="e">
        <f>WZP136*WZQ136*WZR136</f>
        <v>#DIV/0!</v>
      </c>
      <c r="WZT136" s="367" t="s">
        <v>206</v>
      </c>
      <c r="WZU136" s="367"/>
      <c r="WZV136" s="367"/>
      <c r="WZW136" s="368" t="s">
        <v>168</v>
      </c>
      <c r="WZX136" s="369">
        <v>0.5</v>
      </c>
      <c r="WZY136" s="370" t="e">
        <f>10/WZU134</f>
        <v>#DIV/0!</v>
      </c>
      <c r="WZZ136" s="371">
        <v>15.38</v>
      </c>
      <c r="XAA136" s="371" t="e">
        <f>WZX136*WZY136*WZZ136</f>
        <v>#DIV/0!</v>
      </c>
      <c r="XAB136" s="367" t="s">
        <v>206</v>
      </c>
      <c r="XAC136" s="367"/>
      <c r="XAD136" s="367"/>
      <c r="XAE136" s="368" t="s">
        <v>168</v>
      </c>
      <c r="XAF136" s="369">
        <v>0.5</v>
      </c>
      <c r="XAG136" s="370" t="e">
        <f>10/XAC134</f>
        <v>#DIV/0!</v>
      </c>
      <c r="XAH136" s="371">
        <v>15.38</v>
      </c>
      <c r="XAI136" s="371" t="e">
        <f>XAF136*XAG136*XAH136</f>
        <v>#DIV/0!</v>
      </c>
      <c r="XAJ136" s="367" t="s">
        <v>206</v>
      </c>
      <c r="XAK136" s="367"/>
      <c r="XAL136" s="367"/>
      <c r="XAM136" s="368" t="s">
        <v>168</v>
      </c>
      <c r="XAN136" s="369">
        <v>0.5</v>
      </c>
      <c r="XAO136" s="370" t="e">
        <f>10/XAK134</f>
        <v>#DIV/0!</v>
      </c>
      <c r="XAP136" s="371">
        <v>15.38</v>
      </c>
      <c r="XAQ136" s="371" t="e">
        <f>XAN136*XAO136*XAP136</f>
        <v>#DIV/0!</v>
      </c>
      <c r="XAR136" s="367" t="s">
        <v>206</v>
      </c>
      <c r="XAS136" s="367"/>
      <c r="XAT136" s="367"/>
      <c r="XAU136" s="368" t="s">
        <v>168</v>
      </c>
      <c r="XAV136" s="369">
        <v>0.5</v>
      </c>
      <c r="XAW136" s="370" t="e">
        <f>10/XAS134</f>
        <v>#DIV/0!</v>
      </c>
      <c r="XAX136" s="371">
        <v>15.38</v>
      </c>
      <c r="XAY136" s="371" t="e">
        <f>XAV136*XAW136*XAX136</f>
        <v>#DIV/0!</v>
      </c>
      <c r="XAZ136" s="367" t="s">
        <v>206</v>
      </c>
      <c r="XBA136" s="367"/>
      <c r="XBB136" s="367"/>
      <c r="XBC136" s="368" t="s">
        <v>168</v>
      </c>
      <c r="XBD136" s="369">
        <v>0.5</v>
      </c>
      <c r="XBE136" s="370" t="e">
        <f>10/XBA134</f>
        <v>#DIV/0!</v>
      </c>
      <c r="XBF136" s="371">
        <v>15.38</v>
      </c>
      <c r="XBG136" s="371" t="e">
        <f>XBD136*XBE136*XBF136</f>
        <v>#DIV/0!</v>
      </c>
      <c r="XBH136" s="367" t="s">
        <v>206</v>
      </c>
      <c r="XBI136" s="367"/>
      <c r="XBJ136" s="367"/>
      <c r="XBK136" s="368" t="s">
        <v>168</v>
      </c>
      <c r="XBL136" s="369">
        <v>0.5</v>
      </c>
      <c r="XBM136" s="370" t="e">
        <f>10/XBI134</f>
        <v>#DIV/0!</v>
      </c>
      <c r="XBN136" s="371">
        <v>15.38</v>
      </c>
      <c r="XBO136" s="371" t="e">
        <f>XBL136*XBM136*XBN136</f>
        <v>#DIV/0!</v>
      </c>
      <c r="XBP136" s="367" t="s">
        <v>206</v>
      </c>
      <c r="XBQ136" s="367"/>
      <c r="XBR136" s="367"/>
      <c r="XBS136" s="368" t="s">
        <v>168</v>
      </c>
      <c r="XBT136" s="369">
        <v>0.5</v>
      </c>
      <c r="XBU136" s="370" t="e">
        <f>10/XBQ134</f>
        <v>#DIV/0!</v>
      </c>
      <c r="XBV136" s="371">
        <v>15.38</v>
      </c>
      <c r="XBW136" s="371" t="e">
        <f>XBT136*XBU136*XBV136</f>
        <v>#DIV/0!</v>
      </c>
    </row>
    <row r="137" spans="1:16299" x14ac:dyDescent="0.25">
      <c r="A137" s="367" t="s">
        <v>213</v>
      </c>
      <c r="D137" s="368" t="s">
        <v>168</v>
      </c>
      <c r="E137" s="369">
        <v>1</v>
      </c>
      <c r="F137" s="370">
        <f>10/B134</f>
        <v>0.30303030303030304</v>
      </c>
      <c r="G137" s="320">
        <v>13.94</v>
      </c>
      <c r="H137" s="371">
        <f>E137*F137*G137</f>
        <v>4.2242424242424246</v>
      </c>
    </row>
    <row r="138" spans="1:16299" x14ac:dyDescent="0.25">
      <c r="A138" s="367" t="s">
        <v>169</v>
      </c>
      <c r="D138" s="368" t="s">
        <v>168</v>
      </c>
      <c r="E138" s="369">
        <v>2</v>
      </c>
      <c r="F138" s="370">
        <f>10/B134</f>
        <v>0.30303030303030304</v>
      </c>
      <c r="G138" s="320">
        <v>13</v>
      </c>
      <c r="H138" s="371">
        <f>E138*F138*G138</f>
        <v>7.8787878787878789</v>
      </c>
    </row>
    <row r="139" spans="1:16299" ht="15" customHeight="1" x14ac:dyDescent="0.25">
      <c r="A139" s="299"/>
      <c r="B139" s="299"/>
      <c r="C139" s="299"/>
      <c r="D139" s="300"/>
      <c r="E139" s="330"/>
      <c r="F139" s="331"/>
      <c r="G139" s="301" t="s">
        <v>170</v>
      </c>
      <c r="H139" s="301">
        <f>SUM(H136:H138)</f>
        <v>14.433333333333334</v>
      </c>
    </row>
    <row r="141" spans="1:16299" x14ac:dyDescent="0.25">
      <c r="A141" s="367" t="s">
        <v>209</v>
      </c>
      <c r="D141" s="368" t="s">
        <v>210</v>
      </c>
      <c r="F141" s="370">
        <v>3</v>
      </c>
      <c r="G141" s="371">
        <f>H139</f>
        <v>14.433333333333334</v>
      </c>
      <c r="H141" s="371">
        <f>G141*F141/100</f>
        <v>0.433</v>
      </c>
    </row>
    <row r="142" spans="1:16299" ht="15" customHeight="1" x14ac:dyDescent="0.25">
      <c r="A142" s="299"/>
      <c r="B142" s="299"/>
      <c r="C142" s="299"/>
      <c r="D142" s="300"/>
      <c r="E142" s="330"/>
      <c r="F142" s="331"/>
      <c r="G142" s="301" t="s">
        <v>173</v>
      </c>
      <c r="H142" s="301">
        <f>SUM(H141:H141)</f>
        <v>0.433</v>
      </c>
    </row>
    <row r="145" spans="1:16299" ht="15" customHeight="1" x14ac:dyDescent="0.3">
      <c r="A145" s="295" t="s">
        <v>214</v>
      </c>
      <c r="B145" s="295"/>
      <c r="C145" s="295"/>
      <c r="D145" s="295"/>
      <c r="E145" s="295"/>
      <c r="F145" s="295"/>
      <c r="G145" s="295"/>
      <c r="H145" s="295"/>
    </row>
    <row r="146" spans="1:16299" ht="15" customHeight="1" x14ac:dyDescent="0.25">
      <c r="A146" s="285" t="s">
        <v>204</v>
      </c>
      <c r="B146" s="377">
        <v>8</v>
      </c>
      <c r="C146" s="285" t="s">
        <v>215</v>
      </c>
      <c r="D146" s="296"/>
      <c r="E146" s="327" t="s">
        <v>176</v>
      </c>
      <c r="F146" s="328"/>
      <c r="G146" s="297" t="s">
        <v>161</v>
      </c>
      <c r="H146" s="297">
        <f>H151+H156</f>
        <v>100.32362499999999</v>
      </c>
    </row>
    <row r="147" spans="1:16299" ht="15" customHeight="1" x14ac:dyDescent="0.25">
      <c r="A147" s="296" t="s">
        <v>162</v>
      </c>
      <c r="B147" s="296"/>
      <c r="C147" s="296"/>
      <c r="D147" s="296" t="s">
        <v>163</v>
      </c>
      <c r="E147" s="329" t="s">
        <v>164</v>
      </c>
      <c r="F147" s="329" t="s">
        <v>24</v>
      </c>
      <c r="G147" s="298" t="s">
        <v>165</v>
      </c>
      <c r="H147" s="298" t="s">
        <v>166</v>
      </c>
    </row>
    <row r="148" spans="1:16299" ht="15" customHeight="1" x14ac:dyDescent="0.25">
      <c r="A148" s="367" t="s">
        <v>206</v>
      </c>
      <c r="D148" s="368" t="s">
        <v>168</v>
      </c>
      <c r="E148" s="369">
        <v>0.5</v>
      </c>
      <c r="F148" s="370">
        <f>10/B146</f>
        <v>1.25</v>
      </c>
      <c r="G148" s="371">
        <v>15.38</v>
      </c>
      <c r="H148" s="371">
        <f>E148*F148*G148</f>
        <v>9.6125000000000007</v>
      </c>
      <c r="I148" s="367"/>
      <c r="J148" s="371"/>
      <c r="K148" s="371"/>
      <c r="L148" s="367"/>
      <c r="M148" s="367"/>
      <c r="N148" s="367"/>
      <c r="O148" s="368"/>
      <c r="P148" s="369"/>
      <c r="Q148" s="370"/>
      <c r="R148" s="371"/>
      <c r="S148" s="371"/>
      <c r="T148" s="367"/>
      <c r="U148" s="367"/>
      <c r="V148" s="367"/>
      <c r="W148" s="368"/>
      <c r="X148" s="369"/>
      <c r="Y148" s="370"/>
      <c r="Z148" s="371"/>
      <c r="AA148" s="371">
        <f>X148*Y148*Z148</f>
        <v>0</v>
      </c>
      <c r="AB148" s="367" t="s">
        <v>206</v>
      </c>
      <c r="AC148" s="367"/>
      <c r="AD148" s="367"/>
      <c r="AE148" s="368" t="s">
        <v>168</v>
      </c>
      <c r="AF148" s="369">
        <v>0.5</v>
      </c>
      <c r="AG148" s="370" t="e">
        <f>10/AC146</f>
        <v>#DIV/0!</v>
      </c>
      <c r="AH148" s="371">
        <v>15.38</v>
      </c>
      <c r="AI148" s="371" t="e">
        <f>AF148*AG148*AH148</f>
        <v>#DIV/0!</v>
      </c>
      <c r="AJ148" s="367" t="s">
        <v>206</v>
      </c>
      <c r="AK148" s="367"/>
      <c r="AL148" s="367"/>
      <c r="AM148" s="368" t="s">
        <v>168</v>
      </c>
      <c r="AN148" s="369">
        <v>0.5</v>
      </c>
      <c r="AO148" s="370" t="e">
        <f>10/AK146</f>
        <v>#DIV/0!</v>
      </c>
      <c r="AP148" s="371">
        <v>15.38</v>
      </c>
      <c r="AQ148" s="371" t="e">
        <f>AN148*AO148*AP148</f>
        <v>#DIV/0!</v>
      </c>
      <c r="AR148" s="367" t="s">
        <v>206</v>
      </c>
      <c r="AS148" s="367"/>
      <c r="AT148" s="367"/>
      <c r="AU148" s="368" t="s">
        <v>168</v>
      </c>
      <c r="AV148" s="369">
        <v>0.5</v>
      </c>
      <c r="AW148" s="370" t="e">
        <f>10/AS146</f>
        <v>#DIV/0!</v>
      </c>
      <c r="AX148" s="371">
        <v>15.38</v>
      </c>
      <c r="AY148" s="371" t="e">
        <f>AV148*AW148*AX148</f>
        <v>#DIV/0!</v>
      </c>
      <c r="AZ148" s="367" t="s">
        <v>206</v>
      </c>
      <c r="BA148" s="367"/>
      <c r="BB148" s="367"/>
      <c r="BC148" s="368" t="s">
        <v>168</v>
      </c>
      <c r="BD148" s="369">
        <v>0.5</v>
      </c>
      <c r="BE148" s="370" t="e">
        <f>10/BA146</f>
        <v>#DIV/0!</v>
      </c>
      <c r="BF148" s="371">
        <v>15.38</v>
      </c>
      <c r="BG148" s="371" t="e">
        <f>BD148*BE148*BF148</f>
        <v>#DIV/0!</v>
      </c>
      <c r="BH148" s="367" t="s">
        <v>206</v>
      </c>
      <c r="BI148" s="367"/>
      <c r="BJ148" s="367"/>
      <c r="BK148" s="368" t="s">
        <v>168</v>
      </c>
      <c r="BL148" s="369">
        <v>0.5</v>
      </c>
      <c r="BM148" s="370" t="e">
        <f>10/BI146</f>
        <v>#DIV/0!</v>
      </c>
      <c r="BN148" s="371">
        <v>15.38</v>
      </c>
      <c r="BO148" s="371" t="e">
        <f>BL148*BM148*BN148</f>
        <v>#DIV/0!</v>
      </c>
      <c r="BP148" s="367" t="s">
        <v>206</v>
      </c>
      <c r="BQ148" s="367"/>
      <c r="BR148" s="367"/>
      <c r="BS148" s="368" t="s">
        <v>168</v>
      </c>
      <c r="BT148" s="369">
        <v>0.5</v>
      </c>
      <c r="BU148" s="370" t="e">
        <f>10/BQ146</f>
        <v>#DIV/0!</v>
      </c>
      <c r="BV148" s="371">
        <v>15.38</v>
      </c>
      <c r="BW148" s="371" t="e">
        <f>BT148*BU148*BV148</f>
        <v>#DIV/0!</v>
      </c>
      <c r="BX148" s="367" t="s">
        <v>206</v>
      </c>
      <c r="BY148" s="367"/>
      <c r="BZ148" s="367"/>
      <c r="CA148" s="368" t="s">
        <v>168</v>
      </c>
      <c r="CB148" s="369">
        <v>0.5</v>
      </c>
      <c r="CC148" s="370" t="e">
        <f>10/BY146</f>
        <v>#DIV/0!</v>
      </c>
      <c r="CD148" s="371">
        <v>15.38</v>
      </c>
      <c r="CE148" s="371" t="e">
        <f>CB148*CC148*CD148</f>
        <v>#DIV/0!</v>
      </c>
      <c r="CF148" s="367" t="s">
        <v>206</v>
      </c>
      <c r="CG148" s="367"/>
      <c r="CH148" s="367"/>
      <c r="CI148" s="368" t="s">
        <v>168</v>
      </c>
      <c r="CJ148" s="369">
        <v>0.5</v>
      </c>
      <c r="CK148" s="370" t="e">
        <f>10/CG146</f>
        <v>#DIV/0!</v>
      </c>
      <c r="CL148" s="371">
        <v>15.38</v>
      </c>
      <c r="CM148" s="371" t="e">
        <f>CJ148*CK148*CL148</f>
        <v>#DIV/0!</v>
      </c>
      <c r="CN148" s="367" t="s">
        <v>206</v>
      </c>
      <c r="CO148" s="367"/>
      <c r="CP148" s="367"/>
      <c r="CQ148" s="368" t="s">
        <v>168</v>
      </c>
      <c r="CR148" s="369">
        <v>0.5</v>
      </c>
      <c r="CS148" s="370" t="e">
        <f>10/CO146</f>
        <v>#DIV/0!</v>
      </c>
      <c r="CT148" s="371">
        <v>15.38</v>
      </c>
      <c r="CU148" s="371" t="e">
        <f>CR148*CS148*CT148</f>
        <v>#DIV/0!</v>
      </c>
      <c r="CV148" s="367" t="s">
        <v>206</v>
      </c>
      <c r="CW148" s="367"/>
      <c r="CX148" s="367"/>
      <c r="CY148" s="368" t="s">
        <v>168</v>
      </c>
      <c r="CZ148" s="369">
        <v>0.5</v>
      </c>
      <c r="DA148" s="370" t="e">
        <f>10/CW146</f>
        <v>#DIV/0!</v>
      </c>
      <c r="DB148" s="371">
        <v>15.38</v>
      </c>
      <c r="DC148" s="371" t="e">
        <f>CZ148*DA148*DB148</f>
        <v>#DIV/0!</v>
      </c>
      <c r="DD148" s="367" t="s">
        <v>206</v>
      </c>
      <c r="DE148" s="367"/>
      <c r="DF148" s="367"/>
      <c r="DG148" s="368" t="s">
        <v>168</v>
      </c>
      <c r="DH148" s="369">
        <v>0.5</v>
      </c>
      <c r="DI148" s="370" t="e">
        <f>10/DE146</f>
        <v>#DIV/0!</v>
      </c>
      <c r="DJ148" s="371">
        <v>15.38</v>
      </c>
      <c r="DK148" s="371" t="e">
        <f>DH148*DI148*DJ148</f>
        <v>#DIV/0!</v>
      </c>
      <c r="DL148" s="367" t="s">
        <v>206</v>
      </c>
      <c r="DM148" s="367"/>
      <c r="DN148" s="367"/>
      <c r="DO148" s="368" t="s">
        <v>168</v>
      </c>
      <c r="DP148" s="369">
        <v>0.5</v>
      </c>
      <c r="DQ148" s="370" t="e">
        <f>10/DM146</f>
        <v>#DIV/0!</v>
      </c>
      <c r="DR148" s="371">
        <v>15.38</v>
      </c>
      <c r="DS148" s="371" t="e">
        <f>DP148*DQ148*DR148</f>
        <v>#DIV/0!</v>
      </c>
      <c r="DT148" s="367" t="s">
        <v>206</v>
      </c>
      <c r="DU148" s="367"/>
      <c r="DV148" s="367"/>
      <c r="DW148" s="368" t="s">
        <v>168</v>
      </c>
      <c r="DX148" s="369">
        <v>0.5</v>
      </c>
      <c r="DY148" s="370" t="e">
        <f>10/DU146</f>
        <v>#DIV/0!</v>
      </c>
      <c r="DZ148" s="371">
        <v>15.38</v>
      </c>
      <c r="EA148" s="371" t="e">
        <f>DX148*DY148*DZ148</f>
        <v>#DIV/0!</v>
      </c>
      <c r="EB148" s="367" t="s">
        <v>206</v>
      </c>
      <c r="EC148" s="367"/>
      <c r="ED148" s="367"/>
      <c r="EE148" s="368" t="s">
        <v>168</v>
      </c>
      <c r="EF148" s="369">
        <v>0.5</v>
      </c>
      <c r="EG148" s="370" t="e">
        <f>10/EC146</f>
        <v>#DIV/0!</v>
      </c>
      <c r="EH148" s="371">
        <v>15.38</v>
      </c>
      <c r="EI148" s="371" t="e">
        <f>EF148*EG148*EH148</f>
        <v>#DIV/0!</v>
      </c>
      <c r="EJ148" s="367" t="s">
        <v>206</v>
      </c>
      <c r="EK148" s="367"/>
      <c r="EL148" s="367"/>
      <c r="EM148" s="368" t="s">
        <v>168</v>
      </c>
      <c r="EN148" s="369">
        <v>0.5</v>
      </c>
      <c r="EO148" s="370" t="e">
        <f>10/EK146</f>
        <v>#DIV/0!</v>
      </c>
      <c r="EP148" s="371">
        <v>15.38</v>
      </c>
      <c r="EQ148" s="371" t="e">
        <f>EN148*EO148*EP148</f>
        <v>#DIV/0!</v>
      </c>
      <c r="ER148" s="367" t="s">
        <v>206</v>
      </c>
      <c r="ES148" s="367"/>
      <c r="ET148" s="367"/>
      <c r="EU148" s="368" t="s">
        <v>168</v>
      </c>
      <c r="EV148" s="369">
        <v>0.5</v>
      </c>
      <c r="EW148" s="370" t="e">
        <f>10/ES146</f>
        <v>#DIV/0!</v>
      </c>
      <c r="EX148" s="371">
        <v>15.38</v>
      </c>
      <c r="EY148" s="371" t="e">
        <f>EV148*EW148*EX148</f>
        <v>#DIV/0!</v>
      </c>
      <c r="EZ148" s="367" t="s">
        <v>206</v>
      </c>
      <c r="FA148" s="367"/>
      <c r="FB148" s="367"/>
      <c r="FC148" s="368" t="s">
        <v>168</v>
      </c>
      <c r="FD148" s="369">
        <v>0.5</v>
      </c>
      <c r="FE148" s="370" t="e">
        <f>10/FA146</f>
        <v>#DIV/0!</v>
      </c>
      <c r="FF148" s="371">
        <v>15.38</v>
      </c>
      <c r="FG148" s="371" t="e">
        <f>FD148*FE148*FF148</f>
        <v>#DIV/0!</v>
      </c>
      <c r="FH148" s="367" t="s">
        <v>206</v>
      </c>
      <c r="FI148" s="367"/>
      <c r="FJ148" s="367"/>
      <c r="FK148" s="368" t="s">
        <v>168</v>
      </c>
      <c r="FL148" s="369">
        <v>0.5</v>
      </c>
      <c r="FM148" s="370" t="e">
        <f>10/FI146</f>
        <v>#DIV/0!</v>
      </c>
      <c r="FN148" s="371">
        <v>15.38</v>
      </c>
      <c r="FO148" s="371" t="e">
        <f>FL148*FM148*FN148</f>
        <v>#DIV/0!</v>
      </c>
      <c r="FP148" s="367" t="s">
        <v>206</v>
      </c>
      <c r="FQ148" s="367"/>
      <c r="FR148" s="367"/>
      <c r="FS148" s="368" t="s">
        <v>168</v>
      </c>
      <c r="FT148" s="369">
        <v>0.5</v>
      </c>
      <c r="FU148" s="370" t="e">
        <f>10/FQ146</f>
        <v>#DIV/0!</v>
      </c>
      <c r="FV148" s="371">
        <v>15.38</v>
      </c>
      <c r="FW148" s="371" t="e">
        <f>FT148*FU148*FV148</f>
        <v>#DIV/0!</v>
      </c>
      <c r="FX148" s="367" t="s">
        <v>206</v>
      </c>
      <c r="FY148" s="367"/>
      <c r="FZ148" s="367"/>
      <c r="GA148" s="368" t="s">
        <v>168</v>
      </c>
      <c r="GB148" s="369">
        <v>0.5</v>
      </c>
      <c r="GC148" s="370" t="e">
        <f>10/FY146</f>
        <v>#DIV/0!</v>
      </c>
      <c r="GD148" s="371">
        <v>15.38</v>
      </c>
      <c r="GE148" s="371" t="e">
        <f>GB148*GC148*GD148</f>
        <v>#DIV/0!</v>
      </c>
      <c r="GF148" s="367" t="s">
        <v>206</v>
      </c>
      <c r="GG148" s="367"/>
      <c r="GH148" s="367"/>
      <c r="GI148" s="368" t="s">
        <v>168</v>
      </c>
      <c r="GJ148" s="369">
        <v>0.5</v>
      </c>
      <c r="GK148" s="370" t="e">
        <f>10/GG146</f>
        <v>#DIV/0!</v>
      </c>
      <c r="GL148" s="371">
        <v>15.38</v>
      </c>
      <c r="GM148" s="371" t="e">
        <f>GJ148*GK148*GL148</f>
        <v>#DIV/0!</v>
      </c>
      <c r="GN148" s="367" t="s">
        <v>206</v>
      </c>
      <c r="GO148" s="367"/>
      <c r="GP148" s="367"/>
      <c r="GQ148" s="368" t="s">
        <v>168</v>
      </c>
      <c r="GR148" s="369">
        <v>0.5</v>
      </c>
      <c r="GS148" s="370" t="e">
        <f>10/GO146</f>
        <v>#DIV/0!</v>
      </c>
      <c r="GT148" s="371">
        <v>15.38</v>
      </c>
      <c r="GU148" s="371" t="e">
        <f>GR148*GS148*GT148</f>
        <v>#DIV/0!</v>
      </c>
      <c r="GV148" s="367" t="s">
        <v>206</v>
      </c>
      <c r="GW148" s="367"/>
      <c r="GX148" s="367"/>
      <c r="GY148" s="368" t="s">
        <v>168</v>
      </c>
      <c r="GZ148" s="369">
        <v>0.5</v>
      </c>
      <c r="HA148" s="370" t="e">
        <f>10/GW146</f>
        <v>#DIV/0!</v>
      </c>
      <c r="HB148" s="371">
        <v>15.38</v>
      </c>
      <c r="HC148" s="371" t="e">
        <f>GZ148*HA148*HB148</f>
        <v>#DIV/0!</v>
      </c>
      <c r="HD148" s="367" t="s">
        <v>206</v>
      </c>
      <c r="HE148" s="367"/>
      <c r="HF148" s="367"/>
      <c r="HG148" s="368" t="s">
        <v>168</v>
      </c>
      <c r="HH148" s="369">
        <v>0.5</v>
      </c>
      <c r="HI148" s="370" t="e">
        <f>10/HE146</f>
        <v>#DIV/0!</v>
      </c>
      <c r="HJ148" s="371">
        <v>15.38</v>
      </c>
      <c r="HK148" s="371" t="e">
        <f>HH148*HI148*HJ148</f>
        <v>#DIV/0!</v>
      </c>
      <c r="HL148" s="367" t="s">
        <v>206</v>
      </c>
      <c r="HM148" s="367"/>
      <c r="HN148" s="367"/>
      <c r="HO148" s="368" t="s">
        <v>168</v>
      </c>
      <c r="HP148" s="369">
        <v>0.5</v>
      </c>
      <c r="HQ148" s="370" t="e">
        <f>10/HM146</f>
        <v>#DIV/0!</v>
      </c>
      <c r="HR148" s="371">
        <v>15.38</v>
      </c>
      <c r="HS148" s="371" t="e">
        <f>HP148*HQ148*HR148</f>
        <v>#DIV/0!</v>
      </c>
      <c r="HT148" s="367" t="s">
        <v>206</v>
      </c>
      <c r="HU148" s="367"/>
      <c r="HV148" s="367"/>
      <c r="HW148" s="368" t="s">
        <v>168</v>
      </c>
      <c r="HX148" s="369">
        <v>0.5</v>
      </c>
      <c r="HY148" s="370" t="e">
        <f>10/HU146</f>
        <v>#DIV/0!</v>
      </c>
      <c r="HZ148" s="371">
        <v>15.38</v>
      </c>
      <c r="IA148" s="371" t="e">
        <f>HX148*HY148*HZ148</f>
        <v>#DIV/0!</v>
      </c>
      <c r="IB148" s="367" t="s">
        <v>206</v>
      </c>
      <c r="IC148" s="367"/>
      <c r="ID148" s="367"/>
      <c r="IE148" s="368" t="s">
        <v>168</v>
      </c>
      <c r="IF148" s="369">
        <v>0.5</v>
      </c>
      <c r="IG148" s="370" t="e">
        <f>10/IC146</f>
        <v>#DIV/0!</v>
      </c>
      <c r="IH148" s="371">
        <v>15.38</v>
      </c>
      <c r="II148" s="371" t="e">
        <f>IF148*IG148*IH148</f>
        <v>#DIV/0!</v>
      </c>
      <c r="IJ148" s="367" t="s">
        <v>206</v>
      </c>
      <c r="IK148" s="367"/>
      <c r="IL148" s="367"/>
      <c r="IM148" s="368" t="s">
        <v>168</v>
      </c>
      <c r="IN148" s="369">
        <v>0.5</v>
      </c>
      <c r="IO148" s="370" t="e">
        <f>10/IK146</f>
        <v>#DIV/0!</v>
      </c>
      <c r="IP148" s="371">
        <v>15.38</v>
      </c>
      <c r="IQ148" s="371" t="e">
        <f>IN148*IO148*IP148</f>
        <v>#DIV/0!</v>
      </c>
      <c r="IR148" s="367" t="s">
        <v>206</v>
      </c>
      <c r="IS148" s="367"/>
      <c r="IT148" s="367"/>
      <c r="IU148" s="368" t="s">
        <v>168</v>
      </c>
      <c r="IV148" s="369">
        <v>0.5</v>
      </c>
      <c r="IW148" s="370" t="e">
        <f>10/IS146</f>
        <v>#DIV/0!</v>
      </c>
      <c r="IX148" s="371">
        <v>15.38</v>
      </c>
      <c r="IY148" s="371" t="e">
        <f>IV148*IW148*IX148</f>
        <v>#DIV/0!</v>
      </c>
      <c r="IZ148" s="367" t="s">
        <v>206</v>
      </c>
      <c r="JA148" s="367"/>
      <c r="JB148" s="367"/>
      <c r="JC148" s="368" t="s">
        <v>168</v>
      </c>
      <c r="JD148" s="369">
        <v>0.5</v>
      </c>
      <c r="JE148" s="370" t="e">
        <f>10/JA146</f>
        <v>#DIV/0!</v>
      </c>
      <c r="JF148" s="371">
        <v>15.38</v>
      </c>
      <c r="JG148" s="371" t="e">
        <f>JD148*JE148*JF148</f>
        <v>#DIV/0!</v>
      </c>
      <c r="JH148" s="367" t="s">
        <v>206</v>
      </c>
      <c r="JI148" s="367"/>
      <c r="JJ148" s="367"/>
      <c r="JK148" s="368" t="s">
        <v>168</v>
      </c>
      <c r="JL148" s="369">
        <v>0.5</v>
      </c>
      <c r="JM148" s="370" t="e">
        <f>10/JI146</f>
        <v>#DIV/0!</v>
      </c>
      <c r="JN148" s="371">
        <v>15.38</v>
      </c>
      <c r="JO148" s="371" t="e">
        <f>JL148*JM148*JN148</f>
        <v>#DIV/0!</v>
      </c>
      <c r="JP148" s="367" t="s">
        <v>206</v>
      </c>
      <c r="JQ148" s="367"/>
      <c r="JR148" s="367"/>
      <c r="JS148" s="368" t="s">
        <v>168</v>
      </c>
      <c r="JT148" s="369">
        <v>0.5</v>
      </c>
      <c r="JU148" s="370" t="e">
        <f>10/JQ146</f>
        <v>#DIV/0!</v>
      </c>
      <c r="JV148" s="371">
        <v>15.38</v>
      </c>
      <c r="JW148" s="371" t="e">
        <f>JT148*JU148*JV148</f>
        <v>#DIV/0!</v>
      </c>
      <c r="JX148" s="367" t="s">
        <v>206</v>
      </c>
      <c r="JY148" s="367"/>
      <c r="JZ148" s="367"/>
      <c r="KA148" s="368" t="s">
        <v>168</v>
      </c>
      <c r="KB148" s="369">
        <v>0.5</v>
      </c>
      <c r="KC148" s="370" t="e">
        <f>10/JY146</f>
        <v>#DIV/0!</v>
      </c>
      <c r="KD148" s="371">
        <v>15.38</v>
      </c>
      <c r="KE148" s="371" t="e">
        <f>KB148*KC148*KD148</f>
        <v>#DIV/0!</v>
      </c>
      <c r="KF148" s="367" t="s">
        <v>206</v>
      </c>
      <c r="KG148" s="367"/>
      <c r="KH148" s="367"/>
      <c r="KI148" s="368" t="s">
        <v>168</v>
      </c>
      <c r="KJ148" s="369">
        <v>0.5</v>
      </c>
      <c r="KK148" s="370" t="e">
        <f>10/KG146</f>
        <v>#DIV/0!</v>
      </c>
      <c r="KL148" s="371">
        <v>15.38</v>
      </c>
      <c r="KM148" s="371" t="e">
        <f>KJ148*KK148*KL148</f>
        <v>#DIV/0!</v>
      </c>
      <c r="KN148" s="367" t="s">
        <v>206</v>
      </c>
      <c r="KO148" s="367"/>
      <c r="KP148" s="367"/>
      <c r="KQ148" s="368" t="s">
        <v>168</v>
      </c>
      <c r="KR148" s="369">
        <v>0.5</v>
      </c>
      <c r="KS148" s="370" t="e">
        <f>10/KO146</f>
        <v>#DIV/0!</v>
      </c>
      <c r="KT148" s="371">
        <v>15.38</v>
      </c>
      <c r="KU148" s="371" t="e">
        <f>KR148*KS148*KT148</f>
        <v>#DIV/0!</v>
      </c>
      <c r="KV148" s="367" t="s">
        <v>206</v>
      </c>
      <c r="KW148" s="367"/>
      <c r="KX148" s="367"/>
      <c r="KY148" s="368" t="s">
        <v>168</v>
      </c>
      <c r="KZ148" s="369">
        <v>0.5</v>
      </c>
      <c r="LA148" s="370" t="e">
        <f>10/KW146</f>
        <v>#DIV/0!</v>
      </c>
      <c r="LB148" s="371">
        <v>15.38</v>
      </c>
      <c r="LC148" s="371" t="e">
        <f>KZ148*LA148*LB148</f>
        <v>#DIV/0!</v>
      </c>
      <c r="LD148" s="367" t="s">
        <v>206</v>
      </c>
      <c r="LE148" s="367"/>
      <c r="LF148" s="367"/>
      <c r="LG148" s="368" t="s">
        <v>168</v>
      </c>
      <c r="LH148" s="369">
        <v>0.5</v>
      </c>
      <c r="LI148" s="370" t="e">
        <f>10/LE146</f>
        <v>#DIV/0!</v>
      </c>
      <c r="LJ148" s="371">
        <v>15.38</v>
      </c>
      <c r="LK148" s="371" t="e">
        <f>LH148*LI148*LJ148</f>
        <v>#DIV/0!</v>
      </c>
      <c r="LL148" s="367" t="s">
        <v>206</v>
      </c>
      <c r="LM148" s="367"/>
      <c r="LN148" s="367"/>
      <c r="LO148" s="368" t="s">
        <v>168</v>
      </c>
      <c r="LP148" s="369">
        <v>0.5</v>
      </c>
      <c r="LQ148" s="370" t="e">
        <f>10/LM146</f>
        <v>#DIV/0!</v>
      </c>
      <c r="LR148" s="371">
        <v>15.38</v>
      </c>
      <c r="LS148" s="371" t="e">
        <f>LP148*LQ148*LR148</f>
        <v>#DIV/0!</v>
      </c>
      <c r="LT148" s="367" t="s">
        <v>206</v>
      </c>
      <c r="LU148" s="367"/>
      <c r="LV148" s="367"/>
      <c r="LW148" s="368" t="s">
        <v>168</v>
      </c>
      <c r="LX148" s="369">
        <v>0.5</v>
      </c>
      <c r="LY148" s="370" t="e">
        <f>10/LU146</f>
        <v>#DIV/0!</v>
      </c>
      <c r="LZ148" s="371">
        <v>15.38</v>
      </c>
      <c r="MA148" s="371" t="e">
        <f>LX148*LY148*LZ148</f>
        <v>#DIV/0!</v>
      </c>
      <c r="MB148" s="367" t="s">
        <v>206</v>
      </c>
      <c r="MC148" s="367"/>
      <c r="MD148" s="367"/>
      <c r="ME148" s="368" t="s">
        <v>168</v>
      </c>
      <c r="MF148" s="369">
        <v>0.5</v>
      </c>
      <c r="MG148" s="370" t="e">
        <f>10/MC146</f>
        <v>#DIV/0!</v>
      </c>
      <c r="MH148" s="371">
        <v>15.38</v>
      </c>
      <c r="MI148" s="371" t="e">
        <f>MF148*MG148*MH148</f>
        <v>#DIV/0!</v>
      </c>
      <c r="MJ148" s="367" t="s">
        <v>206</v>
      </c>
      <c r="MK148" s="367"/>
      <c r="ML148" s="367"/>
      <c r="MM148" s="368" t="s">
        <v>168</v>
      </c>
      <c r="MN148" s="369">
        <v>0.5</v>
      </c>
      <c r="MO148" s="370" t="e">
        <f>10/MK146</f>
        <v>#DIV/0!</v>
      </c>
      <c r="MP148" s="371">
        <v>15.38</v>
      </c>
      <c r="MQ148" s="371" t="e">
        <f>MN148*MO148*MP148</f>
        <v>#DIV/0!</v>
      </c>
      <c r="MR148" s="367" t="s">
        <v>206</v>
      </c>
      <c r="MS148" s="367"/>
      <c r="MT148" s="367"/>
      <c r="MU148" s="368" t="s">
        <v>168</v>
      </c>
      <c r="MV148" s="369">
        <v>0.5</v>
      </c>
      <c r="MW148" s="370" t="e">
        <f>10/MS146</f>
        <v>#DIV/0!</v>
      </c>
      <c r="MX148" s="371">
        <v>15.38</v>
      </c>
      <c r="MY148" s="371" t="e">
        <f>MV148*MW148*MX148</f>
        <v>#DIV/0!</v>
      </c>
      <c r="MZ148" s="367" t="s">
        <v>206</v>
      </c>
      <c r="NA148" s="367"/>
      <c r="NB148" s="367"/>
      <c r="NC148" s="368" t="s">
        <v>168</v>
      </c>
      <c r="ND148" s="369">
        <v>0.5</v>
      </c>
      <c r="NE148" s="370" t="e">
        <f>10/NA146</f>
        <v>#DIV/0!</v>
      </c>
      <c r="NF148" s="371">
        <v>15.38</v>
      </c>
      <c r="NG148" s="371" t="e">
        <f>ND148*NE148*NF148</f>
        <v>#DIV/0!</v>
      </c>
      <c r="NH148" s="367" t="s">
        <v>206</v>
      </c>
      <c r="NI148" s="367"/>
      <c r="NJ148" s="367"/>
      <c r="NK148" s="368" t="s">
        <v>168</v>
      </c>
      <c r="NL148" s="369">
        <v>0.5</v>
      </c>
      <c r="NM148" s="370" t="e">
        <f>10/NI146</f>
        <v>#DIV/0!</v>
      </c>
      <c r="NN148" s="371">
        <v>15.38</v>
      </c>
      <c r="NO148" s="371" t="e">
        <f>NL148*NM148*NN148</f>
        <v>#DIV/0!</v>
      </c>
      <c r="NP148" s="367" t="s">
        <v>206</v>
      </c>
      <c r="NQ148" s="367"/>
      <c r="NR148" s="367"/>
      <c r="NS148" s="368" t="s">
        <v>168</v>
      </c>
      <c r="NT148" s="369">
        <v>0.5</v>
      </c>
      <c r="NU148" s="370" t="e">
        <f>10/NQ146</f>
        <v>#DIV/0!</v>
      </c>
      <c r="NV148" s="371">
        <v>15.38</v>
      </c>
      <c r="NW148" s="371" t="e">
        <f>NT148*NU148*NV148</f>
        <v>#DIV/0!</v>
      </c>
      <c r="NX148" s="367" t="s">
        <v>206</v>
      </c>
      <c r="NY148" s="367"/>
      <c r="NZ148" s="367"/>
      <c r="OA148" s="368" t="s">
        <v>168</v>
      </c>
      <c r="OB148" s="369">
        <v>0.5</v>
      </c>
      <c r="OC148" s="370" t="e">
        <f>10/NY146</f>
        <v>#DIV/0!</v>
      </c>
      <c r="OD148" s="371">
        <v>15.38</v>
      </c>
      <c r="OE148" s="371" t="e">
        <f>OB148*OC148*OD148</f>
        <v>#DIV/0!</v>
      </c>
      <c r="OF148" s="367" t="s">
        <v>206</v>
      </c>
      <c r="OG148" s="367"/>
      <c r="OH148" s="367"/>
      <c r="OI148" s="368" t="s">
        <v>168</v>
      </c>
      <c r="OJ148" s="369">
        <v>0.5</v>
      </c>
      <c r="OK148" s="370" t="e">
        <f>10/OG146</f>
        <v>#DIV/0!</v>
      </c>
      <c r="OL148" s="371">
        <v>15.38</v>
      </c>
      <c r="OM148" s="371" t="e">
        <f>OJ148*OK148*OL148</f>
        <v>#DIV/0!</v>
      </c>
      <c r="ON148" s="367" t="s">
        <v>206</v>
      </c>
      <c r="OO148" s="367"/>
      <c r="OP148" s="367"/>
      <c r="OQ148" s="368" t="s">
        <v>168</v>
      </c>
      <c r="OR148" s="369">
        <v>0.5</v>
      </c>
      <c r="OS148" s="370" t="e">
        <f>10/OO146</f>
        <v>#DIV/0!</v>
      </c>
      <c r="OT148" s="371">
        <v>15.38</v>
      </c>
      <c r="OU148" s="371" t="e">
        <f>OR148*OS148*OT148</f>
        <v>#DIV/0!</v>
      </c>
      <c r="OV148" s="367" t="s">
        <v>206</v>
      </c>
      <c r="OW148" s="367"/>
      <c r="OX148" s="367"/>
      <c r="OY148" s="368" t="s">
        <v>168</v>
      </c>
      <c r="OZ148" s="369">
        <v>0.5</v>
      </c>
      <c r="PA148" s="370" t="e">
        <f>10/OW146</f>
        <v>#DIV/0!</v>
      </c>
      <c r="PB148" s="371">
        <v>15.38</v>
      </c>
      <c r="PC148" s="371" t="e">
        <f>OZ148*PA148*PB148</f>
        <v>#DIV/0!</v>
      </c>
      <c r="PD148" s="367" t="s">
        <v>206</v>
      </c>
      <c r="PE148" s="367"/>
      <c r="PF148" s="367"/>
      <c r="PG148" s="368" t="s">
        <v>168</v>
      </c>
      <c r="PH148" s="369">
        <v>0.5</v>
      </c>
      <c r="PI148" s="370" t="e">
        <f>10/PE146</f>
        <v>#DIV/0!</v>
      </c>
      <c r="PJ148" s="371">
        <v>15.38</v>
      </c>
      <c r="PK148" s="371" t="e">
        <f>PH148*PI148*PJ148</f>
        <v>#DIV/0!</v>
      </c>
      <c r="PL148" s="367" t="s">
        <v>206</v>
      </c>
      <c r="PM148" s="367"/>
      <c r="PN148" s="367"/>
      <c r="PO148" s="368" t="s">
        <v>168</v>
      </c>
      <c r="PP148" s="369">
        <v>0.5</v>
      </c>
      <c r="PQ148" s="370" t="e">
        <f>10/PM146</f>
        <v>#DIV/0!</v>
      </c>
      <c r="PR148" s="371">
        <v>15.38</v>
      </c>
      <c r="PS148" s="371" t="e">
        <f>PP148*PQ148*PR148</f>
        <v>#DIV/0!</v>
      </c>
      <c r="PT148" s="367" t="s">
        <v>206</v>
      </c>
      <c r="PU148" s="367"/>
      <c r="PV148" s="367"/>
      <c r="PW148" s="368" t="s">
        <v>168</v>
      </c>
      <c r="PX148" s="369">
        <v>0.5</v>
      </c>
      <c r="PY148" s="370" t="e">
        <f>10/PU146</f>
        <v>#DIV/0!</v>
      </c>
      <c r="PZ148" s="371">
        <v>15.38</v>
      </c>
      <c r="QA148" s="371" t="e">
        <f>PX148*PY148*PZ148</f>
        <v>#DIV/0!</v>
      </c>
      <c r="QB148" s="367" t="s">
        <v>206</v>
      </c>
      <c r="QC148" s="367"/>
      <c r="QD148" s="367"/>
      <c r="QE148" s="368" t="s">
        <v>168</v>
      </c>
      <c r="QF148" s="369">
        <v>0.5</v>
      </c>
      <c r="QG148" s="370" t="e">
        <f>10/QC146</f>
        <v>#DIV/0!</v>
      </c>
      <c r="QH148" s="371">
        <v>15.38</v>
      </c>
      <c r="QI148" s="371" t="e">
        <f>QF148*QG148*QH148</f>
        <v>#DIV/0!</v>
      </c>
      <c r="QJ148" s="367" t="s">
        <v>206</v>
      </c>
      <c r="QK148" s="367"/>
      <c r="QL148" s="367"/>
      <c r="QM148" s="368" t="s">
        <v>168</v>
      </c>
      <c r="QN148" s="369">
        <v>0.5</v>
      </c>
      <c r="QO148" s="370" t="e">
        <f>10/QK146</f>
        <v>#DIV/0!</v>
      </c>
      <c r="QP148" s="371">
        <v>15.38</v>
      </c>
      <c r="QQ148" s="371" t="e">
        <f>QN148*QO148*QP148</f>
        <v>#DIV/0!</v>
      </c>
      <c r="QR148" s="367" t="s">
        <v>206</v>
      </c>
      <c r="QS148" s="367"/>
      <c r="QT148" s="367"/>
      <c r="QU148" s="368" t="s">
        <v>168</v>
      </c>
      <c r="QV148" s="369">
        <v>0.5</v>
      </c>
      <c r="QW148" s="370" t="e">
        <f>10/QS146</f>
        <v>#DIV/0!</v>
      </c>
      <c r="QX148" s="371">
        <v>15.38</v>
      </c>
      <c r="QY148" s="371" t="e">
        <f>QV148*QW148*QX148</f>
        <v>#DIV/0!</v>
      </c>
      <c r="QZ148" s="367" t="s">
        <v>206</v>
      </c>
      <c r="RA148" s="367"/>
      <c r="RB148" s="367"/>
      <c r="RC148" s="368" t="s">
        <v>168</v>
      </c>
      <c r="RD148" s="369">
        <v>0.5</v>
      </c>
      <c r="RE148" s="370" t="e">
        <f>10/RA146</f>
        <v>#DIV/0!</v>
      </c>
      <c r="RF148" s="371">
        <v>15.38</v>
      </c>
      <c r="RG148" s="371" t="e">
        <f>RD148*RE148*RF148</f>
        <v>#DIV/0!</v>
      </c>
      <c r="RH148" s="367" t="s">
        <v>206</v>
      </c>
      <c r="RI148" s="367"/>
      <c r="RJ148" s="367"/>
      <c r="RK148" s="368" t="s">
        <v>168</v>
      </c>
      <c r="RL148" s="369">
        <v>0.5</v>
      </c>
      <c r="RM148" s="370" t="e">
        <f>10/RI146</f>
        <v>#DIV/0!</v>
      </c>
      <c r="RN148" s="371">
        <v>15.38</v>
      </c>
      <c r="RO148" s="371" t="e">
        <f>RL148*RM148*RN148</f>
        <v>#DIV/0!</v>
      </c>
      <c r="RP148" s="367" t="s">
        <v>206</v>
      </c>
      <c r="RQ148" s="367"/>
      <c r="RR148" s="367"/>
      <c r="RS148" s="368" t="s">
        <v>168</v>
      </c>
      <c r="RT148" s="369">
        <v>0.5</v>
      </c>
      <c r="RU148" s="370" t="e">
        <f>10/RQ146</f>
        <v>#DIV/0!</v>
      </c>
      <c r="RV148" s="371">
        <v>15.38</v>
      </c>
      <c r="RW148" s="371" t="e">
        <f>RT148*RU148*RV148</f>
        <v>#DIV/0!</v>
      </c>
      <c r="RX148" s="367" t="s">
        <v>206</v>
      </c>
      <c r="RY148" s="367"/>
      <c r="RZ148" s="367"/>
      <c r="SA148" s="368" t="s">
        <v>168</v>
      </c>
      <c r="SB148" s="369">
        <v>0.5</v>
      </c>
      <c r="SC148" s="370" t="e">
        <f>10/RY146</f>
        <v>#DIV/0!</v>
      </c>
      <c r="SD148" s="371">
        <v>15.38</v>
      </c>
      <c r="SE148" s="371" t="e">
        <f>SB148*SC148*SD148</f>
        <v>#DIV/0!</v>
      </c>
      <c r="SF148" s="367" t="s">
        <v>206</v>
      </c>
      <c r="SG148" s="367"/>
      <c r="SH148" s="367"/>
      <c r="SI148" s="368" t="s">
        <v>168</v>
      </c>
      <c r="SJ148" s="369">
        <v>0.5</v>
      </c>
      <c r="SK148" s="370" t="e">
        <f>10/SG146</f>
        <v>#DIV/0!</v>
      </c>
      <c r="SL148" s="371">
        <v>15.38</v>
      </c>
      <c r="SM148" s="371" t="e">
        <f>SJ148*SK148*SL148</f>
        <v>#DIV/0!</v>
      </c>
      <c r="SN148" s="367" t="s">
        <v>206</v>
      </c>
      <c r="SO148" s="367"/>
      <c r="SP148" s="367"/>
      <c r="SQ148" s="368" t="s">
        <v>168</v>
      </c>
      <c r="SR148" s="369">
        <v>0.5</v>
      </c>
      <c r="SS148" s="370" t="e">
        <f>10/SO146</f>
        <v>#DIV/0!</v>
      </c>
      <c r="ST148" s="371">
        <v>15.38</v>
      </c>
      <c r="SU148" s="371" t="e">
        <f>SR148*SS148*ST148</f>
        <v>#DIV/0!</v>
      </c>
      <c r="SV148" s="367" t="s">
        <v>206</v>
      </c>
      <c r="SW148" s="367"/>
      <c r="SX148" s="367"/>
      <c r="SY148" s="368" t="s">
        <v>168</v>
      </c>
      <c r="SZ148" s="369">
        <v>0.5</v>
      </c>
      <c r="TA148" s="370" t="e">
        <f>10/SW146</f>
        <v>#DIV/0!</v>
      </c>
      <c r="TB148" s="371">
        <v>15.38</v>
      </c>
      <c r="TC148" s="371" t="e">
        <f>SZ148*TA148*TB148</f>
        <v>#DIV/0!</v>
      </c>
      <c r="TD148" s="367" t="s">
        <v>206</v>
      </c>
      <c r="TE148" s="367"/>
      <c r="TF148" s="367"/>
      <c r="TG148" s="368" t="s">
        <v>168</v>
      </c>
      <c r="TH148" s="369">
        <v>0.5</v>
      </c>
      <c r="TI148" s="370" t="e">
        <f>10/TE146</f>
        <v>#DIV/0!</v>
      </c>
      <c r="TJ148" s="371">
        <v>15.38</v>
      </c>
      <c r="TK148" s="371" t="e">
        <f>TH148*TI148*TJ148</f>
        <v>#DIV/0!</v>
      </c>
      <c r="TL148" s="367" t="s">
        <v>206</v>
      </c>
      <c r="TM148" s="367"/>
      <c r="TN148" s="367"/>
      <c r="TO148" s="368" t="s">
        <v>168</v>
      </c>
      <c r="TP148" s="369">
        <v>0.5</v>
      </c>
      <c r="TQ148" s="370" t="e">
        <f>10/TM146</f>
        <v>#DIV/0!</v>
      </c>
      <c r="TR148" s="371">
        <v>15.38</v>
      </c>
      <c r="TS148" s="371" t="e">
        <f>TP148*TQ148*TR148</f>
        <v>#DIV/0!</v>
      </c>
      <c r="TT148" s="367" t="s">
        <v>206</v>
      </c>
      <c r="TU148" s="367"/>
      <c r="TV148" s="367"/>
      <c r="TW148" s="368" t="s">
        <v>168</v>
      </c>
      <c r="TX148" s="369">
        <v>0.5</v>
      </c>
      <c r="TY148" s="370" t="e">
        <f>10/TU146</f>
        <v>#DIV/0!</v>
      </c>
      <c r="TZ148" s="371">
        <v>15.38</v>
      </c>
      <c r="UA148" s="371" t="e">
        <f>TX148*TY148*TZ148</f>
        <v>#DIV/0!</v>
      </c>
      <c r="UB148" s="367" t="s">
        <v>206</v>
      </c>
      <c r="UC148" s="367"/>
      <c r="UD148" s="367"/>
      <c r="UE148" s="368" t="s">
        <v>168</v>
      </c>
      <c r="UF148" s="369">
        <v>0.5</v>
      </c>
      <c r="UG148" s="370" t="e">
        <f>10/UC146</f>
        <v>#DIV/0!</v>
      </c>
      <c r="UH148" s="371">
        <v>15.38</v>
      </c>
      <c r="UI148" s="371" t="e">
        <f>UF148*UG148*UH148</f>
        <v>#DIV/0!</v>
      </c>
      <c r="UJ148" s="367" t="s">
        <v>206</v>
      </c>
      <c r="UK148" s="367"/>
      <c r="UL148" s="367"/>
      <c r="UM148" s="368" t="s">
        <v>168</v>
      </c>
      <c r="UN148" s="369">
        <v>0.5</v>
      </c>
      <c r="UO148" s="370" t="e">
        <f>10/UK146</f>
        <v>#DIV/0!</v>
      </c>
      <c r="UP148" s="371">
        <v>15.38</v>
      </c>
      <c r="UQ148" s="371" t="e">
        <f>UN148*UO148*UP148</f>
        <v>#DIV/0!</v>
      </c>
      <c r="UR148" s="367" t="s">
        <v>206</v>
      </c>
      <c r="US148" s="367"/>
      <c r="UT148" s="367"/>
      <c r="UU148" s="368" t="s">
        <v>168</v>
      </c>
      <c r="UV148" s="369">
        <v>0.5</v>
      </c>
      <c r="UW148" s="370" t="e">
        <f>10/US146</f>
        <v>#DIV/0!</v>
      </c>
      <c r="UX148" s="371">
        <v>15.38</v>
      </c>
      <c r="UY148" s="371" t="e">
        <f>UV148*UW148*UX148</f>
        <v>#DIV/0!</v>
      </c>
      <c r="UZ148" s="367" t="s">
        <v>206</v>
      </c>
      <c r="VA148" s="367"/>
      <c r="VB148" s="367"/>
      <c r="VC148" s="368" t="s">
        <v>168</v>
      </c>
      <c r="VD148" s="369">
        <v>0.5</v>
      </c>
      <c r="VE148" s="370" t="e">
        <f>10/VA146</f>
        <v>#DIV/0!</v>
      </c>
      <c r="VF148" s="371">
        <v>15.38</v>
      </c>
      <c r="VG148" s="371" t="e">
        <f>VD148*VE148*VF148</f>
        <v>#DIV/0!</v>
      </c>
      <c r="VH148" s="367" t="s">
        <v>206</v>
      </c>
      <c r="VI148" s="367"/>
      <c r="VJ148" s="367"/>
      <c r="VK148" s="368" t="s">
        <v>168</v>
      </c>
      <c r="VL148" s="369">
        <v>0.5</v>
      </c>
      <c r="VM148" s="370" t="e">
        <f>10/VI146</f>
        <v>#DIV/0!</v>
      </c>
      <c r="VN148" s="371">
        <v>15.38</v>
      </c>
      <c r="VO148" s="371" t="e">
        <f>VL148*VM148*VN148</f>
        <v>#DIV/0!</v>
      </c>
      <c r="VP148" s="367" t="s">
        <v>206</v>
      </c>
      <c r="VQ148" s="367"/>
      <c r="VR148" s="367"/>
      <c r="VS148" s="368" t="s">
        <v>168</v>
      </c>
      <c r="VT148" s="369">
        <v>0.5</v>
      </c>
      <c r="VU148" s="370" t="e">
        <f>10/VQ146</f>
        <v>#DIV/0!</v>
      </c>
      <c r="VV148" s="371">
        <v>15.38</v>
      </c>
      <c r="VW148" s="371" t="e">
        <f>VT148*VU148*VV148</f>
        <v>#DIV/0!</v>
      </c>
      <c r="VX148" s="367" t="s">
        <v>206</v>
      </c>
      <c r="VY148" s="367"/>
      <c r="VZ148" s="367"/>
      <c r="WA148" s="368" t="s">
        <v>168</v>
      </c>
      <c r="WB148" s="369">
        <v>0.5</v>
      </c>
      <c r="WC148" s="370" t="e">
        <f>10/VY146</f>
        <v>#DIV/0!</v>
      </c>
      <c r="WD148" s="371">
        <v>15.38</v>
      </c>
      <c r="WE148" s="371" t="e">
        <f>WB148*WC148*WD148</f>
        <v>#DIV/0!</v>
      </c>
      <c r="WF148" s="367" t="s">
        <v>206</v>
      </c>
      <c r="WG148" s="367"/>
      <c r="WH148" s="367"/>
      <c r="WI148" s="368" t="s">
        <v>168</v>
      </c>
      <c r="WJ148" s="369">
        <v>0.5</v>
      </c>
      <c r="WK148" s="370" t="e">
        <f>10/WG146</f>
        <v>#DIV/0!</v>
      </c>
      <c r="WL148" s="371">
        <v>15.38</v>
      </c>
      <c r="WM148" s="371" t="e">
        <f>WJ148*WK148*WL148</f>
        <v>#DIV/0!</v>
      </c>
      <c r="WN148" s="367" t="s">
        <v>206</v>
      </c>
      <c r="WO148" s="367"/>
      <c r="WP148" s="367"/>
      <c r="WQ148" s="368" t="s">
        <v>168</v>
      </c>
      <c r="WR148" s="369">
        <v>0.5</v>
      </c>
      <c r="WS148" s="370" t="e">
        <f>10/WO146</f>
        <v>#DIV/0!</v>
      </c>
      <c r="WT148" s="371">
        <v>15.38</v>
      </c>
      <c r="WU148" s="371" t="e">
        <f>WR148*WS148*WT148</f>
        <v>#DIV/0!</v>
      </c>
      <c r="WV148" s="367" t="s">
        <v>206</v>
      </c>
      <c r="WW148" s="367"/>
      <c r="WX148" s="367"/>
      <c r="WY148" s="368" t="s">
        <v>168</v>
      </c>
      <c r="WZ148" s="369">
        <v>0.5</v>
      </c>
      <c r="XA148" s="370" t="e">
        <f>10/WW146</f>
        <v>#DIV/0!</v>
      </c>
      <c r="XB148" s="371">
        <v>15.38</v>
      </c>
      <c r="XC148" s="371" t="e">
        <f>WZ148*XA148*XB148</f>
        <v>#DIV/0!</v>
      </c>
      <c r="XD148" s="367" t="s">
        <v>206</v>
      </c>
      <c r="XE148" s="367"/>
      <c r="XF148" s="367"/>
      <c r="XG148" s="368" t="s">
        <v>168</v>
      </c>
      <c r="XH148" s="369">
        <v>0.5</v>
      </c>
      <c r="XI148" s="370" t="e">
        <f>10/XE146</f>
        <v>#DIV/0!</v>
      </c>
      <c r="XJ148" s="371">
        <v>15.38</v>
      </c>
      <c r="XK148" s="371" t="e">
        <f>XH148*XI148*XJ148</f>
        <v>#DIV/0!</v>
      </c>
      <c r="XL148" s="367" t="s">
        <v>206</v>
      </c>
      <c r="XM148" s="367"/>
      <c r="XN148" s="367"/>
      <c r="XO148" s="368" t="s">
        <v>168</v>
      </c>
      <c r="XP148" s="369">
        <v>0.5</v>
      </c>
      <c r="XQ148" s="370" t="e">
        <f>10/XM146</f>
        <v>#DIV/0!</v>
      </c>
      <c r="XR148" s="371">
        <v>15.38</v>
      </c>
      <c r="XS148" s="371" t="e">
        <f>XP148*XQ148*XR148</f>
        <v>#DIV/0!</v>
      </c>
      <c r="XT148" s="367" t="s">
        <v>206</v>
      </c>
      <c r="XU148" s="367"/>
      <c r="XV148" s="367"/>
      <c r="XW148" s="368" t="s">
        <v>168</v>
      </c>
      <c r="XX148" s="369">
        <v>0.5</v>
      </c>
      <c r="XY148" s="370" t="e">
        <f>10/XU146</f>
        <v>#DIV/0!</v>
      </c>
      <c r="XZ148" s="371">
        <v>15.38</v>
      </c>
      <c r="YA148" s="371" t="e">
        <f>XX148*XY148*XZ148</f>
        <v>#DIV/0!</v>
      </c>
      <c r="YB148" s="367" t="s">
        <v>206</v>
      </c>
      <c r="YC148" s="367"/>
      <c r="YD148" s="367"/>
      <c r="YE148" s="368" t="s">
        <v>168</v>
      </c>
      <c r="YF148" s="369">
        <v>0.5</v>
      </c>
      <c r="YG148" s="370" t="e">
        <f>10/YC146</f>
        <v>#DIV/0!</v>
      </c>
      <c r="YH148" s="371">
        <v>15.38</v>
      </c>
      <c r="YI148" s="371" t="e">
        <f>YF148*YG148*YH148</f>
        <v>#DIV/0!</v>
      </c>
      <c r="YJ148" s="367" t="s">
        <v>206</v>
      </c>
      <c r="YK148" s="367"/>
      <c r="YL148" s="367"/>
      <c r="YM148" s="368" t="s">
        <v>168</v>
      </c>
      <c r="YN148" s="369">
        <v>0.5</v>
      </c>
      <c r="YO148" s="370" t="e">
        <f>10/YK146</f>
        <v>#DIV/0!</v>
      </c>
      <c r="YP148" s="371">
        <v>15.38</v>
      </c>
      <c r="YQ148" s="371" t="e">
        <f>YN148*YO148*YP148</f>
        <v>#DIV/0!</v>
      </c>
      <c r="YR148" s="367" t="s">
        <v>206</v>
      </c>
      <c r="YS148" s="367"/>
      <c r="YT148" s="367"/>
      <c r="YU148" s="368" t="s">
        <v>168</v>
      </c>
      <c r="YV148" s="369">
        <v>0.5</v>
      </c>
      <c r="YW148" s="370" t="e">
        <f>10/YS146</f>
        <v>#DIV/0!</v>
      </c>
      <c r="YX148" s="371">
        <v>15.38</v>
      </c>
      <c r="YY148" s="371" t="e">
        <f>YV148*YW148*YX148</f>
        <v>#DIV/0!</v>
      </c>
      <c r="YZ148" s="367" t="s">
        <v>206</v>
      </c>
      <c r="ZA148" s="367"/>
      <c r="ZB148" s="367"/>
      <c r="ZC148" s="368" t="s">
        <v>168</v>
      </c>
      <c r="ZD148" s="369">
        <v>0.5</v>
      </c>
      <c r="ZE148" s="370" t="e">
        <f>10/ZA146</f>
        <v>#DIV/0!</v>
      </c>
      <c r="ZF148" s="371">
        <v>15.38</v>
      </c>
      <c r="ZG148" s="371" t="e">
        <f>ZD148*ZE148*ZF148</f>
        <v>#DIV/0!</v>
      </c>
      <c r="ZH148" s="367" t="s">
        <v>206</v>
      </c>
      <c r="ZI148" s="367"/>
      <c r="ZJ148" s="367"/>
      <c r="ZK148" s="368" t="s">
        <v>168</v>
      </c>
      <c r="ZL148" s="369">
        <v>0.5</v>
      </c>
      <c r="ZM148" s="370" t="e">
        <f>10/ZI146</f>
        <v>#DIV/0!</v>
      </c>
      <c r="ZN148" s="371">
        <v>15.38</v>
      </c>
      <c r="ZO148" s="371" t="e">
        <f>ZL148*ZM148*ZN148</f>
        <v>#DIV/0!</v>
      </c>
      <c r="ZP148" s="367" t="s">
        <v>206</v>
      </c>
      <c r="ZQ148" s="367"/>
      <c r="ZR148" s="367"/>
      <c r="ZS148" s="368" t="s">
        <v>168</v>
      </c>
      <c r="ZT148" s="369">
        <v>0.5</v>
      </c>
      <c r="ZU148" s="370" t="e">
        <f>10/ZQ146</f>
        <v>#DIV/0!</v>
      </c>
      <c r="ZV148" s="371">
        <v>15.38</v>
      </c>
      <c r="ZW148" s="371" t="e">
        <f>ZT148*ZU148*ZV148</f>
        <v>#DIV/0!</v>
      </c>
      <c r="ZX148" s="367" t="s">
        <v>206</v>
      </c>
      <c r="ZY148" s="367"/>
      <c r="ZZ148" s="367"/>
      <c r="AAA148" s="368" t="s">
        <v>168</v>
      </c>
      <c r="AAB148" s="369">
        <v>0.5</v>
      </c>
      <c r="AAC148" s="370" t="e">
        <f>10/ZY146</f>
        <v>#DIV/0!</v>
      </c>
      <c r="AAD148" s="371">
        <v>15.38</v>
      </c>
      <c r="AAE148" s="371" t="e">
        <f>AAB148*AAC148*AAD148</f>
        <v>#DIV/0!</v>
      </c>
      <c r="AAF148" s="367" t="s">
        <v>206</v>
      </c>
      <c r="AAG148" s="367"/>
      <c r="AAH148" s="367"/>
      <c r="AAI148" s="368" t="s">
        <v>168</v>
      </c>
      <c r="AAJ148" s="369">
        <v>0.5</v>
      </c>
      <c r="AAK148" s="370" t="e">
        <f>10/AAG146</f>
        <v>#DIV/0!</v>
      </c>
      <c r="AAL148" s="371">
        <v>15.38</v>
      </c>
      <c r="AAM148" s="371" t="e">
        <f>AAJ148*AAK148*AAL148</f>
        <v>#DIV/0!</v>
      </c>
      <c r="AAN148" s="367" t="s">
        <v>206</v>
      </c>
      <c r="AAO148" s="367"/>
      <c r="AAP148" s="367"/>
      <c r="AAQ148" s="368" t="s">
        <v>168</v>
      </c>
      <c r="AAR148" s="369">
        <v>0.5</v>
      </c>
      <c r="AAS148" s="370" t="e">
        <f>10/AAO146</f>
        <v>#DIV/0!</v>
      </c>
      <c r="AAT148" s="371">
        <v>15.38</v>
      </c>
      <c r="AAU148" s="371" t="e">
        <f>AAR148*AAS148*AAT148</f>
        <v>#DIV/0!</v>
      </c>
      <c r="AAV148" s="367" t="s">
        <v>206</v>
      </c>
      <c r="AAW148" s="367"/>
      <c r="AAX148" s="367"/>
      <c r="AAY148" s="368" t="s">
        <v>168</v>
      </c>
      <c r="AAZ148" s="369">
        <v>0.5</v>
      </c>
      <c r="ABA148" s="370" t="e">
        <f>10/AAW146</f>
        <v>#DIV/0!</v>
      </c>
      <c r="ABB148" s="371">
        <v>15.38</v>
      </c>
      <c r="ABC148" s="371" t="e">
        <f>AAZ148*ABA148*ABB148</f>
        <v>#DIV/0!</v>
      </c>
      <c r="ABD148" s="367" t="s">
        <v>206</v>
      </c>
      <c r="ABE148" s="367"/>
      <c r="ABF148" s="367"/>
      <c r="ABG148" s="368" t="s">
        <v>168</v>
      </c>
      <c r="ABH148" s="369">
        <v>0.5</v>
      </c>
      <c r="ABI148" s="370" t="e">
        <f>10/ABE146</f>
        <v>#DIV/0!</v>
      </c>
      <c r="ABJ148" s="371">
        <v>15.38</v>
      </c>
      <c r="ABK148" s="371" t="e">
        <f>ABH148*ABI148*ABJ148</f>
        <v>#DIV/0!</v>
      </c>
      <c r="ABL148" s="367" t="s">
        <v>206</v>
      </c>
      <c r="ABM148" s="367"/>
      <c r="ABN148" s="367"/>
      <c r="ABO148" s="368" t="s">
        <v>168</v>
      </c>
      <c r="ABP148" s="369">
        <v>0.5</v>
      </c>
      <c r="ABQ148" s="370" t="e">
        <f>10/ABM146</f>
        <v>#DIV/0!</v>
      </c>
      <c r="ABR148" s="371">
        <v>15.38</v>
      </c>
      <c r="ABS148" s="371" t="e">
        <f>ABP148*ABQ148*ABR148</f>
        <v>#DIV/0!</v>
      </c>
      <c r="ABT148" s="367" t="s">
        <v>206</v>
      </c>
      <c r="ABU148" s="367"/>
      <c r="ABV148" s="367"/>
      <c r="ABW148" s="368" t="s">
        <v>168</v>
      </c>
      <c r="ABX148" s="369">
        <v>0.5</v>
      </c>
      <c r="ABY148" s="370" t="e">
        <f>10/ABU146</f>
        <v>#DIV/0!</v>
      </c>
      <c r="ABZ148" s="371">
        <v>15.38</v>
      </c>
      <c r="ACA148" s="371" t="e">
        <f>ABX148*ABY148*ABZ148</f>
        <v>#DIV/0!</v>
      </c>
      <c r="ACB148" s="367" t="s">
        <v>206</v>
      </c>
      <c r="ACC148" s="367"/>
      <c r="ACD148" s="367"/>
      <c r="ACE148" s="368" t="s">
        <v>168</v>
      </c>
      <c r="ACF148" s="369">
        <v>0.5</v>
      </c>
      <c r="ACG148" s="370" t="e">
        <f>10/ACC146</f>
        <v>#DIV/0!</v>
      </c>
      <c r="ACH148" s="371">
        <v>15.38</v>
      </c>
      <c r="ACI148" s="371" t="e">
        <f>ACF148*ACG148*ACH148</f>
        <v>#DIV/0!</v>
      </c>
      <c r="ACJ148" s="367" t="s">
        <v>206</v>
      </c>
      <c r="ACK148" s="367"/>
      <c r="ACL148" s="367"/>
      <c r="ACM148" s="368" t="s">
        <v>168</v>
      </c>
      <c r="ACN148" s="369">
        <v>0.5</v>
      </c>
      <c r="ACO148" s="370" t="e">
        <f>10/ACK146</f>
        <v>#DIV/0!</v>
      </c>
      <c r="ACP148" s="371">
        <v>15.38</v>
      </c>
      <c r="ACQ148" s="371" t="e">
        <f>ACN148*ACO148*ACP148</f>
        <v>#DIV/0!</v>
      </c>
      <c r="ACR148" s="367" t="s">
        <v>206</v>
      </c>
      <c r="ACS148" s="367"/>
      <c r="ACT148" s="367"/>
      <c r="ACU148" s="368" t="s">
        <v>168</v>
      </c>
      <c r="ACV148" s="369">
        <v>0.5</v>
      </c>
      <c r="ACW148" s="370" t="e">
        <f>10/ACS146</f>
        <v>#DIV/0!</v>
      </c>
      <c r="ACX148" s="371">
        <v>15.38</v>
      </c>
      <c r="ACY148" s="371" t="e">
        <f>ACV148*ACW148*ACX148</f>
        <v>#DIV/0!</v>
      </c>
      <c r="ACZ148" s="367" t="s">
        <v>206</v>
      </c>
      <c r="ADA148" s="367"/>
      <c r="ADB148" s="367"/>
      <c r="ADC148" s="368" t="s">
        <v>168</v>
      </c>
      <c r="ADD148" s="369">
        <v>0.5</v>
      </c>
      <c r="ADE148" s="370" t="e">
        <f>10/ADA146</f>
        <v>#DIV/0!</v>
      </c>
      <c r="ADF148" s="371">
        <v>15.38</v>
      </c>
      <c r="ADG148" s="371" t="e">
        <f>ADD148*ADE148*ADF148</f>
        <v>#DIV/0!</v>
      </c>
      <c r="ADH148" s="367" t="s">
        <v>206</v>
      </c>
      <c r="ADI148" s="367"/>
      <c r="ADJ148" s="367"/>
      <c r="ADK148" s="368" t="s">
        <v>168</v>
      </c>
      <c r="ADL148" s="369">
        <v>0.5</v>
      </c>
      <c r="ADM148" s="370" t="e">
        <f>10/ADI146</f>
        <v>#DIV/0!</v>
      </c>
      <c r="ADN148" s="371">
        <v>15.38</v>
      </c>
      <c r="ADO148" s="371" t="e">
        <f>ADL148*ADM148*ADN148</f>
        <v>#DIV/0!</v>
      </c>
      <c r="ADP148" s="367" t="s">
        <v>206</v>
      </c>
      <c r="ADQ148" s="367"/>
      <c r="ADR148" s="367"/>
      <c r="ADS148" s="368" t="s">
        <v>168</v>
      </c>
      <c r="ADT148" s="369">
        <v>0.5</v>
      </c>
      <c r="ADU148" s="370" t="e">
        <f>10/ADQ146</f>
        <v>#DIV/0!</v>
      </c>
      <c r="ADV148" s="371">
        <v>15.38</v>
      </c>
      <c r="ADW148" s="371" t="e">
        <f>ADT148*ADU148*ADV148</f>
        <v>#DIV/0!</v>
      </c>
      <c r="ADX148" s="367" t="s">
        <v>206</v>
      </c>
      <c r="ADY148" s="367"/>
      <c r="ADZ148" s="367"/>
      <c r="AEA148" s="368" t="s">
        <v>168</v>
      </c>
      <c r="AEB148" s="369">
        <v>0.5</v>
      </c>
      <c r="AEC148" s="370" t="e">
        <f>10/ADY146</f>
        <v>#DIV/0!</v>
      </c>
      <c r="AED148" s="371">
        <v>15.38</v>
      </c>
      <c r="AEE148" s="371" t="e">
        <f>AEB148*AEC148*AED148</f>
        <v>#DIV/0!</v>
      </c>
      <c r="AEF148" s="367" t="s">
        <v>206</v>
      </c>
      <c r="AEG148" s="367"/>
      <c r="AEH148" s="367"/>
      <c r="AEI148" s="368" t="s">
        <v>168</v>
      </c>
      <c r="AEJ148" s="369">
        <v>0.5</v>
      </c>
      <c r="AEK148" s="370" t="e">
        <f>10/AEG146</f>
        <v>#DIV/0!</v>
      </c>
      <c r="AEL148" s="371">
        <v>15.38</v>
      </c>
      <c r="AEM148" s="371" t="e">
        <f>AEJ148*AEK148*AEL148</f>
        <v>#DIV/0!</v>
      </c>
      <c r="AEN148" s="367" t="s">
        <v>206</v>
      </c>
      <c r="AEO148" s="367"/>
      <c r="AEP148" s="367"/>
      <c r="AEQ148" s="368" t="s">
        <v>168</v>
      </c>
      <c r="AER148" s="369">
        <v>0.5</v>
      </c>
      <c r="AES148" s="370" t="e">
        <f>10/AEO146</f>
        <v>#DIV/0!</v>
      </c>
      <c r="AET148" s="371">
        <v>15.38</v>
      </c>
      <c r="AEU148" s="371" t="e">
        <f>AER148*AES148*AET148</f>
        <v>#DIV/0!</v>
      </c>
      <c r="AEV148" s="367" t="s">
        <v>206</v>
      </c>
      <c r="AEW148" s="367"/>
      <c r="AEX148" s="367"/>
      <c r="AEY148" s="368" t="s">
        <v>168</v>
      </c>
      <c r="AEZ148" s="369">
        <v>0.5</v>
      </c>
      <c r="AFA148" s="370" t="e">
        <f>10/AEW146</f>
        <v>#DIV/0!</v>
      </c>
      <c r="AFB148" s="371">
        <v>15.38</v>
      </c>
      <c r="AFC148" s="371" t="e">
        <f>AEZ148*AFA148*AFB148</f>
        <v>#DIV/0!</v>
      </c>
      <c r="AFD148" s="367" t="s">
        <v>206</v>
      </c>
      <c r="AFE148" s="367"/>
      <c r="AFF148" s="367"/>
      <c r="AFG148" s="368" t="s">
        <v>168</v>
      </c>
      <c r="AFH148" s="369">
        <v>0.5</v>
      </c>
      <c r="AFI148" s="370" t="e">
        <f>10/AFE146</f>
        <v>#DIV/0!</v>
      </c>
      <c r="AFJ148" s="371">
        <v>15.38</v>
      </c>
      <c r="AFK148" s="371" t="e">
        <f>AFH148*AFI148*AFJ148</f>
        <v>#DIV/0!</v>
      </c>
      <c r="AFL148" s="367" t="s">
        <v>206</v>
      </c>
      <c r="AFM148" s="367"/>
      <c r="AFN148" s="367"/>
      <c r="AFO148" s="368" t="s">
        <v>168</v>
      </c>
      <c r="AFP148" s="369">
        <v>0.5</v>
      </c>
      <c r="AFQ148" s="370" t="e">
        <f>10/AFM146</f>
        <v>#DIV/0!</v>
      </c>
      <c r="AFR148" s="371">
        <v>15.38</v>
      </c>
      <c r="AFS148" s="371" t="e">
        <f>AFP148*AFQ148*AFR148</f>
        <v>#DIV/0!</v>
      </c>
      <c r="AFT148" s="367" t="s">
        <v>206</v>
      </c>
      <c r="AFU148" s="367"/>
      <c r="AFV148" s="367"/>
      <c r="AFW148" s="368" t="s">
        <v>168</v>
      </c>
      <c r="AFX148" s="369">
        <v>0.5</v>
      </c>
      <c r="AFY148" s="370" t="e">
        <f>10/AFU146</f>
        <v>#DIV/0!</v>
      </c>
      <c r="AFZ148" s="371">
        <v>15.38</v>
      </c>
      <c r="AGA148" s="371" t="e">
        <f>AFX148*AFY148*AFZ148</f>
        <v>#DIV/0!</v>
      </c>
      <c r="AGB148" s="367" t="s">
        <v>206</v>
      </c>
      <c r="AGC148" s="367"/>
      <c r="AGD148" s="367"/>
      <c r="AGE148" s="368" t="s">
        <v>168</v>
      </c>
      <c r="AGF148" s="369">
        <v>0.5</v>
      </c>
      <c r="AGG148" s="370" t="e">
        <f>10/AGC146</f>
        <v>#DIV/0!</v>
      </c>
      <c r="AGH148" s="371">
        <v>15.38</v>
      </c>
      <c r="AGI148" s="371" t="e">
        <f>AGF148*AGG148*AGH148</f>
        <v>#DIV/0!</v>
      </c>
      <c r="AGJ148" s="367" t="s">
        <v>206</v>
      </c>
      <c r="AGK148" s="367"/>
      <c r="AGL148" s="367"/>
      <c r="AGM148" s="368" t="s">
        <v>168</v>
      </c>
      <c r="AGN148" s="369">
        <v>0.5</v>
      </c>
      <c r="AGO148" s="370" t="e">
        <f>10/AGK146</f>
        <v>#DIV/0!</v>
      </c>
      <c r="AGP148" s="371">
        <v>15.38</v>
      </c>
      <c r="AGQ148" s="371" t="e">
        <f>AGN148*AGO148*AGP148</f>
        <v>#DIV/0!</v>
      </c>
      <c r="AGR148" s="367" t="s">
        <v>206</v>
      </c>
      <c r="AGS148" s="367"/>
      <c r="AGT148" s="367"/>
      <c r="AGU148" s="368" t="s">
        <v>168</v>
      </c>
      <c r="AGV148" s="369">
        <v>0.5</v>
      </c>
      <c r="AGW148" s="370" t="e">
        <f>10/AGS146</f>
        <v>#DIV/0!</v>
      </c>
      <c r="AGX148" s="371">
        <v>15.38</v>
      </c>
      <c r="AGY148" s="371" t="e">
        <f>AGV148*AGW148*AGX148</f>
        <v>#DIV/0!</v>
      </c>
      <c r="AGZ148" s="367" t="s">
        <v>206</v>
      </c>
      <c r="AHA148" s="367"/>
      <c r="AHB148" s="367"/>
      <c r="AHC148" s="368" t="s">
        <v>168</v>
      </c>
      <c r="AHD148" s="369">
        <v>0.5</v>
      </c>
      <c r="AHE148" s="370" t="e">
        <f>10/AHA146</f>
        <v>#DIV/0!</v>
      </c>
      <c r="AHF148" s="371">
        <v>15.38</v>
      </c>
      <c r="AHG148" s="371" t="e">
        <f>AHD148*AHE148*AHF148</f>
        <v>#DIV/0!</v>
      </c>
      <c r="AHH148" s="367" t="s">
        <v>206</v>
      </c>
      <c r="AHI148" s="367"/>
      <c r="AHJ148" s="367"/>
      <c r="AHK148" s="368" t="s">
        <v>168</v>
      </c>
      <c r="AHL148" s="369">
        <v>0.5</v>
      </c>
      <c r="AHM148" s="370" t="e">
        <f>10/AHI146</f>
        <v>#DIV/0!</v>
      </c>
      <c r="AHN148" s="371">
        <v>15.38</v>
      </c>
      <c r="AHO148" s="371" t="e">
        <f>AHL148*AHM148*AHN148</f>
        <v>#DIV/0!</v>
      </c>
      <c r="AHP148" s="367" t="s">
        <v>206</v>
      </c>
      <c r="AHQ148" s="367"/>
      <c r="AHR148" s="367"/>
      <c r="AHS148" s="368" t="s">
        <v>168</v>
      </c>
      <c r="AHT148" s="369">
        <v>0.5</v>
      </c>
      <c r="AHU148" s="370" t="e">
        <f>10/AHQ146</f>
        <v>#DIV/0!</v>
      </c>
      <c r="AHV148" s="371">
        <v>15.38</v>
      </c>
      <c r="AHW148" s="371" t="e">
        <f>AHT148*AHU148*AHV148</f>
        <v>#DIV/0!</v>
      </c>
      <c r="AHX148" s="367" t="s">
        <v>206</v>
      </c>
      <c r="AHY148" s="367"/>
      <c r="AHZ148" s="367"/>
      <c r="AIA148" s="368" t="s">
        <v>168</v>
      </c>
      <c r="AIB148" s="369">
        <v>0.5</v>
      </c>
      <c r="AIC148" s="370" t="e">
        <f>10/AHY146</f>
        <v>#DIV/0!</v>
      </c>
      <c r="AID148" s="371">
        <v>15.38</v>
      </c>
      <c r="AIE148" s="371" t="e">
        <f>AIB148*AIC148*AID148</f>
        <v>#DIV/0!</v>
      </c>
      <c r="AIF148" s="367" t="s">
        <v>206</v>
      </c>
      <c r="AIG148" s="367"/>
      <c r="AIH148" s="367"/>
      <c r="AII148" s="368" t="s">
        <v>168</v>
      </c>
      <c r="AIJ148" s="369">
        <v>0.5</v>
      </c>
      <c r="AIK148" s="370" t="e">
        <f>10/AIG146</f>
        <v>#DIV/0!</v>
      </c>
      <c r="AIL148" s="371">
        <v>15.38</v>
      </c>
      <c r="AIM148" s="371" t="e">
        <f>AIJ148*AIK148*AIL148</f>
        <v>#DIV/0!</v>
      </c>
      <c r="AIN148" s="367" t="s">
        <v>206</v>
      </c>
      <c r="AIO148" s="367"/>
      <c r="AIP148" s="367"/>
      <c r="AIQ148" s="368" t="s">
        <v>168</v>
      </c>
      <c r="AIR148" s="369">
        <v>0.5</v>
      </c>
      <c r="AIS148" s="370" t="e">
        <f>10/AIO146</f>
        <v>#DIV/0!</v>
      </c>
      <c r="AIT148" s="371">
        <v>15.38</v>
      </c>
      <c r="AIU148" s="371" t="e">
        <f>AIR148*AIS148*AIT148</f>
        <v>#DIV/0!</v>
      </c>
      <c r="AIV148" s="367" t="s">
        <v>206</v>
      </c>
      <c r="AIW148" s="367"/>
      <c r="AIX148" s="367"/>
      <c r="AIY148" s="368" t="s">
        <v>168</v>
      </c>
      <c r="AIZ148" s="369">
        <v>0.5</v>
      </c>
      <c r="AJA148" s="370" t="e">
        <f>10/AIW146</f>
        <v>#DIV/0!</v>
      </c>
      <c r="AJB148" s="371">
        <v>15.38</v>
      </c>
      <c r="AJC148" s="371" t="e">
        <f>AIZ148*AJA148*AJB148</f>
        <v>#DIV/0!</v>
      </c>
      <c r="AJD148" s="367" t="s">
        <v>206</v>
      </c>
      <c r="AJE148" s="367"/>
      <c r="AJF148" s="367"/>
      <c r="AJG148" s="368" t="s">
        <v>168</v>
      </c>
      <c r="AJH148" s="369">
        <v>0.5</v>
      </c>
      <c r="AJI148" s="370" t="e">
        <f>10/AJE146</f>
        <v>#DIV/0!</v>
      </c>
      <c r="AJJ148" s="371">
        <v>15.38</v>
      </c>
      <c r="AJK148" s="371" t="e">
        <f>AJH148*AJI148*AJJ148</f>
        <v>#DIV/0!</v>
      </c>
      <c r="AJL148" s="367" t="s">
        <v>206</v>
      </c>
      <c r="AJM148" s="367"/>
      <c r="AJN148" s="367"/>
      <c r="AJO148" s="368" t="s">
        <v>168</v>
      </c>
      <c r="AJP148" s="369">
        <v>0.5</v>
      </c>
      <c r="AJQ148" s="370" t="e">
        <f>10/AJM146</f>
        <v>#DIV/0!</v>
      </c>
      <c r="AJR148" s="371">
        <v>15.38</v>
      </c>
      <c r="AJS148" s="371" t="e">
        <f>AJP148*AJQ148*AJR148</f>
        <v>#DIV/0!</v>
      </c>
      <c r="AJT148" s="367" t="s">
        <v>206</v>
      </c>
      <c r="AJU148" s="367"/>
      <c r="AJV148" s="367"/>
      <c r="AJW148" s="368" t="s">
        <v>168</v>
      </c>
      <c r="AJX148" s="369">
        <v>0.5</v>
      </c>
      <c r="AJY148" s="370" t="e">
        <f>10/AJU146</f>
        <v>#DIV/0!</v>
      </c>
      <c r="AJZ148" s="371">
        <v>15.38</v>
      </c>
      <c r="AKA148" s="371" t="e">
        <f>AJX148*AJY148*AJZ148</f>
        <v>#DIV/0!</v>
      </c>
      <c r="AKB148" s="367" t="s">
        <v>206</v>
      </c>
      <c r="AKC148" s="367"/>
      <c r="AKD148" s="367"/>
      <c r="AKE148" s="368" t="s">
        <v>168</v>
      </c>
      <c r="AKF148" s="369">
        <v>0.5</v>
      </c>
      <c r="AKG148" s="370" t="e">
        <f>10/AKC146</f>
        <v>#DIV/0!</v>
      </c>
      <c r="AKH148" s="371">
        <v>15.38</v>
      </c>
      <c r="AKI148" s="371" t="e">
        <f>AKF148*AKG148*AKH148</f>
        <v>#DIV/0!</v>
      </c>
      <c r="AKJ148" s="367" t="s">
        <v>206</v>
      </c>
      <c r="AKK148" s="367"/>
      <c r="AKL148" s="367"/>
      <c r="AKM148" s="368" t="s">
        <v>168</v>
      </c>
      <c r="AKN148" s="369">
        <v>0.5</v>
      </c>
      <c r="AKO148" s="370" t="e">
        <f>10/AKK146</f>
        <v>#DIV/0!</v>
      </c>
      <c r="AKP148" s="371">
        <v>15.38</v>
      </c>
      <c r="AKQ148" s="371" t="e">
        <f>AKN148*AKO148*AKP148</f>
        <v>#DIV/0!</v>
      </c>
      <c r="AKR148" s="367" t="s">
        <v>206</v>
      </c>
      <c r="AKS148" s="367"/>
      <c r="AKT148" s="367"/>
      <c r="AKU148" s="368" t="s">
        <v>168</v>
      </c>
      <c r="AKV148" s="369">
        <v>0.5</v>
      </c>
      <c r="AKW148" s="370" t="e">
        <f>10/AKS146</f>
        <v>#DIV/0!</v>
      </c>
      <c r="AKX148" s="371">
        <v>15.38</v>
      </c>
      <c r="AKY148" s="371" t="e">
        <f>AKV148*AKW148*AKX148</f>
        <v>#DIV/0!</v>
      </c>
      <c r="AKZ148" s="367" t="s">
        <v>206</v>
      </c>
      <c r="ALA148" s="367"/>
      <c r="ALB148" s="367"/>
      <c r="ALC148" s="368" t="s">
        <v>168</v>
      </c>
      <c r="ALD148" s="369">
        <v>0.5</v>
      </c>
      <c r="ALE148" s="370" t="e">
        <f>10/ALA146</f>
        <v>#DIV/0!</v>
      </c>
      <c r="ALF148" s="371">
        <v>15.38</v>
      </c>
      <c r="ALG148" s="371" t="e">
        <f>ALD148*ALE148*ALF148</f>
        <v>#DIV/0!</v>
      </c>
      <c r="ALH148" s="367" t="s">
        <v>206</v>
      </c>
      <c r="ALI148" s="367"/>
      <c r="ALJ148" s="367"/>
      <c r="ALK148" s="368" t="s">
        <v>168</v>
      </c>
      <c r="ALL148" s="369">
        <v>0.5</v>
      </c>
      <c r="ALM148" s="370" t="e">
        <f>10/ALI146</f>
        <v>#DIV/0!</v>
      </c>
      <c r="ALN148" s="371">
        <v>15.38</v>
      </c>
      <c r="ALO148" s="371" t="e">
        <f>ALL148*ALM148*ALN148</f>
        <v>#DIV/0!</v>
      </c>
      <c r="ALP148" s="367" t="s">
        <v>206</v>
      </c>
      <c r="ALQ148" s="367"/>
      <c r="ALR148" s="367"/>
      <c r="ALS148" s="368" t="s">
        <v>168</v>
      </c>
      <c r="ALT148" s="369">
        <v>0.5</v>
      </c>
      <c r="ALU148" s="370" t="e">
        <f>10/ALQ146</f>
        <v>#DIV/0!</v>
      </c>
      <c r="ALV148" s="371">
        <v>15.38</v>
      </c>
      <c r="ALW148" s="371" t="e">
        <f>ALT148*ALU148*ALV148</f>
        <v>#DIV/0!</v>
      </c>
      <c r="ALX148" s="367" t="s">
        <v>206</v>
      </c>
      <c r="ALY148" s="367"/>
      <c r="ALZ148" s="367"/>
      <c r="AMA148" s="368" t="s">
        <v>168</v>
      </c>
      <c r="AMB148" s="369">
        <v>0.5</v>
      </c>
      <c r="AMC148" s="370" t="e">
        <f>10/ALY146</f>
        <v>#DIV/0!</v>
      </c>
      <c r="AMD148" s="371">
        <v>15.38</v>
      </c>
      <c r="AME148" s="371" t="e">
        <f>AMB148*AMC148*AMD148</f>
        <v>#DIV/0!</v>
      </c>
      <c r="AMF148" s="367" t="s">
        <v>206</v>
      </c>
      <c r="AMG148" s="367"/>
      <c r="AMH148" s="367"/>
      <c r="AMI148" s="368" t="s">
        <v>168</v>
      </c>
      <c r="AMJ148" s="369">
        <v>0.5</v>
      </c>
      <c r="AMK148" s="370" t="e">
        <f>10/AMG146</f>
        <v>#DIV/0!</v>
      </c>
      <c r="AML148" s="371">
        <v>15.38</v>
      </c>
      <c r="AMM148" s="371" t="e">
        <f>AMJ148*AMK148*AML148</f>
        <v>#DIV/0!</v>
      </c>
      <c r="AMN148" s="367" t="s">
        <v>206</v>
      </c>
      <c r="AMO148" s="367"/>
      <c r="AMP148" s="367"/>
      <c r="AMQ148" s="368" t="s">
        <v>168</v>
      </c>
      <c r="AMR148" s="369">
        <v>0.5</v>
      </c>
      <c r="AMS148" s="370" t="e">
        <f>10/AMO146</f>
        <v>#DIV/0!</v>
      </c>
      <c r="AMT148" s="371">
        <v>15.38</v>
      </c>
      <c r="AMU148" s="371" t="e">
        <f>AMR148*AMS148*AMT148</f>
        <v>#DIV/0!</v>
      </c>
      <c r="AMV148" s="367" t="s">
        <v>206</v>
      </c>
      <c r="AMW148" s="367"/>
      <c r="AMX148" s="367"/>
      <c r="AMY148" s="368" t="s">
        <v>168</v>
      </c>
      <c r="AMZ148" s="369">
        <v>0.5</v>
      </c>
      <c r="ANA148" s="370" t="e">
        <f>10/AMW146</f>
        <v>#DIV/0!</v>
      </c>
      <c r="ANB148" s="371">
        <v>15.38</v>
      </c>
      <c r="ANC148" s="371" t="e">
        <f>AMZ148*ANA148*ANB148</f>
        <v>#DIV/0!</v>
      </c>
      <c r="AND148" s="367" t="s">
        <v>206</v>
      </c>
      <c r="ANE148" s="367"/>
      <c r="ANF148" s="367"/>
      <c r="ANG148" s="368" t="s">
        <v>168</v>
      </c>
      <c r="ANH148" s="369">
        <v>0.5</v>
      </c>
      <c r="ANI148" s="370" t="e">
        <f>10/ANE146</f>
        <v>#DIV/0!</v>
      </c>
      <c r="ANJ148" s="371">
        <v>15.38</v>
      </c>
      <c r="ANK148" s="371" t="e">
        <f>ANH148*ANI148*ANJ148</f>
        <v>#DIV/0!</v>
      </c>
      <c r="ANL148" s="367" t="s">
        <v>206</v>
      </c>
      <c r="ANM148" s="367"/>
      <c r="ANN148" s="367"/>
      <c r="ANO148" s="368" t="s">
        <v>168</v>
      </c>
      <c r="ANP148" s="369">
        <v>0.5</v>
      </c>
      <c r="ANQ148" s="370" t="e">
        <f>10/ANM146</f>
        <v>#DIV/0!</v>
      </c>
      <c r="ANR148" s="371">
        <v>15.38</v>
      </c>
      <c r="ANS148" s="371" t="e">
        <f>ANP148*ANQ148*ANR148</f>
        <v>#DIV/0!</v>
      </c>
      <c r="ANT148" s="367" t="s">
        <v>206</v>
      </c>
      <c r="ANU148" s="367"/>
      <c r="ANV148" s="367"/>
      <c r="ANW148" s="368" t="s">
        <v>168</v>
      </c>
      <c r="ANX148" s="369">
        <v>0.5</v>
      </c>
      <c r="ANY148" s="370" t="e">
        <f>10/ANU146</f>
        <v>#DIV/0!</v>
      </c>
      <c r="ANZ148" s="371">
        <v>15.38</v>
      </c>
      <c r="AOA148" s="371" t="e">
        <f>ANX148*ANY148*ANZ148</f>
        <v>#DIV/0!</v>
      </c>
      <c r="AOB148" s="367" t="s">
        <v>206</v>
      </c>
      <c r="AOC148" s="367"/>
      <c r="AOD148" s="367"/>
      <c r="AOE148" s="368" t="s">
        <v>168</v>
      </c>
      <c r="AOF148" s="369">
        <v>0.5</v>
      </c>
      <c r="AOG148" s="370" t="e">
        <f>10/AOC146</f>
        <v>#DIV/0!</v>
      </c>
      <c r="AOH148" s="371">
        <v>15.38</v>
      </c>
      <c r="AOI148" s="371" t="e">
        <f>AOF148*AOG148*AOH148</f>
        <v>#DIV/0!</v>
      </c>
      <c r="AOJ148" s="367" t="s">
        <v>206</v>
      </c>
      <c r="AOK148" s="367"/>
      <c r="AOL148" s="367"/>
      <c r="AOM148" s="368" t="s">
        <v>168</v>
      </c>
      <c r="AON148" s="369">
        <v>0.5</v>
      </c>
      <c r="AOO148" s="370" t="e">
        <f>10/AOK146</f>
        <v>#DIV/0!</v>
      </c>
      <c r="AOP148" s="371">
        <v>15.38</v>
      </c>
      <c r="AOQ148" s="371" t="e">
        <f>AON148*AOO148*AOP148</f>
        <v>#DIV/0!</v>
      </c>
      <c r="AOR148" s="367" t="s">
        <v>206</v>
      </c>
      <c r="AOS148" s="367"/>
      <c r="AOT148" s="367"/>
      <c r="AOU148" s="368" t="s">
        <v>168</v>
      </c>
      <c r="AOV148" s="369">
        <v>0.5</v>
      </c>
      <c r="AOW148" s="370" t="e">
        <f>10/AOS146</f>
        <v>#DIV/0!</v>
      </c>
      <c r="AOX148" s="371">
        <v>15.38</v>
      </c>
      <c r="AOY148" s="371" t="e">
        <f>AOV148*AOW148*AOX148</f>
        <v>#DIV/0!</v>
      </c>
      <c r="AOZ148" s="367" t="s">
        <v>206</v>
      </c>
      <c r="APA148" s="367"/>
      <c r="APB148" s="367"/>
      <c r="APC148" s="368" t="s">
        <v>168</v>
      </c>
      <c r="APD148" s="369">
        <v>0.5</v>
      </c>
      <c r="APE148" s="370" t="e">
        <f>10/APA146</f>
        <v>#DIV/0!</v>
      </c>
      <c r="APF148" s="371">
        <v>15.38</v>
      </c>
      <c r="APG148" s="371" t="e">
        <f>APD148*APE148*APF148</f>
        <v>#DIV/0!</v>
      </c>
      <c r="APH148" s="367" t="s">
        <v>206</v>
      </c>
      <c r="API148" s="367"/>
      <c r="APJ148" s="367"/>
      <c r="APK148" s="368" t="s">
        <v>168</v>
      </c>
      <c r="APL148" s="369">
        <v>0.5</v>
      </c>
      <c r="APM148" s="370" t="e">
        <f>10/API146</f>
        <v>#DIV/0!</v>
      </c>
      <c r="APN148" s="371">
        <v>15.38</v>
      </c>
      <c r="APO148" s="371" t="e">
        <f>APL148*APM148*APN148</f>
        <v>#DIV/0!</v>
      </c>
      <c r="APP148" s="367" t="s">
        <v>206</v>
      </c>
      <c r="APQ148" s="367"/>
      <c r="APR148" s="367"/>
      <c r="APS148" s="368" t="s">
        <v>168</v>
      </c>
      <c r="APT148" s="369">
        <v>0.5</v>
      </c>
      <c r="APU148" s="370" t="e">
        <f>10/APQ146</f>
        <v>#DIV/0!</v>
      </c>
      <c r="APV148" s="371">
        <v>15.38</v>
      </c>
      <c r="APW148" s="371" t="e">
        <f>APT148*APU148*APV148</f>
        <v>#DIV/0!</v>
      </c>
      <c r="APX148" s="367" t="s">
        <v>206</v>
      </c>
      <c r="APY148" s="367"/>
      <c r="APZ148" s="367"/>
      <c r="AQA148" s="368" t="s">
        <v>168</v>
      </c>
      <c r="AQB148" s="369">
        <v>0.5</v>
      </c>
      <c r="AQC148" s="370" t="e">
        <f>10/APY146</f>
        <v>#DIV/0!</v>
      </c>
      <c r="AQD148" s="371">
        <v>15.38</v>
      </c>
      <c r="AQE148" s="371" t="e">
        <f>AQB148*AQC148*AQD148</f>
        <v>#DIV/0!</v>
      </c>
      <c r="AQF148" s="367" t="s">
        <v>206</v>
      </c>
      <c r="AQG148" s="367"/>
      <c r="AQH148" s="367"/>
      <c r="AQI148" s="368" t="s">
        <v>168</v>
      </c>
      <c r="AQJ148" s="369">
        <v>0.5</v>
      </c>
      <c r="AQK148" s="370" t="e">
        <f>10/AQG146</f>
        <v>#DIV/0!</v>
      </c>
      <c r="AQL148" s="371">
        <v>15.38</v>
      </c>
      <c r="AQM148" s="371" t="e">
        <f>AQJ148*AQK148*AQL148</f>
        <v>#DIV/0!</v>
      </c>
      <c r="AQN148" s="367" t="s">
        <v>206</v>
      </c>
      <c r="AQO148" s="367"/>
      <c r="AQP148" s="367"/>
      <c r="AQQ148" s="368" t="s">
        <v>168</v>
      </c>
      <c r="AQR148" s="369">
        <v>0.5</v>
      </c>
      <c r="AQS148" s="370" t="e">
        <f>10/AQO146</f>
        <v>#DIV/0!</v>
      </c>
      <c r="AQT148" s="371">
        <v>15.38</v>
      </c>
      <c r="AQU148" s="371" t="e">
        <f>AQR148*AQS148*AQT148</f>
        <v>#DIV/0!</v>
      </c>
      <c r="AQV148" s="367" t="s">
        <v>206</v>
      </c>
      <c r="AQW148" s="367"/>
      <c r="AQX148" s="367"/>
      <c r="AQY148" s="368" t="s">
        <v>168</v>
      </c>
      <c r="AQZ148" s="369">
        <v>0.5</v>
      </c>
      <c r="ARA148" s="370" t="e">
        <f>10/AQW146</f>
        <v>#DIV/0!</v>
      </c>
      <c r="ARB148" s="371">
        <v>15.38</v>
      </c>
      <c r="ARC148" s="371" t="e">
        <f>AQZ148*ARA148*ARB148</f>
        <v>#DIV/0!</v>
      </c>
      <c r="ARD148" s="367" t="s">
        <v>206</v>
      </c>
      <c r="ARE148" s="367"/>
      <c r="ARF148" s="367"/>
      <c r="ARG148" s="368" t="s">
        <v>168</v>
      </c>
      <c r="ARH148" s="369">
        <v>0.5</v>
      </c>
      <c r="ARI148" s="370" t="e">
        <f>10/ARE146</f>
        <v>#DIV/0!</v>
      </c>
      <c r="ARJ148" s="371">
        <v>15.38</v>
      </c>
      <c r="ARK148" s="371" t="e">
        <f>ARH148*ARI148*ARJ148</f>
        <v>#DIV/0!</v>
      </c>
      <c r="ARL148" s="367" t="s">
        <v>206</v>
      </c>
      <c r="ARM148" s="367"/>
      <c r="ARN148" s="367"/>
      <c r="ARO148" s="368" t="s">
        <v>168</v>
      </c>
      <c r="ARP148" s="369">
        <v>0.5</v>
      </c>
      <c r="ARQ148" s="370" t="e">
        <f>10/ARM146</f>
        <v>#DIV/0!</v>
      </c>
      <c r="ARR148" s="371">
        <v>15.38</v>
      </c>
      <c r="ARS148" s="371" t="e">
        <f>ARP148*ARQ148*ARR148</f>
        <v>#DIV/0!</v>
      </c>
      <c r="ART148" s="367" t="s">
        <v>206</v>
      </c>
      <c r="ARU148" s="367"/>
      <c r="ARV148" s="367"/>
      <c r="ARW148" s="368" t="s">
        <v>168</v>
      </c>
      <c r="ARX148" s="369">
        <v>0.5</v>
      </c>
      <c r="ARY148" s="370" t="e">
        <f>10/ARU146</f>
        <v>#DIV/0!</v>
      </c>
      <c r="ARZ148" s="371">
        <v>15.38</v>
      </c>
      <c r="ASA148" s="371" t="e">
        <f>ARX148*ARY148*ARZ148</f>
        <v>#DIV/0!</v>
      </c>
      <c r="ASB148" s="367" t="s">
        <v>206</v>
      </c>
      <c r="ASC148" s="367"/>
      <c r="ASD148" s="367"/>
      <c r="ASE148" s="368" t="s">
        <v>168</v>
      </c>
      <c r="ASF148" s="369">
        <v>0.5</v>
      </c>
      <c r="ASG148" s="370" t="e">
        <f>10/ASC146</f>
        <v>#DIV/0!</v>
      </c>
      <c r="ASH148" s="371">
        <v>15.38</v>
      </c>
      <c r="ASI148" s="371" t="e">
        <f>ASF148*ASG148*ASH148</f>
        <v>#DIV/0!</v>
      </c>
      <c r="ASJ148" s="367" t="s">
        <v>206</v>
      </c>
      <c r="ASK148" s="367"/>
      <c r="ASL148" s="367"/>
      <c r="ASM148" s="368" t="s">
        <v>168</v>
      </c>
      <c r="ASN148" s="369">
        <v>0.5</v>
      </c>
      <c r="ASO148" s="370" t="e">
        <f>10/ASK146</f>
        <v>#DIV/0!</v>
      </c>
      <c r="ASP148" s="371">
        <v>15.38</v>
      </c>
      <c r="ASQ148" s="371" t="e">
        <f>ASN148*ASO148*ASP148</f>
        <v>#DIV/0!</v>
      </c>
      <c r="ASR148" s="367" t="s">
        <v>206</v>
      </c>
      <c r="ASS148" s="367"/>
      <c r="AST148" s="367"/>
      <c r="ASU148" s="368" t="s">
        <v>168</v>
      </c>
      <c r="ASV148" s="369">
        <v>0.5</v>
      </c>
      <c r="ASW148" s="370" t="e">
        <f>10/ASS146</f>
        <v>#DIV/0!</v>
      </c>
      <c r="ASX148" s="371">
        <v>15.38</v>
      </c>
      <c r="ASY148" s="371" t="e">
        <f>ASV148*ASW148*ASX148</f>
        <v>#DIV/0!</v>
      </c>
      <c r="ASZ148" s="367" t="s">
        <v>206</v>
      </c>
      <c r="ATA148" s="367"/>
      <c r="ATB148" s="367"/>
      <c r="ATC148" s="368" t="s">
        <v>168</v>
      </c>
      <c r="ATD148" s="369">
        <v>0.5</v>
      </c>
      <c r="ATE148" s="370" t="e">
        <f>10/ATA146</f>
        <v>#DIV/0!</v>
      </c>
      <c r="ATF148" s="371">
        <v>15.38</v>
      </c>
      <c r="ATG148" s="371" t="e">
        <f>ATD148*ATE148*ATF148</f>
        <v>#DIV/0!</v>
      </c>
      <c r="ATH148" s="367" t="s">
        <v>206</v>
      </c>
      <c r="ATI148" s="367"/>
      <c r="ATJ148" s="367"/>
      <c r="ATK148" s="368" t="s">
        <v>168</v>
      </c>
      <c r="ATL148" s="369">
        <v>0.5</v>
      </c>
      <c r="ATM148" s="370" t="e">
        <f>10/ATI146</f>
        <v>#DIV/0!</v>
      </c>
      <c r="ATN148" s="371">
        <v>15.38</v>
      </c>
      <c r="ATO148" s="371" t="e">
        <f>ATL148*ATM148*ATN148</f>
        <v>#DIV/0!</v>
      </c>
      <c r="ATP148" s="367" t="s">
        <v>206</v>
      </c>
      <c r="ATQ148" s="367"/>
      <c r="ATR148" s="367"/>
      <c r="ATS148" s="368" t="s">
        <v>168</v>
      </c>
      <c r="ATT148" s="369">
        <v>0.5</v>
      </c>
      <c r="ATU148" s="370" t="e">
        <f>10/ATQ146</f>
        <v>#DIV/0!</v>
      </c>
      <c r="ATV148" s="371">
        <v>15.38</v>
      </c>
      <c r="ATW148" s="371" t="e">
        <f>ATT148*ATU148*ATV148</f>
        <v>#DIV/0!</v>
      </c>
      <c r="ATX148" s="367" t="s">
        <v>206</v>
      </c>
      <c r="ATY148" s="367"/>
      <c r="ATZ148" s="367"/>
      <c r="AUA148" s="368" t="s">
        <v>168</v>
      </c>
      <c r="AUB148" s="369">
        <v>0.5</v>
      </c>
      <c r="AUC148" s="370" t="e">
        <f>10/ATY146</f>
        <v>#DIV/0!</v>
      </c>
      <c r="AUD148" s="371">
        <v>15.38</v>
      </c>
      <c r="AUE148" s="371" t="e">
        <f>AUB148*AUC148*AUD148</f>
        <v>#DIV/0!</v>
      </c>
      <c r="AUF148" s="367" t="s">
        <v>206</v>
      </c>
      <c r="AUG148" s="367"/>
      <c r="AUH148" s="367"/>
      <c r="AUI148" s="368" t="s">
        <v>168</v>
      </c>
      <c r="AUJ148" s="369">
        <v>0.5</v>
      </c>
      <c r="AUK148" s="370" t="e">
        <f>10/AUG146</f>
        <v>#DIV/0!</v>
      </c>
      <c r="AUL148" s="371">
        <v>15.38</v>
      </c>
      <c r="AUM148" s="371" t="e">
        <f>AUJ148*AUK148*AUL148</f>
        <v>#DIV/0!</v>
      </c>
      <c r="AUN148" s="367" t="s">
        <v>206</v>
      </c>
      <c r="AUO148" s="367"/>
      <c r="AUP148" s="367"/>
      <c r="AUQ148" s="368" t="s">
        <v>168</v>
      </c>
      <c r="AUR148" s="369">
        <v>0.5</v>
      </c>
      <c r="AUS148" s="370" t="e">
        <f>10/AUO146</f>
        <v>#DIV/0!</v>
      </c>
      <c r="AUT148" s="371">
        <v>15.38</v>
      </c>
      <c r="AUU148" s="371" t="e">
        <f>AUR148*AUS148*AUT148</f>
        <v>#DIV/0!</v>
      </c>
      <c r="AUV148" s="367" t="s">
        <v>206</v>
      </c>
      <c r="AUW148" s="367"/>
      <c r="AUX148" s="367"/>
      <c r="AUY148" s="368" t="s">
        <v>168</v>
      </c>
      <c r="AUZ148" s="369">
        <v>0.5</v>
      </c>
      <c r="AVA148" s="370" t="e">
        <f>10/AUW146</f>
        <v>#DIV/0!</v>
      </c>
      <c r="AVB148" s="371">
        <v>15.38</v>
      </c>
      <c r="AVC148" s="371" t="e">
        <f>AUZ148*AVA148*AVB148</f>
        <v>#DIV/0!</v>
      </c>
      <c r="AVD148" s="367" t="s">
        <v>206</v>
      </c>
      <c r="AVE148" s="367"/>
      <c r="AVF148" s="367"/>
      <c r="AVG148" s="368" t="s">
        <v>168</v>
      </c>
      <c r="AVH148" s="369">
        <v>0.5</v>
      </c>
      <c r="AVI148" s="370" t="e">
        <f>10/AVE146</f>
        <v>#DIV/0!</v>
      </c>
      <c r="AVJ148" s="371">
        <v>15.38</v>
      </c>
      <c r="AVK148" s="371" t="e">
        <f>AVH148*AVI148*AVJ148</f>
        <v>#DIV/0!</v>
      </c>
      <c r="AVL148" s="367" t="s">
        <v>206</v>
      </c>
      <c r="AVM148" s="367"/>
      <c r="AVN148" s="367"/>
      <c r="AVO148" s="368" t="s">
        <v>168</v>
      </c>
      <c r="AVP148" s="369">
        <v>0.5</v>
      </c>
      <c r="AVQ148" s="370" t="e">
        <f>10/AVM146</f>
        <v>#DIV/0!</v>
      </c>
      <c r="AVR148" s="371">
        <v>15.38</v>
      </c>
      <c r="AVS148" s="371" t="e">
        <f>AVP148*AVQ148*AVR148</f>
        <v>#DIV/0!</v>
      </c>
      <c r="AVT148" s="367" t="s">
        <v>206</v>
      </c>
      <c r="AVU148" s="367"/>
      <c r="AVV148" s="367"/>
      <c r="AVW148" s="368" t="s">
        <v>168</v>
      </c>
      <c r="AVX148" s="369">
        <v>0.5</v>
      </c>
      <c r="AVY148" s="370" t="e">
        <f>10/AVU146</f>
        <v>#DIV/0!</v>
      </c>
      <c r="AVZ148" s="371">
        <v>15.38</v>
      </c>
      <c r="AWA148" s="371" t="e">
        <f>AVX148*AVY148*AVZ148</f>
        <v>#DIV/0!</v>
      </c>
      <c r="AWB148" s="367" t="s">
        <v>206</v>
      </c>
      <c r="AWC148" s="367"/>
      <c r="AWD148" s="367"/>
      <c r="AWE148" s="368" t="s">
        <v>168</v>
      </c>
      <c r="AWF148" s="369">
        <v>0.5</v>
      </c>
      <c r="AWG148" s="370" t="e">
        <f>10/AWC146</f>
        <v>#DIV/0!</v>
      </c>
      <c r="AWH148" s="371">
        <v>15.38</v>
      </c>
      <c r="AWI148" s="371" t="e">
        <f>AWF148*AWG148*AWH148</f>
        <v>#DIV/0!</v>
      </c>
      <c r="AWJ148" s="367" t="s">
        <v>206</v>
      </c>
      <c r="AWK148" s="367"/>
      <c r="AWL148" s="367"/>
      <c r="AWM148" s="368" t="s">
        <v>168</v>
      </c>
      <c r="AWN148" s="369">
        <v>0.5</v>
      </c>
      <c r="AWO148" s="370" t="e">
        <f>10/AWK146</f>
        <v>#DIV/0!</v>
      </c>
      <c r="AWP148" s="371">
        <v>15.38</v>
      </c>
      <c r="AWQ148" s="371" t="e">
        <f>AWN148*AWO148*AWP148</f>
        <v>#DIV/0!</v>
      </c>
      <c r="AWR148" s="367" t="s">
        <v>206</v>
      </c>
      <c r="AWS148" s="367"/>
      <c r="AWT148" s="367"/>
      <c r="AWU148" s="368" t="s">
        <v>168</v>
      </c>
      <c r="AWV148" s="369">
        <v>0.5</v>
      </c>
      <c r="AWW148" s="370" t="e">
        <f>10/AWS146</f>
        <v>#DIV/0!</v>
      </c>
      <c r="AWX148" s="371">
        <v>15.38</v>
      </c>
      <c r="AWY148" s="371" t="e">
        <f>AWV148*AWW148*AWX148</f>
        <v>#DIV/0!</v>
      </c>
      <c r="AWZ148" s="367" t="s">
        <v>206</v>
      </c>
      <c r="AXA148" s="367"/>
      <c r="AXB148" s="367"/>
      <c r="AXC148" s="368" t="s">
        <v>168</v>
      </c>
      <c r="AXD148" s="369">
        <v>0.5</v>
      </c>
      <c r="AXE148" s="370" t="e">
        <f>10/AXA146</f>
        <v>#DIV/0!</v>
      </c>
      <c r="AXF148" s="371">
        <v>15.38</v>
      </c>
      <c r="AXG148" s="371" t="e">
        <f>AXD148*AXE148*AXF148</f>
        <v>#DIV/0!</v>
      </c>
      <c r="AXH148" s="367" t="s">
        <v>206</v>
      </c>
      <c r="AXI148" s="367"/>
      <c r="AXJ148" s="367"/>
      <c r="AXK148" s="368" t="s">
        <v>168</v>
      </c>
      <c r="AXL148" s="369">
        <v>0.5</v>
      </c>
      <c r="AXM148" s="370" t="e">
        <f>10/AXI146</f>
        <v>#DIV/0!</v>
      </c>
      <c r="AXN148" s="371">
        <v>15.38</v>
      </c>
      <c r="AXO148" s="371" t="e">
        <f>AXL148*AXM148*AXN148</f>
        <v>#DIV/0!</v>
      </c>
      <c r="AXP148" s="367" t="s">
        <v>206</v>
      </c>
      <c r="AXQ148" s="367"/>
      <c r="AXR148" s="367"/>
      <c r="AXS148" s="368" t="s">
        <v>168</v>
      </c>
      <c r="AXT148" s="369">
        <v>0.5</v>
      </c>
      <c r="AXU148" s="370" t="e">
        <f>10/AXQ146</f>
        <v>#DIV/0!</v>
      </c>
      <c r="AXV148" s="371">
        <v>15.38</v>
      </c>
      <c r="AXW148" s="371" t="e">
        <f>AXT148*AXU148*AXV148</f>
        <v>#DIV/0!</v>
      </c>
      <c r="AXX148" s="367" t="s">
        <v>206</v>
      </c>
      <c r="AXY148" s="367"/>
      <c r="AXZ148" s="367"/>
      <c r="AYA148" s="368" t="s">
        <v>168</v>
      </c>
      <c r="AYB148" s="369">
        <v>0.5</v>
      </c>
      <c r="AYC148" s="370" t="e">
        <f>10/AXY146</f>
        <v>#DIV/0!</v>
      </c>
      <c r="AYD148" s="371">
        <v>15.38</v>
      </c>
      <c r="AYE148" s="371" t="e">
        <f>AYB148*AYC148*AYD148</f>
        <v>#DIV/0!</v>
      </c>
      <c r="AYF148" s="367" t="s">
        <v>206</v>
      </c>
      <c r="AYG148" s="367"/>
      <c r="AYH148" s="367"/>
      <c r="AYI148" s="368" t="s">
        <v>168</v>
      </c>
      <c r="AYJ148" s="369">
        <v>0.5</v>
      </c>
      <c r="AYK148" s="370" t="e">
        <f>10/AYG146</f>
        <v>#DIV/0!</v>
      </c>
      <c r="AYL148" s="371">
        <v>15.38</v>
      </c>
      <c r="AYM148" s="371" t="e">
        <f>AYJ148*AYK148*AYL148</f>
        <v>#DIV/0!</v>
      </c>
      <c r="AYN148" s="367" t="s">
        <v>206</v>
      </c>
      <c r="AYO148" s="367"/>
      <c r="AYP148" s="367"/>
      <c r="AYQ148" s="368" t="s">
        <v>168</v>
      </c>
      <c r="AYR148" s="369">
        <v>0.5</v>
      </c>
      <c r="AYS148" s="370" t="e">
        <f>10/AYO146</f>
        <v>#DIV/0!</v>
      </c>
      <c r="AYT148" s="371">
        <v>15.38</v>
      </c>
      <c r="AYU148" s="371" t="e">
        <f>AYR148*AYS148*AYT148</f>
        <v>#DIV/0!</v>
      </c>
      <c r="AYV148" s="367" t="s">
        <v>206</v>
      </c>
      <c r="AYW148" s="367"/>
      <c r="AYX148" s="367"/>
      <c r="AYY148" s="368" t="s">
        <v>168</v>
      </c>
      <c r="AYZ148" s="369">
        <v>0.5</v>
      </c>
      <c r="AZA148" s="370" t="e">
        <f>10/AYW146</f>
        <v>#DIV/0!</v>
      </c>
      <c r="AZB148" s="371">
        <v>15.38</v>
      </c>
      <c r="AZC148" s="371" t="e">
        <f>AYZ148*AZA148*AZB148</f>
        <v>#DIV/0!</v>
      </c>
      <c r="AZD148" s="367" t="s">
        <v>206</v>
      </c>
      <c r="AZE148" s="367"/>
      <c r="AZF148" s="367"/>
      <c r="AZG148" s="368" t="s">
        <v>168</v>
      </c>
      <c r="AZH148" s="369">
        <v>0.5</v>
      </c>
      <c r="AZI148" s="370" t="e">
        <f>10/AZE146</f>
        <v>#DIV/0!</v>
      </c>
      <c r="AZJ148" s="371">
        <v>15.38</v>
      </c>
      <c r="AZK148" s="371" t="e">
        <f>AZH148*AZI148*AZJ148</f>
        <v>#DIV/0!</v>
      </c>
      <c r="AZL148" s="367" t="s">
        <v>206</v>
      </c>
      <c r="AZM148" s="367"/>
      <c r="AZN148" s="367"/>
      <c r="AZO148" s="368" t="s">
        <v>168</v>
      </c>
      <c r="AZP148" s="369">
        <v>0.5</v>
      </c>
      <c r="AZQ148" s="370" t="e">
        <f>10/AZM146</f>
        <v>#DIV/0!</v>
      </c>
      <c r="AZR148" s="371">
        <v>15.38</v>
      </c>
      <c r="AZS148" s="371" t="e">
        <f>AZP148*AZQ148*AZR148</f>
        <v>#DIV/0!</v>
      </c>
      <c r="AZT148" s="367" t="s">
        <v>206</v>
      </c>
      <c r="AZU148" s="367"/>
      <c r="AZV148" s="367"/>
      <c r="AZW148" s="368" t="s">
        <v>168</v>
      </c>
      <c r="AZX148" s="369">
        <v>0.5</v>
      </c>
      <c r="AZY148" s="370" t="e">
        <f>10/AZU146</f>
        <v>#DIV/0!</v>
      </c>
      <c r="AZZ148" s="371">
        <v>15.38</v>
      </c>
      <c r="BAA148" s="371" t="e">
        <f>AZX148*AZY148*AZZ148</f>
        <v>#DIV/0!</v>
      </c>
      <c r="BAB148" s="367" t="s">
        <v>206</v>
      </c>
      <c r="BAC148" s="367"/>
      <c r="BAD148" s="367"/>
      <c r="BAE148" s="368" t="s">
        <v>168</v>
      </c>
      <c r="BAF148" s="369">
        <v>0.5</v>
      </c>
      <c r="BAG148" s="370" t="e">
        <f>10/BAC146</f>
        <v>#DIV/0!</v>
      </c>
      <c r="BAH148" s="371">
        <v>15.38</v>
      </c>
      <c r="BAI148" s="371" t="e">
        <f>BAF148*BAG148*BAH148</f>
        <v>#DIV/0!</v>
      </c>
      <c r="BAJ148" s="367" t="s">
        <v>206</v>
      </c>
      <c r="BAK148" s="367"/>
      <c r="BAL148" s="367"/>
      <c r="BAM148" s="368" t="s">
        <v>168</v>
      </c>
      <c r="BAN148" s="369">
        <v>0.5</v>
      </c>
      <c r="BAO148" s="370" t="e">
        <f>10/BAK146</f>
        <v>#DIV/0!</v>
      </c>
      <c r="BAP148" s="371">
        <v>15.38</v>
      </c>
      <c r="BAQ148" s="371" t="e">
        <f>BAN148*BAO148*BAP148</f>
        <v>#DIV/0!</v>
      </c>
      <c r="BAR148" s="367" t="s">
        <v>206</v>
      </c>
      <c r="BAS148" s="367"/>
      <c r="BAT148" s="367"/>
      <c r="BAU148" s="368" t="s">
        <v>168</v>
      </c>
      <c r="BAV148" s="369">
        <v>0.5</v>
      </c>
      <c r="BAW148" s="370" t="e">
        <f>10/BAS146</f>
        <v>#DIV/0!</v>
      </c>
      <c r="BAX148" s="371">
        <v>15.38</v>
      </c>
      <c r="BAY148" s="371" t="e">
        <f>BAV148*BAW148*BAX148</f>
        <v>#DIV/0!</v>
      </c>
      <c r="BAZ148" s="367" t="s">
        <v>206</v>
      </c>
      <c r="BBA148" s="367"/>
      <c r="BBB148" s="367"/>
      <c r="BBC148" s="368" t="s">
        <v>168</v>
      </c>
      <c r="BBD148" s="369">
        <v>0.5</v>
      </c>
      <c r="BBE148" s="370" t="e">
        <f>10/BBA146</f>
        <v>#DIV/0!</v>
      </c>
      <c r="BBF148" s="371">
        <v>15.38</v>
      </c>
      <c r="BBG148" s="371" t="e">
        <f>BBD148*BBE148*BBF148</f>
        <v>#DIV/0!</v>
      </c>
      <c r="BBH148" s="367" t="s">
        <v>206</v>
      </c>
      <c r="BBI148" s="367"/>
      <c r="BBJ148" s="367"/>
      <c r="BBK148" s="368" t="s">
        <v>168</v>
      </c>
      <c r="BBL148" s="369">
        <v>0.5</v>
      </c>
      <c r="BBM148" s="370" t="e">
        <f>10/BBI146</f>
        <v>#DIV/0!</v>
      </c>
      <c r="BBN148" s="371">
        <v>15.38</v>
      </c>
      <c r="BBO148" s="371" t="e">
        <f>BBL148*BBM148*BBN148</f>
        <v>#DIV/0!</v>
      </c>
      <c r="BBP148" s="367" t="s">
        <v>206</v>
      </c>
      <c r="BBQ148" s="367"/>
      <c r="BBR148" s="367"/>
      <c r="BBS148" s="368" t="s">
        <v>168</v>
      </c>
      <c r="BBT148" s="369">
        <v>0.5</v>
      </c>
      <c r="BBU148" s="370" t="e">
        <f>10/BBQ146</f>
        <v>#DIV/0!</v>
      </c>
      <c r="BBV148" s="371">
        <v>15.38</v>
      </c>
      <c r="BBW148" s="371" t="e">
        <f>BBT148*BBU148*BBV148</f>
        <v>#DIV/0!</v>
      </c>
      <c r="BBX148" s="367" t="s">
        <v>206</v>
      </c>
      <c r="BBY148" s="367"/>
      <c r="BBZ148" s="367"/>
      <c r="BCA148" s="368" t="s">
        <v>168</v>
      </c>
      <c r="BCB148" s="369">
        <v>0.5</v>
      </c>
      <c r="BCC148" s="370" t="e">
        <f>10/BBY146</f>
        <v>#DIV/0!</v>
      </c>
      <c r="BCD148" s="371">
        <v>15.38</v>
      </c>
      <c r="BCE148" s="371" t="e">
        <f>BCB148*BCC148*BCD148</f>
        <v>#DIV/0!</v>
      </c>
      <c r="BCF148" s="367" t="s">
        <v>206</v>
      </c>
      <c r="BCG148" s="367"/>
      <c r="BCH148" s="367"/>
      <c r="BCI148" s="368" t="s">
        <v>168</v>
      </c>
      <c r="BCJ148" s="369">
        <v>0.5</v>
      </c>
      <c r="BCK148" s="370" t="e">
        <f>10/BCG146</f>
        <v>#DIV/0!</v>
      </c>
      <c r="BCL148" s="371">
        <v>15.38</v>
      </c>
      <c r="BCM148" s="371" t="e">
        <f>BCJ148*BCK148*BCL148</f>
        <v>#DIV/0!</v>
      </c>
      <c r="BCN148" s="367" t="s">
        <v>206</v>
      </c>
      <c r="BCO148" s="367"/>
      <c r="BCP148" s="367"/>
      <c r="BCQ148" s="368" t="s">
        <v>168</v>
      </c>
      <c r="BCR148" s="369">
        <v>0.5</v>
      </c>
      <c r="BCS148" s="370" t="e">
        <f>10/BCO146</f>
        <v>#DIV/0!</v>
      </c>
      <c r="BCT148" s="371">
        <v>15.38</v>
      </c>
      <c r="BCU148" s="371" t="e">
        <f>BCR148*BCS148*BCT148</f>
        <v>#DIV/0!</v>
      </c>
      <c r="BCV148" s="367" t="s">
        <v>206</v>
      </c>
      <c r="BCW148" s="367"/>
      <c r="BCX148" s="367"/>
      <c r="BCY148" s="368" t="s">
        <v>168</v>
      </c>
      <c r="BCZ148" s="369">
        <v>0.5</v>
      </c>
      <c r="BDA148" s="370" t="e">
        <f>10/BCW146</f>
        <v>#DIV/0!</v>
      </c>
      <c r="BDB148" s="371">
        <v>15.38</v>
      </c>
      <c r="BDC148" s="371" t="e">
        <f>BCZ148*BDA148*BDB148</f>
        <v>#DIV/0!</v>
      </c>
      <c r="BDD148" s="367" t="s">
        <v>206</v>
      </c>
      <c r="BDE148" s="367"/>
      <c r="BDF148" s="367"/>
      <c r="BDG148" s="368" t="s">
        <v>168</v>
      </c>
      <c r="BDH148" s="369">
        <v>0.5</v>
      </c>
      <c r="BDI148" s="370" t="e">
        <f>10/BDE146</f>
        <v>#DIV/0!</v>
      </c>
      <c r="BDJ148" s="371">
        <v>15.38</v>
      </c>
      <c r="BDK148" s="371" t="e">
        <f>BDH148*BDI148*BDJ148</f>
        <v>#DIV/0!</v>
      </c>
      <c r="BDL148" s="367" t="s">
        <v>206</v>
      </c>
      <c r="BDM148" s="367"/>
      <c r="BDN148" s="367"/>
      <c r="BDO148" s="368" t="s">
        <v>168</v>
      </c>
      <c r="BDP148" s="369">
        <v>0.5</v>
      </c>
      <c r="BDQ148" s="370" t="e">
        <f>10/BDM146</f>
        <v>#DIV/0!</v>
      </c>
      <c r="BDR148" s="371">
        <v>15.38</v>
      </c>
      <c r="BDS148" s="371" t="e">
        <f>BDP148*BDQ148*BDR148</f>
        <v>#DIV/0!</v>
      </c>
      <c r="BDT148" s="367" t="s">
        <v>206</v>
      </c>
      <c r="BDU148" s="367"/>
      <c r="BDV148" s="367"/>
      <c r="BDW148" s="368" t="s">
        <v>168</v>
      </c>
      <c r="BDX148" s="369">
        <v>0.5</v>
      </c>
      <c r="BDY148" s="370" t="e">
        <f>10/BDU146</f>
        <v>#DIV/0!</v>
      </c>
      <c r="BDZ148" s="371">
        <v>15.38</v>
      </c>
      <c r="BEA148" s="371" t="e">
        <f>BDX148*BDY148*BDZ148</f>
        <v>#DIV/0!</v>
      </c>
      <c r="BEB148" s="367" t="s">
        <v>206</v>
      </c>
      <c r="BEC148" s="367"/>
      <c r="BED148" s="367"/>
      <c r="BEE148" s="368" t="s">
        <v>168</v>
      </c>
      <c r="BEF148" s="369">
        <v>0.5</v>
      </c>
      <c r="BEG148" s="370" t="e">
        <f>10/BEC146</f>
        <v>#DIV/0!</v>
      </c>
      <c r="BEH148" s="371">
        <v>15.38</v>
      </c>
      <c r="BEI148" s="371" t="e">
        <f>BEF148*BEG148*BEH148</f>
        <v>#DIV/0!</v>
      </c>
      <c r="BEJ148" s="367" t="s">
        <v>206</v>
      </c>
      <c r="BEK148" s="367"/>
      <c r="BEL148" s="367"/>
      <c r="BEM148" s="368" t="s">
        <v>168</v>
      </c>
      <c r="BEN148" s="369">
        <v>0.5</v>
      </c>
      <c r="BEO148" s="370" t="e">
        <f>10/BEK146</f>
        <v>#DIV/0!</v>
      </c>
      <c r="BEP148" s="371">
        <v>15.38</v>
      </c>
      <c r="BEQ148" s="371" t="e">
        <f>BEN148*BEO148*BEP148</f>
        <v>#DIV/0!</v>
      </c>
      <c r="BER148" s="367" t="s">
        <v>206</v>
      </c>
      <c r="BES148" s="367"/>
      <c r="BET148" s="367"/>
      <c r="BEU148" s="368" t="s">
        <v>168</v>
      </c>
      <c r="BEV148" s="369">
        <v>0.5</v>
      </c>
      <c r="BEW148" s="370" t="e">
        <f>10/BES146</f>
        <v>#DIV/0!</v>
      </c>
      <c r="BEX148" s="371">
        <v>15.38</v>
      </c>
      <c r="BEY148" s="371" t="e">
        <f>BEV148*BEW148*BEX148</f>
        <v>#DIV/0!</v>
      </c>
      <c r="BEZ148" s="367" t="s">
        <v>206</v>
      </c>
      <c r="BFA148" s="367"/>
      <c r="BFB148" s="367"/>
      <c r="BFC148" s="368" t="s">
        <v>168</v>
      </c>
      <c r="BFD148" s="369">
        <v>0.5</v>
      </c>
      <c r="BFE148" s="370" t="e">
        <f>10/BFA146</f>
        <v>#DIV/0!</v>
      </c>
      <c r="BFF148" s="371">
        <v>15.38</v>
      </c>
      <c r="BFG148" s="371" t="e">
        <f>BFD148*BFE148*BFF148</f>
        <v>#DIV/0!</v>
      </c>
      <c r="BFH148" s="367" t="s">
        <v>206</v>
      </c>
      <c r="BFI148" s="367"/>
      <c r="BFJ148" s="367"/>
      <c r="BFK148" s="368" t="s">
        <v>168</v>
      </c>
      <c r="BFL148" s="369">
        <v>0.5</v>
      </c>
      <c r="BFM148" s="370" t="e">
        <f>10/BFI146</f>
        <v>#DIV/0!</v>
      </c>
      <c r="BFN148" s="371">
        <v>15.38</v>
      </c>
      <c r="BFO148" s="371" t="e">
        <f>BFL148*BFM148*BFN148</f>
        <v>#DIV/0!</v>
      </c>
      <c r="BFP148" s="367" t="s">
        <v>206</v>
      </c>
      <c r="BFQ148" s="367"/>
      <c r="BFR148" s="367"/>
      <c r="BFS148" s="368" t="s">
        <v>168</v>
      </c>
      <c r="BFT148" s="369">
        <v>0.5</v>
      </c>
      <c r="BFU148" s="370" t="e">
        <f>10/BFQ146</f>
        <v>#DIV/0!</v>
      </c>
      <c r="BFV148" s="371">
        <v>15.38</v>
      </c>
      <c r="BFW148" s="371" t="e">
        <f>BFT148*BFU148*BFV148</f>
        <v>#DIV/0!</v>
      </c>
      <c r="BFX148" s="367" t="s">
        <v>206</v>
      </c>
      <c r="BFY148" s="367"/>
      <c r="BFZ148" s="367"/>
      <c r="BGA148" s="368" t="s">
        <v>168</v>
      </c>
      <c r="BGB148" s="369">
        <v>0.5</v>
      </c>
      <c r="BGC148" s="370" t="e">
        <f>10/BFY146</f>
        <v>#DIV/0!</v>
      </c>
      <c r="BGD148" s="371">
        <v>15.38</v>
      </c>
      <c r="BGE148" s="371" t="e">
        <f>BGB148*BGC148*BGD148</f>
        <v>#DIV/0!</v>
      </c>
      <c r="BGF148" s="367" t="s">
        <v>206</v>
      </c>
      <c r="BGG148" s="367"/>
      <c r="BGH148" s="367"/>
      <c r="BGI148" s="368" t="s">
        <v>168</v>
      </c>
      <c r="BGJ148" s="369">
        <v>0.5</v>
      </c>
      <c r="BGK148" s="370" t="e">
        <f>10/BGG146</f>
        <v>#DIV/0!</v>
      </c>
      <c r="BGL148" s="371">
        <v>15.38</v>
      </c>
      <c r="BGM148" s="371" t="e">
        <f>BGJ148*BGK148*BGL148</f>
        <v>#DIV/0!</v>
      </c>
      <c r="BGN148" s="367" t="s">
        <v>206</v>
      </c>
      <c r="BGO148" s="367"/>
      <c r="BGP148" s="367"/>
      <c r="BGQ148" s="368" t="s">
        <v>168</v>
      </c>
      <c r="BGR148" s="369">
        <v>0.5</v>
      </c>
      <c r="BGS148" s="370" t="e">
        <f>10/BGO146</f>
        <v>#DIV/0!</v>
      </c>
      <c r="BGT148" s="371">
        <v>15.38</v>
      </c>
      <c r="BGU148" s="371" t="e">
        <f>BGR148*BGS148*BGT148</f>
        <v>#DIV/0!</v>
      </c>
      <c r="BGV148" s="367" t="s">
        <v>206</v>
      </c>
      <c r="BGW148" s="367"/>
      <c r="BGX148" s="367"/>
      <c r="BGY148" s="368" t="s">
        <v>168</v>
      </c>
      <c r="BGZ148" s="369">
        <v>0.5</v>
      </c>
      <c r="BHA148" s="370" t="e">
        <f>10/BGW146</f>
        <v>#DIV/0!</v>
      </c>
      <c r="BHB148" s="371">
        <v>15.38</v>
      </c>
      <c r="BHC148" s="371" t="e">
        <f>BGZ148*BHA148*BHB148</f>
        <v>#DIV/0!</v>
      </c>
      <c r="BHD148" s="367" t="s">
        <v>206</v>
      </c>
      <c r="BHE148" s="367"/>
      <c r="BHF148" s="367"/>
      <c r="BHG148" s="368" t="s">
        <v>168</v>
      </c>
      <c r="BHH148" s="369">
        <v>0.5</v>
      </c>
      <c r="BHI148" s="370" t="e">
        <f>10/BHE146</f>
        <v>#DIV/0!</v>
      </c>
      <c r="BHJ148" s="371">
        <v>15.38</v>
      </c>
      <c r="BHK148" s="371" t="e">
        <f>BHH148*BHI148*BHJ148</f>
        <v>#DIV/0!</v>
      </c>
      <c r="BHL148" s="367" t="s">
        <v>206</v>
      </c>
      <c r="BHM148" s="367"/>
      <c r="BHN148" s="367"/>
      <c r="BHO148" s="368" t="s">
        <v>168</v>
      </c>
      <c r="BHP148" s="369">
        <v>0.5</v>
      </c>
      <c r="BHQ148" s="370" t="e">
        <f>10/BHM146</f>
        <v>#DIV/0!</v>
      </c>
      <c r="BHR148" s="371">
        <v>15.38</v>
      </c>
      <c r="BHS148" s="371" t="e">
        <f>BHP148*BHQ148*BHR148</f>
        <v>#DIV/0!</v>
      </c>
      <c r="BHT148" s="367" t="s">
        <v>206</v>
      </c>
      <c r="BHU148" s="367"/>
      <c r="BHV148" s="367"/>
      <c r="BHW148" s="368" t="s">
        <v>168</v>
      </c>
      <c r="BHX148" s="369">
        <v>0.5</v>
      </c>
      <c r="BHY148" s="370" t="e">
        <f>10/BHU146</f>
        <v>#DIV/0!</v>
      </c>
      <c r="BHZ148" s="371">
        <v>15.38</v>
      </c>
      <c r="BIA148" s="371" t="e">
        <f>BHX148*BHY148*BHZ148</f>
        <v>#DIV/0!</v>
      </c>
      <c r="BIB148" s="367" t="s">
        <v>206</v>
      </c>
      <c r="BIC148" s="367"/>
      <c r="BID148" s="367"/>
      <c r="BIE148" s="368" t="s">
        <v>168</v>
      </c>
      <c r="BIF148" s="369">
        <v>0.5</v>
      </c>
      <c r="BIG148" s="370" t="e">
        <f>10/BIC146</f>
        <v>#DIV/0!</v>
      </c>
      <c r="BIH148" s="371">
        <v>15.38</v>
      </c>
      <c r="BII148" s="371" t="e">
        <f>BIF148*BIG148*BIH148</f>
        <v>#DIV/0!</v>
      </c>
      <c r="BIJ148" s="367" t="s">
        <v>206</v>
      </c>
      <c r="BIK148" s="367"/>
      <c r="BIL148" s="367"/>
      <c r="BIM148" s="368" t="s">
        <v>168</v>
      </c>
      <c r="BIN148" s="369">
        <v>0.5</v>
      </c>
      <c r="BIO148" s="370" t="e">
        <f>10/BIK146</f>
        <v>#DIV/0!</v>
      </c>
      <c r="BIP148" s="371">
        <v>15.38</v>
      </c>
      <c r="BIQ148" s="371" t="e">
        <f>BIN148*BIO148*BIP148</f>
        <v>#DIV/0!</v>
      </c>
      <c r="BIR148" s="367" t="s">
        <v>206</v>
      </c>
      <c r="BIS148" s="367"/>
      <c r="BIT148" s="367"/>
      <c r="BIU148" s="368" t="s">
        <v>168</v>
      </c>
      <c r="BIV148" s="369">
        <v>0.5</v>
      </c>
      <c r="BIW148" s="370" t="e">
        <f>10/BIS146</f>
        <v>#DIV/0!</v>
      </c>
      <c r="BIX148" s="371">
        <v>15.38</v>
      </c>
      <c r="BIY148" s="371" t="e">
        <f>BIV148*BIW148*BIX148</f>
        <v>#DIV/0!</v>
      </c>
      <c r="BIZ148" s="367" t="s">
        <v>206</v>
      </c>
      <c r="BJA148" s="367"/>
      <c r="BJB148" s="367"/>
      <c r="BJC148" s="368" t="s">
        <v>168</v>
      </c>
      <c r="BJD148" s="369">
        <v>0.5</v>
      </c>
      <c r="BJE148" s="370" t="e">
        <f>10/BJA146</f>
        <v>#DIV/0!</v>
      </c>
      <c r="BJF148" s="371">
        <v>15.38</v>
      </c>
      <c r="BJG148" s="371" t="e">
        <f>BJD148*BJE148*BJF148</f>
        <v>#DIV/0!</v>
      </c>
      <c r="BJH148" s="367" t="s">
        <v>206</v>
      </c>
      <c r="BJI148" s="367"/>
      <c r="BJJ148" s="367"/>
      <c r="BJK148" s="368" t="s">
        <v>168</v>
      </c>
      <c r="BJL148" s="369">
        <v>0.5</v>
      </c>
      <c r="BJM148" s="370" t="e">
        <f>10/BJI146</f>
        <v>#DIV/0!</v>
      </c>
      <c r="BJN148" s="371">
        <v>15.38</v>
      </c>
      <c r="BJO148" s="371" t="e">
        <f>BJL148*BJM148*BJN148</f>
        <v>#DIV/0!</v>
      </c>
      <c r="BJP148" s="367" t="s">
        <v>206</v>
      </c>
      <c r="BJQ148" s="367"/>
      <c r="BJR148" s="367"/>
      <c r="BJS148" s="368" t="s">
        <v>168</v>
      </c>
      <c r="BJT148" s="369">
        <v>0.5</v>
      </c>
      <c r="BJU148" s="370" t="e">
        <f>10/BJQ146</f>
        <v>#DIV/0!</v>
      </c>
      <c r="BJV148" s="371">
        <v>15.38</v>
      </c>
      <c r="BJW148" s="371" t="e">
        <f>BJT148*BJU148*BJV148</f>
        <v>#DIV/0!</v>
      </c>
      <c r="BJX148" s="367" t="s">
        <v>206</v>
      </c>
      <c r="BJY148" s="367"/>
      <c r="BJZ148" s="367"/>
      <c r="BKA148" s="368" t="s">
        <v>168</v>
      </c>
      <c r="BKB148" s="369">
        <v>0.5</v>
      </c>
      <c r="BKC148" s="370" t="e">
        <f>10/BJY146</f>
        <v>#DIV/0!</v>
      </c>
      <c r="BKD148" s="371">
        <v>15.38</v>
      </c>
      <c r="BKE148" s="371" t="e">
        <f>BKB148*BKC148*BKD148</f>
        <v>#DIV/0!</v>
      </c>
      <c r="BKF148" s="367" t="s">
        <v>206</v>
      </c>
      <c r="BKG148" s="367"/>
      <c r="BKH148" s="367"/>
      <c r="BKI148" s="368" t="s">
        <v>168</v>
      </c>
      <c r="BKJ148" s="369">
        <v>0.5</v>
      </c>
      <c r="BKK148" s="370" t="e">
        <f>10/BKG146</f>
        <v>#DIV/0!</v>
      </c>
      <c r="BKL148" s="371">
        <v>15.38</v>
      </c>
      <c r="BKM148" s="371" t="e">
        <f>BKJ148*BKK148*BKL148</f>
        <v>#DIV/0!</v>
      </c>
      <c r="BKN148" s="367" t="s">
        <v>206</v>
      </c>
      <c r="BKO148" s="367"/>
      <c r="BKP148" s="367"/>
      <c r="BKQ148" s="368" t="s">
        <v>168</v>
      </c>
      <c r="BKR148" s="369">
        <v>0.5</v>
      </c>
      <c r="BKS148" s="370" t="e">
        <f>10/BKO146</f>
        <v>#DIV/0!</v>
      </c>
      <c r="BKT148" s="371">
        <v>15.38</v>
      </c>
      <c r="BKU148" s="371" t="e">
        <f>BKR148*BKS148*BKT148</f>
        <v>#DIV/0!</v>
      </c>
      <c r="BKV148" s="367" t="s">
        <v>206</v>
      </c>
      <c r="BKW148" s="367"/>
      <c r="BKX148" s="367"/>
      <c r="BKY148" s="368" t="s">
        <v>168</v>
      </c>
      <c r="BKZ148" s="369">
        <v>0.5</v>
      </c>
      <c r="BLA148" s="370" t="e">
        <f>10/BKW146</f>
        <v>#DIV/0!</v>
      </c>
      <c r="BLB148" s="371">
        <v>15.38</v>
      </c>
      <c r="BLC148" s="371" t="e">
        <f>BKZ148*BLA148*BLB148</f>
        <v>#DIV/0!</v>
      </c>
      <c r="BLD148" s="367" t="s">
        <v>206</v>
      </c>
      <c r="BLE148" s="367"/>
      <c r="BLF148" s="367"/>
      <c r="BLG148" s="368" t="s">
        <v>168</v>
      </c>
      <c r="BLH148" s="369">
        <v>0.5</v>
      </c>
      <c r="BLI148" s="370" t="e">
        <f>10/BLE146</f>
        <v>#DIV/0!</v>
      </c>
      <c r="BLJ148" s="371">
        <v>15.38</v>
      </c>
      <c r="BLK148" s="371" t="e">
        <f>BLH148*BLI148*BLJ148</f>
        <v>#DIV/0!</v>
      </c>
      <c r="BLL148" s="367" t="s">
        <v>206</v>
      </c>
      <c r="BLM148" s="367"/>
      <c r="BLN148" s="367"/>
      <c r="BLO148" s="368" t="s">
        <v>168</v>
      </c>
      <c r="BLP148" s="369">
        <v>0.5</v>
      </c>
      <c r="BLQ148" s="370" t="e">
        <f>10/BLM146</f>
        <v>#DIV/0!</v>
      </c>
      <c r="BLR148" s="371">
        <v>15.38</v>
      </c>
      <c r="BLS148" s="371" t="e">
        <f>BLP148*BLQ148*BLR148</f>
        <v>#DIV/0!</v>
      </c>
      <c r="BLT148" s="367" t="s">
        <v>206</v>
      </c>
      <c r="BLU148" s="367"/>
      <c r="BLV148" s="367"/>
      <c r="BLW148" s="368" t="s">
        <v>168</v>
      </c>
      <c r="BLX148" s="369">
        <v>0.5</v>
      </c>
      <c r="BLY148" s="370" t="e">
        <f>10/BLU146</f>
        <v>#DIV/0!</v>
      </c>
      <c r="BLZ148" s="371">
        <v>15.38</v>
      </c>
      <c r="BMA148" s="371" t="e">
        <f>BLX148*BLY148*BLZ148</f>
        <v>#DIV/0!</v>
      </c>
      <c r="BMB148" s="367" t="s">
        <v>206</v>
      </c>
      <c r="BMC148" s="367"/>
      <c r="BMD148" s="367"/>
      <c r="BME148" s="368" t="s">
        <v>168</v>
      </c>
      <c r="BMF148" s="369">
        <v>0.5</v>
      </c>
      <c r="BMG148" s="370" t="e">
        <f>10/BMC146</f>
        <v>#DIV/0!</v>
      </c>
      <c r="BMH148" s="371">
        <v>15.38</v>
      </c>
      <c r="BMI148" s="371" t="e">
        <f>BMF148*BMG148*BMH148</f>
        <v>#DIV/0!</v>
      </c>
      <c r="BMJ148" s="367" t="s">
        <v>206</v>
      </c>
      <c r="BMK148" s="367"/>
      <c r="BML148" s="367"/>
      <c r="BMM148" s="368" t="s">
        <v>168</v>
      </c>
      <c r="BMN148" s="369">
        <v>0.5</v>
      </c>
      <c r="BMO148" s="370" t="e">
        <f>10/BMK146</f>
        <v>#DIV/0!</v>
      </c>
      <c r="BMP148" s="371">
        <v>15.38</v>
      </c>
      <c r="BMQ148" s="371" t="e">
        <f>BMN148*BMO148*BMP148</f>
        <v>#DIV/0!</v>
      </c>
      <c r="BMR148" s="367" t="s">
        <v>206</v>
      </c>
      <c r="BMS148" s="367"/>
      <c r="BMT148" s="367"/>
      <c r="BMU148" s="368" t="s">
        <v>168</v>
      </c>
      <c r="BMV148" s="369">
        <v>0.5</v>
      </c>
      <c r="BMW148" s="370" t="e">
        <f>10/BMS146</f>
        <v>#DIV/0!</v>
      </c>
      <c r="BMX148" s="371">
        <v>15.38</v>
      </c>
      <c r="BMY148" s="371" t="e">
        <f>BMV148*BMW148*BMX148</f>
        <v>#DIV/0!</v>
      </c>
      <c r="BMZ148" s="367" t="s">
        <v>206</v>
      </c>
      <c r="BNA148" s="367"/>
      <c r="BNB148" s="367"/>
      <c r="BNC148" s="368" t="s">
        <v>168</v>
      </c>
      <c r="BND148" s="369">
        <v>0.5</v>
      </c>
      <c r="BNE148" s="370" t="e">
        <f>10/BNA146</f>
        <v>#DIV/0!</v>
      </c>
      <c r="BNF148" s="371">
        <v>15.38</v>
      </c>
      <c r="BNG148" s="371" t="e">
        <f>BND148*BNE148*BNF148</f>
        <v>#DIV/0!</v>
      </c>
      <c r="BNH148" s="367" t="s">
        <v>206</v>
      </c>
      <c r="BNI148" s="367"/>
      <c r="BNJ148" s="367"/>
      <c r="BNK148" s="368" t="s">
        <v>168</v>
      </c>
      <c r="BNL148" s="369">
        <v>0.5</v>
      </c>
      <c r="BNM148" s="370" t="e">
        <f>10/BNI146</f>
        <v>#DIV/0!</v>
      </c>
      <c r="BNN148" s="371">
        <v>15.38</v>
      </c>
      <c r="BNO148" s="371" t="e">
        <f>BNL148*BNM148*BNN148</f>
        <v>#DIV/0!</v>
      </c>
      <c r="BNP148" s="367" t="s">
        <v>206</v>
      </c>
      <c r="BNQ148" s="367"/>
      <c r="BNR148" s="367"/>
      <c r="BNS148" s="368" t="s">
        <v>168</v>
      </c>
      <c r="BNT148" s="369">
        <v>0.5</v>
      </c>
      <c r="BNU148" s="370" t="e">
        <f>10/BNQ146</f>
        <v>#DIV/0!</v>
      </c>
      <c r="BNV148" s="371">
        <v>15.38</v>
      </c>
      <c r="BNW148" s="371" t="e">
        <f>BNT148*BNU148*BNV148</f>
        <v>#DIV/0!</v>
      </c>
      <c r="BNX148" s="367" t="s">
        <v>206</v>
      </c>
      <c r="BNY148" s="367"/>
      <c r="BNZ148" s="367"/>
      <c r="BOA148" s="368" t="s">
        <v>168</v>
      </c>
      <c r="BOB148" s="369">
        <v>0.5</v>
      </c>
      <c r="BOC148" s="370" t="e">
        <f>10/BNY146</f>
        <v>#DIV/0!</v>
      </c>
      <c r="BOD148" s="371">
        <v>15.38</v>
      </c>
      <c r="BOE148" s="371" t="e">
        <f>BOB148*BOC148*BOD148</f>
        <v>#DIV/0!</v>
      </c>
      <c r="BOF148" s="367" t="s">
        <v>206</v>
      </c>
      <c r="BOG148" s="367"/>
      <c r="BOH148" s="367"/>
      <c r="BOI148" s="368" t="s">
        <v>168</v>
      </c>
      <c r="BOJ148" s="369">
        <v>0.5</v>
      </c>
      <c r="BOK148" s="370" t="e">
        <f>10/BOG146</f>
        <v>#DIV/0!</v>
      </c>
      <c r="BOL148" s="371">
        <v>15.38</v>
      </c>
      <c r="BOM148" s="371" t="e">
        <f>BOJ148*BOK148*BOL148</f>
        <v>#DIV/0!</v>
      </c>
      <c r="BON148" s="367" t="s">
        <v>206</v>
      </c>
      <c r="BOO148" s="367"/>
      <c r="BOP148" s="367"/>
      <c r="BOQ148" s="368" t="s">
        <v>168</v>
      </c>
      <c r="BOR148" s="369">
        <v>0.5</v>
      </c>
      <c r="BOS148" s="370" t="e">
        <f>10/BOO146</f>
        <v>#DIV/0!</v>
      </c>
      <c r="BOT148" s="371">
        <v>15.38</v>
      </c>
      <c r="BOU148" s="371" t="e">
        <f>BOR148*BOS148*BOT148</f>
        <v>#DIV/0!</v>
      </c>
      <c r="BOV148" s="367" t="s">
        <v>206</v>
      </c>
      <c r="BOW148" s="367"/>
      <c r="BOX148" s="367"/>
      <c r="BOY148" s="368" t="s">
        <v>168</v>
      </c>
      <c r="BOZ148" s="369">
        <v>0.5</v>
      </c>
      <c r="BPA148" s="370" t="e">
        <f>10/BOW146</f>
        <v>#DIV/0!</v>
      </c>
      <c r="BPB148" s="371">
        <v>15.38</v>
      </c>
      <c r="BPC148" s="371" t="e">
        <f>BOZ148*BPA148*BPB148</f>
        <v>#DIV/0!</v>
      </c>
      <c r="BPD148" s="367" t="s">
        <v>206</v>
      </c>
      <c r="BPE148" s="367"/>
      <c r="BPF148" s="367"/>
      <c r="BPG148" s="368" t="s">
        <v>168</v>
      </c>
      <c r="BPH148" s="369">
        <v>0.5</v>
      </c>
      <c r="BPI148" s="370" t="e">
        <f>10/BPE146</f>
        <v>#DIV/0!</v>
      </c>
      <c r="BPJ148" s="371">
        <v>15.38</v>
      </c>
      <c r="BPK148" s="371" t="e">
        <f>BPH148*BPI148*BPJ148</f>
        <v>#DIV/0!</v>
      </c>
      <c r="BPL148" s="367" t="s">
        <v>206</v>
      </c>
      <c r="BPM148" s="367"/>
      <c r="BPN148" s="367"/>
      <c r="BPO148" s="368" t="s">
        <v>168</v>
      </c>
      <c r="BPP148" s="369">
        <v>0.5</v>
      </c>
      <c r="BPQ148" s="370" t="e">
        <f>10/BPM146</f>
        <v>#DIV/0!</v>
      </c>
      <c r="BPR148" s="371">
        <v>15.38</v>
      </c>
      <c r="BPS148" s="371" t="e">
        <f>BPP148*BPQ148*BPR148</f>
        <v>#DIV/0!</v>
      </c>
      <c r="BPT148" s="367" t="s">
        <v>206</v>
      </c>
      <c r="BPU148" s="367"/>
      <c r="BPV148" s="367"/>
      <c r="BPW148" s="368" t="s">
        <v>168</v>
      </c>
      <c r="BPX148" s="369">
        <v>0.5</v>
      </c>
      <c r="BPY148" s="370" t="e">
        <f>10/BPU146</f>
        <v>#DIV/0!</v>
      </c>
      <c r="BPZ148" s="371">
        <v>15.38</v>
      </c>
      <c r="BQA148" s="371" t="e">
        <f>BPX148*BPY148*BPZ148</f>
        <v>#DIV/0!</v>
      </c>
      <c r="BQB148" s="367" t="s">
        <v>206</v>
      </c>
      <c r="BQC148" s="367"/>
      <c r="BQD148" s="367"/>
      <c r="BQE148" s="368" t="s">
        <v>168</v>
      </c>
      <c r="BQF148" s="369">
        <v>0.5</v>
      </c>
      <c r="BQG148" s="370" t="e">
        <f>10/BQC146</f>
        <v>#DIV/0!</v>
      </c>
      <c r="BQH148" s="371">
        <v>15.38</v>
      </c>
      <c r="BQI148" s="371" t="e">
        <f>BQF148*BQG148*BQH148</f>
        <v>#DIV/0!</v>
      </c>
      <c r="BQJ148" s="367" t="s">
        <v>206</v>
      </c>
      <c r="BQK148" s="367"/>
      <c r="BQL148" s="367"/>
      <c r="BQM148" s="368" t="s">
        <v>168</v>
      </c>
      <c r="BQN148" s="369">
        <v>0.5</v>
      </c>
      <c r="BQO148" s="370" t="e">
        <f>10/BQK146</f>
        <v>#DIV/0!</v>
      </c>
      <c r="BQP148" s="371">
        <v>15.38</v>
      </c>
      <c r="BQQ148" s="371" t="e">
        <f>BQN148*BQO148*BQP148</f>
        <v>#DIV/0!</v>
      </c>
      <c r="BQR148" s="367" t="s">
        <v>206</v>
      </c>
      <c r="BQS148" s="367"/>
      <c r="BQT148" s="367"/>
      <c r="BQU148" s="368" t="s">
        <v>168</v>
      </c>
      <c r="BQV148" s="369">
        <v>0.5</v>
      </c>
      <c r="BQW148" s="370" t="e">
        <f>10/BQS146</f>
        <v>#DIV/0!</v>
      </c>
      <c r="BQX148" s="371">
        <v>15.38</v>
      </c>
      <c r="BQY148" s="371" t="e">
        <f>BQV148*BQW148*BQX148</f>
        <v>#DIV/0!</v>
      </c>
      <c r="BQZ148" s="367" t="s">
        <v>206</v>
      </c>
      <c r="BRA148" s="367"/>
      <c r="BRB148" s="367"/>
      <c r="BRC148" s="368" t="s">
        <v>168</v>
      </c>
      <c r="BRD148" s="369">
        <v>0.5</v>
      </c>
      <c r="BRE148" s="370" t="e">
        <f>10/BRA146</f>
        <v>#DIV/0!</v>
      </c>
      <c r="BRF148" s="371">
        <v>15.38</v>
      </c>
      <c r="BRG148" s="371" t="e">
        <f>BRD148*BRE148*BRF148</f>
        <v>#DIV/0!</v>
      </c>
      <c r="BRH148" s="367" t="s">
        <v>206</v>
      </c>
      <c r="BRI148" s="367"/>
      <c r="BRJ148" s="367"/>
      <c r="BRK148" s="368" t="s">
        <v>168</v>
      </c>
      <c r="BRL148" s="369">
        <v>0.5</v>
      </c>
      <c r="BRM148" s="370" t="e">
        <f>10/BRI146</f>
        <v>#DIV/0!</v>
      </c>
      <c r="BRN148" s="371">
        <v>15.38</v>
      </c>
      <c r="BRO148" s="371" t="e">
        <f>BRL148*BRM148*BRN148</f>
        <v>#DIV/0!</v>
      </c>
      <c r="BRP148" s="367" t="s">
        <v>206</v>
      </c>
      <c r="BRQ148" s="367"/>
      <c r="BRR148" s="367"/>
      <c r="BRS148" s="368" t="s">
        <v>168</v>
      </c>
      <c r="BRT148" s="369">
        <v>0.5</v>
      </c>
      <c r="BRU148" s="370" t="e">
        <f>10/BRQ146</f>
        <v>#DIV/0!</v>
      </c>
      <c r="BRV148" s="371">
        <v>15.38</v>
      </c>
      <c r="BRW148" s="371" t="e">
        <f>BRT148*BRU148*BRV148</f>
        <v>#DIV/0!</v>
      </c>
      <c r="BRX148" s="367" t="s">
        <v>206</v>
      </c>
      <c r="BRY148" s="367"/>
      <c r="BRZ148" s="367"/>
      <c r="BSA148" s="368" t="s">
        <v>168</v>
      </c>
      <c r="BSB148" s="369">
        <v>0.5</v>
      </c>
      <c r="BSC148" s="370" t="e">
        <f>10/BRY146</f>
        <v>#DIV/0!</v>
      </c>
      <c r="BSD148" s="371">
        <v>15.38</v>
      </c>
      <c r="BSE148" s="371" t="e">
        <f>BSB148*BSC148*BSD148</f>
        <v>#DIV/0!</v>
      </c>
      <c r="BSF148" s="367" t="s">
        <v>206</v>
      </c>
      <c r="BSG148" s="367"/>
      <c r="BSH148" s="367"/>
      <c r="BSI148" s="368" t="s">
        <v>168</v>
      </c>
      <c r="BSJ148" s="369">
        <v>0.5</v>
      </c>
      <c r="BSK148" s="370" t="e">
        <f>10/BSG146</f>
        <v>#DIV/0!</v>
      </c>
      <c r="BSL148" s="371">
        <v>15.38</v>
      </c>
      <c r="BSM148" s="371" t="e">
        <f>BSJ148*BSK148*BSL148</f>
        <v>#DIV/0!</v>
      </c>
      <c r="BSN148" s="367" t="s">
        <v>206</v>
      </c>
      <c r="BSO148" s="367"/>
      <c r="BSP148" s="367"/>
      <c r="BSQ148" s="368" t="s">
        <v>168</v>
      </c>
      <c r="BSR148" s="369">
        <v>0.5</v>
      </c>
      <c r="BSS148" s="370" t="e">
        <f>10/BSO146</f>
        <v>#DIV/0!</v>
      </c>
      <c r="BST148" s="371">
        <v>15.38</v>
      </c>
      <c r="BSU148" s="371" t="e">
        <f>BSR148*BSS148*BST148</f>
        <v>#DIV/0!</v>
      </c>
      <c r="BSV148" s="367" t="s">
        <v>206</v>
      </c>
      <c r="BSW148" s="367"/>
      <c r="BSX148" s="367"/>
      <c r="BSY148" s="368" t="s">
        <v>168</v>
      </c>
      <c r="BSZ148" s="369">
        <v>0.5</v>
      </c>
      <c r="BTA148" s="370" t="e">
        <f>10/BSW146</f>
        <v>#DIV/0!</v>
      </c>
      <c r="BTB148" s="371">
        <v>15.38</v>
      </c>
      <c r="BTC148" s="371" t="e">
        <f>BSZ148*BTA148*BTB148</f>
        <v>#DIV/0!</v>
      </c>
      <c r="BTD148" s="367" t="s">
        <v>206</v>
      </c>
      <c r="BTE148" s="367"/>
      <c r="BTF148" s="367"/>
      <c r="BTG148" s="368" t="s">
        <v>168</v>
      </c>
      <c r="BTH148" s="369">
        <v>0.5</v>
      </c>
      <c r="BTI148" s="370" t="e">
        <f>10/BTE146</f>
        <v>#DIV/0!</v>
      </c>
      <c r="BTJ148" s="371">
        <v>15.38</v>
      </c>
      <c r="BTK148" s="371" t="e">
        <f>BTH148*BTI148*BTJ148</f>
        <v>#DIV/0!</v>
      </c>
      <c r="BTL148" s="367" t="s">
        <v>206</v>
      </c>
      <c r="BTM148" s="367"/>
      <c r="BTN148" s="367"/>
      <c r="BTO148" s="368" t="s">
        <v>168</v>
      </c>
      <c r="BTP148" s="369">
        <v>0.5</v>
      </c>
      <c r="BTQ148" s="370" t="e">
        <f>10/BTM146</f>
        <v>#DIV/0!</v>
      </c>
      <c r="BTR148" s="371">
        <v>15.38</v>
      </c>
      <c r="BTS148" s="371" t="e">
        <f>BTP148*BTQ148*BTR148</f>
        <v>#DIV/0!</v>
      </c>
      <c r="BTT148" s="367" t="s">
        <v>206</v>
      </c>
      <c r="BTU148" s="367"/>
      <c r="BTV148" s="367"/>
      <c r="BTW148" s="368" t="s">
        <v>168</v>
      </c>
      <c r="BTX148" s="369">
        <v>0.5</v>
      </c>
      <c r="BTY148" s="370" t="e">
        <f>10/BTU146</f>
        <v>#DIV/0!</v>
      </c>
      <c r="BTZ148" s="371">
        <v>15.38</v>
      </c>
      <c r="BUA148" s="371" t="e">
        <f>BTX148*BTY148*BTZ148</f>
        <v>#DIV/0!</v>
      </c>
      <c r="BUB148" s="367" t="s">
        <v>206</v>
      </c>
      <c r="BUC148" s="367"/>
      <c r="BUD148" s="367"/>
      <c r="BUE148" s="368" t="s">
        <v>168</v>
      </c>
      <c r="BUF148" s="369">
        <v>0.5</v>
      </c>
      <c r="BUG148" s="370" t="e">
        <f>10/BUC146</f>
        <v>#DIV/0!</v>
      </c>
      <c r="BUH148" s="371">
        <v>15.38</v>
      </c>
      <c r="BUI148" s="371" t="e">
        <f>BUF148*BUG148*BUH148</f>
        <v>#DIV/0!</v>
      </c>
      <c r="BUJ148" s="367" t="s">
        <v>206</v>
      </c>
      <c r="BUK148" s="367"/>
      <c r="BUL148" s="367"/>
      <c r="BUM148" s="368" t="s">
        <v>168</v>
      </c>
      <c r="BUN148" s="369">
        <v>0.5</v>
      </c>
      <c r="BUO148" s="370" t="e">
        <f>10/BUK146</f>
        <v>#DIV/0!</v>
      </c>
      <c r="BUP148" s="371">
        <v>15.38</v>
      </c>
      <c r="BUQ148" s="371" t="e">
        <f>BUN148*BUO148*BUP148</f>
        <v>#DIV/0!</v>
      </c>
      <c r="BUR148" s="367" t="s">
        <v>206</v>
      </c>
      <c r="BUS148" s="367"/>
      <c r="BUT148" s="367"/>
      <c r="BUU148" s="368" t="s">
        <v>168</v>
      </c>
      <c r="BUV148" s="369">
        <v>0.5</v>
      </c>
      <c r="BUW148" s="370" t="e">
        <f>10/BUS146</f>
        <v>#DIV/0!</v>
      </c>
      <c r="BUX148" s="371">
        <v>15.38</v>
      </c>
      <c r="BUY148" s="371" t="e">
        <f>BUV148*BUW148*BUX148</f>
        <v>#DIV/0!</v>
      </c>
      <c r="BUZ148" s="367" t="s">
        <v>206</v>
      </c>
      <c r="BVA148" s="367"/>
      <c r="BVB148" s="367"/>
      <c r="BVC148" s="368" t="s">
        <v>168</v>
      </c>
      <c r="BVD148" s="369">
        <v>0.5</v>
      </c>
      <c r="BVE148" s="370" t="e">
        <f>10/BVA146</f>
        <v>#DIV/0!</v>
      </c>
      <c r="BVF148" s="371">
        <v>15.38</v>
      </c>
      <c r="BVG148" s="371" t="e">
        <f>BVD148*BVE148*BVF148</f>
        <v>#DIV/0!</v>
      </c>
      <c r="BVH148" s="367" t="s">
        <v>206</v>
      </c>
      <c r="BVI148" s="367"/>
      <c r="BVJ148" s="367"/>
      <c r="BVK148" s="368" t="s">
        <v>168</v>
      </c>
      <c r="BVL148" s="369">
        <v>0.5</v>
      </c>
      <c r="BVM148" s="370" t="e">
        <f>10/BVI146</f>
        <v>#DIV/0!</v>
      </c>
      <c r="BVN148" s="371">
        <v>15.38</v>
      </c>
      <c r="BVO148" s="371" t="e">
        <f>BVL148*BVM148*BVN148</f>
        <v>#DIV/0!</v>
      </c>
      <c r="BVP148" s="367" t="s">
        <v>206</v>
      </c>
      <c r="BVQ148" s="367"/>
      <c r="BVR148" s="367"/>
      <c r="BVS148" s="368" t="s">
        <v>168</v>
      </c>
      <c r="BVT148" s="369">
        <v>0.5</v>
      </c>
      <c r="BVU148" s="370" t="e">
        <f>10/BVQ146</f>
        <v>#DIV/0!</v>
      </c>
      <c r="BVV148" s="371">
        <v>15.38</v>
      </c>
      <c r="BVW148" s="371" t="e">
        <f>BVT148*BVU148*BVV148</f>
        <v>#DIV/0!</v>
      </c>
      <c r="BVX148" s="367" t="s">
        <v>206</v>
      </c>
      <c r="BVY148" s="367"/>
      <c r="BVZ148" s="367"/>
      <c r="BWA148" s="368" t="s">
        <v>168</v>
      </c>
      <c r="BWB148" s="369">
        <v>0.5</v>
      </c>
      <c r="BWC148" s="370" t="e">
        <f>10/BVY146</f>
        <v>#DIV/0!</v>
      </c>
      <c r="BWD148" s="371">
        <v>15.38</v>
      </c>
      <c r="BWE148" s="371" t="e">
        <f>BWB148*BWC148*BWD148</f>
        <v>#DIV/0!</v>
      </c>
      <c r="BWF148" s="367" t="s">
        <v>206</v>
      </c>
      <c r="BWG148" s="367"/>
      <c r="BWH148" s="367"/>
      <c r="BWI148" s="368" t="s">
        <v>168</v>
      </c>
      <c r="BWJ148" s="369">
        <v>0.5</v>
      </c>
      <c r="BWK148" s="370" t="e">
        <f>10/BWG146</f>
        <v>#DIV/0!</v>
      </c>
      <c r="BWL148" s="371">
        <v>15.38</v>
      </c>
      <c r="BWM148" s="371" t="e">
        <f>BWJ148*BWK148*BWL148</f>
        <v>#DIV/0!</v>
      </c>
      <c r="BWN148" s="367" t="s">
        <v>206</v>
      </c>
      <c r="BWO148" s="367"/>
      <c r="BWP148" s="367"/>
      <c r="BWQ148" s="368" t="s">
        <v>168</v>
      </c>
      <c r="BWR148" s="369">
        <v>0.5</v>
      </c>
      <c r="BWS148" s="370" t="e">
        <f>10/BWO146</f>
        <v>#DIV/0!</v>
      </c>
      <c r="BWT148" s="371">
        <v>15.38</v>
      </c>
      <c r="BWU148" s="371" t="e">
        <f>BWR148*BWS148*BWT148</f>
        <v>#DIV/0!</v>
      </c>
      <c r="BWV148" s="367" t="s">
        <v>206</v>
      </c>
      <c r="BWW148" s="367"/>
      <c r="BWX148" s="367"/>
      <c r="BWY148" s="368" t="s">
        <v>168</v>
      </c>
      <c r="BWZ148" s="369">
        <v>0.5</v>
      </c>
      <c r="BXA148" s="370" t="e">
        <f>10/BWW146</f>
        <v>#DIV/0!</v>
      </c>
      <c r="BXB148" s="371">
        <v>15.38</v>
      </c>
      <c r="BXC148" s="371" t="e">
        <f>BWZ148*BXA148*BXB148</f>
        <v>#DIV/0!</v>
      </c>
      <c r="BXD148" s="367" t="s">
        <v>206</v>
      </c>
      <c r="BXE148" s="367"/>
      <c r="BXF148" s="367"/>
      <c r="BXG148" s="368" t="s">
        <v>168</v>
      </c>
      <c r="BXH148" s="369">
        <v>0.5</v>
      </c>
      <c r="BXI148" s="370" t="e">
        <f>10/BXE146</f>
        <v>#DIV/0!</v>
      </c>
      <c r="BXJ148" s="371">
        <v>15.38</v>
      </c>
      <c r="BXK148" s="371" t="e">
        <f>BXH148*BXI148*BXJ148</f>
        <v>#DIV/0!</v>
      </c>
      <c r="BXL148" s="367" t="s">
        <v>206</v>
      </c>
      <c r="BXM148" s="367"/>
      <c r="BXN148" s="367"/>
      <c r="BXO148" s="368" t="s">
        <v>168</v>
      </c>
      <c r="BXP148" s="369">
        <v>0.5</v>
      </c>
      <c r="BXQ148" s="370" t="e">
        <f>10/BXM146</f>
        <v>#DIV/0!</v>
      </c>
      <c r="BXR148" s="371">
        <v>15.38</v>
      </c>
      <c r="BXS148" s="371" t="e">
        <f>BXP148*BXQ148*BXR148</f>
        <v>#DIV/0!</v>
      </c>
      <c r="BXT148" s="367" t="s">
        <v>206</v>
      </c>
      <c r="BXU148" s="367"/>
      <c r="BXV148" s="367"/>
      <c r="BXW148" s="368" t="s">
        <v>168</v>
      </c>
      <c r="BXX148" s="369">
        <v>0.5</v>
      </c>
      <c r="BXY148" s="370" t="e">
        <f>10/BXU146</f>
        <v>#DIV/0!</v>
      </c>
      <c r="BXZ148" s="371">
        <v>15.38</v>
      </c>
      <c r="BYA148" s="371" t="e">
        <f>BXX148*BXY148*BXZ148</f>
        <v>#DIV/0!</v>
      </c>
      <c r="BYB148" s="367" t="s">
        <v>206</v>
      </c>
      <c r="BYC148" s="367"/>
      <c r="BYD148" s="367"/>
      <c r="BYE148" s="368" t="s">
        <v>168</v>
      </c>
      <c r="BYF148" s="369">
        <v>0.5</v>
      </c>
      <c r="BYG148" s="370" t="e">
        <f>10/BYC146</f>
        <v>#DIV/0!</v>
      </c>
      <c r="BYH148" s="371">
        <v>15.38</v>
      </c>
      <c r="BYI148" s="371" t="e">
        <f>BYF148*BYG148*BYH148</f>
        <v>#DIV/0!</v>
      </c>
      <c r="BYJ148" s="367" t="s">
        <v>206</v>
      </c>
      <c r="BYK148" s="367"/>
      <c r="BYL148" s="367"/>
      <c r="BYM148" s="368" t="s">
        <v>168</v>
      </c>
      <c r="BYN148" s="369">
        <v>0.5</v>
      </c>
      <c r="BYO148" s="370" t="e">
        <f>10/BYK146</f>
        <v>#DIV/0!</v>
      </c>
      <c r="BYP148" s="371">
        <v>15.38</v>
      </c>
      <c r="BYQ148" s="371" t="e">
        <f>BYN148*BYO148*BYP148</f>
        <v>#DIV/0!</v>
      </c>
      <c r="BYR148" s="367" t="s">
        <v>206</v>
      </c>
      <c r="BYS148" s="367"/>
      <c r="BYT148" s="367"/>
      <c r="BYU148" s="368" t="s">
        <v>168</v>
      </c>
      <c r="BYV148" s="369">
        <v>0.5</v>
      </c>
      <c r="BYW148" s="370" t="e">
        <f>10/BYS146</f>
        <v>#DIV/0!</v>
      </c>
      <c r="BYX148" s="371">
        <v>15.38</v>
      </c>
      <c r="BYY148" s="371" t="e">
        <f>BYV148*BYW148*BYX148</f>
        <v>#DIV/0!</v>
      </c>
      <c r="BYZ148" s="367" t="s">
        <v>206</v>
      </c>
      <c r="BZA148" s="367"/>
      <c r="BZB148" s="367"/>
      <c r="BZC148" s="368" t="s">
        <v>168</v>
      </c>
      <c r="BZD148" s="369">
        <v>0.5</v>
      </c>
      <c r="BZE148" s="370" t="e">
        <f>10/BZA146</f>
        <v>#DIV/0!</v>
      </c>
      <c r="BZF148" s="371">
        <v>15.38</v>
      </c>
      <c r="BZG148" s="371" t="e">
        <f>BZD148*BZE148*BZF148</f>
        <v>#DIV/0!</v>
      </c>
      <c r="BZH148" s="367" t="s">
        <v>206</v>
      </c>
      <c r="BZI148" s="367"/>
      <c r="BZJ148" s="367"/>
      <c r="BZK148" s="368" t="s">
        <v>168</v>
      </c>
      <c r="BZL148" s="369">
        <v>0.5</v>
      </c>
      <c r="BZM148" s="370" t="e">
        <f>10/BZI146</f>
        <v>#DIV/0!</v>
      </c>
      <c r="BZN148" s="371">
        <v>15.38</v>
      </c>
      <c r="BZO148" s="371" t="e">
        <f>BZL148*BZM148*BZN148</f>
        <v>#DIV/0!</v>
      </c>
      <c r="BZP148" s="367" t="s">
        <v>206</v>
      </c>
      <c r="BZQ148" s="367"/>
      <c r="BZR148" s="367"/>
      <c r="BZS148" s="368" t="s">
        <v>168</v>
      </c>
      <c r="BZT148" s="369">
        <v>0.5</v>
      </c>
      <c r="BZU148" s="370" t="e">
        <f>10/BZQ146</f>
        <v>#DIV/0!</v>
      </c>
      <c r="BZV148" s="371">
        <v>15.38</v>
      </c>
      <c r="BZW148" s="371" t="e">
        <f>BZT148*BZU148*BZV148</f>
        <v>#DIV/0!</v>
      </c>
      <c r="BZX148" s="367" t="s">
        <v>206</v>
      </c>
      <c r="BZY148" s="367"/>
      <c r="BZZ148" s="367"/>
      <c r="CAA148" s="368" t="s">
        <v>168</v>
      </c>
      <c r="CAB148" s="369">
        <v>0.5</v>
      </c>
      <c r="CAC148" s="370" t="e">
        <f>10/BZY146</f>
        <v>#DIV/0!</v>
      </c>
      <c r="CAD148" s="371">
        <v>15.38</v>
      </c>
      <c r="CAE148" s="371" t="e">
        <f>CAB148*CAC148*CAD148</f>
        <v>#DIV/0!</v>
      </c>
      <c r="CAF148" s="367" t="s">
        <v>206</v>
      </c>
      <c r="CAG148" s="367"/>
      <c r="CAH148" s="367"/>
      <c r="CAI148" s="368" t="s">
        <v>168</v>
      </c>
      <c r="CAJ148" s="369">
        <v>0.5</v>
      </c>
      <c r="CAK148" s="370" t="e">
        <f>10/CAG146</f>
        <v>#DIV/0!</v>
      </c>
      <c r="CAL148" s="371">
        <v>15.38</v>
      </c>
      <c r="CAM148" s="371" t="e">
        <f>CAJ148*CAK148*CAL148</f>
        <v>#DIV/0!</v>
      </c>
      <c r="CAN148" s="367" t="s">
        <v>206</v>
      </c>
      <c r="CAO148" s="367"/>
      <c r="CAP148" s="367"/>
      <c r="CAQ148" s="368" t="s">
        <v>168</v>
      </c>
      <c r="CAR148" s="369">
        <v>0.5</v>
      </c>
      <c r="CAS148" s="370" t="e">
        <f>10/CAO146</f>
        <v>#DIV/0!</v>
      </c>
      <c r="CAT148" s="371">
        <v>15.38</v>
      </c>
      <c r="CAU148" s="371" t="e">
        <f>CAR148*CAS148*CAT148</f>
        <v>#DIV/0!</v>
      </c>
      <c r="CAV148" s="367" t="s">
        <v>206</v>
      </c>
      <c r="CAW148" s="367"/>
      <c r="CAX148" s="367"/>
      <c r="CAY148" s="368" t="s">
        <v>168</v>
      </c>
      <c r="CAZ148" s="369">
        <v>0.5</v>
      </c>
      <c r="CBA148" s="370" t="e">
        <f>10/CAW146</f>
        <v>#DIV/0!</v>
      </c>
      <c r="CBB148" s="371">
        <v>15.38</v>
      </c>
      <c r="CBC148" s="371" t="e">
        <f>CAZ148*CBA148*CBB148</f>
        <v>#DIV/0!</v>
      </c>
      <c r="CBD148" s="367" t="s">
        <v>206</v>
      </c>
      <c r="CBE148" s="367"/>
      <c r="CBF148" s="367"/>
      <c r="CBG148" s="368" t="s">
        <v>168</v>
      </c>
      <c r="CBH148" s="369">
        <v>0.5</v>
      </c>
      <c r="CBI148" s="370" t="e">
        <f>10/CBE146</f>
        <v>#DIV/0!</v>
      </c>
      <c r="CBJ148" s="371">
        <v>15.38</v>
      </c>
      <c r="CBK148" s="371" t="e">
        <f>CBH148*CBI148*CBJ148</f>
        <v>#DIV/0!</v>
      </c>
      <c r="CBL148" s="367" t="s">
        <v>206</v>
      </c>
      <c r="CBM148" s="367"/>
      <c r="CBN148" s="367"/>
      <c r="CBO148" s="368" t="s">
        <v>168</v>
      </c>
      <c r="CBP148" s="369">
        <v>0.5</v>
      </c>
      <c r="CBQ148" s="370" t="e">
        <f>10/CBM146</f>
        <v>#DIV/0!</v>
      </c>
      <c r="CBR148" s="371">
        <v>15.38</v>
      </c>
      <c r="CBS148" s="371" t="e">
        <f>CBP148*CBQ148*CBR148</f>
        <v>#DIV/0!</v>
      </c>
      <c r="CBT148" s="367" t="s">
        <v>206</v>
      </c>
      <c r="CBU148" s="367"/>
      <c r="CBV148" s="367"/>
      <c r="CBW148" s="368" t="s">
        <v>168</v>
      </c>
      <c r="CBX148" s="369">
        <v>0.5</v>
      </c>
      <c r="CBY148" s="370" t="e">
        <f>10/CBU146</f>
        <v>#DIV/0!</v>
      </c>
      <c r="CBZ148" s="371">
        <v>15.38</v>
      </c>
      <c r="CCA148" s="371" t="e">
        <f>CBX148*CBY148*CBZ148</f>
        <v>#DIV/0!</v>
      </c>
      <c r="CCB148" s="367" t="s">
        <v>206</v>
      </c>
      <c r="CCC148" s="367"/>
      <c r="CCD148" s="367"/>
      <c r="CCE148" s="368" t="s">
        <v>168</v>
      </c>
      <c r="CCF148" s="369">
        <v>0.5</v>
      </c>
      <c r="CCG148" s="370" t="e">
        <f>10/CCC146</f>
        <v>#DIV/0!</v>
      </c>
      <c r="CCH148" s="371">
        <v>15.38</v>
      </c>
      <c r="CCI148" s="371" t="e">
        <f>CCF148*CCG148*CCH148</f>
        <v>#DIV/0!</v>
      </c>
      <c r="CCJ148" s="367" t="s">
        <v>206</v>
      </c>
      <c r="CCK148" s="367"/>
      <c r="CCL148" s="367"/>
      <c r="CCM148" s="368" t="s">
        <v>168</v>
      </c>
      <c r="CCN148" s="369">
        <v>0.5</v>
      </c>
      <c r="CCO148" s="370" t="e">
        <f>10/CCK146</f>
        <v>#DIV/0!</v>
      </c>
      <c r="CCP148" s="371">
        <v>15.38</v>
      </c>
      <c r="CCQ148" s="371" t="e">
        <f>CCN148*CCO148*CCP148</f>
        <v>#DIV/0!</v>
      </c>
      <c r="CCR148" s="367" t="s">
        <v>206</v>
      </c>
      <c r="CCS148" s="367"/>
      <c r="CCT148" s="367"/>
      <c r="CCU148" s="368" t="s">
        <v>168</v>
      </c>
      <c r="CCV148" s="369">
        <v>0.5</v>
      </c>
      <c r="CCW148" s="370" t="e">
        <f>10/CCS146</f>
        <v>#DIV/0!</v>
      </c>
      <c r="CCX148" s="371">
        <v>15.38</v>
      </c>
      <c r="CCY148" s="371" t="e">
        <f>CCV148*CCW148*CCX148</f>
        <v>#DIV/0!</v>
      </c>
      <c r="CCZ148" s="367" t="s">
        <v>206</v>
      </c>
      <c r="CDA148" s="367"/>
      <c r="CDB148" s="367"/>
      <c r="CDC148" s="368" t="s">
        <v>168</v>
      </c>
      <c r="CDD148" s="369">
        <v>0.5</v>
      </c>
      <c r="CDE148" s="370" t="e">
        <f>10/CDA146</f>
        <v>#DIV/0!</v>
      </c>
      <c r="CDF148" s="371">
        <v>15.38</v>
      </c>
      <c r="CDG148" s="371" t="e">
        <f>CDD148*CDE148*CDF148</f>
        <v>#DIV/0!</v>
      </c>
      <c r="CDH148" s="367" t="s">
        <v>206</v>
      </c>
      <c r="CDI148" s="367"/>
      <c r="CDJ148" s="367"/>
      <c r="CDK148" s="368" t="s">
        <v>168</v>
      </c>
      <c r="CDL148" s="369">
        <v>0.5</v>
      </c>
      <c r="CDM148" s="370" t="e">
        <f>10/CDI146</f>
        <v>#DIV/0!</v>
      </c>
      <c r="CDN148" s="371">
        <v>15.38</v>
      </c>
      <c r="CDO148" s="371" t="e">
        <f>CDL148*CDM148*CDN148</f>
        <v>#DIV/0!</v>
      </c>
      <c r="CDP148" s="367" t="s">
        <v>206</v>
      </c>
      <c r="CDQ148" s="367"/>
      <c r="CDR148" s="367"/>
      <c r="CDS148" s="368" t="s">
        <v>168</v>
      </c>
      <c r="CDT148" s="369">
        <v>0.5</v>
      </c>
      <c r="CDU148" s="370" t="e">
        <f>10/CDQ146</f>
        <v>#DIV/0!</v>
      </c>
      <c r="CDV148" s="371">
        <v>15.38</v>
      </c>
      <c r="CDW148" s="371" t="e">
        <f>CDT148*CDU148*CDV148</f>
        <v>#DIV/0!</v>
      </c>
      <c r="CDX148" s="367" t="s">
        <v>206</v>
      </c>
      <c r="CDY148" s="367"/>
      <c r="CDZ148" s="367"/>
      <c r="CEA148" s="368" t="s">
        <v>168</v>
      </c>
      <c r="CEB148" s="369">
        <v>0.5</v>
      </c>
      <c r="CEC148" s="370" t="e">
        <f>10/CDY146</f>
        <v>#DIV/0!</v>
      </c>
      <c r="CED148" s="371">
        <v>15.38</v>
      </c>
      <c r="CEE148" s="371" t="e">
        <f>CEB148*CEC148*CED148</f>
        <v>#DIV/0!</v>
      </c>
      <c r="CEF148" s="367" t="s">
        <v>206</v>
      </c>
      <c r="CEG148" s="367"/>
      <c r="CEH148" s="367"/>
      <c r="CEI148" s="368" t="s">
        <v>168</v>
      </c>
      <c r="CEJ148" s="369">
        <v>0.5</v>
      </c>
      <c r="CEK148" s="370" t="e">
        <f>10/CEG146</f>
        <v>#DIV/0!</v>
      </c>
      <c r="CEL148" s="371">
        <v>15.38</v>
      </c>
      <c r="CEM148" s="371" t="e">
        <f>CEJ148*CEK148*CEL148</f>
        <v>#DIV/0!</v>
      </c>
      <c r="CEN148" s="367" t="s">
        <v>206</v>
      </c>
      <c r="CEO148" s="367"/>
      <c r="CEP148" s="367"/>
      <c r="CEQ148" s="368" t="s">
        <v>168</v>
      </c>
      <c r="CER148" s="369">
        <v>0.5</v>
      </c>
      <c r="CES148" s="370" t="e">
        <f>10/CEO146</f>
        <v>#DIV/0!</v>
      </c>
      <c r="CET148" s="371">
        <v>15.38</v>
      </c>
      <c r="CEU148" s="371" t="e">
        <f>CER148*CES148*CET148</f>
        <v>#DIV/0!</v>
      </c>
      <c r="CEV148" s="367" t="s">
        <v>206</v>
      </c>
      <c r="CEW148" s="367"/>
      <c r="CEX148" s="367"/>
      <c r="CEY148" s="368" t="s">
        <v>168</v>
      </c>
      <c r="CEZ148" s="369">
        <v>0.5</v>
      </c>
      <c r="CFA148" s="370" t="e">
        <f>10/CEW146</f>
        <v>#DIV/0!</v>
      </c>
      <c r="CFB148" s="371">
        <v>15.38</v>
      </c>
      <c r="CFC148" s="371" t="e">
        <f>CEZ148*CFA148*CFB148</f>
        <v>#DIV/0!</v>
      </c>
      <c r="CFD148" s="367" t="s">
        <v>206</v>
      </c>
      <c r="CFE148" s="367"/>
      <c r="CFF148" s="367"/>
      <c r="CFG148" s="368" t="s">
        <v>168</v>
      </c>
      <c r="CFH148" s="369">
        <v>0.5</v>
      </c>
      <c r="CFI148" s="370" t="e">
        <f>10/CFE146</f>
        <v>#DIV/0!</v>
      </c>
      <c r="CFJ148" s="371">
        <v>15.38</v>
      </c>
      <c r="CFK148" s="371" t="e">
        <f>CFH148*CFI148*CFJ148</f>
        <v>#DIV/0!</v>
      </c>
      <c r="CFL148" s="367" t="s">
        <v>206</v>
      </c>
      <c r="CFM148" s="367"/>
      <c r="CFN148" s="367"/>
      <c r="CFO148" s="368" t="s">
        <v>168</v>
      </c>
      <c r="CFP148" s="369">
        <v>0.5</v>
      </c>
      <c r="CFQ148" s="370" t="e">
        <f>10/CFM146</f>
        <v>#DIV/0!</v>
      </c>
      <c r="CFR148" s="371">
        <v>15.38</v>
      </c>
      <c r="CFS148" s="371" t="e">
        <f>CFP148*CFQ148*CFR148</f>
        <v>#DIV/0!</v>
      </c>
      <c r="CFT148" s="367" t="s">
        <v>206</v>
      </c>
      <c r="CFU148" s="367"/>
      <c r="CFV148" s="367"/>
      <c r="CFW148" s="368" t="s">
        <v>168</v>
      </c>
      <c r="CFX148" s="369">
        <v>0.5</v>
      </c>
      <c r="CFY148" s="370" t="e">
        <f>10/CFU146</f>
        <v>#DIV/0!</v>
      </c>
      <c r="CFZ148" s="371">
        <v>15.38</v>
      </c>
      <c r="CGA148" s="371" t="e">
        <f>CFX148*CFY148*CFZ148</f>
        <v>#DIV/0!</v>
      </c>
      <c r="CGB148" s="367" t="s">
        <v>206</v>
      </c>
      <c r="CGC148" s="367"/>
      <c r="CGD148" s="367"/>
      <c r="CGE148" s="368" t="s">
        <v>168</v>
      </c>
      <c r="CGF148" s="369">
        <v>0.5</v>
      </c>
      <c r="CGG148" s="370" t="e">
        <f>10/CGC146</f>
        <v>#DIV/0!</v>
      </c>
      <c r="CGH148" s="371">
        <v>15.38</v>
      </c>
      <c r="CGI148" s="371" t="e">
        <f>CGF148*CGG148*CGH148</f>
        <v>#DIV/0!</v>
      </c>
      <c r="CGJ148" s="367" t="s">
        <v>206</v>
      </c>
      <c r="CGK148" s="367"/>
      <c r="CGL148" s="367"/>
      <c r="CGM148" s="368" t="s">
        <v>168</v>
      </c>
      <c r="CGN148" s="369">
        <v>0.5</v>
      </c>
      <c r="CGO148" s="370" t="e">
        <f>10/CGK146</f>
        <v>#DIV/0!</v>
      </c>
      <c r="CGP148" s="371">
        <v>15.38</v>
      </c>
      <c r="CGQ148" s="371" t="e">
        <f>CGN148*CGO148*CGP148</f>
        <v>#DIV/0!</v>
      </c>
      <c r="CGR148" s="367" t="s">
        <v>206</v>
      </c>
      <c r="CGS148" s="367"/>
      <c r="CGT148" s="367"/>
      <c r="CGU148" s="368" t="s">
        <v>168</v>
      </c>
      <c r="CGV148" s="369">
        <v>0.5</v>
      </c>
      <c r="CGW148" s="370" t="e">
        <f>10/CGS146</f>
        <v>#DIV/0!</v>
      </c>
      <c r="CGX148" s="371">
        <v>15.38</v>
      </c>
      <c r="CGY148" s="371" t="e">
        <f>CGV148*CGW148*CGX148</f>
        <v>#DIV/0!</v>
      </c>
      <c r="CGZ148" s="367" t="s">
        <v>206</v>
      </c>
      <c r="CHA148" s="367"/>
      <c r="CHB148" s="367"/>
      <c r="CHC148" s="368" t="s">
        <v>168</v>
      </c>
      <c r="CHD148" s="369">
        <v>0.5</v>
      </c>
      <c r="CHE148" s="370" t="e">
        <f>10/CHA146</f>
        <v>#DIV/0!</v>
      </c>
      <c r="CHF148" s="371">
        <v>15.38</v>
      </c>
      <c r="CHG148" s="371" t="e">
        <f>CHD148*CHE148*CHF148</f>
        <v>#DIV/0!</v>
      </c>
      <c r="CHH148" s="367" t="s">
        <v>206</v>
      </c>
      <c r="CHI148" s="367"/>
      <c r="CHJ148" s="367"/>
      <c r="CHK148" s="368" t="s">
        <v>168</v>
      </c>
      <c r="CHL148" s="369">
        <v>0.5</v>
      </c>
      <c r="CHM148" s="370" t="e">
        <f>10/CHI146</f>
        <v>#DIV/0!</v>
      </c>
      <c r="CHN148" s="371">
        <v>15.38</v>
      </c>
      <c r="CHO148" s="371" t="e">
        <f>CHL148*CHM148*CHN148</f>
        <v>#DIV/0!</v>
      </c>
      <c r="CHP148" s="367" t="s">
        <v>206</v>
      </c>
      <c r="CHQ148" s="367"/>
      <c r="CHR148" s="367"/>
      <c r="CHS148" s="368" t="s">
        <v>168</v>
      </c>
      <c r="CHT148" s="369">
        <v>0.5</v>
      </c>
      <c r="CHU148" s="370" t="e">
        <f>10/CHQ146</f>
        <v>#DIV/0!</v>
      </c>
      <c r="CHV148" s="371">
        <v>15.38</v>
      </c>
      <c r="CHW148" s="371" t="e">
        <f>CHT148*CHU148*CHV148</f>
        <v>#DIV/0!</v>
      </c>
      <c r="CHX148" s="367" t="s">
        <v>206</v>
      </c>
      <c r="CHY148" s="367"/>
      <c r="CHZ148" s="367"/>
      <c r="CIA148" s="368" t="s">
        <v>168</v>
      </c>
      <c r="CIB148" s="369">
        <v>0.5</v>
      </c>
      <c r="CIC148" s="370" t="e">
        <f>10/CHY146</f>
        <v>#DIV/0!</v>
      </c>
      <c r="CID148" s="371">
        <v>15.38</v>
      </c>
      <c r="CIE148" s="371" t="e">
        <f>CIB148*CIC148*CID148</f>
        <v>#DIV/0!</v>
      </c>
      <c r="CIF148" s="367" t="s">
        <v>206</v>
      </c>
      <c r="CIG148" s="367"/>
      <c r="CIH148" s="367"/>
      <c r="CII148" s="368" t="s">
        <v>168</v>
      </c>
      <c r="CIJ148" s="369">
        <v>0.5</v>
      </c>
      <c r="CIK148" s="370" t="e">
        <f>10/CIG146</f>
        <v>#DIV/0!</v>
      </c>
      <c r="CIL148" s="371">
        <v>15.38</v>
      </c>
      <c r="CIM148" s="371" t="e">
        <f>CIJ148*CIK148*CIL148</f>
        <v>#DIV/0!</v>
      </c>
      <c r="CIN148" s="367" t="s">
        <v>206</v>
      </c>
      <c r="CIO148" s="367"/>
      <c r="CIP148" s="367"/>
      <c r="CIQ148" s="368" t="s">
        <v>168</v>
      </c>
      <c r="CIR148" s="369">
        <v>0.5</v>
      </c>
      <c r="CIS148" s="370" t="e">
        <f>10/CIO146</f>
        <v>#DIV/0!</v>
      </c>
      <c r="CIT148" s="371">
        <v>15.38</v>
      </c>
      <c r="CIU148" s="371" t="e">
        <f>CIR148*CIS148*CIT148</f>
        <v>#DIV/0!</v>
      </c>
      <c r="CIV148" s="367" t="s">
        <v>206</v>
      </c>
      <c r="CIW148" s="367"/>
      <c r="CIX148" s="367"/>
      <c r="CIY148" s="368" t="s">
        <v>168</v>
      </c>
      <c r="CIZ148" s="369">
        <v>0.5</v>
      </c>
      <c r="CJA148" s="370" t="e">
        <f>10/CIW146</f>
        <v>#DIV/0!</v>
      </c>
      <c r="CJB148" s="371">
        <v>15.38</v>
      </c>
      <c r="CJC148" s="371" t="e">
        <f>CIZ148*CJA148*CJB148</f>
        <v>#DIV/0!</v>
      </c>
      <c r="CJD148" s="367" t="s">
        <v>206</v>
      </c>
      <c r="CJE148" s="367"/>
      <c r="CJF148" s="367"/>
      <c r="CJG148" s="368" t="s">
        <v>168</v>
      </c>
      <c r="CJH148" s="369">
        <v>0.5</v>
      </c>
      <c r="CJI148" s="370" t="e">
        <f>10/CJE146</f>
        <v>#DIV/0!</v>
      </c>
      <c r="CJJ148" s="371">
        <v>15.38</v>
      </c>
      <c r="CJK148" s="371" t="e">
        <f>CJH148*CJI148*CJJ148</f>
        <v>#DIV/0!</v>
      </c>
      <c r="CJL148" s="367" t="s">
        <v>206</v>
      </c>
      <c r="CJM148" s="367"/>
      <c r="CJN148" s="367"/>
      <c r="CJO148" s="368" t="s">
        <v>168</v>
      </c>
      <c r="CJP148" s="369">
        <v>0.5</v>
      </c>
      <c r="CJQ148" s="370" t="e">
        <f>10/CJM146</f>
        <v>#DIV/0!</v>
      </c>
      <c r="CJR148" s="371">
        <v>15.38</v>
      </c>
      <c r="CJS148" s="371" t="e">
        <f>CJP148*CJQ148*CJR148</f>
        <v>#DIV/0!</v>
      </c>
      <c r="CJT148" s="367" t="s">
        <v>206</v>
      </c>
      <c r="CJU148" s="367"/>
      <c r="CJV148" s="367"/>
      <c r="CJW148" s="368" t="s">
        <v>168</v>
      </c>
      <c r="CJX148" s="369">
        <v>0.5</v>
      </c>
      <c r="CJY148" s="370" t="e">
        <f>10/CJU146</f>
        <v>#DIV/0!</v>
      </c>
      <c r="CJZ148" s="371">
        <v>15.38</v>
      </c>
      <c r="CKA148" s="371" t="e">
        <f>CJX148*CJY148*CJZ148</f>
        <v>#DIV/0!</v>
      </c>
      <c r="CKB148" s="367" t="s">
        <v>206</v>
      </c>
      <c r="CKC148" s="367"/>
      <c r="CKD148" s="367"/>
      <c r="CKE148" s="368" t="s">
        <v>168</v>
      </c>
      <c r="CKF148" s="369">
        <v>0.5</v>
      </c>
      <c r="CKG148" s="370" t="e">
        <f>10/CKC146</f>
        <v>#DIV/0!</v>
      </c>
      <c r="CKH148" s="371">
        <v>15.38</v>
      </c>
      <c r="CKI148" s="371" t="e">
        <f>CKF148*CKG148*CKH148</f>
        <v>#DIV/0!</v>
      </c>
      <c r="CKJ148" s="367" t="s">
        <v>206</v>
      </c>
      <c r="CKK148" s="367"/>
      <c r="CKL148" s="367"/>
      <c r="CKM148" s="368" t="s">
        <v>168</v>
      </c>
      <c r="CKN148" s="369">
        <v>0.5</v>
      </c>
      <c r="CKO148" s="370" t="e">
        <f>10/CKK146</f>
        <v>#DIV/0!</v>
      </c>
      <c r="CKP148" s="371">
        <v>15.38</v>
      </c>
      <c r="CKQ148" s="371" t="e">
        <f>CKN148*CKO148*CKP148</f>
        <v>#DIV/0!</v>
      </c>
      <c r="CKR148" s="367" t="s">
        <v>206</v>
      </c>
      <c r="CKS148" s="367"/>
      <c r="CKT148" s="367"/>
      <c r="CKU148" s="368" t="s">
        <v>168</v>
      </c>
      <c r="CKV148" s="369">
        <v>0.5</v>
      </c>
      <c r="CKW148" s="370" t="e">
        <f>10/CKS146</f>
        <v>#DIV/0!</v>
      </c>
      <c r="CKX148" s="371">
        <v>15.38</v>
      </c>
      <c r="CKY148" s="371" t="e">
        <f>CKV148*CKW148*CKX148</f>
        <v>#DIV/0!</v>
      </c>
      <c r="CKZ148" s="367" t="s">
        <v>206</v>
      </c>
      <c r="CLA148" s="367"/>
      <c r="CLB148" s="367"/>
      <c r="CLC148" s="368" t="s">
        <v>168</v>
      </c>
      <c r="CLD148" s="369">
        <v>0.5</v>
      </c>
      <c r="CLE148" s="370" t="e">
        <f>10/CLA146</f>
        <v>#DIV/0!</v>
      </c>
      <c r="CLF148" s="371">
        <v>15.38</v>
      </c>
      <c r="CLG148" s="371" t="e">
        <f>CLD148*CLE148*CLF148</f>
        <v>#DIV/0!</v>
      </c>
      <c r="CLH148" s="367" t="s">
        <v>206</v>
      </c>
      <c r="CLI148" s="367"/>
      <c r="CLJ148" s="367"/>
      <c r="CLK148" s="368" t="s">
        <v>168</v>
      </c>
      <c r="CLL148" s="369">
        <v>0.5</v>
      </c>
      <c r="CLM148" s="370" t="e">
        <f>10/CLI146</f>
        <v>#DIV/0!</v>
      </c>
      <c r="CLN148" s="371">
        <v>15.38</v>
      </c>
      <c r="CLO148" s="371" t="e">
        <f>CLL148*CLM148*CLN148</f>
        <v>#DIV/0!</v>
      </c>
      <c r="CLP148" s="367" t="s">
        <v>206</v>
      </c>
      <c r="CLQ148" s="367"/>
      <c r="CLR148" s="367"/>
      <c r="CLS148" s="368" t="s">
        <v>168</v>
      </c>
      <c r="CLT148" s="369">
        <v>0.5</v>
      </c>
      <c r="CLU148" s="370" t="e">
        <f>10/CLQ146</f>
        <v>#DIV/0!</v>
      </c>
      <c r="CLV148" s="371">
        <v>15.38</v>
      </c>
      <c r="CLW148" s="371" t="e">
        <f>CLT148*CLU148*CLV148</f>
        <v>#DIV/0!</v>
      </c>
      <c r="CLX148" s="367" t="s">
        <v>206</v>
      </c>
      <c r="CLY148" s="367"/>
      <c r="CLZ148" s="367"/>
      <c r="CMA148" s="368" t="s">
        <v>168</v>
      </c>
      <c r="CMB148" s="369">
        <v>0.5</v>
      </c>
      <c r="CMC148" s="370" t="e">
        <f>10/CLY146</f>
        <v>#DIV/0!</v>
      </c>
      <c r="CMD148" s="371">
        <v>15.38</v>
      </c>
      <c r="CME148" s="371" t="e">
        <f>CMB148*CMC148*CMD148</f>
        <v>#DIV/0!</v>
      </c>
      <c r="CMF148" s="367" t="s">
        <v>206</v>
      </c>
      <c r="CMG148" s="367"/>
      <c r="CMH148" s="367"/>
      <c r="CMI148" s="368" t="s">
        <v>168</v>
      </c>
      <c r="CMJ148" s="369">
        <v>0.5</v>
      </c>
      <c r="CMK148" s="370" t="e">
        <f>10/CMG146</f>
        <v>#DIV/0!</v>
      </c>
      <c r="CML148" s="371">
        <v>15.38</v>
      </c>
      <c r="CMM148" s="371" t="e">
        <f>CMJ148*CMK148*CML148</f>
        <v>#DIV/0!</v>
      </c>
      <c r="CMN148" s="367" t="s">
        <v>206</v>
      </c>
      <c r="CMO148" s="367"/>
      <c r="CMP148" s="367"/>
      <c r="CMQ148" s="368" t="s">
        <v>168</v>
      </c>
      <c r="CMR148" s="369">
        <v>0.5</v>
      </c>
      <c r="CMS148" s="370" t="e">
        <f>10/CMO146</f>
        <v>#DIV/0!</v>
      </c>
      <c r="CMT148" s="371">
        <v>15.38</v>
      </c>
      <c r="CMU148" s="371" t="e">
        <f>CMR148*CMS148*CMT148</f>
        <v>#DIV/0!</v>
      </c>
      <c r="CMV148" s="367" t="s">
        <v>206</v>
      </c>
      <c r="CMW148" s="367"/>
      <c r="CMX148" s="367"/>
      <c r="CMY148" s="368" t="s">
        <v>168</v>
      </c>
      <c r="CMZ148" s="369">
        <v>0.5</v>
      </c>
      <c r="CNA148" s="370" t="e">
        <f>10/CMW146</f>
        <v>#DIV/0!</v>
      </c>
      <c r="CNB148" s="371">
        <v>15.38</v>
      </c>
      <c r="CNC148" s="371" t="e">
        <f>CMZ148*CNA148*CNB148</f>
        <v>#DIV/0!</v>
      </c>
      <c r="CND148" s="367" t="s">
        <v>206</v>
      </c>
      <c r="CNE148" s="367"/>
      <c r="CNF148" s="367"/>
      <c r="CNG148" s="368" t="s">
        <v>168</v>
      </c>
      <c r="CNH148" s="369">
        <v>0.5</v>
      </c>
      <c r="CNI148" s="370" t="e">
        <f>10/CNE146</f>
        <v>#DIV/0!</v>
      </c>
      <c r="CNJ148" s="371">
        <v>15.38</v>
      </c>
      <c r="CNK148" s="371" t="e">
        <f>CNH148*CNI148*CNJ148</f>
        <v>#DIV/0!</v>
      </c>
      <c r="CNL148" s="367" t="s">
        <v>206</v>
      </c>
      <c r="CNM148" s="367"/>
      <c r="CNN148" s="367"/>
      <c r="CNO148" s="368" t="s">
        <v>168</v>
      </c>
      <c r="CNP148" s="369">
        <v>0.5</v>
      </c>
      <c r="CNQ148" s="370" t="e">
        <f>10/CNM146</f>
        <v>#DIV/0!</v>
      </c>
      <c r="CNR148" s="371">
        <v>15.38</v>
      </c>
      <c r="CNS148" s="371" t="e">
        <f>CNP148*CNQ148*CNR148</f>
        <v>#DIV/0!</v>
      </c>
      <c r="CNT148" s="367" t="s">
        <v>206</v>
      </c>
      <c r="CNU148" s="367"/>
      <c r="CNV148" s="367"/>
      <c r="CNW148" s="368" t="s">
        <v>168</v>
      </c>
      <c r="CNX148" s="369">
        <v>0.5</v>
      </c>
      <c r="CNY148" s="370" t="e">
        <f>10/CNU146</f>
        <v>#DIV/0!</v>
      </c>
      <c r="CNZ148" s="371">
        <v>15.38</v>
      </c>
      <c r="COA148" s="371" t="e">
        <f>CNX148*CNY148*CNZ148</f>
        <v>#DIV/0!</v>
      </c>
      <c r="COB148" s="367" t="s">
        <v>206</v>
      </c>
      <c r="COC148" s="367"/>
      <c r="COD148" s="367"/>
      <c r="COE148" s="368" t="s">
        <v>168</v>
      </c>
      <c r="COF148" s="369">
        <v>0.5</v>
      </c>
      <c r="COG148" s="370" t="e">
        <f>10/COC146</f>
        <v>#DIV/0!</v>
      </c>
      <c r="COH148" s="371">
        <v>15.38</v>
      </c>
      <c r="COI148" s="371" t="e">
        <f>COF148*COG148*COH148</f>
        <v>#DIV/0!</v>
      </c>
      <c r="COJ148" s="367" t="s">
        <v>206</v>
      </c>
      <c r="COK148" s="367"/>
      <c r="COL148" s="367"/>
      <c r="COM148" s="368" t="s">
        <v>168</v>
      </c>
      <c r="CON148" s="369">
        <v>0.5</v>
      </c>
      <c r="COO148" s="370" t="e">
        <f>10/COK146</f>
        <v>#DIV/0!</v>
      </c>
      <c r="COP148" s="371">
        <v>15.38</v>
      </c>
      <c r="COQ148" s="371" t="e">
        <f>CON148*COO148*COP148</f>
        <v>#DIV/0!</v>
      </c>
      <c r="COR148" s="367" t="s">
        <v>206</v>
      </c>
      <c r="COS148" s="367"/>
      <c r="COT148" s="367"/>
      <c r="COU148" s="368" t="s">
        <v>168</v>
      </c>
      <c r="COV148" s="369">
        <v>0.5</v>
      </c>
      <c r="COW148" s="370" t="e">
        <f>10/COS146</f>
        <v>#DIV/0!</v>
      </c>
      <c r="COX148" s="371">
        <v>15.38</v>
      </c>
      <c r="COY148" s="371" t="e">
        <f>COV148*COW148*COX148</f>
        <v>#DIV/0!</v>
      </c>
      <c r="COZ148" s="367" t="s">
        <v>206</v>
      </c>
      <c r="CPA148" s="367"/>
      <c r="CPB148" s="367"/>
      <c r="CPC148" s="368" t="s">
        <v>168</v>
      </c>
      <c r="CPD148" s="369">
        <v>0.5</v>
      </c>
      <c r="CPE148" s="370" t="e">
        <f>10/CPA146</f>
        <v>#DIV/0!</v>
      </c>
      <c r="CPF148" s="371">
        <v>15.38</v>
      </c>
      <c r="CPG148" s="371" t="e">
        <f>CPD148*CPE148*CPF148</f>
        <v>#DIV/0!</v>
      </c>
      <c r="CPH148" s="367" t="s">
        <v>206</v>
      </c>
      <c r="CPI148" s="367"/>
      <c r="CPJ148" s="367"/>
      <c r="CPK148" s="368" t="s">
        <v>168</v>
      </c>
      <c r="CPL148" s="369">
        <v>0.5</v>
      </c>
      <c r="CPM148" s="370" t="e">
        <f>10/CPI146</f>
        <v>#DIV/0!</v>
      </c>
      <c r="CPN148" s="371">
        <v>15.38</v>
      </c>
      <c r="CPO148" s="371" t="e">
        <f>CPL148*CPM148*CPN148</f>
        <v>#DIV/0!</v>
      </c>
      <c r="CPP148" s="367" t="s">
        <v>206</v>
      </c>
      <c r="CPQ148" s="367"/>
      <c r="CPR148" s="367"/>
      <c r="CPS148" s="368" t="s">
        <v>168</v>
      </c>
      <c r="CPT148" s="369">
        <v>0.5</v>
      </c>
      <c r="CPU148" s="370" t="e">
        <f>10/CPQ146</f>
        <v>#DIV/0!</v>
      </c>
      <c r="CPV148" s="371">
        <v>15.38</v>
      </c>
      <c r="CPW148" s="371" t="e">
        <f>CPT148*CPU148*CPV148</f>
        <v>#DIV/0!</v>
      </c>
      <c r="CPX148" s="367" t="s">
        <v>206</v>
      </c>
      <c r="CPY148" s="367"/>
      <c r="CPZ148" s="367"/>
      <c r="CQA148" s="368" t="s">
        <v>168</v>
      </c>
      <c r="CQB148" s="369">
        <v>0.5</v>
      </c>
      <c r="CQC148" s="370" t="e">
        <f>10/CPY146</f>
        <v>#DIV/0!</v>
      </c>
      <c r="CQD148" s="371">
        <v>15.38</v>
      </c>
      <c r="CQE148" s="371" t="e">
        <f>CQB148*CQC148*CQD148</f>
        <v>#DIV/0!</v>
      </c>
      <c r="CQF148" s="367" t="s">
        <v>206</v>
      </c>
      <c r="CQG148" s="367"/>
      <c r="CQH148" s="367"/>
      <c r="CQI148" s="368" t="s">
        <v>168</v>
      </c>
      <c r="CQJ148" s="369">
        <v>0.5</v>
      </c>
      <c r="CQK148" s="370" t="e">
        <f>10/CQG146</f>
        <v>#DIV/0!</v>
      </c>
      <c r="CQL148" s="371">
        <v>15.38</v>
      </c>
      <c r="CQM148" s="371" t="e">
        <f>CQJ148*CQK148*CQL148</f>
        <v>#DIV/0!</v>
      </c>
      <c r="CQN148" s="367" t="s">
        <v>206</v>
      </c>
      <c r="CQO148" s="367"/>
      <c r="CQP148" s="367"/>
      <c r="CQQ148" s="368" t="s">
        <v>168</v>
      </c>
      <c r="CQR148" s="369">
        <v>0.5</v>
      </c>
      <c r="CQS148" s="370" t="e">
        <f>10/CQO146</f>
        <v>#DIV/0!</v>
      </c>
      <c r="CQT148" s="371">
        <v>15.38</v>
      </c>
      <c r="CQU148" s="371" t="e">
        <f>CQR148*CQS148*CQT148</f>
        <v>#DIV/0!</v>
      </c>
      <c r="CQV148" s="367" t="s">
        <v>206</v>
      </c>
      <c r="CQW148" s="367"/>
      <c r="CQX148" s="367"/>
      <c r="CQY148" s="368" t="s">
        <v>168</v>
      </c>
      <c r="CQZ148" s="369">
        <v>0.5</v>
      </c>
      <c r="CRA148" s="370" t="e">
        <f>10/CQW146</f>
        <v>#DIV/0!</v>
      </c>
      <c r="CRB148" s="371">
        <v>15.38</v>
      </c>
      <c r="CRC148" s="371" t="e">
        <f>CQZ148*CRA148*CRB148</f>
        <v>#DIV/0!</v>
      </c>
      <c r="CRD148" s="367" t="s">
        <v>206</v>
      </c>
      <c r="CRE148" s="367"/>
      <c r="CRF148" s="367"/>
      <c r="CRG148" s="368" t="s">
        <v>168</v>
      </c>
      <c r="CRH148" s="369">
        <v>0.5</v>
      </c>
      <c r="CRI148" s="370" t="e">
        <f>10/CRE146</f>
        <v>#DIV/0!</v>
      </c>
      <c r="CRJ148" s="371">
        <v>15.38</v>
      </c>
      <c r="CRK148" s="371" t="e">
        <f>CRH148*CRI148*CRJ148</f>
        <v>#DIV/0!</v>
      </c>
      <c r="CRL148" s="367" t="s">
        <v>206</v>
      </c>
      <c r="CRM148" s="367"/>
      <c r="CRN148" s="367"/>
      <c r="CRO148" s="368" t="s">
        <v>168</v>
      </c>
      <c r="CRP148" s="369">
        <v>0.5</v>
      </c>
      <c r="CRQ148" s="370" t="e">
        <f>10/CRM146</f>
        <v>#DIV/0!</v>
      </c>
      <c r="CRR148" s="371">
        <v>15.38</v>
      </c>
      <c r="CRS148" s="371" t="e">
        <f>CRP148*CRQ148*CRR148</f>
        <v>#DIV/0!</v>
      </c>
      <c r="CRT148" s="367" t="s">
        <v>206</v>
      </c>
      <c r="CRU148" s="367"/>
      <c r="CRV148" s="367"/>
      <c r="CRW148" s="368" t="s">
        <v>168</v>
      </c>
      <c r="CRX148" s="369">
        <v>0.5</v>
      </c>
      <c r="CRY148" s="370" t="e">
        <f>10/CRU146</f>
        <v>#DIV/0!</v>
      </c>
      <c r="CRZ148" s="371">
        <v>15.38</v>
      </c>
      <c r="CSA148" s="371" t="e">
        <f>CRX148*CRY148*CRZ148</f>
        <v>#DIV/0!</v>
      </c>
      <c r="CSB148" s="367" t="s">
        <v>206</v>
      </c>
      <c r="CSC148" s="367"/>
      <c r="CSD148" s="367"/>
      <c r="CSE148" s="368" t="s">
        <v>168</v>
      </c>
      <c r="CSF148" s="369">
        <v>0.5</v>
      </c>
      <c r="CSG148" s="370" t="e">
        <f>10/CSC146</f>
        <v>#DIV/0!</v>
      </c>
      <c r="CSH148" s="371">
        <v>15.38</v>
      </c>
      <c r="CSI148" s="371" t="e">
        <f>CSF148*CSG148*CSH148</f>
        <v>#DIV/0!</v>
      </c>
      <c r="CSJ148" s="367" t="s">
        <v>206</v>
      </c>
      <c r="CSK148" s="367"/>
      <c r="CSL148" s="367"/>
      <c r="CSM148" s="368" t="s">
        <v>168</v>
      </c>
      <c r="CSN148" s="369">
        <v>0.5</v>
      </c>
      <c r="CSO148" s="370" t="e">
        <f>10/CSK146</f>
        <v>#DIV/0!</v>
      </c>
      <c r="CSP148" s="371">
        <v>15.38</v>
      </c>
      <c r="CSQ148" s="371" t="e">
        <f>CSN148*CSO148*CSP148</f>
        <v>#DIV/0!</v>
      </c>
      <c r="CSR148" s="367" t="s">
        <v>206</v>
      </c>
      <c r="CSS148" s="367"/>
      <c r="CST148" s="367"/>
      <c r="CSU148" s="368" t="s">
        <v>168</v>
      </c>
      <c r="CSV148" s="369">
        <v>0.5</v>
      </c>
      <c r="CSW148" s="370" t="e">
        <f>10/CSS146</f>
        <v>#DIV/0!</v>
      </c>
      <c r="CSX148" s="371">
        <v>15.38</v>
      </c>
      <c r="CSY148" s="371" t="e">
        <f>CSV148*CSW148*CSX148</f>
        <v>#DIV/0!</v>
      </c>
      <c r="CSZ148" s="367" t="s">
        <v>206</v>
      </c>
      <c r="CTA148" s="367"/>
      <c r="CTB148" s="367"/>
      <c r="CTC148" s="368" t="s">
        <v>168</v>
      </c>
      <c r="CTD148" s="369">
        <v>0.5</v>
      </c>
      <c r="CTE148" s="370" t="e">
        <f>10/CTA146</f>
        <v>#DIV/0!</v>
      </c>
      <c r="CTF148" s="371">
        <v>15.38</v>
      </c>
      <c r="CTG148" s="371" t="e">
        <f>CTD148*CTE148*CTF148</f>
        <v>#DIV/0!</v>
      </c>
      <c r="CTH148" s="367" t="s">
        <v>206</v>
      </c>
      <c r="CTI148" s="367"/>
      <c r="CTJ148" s="367"/>
      <c r="CTK148" s="368" t="s">
        <v>168</v>
      </c>
      <c r="CTL148" s="369">
        <v>0.5</v>
      </c>
      <c r="CTM148" s="370" t="e">
        <f>10/CTI146</f>
        <v>#DIV/0!</v>
      </c>
      <c r="CTN148" s="371">
        <v>15.38</v>
      </c>
      <c r="CTO148" s="371" t="e">
        <f>CTL148*CTM148*CTN148</f>
        <v>#DIV/0!</v>
      </c>
      <c r="CTP148" s="367" t="s">
        <v>206</v>
      </c>
      <c r="CTQ148" s="367"/>
      <c r="CTR148" s="367"/>
      <c r="CTS148" s="368" t="s">
        <v>168</v>
      </c>
      <c r="CTT148" s="369">
        <v>0.5</v>
      </c>
      <c r="CTU148" s="370" t="e">
        <f>10/CTQ146</f>
        <v>#DIV/0!</v>
      </c>
      <c r="CTV148" s="371">
        <v>15.38</v>
      </c>
      <c r="CTW148" s="371" t="e">
        <f>CTT148*CTU148*CTV148</f>
        <v>#DIV/0!</v>
      </c>
      <c r="CTX148" s="367" t="s">
        <v>206</v>
      </c>
      <c r="CTY148" s="367"/>
      <c r="CTZ148" s="367"/>
      <c r="CUA148" s="368" t="s">
        <v>168</v>
      </c>
      <c r="CUB148" s="369">
        <v>0.5</v>
      </c>
      <c r="CUC148" s="370" t="e">
        <f>10/CTY146</f>
        <v>#DIV/0!</v>
      </c>
      <c r="CUD148" s="371">
        <v>15.38</v>
      </c>
      <c r="CUE148" s="371" t="e">
        <f>CUB148*CUC148*CUD148</f>
        <v>#DIV/0!</v>
      </c>
      <c r="CUF148" s="367" t="s">
        <v>206</v>
      </c>
      <c r="CUG148" s="367"/>
      <c r="CUH148" s="367"/>
      <c r="CUI148" s="368" t="s">
        <v>168</v>
      </c>
      <c r="CUJ148" s="369">
        <v>0.5</v>
      </c>
      <c r="CUK148" s="370" t="e">
        <f>10/CUG146</f>
        <v>#DIV/0!</v>
      </c>
      <c r="CUL148" s="371">
        <v>15.38</v>
      </c>
      <c r="CUM148" s="371" t="e">
        <f>CUJ148*CUK148*CUL148</f>
        <v>#DIV/0!</v>
      </c>
      <c r="CUN148" s="367" t="s">
        <v>206</v>
      </c>
      <c r="CUO148" s="367"/>
      <c r="CUP148" s="367"/>
      <c r="CUQ148" s="368" t="s">
        <v>168</v>
      </c>
      <c r="CUR148" s="369">
        <v>0.5</v>
      </c>
      <c r="CUS148" s="370" t="e">
        <f>10/CUO146</f>
        <v>#DIV/0!</v>
      </c>
      <c r="CUT148" s="371">
        <v>15.38</v>
      </c>
      <c r="CUU148" s="371" t="e">
        <f>CUR148*CUS148*CUT148</f>
        <v>#DIV/0!</v>
      </c>
      <c r="CUV148" s="367" t="s">
        <v>206</v>
      </c>
      <c r="CUW148" s="367"/>
      <c r="CUX148" s="367"/>
      <c r="CUY148" s="368" t="s">
        <v>168</v>
      </c>
      <c r="CUZ148" s="369">
        <v>0.5</v>
      </c>
      <c r="CVA148" s="370" t="e">
        <f>10/CUW146</f>
        <v>#DIV/0!</v>
      </c>
      <c r="CVB148" s="371">
        <v>15.38</v>
      </c>
      <c r="CVC148" s="371" t="e">
        <f>CUZ148*CVA148*CVB148</f>
        <v>#DIV/0!</v>
      </c>
      <c r="CVD148" s="367" t="s">
        <v>206</v>
      </c>
      <c r="CVE148" s="367"/>
      <c r="CVF148" s="367"/>
      <c r="CVG148" s="368" t="s">
        <v>168</v>
      </c>
      <c r="CVH148" s="369">
        <v>0.5</v>
      </c>
      <c r="CVI148" s="370" t="e">
        <f>10/CVE146</f>
        <v>#DIV/0!</v>
      </c>
      <c r="CVJ148" s="371">
        <v>15.38</v>
      </c>
      <c r="CVK148" s="371" t="e">
        <f>CVH148*CVI148*CVJ148</f>
        <v>#DIV/0!</v>
      </c>
      <c r="CVL148" s="367" t="s">
        <v>206</v>
      </c>
      <c r="CVM148" s="367"/>
      <c r="CVN148" s="367"/>
      <c r="CVO148" s="368" t="s">
        <v>168</v>
      </c>
      <c r="CVP148" s="369">
        <v>0.5</v>
      </c>
      <c r="CVQ148" s="370" t="e">
        <f>10/CVM146</f>
        <v>#DIV/0!</v>
      </c>
      <c r="CVR148" s="371">
        <v>15.38</v>
      </c>
      <c r="CVS148" s="371" t="e">
        <f>CVP148*CVQ148*CVR148</f>
        <v>#DIV/0!</v>
      </c>
      <c r="CVT148" s="367" t="s">
        <v>206</v>
      </c>
      <c r="CVU148" s="367"/>
      <c r="CVV148" s="367"/>
      <c r="CVW148" s="368" t="s">
        <v>168</v>
      </c>
      <c r="CVX148" s="369">
        <v>0.5</v>
      </c>
      <c r="CVY148" s="370" t="e">
        <f>10/CVU146</f>
        <v>#DIV/0!</v>
      </c>
      <c r="CVZ148" s="371">
        <v>15.38</v>
      </c>
      <c r="CWA148" s="371" t="e">
        <f>CVX148*CVY148*CVZ148</f>
        <v>#DIV/0!</v>
      </c>
      <c r="CWB148" s="367" t="s">
        <v>206</v>
      </c>
      <c r="CWC148" s="367"/>
      <c r="CWD148" s="367"/>
      <c r="CWE148" s="368" t="s">
        <v>168</v>
      </c>
      <c r="CWF148" s="369">
        <v>0.5</v>
      </c>
      <c r="CWG148" s="370" t="e">
        <f>10/CWC146</f>
        <v>#DIV/0!</v>
      </c>
      <c r="CWH148" s="371">
        <v>15.38</v>
      </c>
      <c r="CWI148" s="371" t="e">
        <f>CWF148*CWG148*CWH148</f>
        <v>#DIV/0!</v>
      </c>
      <c r="CWJ148" s="367" t="s">
        <v>206</v>
      </c>
      <c r="CWK148" s="367"/>
      <c r="CWL148" s="367"/>
      <c r="CWM148" s="368" t="s">
        <v>168</v>
      </c>
      <c r="CWN148" s="369">
        <v>0.5</v>
      </c>
      <c r="CWO148" s="370" t="e">
        <f>10/CWK146</f>
        <v>#DIV/0!</v>
      </c>
      <c r="CWP148" s="371">
        <v>15.38</v>
      </c>
      <c r="CWQ148" s="371" t="e">
        <f>CWN148*CWO148*CWP148</f>
        <v>#DIV/0!</v>
      </c>
      <c r="CWR148" s="367" t="s">
        <v>206</v>
      </c>
      <c r="CWS148" s="367"/>
      <c r="CWT148" s="367"/>
      <c r="CWU148" s="368" t="s">
        <v>168</v>
      </c>
      <c r="CWV148" s="369">
        <v>0.5</v>
      </c>
      <c r="CWW148" s="370" t="e">
        <f>10/CWS146</f>
        <v>#DIV/0!</v>
      </c>
      <c r="CWX148" s="371">
        <v>15.38</v>
      </c>
      <c r="CWY148" s="371" t="e">
        <f>CWV148*CWW148*CWX148</f>
        <v>#DIV/0!</v>
      </c>
      <c r="CWZ148" s="367" t="s">
        <v>206</v>
      </c>
      <c r="CXA148" s="367"/>
      <c r="CXB148" s="367"/>
      <c r="CXC148" s="368" t="s">
        <v>168</v>
      </c>
      <c r="CXD148" s="369">
        <v>0.5</v>
      </c>
      <c r="CXE148" s="370" t="e">
        <f>10/CXA146</f>
        <v>#DIV/0!</v>
      </c>
      <c r="CXF148" s="371">
        <v>15.38</v>
      </c>
      <c r="CXG148" s="371" t="e">
        <f>CXD148*CXE148*CXF148</f>
        <v>#DIV/0!</v>
      </c>
      <c r="CXH148" s="367" t="s">
        <v>206</v>
      </c>
      <c r="CXI148" s="367"/>
      <c r="CXJ148" s="367"/>
      <c r="CXK148" s="368" t="s">
        <v>168</v>
      </c>
      <c r="CXL148" s="369">
        <v>0.5</v>
      </c>
      <c r="CXM148" s="370" t="e">
        <f>10/CXI146</f>
        <v>#DIV/0!</v>
      </c>
      <c r="CXN148" s="371">
        <v>15.38</v>
      </c>
      <c r="CXO148" s="371" t="e">
        <f>CXL148*CXM148*CXN148</f>
        <v>#DIV/0!</v>
      </c>
      <c r="CXP148" s="367" t="s">
        <v>206</v>
      </c>
      <c r="CXQ148" s="367"/>
      <c r="CXR148" s="367"/>
      <c r="CXS148" s="368" t="s">
        <v>168</v>
      </c>
      <c r="CXT148" s="369">
        <v>0.5</v>
      </c>
      <c r="CXU148" s="370" t="e">
        <f>10/CXQ146</f>
        <v>#DIV/0!</v>
      </c>
      <c r="CXV148" s="371">
        <v>15.38</v>
      </c>
      <c r="CXW148" s="371" t="e">
        <f>CXT148*CXU148*CXV148</f>
        <v>#DIV/0!</v>
      </c>
      <c r="CXX148" s="367" t="s">
        <v>206</v>
      </c>
      <c r="CXY148" s="367"/>
      <c r="CXZ148" s="367"/>
      <c r="CYA148" s="368" t="s">
        <v>168</v>
      </c>
      <c r="CYB148" s="369">
        <v>0.5</v>
      </c>
      <c r="CYC148" s="370" t="e">
        <f>10/CXY146</f>
        <v>#DIV/0!</v>
      </c>
      <c r="CYD148" s="371">
        <v>15.38</v>
      </c>
      <c r="CYE148" s="371" t="e">
        <f>CYB148*CYC148*CYD148</f>
        <v>#DIV/0!</v>
      </c>
      <c r="CYF148" s="367" t="s">
        <v>206</v>
      </c>
      <c r="CYG148" s="367"/>
      <c r="CYH148" s="367"/>
      <c r="CYI148" s="368" t="s">
        <v>168</v>
      </c>
      <c r="CYJ148" s="369">
        <v>0.5</v>
      </c>
      <c r="CYK148" s="370" t="e">
        <f>10/CYG146</f>
        <v>#DIV/0!</v>
      </c>
      <c r="CYL148" s="371">
        <v>15.38</v>
      </c>
      <c r="CYM148" s="371" t="e">
        <f>CYJ148*CYK148*CYL148</f>
        <v>#DIV/0!</v>
      </c>
      <c r="CYN148" s="367" t="s">
        <v>206</v>
      </c>
      <c r="CYO148" s="367"/>
      <c r="CYP148" s="367"/>
      <c r="CYQ148" s="368" t="s">
        <v>168</v>
      </c>
      <c r="CYR148" s="369">
        <v>0.5</v>
      </c>
      <c r="CYS148" s="370" t="e">
        <f>10/CYO146</f>
        <v>#DIV/0!</v>
      </c>
      <c r="CYT148" s="371">
        <v>15.38</v>
      </c>
      <c r="CYU148" s="371" t="e">
        <f>CYR148*CYS148*CYT148</f>
        <v>#DIV/0!</v>
      </c>
      <c r="CYV148" s="367" t="s">
        <v>206</v>
      </c>
      <c r="CYW148" s="367"/>
      <c r="CYX148" s="367"/>
      <c r="CYY148" s="368" t="s">
        <v>168</v>
      </c>
      <c r="CYZ148" s="369">
        <v>0.5</v>
      </c>
      <c r="CZA148" s="370" t="e">
        <f>10/CYW146</f>
        <v>#DIV/0!</v>
      </c>
      <c r="CZB148" s="371">
        <v>15.38</v>
      </c>
      <c r="CZC148" s="371" t="e">
        <f>CYZ148*CZA148*CZB148</f>
        <v>#DIV/0!</v>
      </c>
      <c r="CZD148" s="367" t="s">
        <v>206</v>
      </c>
      <c r="CZE148" s="367"/>
      <c r="CZF148" s="367"/>
      <c r="CZG148" s="368" t="s">
        <v>168</v>
      </c>
      <c r="CZH148" s="369">
        <v>0.5</v>
      </c>
      <c r="CZI148" s="370" t="e">
        <f>10/CZE146</f>
        <v>#DIV/0!</v>
      </c>
      <c r="CZJ148" s="371">
        <v>15.38</v>
      </c>
      <c r="CZK148" s="371" t="e">
        <f>CZH148*CZI148*CZJ148</f>
        <v>#DIV/0!</v>
      </c>
      <c r="CZL148" s="367" t="s">
        <v>206</v>
      </c>
      <c r="CZM148" s="367"/>
      <c r="CZN148" s="367"/>
      <c r="CZO148" s="368" t="s">
        <v>168</v>
      </c>
      <c r="CZP148" s="369">
        <v>0.5</v>
      </c>
      <c r="CZQ148" s="370" t="e">
        <f>10/CZM146</f>
        <v>#DIV/0!</v>
      </c>
      <c r="CZR148" s="371">
        <v>15.38</v>
      </c>
      <c r="CZS148" s="371" t="e">
        <f>CZP148*CZQ148*CZR148</f>
        <v>#DIV/0!</v>
      </c>
      <c r="CZT148" s="367" t="s">
        <v>206</v>
      </c>
      <c r="CZU148" s="367"/>
      <c r="CZV148" s="367"/>
      <c r="CZW148" s="368" t="s">
        <v>168</v>
      </c>
      <c r="CZX148" s="369">
        <v>0.5</v>
      </c>
      <c r="CZY148" s="370" t="e">
        <f>10/CZU146</f>
        <v>#DIV/0!</v>
      </c>
      <c r="CZZ148" s="371">
        <v>15.38</v>
      </c>
      <c r="DAA148" s="371" t="e">
        <f>CZX148*CZY148*CZZ148</f>
        <v>#DIV/0!</v>
      </c>
      <c r="DAB148" s="367" t="s">
        <v>206</v>
      </c>
      <c r="DAC148" s="367"/>
      <c r="DAD148" s="367"/>
      <c r="DAE148" s="368" t="s">
        <v>168</v>
      </c>
      <c r="DAF148" s="369">
        <v>0.5</v>
      </c>
      <c r="DAG148" s="370" t="e">
        <f>10/DAC146</f>
        <v>#DIV/0!</v>
      </c>
      <c r="DAH148" s="371">
        <v>15.38</v>
      </c>
      <c r="DAI148" s="371" t="e">
        <f>DAF148*DAG148*DAH148</f>
        <v>#DIV/0!</v>
      </c>
      <c r="DAJ148" s="367" t="s">
        <v>206</v>
      </c>
      <c r="DAK148" s="367"/>
      <c r="DAL148" s="367"/>
      <c r="DAM148" s="368" t="s">
        <v>168</v>
      </c>
      <c r="DAN148" s="369">
        <v>0.5</v>
      </c>
      <c r="DAO148" s="370" t="e">
        <f>10/DAK146</f>
        <v>#DIV/0!</v>
      </c>
      <c r="DAP148" s="371">
        <v>15.38</v>
      </c>
      <c r="DAQ148" s="371" t="e">
        <f>DAN148*DAO148*DAP148</f>
        <v>#DIV/0!</v>
      </c>
      <c r="DAR148" s="367" t="s">
        <v>206</v>
      </c>
      <c r="DAS148" s="367"/>
      <c r="DAT148" s="367"/>
      <c r="DAU148" s="368" t="s">
        <v>168</v>
      </c>
      <c r="DAV148" s="369">
        <v>0.5</v>
      </c>
      <c r="DAW148" s="370" t="e">
        <f>10/DAS146</f>
        <v>#DIV/0!</v>
      </c>
      <c r="DAX148" s="371">
        <v>15.38</v>
      </c>
      <c r="DAY148" s="371" t="e">
        <f>DAV148*DAW148*DAX148</f>
        <v>#DIV/0!</v>
      </c>
      <c r="DAZ148" s="367" t="s">
        <v>206</v>
      </c>
      <c r="DBA148" s="367"/>
      <c r="DBB148" s="367"/>
      <c r="DBC148" s="368" t="s">
        <v>168</v>
      </c>
      <c r="DBD148" s="369">
        <v>0.5</v>
      </c>
      <c r="DBE148" s="370" t="e">
        <f>10/DBA146</f>
        <v>#DIV/0!</v>
      </c>
      <c r="DBF148" s="371">
        <v>15.38</v>
      </c>
      <c r="DBG148" s="371" t="e">
        <f>DBD148*DBE148*DBF148</f>
        <v>#DIV/0!</v>
      </c>
      <c r="DBH148" s="367" t="s">
        <v>206</v>
      </c>
      <c r="DBI148" s="367"/>
      <c r="DBJ148" s="367"/>
      <c r="DBK148" s="368" t="s">
        <v>168</v>
      </c>
      <c r="DBL148" s="369">
        <v>0.5</v>
      </c>
      <c r="DBM148" s="370" t="e">
        <f>10/DBI146</f>
        <v>#DIV/0!</v>
      </c>
      <c r="DBN148" s="371">
        <v>15.38</v>
      </c>
      <c r="DBO148" s="371" t="e">
        <f>DBL148*DBM148*DBN148</f>
        <v>#DIV/0!</v>
      </c>
      <c r="DBP148" s="367" t="s">
        <v>206</v>
      </c>
      <c r="DBQ148" s="367"/>
      <c r="DBR148" s="367"/>
      <c r="DBS148" s="368" t="s">
        <v>168</v>
      </c>
      <c r="DBT148" s="369">
        <v>0.5</v>
      </c>
      <c r="DBU148" s="370" t="e">
        <f>10/DBQ146</f>
        <v>#DIV/0!</v>
      </c>
      <c r="DBV148" s="371">
        <v>15.38</v>
      </c>
      <c r="DBW148" s="371" t="e">
        <f>DBT148*DBU148*DBV148</f>
        <v>#DIV/0!</v>
      </c>
      <c r="DBX148" s="367" t="s">
        <v>206</v>
      </c>
      <c r="DBY148" s="367"/>
      <c r="DBZ148" s="367"/>
      <c r="DCA148" s="368" t="s">
        <v>168</v>
      </c>
      <c r="DCB148" s="369">
        <v>0.5</v>
      </c>
      <c r="DCC148" s="370" t="e">
        <f>10/DBY146</f>
        <v>#DIV/0!</v>
      </c>
      <c r="DCD148" s="371">
        <v>15.38</v>
      </c>
      <c r="DCE148" s="371" t="e">
        <f>DCB148*DCC148*DCD148</f>
        <v>#DIV/0!</v>
      </c>
      <c r="DCF148" s="367" t="s">
        <v>206</v>
      </c>
      <c r="DCG148" s="367"/>
      <c r="DCH148" s="367"/>
      <c r="DCI148" s="368" t="s">
        <v>168</v>
      </c>
      <c r="DCJ148" s="369">
        <v>0.5</v>
      </c>
      <c r="DCK148" s="370" t="e">
        <f>10/DCG146</f>
        <v>#DIV/0!</v>
      </c>
      <c r="DCL148" s="371">
        <v>15.38</v>
      </c>
      <c r="DCM148" s="371" t="e">
        <f>DCJ148*DCK148*DCL148</f>
        <v>#DIV/0!</v>
      </c>
      <c r="DCN148" s="367" t="s">
        <v>206</v>
      </c>
      <c r="DCO148" s="367"/>
      <c r="DCP148" s="367"/>
      <c r="DCQ148" s="368" t="s">
        <v>168</v>
      </c>
      <c r="DCR148" s="369">
        <v>0.5</v>
      </c>
      <c r="DCS148" s="370" t="e">
        <f>10/DCO146</f>
        <v>#DIV/0!</v>
      </c>
      <c r="DCT148" s="371">
        <v>15.38</v>
      </c>
      <c r="DCU148" s="371" t="e">
        <f>DCR148*DCS148*DCT148</f>
        <v>#DIV/0!</v>
      </c>
      <c r="DCV148" s="367" t="s">
        <v>206</v>
      </c>
      <c r="DCW148" s="367"/>
      <c r="DCX148" s="367"/>
      <c r="DCY148" s="368" t="s">
        <v>168</v>
      </c>
      <c r="DCZ148" s="369">
        <v>0.5</v>
      </c>
      <c r="DDA148" s="370" t="e">
        <f>10/DCW146</f>
        <v>#DIV/0!</v>
      </c>
      <c r="DDB148" s="371">
        <v>15.38</v>
      </c>
      <c r="DDC148" s="371" t="e">
        <f>DCZ148*DDA148*DDB148</f>
        <v>#DIV/0!</v>
      </c>
      <c r="DDD148" s="367" t="s">
        <v>206</v>
      </c>
      <c r="DDE148" s="367"/>
      <c r="DDF148" s="367"/>
      <c r="DDG148" s="368" t="s">
        <v>168</v>
      </c>
      <c r="DDH148" s="369">
        <v>0.5</v>
      </c>
      <c r="DDI148" s="370" t="e">
        <f>10/DDE146</f>
        <v>#DIV/0!</v>
      </c>
      <c r="DDJ148" s="371">
        <v>15.38</v>
      </c>
      <c r="DDK148" s="371" t="e">
        <f>DDH148*DDI148*DDJ148</f>
        <v>#DIV/0!</v>
      </c>
      <c r="DDL148" s="367" t="s">
        <v>206</v>
      </c>
      <c r="DDM148" s="367"/>
      <c r="DDN148" s="367"/>
      <c r="DDO148" s="368" t="s">
        <v>168</v>
      </c>
      <c r="DDP148" s="369">
        <v>0.5</v>
      </c>
      <c r="DDQ148" s="370" t="e">
        <f>10/DDM146</f>
        <v>#DIV/0!</v>
      </c>
      <c r="DDR148" s="371">
        <v>15.38</v>
      </c>
      <c r="DDS148" s="371" t="e">
        <f>DDP148*DDQ148*DDR148</f>
        <v>#DIV/0!</v>
      </c>
      <c r="DDT148" s="367" t="s">
        <v>206</v>
      </c>
      <c r="DDU148" s="367"/>
      <c r="DDV148" s="367"/>
      <c r="DDW148" s="368" t="s">
        <v>168</v>
      </c>
      <c r="DDX148" s="369">
        <v>0.5</v>
      </c>
      <c r="DDY148" s="370" t="e">
        <f>10/DDU146</f>
        <v>#DIV/0!</v>
      </c>
      <c r="DDZ148" s="371">
        <v>15.38</v>
      </c>
      <c r="DEA148" s="371" t="e">
        <f>DDX148*DDY148*DDZ148</f>
        <v>#DIV/0!</v>
      </c>
      <c r="DEB148" s="367" t="s">
        <v>206</v>
      </c>
      <c r="DEC148" s="367"/>
      <c r="DED148" s="367"/>
      <c r="DEE148" s="368" t="s">
        <v>168</v>
      </c>
      <c r="DEF148" s="369">
        <v>0.5</v>
      </c>
      <c r="DEG148" s="370" t="e">
        <f>10/DEC146</f>
        <v>#DIV/0!</v>
      </c>
      <c r="DEH148" s="371">
        <v>15.38</v>
      </c>
      <c r="DEI148" s="371" t="e">
        <f>DEF148*DEG148*DEH148</f>
        <v>#DIV/0!</v>
      </c>
      <c r="DEJ148" s="367" t="s">
        <v>206</v>
      </c>
      <c r="DEK148" s="367"/>
      <c r="DEL148" s="367"/>
      <c r="DEM148" s="368" t="s">
        <v>168</v>
      </c>
      <c r="DEN148" s="369">
        <v>0.5</v>
      </c>
      <c r="DEO148" s="370" t="e">
        <f>10/DEK146</f>
        <v>#DIV/0!</v>
      </c>
      <c r="DEP148" s="371">
        <v>15.38</v>
      </c>
      <c r="DEQ148" s="371" t="e">
        <f>DEN148*DEO148*DEP148</f>
        <v>#DIV/0!</v>
      </c>
      <c r="DER148" s="367" t="s">
        <v>206</v>
      </c>
      <c r="DES148" s="367"/>
      <c r="DET148" s="367"/>
      <c r="DEU148" s="368" t="s">
        <v>168</v>
      </c>
      <c r="DEV148" s="369">
        <v>0.5</v>
      </c>
      <c r="DEW148" s="370" t="e">
        <f>10/DES146</f>
        <v>#DIV/0!</v>
      </c>
      <c r="DEX148" s="371">
        <v>15.38</v>
      </c>
      <c r="DEY148" s="371" t="e">
        <f>DEV148*DEW148*DEX148</f>
        <v>#DIV/0!</v>
      </c>
      <c r="DEZ148" s="367" t="s">
        <v>206</v>
      </c>
      <c r="DFA148" s="367"/>
      <c r="DFB148" s="367"/>
      <c r="DFC148" s="368" t="s">
        <v>168</v>
      </c>
      <c r="DFD148" s="369">
        <v>0.5</v>
      </c>
      <c r="DFE148" s="370" t="e">
        <f>10/DFA146</f>
        <v>#DIV/0!</v>
      </c>
      <c r="DFF148" s="371">
        <v>15.38</v>
      </c>
      <c r="DFG148" s="371" t="e">
        <f>DFD148*DFE148*DFF148</f>
        <v>#DIV/0!</v>
      </c>
      <c r="DFH148" s="367" t="s">
        <v>206</v>
      </c>
      <c r="DFI148" s="367"/>
      <c r="DFJ148" s="367"/>
      <c r="DFK148" s="368" t="s">
        <v>168</v>
      </c>
      <c r="DFL148" s="369">
        <v>0.5</v>
      </c>
      <c r="DFM148" s="370" t="e">
        <f>10/DFI146</f>
        <v>#DIV/0!</v>
      </c>
      <c r="DFN148" s="371">
        <v>15.38</v>
      </c>
      <c r="DFO148" s="371" t="e">
        <f>DFL148*DFM148*DFN148</f>
        <v>#DIV/0!</v>
      </c>
      <c r="DFP148" s="367" t="s">
        <v>206</v>
      </c>
      <c r="DFQ148" s="367"/>
      <c r="DFR148" s="367"/>
      <c r="DFS148" s="368" t="s">
        <v>168</v>
      </c>
      <c r="DFT148" s="369">
        <v>0.5</v>
      </c>
      <c r="DFU148" s="370" t="e">
        <f>10/DFQ146</f>
        <v>#DIV/0!</v>
      </c>
      <c r="DFV148" s="371">
        <v>15.38</v>
      </c>
      <c r="DFW148" s="371" t="e">
        <f>DFT148*DFU148*DFV148</f>
        <v>#DIV/0!</v>
      </c>
      <c r="DFX148" s="367" t="s">
        <v>206</v>
      </c>
      <c r="DFY148" s="367"/>
      <c r="DFZ148" s="367"/>
      <c r="DGA148" s="368" t="s">
        <v>168</v>
      </c>
      <c r="DGB148" s="369">
        <v>0.5</v>
      </c>
      <c r="DGC148" s="370" t="e">
        <f>10/DFY146</f>
        <v>#DIV/0!</v>
      </c>
      <c r="DGD148" s="371">
        <v>15.38</v>
      </c>
      <c r="DGE148" s="371" t="e">
        <f>DGB148*DGC148*DGD148</f>
        <v>#DIV/0!</v>
      </c>
      <c r="DGF148" s="367" t="s">
        <v>206</v>
      </c>
      <c r="DGG148" s="367"/>
      <c r="DGH148" s="367"/>
      <c r="DGI148" s="368" t="s">
        <v>168</v>
      </c>
      <c r="DGJ148" s="369">
        <v>0.5</v>
      </c>
      <c r="DGK148" s="370" t="e">
        <f>10/DGG146</f>
        <v>#DIV/0!</v>
      </c>
      <c r="DGL148" s="371">
        <v>15.38</v>
      </c>
      <c r="DGM148" s="371" t="e">
        <f>DGJ148*DGK148*DGL148</f>
        <v>#DIV/0!</v>
      </c>
      <c r="DGN148" s="367" t="s">
        <v>206</v>
      </c>
      <c r="DGO148" s="367"/>
      <c r="DGP148" s="367"/>
      <c r="DGQ148" s="368" t="s">
        <v>168</v>
      </c>
      <c r="DGR148" s="369">
        <v>0.5</v>
      </c>
      <c r="DGS148" s="370" t="e">
        <f>10/DGO146</f>
        <v>#DIV/0!</v>
      </c>
      <c r="DGT148" s="371">
        <v>15.38</v>
      </c>
      <c r="DGU148" s="371" t="e">
        <f>DGR148*DGS148*DGT148</f>
        <v>#DIV/0!</v>
      </c>
      <c r="DGV148" s="367" t="s">
        <v>206</v>
      </c>
      <c r="DGW148" s="367"/>
      <c r="DGX148" s="367"/>
      <c r="DGY148" s="368" t="s">
        <v>168</v>
      </c>
      <c r="DGZ148" s="369">
        <v>0.5</v>
      </c>
      <c r="DHA148" s="370" t="e">
        <f>10/DGW146</f>
        <v>#DIV/0!</v>
      </c>
      <c r="DHB148" s="371">
        <v>15.38</v>
      </c>
      <c r="DHC148" s="371" t="e">
        <f>DGZ148*DHA148*DHB148</f>
        <v>#DIV/0!</v>
      </c>
      <c r="DHD148" s="367" t="s">
        <v>206</v>
      </c>
      <c r="DHE148" s="367"/>
      <c r="DHF148" s="367"/>
      <c r="DHG148" s="368" t="s">
        <v>168</v>
      </c>
      <c r="DHH148" s="369">
        <v>0.5</v>
      </c>
      <c r="DHI148" s="370" t="e">
        <f>10/DHE146</f>
        <v>#DIV/0!</v>
      </c>
      <c r="DHJ148" s="371">
        <v>15.38</v>
      </c>
      <c r="DHK148" s="371" t="e">
        <f>DHH148*DHI148*DHJ148</f>
        <v>#DIV/0!</v>
      </c>
      <c r="DHL148" s="367" t="s">
        <v>206</v>
      </c>
      <c r="DHM148" s="367"/>
      <c r="DHN148" s="367"/>
      <c r="DHO148" s="368" t="s">
        <v>168</v>
      </c>
      <c r="DHP148" s="369">
        <v>0.5</v>
      </c>
      <c r="DHQ148" s="370" t="e">
        <f>10/DHM146</f>
        <v>#DIV/0!</v>
      </c>
      <c r="DHR148" s="371">
        <v>15.38</v>
      </c>
      <c r="DHS148" s="371" t="e">
        <f>DHP148*DHQ148*DHR148</f>
        <v>#DIV/0!</v>
      </c>
      <c r="DHT148" s="367" t="s">
        <v>206</v>
      </c>
      <c r="DHU148" s="367"/>
      <c r="DHV148" s="367"/>
      <c r="DHW148" s="368" t="s">
        <v>168</v>
      </c>
      <c r="DHX148" s="369">
        <v>0.5</v>
      </c>
      <c r="DHY148" s="370" t="e">
        <f>10/DHU146</f>
        <v>#DIV/0!</v>
      </c>
      <c r="DHZ148" s="371">
        <v>15.38</v>
      </c>
      <c r="DIA148" s="371" t="e">
        <f>DHX148*DHY148*DHZ148</f>
        <v>#DIV/0!</v>
      </c>
      <c r="DIB148" s="367" t="s">
        <v>206</v>
      </c>
      <c r="DIC148" s="367"/>
      <c r="DID148" s="367"/>
      <c r="DIE148" s="368" t="s">
        <v>168</v>
      </c>
      <c r="DIF148" s="369">
        <v>0.5</v>
      </c>
      <c r="DIG148" s="370" t="e">
        <f>10/DIC146</f>
        <v>#DIV/0!</v>
      </c>
      <c r="DIH148" s="371">
        <v>15.38</v>
      </c>
      <c r="DII148" s="371" t="e">
        <f>DIF148*DIG148*DIH148</f>
        <v>#DIV/0!</v>
      </c>
      <c r="DIJ148" s="367" t="s">
        <v>206</v>
      </c>
      <c r="DIK148" s="367"/>
      <c r="DIL148" s="367"/>
      <c r="DIM148" s="368" t="s">
        <v>168</v>
      </c>
      <c r="DIN148" s="369">
        <v>0.5</v>
      </c>
      <c r="DIO148" s="370" t="e">
        <f>10/DIK146</f>
        <v>#DIV/0!</v>
      </c>
      <c r="DIP148" s="371">
        <v>15.38</v>
      </c>
      <c r="DIQ148" s="371" t="e">
        <f>DIN148*DIO148*DIP148</f>
        <v>#DIV/0!</v>
      </c>
      <c r="DIR148" s="367" t="s">
        <v>206</v>
      </c>
      <c r="DIS148" s="367"/>
      <c r="DIT148" s="367"/>
      <c r="DIU148" s="368" t="s">
        <v>168</v>
      </c>
      <c r="DIV148" s="369">
        <v>0.5</v>
      </c>
      <c r="DIW148" s="370" t="e">
        <f>10/DIS146</f>
        <v>#DIV/0!</v>
      </c>
      <c r="DIX148" s="371">
        <v>15.38</v>
      </c>
      <c r="DIY148" s="371" t="e">
        <f>DIV148*DIW148*DIX148</f>
        <v>#DIV/0!</v>
      </c>
      <c r="DIZ148" s="367" t="s">
        <v>206</v>
      </c>
      <c r="DJA148" s="367"/>
      <c r="DJB148" s="367"/>
      <c r="DJC148" s="368" t="s">
        <v>168</v>
      </c>
      <c r="DJD148" s="369">
        <v>0.5</v>
      </c>
      <c r="DJE148" s="370" t="e">
        <f>10/DJA146</f>
        <v>#DIV/0!</v>
      </c>
      <c r="DJF148" s="371">
        <v>15.38</v>
      </c>
      <c r="DJG148" s="371" t="e">
        <f>DJD148*DJE148*DJF148</f>
        <v>#DIV/0!</v>
      </c>
      <c r="DJH148" s="367" t="s">
        <v>206</v>
      </c>
      <c r="DJI148" s="367"/>
      <c r="DJJ148" s="367"/>
      <c r="DJK148" s="368" t="s">
        <v>168</v>
      </c>
      <c r="DJL148" s="369">
        <v>0.5</v>
      </c>
      <c r="DJM148" s="370" t="e">
        <f>10/DJI146</f>
        <v>#DIV/0!</v>
      </c>
      <c r="DJN148" s="371">
        <v>15.38</v>
      </c>
      <c r="DJO148" s="371" t="e">
        <f>DJL148*DJM148*DJN148</f>
        <v>#DIV/0!</v>
      </c>
      <c r="DJP148" s="367" t="s">
        <v>206</v>
      </c>
      <c r="DJQ148" s="367"/>
      <c r="DJR148" s="367"/>
      <c r="DJS148" s="368" t="s">
        <v>168</v>
      </c>
      <c r="DJT148" s="369">
        <v>0.5</v>
      </c>
      <c r="DJU148" s="370" t="e">
        <f>10/DJQ146</f>
        <v>#DIV/0!</v>
      </c>
      <c r="DJV148" s="371">
        <v>15.38</v>
      </c>
      <c r="DJW148" s="371" t="e">
        <f>DJT148*DJU148*DJV148</f>
        <v>#DIV/0!</v>
      </c>
      <c r="DJX148" s="367" t="s">
        <v>206</v>
      </c>
      <c r="DJY148" s="367"/>
      <c r="DJZ148" s="367"/>
      <c r="DKA148" s="368" t="s">
        <v>168</v>
      </c>
      <c r="DKB148" s="369">
        <v>0.5</v>
      </c>
      <c r="DKC148" s="370" t="e">
        <f>10/DJY146</f>
        <v>#DIV/0!</v>
      </c>
      <c r="DKD148" s="371">
        <v>15.38</v>
      </c>
      <c r="DKE148" s="371" t="e">
        <f>DKB148*DKC148*DKD148</f>
        <v>#DIV/0!</v>
      </c>
      <c r="DKF148" s="367" t="s">
        <v>206</v>
      </c>
      <c r="DKG148" s="367"/>
      <c r="DKH148" s="367"/>
      <c r="DKI148" s="368" t="s">
        <v>168</v>
      </c>
      <c r="DKJ148" s="369">
        <v>0.5</v>
      </c>
      <c r="DKK148" s="370" t="e">
        <f>10/DKG146</f>
        <v>#DIV/0!</v>
      </c>
      <c r="DKL148" s="371">
        <v>15.38</v>
      </c>
      <c r="DKM148" s="371" t="e">
        <f>DKJ148*DKK148*DKL148</f>
        <v>#DIV/0!</v>
      </c>
      <c r="DKN148" s="367" t="s">
        <v>206</v>
      </c>
      <c r="DKO148" s="367"/>
      <c r="DKP148" s="367"/>
      <c r="DKQ148" s="368" t="s">
        <v>168</v>
      </c>
      <c r="DKR148" s="369">
        <v>0.5</v>
      </c>
      <c r="DKS148" s="370" t="e">
        <f>10/DKO146</f>
        <v>#DIV/0!</v>
      </c>
      <c r="DKT148" s="371">
        <v>15.38</v>
      </c>
      <c r="DKU148" s="371" t="e">
        <f>DKR148*DKS148*DKT148</f>
        <v>#DIV/0!</v>
      </c>
      <c r="DKV148" s="367" t="s">
        <v>206</v>
      </c>
      <c r="DKW148" s="367"/>
      <c r="DKX148" s="367"/>
      <c r="DKY148" s="368" t="s">
        <v>168</v>
      </c>
      <c r="DKZ148" s="369">
        <v>0.5</v>
      </c>
      <c r="DLA148" s="370" t="e">
        <f>10/DKW146</f>
        <v>#DIV/0!</v>
      </c>
      <c r="DLB148" s="371">
        <v>15.38</v>
      </c>
      <c r="DLC148" s="371" t="e">
        <f>DKZ148*DLA148*DLB148</f>
        <v>#DIV/0!</v>
      </c>
      <c r="DLD148" s="367" t="s">
        <v>206</v>
      </c>
      <c r="DLE148" s="367"/>
      <c r="DLF148" s="367"/>
      <c r="DLG148" s="368" t="s">
        <v>168</v>
      </c>
      <c r="DLH148" s="369">
        <v>0.5</v>
      </c>
      <c r="DLI148" s="370" t="e">
        <f>10/DLE146</f>
        <v>#DIV/0!</v>
      </c>
      <c r="DLJ148" s="371">
        <v>15.38</v>
      </c>
      <c r="DLK148" s="371" t="e">
        <f>DLH148*DLI148*DLJ148</f>
        <v>#DIV/0!</v>
      </c>
      <c r="DLL148" s="367" t="s">
        <v>206</v>
      </c>
      <c r="DLM148" s="367"/>
      <c r="DLN148" s="367"/>
      <c r="DLO148" s="368" t="s">
        <v>168</v>
      </c>
      <c r="DLP148" s="369">
        <v>0.5</v>
      </c>
      <c r="DLQ148" s="370" t="e">
        <f>10/DLM146</f>
        <v>#DIV/0!</v>
      </c>
      <c r="DLR148" s="371">
        <v>15.38</v>
      </c>
      <c r="DLS148" s="371" t="e">
        <f>DLP148*DLQ148*DLR148</f>
        <v>#DIV/0!</v>
      </c>
      <c r="DLT148" s="367" t="s">
        <v>206</v>
      </c>
      <c r="DLU148" s="367"/>
      <c r="DLV148" s="367"/>
      <c r="DLW148" s="368" t="s">
        <v>168</v>
      </c>
      <c r="DLX148" s="369">
        <v>0.5</v>
      </c>
      <c r="DLY148" s="370" t="e">
        <f>10/DLU146</f>
        <v>#DIV/0!</v>
      </c>
      <c r="DLZ148" s="371">
        <v>15.38</v>
      </c>
      <c r="DMA148" s="371" t="e">
        <f>DLX148*DLY148*DLZ148</f>
        <v>#DIV/0!</v>
      </c>
      <c r="DMB148" s="367" t="s">
        <v>206</v>
      </c>
      <c r="DMC148" s="367"/>
      <c r="DMD148" s="367"/>
      <c r="DME148" s="368" t="s">
        <v>168</v>
      </c>
      <c r="DMF148" s="369">
        <v>0.5</v>
      </c>
      <c r="DMG148" s="370" t="e">
        <f>10/DMC146</f>
        <v>#DIV/0!</v>
      </c>
      <c r="DMH148" s="371">
        <v>15.38</v>
      </c>
      <c r="DMI148" s="371" t="e">
        <f>DMF148*DMG148*DMH148</f>
        <v>#DIV/0!</v>
      </c>
      <c r="DMJ148" s="367" t="s">
        <v>206</v>
      </c>
      <c r="DMK148" s="367"/>
      <c r="DML148" s="367"/>
      <c r="DMM148" s="368" t="s">
        <v>168</v>
      </c>
      <c r="DMN148" s="369">
        <v>0.5</v>
      </c>
      <c r="DMO148" s="370" t="e">
        <f>10/DMK146</f>
        <v>#DIV/0!</v>
      </c>
      <c r="DMP148" s="371">
        <v>15.38</v>
      </c>
      <c r="DMQ148" s="371" t="e">
        <f>DMN148*DMO148*DMP148</f>
        <v>#DIV/0!</v>
      </c>
      <c r="DMR148" s="367" t="s">
        <v>206</v>
      </c>
      <c r="DMS148" s="367"/>
      <c r="DMT148" s="367"/>
      <c r="DMU148" s="368" t="s">
        <v>168</v>
      </c>
      <c r="DMV148" s="369">
        <v>0.5</v>
      </c>
      <c r="DMW148" s="370" t="e">
        <f>10/DMS146</f>
        <v>#DIV/0!</v>
      </c>
      <c r="DMX148" s="371">
        <v>15.38</v>
      </c>
      <c r="DMY148" s="371" t="e">
        <f>DMV148*DMW148*DMX148</f>
        <v>#DIV/0!</v>
      </c>
      <c r="DMZ148" s="367" t="s">
        <v>206</v>
      </c>
      <c r="DNA148" s="367"/>
      <c r="DNB148" s="367"/>
      <c r="DNC148" s="368" t="s">
        <v>168</v>
      </c>
      <c r="DND148" s="369">
        <v>0.5</v>
      </c>
      <c r="DNE148" s="370" t="e">
        <f>10/DNA146</f>
        <v>#DIV/0!</v>
      </c>
      <c r="DNF148" s="371">
        <v>15.38</v>
      </c>
      <c r="DNG148" s="371" t="e">
        <f>DND148*DNE148*DNF148</f>
        <v>#DIV/0!</v>
      </c>
      <c r="DNH148" s="367" t="s">
        <v>206</v>
      </c>
      <c r="DNI148" s="367"/>
      <c r="DNJ148" s="367"/>
      <c r="DNK148" s="368" t="s">
        <v>168</v>
      </c>
      <c r="DNL148" s="369">
        <v>0.5</v>
      </c>
      <c r="DNM148" s="370" t="e">
        <f>10/DNI146</f>
        <v>#DIV/0!</v>
      </c>
      <c r="DNN148" s="371">
        <v>15.38</v>
      </c>
      <c r="DNO148" s="371" t="e">
        <f>DNL148*DNM148*DNN148</f>
        <v>#DIV/0!</v>
      </c>
      <c r="DNP148" s="367" t="s">
        <v>206</v>
      </c>
      <c r="DNQ148" s="367"/>
      <c r="DNR148" s="367"/>
      <c r="DNS148" s="368" t="s">
        <v>168</v>
      </c>
      <c r="DNT148" s="369">
        <v>0.5</v>
      </c>
      <c r="DNU148" s="370" t="e">
        <f>10/DNQ146</f>
        <v>#DIV/0!</v>
      </c>
      <c r="DNV148" s="371">
        <v>15.38</v>
      </c>
      <c r="DNW148" s="371" t="e">
        <f>DNT148*DNU148*DNV148</f>
        <v>#DIV/0!</v>
      </c>
      <c r="DNX148" s="367" t="s">
        <v>206</v>
      </c>
      <c r="DNY148" s="367"/>
      <c r="DNZ148" s="367"/>
      <c r="DOA148" s="368" t="s">
        <v>168</v>
      </c>
      <c r="DOB148" s="369">
        <v>0.5</v>
      </c>
      <c r="DOC148" s="370" t="e">
        <f>10/DNY146</f>
        <v>#DIV/0!</v>
      </c>
      <c r="DOD148" s="371">
        <v>15.38</v>
      </c>
      <c r="DOE148" s="371" t="e">
        <f>DOB148*DOC148*DOD148</f>
        <v>#DIV/0!</v>
      </c>
      <c r="DOF148" s="367" t="s">
        <v>206</v>
      </c>
      <c r="DOG148" s="367"/>
      <c r="DOH148" s="367"/>
      <c r="DOI148" s="368" t="s">
        <v>168</v>
      </c>
      <c r="DOJ148" s="369">
        <v>0.5</v>
      </c>
      <c r="DOK148" s="370" t="e">
        <f>10/DOG146</f>
        <v>#DIV/0!</v>
      </c>
      <c r="DOL148" s="371">
        <v>15.38</v>
      </c>
      <c r="DOM148" s="371" t="e">
        <f>DOJ148*DOK148*DOL148</f>
        <v>#DIV/0!</v>
      </c>
      <c r="DON148" s="367" t="s">
        <v>206</v>
      </c>
      <c r="DOO148" s="367"/>
      <c r="DOP148" s="367"/>
      <c r="DOQ148" s="368" t="s">
        <v>168</v>
      </c>
      <c r="DOR148" s="369">
        <v>0.5</v>
      </c>
      <c r="DOS148" s="370" t="e">
        <f>10/DOO146</f>
        <v>#DIV/0!</v>
      </c>
      <c r="DOT148" s="371">
        <v>15.38</v>
      </c>
      <c r="DOU148" s="371" t="e">
        <f>DOR148*DOS148*DOT148</f>
        <v>#DIV/0!</v>
      </c>
      <c r="DOV148" s="367" t="s">
        <v>206</v>
      </c>
      <c r="DOW148" s="367"/>
      <c r="DOX148" s="367"/>
      <c r="DOY148" s="368" t="s">
        <v>168</v>
      </c>
      <c r="DOZ148" s="369">
        <v>0.5</v>
      </c>
      <c r="DPA148" s="370" t="e">
        <f>10/DOW146</f>
        <v>#DIV/0!</v>
      </c>
      <c r="DPB148" s="371">
        <v>15.38</v>
      </c>
      <c r="DPC148" s="371" t="e">
        <f>DOZ148*DPA148*DPB148</f>
        <v>#DIV/0!</v>
      </c>
      <c r="DPD148" s="367" t="s">
        <v>206</v>
      </c>
      <c r="DPE148" s="367"/>
      <c r="DPF148" s="367"/>
      <c r="DPG148" s="368" t="s">
        <v>168</v>
      </c>
      <c r="DPH148" s="369">
        <v>0.5</v>
      </c>
      <c r="DPI148" s="370" t="e">
        <f>10/DPE146</f>
        <v>#DIV/0!</v>
      </c>
      <c r="DPJ148" s="371">
        <v>15.38</v>
      </c>
      <c r="DPK148" s="371" t="e">
        <f>DPH148*DPI148*DPJ148</f>
        <v>#DIV/0!</v>
      </c>
      <c r="DPL148" s="367" t="s">
        <v>206</v>
      </c>
      <c r="DPM148" s="367"/>
      <c r="DPN148" s="367"/>
      <c r="DPO148" s="368" t="s">
        <v>168</v>
      </c>
      <c r="DPP148" s="369">
        <v>0.5</v>
      </c>
      <c r="DPQ148" s="370" t="e">
        <f>10/DPM146</f>
        <v>#DIV/0!</v>
      </c>
      <c r="DPR148" s="371">
        <v>15.38</v>
      </c>
      <c r="DPS148" s="371" t="e">
        <f>DPP148*DPQ148*DPR148</f>
        <v>#DIV/0!</v>
      </c>
      <c r="DPT148" s="367" t="s">
        <v>206</v>
      </c>
      <c r="DPU148" s="367"/>
      <c r="DPV148" s="367"/>
      <c r="DPW148" s="368" t="s">
        <v>168</v>
      </c>
      <c r="DPX148" s="369">
        <v>0.5</v>
      </c>
      <c r="DPY148" s="370" t="e">
        <f>10/DPU146</f>
        <v>#DIV/0!</v>
      </c>
      <c r="DPZ148" s="371">
        <v>15.38</v>
      </c>
      <c r="DQA148" s="371" t="e">
        <f>DPX148*DPY148*DPZ148</f>
        <v>#DIV/0!</v>
      </c>
      <c r="DQB148" s="367" t="s">
        <v>206</v>
      </c>
      <c r="DQC148" s="367"/>
      <c r="DQD148" s="367"/>
      <c r="DQE148" s="368" t="s">
        <v>168</v>
      </c>
      <c r="DQF148" s="369">
        <v>0.5</v>
      </c>
      <c r="DQG148" s="370" t="e">
        <f>10/DQC146</f>
        <v>#DIV/0!</v>
      </c>
      <c r="DQH148" s="371">
        <v>15.38</v>
      </c>
      <c r="DQI148" s="371" t="e">
        <f>DQF148*DQG148*DQH148</f>
        <v>#DIV/0!</v>
      </c>
      <c r="DQJ148" s="367" t="s">
        <v>206</v>
      </c>
      <c r="DQK148" s="367"/>
      <c r="DQL148" s="367"/>
      <c r="DQM148" s="368" t="s">
        <v>168</v>
      </c>
      <c r="DQN148" s="369">
        <v>0.5</v>
      </c>
      <c r="DQO148" s="370" t="e">
        <f>10/DQK146</f>
        <v>#DIV/0!</v>
      </c>
      <c r="DQP148" s="371">
        <v>15.38</v>
      </c>
      <c r="DQQ148" s="371" t="e">
        <f>DQN148*DQO148*DQP148</f>
        <v>#DIV/0!</v>
      </c>
      <c r="DQR148" s="367" t="s">
        <v>206</v>
      </c>
      <c r="DQS148" s="367"/>
      <c r="DQT148" s="367"/>
      <c r="DQU148" s="368" t="s">
        <v>168</v>
      </c>
      <c r="DQV148" s="369">
        <v>0.5</v>
      </c>
      <c r="DQW148" s="370" t="e">
        <f>10/DQS146</f>
        <v>#DIV/0!</v>
      </c>
      <c r="DQX148" s="371">
        <v>15.38</v>
      </c>
      <c r="DQY148" s="371" t="e">
        <f>DQV148*DQW148*DQX148</f>
        <v>#DIV/0!</v>
      </c>
      <c r="DQZ148" s="367" t="s">
        <v>206</v>
      </c>
      <c r="DRA148" s="367"/>
      <c r="DRB148" s="367"/>
      <c r="DRC148" s="368" t="s">
        <v>168</v>
      </c>
      <c r="DRD148" s="369">
        <v>0.5</v>
      </c>
      <c r="DRE148" s="370" t="e">
        <f>10/DRA146</f>
        <v>#DIV/0!</v>
      </c>
      <c r="DRF148" s="371">
        <v>15.38</v>
      </c>
      <c r="DRG148" s="371" t="e">
        <f>DRD148*DRE148*DRF148</f>
        <v>#DIV/0!</v>
      </c>
      <c r="DRH148" s="367" t="s">
        <v>206</v>
      </c>
      <c r="DRI148" s="367"/>
      <c r="DRJ148" s="367"/>
      <c r="DRK148" s="368" t="s">
        <v>168</v>
      </c>
      <c r="DRL148" s="369">
        <v>0.5</v>
      </c>
      <c r="DRM148" s="370" t="e">
        <f>10/DRI146</f>
        <v>#DIV/0!</v>
      </c>
      <c r="DRN148" s="371">
        <v>15.38</v>
      </c>
      <c r="DRO148" s="371" t="e">
        <f>DRL148*DRM148*DRN148</f>
        <v>#DIV/0!</v>
      </c>
      <c r="DRP148" s="367" t="s">
        <v>206</v>
      </c>
      <c r="DRQ148" s="367"/>
      <c r="DRR148" s="367"/>
      <c r="DRS148" s="368" t="s">
        <v>168</v>
      </c>
      <c r="DRT148" s="369">
        <v>0.5</v>
      </c>
      <c r="DRU148" s="370" t="e">
        <f>10/DRQ146</f>
        <v>#DIV/0!</v>
      </c>
      <c r="DRV148" s="371">
        <v>15.38</v>
      </c>
      <c r="DRW148" s="371" t="e">
        <f>DRT148*DRU148*DRV148</f>
        <v>#DIV/0!</v>
      </c>
      <c r="DRX148" s="367" t="s">
        <v>206</v>
      </c>
      <c r="DRY148" s="367"/>
      <c r="DRZ148" s="367"/>
      <c r="DSA148" s="368" t="s">
        <v>168</v>
      </c>
      <c r="DSB148" s="369">
        <v>0.5</v>
      </c>
      <c r="DSC148" s="370" t="e">
        <f>10/DRY146</f>
        <v>#DIV/0!</v>
      </c>
      <c r="DSD148" s="371">
        <v>15.38</v>
      </c>
      <c r="DSE148" s="371" t="e">
        <f>DSB148*DSC148*DSD148</f>
        <v>#DIV/0!</v>
      </c>
      <c r="DSF148" s="367" t="s">
        <v>206</v>
      </c>
      <c r="DSG148" s="367"/>
      <c r="DSH148" s="367"/>
      <c r="DSI148" s="368" t="s">
        <v>168</v>
      </c>
      <c r="DSJ148" s="369">
        <v>0.5</v>
      </c>
      <c r="DSK148" s="370" t="e">
        <f>10/DSG146</f>
        <v>#DIV/0!</v>
      </c>
      <c r="DSL148" s="371">
        <v>15.38</v>
      </c>
      <c r="DSM148" s="371" t="e">
        <f>DSJ148*DSK148*DSL148</f>
        <v>#DIV/0!</v>
      </c>
      <c r="DSN148" s="367" t="s">
        <v>206</v>
      </c>
      <c r="DSO148" s="367"/>
      <c r="DSP148" s="367"/>
      <c r="DSQ148" s="368" t="s">
        <v>168</v>
      </c>
      <c r="DSR148" s="369">
        <v>0.5</v>
      </c>
      <c r="DSS148" s="370" t="e">
        <f>10/DSO146</f>
        <v>#DIV/0!</v>
      </c>
      <c r="DST148" s="371">
        <v>15.38</v>
      </c>
      <c r="DSU148" s="371" t="e">
        <f>DSR148*DSS148*DST148</f>
        <v>#DIV/0!</v>
      </c>
      <c r="DSV148" s="367" t="s">
        <v>206</v>
      </c>
      <c r="DSW148" s="367"/>
      <c r="DSX148" s="367"/>
      <c r="DSY148" s="368" t="s">
        <v>168</v>
      </c>
      <c r="DSZ148" s="369">
        <v>0.5</v>
      </c>
      <c r="DTA148" s="370" t="e">
        <f>10/DSW146</f>
        <v>#DIV/0!</v>
      </c>
      <c r="DTB148" s="371">
        <v>15.38</v>
      </c>
      <c r="DTC148" s="371" t="e">
        <f>DSZ148*DTA148*DTB148</f>
        <v>#DIV/0!</v>
      </c>
      <c r="DTD148" s="367" t="s">
        <v>206</v>
      </c>
      <c r="DTE148" s="367"/>
      <c r="DTF148" s="367"/>
      <c r="DTG148" s="368" t="s">
        <v>168</v>
      </c>
      <c r="DTH148" s="369">
        <v>0.5</v>
      </c>
      <c r="DTI148" s="370" t="e">
        <f>10/DTE146</f>
        <v>#DIV/0!</v>
      </c>
      <c r="DTJ148" s="371">
        <v>15.38</v>
      </c>
      <c r="DTK148" s="371" t="e">
        <f>DTH148*DTI148*DTJ148</f>
        <v>#DIV/0!</v>
      </c>
      <c r="DTL148" s="367" t="s">
        <v>206</v>
      </c>
      <c r="DTM148" s="367"/>
      <c r="DTN148" s="367"/>
      <c r="DTO148" s="368" t="s">
        <v>168</v>
      </c>
      <c r="DTP148" s="369">
        <v>0.5</v>
      </c>
      <c r="DTQ148" s="370" t="e">
        <f>10/DTM146</f>
        <v>#DIV/0!</v>
      </c>
      <c r="DTR148" s="371">
        <v>15.38</v>
      </c>
      <c r="DTS148" s="371" t="e">
        <f>DTP148*DTQ148*DTR148</f>
        <v>#DIV/0!</v>
      </c>
      <c r="DTT148" s="367" t="s">
        <v>206</v>
      </c>
      <c r="DTU148" s="367"/>
      <c r="DTV148" s="367"/>
      <c r="DTW148" s="368" t="s">
        <v>168</v>
      </c>
      <c r="DTX148" s="369">
        <v>0.5</v>
      </c>
      <c r="DTY148" s="370" t="e">
        <f>10/DTU146</f>
        <v>#DIV/0!</v>
      </c>
      <c r="DTZ148" s="371">
        <v>15.38</v>
      </c>
      <c r="DUA148" s="371" t="e">
        <f>DTX148*DTY148*DTZ148</f>
        <v>#DIV/0!</v>
      </c>
      <c r="DUB148" s="367" t="s">
        <v>206</v>
      </c>
      <c r="DUC148" s="367"/>
      <c r="DUD148" s="367"/>
      <c r="DUE148" s="368" t="s">
        <v>168</v>
      </c>
      <c r="DUF148" s="369">
        <v>0.5</v>
      </c>
      <c r="DUG148" s="370" t="e">
        <f>10/DUC146</f>
        <v>#DIV/0!</v>
      </c>
      <c r="DUH148" s="371">
        <v>15.38</v>
      </c>
      <c r="DUI148" s="371" t="e">
        <f>DUF148*DUG148*DUH148</f>
        <v>#DIV/0!</v>
      </c>
      <c r="DUJ148" s="367" t="s">
        <v>206</v>
      </c>
      <c r="DUK148" s="367"/>
      <c r="DUL148" s="367"/>
      <c r="DUM148" s="368" t="s">
        <v>168</v>
      </c>
      <c r="DUN148" s="369">
        <v>0.5</v>
      </c>
      <c r="DUO148" s="370" t="e">
        <f>10/DUK146</f>
        <v>#DIV/0!</v>
      </c>
      <c r="DUP148" s="371">
        <v>15.38</v>
      </c>
      <c r="DUQ148" s="371" t="e">
        <f>DUN148*DUO148*DUP148</f>
        <v>#DIV/0!</v>
      </c>
      <c r="DUR148" s="367" t="s">
        <v>206</v>
      </c>
      <c r="DUS148" s="367"/>
      <c r="DUT148" s="367"/>
      <c r="DUU148" s="368" t="s">
        <v>168</v>
      </c>
      <c r="DUV148" s="369">
        <v>0.5</v>
      </c>
      <c r="DUW148" s="370" t="e">
        <f>10/DUS146</f>
        <v>#DIV/0!</v>
      </c>
      <c r="DUX148" s="371">
        <v>15.38</v>
      </c>
      <c r="DUY148" s="371" t="e">
        <f>DUV148*DUW148*DUX148</f>
        <v>#DIV/0!</v>
      </c>
      <c r="DUZ148" s="367" t="s">
        <v>206</v>
      </c>
      <c r="DVA148" s="367"/>
      <c r="DVB148" s="367"/>
      <c r="DVC148" s="368" t="s">
        <v>168</v>
      </c>
      <c r="DVD148" s="369">
        <v>0.5</v>
      </c>
      <c r="DVE148" s="370" t="e">
        <f>10/DVA146</f>
        <v>#DIV/0!</v>
      </c>
      <c r="DVF148" s="371">
        <v>15.38</v>
      </c>
      <c r="DVG148" s="371" t="e">
        <f>DVD148*DVE148*DVF148</f>
        <v>#DIV/0!</v>
      </c>
      <c r="DVH148" s="367" t="s">
        <v>206</v>
      </c>
      <c r="DVI148" s="367"/>
      <c r="DVJ148" s="367"/>
      <c r="DVK148" s="368" t="s">
        <v>168</v>
      </c>
      <c r="DVL148" s="369">
        <v>0.5</v>
      </c>
      <c r="DVM148" s="370" t="e">
        <f>10/DVI146</f>
        <v>#DIV/0!</v>
      </c>
      <c r="DVN148" s="371">
        <v>15.38</v>
      </c>
      <c r="DVO148" s="371" t="e">
        <f>DVL148*DVM148*DVN148</f>
        <v>#DIV/0!</v>
      </c>
      <c r="DVP148" s="367" t="s">
        <v>206</v>
      </c>
      <c r="DVQ148" s="367"/>
      <c r="DVR148" s="367"/>
      <c r="DVS148" s="368" t="s">
        <v>168</v>
      </c>
      <c r="DVT148" s="369">
        <v>0.5</v>
      </c>
      <c r="DVU148" s="370" t="e">
        <f>10/DVQ146</f>
        <v>#DIV/0!</v>
      </c>
      <c r="DVV148" s="371">
        <v>15.38</v>
      </c>
      <c r="DVW148" s="371" t="e">
        <f>DVT148*DVU148*DVV148</f>
        <v>#DIV/0!</v>
      </c>
      <c r="DVX148" s="367" t="s">
        <v>206</v>
      </c>
      <c r="DVY148" s="367"/>
      <c r="DVZ148" s="367"/>
      <c r="DWA148" s="368" t="s">
        <v>168</v>
      </c>
      <c r="DWB148" s="369">
        <v>0.5</v>
      </c>
      <c r="DWC148" s="370" t="e">
        <f>10/DVY146</f>
        <v>#DIV/0!</v>
      </c>
      <c r="DWD148" s="371">
        <v>15.38</v>
      </c>
      <c r="DWE148" s="371" t="e">
        <f>DWB148*DWC148*DWD148</f>
        <v>#DIV/0!</v>
      </c>
      <c r="DWF148" s="367" t="s">
        <v>206</v>
      </c>
      <c r="DWG148" s="367"/>
      <c r="DWH148" s="367"/>
      <c r="DWI148" s="368" t="s">
        <v>168</v>
      </c>
      <c r="DWJ148" s="369">
        <v>0.5</v>
      </c>
      <c r="DWK148" s="370" t="e">
        <f>10/DWG146</f>
        <v>#DIV/0!</v>
      </c>
      <c r="DWL148" s="371">
        <v>15.38</v>
      </c>
      <c r="DWM148" s="371" t="e">
        <f>DWJ148*DWK148*DWL148</f>
        <v>#DIV/0!</v>
      </c>
      <c r="DWN148" s="367" t="s">
        <v>206</v>
      </c>
      <c r="DWO148" s="367"/>
      <c r="DWP148" s="367"/>
      <c r="DWQ148" s="368" t="s">
        <v>168</v>
      </c>
      <c r="DWR148" s="369">
        <v>0.5</v>
      </c>
      <c r="DWS148" s="370" t="e">
        <f>10/DWO146</f>
        <v>#DIV/0!</v>
      </c>
      <c r="DWT148" s="371">
        <v>15.38</v>
      </c>
      <c r="DWU148" s="371" t="e">
        <f>DWR148*DWS148*DWT148</f>
        <v>#DIV/0!</v>
      </c>
      <c r="DWV148" s="367" t="s">
        <v>206</v>
      </c>
      <c r="DWW148" s="367"/>
      <c r="DWX148" s="367"/>
      <c r="DWY148" s="368" t="s">
        <v>168</v>
      </c>
      <c r="DWZ148" s="369">
        <v>0.5</v>
      </c>
      <c r="DXA148" s="370" t="e">
        <f>10/DWW146</f>
        <v>#DIV/0!</v>
      </c>
      <c r="DXB148" s="371">
        <v>15.38</v>
      </c>
      <c r="DXC148" s="371" t="e">
        <f>DWZ148*DXA148*DXB148</f>
        <v>#DIV/0!</v>
      </c>
      <c r="DXD148" s="367" t="s">
        <v>206</v>
      </c>
      <c r="DXE148" s="367"/>
      <c r="DXF148" s="367"/>
      <c r="DXG148" s="368" t="s">
        <v>168</v>
      </c>
      <c r="DXH148" s="369">
        <v>0.5</v>
      </c>
      <c r="DXI148" s="370" t="e">
        <f>10/DXE146</f>
        <v>#DIV/0!</v>
      </c>
      <c r="DXJ148" s="371">
        <v>15.38</v>
      </c>
      <c r="DXK148" s="371" t="e">
        <f>DXH148*DXI148*DXJ148</f>
        <v>#DIV/0!</v>
      </c>
      <c r="DXL148" s="367" t="s">
        <v>206</v>
      </c>
      <c r="DXM148" s="367"/>
      <c r="DXN148" s="367"/>
      <c r="DXO148" s="368" t="s">
        <v>168</v>
      </c>
      <c r="DXP148" s="369">
        <v>0.5</v>
      </c>
      <c r="DXQ148" s="370" t="e">
        <f>10/DXM146</f>
        <v>#DIV/0!</v>
      </c>
      <c r="DXR148" s="371">
        <v>15.38</v>
      </c>
      <c r="DXS148" s="371" t="e">
        <f>DXP148*DXQ148*DXR148</f>
        <v>#DIV/0!</v>
      </c>
      <c r="DXT148" s="367" t="s">
        <v>206</v>
      </c>
      <c r="DXU148" s="367"/>
      <c r="DXV148" s="367"/>
      <c r="DXW148" s="368" t="s">
        <v>168</v>
      </c>
      <c r="DXX148" s="369">
        <v>0.5</v>
      </c>
      <c r="DXY148" s="370" t="e">
        <f>10/DXU146</f>
        <v>#DIV/0!</v>
      </c>
      <c r="DXZ148" s="371">
        <v>15.38</v>
      </c>
      <c r="DYA148" s="371" t="e">
        <f>DXX148*DXY148*DXZ148</f>
        <v>#DIV/0!</v>
      </c>
      <c r="DYB148" s="367" t="s">
        <v>206</v>
      </c>
      <c r="DYC148" s="367"/>
      <c r="DYD148" s="367"/>
      <c r="DYE148" s="368" t="s">
        <v>168</v>
      </c>
      <c r="DYF148" s="369">
        <v>0.5</v>
      </c>
      <c r="DYG148" s="370" t="e">
        <f>10/DYC146</f>
        <v>#DIV/0!</v>
      </c>
      <c r="DYH148" s="371">
        <v>15.38</v>
      </c>
      <c r="DYI148" s="371" t="e">
        <f>DYF148*DYG148*DYH148</f>
        <v>#DIV/0!</v>
      </c>
      <c r="DYJ148" s="367" t="s">
        <v>206</v>
      </c>
      <c r="DYK148" s="367"/>
      <c r="DYL148" s="367"/>
      <c r="DYM148" s="368" t="s">
        <v>168</v>
      </c>
      <c r="DYN148" s="369">
        <v>0.5</v>
      </c>
      <c r="DYO148" s="370" t="e">
        <f>10/DYK146</f>
        <v>#DIV/0!</v>
      </c>
      <c r="DYP148" s="371">
        <v>15.38</v>
      </c>
      <c r="DYQ148" s="371" t="e">
        <f>DYN148*DYO148*DYP148</f>
        <v>#DIV/0!</v>
      </c>
      <c r="DYR148" s="367" t="s">
        <v>206</v>
      </c>
      <c r="DYS148" s="367"/>
      <c r="DYT148" s="367"/>
      <c r="DYU148" s="368" t="s">
        <v>168</v>
      </c>
      <c r="DYV148" s="369">
        <v>0.5</v>
      </c>
      <c r="DYW148" s="370" t="e">
        <f>10/DYS146</f>
        <v>#DIV/0!</v>
      </c>
      <c r="DYX148" s="371">
        <v>15.38</v>
      </c>
      <c r="DYY148" s="371" t="e">
        <f>DYV148*DYW148*DYX148</f>
        <v>#DIV/0!</v>
      </c>
      <c r="DYZ148" s="367" t="s">
        <v>206</v>
      </c>
      <c r="DZA148" s="367"/>
      <c r="DZB148" s="367"/>
      <c r="DZC148" s="368" t="s">
        <v>168</v>
      </c>
      <c r="DZD148" s="369">
        <v>0.5</v>
      </c>
      <c r="DZE148" s="370" t="e">
        <f>10/DZA146</f>
        <v>#DIV/0!</v>
      </c>
      <c r="DZF148" s="371">
        <v>15.38</v>
      </c>
      <c r="DZG148" s="371" t="e">
        <f>DZD148*DZE148*DZF148</f>
        <v>#DIV/0!</v>
      </c>
      <c r="DZH148" s="367" t="s">
        <v>206</v>
      </c>
      <c r="DZI148" s="367"/>
      <c r="DZJ148" s="367"/>
      <c r="DZK148" s="368" t="s">
        <v>168</v>
      </c>
      <c r="DZL148" s="369">
        <v>0.5</v>
      </c>
      <c r="DZM148" s="370" t="e">
        <f>10/DZI146</f>
        <v>#DIV/0!</v>
      </c>
      <c r="DZN148" s="371">
        <v>15.38</v>
      </c>
      <c r="DZO148" s="371" t="e">
        <f>DZL148*DZM148*DZN148</f>
        <v>#DIV/0!</v>
      </c>
      <c r="DZP148" s="367" t="s">
        <v>206</v>
      </c>
      <c r="DZQ148" s="367"/>
      <c r="DZR148" s="367"/>
      <c r="DZS148" s="368" t="s">
        <v>168</v>
      </c>
      <c r="DZT148" s="369">
        <v>0.5</v>
      </c>
      <c r="DZU148" s="370" t="e">
        <f>10/DZQ146</f>
        <v>#DIV/0!</v>
      </c>
      <c r="DZV148" s="371">
        <v>15.38</v>
      </c>
      <c r="DZW148" s="371" t="e">
        <f>DZT148*DZU148*DZV148</f>
        <v>#DIV/0!</v>
      </c>
      <c r="DZX148" s="367" t="s">
        <v>206</v>
      </c>
      <c r="DZY148" s="367"/>
      <c r="DZZ148" s="367"/>
      <c r="EAA148" s="368" t="s">
        <v>168</v>
      </c>
      <c r="EAB148" s="369">
        <v>0.5</v>
      </c>
      <c r="EAC148" s="370" t="e">
        <f>10/DZY146</f>
        <v>#DIV/0!</v>
      </c>
      <c r="EAD148" s="371">
        <v>15.38</v>
      </c>
      <c r="EAE148" s="371" t="e">
        <f>EAB148*EAC148*EAD148</f>
        <v>#DIV/0!</v>
      </c>
      <c r="EAF148" s="367" t="s">
        <v>206</v>
      </c>
      <c r="EAG148" s="367"/>
      <c r="EAH148" s="367"/>
      <c r="EAI148" s="368" t="s">
        <v>168</v>
      </c>
      <c r="EAJ148" s="369">
        <v>0.5</v>
      </c>
      <c r="EAK148" s="370" t="e">
        <f>10/EAG146</f>
        <v>#DIV/0!</v>
      </c>
      <c r="EAL148" s="371">
        <v>15.38</v>
      </c>
      <c r="EAM148" s="371" t="e">
        <f>EAJ148*EAK148*EAL148</f>
        <v>#DIV/0!</v>
      </c>
      <c r="EAN148" s="367" t="s">
        <v>206</v>
      </c>
      <c r="EAO148" s="367"/>
      <c r="EAP148" s="367"/>
      <c r="EAQ148" s="368" t="s">
        <v>168</v>
      </c>
      <c r="EAR148" s="369">
        <v>0.5</v>
      </c>
      <c r="EAS148" s="370" t="e">
        <f>10/EAO146</f>
        <v>#DIV/0!</v>
      </c>
      <c r="EAT148" s="371">
        <v>15.38</v>
      </c>
      <c r="EAU148" s="371" t="e">
        <f>EAR148*EAS148*EAT148</f>
        <v>#DIV/0!</v>
      </c>
      <c r="EAV148" s="367" t="s">
        <v>206</v>
      </c>
      <c r="EAW148" s="367"/>
      <c r="EAX148" s="367"/>
      <c r="EAY148" s="368" t="s">
        <v>168</v>
      </c>
      <c r="EAZ148" s="369">
        <v>0.5</v>
      </c>
      <c r="EBA148" s="370" t="e">
        <f>10/EAW146</f>
        <v>#DIV/0!</v>
      </c>
      <c r="EBB148" s="371">
        <v>15.38</v>
      </c>
      <c r="EBC148" s="371" t="e">
        <f>EAZ148*EBA148*EBB148</f>
        <v>#DIV/0!</v>
      </c>
      <c r="EBD148" s="367" t="s">
        <v>206</v>
      </c>
      <c r="EBE148" s="367"/>
      <c r="EBF148" s="367"/>
      <c r="EBG148" s="368" t="s">
        <v>168</v>
      </c>
      <c r="EBH148" s="369">
        <v>0.5</v>
      </c>
      <c r="EBI148" s="370" t="e">
        <f>10/EBE146</f>
        <v>#DIV/0!</v>
      </c>
      <c r="EBJ148" s="371">
        <v>15.38</v>
      </c>
      <c r="EBK148" s="371" t="e">
        <f>EBH148*EBI148*EBJ148</f>
        <v>#DIV/0!</v>
      </c>
      <c r="EBL148" s="367" t="s">
        <v>206</v>
      </c>
      <c r="EBM148" s="367"/>
      <c r="EBN148" s="367"/>
      <c r="EBO148" s="368" t="s">
        <v>168</v>
      </c>
      <c r="EBP148" s="369">
        <v>0.5</v>
      </c>
      <c r="EBQ148" s="370" t="e">
        <f>10/EBM146</f>
        <v>#DIV/0!</v>
      </c>
      <c r="EBR148" s="371">
        <v>15.38</v>
      </c>
      <c r="EBS148" s="371" t="e">
        <f>EBP148*EBQ148*EBR148</f>
        <v>#DIV/0!</v>
      </c>
      <c r="EBT148" s="367" t="s">
        <v>206</v>
      </c>
      <c r="EBU148" s="367"/>
      <c r="EBV148" s="367"/>
      <c r="EBW148" s="368" t="s">
        <v>168</v>
      </c>
      <c r="EBX148" s="369">
        <v>0.5</v>
      </c>
      <c r="EBY148" s="370" t="e">
        <f>10/EBU146</f>
        <v>#DIV/0!</v>
      </c>
      <c r="EBZ148" s="371">
        <v>15.38</v>
      </c>
      <c r="ECA148" s="371" t="e">
        <f>EBX148*EBY148*EBZ148</f>
        <v>#DIV/0!</v>
      </c>
      <c r="ECB148" s="367" t="s">
        <v>206</v>
      </c>
      <c r="ECC148" s="367"/>
      <c r="ECD148" s="367"/>
      <c r="ECE148" s="368" t="s">
        <v>168</v>
      </c>
      <c r="ECF148" s="369">
        <v>0.5</v>
      </c>
      <c r="ECG148" s="370" t="e">
        <f>10/ECC146</f>
        <v>#DIV/0!</v>
      </c>
      <c r="ECH148" s="371">
        <v>15.38</v>
      </c>
      <c r="ECI148" s="371" t="e">
        <f>ECF148*ECG148*ECH148</f>
        <v>#DIV/0!</v>
      </c>
      <c r="ECJ148" s="367" t="s">
        <v>206</v>
      </c>
      <c r="ECK148" s="367"/>
      <c r="ECL148" s="367"/>
      <c r="ECM148" s="368" t="s">
        <v>168</v>
      </c>
      <c r="ECN148" s="369">
        <v>0.5</v>
      </c>
      <c r="ECO148" s="370" t="e">
        <f>10/ECK146</f>
        <v>#DIV/0!</v>
      </c>
      <c r="ECP148" s="371">
        <v>15.38</v>
      </c>
      <c r="ECQ148" s="371" t="e">
        <f>ECN148*ECO148*ECP148</f>
        <v>#DIV/0!</v>
      </c>
      <c r="ECR148" s="367" t="s">
        <v>206</v>
      </c>
      <c r="ECS148" s="367"/>
      <c r="ECT148" s="367"/>
      <c r="ECU148" s="368" t="s">
        <v>168</v>
      </c>
      <c r="ECV148" s="369">
        <v>0.5</v>
      </c>
      <c r="ECW148" s="370" t="e">
        <f>10/ECS146</f>
        <v>#DIV/0!</v>
      </c>
      <c r="ECX148" s="371">
        <v>15.38</v>
      </c>
      <c r="ECY148" s="371" t="e">
        <f>ECV148*ECW148*ECX148</f>
        <v>#DIV/0!</v>
      </c>
      <c r="ECZ148" s="367" t="s">
        <v>206</v>
      </c>
      <c r="EDA148" s="367"/>
      <c r="EDB148" s="367"/>
      <c r="EDC148" s="368" t="s">
        <v>168</v>
      </c>
      <c r="EDD148" s="369">
        <v>0.5</v>
      </c>
      <c r="EDE148" s="370" t="e">
        <f>10/EDA146</f>
        <v>#DIV/0!</v>
      </c>
      <c r="EDF148" s="371">
        <v>15.38</v>
      </c>
      <c r="EDG148" s="371" t="e">
        <f>EDD148*EDE148*EDF148</f>
        <v>#DIV/0!</v>
      </c>
      <c r="EDH148" s="367" t="s">
        <v>206</v>
      </c>
      <c r="EDI148" s="367"/>
      <c r="EDJ148" s="367"/>
      <c r="EDK148" s="368" t="s">
        <v>168</v>
      </c>
      <c r="EDL148" s="369">
        <v>0.5</v>
      </c>
      <c r="EDM148" s="370" t="e">
        <f>10/EDI146</f>
        <v>#DIV/0!</v>
      </c>
      <c r="EDN148" s="371">
        <v>15.38</v>
      </c>
      <c r="EDO148" s="371" t="e">
        <f>EDL148*EDM148*EDN148</f>
        <v>#DIV/0!</v>
      </c>
      <c r="EDP148" s="367" t="s">
        <v>206</v>
      </c>
      <c r="EDQ148" s="367"/>
      <c r="EDR148" s="367"/>
      <c r="EDS148" s="368" t="s">
        <v>168</v>
      </c>
      <c r="EDT148" s="369">
        <v>0.5</v>
      </c>
      <c r="EDU148" s="370" t="e">
        <f>10/EDQ146</f>
        <v>#DIV/0!</v>
      </c>
      <c r="EDV148" s="371">
        <v>15.38</v>
      </c>
      <c r="EDW148" s="371" t="e">
        <f>EDT148*EDU148*EDV148</f>
        <v>#DIV/0!</v>
      </c>
      <c r="EDX148" s="367" t="s">
        <v>206</v>
      </c>
      <c r="EDY148" s="367"/>
      <c r="EDZ148" s="367"/>
      <c r="EEA148" s="368" t="s">
        <v>168</v>
      </c>
      <c r="EEB148" s="369">
        <v>0.5</v>
      </c>
      <c r="EEC148" s="370" t="e">
        <f>10/EDY146</f>
        <v>#DIV/0!</v>
      </c>
      <c r="EED148" s="371">
        <v>15.38</v>
      </c>
      <c r="EEE148" s="371" t="e">
        <f>EEB148*EEC148*EED148</f>
        <v>#DIV/0!</v>
      </c>
      <c r="EEF148" s="367" t="s">
        <v>206</v>
      </c>
      <c r="EEG148" s="367"/>
      <c r="EEH148" s="367"/>
      <c r="EEI148" s="368" t="s">
        <v>168</v>
      </c>
      <c r="EEJ148" s="369">
        <v>0.5</v>
      </c>
      <c r="EEK148" s="370" t="e">
        <f>10/EEG146</f>
        <v>#DIV/0!</v>
      </c>
      <c r="EEL148" s="371">
        <v>15.38</v>
      </c>
      <c r="EEM148" s="371" t="e">
        <f>EEJ148*EEK148*EEL148</f>
        <v>#DIV/0!</v>
      </c>
      <c r="EEN148" s="367" t="s">
        <v>206</v>
      </c>
      <c r="EEO148" s="367"/>
      <c r="EEP148" s="367"/>
      <c r="EEQ148" s="368" t="s">
        <v>168</v>
      </c>
      <c r="EER148" s="369">
        <v>0.5</v>
      </c>
      <c r="EES148" s="370" t="e">
        <f>10/EEO146</f>
        <v>#DIV/0!</v>
      </c>
      <c r="EET148" s="371">
        <v>15.38</v>
      </c>
      <c r="EEU148" s="371" t="e">
        <f>EER148*EES148*EET148</f>
        <v>#DIV/0!</v>
      </c>
      <c r="EEV148" s="367" t="s">
        <v>206</v>
      </c>
      <c r="EEW148" s="367"/>
      <c r="EEX148" s="367"/>
      <c r="EEY148" s="368" t="s">
        <v>168</v>
      </c>
      <c r="EEZ148" s="369">
        <v>0.5</v>
      </c>
      <c r="EFA148" s="370" t="e">
        <f>10/EEW146</f>
        <v>#DIV/0!</v>
      </c>
      <c r="EFB148" s="371">
        <v>15.38</v>
      </c>
      <c r="EFC148" s="371" t="e">
        <f>EEZ148*EFA148*EFB148</f>
        <v>#DIV/0!</v>
      </c>
      <c r="EFD148" s="367" t="s">
        <v>206</v>
      </c>
      <c r="EFE148" s="367"/>
      <c r="EFF148" s="367"/>
      <c r="EFG148" s="368" t="s">
        <v>168</v>
      </c>
      <c r="EFH148" s="369">
        <v>0.5</v>
      </c>
      <c r="EFI148" s="370" t="e">
        <f>10/EFE146</f>
        <v>#DIV/0!</v>
      </c>
      <c r="EFJ148" s="371">
        <v>15.38</v>
      </c>
      <c r="EFK148" s="371" t="e">
        <f>EFH148*EFI148*EFJ148</f>
        <v>#DIV/0!</v>
      </c>
      <c r="EFL148" s="367" t="s">
        <v>206</v>
      </c>
      <c r="EFM148" s="367"/>
      <c r="EFN148" s="367"/>
      <c r="EFO148" s="368" t="s">
        <v>168</v>
      </c>
      <c r="EFP148" s="369">
        <v>0.5</v>
      </c>
      <c r="EFQ148" s="370" t="e">
        <f>10/EFM146</f>
        <v>#DIV/0!</v>
      </c>
      <c r="EFR148" s="371">
        <v>15.38</v>
      </c>
      <c r="EFS148" s="371" t="e">
        <f>EFP148*EFQ148*EFR148</f>
        <v>#DIV/0!</v>
      </c>
      <c r="EFT148" s="367" t="s">
        <v>206</v>
      </c>
      <c r="EFU148" s="367"/>
      <c r="EFV148" s="367"/>
      <c r="EFW148" s="368" t="s">
        <v>168</v>
      </c>
      <c r="EFX148" s="369">
        <v>0.5</v>
      </c>
      <c r="EFY148" s="370" t="e">
        <f>10/EFU146</f>
        <v>#DIV/0!</v>
      </c>
      <c r="EFZ148" s="371">
        <v>15.38</v>
      </c>
      <c r="EGA148" s="371" t="e">
        <f>EFX148*EFY148*EFZ148</f>
        <v>#DIV/0!</v>
      </c>
      <c r="EGB148" s="367" t="s">
        <v>206</v>
      </c>
      <c r="EGC148" s="367"/>
      <c r="EGD148" s="367"/>
      <c r="EGE148" s="368" t="s">
        <v>168</v>
      </c>
      <c r="EGF148" s="369">
        <v>0.5</v>
      </c>
      <c r="EGG148" s="370" t="e">
        <f>10/EGC146</f>
        <v>#DIV/0!</v>
      </c>
      <c r="EGH148" s="371">
        <v>15.38</v>
      </c>
      <c r="EGI148" s="371" t="e">
        <f>EGF148*EGG148*EGH148</f>
        <v>#DIV/0!</v>
      </c>
      <c r="EGJ148" s="367" t="s">
        <v>206</v>
      </c>
      <c r="EGK148" s="367"/>
      <c r="EGL148" s="367"/>
      <c r="EGM148" s="368" t="s">
        <v>168</v>
      </c>
      <c r="EGN148" s="369">
        <v>0.5</v>
      </c>
      <c r="EGO148" s="370" t="e">
        <f>10/EGK146</f>
        <v>#DIV/0!</v>
      </c>
      <c r="EGP148" s="371">
        <v>15.38</v>
      </c>
      <c r="EGQ148" s="371" t="e">
        <f>EGN148*EGO148*EGP148</f>
        <v>#DIV/0!</v>
      </c>
      <c r="EGR148" s="367" t="s">
        <v>206</v>
      </c>
      <c r="EGS148" s="367"/>
      <c r="EGT148" s="367"/>
      <c r="EGU148" s="368" t="s">
        <v>168</v>
      </c>
      <c r="EGV148" s="369">
        <v>0.5</v>
      </c>
      <c r="EGW148" s="370" t="e">
        <f>10/EGS146</f>
        <v>#DIV/0!</v>
      </c>
      <c r="EGX148" s="371">
        <v>15.38</v>
      </c>
      <c r="EGY148" s="371" t="e">
        <f>EGV148*EGW148*EGX148</f>
        <v>#DIV/0!</v>
      </c>
      <c r="EGZ148" s="367" t="s">
        <v>206</v>
      </c>
      <c r="EHA148" s="367"/>
      <c r="EHB148" s="367"/>
      <c r="EHC148" s="368" t="s">
        <v>168</v>
      </c>
      <c r="EHD148" s="369">
        <v>0.5</v>
      </c>
      <c r="EHE148" s="370" t="e">
        <f>10/EHA146</f>
        <v>#DIV/0!</v>
      </c>
      <c r="EHF148" s="371">
        <v>15.38</v>
      </c>
      <c r="EHG148" s="371" t="e">
        <f>EHD148*EHE148*EHF148</f>
        <v>#DIV/0!</v>
      </c>
      <c r="EHH148" s="367" t="s">
        <v>206</v>
      </c>
      <c r="EHI148" s="367"/>
      <c r="EHJ148" s="367"/>
      <c r="EHK148" s="368" t="s">
        <v>168</v>
      </c>
      <c r="EHL148" s="369">
        <v>0.5</v>
      </c>
      <c r="EHM148" s="370" t="e">
        <f>10/EHI146</f>
        <v>#DIV/0!</v>
      </c>
      <c r="EHN148" s="371">
        <v>15.38</v>
      </c>
      <c r="EHO148" s="371" t="e">
        <f>EHL148*EHM148*EHN148</f>
        <v>#DIV/0!</v>
      </c>
      <c r="EHP148" s="367" t="s">
        <v>206</v>
      </c>
      <c r="EHQ148" s="367"/>
      <c r="EHR148" s="367"/>
      <c r="EHS148" s="368" t="s">
        <v>168</v>
      </c>
      <c r="EHT148" s="369">
        <v>0.5</v>
      </c>
      <c r="EHU148" s="370" t="e">
        <f>10/EHQ146</f>
        <v>#DIV/0!</v>
      </c>
      <c r="EHV148" s="371">
        <v>15.38</v>
      </c>
      <c r="EHW148" s="371" t="e">
        <f>EHT148*EHU148*EHV148</f>
        <v>#DIV/0!</v>
      </c>
      <c r="EHX148" s="367" t="s">
        <v>206</v>
      </c>
      <c r="EHY148" s="367"/>
      <c r="EHZ148" s="367"/>
      <c r="EIA148" s="368" t="s">
        <v>168</v>
      </c>
      <c r="EIB148" s="369">
        <v>0.5</v>
      </c>
      <c r="EIC148" s="370" t="e">
        <f>10/EHY146</f>
        <v>#DIV/0!</v>
      </c>
      <c r="EID148" s="371">
        <v>15.38</v>
      </c>
      <c r="EIE148" s="371" t="e">
        <f>EIB148*EIC148*EID148</f>
        <v>#DIV/0!</v>
      </c>
      <c r="EIF148" s="367" t="s">
        <v>206</v>
      </c>
      <c r="EIG148" s="367"/>
      <c r="EIH148" s="367"/>
      <c r="EII148" s="368" t="s">
        <v>168</v>
      </c>
      <c r="EIJ148" s="369">
        <v>0.5</v>
      </c>
      <c r="EIK148" s="370" t="e">
        <f>10/EIG146</f>
        <v>#DIV/0!</v>
      </c>
      <c r="EIL148" s="371">
        <v>15.38</v>
      </c>
      <c r="EIM148" s="371" t="e">
        <f>EIJ148*EIK148*EIL148</f>
        <v>#DIV/0!</v>
      </c>
      <c r="EIN148" s="367" t="s">
        <v>206</v>
      </c>
      <c r="EIO148" s="367"/>
      <c r="EIP148" s="367"/>
      <c r="EIQ148" s="368" t="s">
        <v>168</v>
      </c>
      <c r="EIR148" s="369">
        <v>0.5</v>
      </c>
      <c r="EIS148" s="370" t="e">
        <f>10/EIO146</f>
        <v>#DIV/0!</v>
      </c>
      <c r="EIT148" s="371">
        <v>15.38</v>
      </c>
      <c r="EIU148" s="371" t="e">
        <f>EIR148*EIS148*EIT148</f>
        <v>#DIV/0!</v>
      </c>
      <c r="EIV148" s="367" t="s">
        <v>206</v>
      </c>
      <c r="EIW148" s="367"/>
      <c r="EIX148" s="367"/>
      <c r="EIY148" s="368" t="s">
        <v>168</v>
      </c>
      <c r="EIZ148" s="369">
        <v>0.5</v>
      </c>
      <c r="EJA148" s="370" t="e">
        <f>10/EIW146</f>
        <v>#DIV/0!</v>
      </c>
      <c r="EJB148" s="371">
        <v>15.38</v>
      </c>
      <c r="EJC148" s="371" t="e">
        <f>EIZ148*EJA148*EJB148</f>
        <v>#DIV/0!</v>
      </c>
      <c r="EJD148" s="367" t="s">
        <v>206</v>
      </c>
      <c r="EJE148" s="367"/>
      <c r="EJF148" s="367"/>
      <c r="EJG148" s="368" t="s">
        <v>168</v>
      </c>
      <c r="EJH148" s="369">
        <v>0.5</v>
      </c>
      <c r="EJI148" s="370" t="e">
        <f>10/EJE146</f>
        <v>#DIV/0!</v>
      </c>
      <c r="EJJ148" s="371">
        <v>15.38</v>
      </c>
      <c r="EJK148" s="371" t="e">
        <f>EJH148*EJI148*EJJ148</f>
        <v>#DIV/0!</v>
      </c>
      <c r="EJL148" s="367" t="s">
        <v>206</v>
      </c>
      <c r="EJM148" s="367"/>
      <c r="EJN148" s="367"/>
      <c r="EJO148" s="368" t="s">
        <v>168</v>
      </c>
      <c r="EJP148" s="369">
        <v>0.5</v>
      </c>
      <c r="EJQ148" s="370" t="e">
        <f>10/EJM146</f>
        <v>#DIV/0!</v>
      </c>
      <c r="EJR148" s="371">
        <v>15.38</v>
      </c>
      <c r="EJS148" s="371" t="e">
        <f>EJP148*EJQ148*EJR148</f>
        <v>#DIV/0!</v>
      </c>
      <c r="EJT148" s="367" t="s">
        <v>206</v>
      </c>
      <c r="EJU148" s="367"/>
      <c r="EJV148" s="367"/>
      <c r="EJW148" s="368" t="s">
        <v>168</v>
      </c>
      <c r="EJX148" s="369">
        <v>0.5</v>
      </c>
      <c r="EJY148" s="370" t="e">
        <f>10/EJU146</f>
        <v>#DIV/0!</v>
      </c>
      <c r="EJZ148" s="371">
        <v>15.38</v>
      </c>
      <c r="EKA148" s="371" t="e">
        <f>EJX148*EJY148*EJZ148</f>
        <v>#DIV/0!</v>
      </c>
      <c r="EKB148" s="367" t="s">
        <v>206</v>
      </c>
      <c r="EKC148" s="367"/>
      <c r="EKD148" s="367"/>
      <c r="EKE148" s="368" t="s">
        <v>168</v>
      </c>
      <c r="EKF148" s="369">
        <v>0.5</v>
      </c>
      <c r="EKG148" s="370" t="e">
        <f>10/EKC146</f>
        <v>#DIV/0!</v>
      </c>
      <c r="EKH148" s="371">
        <v>15.38</v>
      </c>
      <c r="EKI148" s="371" t="e">
        <f>EKF148*EKG148*EKH148</f>
        <v>#DIV/0!</v>
      </c>
      <c r="EKJ148" s="367" t="s">
        <v>206</v>
      </c>
      <c r="EKK148" s="367"/>
      <c r="EKL148" s="367"/>
      <c r="EKM148" s="368" t="s">
        <v>168</v>
      </c>
      <c r="EKN148" s="369">
        <v>0.5</v>
      </c>
      <c r="EKO148" s="370" t="e">
        <f>10/EKK146</f>
        <v>#DIV/0!</v>
      </c>
      <c r="EKP148" s="371">
        <v>15.38</v>
      </c>
      <c r="EKQ148" s="371" t="e">
        <f>EKN148*EKO148*EKP148</f>
        <v>#DIV/0!</v>
      </c>
      <c r="EKR148" s="367" t="s">
        <v>206</v>
      </c>
      <c r="EKS148" s="367"/>
      <c r="EKT148" s="367"/>
      <c r="EKU148" s="368" t="s">
        <v>168</v>
      </c>
      <c r="EKV148" s="369">
        <v>0.5</v>
      </c>
      <c r="EKW148" s="370" t="e">
        <f>10/EKS146</f>
        <v>#DIV/0!</v>
      </c>
      <c r="EKX148" s="371">
        <v>15.38</v>
      </c>
      <c r="EKY148" s="371" t="e">
        <f>EKV148*EKW148*EKX148</f>
        <v>#DIV/0!</v>
      </c>
      <c r="EKZ148" s="367" t="s">
        <v>206</v>
      </c>
      <c r="ELA148" s="367"/>
      <c r="ELB148" s="367"/>
      <c r="ELC148" s="368" t="s">
        <v>168</v>
      </c>
      <c r="ELD148" s="369">
        <v>0.5</v>
      </c>
      <c r="ELE148" s="370" t="e">
        <f>10/ELA146</f>
        <v>#DIV/0!</v>
      </c>
      <c r="ELF148" s="371">
        <v>15.38</v>
      </c>
      <c r="ELG148" s="371" t="e">
        <f>ELD148*ELE148*ELF148</f>
        <v>#DIV/0!</v>
      </c>
      <c r="ELH148" s="367" t="s">
        <v>206</v>
      </c>
      <c r="ELI148" s="367"/>
      <c r="ELJ148" s="367"/>
      <c r="ELK148" s="368" t="s">
        <v>168</v>
      </c>
      <c r="ELL148" s="369">
        <v>0.5</v>
      </c>
      <c r="ELM148" s="370" t="e">
        <f>10/ELI146</f>
        <v>#DIV/0!</v>
      </c>
      <c r="ELN148" s="371">
        <v>15.38</v>
      </c>
      <c r="ELO148" s="371" t="e">
        <f>ELL148*ELM148*ELN148</f>
        <v>#DIV/0!</v>
      </c>
      <c r="ELP148" s="367" t="s">
        <v>206</v>
      </c>
      <c r="ELQ148" s="367"/>
      <c r="ELR148" s="367"/>
      <c r="ELS148" s="368" t="s">
        <v>168</v>
      </c>
      <c r="ELT148" s="369">
        <v>0.5</v>
      </c>
      <c r="ELU148" s="370" t="e">
        <f>10/ELQ146</f>
        <v>#DIV/0!</v>
      </c>
      <c r="ELV148" s="371">
        <v>15.38</v>
      </c>
      <c r="ELW148" s="371" t="e">
        <f>ELT148*ELU148*ELV148</f>
        <v>#DIV/0!</v>
      </c>
      <c r="ELX148" s="367" t="s">
        <v>206</v>
      </c>
      <c r="ELY148" s="367"/>
      <c r="ELZ148" s="367"/>
      <c r="EMA148" s="368" t="s">
        <v>168</v>
      </c>
      <c r="EMB148" s="369">
        <v>0.5</v>
      </c>
      <c r="EMC148" s="370" t="e">
        <f>10/ELY146</f>
        <v>#DIV/0!</v>
      </c>
      <c r="EMD148" s="371">
        <v>15.38</v>
      </c>
      <c r="EME148" s="371" t="e">
        <f>EMB148*EMC148*EMD148</f>
        <v>#DIV/0!</v>
      </c>
      <c r="EMF148" s="367" t="s">
        <v>206</v>
      </c>
      <c r="EMG148" s="367"/>
      <c r="EMH148" s="367"/>
      <c r="EMI148" s="368" t="s">
        <v>168</v>
      </c>
      <c r="EMJ148" s="369">
        <v>0.5</v>
      </c>
      <c r="EMK148" s="370" t="e">
        <f>10/EMG146</f>
        <v>#DIV/0!</v>
      </c>
      <c r="EML148" s="371">
        <v>15.38</v>
      </c>
      <c r="EMM148" s="371" t="e">
        <f>EMJ148*EMK148*EML148</f>
        <v>#DIV/0!</v>
      </c>
      <c r="EMN148" s="367" t="s">
        <v>206</v>
      </c>
      <c r="EMO148" s="367"/>
      <c r="EMP148" s="367"/>
      <c r="EMQ148" s="368" t="s">
        <v>168</v>
      </c>
      <c r="EMR148" s="369">
        <v>0.5</v>
      </c>
      <c r="EMS148" s="370" t="e">
        <f>10/EMO146</f>
        <v>#DIV/0!</v>
      </c>
      <c r="EMT148" s="371">
        <v>15.38</v>
      </c>
      <c r="EMU148" s="371" t="e">
        <f>EMR148*EMS148*EMT148</f>
        <v>#DIV/0!</v>
      </c>
      <c r="EMV148" s="367" t="s">
        <v>206</v>
      </c>
      <c r="EMW148" s="367"/>
      <c r="EMX148" s="367"/>
      <c r="EMY148" s="368" t="s">
        <v>168</v>
      </c>
      <c r="EMZ148" s="369">
        <v>0.5</v>
      </c>
      <c r="ENA148" s="370" t="e">
        <f>10/EMW146</f>
        <v>#DIV/0!</v>
      </c>
      <c r="ENB148" s="371">
        <v>15.38</v>
      </c>
      <c r="ENC148" s="371" t="e">
        <f>EMZ148*ENA148*ENB148</f>
        <v>#DIV/0!</v>
      </c>
      <c r="END148" s="367" t="s">
        <v>206</v>
      </c>
      <c r="ENE148" s="367"/>
      <c r="ENF148" s="367"/>
      <c r="ENG148" s="368" t="s">
        <v>168</v>
      </c>
      <c r="ENH148" s="369">
        <v>0.5</v>
      </c>
      <c r="ENI148" s="370" t="e">
        <f>10/ENE146</f>
        <v>#DIV/0!</v>
      </c>
      <c r="ENJ148" s="371">
        <v>15.38</v>
      </c>
      <c r="ENK148" s="371" t="e">
        <f>ENH148*ENI148*ENJ148</f>
        <v>#DIV/0!</v>
      </c>
      <c r="ENL148" s="367" t="s">
        <v>206</v>
      </c>
      <c r="ENM148" s="367"/>
      <c r="ENN148" s="367"/>
      <c r="ENO148" s="368" t="s">
        <v>168</v>
      </c>
      <c r="ENP148" s="369">
        <v>0.5</v>
      </c>
      <c r="ENQ148" s="370" t="e">
        <f>10/ENM146</f>
        <v>#DIV/0!</v>
      </c>
      <c r="ENR148" s="371">
        <v>15.38</v>
      </c>
      <c r="ENS148" s="371" t="e">
        <f>ENP148*ENQ148*ENR148</f>
        <v>#DIV/0!</v>
      </c>
      <c r="ENT148" s="367" t="s">
        <v>206</v>
      </c>
      <c r="ENU148" s="367"/>
      <c r="ENV148" s="367"/>
      <c r="ENW148" s="368" t="s">
        <v>168</v>
      </c>
      <c r="ENX148" s="369">
        <v>0.5</v>
      </c>
      <c r="ENY148" s="370" t="e">
        <f>10/ENU146</f>
        <v>#DIV/0!</v>
      </c>
      <c r="ENZ148" s="371">
        <v>15.38</v>
      </c>
      <c r="EOA148" s="371" t="e">
        <f>ENX148*ENY148*ENZ148</f>
        <v>#DIV/0!</v>
      </c>
      <c r="EOB148" s="367" t="s">
        <v>206</v>
      </c>
      <c r="EOC148" s="367"/>
      <c r="EOD148" s="367"/>
      <c r="EOE148" s="368" t="s">
        <v>168</v>
      </c>
      <c r="EOF148" s="369">
        <v>0.5</v>
      </c>
      <c r="EOG148" s="370" t="e">
        <f>10/EOC146</f>
        <v>#DIV/0!</v>
      </c>
      <c r="EOH148" s="371">
        <v>15.38</v>
      </c>
      <c r="EOI148" s="371" t="e">
        <f>EOF148*EOG148*EOH148</f>
        <v>#DIV/0!</v>
      </c>
      <c r="EOJ148" s="367" t="s">
        <v>206</v>
      </c>
      <c r="EOK148" s="367"/>
      <c r="EOL148" s="367"/>
      <c r="EOM148" s="368" t="s">
        <v>168</v>
      </c>
      <c r="EON148" s="369">
        <v>0.5</v>
      </c>
      <c r="EOO148" s="370" t="e">
        <f>10/EOK146</f>
        <v>#DIV/0!</v>
      </c>
      <c r="EOP148" s="371">
        <v>15.38</v>
      </c>
      <c r="EOQ148" s="371" t="e">
        <f>EON148*EOO148*EOP148</f>
        <v>#DIV/0!</v>
      </c>
      <c r="EOR148" s="367" t="s">
        <v>206</v>
      </c>
      <c r="EOS148" s="367"/>
      <c r="EOT148" s="367"/>
      <c r="EOU148" s="368" t="s">
        <v>168</v>
      </c>
      <c r="EOV148" s="369">
        <v>0.5</v>
      </c>
      <c r="EOW148" s="370" t="e">
        <f>10/EOS146</f>
        <v>#DIV/0!</v>
      </c>
      <c r="EOX148" s="371">
        <v>15.38</v>
      </c>
      <c r="EOY148" s="371" t="e">
        <f>EOV148*EOW148*EOX148</f>
        <v>#DIV/0!</v>
      </c>
      <c r="EOZ148" s="367" t="s">
        <v>206</v>
      </c>
      <c r="EPA148" s="367"/>
      <c r="EPB148" s="367"/>
      <c r="EPC148" s="368" t="s">
        <v>168</v>
      </c>
      <c r="EPD148" s="369">
        <v>0.5</v>
      </c>
      <c r="EPE148" s="370" t="e">
        <f>10/EPA146</f>
        <v>#DIV/0!</v>
      </c>
      <c r="EPF148" s="371">
        <v>15.38</v>
      </c>
      <c r="EPG148" s="371" t="e">
        <f>EPD148*EPE148*EPF148</f>
        <v>#DIV/0!</v>
      </c>
      <c r="EPH148" s="367" t="s">
        <v>206</v>
      </c>
      <c r="EPI148" s="367"/>
      <c r="EPJ148" s="367"/>
      <c r="EPK148" s="368" t="s">
        <v>168</v>
      </c>
      <c r="EPL148" s="369">
        <v>0.5</v>
      </c>
      <c r="EPM148" s="370" t="e">
        <f>10/EPI146</f>
        <v>#DIV/0!</v>
      </c>
      <c r="EPN148" s="371">
        <v>15.38</v>
      </c>
      <c r="EPO148" s="371" t="e">
        <f>EPL148*EPM148*EPN148</f>
        <v>#DIV/0!</v>
      </c>
      <c r="EPP148" s="367" t="s">
        <v>206</v>
      </c>
      <c r="EPQ148" s="367"/>
      <c r="EPR148" s="367"/>
      <c r="EPS148" s="368" t="s">
        <v>168</v>
      </c>
      <c r="EPT148" s="369">
        <v>0.5</v>
      </c>
      <c r="EPU148" s="370" t="e">
        <f>10/EPQ146</f>
        <v>#DIV/0!</v>
      </c>
      <c r="EPV148" s="371">
        <v>15.38</v>
      </c>
      <c r="EPW148" s="371" t="e">
        <f>EPT148*EPU148*EPV148</f>
        <v>#DIV/0!</v>
      </c>
      <c r="EPX148" s="367" t="s">
        <v>206</v>
      </c>
      <c r="EPY148" s="367"/>
      <c r="EPZ148" s="367"/>
      <c r="EQA148" s="368" t="s">
        <v>168</v>
      </c>
      <c r="EQB148" s="369">
        <v>0.5</v>
      </c>
      <c r="EQC148" s="370" t="e">
        <f>10/EPY146</f>
        <v>#DIV/0!</v>
      </c>
      <c r="EQD148" s="371">
        <v>15.38</v>
      </c>
      <c r="EQE148" s="371" t="e">
        <f>EQB148*EQC148*EQD148</f>
        <v>#DIV/0!</v>
      </c>
      <c r="EQF148" s="367" t="s">
        <v>206</v>
      </c>
      <c r="EQG148" s="367"/>
      <c r="EQH148" s="367"/>
      <c r="EQI148" s="368" t="s">
        <v>168</v>
      </c>
      <c r="EQJ148" s="369">
        <v>0.5</v>
      </c>
      <c r="EQK148" s="370" t="e">
        <f>10/EQG146</f>
        <v>#DIV/0!</v>
      </c>
      <c r="EQL148" s="371">
        <v>15.38</v>
      </c>
      <c r="EQM148" s="371" t="e">
        <f>EQJ148*EQK148*EQL148</f>
        <v>#DIV/0!</v>
      </c>
      <c r="EQN148" s="367" t="s">
        <v>206</v>
      </c>
      <c r="EQO148" s="367"/>
      <c r="EQP148" s="367"/>
      <c r="EQQ148" s="368" t="s">
        <v>168</v>
      </c>
      <c r="EQR148" s="369">
        <v>0.5</v>
      </c>
      <c r="EQS148" s="370" t="e">
        <f>10/EQO146</f>
        <v>#DIV/0!</v>
      </c>
      <c r="EQT148" s="371">
        <v>15.38</v>
      </c>
      <c r="EQU148" s="371" t="e">
        <f>EQR148*EQS148*EQT148</f>
        <v>#DIV/0!</v>
      </c>
      <c r="EQV148" s="367" t="s">
        <v>206</v>
      </c>
      <c r="EQW148" s="367"/>
      <c r="EQX148" s="367"/>
      <c r="EQY148" s="368" t="s">
        <v>168</v>
      </c>
      <c r="EQZ148" s="369">
        <v>0.5</v>
      </c>
      <c r="ERA148" s="370" t="e">
        <f>10/EQW146</f>
        <v>#DIV/0!</v>
      </c>
      <c r="ERB148" s="371">
        <v>15.38</v>
      </c>
      <c r="ERC148" s="371" t="e">
        <f>EQZ148*ERA148*ERB148</f>
        <v>#DIV/0!</v>
      </c>
      <c r="ERD148" s="367" t="s">
        <v>206</v>
      </c>
      <c r="ERE148" s="367"/>
      <c r="ERF148" s="367"/>
      <c r="ERG148" s="368" t="s">
        <v>168</v>
      </c>
      <c r="ERH148" s="369">
        <v>0.5</v>
      </c>
      <c r="ERI148" s="370" t="e">
        <f>10/ERE146</f>
        <v>#DIV/0!</v>
      </c>
      <c r="ERJ148" s="371">
        <v>15.38</v>
      </c>
      <c r="ERK148" s="371" t="e">
        <f>ERH148*ERI148*ERJ148</f>
        <v>#DIV/0!</v>
      </c>
      <c r="ERL148" s="367" t="s">
        <v>206</v>
      </c>
      <c r="ERM148" s="367"/>
      <c r="ERN148" s="367"/>
      <c r="ERO148" s="368" t="s">
        <v>168</v>
      </c>
      <c r="ERP148" s="369">
        <v>0.5</v>
      </c>
      <c r="ERQ148" s="370" t="e">
        <f>10/ERM146</f>
        <v>#DIV/0!</v>
      </c>
      <c r="ERR148" s="371">
        <v>15.38</v>
      </c>
      <c r="ERS148" s="371" t="e">
        <f>ERP148*ERQ148*ERR148</f>
        <v>#DIV/0!</v>
      </c>
      <c r="ERT148" s="367" t="s">
        <v>206</v>
      </c>
      <c r="ERU148" s="367"/>
      <c r="ERV148" s="367"/>
      <c r="ERW148" s="368" t="s">
        <v>168</v>
      </c>
      <c r="ERX148" s="369">
        <v>0.5</v>
      </c>
      <c r="ERY148" s="370" t="e">
        <f>10/ERU146</f>
        <v>#DIV/0!</v>
      </c>
      <c r="ERZ148" s="371">
        <v>15.38</v>
      </c>
      <c r="ESA148" s="371" t="e">
        <f>ERX148*ERY148*ERZ148</f>
        <v>#DIV/0!</v>
      </c>
      <c r="ESB148" s="367" t="s">
        <v>206</v>
      </c>
      <c r="ESC148" s="367"/>
      <c r="ESD148" s="367"/>
      <c r="ESE148" s="368" t="s">
        <v>168</v>
      </c>
      <c r="ESF148" s="369">
        <v>0.5</v>
      </c>
      <c r="ESG148" s="370" t="e">
        <f>10/ESC146</f>
        <v>#DIV/0!</v>
      </c>
      <c r="ESH148" s="371">
        <v>15.38</v>
      </c>
      <c r="ESI148" s="371" t="e">
        <f>ESF148*ESG148*ESH148</f>
        <v>#DIV/0!</v>
      </c>
      <c r="ESJ148" s="367" t="s">
        <v>206</v>
      </c>
      <c r="ESK148" s="367"/>
      <c r="ESL148" s="367"/>
      <c r="ESM148" s="368" t="s">
        <v>168</v>
      </c>
      <c r="ESN148" s="369">
        <v>0.5</v>
      </c>
      <c r="ESO148" s="370" t="e">
        <f>10/ESK146</f>
        <v>#DIV/0!</v>
      </c>
      <c r="ESP148" s="371">
        <v>15.38</v>
      </c>
      <c r="ESQ148" s="371" t="e">
        <f>ESN148*ESO148*ESP148</f>
        <v>#DIV/0!</v>
      </c>
      <c r="ESR148" s="367" t="s">
        <v>206</v>
      </c>
      <c r="ESS148" s="367"/>
      <c r="EST148" s="367"/>
      <c r="ESU148" s="368" t="s">
        <v>168</v>
      </c>
      <c r="ESV148" s="369">
        <v>0.5</v>
      </c>
      <c r="ESW148" s="370" t="e">
        <f>10/ESS146</f>
        <v>#DIV/0!</v>
      </c>
      <c r="ESX148" s="371">
        <v>15.38</v>
      </c>
      <c r="ESY148" s="371" t="e">
        <f>ESV148*ESW148*ESX148</f>
        <v>#DIV/0!</v>
      </c>
      <c r="ESZ148" s="367" t="s">
        <v>206</v>
      </c>
      <c r="ETA148" s="367"/>
      <c r="ETB148" s="367"/>
      <c r="ETC148" s="368" t="s">
        <v>168</v>
      </c>
      <c r="ETD148" s="369">
        <v>0.5</v>
      </c>
      <c r="ETE148" s="370" t="e">
        <f>10/ETA146</f>
        <v>#DIV/0!</v>
      </c>
      <c r="ETF148" s="371">
        <v>15.38</v>
      </c>
      <c r="ETG148" s="371" t="e">
        <f>ETD148*ETE148*ETF148</f>
        <v>#DIV/0!</v>
      </c>
      <c r="ETH148" s="367" t="s">
        <v>206</v>
      </c>
      <c r="ETI148" s="367"/>
      <c r="ETJ148" s="367"/>
      <c r="ETK148" s="368" t="s">
        <v>168</v>
      </c>
      <c r="ETL148" s="369">
        <v>0.5</v>
      </c>
      <c r="ETM148" s="370" t="e">
        <f>10/ETI146</f>
        <v>#DIV/0!</v>
      </c>
      <c r="ETN148" s="371">
        <v>15.38</v>
      </c>
      <c r="ETO148" s="371" t="e">
        <f>ETL148*ETM148*ETN148</f>
        <v>#DIV/0!</v>
      </c>
      <c r="ETP148" s="367" t="s">
        <v>206</v>
      </c>
      <c r="ETQ148" s="367"/>
      <c r="ETR148" s="367"/>
      <c r="ETS148" s="368" t="s">
        <v>168</v>
      </c>
      <c r="ETT148" s="369">
        <v>0.5</v>
      </c>
      <c r="ETU148" s="370" t="e">
        <f>10/ETQ146</f>
        <v>#DIV/0!</v>
      </c>
      <c r="ETV148" s="371">
        <v>15.38</v>
      </c>
      <c r="ETW148" s="371" t="e">
        <f>ETT148*ETU148*ETV148</f>
        <v>#DIV/0!</v>
      </c>
      <c r="ETX148" s="367" t="s">
        <v>206</v>
      </c>
      <c r="ETY148" s="367"/>
      <c r="ETZ148" s="367"/>
      <c r="EUA148" s="368" t="s">
        <v>168</v>
      </c>
      <c r="EUB148" s="369">
        <v>0.5</v>
      </c>
      <c r="EUC148" s="370" t="e">
        <f>10/ETY146</f>
        <v>#DIV/0!</v>
      </c>
      <c r="EUD148" s="371">
        <v>15.38</v>
      </c>
      <c r="EUE148" s="371" t="e">
        <f>EUB148*EUC148*EUD148</f>
        <v>#DIV/0!</v>
      </c>
      <c r="EUF148" s="367" t="s">
        <v>206</v>
      </c>
      <c r="EUG148" s="367"/>
      <c r="EUH148" s="367"/>
      <c r="EUI148" s="368" t="s">
        <v>168</v>
      </c>
      <c r="EUJ148" s="369">
        <v>0.5</v>
      </c>
      <c r="EUK148" s="370" t="e">
        <f>10/EUG146</f>
        <v>#DIV/0!</v>
      </c>
      <c r="EUL148" s="371">
        <v>15.38</v>
      </c>
      <c r="EUM148" s="371" t="e">
        <f>EUJ148*EUK148*EUL148</f>
        <v>#DIV/0!</v>
      </c>
      <c r="EUN148" s="367" t="s">
        <v>206</v>
      </c>
      <c r="EUO148" s="367"/>
      <c r="EUP148" s="367"/>
      <c r="EUQ148" s="368" t="s">
        <v>168</v>
      </c>
      <c r="EUR148" s="369">
        <v>0.5</v>
      </c>
      <c r="EUS148" s="370" t="e">
        <f>10/EUO146</f>
        <v>#DIV/0!</v>
      </c>
      <c r="EUT148" s="371">
        <v>15.38</v>
      </c>
      <c r="EUU148" s="371" t="e">
        <f>EUR148*EUS148*EUT148</f>
        <v>#DIV/0!</v>
      </c>
      <c r="EUV148" s="367" t="s">
        <v>206</v>
      </c>
      <c r="EUW148" s="367"/>
      <c r="EUX148" s="367"/>
      <c r="EUY148" s="368" t="s">
        <v>168</v>
      </c>
      <c r="EUZ148" s="369">
        <v>0.5</v>
      </c>
      <c r="EVA148" s="370" t="e">
        <f>10/EUW146</f>
        <v>#DIV/0!</v>
      </c>
      <c r="EVB148" s="371">
        <v>15.38</v>
      </c>
      <c r="EVC148" s="371" t="e">
        <f>EUZ148*EVA148*EVB148</f>
        <v>#DIV/0!</v>
      </c>
      <c r="EVD148" s="367" t="s">
        <v>206</v>
      </c>
      <c r="EVE148" s="367"/>
      <c r="EVF148" s="367"/>
      <c r="EVG148" s="368" t="s">
        <v>168</v>
      </c>
      <c r="EVH148" s="369">
        <v>0.5</v>
      </c>
      <c r="EVI148" s="370" t="e">
        <f>10/EVE146</f>
        <v>#DIV/0!</v>
      </c>
      <c r="EVJ148" s="371">
        <v>15.38</v>
      </c>
      <c r="EVK148" s="371" t="e">
        <f>EVH148*EVI148*EVJ148</f>
        <v>#DIV/0!</v>
      </c>
      <c r="EVL148" s="367" t="s">
        <v>206</v>
      </c>
      <c r="EVM148" s="367"/>
      <c r="EVN148" s="367"/>
      <c r="EVO148" s="368" t="s">
        <v>168</v>
      </c>
      <c r="EVP148" s="369">
        <v>0.5</v>
      </c>
      <c r="EVQ148" s="370" t="e">
        <f>10/EVM146</f>
        <v>#DIV/0!</v>
      </c>
      <c r="EVR148" s="371">
        <v>15.38</v>
      </c>
      <c r="EVS148" s="371" t="e">
        <f>EVP148*EVQ148*EVR148</f>
        <v>#DIV/0!</v>
      </c>
      <c r="EVT148" s="367" t="s">
        <v>206</v>
      </c>
      <c r="EVU148" s="367"/>
      <c r="EVV148" s="367"/>
      <c r="EVW148" s="368" t="s">
        <v>168</v>
      </c>
      <c r="EVX148" s="369">
        <v>0.5</v>
      </c>
      <c r="EVY148" s="370" t="e">
        <f>10/EVU146</f>
        <v>#DIV/0!</v>
      </c>
      <c r="EVZ148" s="371">
        <v>15.38</v>
      </c>
      <c r="EWA148" s="371" t="e">
        <f>EVX148*EVY148*EVZ148</f>
        <v>#DIV/0!</v>
      </c>
      <c r="EWB148" s="367" t="s">
        <v>206</v>
      </c>
      <c r="EWC148" s="367"/>
      <c r="EWD148" s="367"/>
      <c r="EWE148" s="368" t="s">
        <v>168</v>
      </c>
      <c r="EWF148" s="369">
        <v>0.5</v>
      </c>
      <c r="EWG148" s="370" t="e">
        <f>10/EWC146</f>
        <v>#DIV/0!</v>
      </c>
      <c r="EWH148" s="371">
        <v>15.38</v>
      </c>
      <c r="EWI148" s="371" t="e">
        <f>EWF148*EWG148*EWH148</f>
        <v>#DIV/0!</v>
      </c>
      <c r="EWJ148" s="367" t="s">
        <v>206</v>
      </c>
      <c r="EWK148" s="367"/>
      <c r="EWL148" s="367"/>
      <c r="EWM148" s="368" t="s">
        <v>168</v>
      </c>
      <c r="EWN148" s="369">
        <v>0.5</v>
      </c>
      <c r="EWO148" s="370" t="e">
        <f>10/EWK146</f>
        <v>#DIV/0!</v>
      </c>
      <c r="EWP148" s="371">
        <v>15.38</v>
      </c>
      <c r="EWQ148" s="371" t="e">
        <f>EWN148*EWO148*EWP148</f>
        <v>#DIV/0!</v>
      </c>
      <c r="EWR148" s="367" t="s">
        <v>206</v>
      </c>
      <c r="EWS148" s="367"/>
      <c r="EWT148" s="367"/>
      <c r="EWU148" s="368" t="s">
        <v>168</v>
      </c>
      <c r="EWV148" s="369">
        <v>0.5</v>
      </c>
      <c r="EWW148" s="370" t="e">
        <f>10/EWS146</f>
        <v>#DIV/0!</v>
      </c>
      <c r="EWX148" s="371">
        <v>15.38</v>
      </c>
      <c r="EWY148" s="371" t="e">
        <f>EWV148*EWW148*EWX148</f>
        <v>#DIV/0!</v>
      </c>
      <c r="EWZ148" s="367" t="s">
        <v>206</v>
      </c>
      <c r="EXA148" s="367"/>
      <c r="EXB148" s="367"/>
      <c r="EXC148" s="368" t="s">
        <v>168</v>
      </c>
      <c r="EXD148" s="369">
        <v>0.5</v>
      </c>
      <c r="EXE148" s="370" t="e">
        <f>10/EXA146</f>
        <v>#DIV/0!</v>
      </c>
      <c r="EXF148" s="371">
        <v>15.38</v>
      </c>
      <c r="EXG148" s="371" t="e">
        <f>EXD148*EXE148*EXF148</f>
        <v>#DIV/0!</v>
      </c>
      <c r="EXH148" s="367" t="s">
        <v>206</v>
      </c>
      <c r="EXI148" s="367"/>
      <c r="EXJ148" s="367"/>
      <c r="EXK148" s="368" t="s">
        <v>168</v>
      </c>
      <c r="EXL148" s="369">
        <v>0.5</v>
      </c>
      <c r="EXM148" s="370" t="e">
        <f>10/EXI146</f>
        <v>#DIV/0!</v>
      </c>
      <c r="EXN148" s="371">
        <v>15.38</v>
      </c>
      <c r="EXO148" s="371" t="e">
        <f>EXL148*EXM148*EXN148</f>
        <v>#DIV/0!</v>
      </c>
      <c r="EXP148" s="367" t="s">
        <v>206</v>
      </c>
      <c r="EXQ148" s="367"/>
      <c r="EXR148" s="367"/>
      <c r="EXS148" s="368" t="s">
        <v>168</v>
      </c>
      <c r="EXT148" s="369">
        <v>0.5</v>
      </c>
      <c r="EXU148" s="370" t="e">
        <f>10/EXQ146</f>
        <v>#DIV/0!</v>
      </c>
      <c r="EXV148" s="371">
        <v>15.38</v>
      </c>
      <c r="EXW148" s="371" t="e">
        <f>EXT148*EXU148*EXV148</f>
        <v>#DIV/0!</v>
      </c>
      <c r="EXX148" s="367" t="s">
        <v>206</v>
      </c>
      <c r="EXY148" s="367"/>
      <c r="EXZ148" s="367"/>
      <c r="EYA148" s="368" t="s">
        <v>168</v>
      </c>
      <c r="EYB148" s="369">
        <v>0.5</v>
      </c>
      <c r="EYC148" s="370" t="e">
        <f>10/EXY146</f>
        <v>#DIV/0!</v>
      </c>
      <c r="EYD148" s="371">
        <v>15.38</v>
      </c>
      <c r="EYE148" s="371" t="e">
        <f>EYB148*EYC148*EYD148</f>
        <v>#DIV/0!</v>
      </c>
      <c r="EYF148" s="367" t="s">
        <v>206</v>
      </c>
      <c r="EYG148" s="367"/>
      <c r="EYH148" s="367"/>
      <c r="EYI148" s="368" t="s">
        <v>168</v>
      </c>
      <c r="EYJ148" s="369">
        <v>0.5</v>
      </c>
      <c r="EYK148" s="370" t="e">
        <f>10/EYG146</f>
        <v>#DIV/0!</v>
      </c>
      <c r="EYL148" s="371">
        <v>15.38</v>
      </c>
      <c r="EYM148" s="371" t="e">
        <f>EYJ148*EYK148*EYL148</f>
        <v>#DIV/0!</v>
      </c>
      <c r="EYN148" s="367" t="s">
        <v>206</v>
      </c>
      <c r="EYO148" s="367"/>
      <c r="EYP148" s="367"/>
      <c r="EYQ148" s="368" t="s">
        <v>168</v>
      </c>
      <c r="EYR148" s="369">
        <v>0.5</v>
      </c>
      <c r="EYS148" s="370" t="e">
        <f>10/EYO146</f>
        <v>#DIV/0!</v>
      </c>
      <c r="EYT148" s="371">
        <v>15.38</v>
      </c>
      <c r="EYU148" s="371" t="e">
        <f>EYR148*EYS148*EYT148</f>
        <v>#DIV/0!</v>
      </c>
      <c r="EYV148" s="367" t="s">
        <v>206</v>
      </c>
      <c r="EYW148" s="367"/>
      <c r="EYX148" s="367"/>
      <c r="EYY148" s="368" t="s">
        <v>168</v>
      </c>
      <c r="EYZ148" s="369">
        <v>0.5</v>
      </c>
      <c r="EZA148" s="370" t="e">
        <f>10/EYW146</f>
        <v>#DIV/0!</v>
      </c>
      <c r="EZB148" s="371">
        <v>15.38</v>
      </c>
      <c r="EZC148" s="371" t="e">
        <f>EYZ148*EZA148*EZB148</f>
        <v>#DIV/0!</v>
      </c>
      <c r="EZD148" s="367" t="s">
        <v>206</v>
      </c>
      <c r="EZE148" s="367"/>
      <c r="EZF148" s="367"/>
      <c r="EZG148" s="368" t="s">
        <v>168</v>
      </c>
      <c r="EZH148" s="369">
        <v>0.5</v>
      </c>
      <c r="EZI148" s="370" t="e">
        <f>10/EZE146</f>
        <v>#DIV/0!</v>
      </c>
      <c r="EZJ148" s="371">
        <v>15.38</v>
      </c>
      <c r="EZK148" s="371" t="e">
        <f>EZH148*EZI148*EZJ148</f>
        <v>#DIV/0!</v>
      </c>
      <c r="EZL148" s="367" t="s">
        <v>206</v>
      </c>
      <c r="EZM148" s="367"/>
      <c r="EZN148" s="367"/>
      <c r="EZO148" s="368" t="s">
        <v>168</v>
      </c>
      <c r="EZP148" s="369">
        <v>0.5</v>
      </c>
      <c r="EZQ148" s="370" t="e">
        <f>10/EZM146</f>
        <v>#DIV/0!</v>
      </c>
      <c r="EZR148" s="371">
        <v>15.38</v>
      </c>
      <c r="EZS148" s="371" t="e">
        <f>EZP148*EZQ148*EZR148</f>
        <v>#DIV/0!</v>
      </c>
      <c r="EZT148" s="367" t="s">
        <v>206</v>
      </c>
      <c r="EZU148" s="367"/>
      <c r="EZV148" s="367"/>
      <c r="EZW148" s="368" t="s">
        <v>168</v>
      </c>
      <c r="EZX148" s="369">
        <v>0.5</v>
      </c>
      <c r="EZY148" s="370" t="e">
        <f>10/EZU146</f>
        <v>#DIV/0!</v>
      </c>
      <c r="EZZ148" s="371">
        <v>15.38</v>
      </c>
      <c r="FAA148" s="371" t="e">
        <f>EZX148*EZY148*EZZ148</f>
        <v>#DIV/0!</v>
      </c>
      <c r="FAB148" s="367" t="s">
        <v>206</v>
      </c>
      <c r="FAC148" s="367"/>
      <c r="FAD148" s="367"/>
      <c r="FAE148" s="368" t="s">
        <v>168</v>
      </c>
      <c r="FAF148" s="369">
        <v>0.5</v>
      </c>
      <c r="FAG148" s="370" t="e">
        <f>10/FAC146</f>
        <v>#DIV/0!</v>
      </c>
      <c r="FAH148" s="371">
        <v>15.38</v>
      </c>
      <c r="FAI148" s="371" t="e">
        <f>FAF148*FAG148*FAH148</f>
        <v>#DIV/0!</v>
      </c>
      <c r="FAJ148" s="367" t="s">
        <v>206</v>
      </c>
      <c r="FAK148" s="367"/>
      <c r="FAL148" s="367"/>
      <c r="FAM148" s="368" t="s">
        <v>168</v>
      </c>
      <c r="FAN148" s="369">
        <v>0.5</v>
      </c>
      <c r="FAO148" s="370" t="e">
        <f>10/FAK146</f>
        <v>#DIV/0!</v>
      </c>
      <c r="FAP148" s="371">
        <v>15.38</v>
      </c>
      <c r="FAQ148" s="371" t="e">
        <f>FAN148*FAO148*FAP148</f>
        <v>#DIV/0!</v>
      </c>
      <c r="FAR148" s="367" t="s">
        <v>206</v>
      </c>
      <c r="FAS148" s="367"/>
      <c r="FAT148" s="367"/>
      <c r="FAU148" s="368" t="s">
        <v>168</v>
      </c>
      <c r="FAV148" s="369">
        <v>0.5</v>
      </c>
      <c r="FAW148" s="370" t="e">
        <f>10/FAS146</f>
        <v>#DIV/0!</v>
      </c>
      <c r="FAX148" s="371">
        <v>15.38</v>
      </c>
      <c r="FAY148" s="371" t="e">
        <f>FAV148*FAW148*FAX148</f>
        <v>#DIV/0!</v>
      </c>
      <c r="FAZ148" s="367" t="s">
        <v>206</v>
      </c>
      <c r="FBA148" s="367"/>
      <c r="FBB148" s="367"/>
      <c r="FBC148" s="368" t="s">
        <v>168</v>
      </c>
      <c r="FBD148" s="369">
        <v>0.5</v>
      </c>
      <c r="FBE148" s="370" t="e">
        <f>10/FBA146</f>
        <v>#DIV/0!</v>
      </c>
      <c r="FBF148" s="371">
        <v>15.38</v>
      </c>
      <c r="FBG148" s="371" t="e">
        <f>FBD148*FBE148*FBF148</f>
        <v>#DIV/0!</v>
      </c>
      <c r="FBH148" s="367" t="s">
        <v>206</v>
      </c>
      <c r="FBI148" s="367"/>
      <c r="FBJ148" s="367"/>
      <c r="FBK148" s="368" t="s">
        <v>168</v>
      </c>
      <c r="FBL148" s="369">
        <v>0.5</v>
      </c>
      <c r="FBM148" s="370" t="e">
        <f>10/FBI146</f>
        <v>#DIV/0!</v>
      </c>
      <c r="FBN148" s="371">
        <v>15.38</v>
      </c>
      <c r="FBO148" s="371" t="e">
        <f>FBL148*FBM148*FBN148</f>
        <v>#DIV/0!</v>
      </c>
      <c r="FBP148" s="367" t="s">
        <v>206</v>
      </c>
      <c r="FBQ148" s="367"/>
      <c r="FBR148" s="367"/>
      <c r="FBS148" s="368" t="s">
        <v>168</v>
      </c>
      <c r="FBT148" s="369">
        <v>0.5</v>
      </c>
      <c r="FBU148" s="370" t="e">
        <f>10/FBQ146</f>
        <v>#DIV/0!</v>
      </c>
      <c r="FBV148" s="371">
        <v>15.38</v>
      </c>
      <c r="FBW148" s="371" t="e">
        <f>FBT148*FBU148*FBV148</f>
        <v>#DIV/0!</v>
      </c>
      <c r="FBX148" s="367" t="s">
        <v>206</v>
      </c>
      <c r="FBY148" s="367"/>
      <c r="FBZ148" s="367"/>
      <c r="FCA148" s="368" t="s">
        <v>168</v>
      </c>
      <c r="FCB148" s="369">
        <v>0.5</v>
      </c>
      <c r="FCC148" s="370" t="e">
        <f>10/FBY146</f>
        <v>#DIV/0!</v>
      </c>
      <c r="FCD148" s="371">
        <v>15.38</v>
      </c>
      <c r="FCE148" s="371" t="e">
        <f>FCB148*FCC148*FCD148</f>
        <v>#DIV/0!</v>
      </c>
      <c r="FCF148" s="367" t="s">
        <v>206</v>
      </c>
      <c r="FCG148" s="367"/>
      <c r="FCH148" s="367"/>
      <c r="FCI148" s="368" t="s">
        <v>168</v>
      </c>
      <c r="FCJ148" s="369">
        <v>0.5</v>
      </c>
      <c r="FCK148" s="370" t="e">
        <f>10/FCG146</f>
        <v>#DIV/0!</v>
      </c>
      <c r="FCL148" s="371">
        <v>15.38</v>
      </c>
      <c r="FCM148" s="371" t="e">
        <f>FCJ148*FCK148*FCL148</f>
        <v>#DIV/0!</v>
      </c>
      <c r="FCN148" s="367" t="s">
        <v>206</v>
      </c>
      <c r="FCO148" s="367"/>
      <c r="FCP148" s="367"/>
      <c r="FCQ148" s="368" t="s">
        <v>168</v>
      </c>
      <c r="FCR148" s="369">
        <v>0.5</v>
      </c>
      <c r="FCS148" s="370" t="e">
        <f>10/FCO146</f>
        <v>#DIV/0!</v>
      </c>
      <c r="FCT148" s="371">
        <v>15.38</v>
      </c>
      <c r="FCU148" s="371" t="e">
        <f>FCR148*FCS148*FCT148</f>
        <v>#DIV/0!</v>
      </c>
      <c r="FCV148" s="367" t="s">
        <v>206</v>
      </c>
      <c r="FCW148" s="367"/>
      <c r="FCX148" s="367"/>
      <c r="FCY148" s="368" t="s">
        <v>168</v>
      </c>
      <c r="FCZ148" s="369">
        <v>0.5</v>
      </c>
      <c r="FDA148" s="370" t="e">
        <f>10/FCW146</f>
        <v>#DIV/0!</v>
      </c>
      <c r="FDB148" s="371">
        <v>15.38</v>
      </c>
      <c r="FDC148" s="371" t="e">
        <f>FCZ148*FDA148*FDB148</f>
        <v>#DIV/0!</v>
      </c>
      <c r="FDD148" s="367" t="s">
        <v>206</v>
      </c>
      <c r="FDE148" s="367"/>
      <c r="FDF148" s="367"/>
      <c r="FDG148" s="368" t="s">
        <v>168</v>
      </c>
      <c r="FDH148" s="369">
        <v>0.5</v>
      </c>
      <c r="FDI148" s="370" t="e">
        <f>10/FDE146</f>
        <v>#DIV/0!</v>
      </c>
      <c r="FDJ148" s="371">
        <v>15.38</v>
      </c>
      <c r="FDK148" s="371" t="e">
        <f>FDH148*FDI148*FDJ148</f>
        <v>#DIV/0!</v>
      </c>
      <c r="FDL148" s="367" t="s">
        <v>206</v>
      </c>
      <c r="FDM148" s="367"/>
      <c r="FDN148" s="367"/>
      <c r="FDO148" s="368" t="s">
        <v>168</v>
      </c>
      <c r="FDP148" s="369">
        <v>0.5</v>
      </c>
      <c r="FDQ148" s="370" t="e">
        <f>10/FDM146</f>
        <v>#DIV/0!</v>
      </c>
      <c r="FDR148" s="371">
        <v>15.38</v>
      </c>
      <c r="FDS148" s="371" t="e">
        <f>FDP148*FDQ148*FDR148</f>
        <v>#DIV/0!</v>
      </c>
      <c r="FDT148" s="367" t="s">
        <v>206</v>
      </c>
      <c r="FDU148" s="367"/>
      <c r="FDV148" s="367"/>
      <c r="FDW148" s="368" t="s">
        <v>168</v>
      </c>
      <c r="FDX148" s="369">
        <v>0.5</v>
      </c>
      <c r="FDY148" s="370" t="e">
        <f>10/FDU146</f>
        <v>#DIV/0!</v>
      </c>
      <c r="FDZ148" s="371">
        <v>15.38</v>
      </c>
      <c r="FEA148" s="371" t="e">
        <f>FDX148*FDY148*FDZ148</f>
        <v>#DIV/0!</v>
      </c>
      <c r="FEB148" s="367" t="s">
        <v>206</v>
      </c>
      <c r="FEC148" s="367"/>
      <c r="FED148" s="367"/>
      <c r="FEE148" s="368" t="s">
        <v>168</v>
      </c>
      <c r="FEF148" s="369">
        <v>0.5</v>
      </c>
      <c r="FEG148" s="370" t="e">
        <f>10/FEC146</f>
        <v>#DIV/0!</v>
      </c>
      <c r="FEH148" s="371">
        <v>15.38</v>
      </c>
      <c r="FEI148" s="371" t="e">
        <f>FEF148*FEG148*FEH148</f>
        <v>#DIV/0!</v>
      </c>
      <c r="FEJ148" s="367" t="s">
        <v>206</v>
      </c>
      <c r="FEK148" s="367"/>
      <c r="FEL148" s="367"/>
      <c r="FEM148" s="368" t="s">
        <v>168</v>
      </c>
      <c r="FEN148" s="369">
        <v>0.5</v>
      </c>
      <c r="FEO148" s="370" t="e">
        <f>10/FEK146</f>
        <v>#DIV/0!</v>
      </c>
      <c r="FEP148" s="371">
        <v>15.38</v>
      </c>
      <c r="FEQ148" s="371" t="e">
        <f>FEN148*FEO148*FEP148</f>
        <v>#DIV/0!</v>
      </c>
      <c r="FER148" s="367" t="s">
        <v>206</v>
      </c>
      <c r="FES148" s="367"/>
      <c r="FET148" s="367"/>
      <c r="FEU148" s="368" t="s">
        <v>168</v>
      </c>
      <c r="FEV148" s="369">
        <v>0.5</v>
      </c>
      <c r="FEW148" s="370" t="e">
        <f>10/FES146</f>
        <v>#DIV/0!</v>
      </c>
      <c r="FEX148" s="371">
        <v>15.38</v>
      </c>
      <c r="FEY148" s="371" t="e">
        <f>FEV148*FEW148*FEX148</f>
        <v>#DIV/0!</v>
      </c>
      <c r="FEZ148" s="367" t="s">
        <v>206</v>
      </c>
      <c r="FFA148" s="367"/>
      <c r="FFB148" s="367"/>
      <c r="FFC148" s="368" t="s">
        <v>168</v>
      </c>
      <c r="FFD148" s="369">
        <v>0.5</v>
      </c>
      <c r="FFE148" s="370" t="e">
        <f>10/FFA146</f>
        <v>#DIV/0!</v>
      </c>
      <c r="FFF148" s="371">
        <v>15.38</v>
      </c>
      <c r="FFG148" s="371" t="e">
        <f>FFD148*FFE148*FFF148</f>
        <v>#DIV/0!</v>
      </c>
      <c r="FFH148" s="367" t="s">
        <v>206</v>
      </c>
      <c r="FFI148" s="367"/>
      <c r="FFJ148" s="367"/>
      <c r="FFK148" s="368" t="s">
        <v>168</v>
      </c>
      <c r="FFL148" s="369">
        <v>0.5</v>
      </c>
      <c r="FFM148" s="370" t="e">
        <f>10/FFI146</f>
        <v>#DIV/0!</v>
      </c>
      <c r="FFN148" s="371">
        <v>15.38</v>
      </c>
      <c r="FFO148" s="371" t="e">
        <f>FFL148*FFM148*FFN148</f>
        <v>#DIV/0!</v>
      </c>
      <c r="FFP148" s="367" t="s">
        <v>206</v>
      </c>
      <c r="FFQ148" s="367"/>
      <c r="FFR148" s="367"/>
      <c r="FFS148" s="368" t="s">
        <v>168</v>
      </c>
      <c r="FFT148" s="369">
        <v>0.5</v>
      </c>
      <c r="FFU148" s="370" t="e">
        <f>10/FFQ146</f>
        <v>#DIV/0!</v>
      </c>
      <c r="FFV148" s="371">
        <v>15.38</v>
      </c>
      <c r="FFW148" s="371" t="e">
        <f>FFT148*FFU148*FFV148</f>
        <v>#DIV/0!</v>
      </c>
      <c r="FFX148" s="367" t="s">
        <v>206</v>
      </c>
      <c r="FFY148" s="367"/>
      <c r="FFZ148" s="367"/>
      <c r="FGA148" s="368" t="s">
        <v>168</v>
      </c>
      <c r="FGB148" s="369">
        <v>0.5</v>
      </c>
      <c r="FGC148" s="370" t="e">
        <f>10/FFY146</f>
        <v>#DIV/0!</v>
      </c>
      <c r="FGD148" s="371">
        <v>15.38</v>
      </c>
      <c r="FGE148" s="371" t="e">
        <f>FGB148*FGC148*FGD148</f>
        <v>#DIV/0!</v>
      </c>
      <c r="FGF148" s="367" t="s">
        <v>206</v>
      </c>
      <c r="FGG148" s="367"/>
      <c r="FGH148" s="367"/>
      <c r="FGI148" s="368" t="s">
        <v>168</v>
      </c>
      <c r="FGJ148" s="369">
        <v>0.5</v>
      </c>
      <c r="FGK148" s="370" t="e">
        <f>10/FGG146</f>
        <v>#DIV/0!</v>
      </c>
      <c r="FGL148" s="371">
        <v>15.38</v>
      </c>
      <c r="FGM148" s="371" t="e">
        <f>FGJ148*FGK148*FGL148</f>
        <v>#DIV/0!</v>
      </c>
      <c r="FGN148" s="367" t="s">
        <v>206</v>
      </c>
      <c r="FGO148" s="367"/>
      <c r="FGP148" s="367"/>
      <c r="FGQ148" s="368" t="s">
        <v>168</v>
      </c>
      <c r="FGR148" s="369">
        <v>0.5</v>
      </c>
      <c r="FGS148" s="370" t="e">
        <f>10/FGO146</f>
        <v>#DIV/0!</v>
      </c>
      <c r="FGT148" s="371">
        <v>15.38</v>
      </c>
      <c r="FGU148" s="371" t="e">
        <f>FGR148*FGS148*FGT148</f>
        <v>#DIV/0!</v>
      </c>
      <c r="FGV148" s="367" t="s">
        <v>206</v>
      </c>
      <c r="FGW148" s="367"/>
      <c r="FGX148" s="367"/>
      <c r="FGY148" s="368" t="s">
        <v>168</v>
      </c>
      <c r="FGZ148" s="369">
        <v>0.5</v>
      </c>
      <c r="FHA148" s="370" t="e">
        <f>10/FGW146</f>
        <v>#DIV/0!</v>
      </c>
      <c r="FHB148" s="371">
        <v>15.38</v>
      </c>
      <c r="FHC148" s="371" t="e">
        <f>FGZ148*FHA148*FHB148</f>
        <v>#DIV/0!</v>
      </c>
      <c r="FHD148" s="367" t="s">
        <v>206</v>
      </c>
      <c r="FHE148" s="367"/>
      <c r="FHF148" s="367"/>
      <c r="FHG148" s="368" t="s">
        <v>168</v>
      </c>
      <c r="FHH148" s="369">
        <v>0.5</v>
      </c>
      <c r="FHI148" s="370" t="e">
        <f>10/FHE146</f>
        <v>#DIV/0!</v>
      </c>
      <c r="FHJ148" s="371">
        <v>15.38</v>
      </c>
      <c r="FHK148" s="371" t="e">
        <f>FHH148*FHI148*FHJ148</f>
        <v>#DIV/0!</v>
      </c>
      <c r="FHL148" s="367" t="s">
        <v>206</v>
      </c>
      <c r="FHM148" s="367"/>
      <c r="FHN148" s="367"/>
      <c r="FHO148" s="368" t="s">
        <v>168</v>
      </c>
      <c r="FHP148" s="369">
        <v>0.5</v>
      </c>
      <c r="FHQ148" s="370" t="e">
        <f>10/FHM146</f>
        <v>#DIV/0!</v>
      </c>
      <c r="FHR148" s="371">
        <v>15.38</v>
      </c>
      <c r="FHS148" s="371" t="e">
        <f>FHP148*FHQ148*FHR148</f>
        <v>#DIV/0!</v>
      </c>
      <c r="FHT148" s="367" t="s">
        <v>206</v>
      </c>
      <c r="FHU148" s="367"/>
      <c r="FHV148" s="367"/>
      <c r="FHW148" s="368" t="s">
        <v>168</v>
      </c>
      <c r="FHX148" s="369">
        <v>0.5</v>
      </c>
      <c r="FHY148" s="370" t="e">
        <f>10/FHU146</f>
        <v>#DIV/0!</v>
      </c>
      <c r="FHZ148" s="371">
        <v>15.38</v>
      </c>
      <c r="FIA148" s="371" t="e">
        <f>FHX148*FHY148*FHZ148</f>
        <v>#DIV/0!</v>
      </c>
      <c r="FIB148" s="367" t="s">
        <v>206</v>
      </c>
      <c r="FIC148" s="367"/>
      <c r="FID148" s="367"/>
      <c r="FIE148" s="368" t="s">
        <v>168</v>
      </c>
      <c r="FIF148" s="369">
        <v>0.5</v>
      </c>
      <c r="FIG148" s="370" t="e">
        <f>10/FIC146</f>
        <v>#DIV/0!</v>
      </c>
      <c r="FIH148" s="371">
        <v>15.38</v>
      </c>
      <c r="FII148" s="371" t="e">
        <f>FIF148*FIG148*FIH148</f>
        <v>#DIV/0!</v>
      </c>
      <c r="FIJ148" s="367" t="s">
        <v>206</v>
      </c>
      <c r="FIK148" s="367"/>
      <c r="FIL148" s="367"/>
      <c r="FIM148" s="368" t="s">
        <v>168</v>
      </c>
      <c r="FIN148" s="369">
        <v>0.5</v>
      </c>
      <c r="FIO148" s="370" t="e">
        <f>10/FIK146</f>
        <v>#DIV/0!</v>
      </c>
      <c r="FIP148" s="371">
        <v>15.38</v>
      </c>
      <c r="FIQ148" s="371" t="e">
        <f>FIN148*FIO148*FIP148</f>
        <v>#DIV/0!</v>
      </c>
      <c r="FIR148" s="367" t="s">
        <v>206</v>
      </c>
      <c r="FIS148" s="367"/>
      <c r="FIT148" s="367"/>
      <c r="FIU148" s="368" t="s">
        <v>168</v>
      </c>
      <c r="FIV148" s="369">
        <v>0.5</v>
      </c>
      <c r="FIW148" s="370" t="e">
        <f>10/FIS146</f>
        <v>#DIV/0!</v>
      </c>
      <c r="FIX148" s="371">
        <v>15.38</v>
      </c>
      <c r="FIY148" s="371" t="e">
        <f>FIV148*FIW148*FIX148</f>
        <v>#DIV/0!</v>
      </c>
      <c r="FIZ148" s="367" t="s">
        <v>206</v>
      </c>
      <c r="FJA148" s="367"/>
      <c r="FJB148" s="367"/>
      <c r="FJC148" s="368" t="s">
        <v>168</v>
      </c>
      <c r="FJD148" s="369">
        <v>0.5</v>
      </c>
      <c r="FJE148" s="370" t="e">
        <f>10/FJA146</f>
        <v>#DIV/0!</v>
      </c>
      <c r="FJF148" s="371">
        <v>15.38</v>
      </c>
      <c r="FJG148" s="371" t="e">
        <f>FJD148*FJE148*FJF148</f>
        <v>#DIV/0!</v>
      </c>
      <c r="FJH148" s="367" t="s">
        <v>206</v>
      </c>
      <c r="FJI148" s="367"/>
      <c r="FJJ148" s="367"/>
      <c r="FJK148" s="368" t="s">
        <v>168</v>
      </c>
      <c r="FJL148" s="369">
        <v>0.5</v>
      </c>
      <c r="FJM148" s="370" t="e">
        <f>10/FJI146</f>
        <v>#DIV/0!</v>
      </c>
      <c r="FJN148" s="371">
        <v>15.38</v>
      </c>
      <c r="FJO148" s="371" t="e">
        <f>FJL148*FJM148*FJN148</f>
        <v>#DIV/0!</v>
      </c>
      <c r="FJP148" s="367" t="s">
        <v>206</v>
      </c>
      <c r="FJQ148" s="367"/>
      <c r="FJR148" s="367"/>
      <c r="FJS148" s="368" t="s">
        <v>168</v>
      </c>
      <c r="FJT148" s="369">
        <v>0.5</v>
      </c>
      <c r="FJU148" s="370" t="e">
        <f>10/FJQ146</f>
        <v>#DIV/0!</v>
      </c>
      <c r="FJV148" s="371">
        <v>15.38</v>
      </c>
      <c r="FJW148" s="371" t="e">
        <f>FJT148*FJU148*FJV148</f>
        <v>#DIV/0!</v>
      </c>
      <c r="FJX148" s="367" t="s">
        <v>206</v>
      </c>
      <c r="FJY148" s="367"/>
      <c r="FJZ148" s="367"/>
      <c r="FKA148" s="368" t="s">
        <v>168</v>
      </c>
      <c r="FKB148" s="369">
        <v>0.5</v>
      </c>
      <c r="FKC148" s="370" t="e">
        <f>10/FJY146</f>
        <v>#DIV/0!</v>
      </c>
      <c r="FKD148" s="371">
        <v>15.38</v>
      </c>
      <c r="FKE148" s="371" t="e">
        <f>FKB148*FKC148*FKD148</f>
        <v>#DIV/0!</v>
      </c>
      <c r="FKF148" s="367" t="s">
        <v>206</v>
      </c>
      <c r="FKG148" s="367"/>
      <c r="FKH148" s="367"/>
      <c r="FKI148" s="368" t="s">
        <v>168</v>
      </c>
      <c r="FKJ148" s="369">
        <v>0.5</v>
      </c>
      <c r="FKK148" s="370" t="e">
        <f>10/FKG146</f>
        <v>#DIV/0!</v>
      </c>
      <c r="FKL148" s="371">
        <v>15.38</v>
      </c>
      <c r="FKM148" s="371" t="e">
        <f>FKJ148*FKK148*FKL148</f>
        <v>#DIV/0!</v>
      </c>
      <c r="FKN148" s="367" t="s">
        <v>206</v>
      </c>
      <c r="FKO148" s="367"/>
      <c r="FKP148" s="367"/>
      <c r="FKQ148" s="368" t="s">
        <v>168</v>
      </c>
      <c r="FKR148" s="369">
        <v>0.5</v>
      </c>
      <c r="FKS148" s="370" t="e">
        <f>10/FKO146</f>
        <v>#DIV/0!</v>
      </c>
      <c r="FKT148" s="371">
        <v>15.38</v>
      </c>
      <c r="FKU148" s="371" t="e">
        <f>FKR148*FKS148*FKT148</f>
        <v>#DIV/0!</v>
      </c>
      <c r="FKV148" s="367" t="s">
        <v>206</v>
      </c>
      <c r="FKW148" s="367"/>
      <c r="FKX148" s="367"/>
      <c r="FKY148" s="368" t="s">
        <v>168</v>
      </c>
      <c r="FKZ148" s="369">
        <v>0.5</v>
      </c>
      <c r="FLA148" s="370" t="e">
        <f>10/FKW146</f>
        <v>#DIV/0!</v>
      </c>
      <c r="FLB148" s="371">
        <v>15.38</v>
      </c>
      <c r="FLC148" s="371" t="e">
        <f>FKZ148*FLA148*FLB148</f>
        <v>#DIV/0!</v>
      </c>
      <c r="FLD148" s="367" t="s">
        <v>206</v>
      </c>
      <c r="FLE148" s="367"/>
      <c r="FLF148" s="367"/>
      <c r="FLG148" s="368" t="s">
        <v>168</v>
      </c>
      <c r="FLH148" s="369">
        <v>0.5</v>
      </c>
      <c r="FLI148" s="370" t="e">
        <f>10/FLE146</f>
        <v>#DIV/0!</v>
      </c>
      <c r="FLJ148" s="371">
        <v>15.38</v>
      </c>
      <c r="FLK148" s="371" t="e">
        <f>FLH148*FLI148*FLJ148</f>
        <v>#DIV/0!</v>
      </c>
      <c r="FLL148" s="367" t="s">
        <v>206</v>
      </c>
      <c r="FLM148" s="367"/>
      <c r="FLN148" s="367"/>
      <c r="FLO148" s="368" t="s">
        <v>168</v>
      </c>
      <c r="FLP148" s="369">
        <v>0.5</v>
      </c>
      <c r="FLQ148" s="370" t="e">
        <f>10/FLM146</f>
        <v>#DIV/0!</v>
      </c>
      <c r="FLR148" s="371">
        <v>15.38</v>
      </c>
      <c r="FLS148" s="371" t="e">
        <f>FLP148*FLQ148*FLR148</f>
        <v>#DIV/0!</v>
      </c>
      <c r="FLT148" s="367" t="s">
        <v>206</v>
      </c>
      <c r="FLU148" s="367"/>
      <c r="FLV148" s="367"/>
      <c r="FLW148" s="368" t="s">
        <v>168</v>
      </c>
      <c r="FLX148" s="369">
        <v>0.5</v>
      </c>
      <c r="FLY148" s="370" t="e">
        <f>10/FLU146</f>
        <v>#DIV/0!</v>
      </c>
      <c r="FLZ148" s="371">
        <v>15.38</v>
      </c>
      <c r="FMA148" s="371" t="e">
        <f>FLX148*FLY148*FLZ148</f>
        <v>#DIV/0!</v>
      </c>
      <c r="FMB148" s="367" t="s">
        <v>206</v>
      </c>
      <c r="FMC148" s="367"/>
      <c r="FMD148" s="367"/>
      <c r="FME148" s="368" t="s">
        <v>168</v>
      </c>
      <c r="FMF148" s="369">
        <v>0.5</v>
      </c>
      <c r="FMG148" s="370" t="e">
        <f>10/FMC146</f>
        <v>#DIV/0!</v>
      </c>
      <c r="FMH148" s="371">
        <v>15.38</v>
      </c>
      <c r="FMI148" s="371" t="e">
        <f>FMF148*FMG148*FMH148</f>
        <v>#DIV/0!</v>
      </c>
      <c r="FMJ148" s="367" t="s">
        <v>206</v>
      </c>
      <c r="FMK148" s="367"/>
      <c r="FML148" s="367"/>
      <c r="FMM148" s="368" t="s">
        <v>168</v>
      </c>
      <c r="FMN148" s="369">
        <v>0.5</v>
      </c>
      <c r="FMO148" s="370" t="e">
        <f>10/FMK146</f>
        <v>#DIV/0!</v>
      </c>
      <c r="FMP148" s="371">
        <v>15.38</v>
      </c>
      <c r="FMQ148" s="371" t="e">
        <f>FMN148*FMO148*FMP148</f>
        <v>#DIV/0!</v>
      </c>
      <c r="FMR148" s="367" t="s">
        <v>206</v>
      </c>
      <c r="FMS148" s="367"/>
      <c r="FMT148" s="367"/>
      <c r="FMU148" s="368" t="s">
        <v>168</v>
      </c>
      <c r="FMV148" s="369">
        <v>0.5</v>
      </c>
      <c r="FMW148" s="370" t="e">
        <f>10/FMS146</f>
        <v>#DIV/0!</v>
      </c>
      <c r="FMX148" s="371">
        <v>15.38</v>
      </c>
      <c r="FMY148" s="371" t="e">
        <f>FMV148*FMW148*FMX148</f>
        <v>#DIV/0!</v>
      </c>
      <c r="FMZ148" s="367" t="s">
        <v>206</v>
      </c>
      <c r="FNA148" s="367"/>
      <c r="FNB148" s="367"/>
      <c r="FNC148" s="368" t="s">
        <v>168</v>
      </c>
      <c r="FND148" s="369">
        <v>0.5</v>
      </c>
      <c r="FNE148" s="370" t="e">
        <f>10/FNA146</f>
        <v>#DIV/0!</v>
      </c>
      <c r="FNF148" s="371">
        <v>15.38</v>
      </c>
      <c r="FNG148" s="371" t="e">
        <f>FND148*FNE148*FNF148</f>
        <v>#DIV/0!</v>
      </c>
      <c r="FNH148" s="367" t="s">
        <v>206</v>
      </c>
      <c r="FNI148" s="367"/>
      <c r="FNJ148" s="367"/>
      <c r="FNK148" s="368" t="s">
        <v>168</v>
      </c>
      <c r="FNL148" s="369">
        <v>0.5</v>
      </c>
      <c r="FNM148" s="370" t="e">
        <f>10/FNI146</f>
        <v>#DIV/0!</v>
      </c>
      <c r="FNN148" s="371">
        <v>15.38</v>
      </c>
      <c r="FNO148" s="371" t="e">
        <f>FNL148*FNM148*FNN148</f>
        <v>#DIV/0!</v>
      </c>
      <c r="FNP148" s="367" t="s">
        <v>206</v>
      </c>
      <c r="FNQ148" s="367"/>
      <c r="FNR148" s="367"/>
      <c r="FNS148" s="368" t="s">
        <v>168</v>
      </c>
      <c r="FNT148" s="369">
        <v>0.5</v>
      </c>
      <c r="FNU148" s="370" t="e">
        <f>10/FNQ146</f>
        <v>#DIV/0!</v>
      </c>
      <c r="FNV148" s="371">
        <v>15.38</v>
      </c>
      <c r="FNW148" s="371" t="e">
        <f>FNT148*FNU148*FNV148</f>
        <v>#DIV/0!</v>
      </c>
      <c r="FNX148" s="367" t="s">
        <v>206</v>
      </c>
      <c r="FNY148" s="367"/>
      <c r="FNZ148" s="367"/>
      <c r="FOA148" s="368" t="s">
        <v>168</v>
      </c>
      <c r="FOB148" s="369">
        <v>0.5</v>
      </c>
      <c r="FOC148" s="370" t="e">
        <f>10/FNY146</f>
        <v>#DIV/0!</v>
      </c>
      <c r="FOD148" s="371">
        <v>15.38</v>
      </c>
      <c r="FOE148" s="371" t="e">
        <f>FOB148*FOC148*FOD148</f>
        <v>#DIV/0!</v>
      </c>
      <c r="FOF148" s="367" t="s">
        <v>206</v>
      </c>
      <c r="FOG148" s="367"/>
      <c r="FOH148" s="367"/>
      <c r="FOI148" s="368" t="s">
        <v>168</v>
      </c>
      <c r="FOJ148" s="369">
        <v>0.5</v>
      </c>
      <c r="FOK148" s="370" t="e">
        <f>10/FOG146</f>
        <v>#DIV/0!</v>
      </c>
      <c r="FOL148" s="371">
        <v>15.38</v>
      </c>
      <c r="FOM148" s="371" t="e">
        <f>FOJ148*FOK148*FOL148</f>
        <v>#DIV/0!</v>
      </c>
      <c r="FON148" s="367" t="s">
        <v>206</v>
      </c>
      <c r="FOO148" s="367"/>
      <c r="FOP148" s="367"/>
      <c r="FOQ148" s="368" t="s">
        <v>168</v>
      </c>
      <c r="FOR148" s="369">
        <v>0.5</v>
      </c>
      <c r="FOS148" s="370" t="e">
        <f>10/FOO146</f>
        <v>#DIV/0!</v>
      </c>
      <c r="FOT148" s="371">
        <v>15.38</v>
      </c>
      <c r="FOU148" s="371" t="e">
        <f>FOR148*FOS148*FOT148</f>
        <v>#DIV/0!</v>
      </c>
      <c r="FOV148" s="367" t="s">
        <v>206</v>
      </c>
      <c r="FOW148" s="367"/>
      <c r="FOX148" s="367"/>
      <c r="FOY148" s="368" t="s">
        <v>168</v>
      </c>
      <c r="FOZ148" s="369">
        <v>0.5</v>
      </c>
      <c r="FPA148" s="370" t="e">
        <f>10/FOW146</f>
        <v>#DIV/0!</v>
      </c>
      <c r="FPB148" s="371">
        <v>15.38</v>
      </c>
      <c r="FPC148" s="371" t="e">
        <f>FOZ148*FPA148*FPB148</f>
        <v>#DIV/0!</v>
      </c>
      <c r="FPD148" s="367" t="s">
        <v>206</v>
      </c>
      <c r="FPE148" s="367"/>
      <c r="FPF148" s="367"/>
      <c r="FPG148" s="368" t="s">
        <v>168</v>
      </c>
      <c r="FPH148" s="369">
        <v>0.5</v>
      </c>
      <c r="FPI148" s="370" t="e">
        <f>10/FPE146</f>
        <v>#DIV/0!</v>
      </c>
      <c r="FPJ148" s="371">
        <v>15.38</v>
      </c>
      <c r="FPK148" s="371" t="e">
        <f>FPH148*FPI148*FPJ148</f>
        <v>#DIV/0!</v>
      </c>
      <c r="FPL148" s="367" t="s">
        <v>206</v>
      </c>
      <c r="FPM148" s="367"/>
      <c r="FPN148" s="367"/>
      <c r="FPO148" s="368" t="s">
        <v>168</v>
      </c>
      <c r="FPP148" s="369">
        <v>0.5</v>
      </c>
      <c r="FPQ148" s="370" t="e">
        <f>10/FPM146</f>
        <v>#DIV/0!</v>
      </c>
      <c r="FPR148" s="371">
        <v>15.38</v>
      </c>
      <c r="FPS148" s="371" t="e">
        <f>FPP148*FPQ148*FPR148</f>
        <v>#DIV/0!</v>
      </c>
      <c r="FPT148" s="367" t="s">
        <v>206</v>
      </c>
      <c r="FPU148" s="367"/>
      <c r="FPV148" s="367"/>
      <c r="FPW148" s="368" t="s">
        <v>168</v>
      </c>
      <c r="FPX148" s="369">
        <v>0.5</v>
      </c>
      <c r="FPY148" s="370" t="e">
        <f>10/FPU146</f>
        <v>#DIV/0!</v>
      </c>
      <c r="FPZ148" s="371">
        <v>15.38</v>
      </c>
      <c r="FQA148" s="371" t="e">
        <f>FPX148*FPY148*FPZ148</f>
        <v>#DIV/0!</v>
      </c>
      <c r="FQB148" s="367" t="s">
        <v>206</v>
      </c>
      <c r="FQC148" s="367"/>
      <c r="FQD148" s="367"/>
      <c r="FQE148" s="368" t="s">
        <v>168</v>
      </c>
      <c r="FQF148" s="369">
        <v>0.5</v>
      </c>
      <c r="FQG148" s="370" t="e">
        <f>10/FQC146</f>
        <v>#DIV/0!</v>
      </c>
      <c r="FQH148" s="371">
        <v>15.38</v>
      </c>
      <c r="FQI148" s="371" t="e">
        <f>FQF148*FQG148*FQH148</f>
        <v>#DIV/0!</v>
      </c>
      <c r="FQJ148" s="367" t="s">
        <v>206</v>
      </c>
      <c r="FQK148" s="367"/>
      <c r="FQL148" s="367"/>
      <c r="FQM148" s="368" t="s">
        <v>168</v>
      </c>
      <c r="FQN148" s="369">
        <v>0.5</v>
      </c>
      <c r="FQO148" s="370" t="e">
        <f>10/FQK146</f>
        <v>#DIV/0!</v>
      </c>
      <c r="FQP148" s="371">
        <v>15.38</v>
      </c>
      <c r="FQQ148" s="371" t="e">
        <f>FQN148*FQO148*FQP148</f>
        <v>#DIV/0!</v>
      </c>
      <c r="FQR148" s="367" t="s">
        <v>206</v>
      </c>
      <c r="FQS148" s="367"/>
      <c r="FQT148" s="367"/>
      <c r="FQU148" s="368" t="s">
        <v>168</v>
      </c>
      <c r="FQV148" s="369">
        <v>0.5</v>
      </c>
      <c r="FQW148" s="370" t="e">
        <f>10/FQS146</f>
        <v>#DIV/0!</v>
      </c>
      <c r="FQX148" s="371">
        <v>15.38</v>
      </c>
      <c r="FQY148" s="371" t="e">
        <f>FQV148*FQW148*FQX148</f>
        <v>#DIV/0!</v>
      </c>
      <c r="FQZ148" s="367" t="s">
        <v>206</v>
      </c>
      <c r="FRA148" s="367"/>
      <c r="FRB148" s="367"/>
      <c r="FRC148" s="368" t="s">
        <v>168</v>
      </c>
      <c r="FRD148" s="369">
        <v>0.5</v>
      </c>
      <c r="FRE148" s="370" t="e">
        <f>10/FRA146</f>
        <v>#DIV/0!</v>
      </c>
      <c r="FRF148" s="371">
        <v>15.38</v>
      </c>
      <c r="FRG148" s="371" t="e">
        <f>FRD148*FRE148*FRF148</f>
        <v>#DIV/0!</v>
      </c>
      <c r="FRH148" s="367" t="s">
        <v>206</v>
      </c>
      <c r="FRI148" s="367"/>
      <c r="FRJ148" s="367"/>
      <c r="FRK148" s="368" t="s">
        <v>168</v>
      </c>
      <c r="FRL148" s="369">
        <v>0.5</v>
      </c>
      <c r="FRM148" s="370" t="e">
        <f>10/FRI146</f>
        <v>#DIV/0!</v>
      </c>
      <c r="FRN148" s="371">
        <v>15.38</v>
      </c>
      <c r="FRO148" s="371" t="e">
        <f>FRL148*FRM148*FRN148</f>
        <v>#DIV/0!</v>
      </c>
      <c r="FRP148" s="367" t="s">
        <v>206</v>
      </c>
      <c r="FRQ148" s="367"/>
      <c r="FRR148" s="367"/>
      <c r="FRS148" s="368" t="s">
        <v>168</v>
      </c>
      <c r="FRT148" s="369">
        <v>0.5</v>
      </c>
      <c r="FRU148" s="370" t="e">
        <f>10/FRQ146</f>
        <v>#DIV/0!</v>
      </c>
      <c r="FRV148" s="371">
        <v>15.38</v>
      </c>
      <c r="FRW148" s="371" t="e">
        <f>FRT148*FRU148*FRV148</f>
        <v>#DIV/0!</v>
      </c>
      <c r="FRX148" s="367" t="s">
        <v>206</v>
      </c>
      <c r="FRY148" s="367"/>
      <c r="FRZ148" s="367"/>
      <c r="FSA148" s="368" t="s">
        <v>168</v>
      </c>
      <c r="FSB148" s="369">
        <v>0.5</v>
      </c>
      <c r="FSC148" s="370" t="e">
        <f>10/FRY146</f>
        <v>#DIV/0!</v>
      </c>
      <c r="FSD148" s="371">
        <v>15.38</v>
      </c>
      <c r="FSE148" s="371" t="e">
        <f>FSB148*FSC148*FSD148</f>
        <v>#DIV/0!</v>
      </c>
      <c r="FSF148" s="367" t="s">
        <v>206</v>
      </c>
      <c r="FSG148" s="367"/>
      <c r="FSH148" s="367"/>
      <c r="FSI148" s="368" t="s">
        <v>168</v>
      </c>
      <c r="FSJ148" s="369">
        <v>0.5</v>
      </c>
      <c r="FSK148" s="370" t="e">
        <f>10/FSG146</f>
        <v>#DIV/0!</v>
      </c>
      <c r="FSL148" s="371">
        <v>15.38</v>
      </c>
      <c r="FSM148" s="371" t="e">
        <f>FSJ148*FSK148*FSL148</f>
        <v>#DIV/0!</v>
      </c>
      <c r="FSN148" s="367" t="s">
        <v>206</v>
      </c>
      <c r="FSO148" s="367"/>
      <c r="FSP148" s="367"/>
      <c r="FSQ148" s="368" t="s">
        <v>168</v>
      </c>
      <c r="FSR148" s="369">
        <v>0.5</v>
      </c>
      <c r="FSS148" s="370" t="e">
        <f>10/FSO146</f>
        <v>#DIV/0!</v>
      </c>
      <c r="FST148" s="371">
        <v>15.38</v>
      </c>
      <c r="FSU148" s="371" t="e">
        <f>FSR148*FSS148*FST148</f>
        <v>#DIV/0!</v>
      </c>
      <c r="FSV148" s="367" t="s">
        <v>206</v>
      </c>
      <c r="FSW148" s="367"/>
      <c r="FSX148" s="367"/>
      <c r="FSY148" s="368" t="s">
        <v>168</v>
      </c>
      <c r="FSZ148" s="369">
        <v>0.5</v>
      </c>
      <c r="FTA148" s="370" t="e">
        <f>10/FSW146</f>
        <v>#DIV/0!</v>
      </c>
      <c r="FTB148" s="371">
        <v>15.38</v>
      </c>
      <c r="FTC148" s="371" t="e">
        <f>FSZ148*FTA148*FTB148</f>
        <v>#DIV/0!</v>
      </c>
      <c r="FTD148" s="367" t="s">
        <v>206</v>
      </c>
      <c r="FTE148" s="367"/>
      <c r="FTF148" s="367"/>
      <c r="FTG148" s="368" t="s">
        <v>168</v>
      </c>
      <c r="FTH148" s="369">
        <v>0.5</v>
      </c>
      <c r="FTI148" s="370" t="e">
        <f>10/FTE146</f>
        <v>#DIV/0!</v>
      </c>
      <c r="FTJ148" s="371">
        <v>15.38</v>
      </c>
      <c r="FTK148" s="371" t="e">
        <f>FTH148*FTI148*FTJ148</f>
        <v>#DIV/0!</v>
      </c>
      <c r="FTL148" s="367" t="s">
        <v>206</v>
      </c>
      <c r="FTM148" s="367"/>
      <c r="FTN148" s="367"/>
      <c r="FTO148" s="368" t="s">
        <v>168</v>
      </c>
      <c r="FTP148" s="369">
        <v>0.5</v>
      </c>
      <c r="FTQ148" s="370" t="e">
        <f>10/FTM146</f>
        <v>#DIV/0!</v>
      </c>
      <c r="FTR148" s="371">
        <v>15.38</v>
      </c>
      <c r="FTS148" s="371" t="e">
        <f>FTP148*FTQ148*FTR148</f>
        <v>#DIV/0!</v>
      </c>
      <c r="FTT148" s="367" t="s">
        <v>206</v>
      </c>
      <c r="FTU148" s="367"/>
      <c r="FTV148" s="367"/>
      <c r="FTW148" s="368" t="s">
        <v>168</v>
      </c>
      <c r="FTX148" s="369">
        <v>0.5</v>
      </c>
      <c r="FTY148" s="370" t="e">
        <f>10/FTU146</f>
        <v>#DIV/0!</v>
      </c>
      <c r="FTZ148" s="371">
        <v>15.38</v>
      </c>
      <c r="FUA148" s="371" t="e">
        <f>FTX148*FTY148*FTZ148</f>
        <v>#DIV/0!</v>
      </c>
      <c r="FUB148" s="367" t="s">
        <v>206</v>
      </c>
      <c r="FUC148" s="367"/>
      <c r="FUD148" s="367"/>
      <c r="FUE148" s="368" t="s">
        <v>168</v>
      </c>
      <c r="FUF148" s="369">
        <v>0.5</v>
      </c>
      <c r="FUG148" s="370" t="e">
        <f>10/FUC146</f>
        <v>#DIV/0!</v>
      </c>
      <c r="FUH148" s="371">
        <v>15.38</v>
      </c>
      <c r="FUI148" s="371" t="e">
        <f>FUF148*FUG148*FUH148</f>
        <v>#DIV/0!</v>
      </c>
      <c r="FUJ148" s="367" t="s">
        <v>206</v>
      </c>
      <c r="FUK148" s="367"/>
      <c r="FUL148" s="367"/>
      <c r="FUM148" s="368" t="s">
        <v>168</v>
      </c>
      <c r="FUN148" s="369">
        <v>0.5</v>
      </c>
      <c r="FUO148" s="370" t="e">
        <f>10/FUK146</f>
        <v>#DIV/0!</v>
      </c>
      <c r="FUP148" s="371">
        <v>15.38</v>
      </c>
      <c r="FUQ148" s="371" t="e">
        <f>FUN148*FUO148*FUP148</f>
        <v>#DIV/0!</v>
      </c>
      <c r="FUR148" s="367" t="s">
        <v>206</v>
      </c>
      <c r="FUS148" s="367"/>
      <c r="FUT148" s="367"/>
      <c r="FUU148" s="368" t="s">
        <v>168</v>
      </c>
      <c r="FUV148" s="369">
        <v>0.5</v>
      </c>
      <c r="FUW148" s="370" t="e">
        <f>10/FUS146</f>
        <v>#DIV/0!</v>
      </c>
      <c r="FUX148" s="371">
        <v>15.38</v>
      </c>
      <c r="FUY148" s="371" t="e">
        <f>FUV148*FUW148*FUX148</f>
        <v>#DIV/0!</v>
      </c>
      <c r="FUZ148" s="367" t="s">
        <v>206</v>
      </c>
      <c r="FVA148" s="367"/>
      <c r="FVB148" s="367"/>
      <c r="FVC148" s="368" t="s">
        <v>168</v>
      </c>
      <c r="FVD148" s="369">
        <v>0.5</v>
      </c>
      <c r="FVE148" s="370" t="e">
        <f>10/FVA146</f>
        <v>#DIV/0!</v>
      </c>
      <c r="FVF148" s="371">
        <v>15.38</v>
      </c>
      <c r="FVG148" s="371" t="e">
        <f>FVD148*FVE148*FVF148</f>
        <v>#DIV/0!</v>
      </c>
      <c r="FVH148" s="367" t="s">
        <v>206</v>
      </c>
      <c r="FVI148" s="367"/>
      <c r="FVJ148" s="367"/>
      <c r="FVK148" s="368" t="s">
        <v>168</v>
      </c>
      <c r="FVL148" s="369">
        <v>0.5</v>
      </c>
      <c r="FVM148" s="370" t="e">
        <f>10/FVI146</f>
        <v>#DIV/0!</v>
      </c>
      <c r="FVN148" s="371">
        <v>15.38</v>
      </c>
      <c r="FVO148" s="371" t="e">
        <f>FVL148*FVM148*FVN148</f>
        <v>#DIV/0!</v>
      </c>
      <c r="FVP148" s="367" t="s">
        <v>206</v>
      </c>
      <c r="FVQ148" s="367"/>
      <c r="FVR148" s="367"/>
      <c r="FVS148" s="368" t="s">
        <v>168</v>
      </c>
      <c r="FVT148" s="369">
        <v>0.5</v>
      </c>
      <c r="FVU148" s="370" t="e">
        <f>10/FVQ146</f>
        <v>#DIV/0!</v>
      </c>
      <c r="FVV148" s="371">
        <v>15.38</v>
      </c>
      <c r="FVW148" s="371" t="e">
        <f>FVT148*FVU148*FVV148</f>
        <v>#DIV/0!</v>
      </c>
      <c r="FVX148" s="367" t="s">
        <v>206</v>
      </c>
      <c r="FVY148" s="367"/>
      <c r="FVZ148" s="367"/>
      <c r="FWA148" s="368" t="s">
        <v>168</v>
      </c>
      <c r="FWB148" s="369">
        <v>0.5</v>
      </c>
      <c r="FWC148" s="370" t="e">
        <f>10/FVY146</f>
        <v>#DIV/0!</v>
      </c>
      <c r="FWD148" s="371">
        <v>15.38</v>
      </c>
      <c r="FWE148" s="371" t="e">
        <f>FWB148*FWC148*FWD148</f>
        <v>#DIV/0!</v>
      </c>
      <c r="FWF148" s="367" t="s">
        <v>206</v>
      </c>
      <c r="FWG148" s="367"/>
      <c r="FWH148" s="367"/>
      <c r="FWI148" s="368" t="s">
        <v>168</v>
      </c>
      <c r="FWJ148" s="369">
        <v>0.5</v>
      </c>
      <c r="FWK148" s="370" t="e">
        <f>10/FWG146</f>
        <v>#DIV/0!</v>
      </c>
      <c r="FWL148" s="371">
        <v>15.38</v>
      </c>
      <c r="FWM148" s="371" t="e">
        <f>FWJ148*FWK148*FWL148</f>
        <v>#DIV/0!</v>
      </c>
      <c r="FWN148" s="367" t="s">
        <v>206</v>
      </c>
      <c r="FWO148" s="367"/>
      <c r="FWP148" s="367"/>
      <c r="FWQ148" s="368" t="s">
        <v>168</v>
      </c>
      <c r="FWR148" s="369">
        <v>0.5</v>
      </c>
      <c r="FWS148" s="370" t="e">
        <f>10/FWO146</f>
        <v>#DIV/0!</v>
      </c>
      <c r="FWT148" s="371">
        <v>15.38</v>
      </c>
      <c r="FWU148" s="371" t="e">
        <f>FWR148*FWS148*FWT148</f>
        <v>#DIV/0!</v>
      </c>
      <c r="FWV148" s="367" t="s">
        <v>206</v>
      </c>
      <c r="FWW148" s="367"/>
      <c r="FWX148" s="367"/>
      <c r="FWY148" s="368" t="s">
        <v>168</v>
      </c>
      <c r="FWZ148" s="369">
        <v>0.5</v>
      </c>
      <c r="FXA148" s="370" t="e">
        <f>10/FWW146</f>
        <v>#DIV/0!</v>
      </c>
      <c r="FXB148" s="371">
        <v>15.38</v>
      </c>
      <c r="FXC148" s="371" t="e">
        <f>FWZ148*FXA148*FXB148</f>
        <v>#DIV/0!</v>
      </c>
      <c r="FXD148" s="367" t="s">
        <v>206</v>
      </c>
      <c r="FXE148" s="367"/>
      <c r="FXF148" s="367"/>
      <c r="FXG148" s="368" t="s">
        <v>168</v>
      </c>
      <c r="FXH148" s="369">
        <v>0.5</v>
      </c>
      <c r="FXI148" s="370" t="e">
        <f>10/FXE146</f>
        <v>#DIV/0!</v>
      </c>
      <c r="FXJ148" s="371">
        <v>15.38</v>
      </c>
      <c r="FXK148" s="371" t="e">
        <f>FXH148*FXI148*FXJ148</f>
        <v>#DIV/0!</v>
      </c>
      <c r="FXL148" s="367" t="s">
        <v>206</v>
      </c>
      <c r="FXM148" s="367"/>
      <c r="FXN148" s="367"/>
      <c r="FXO148" s="368" t="s">
        <v>168</v>
      </c>
      <c r="FXP148" s="369">
        <v>0.5</v>
      </c>
      <c r="FXQ148" s="370" t="e">
        <f>10/FXM146</f>
        <v>#DIV/0!</v>
      </c>
      <c r="FXR148" s="371">
        <v>15.38</v>
      </c>
      <c r="FXS148" s="371" t="e">
        <f>FXP148*FXQ148*FXR148</f>
        <v>#DIV/0!</v>
      </c>
      <c r="FXT148" s="367" t="s">
        <v>206</v>
      </c>
      <c r="FXU148" s="367"/>
      <c r="FXV148" s="367"/>
      <c r="FXW148" s="368" t="s">
        <v>168</v>
      </c>
      <c r="FXX148" s="369">
        <v>0.5</v>
      </c>
      <c r="FXY148" s="370" t="e">
        <f>10/FXU146</f>
        <v>#DIV/0!</v>
      </c>
      <c r="FXZ148" s="371">
        <v>15.38</v>
      </c>
      <c r="FYA148" s="371" t="e">
        <f>FXX148*FXY148*FXZ148</f>
        <v>#DIV/0!</v>
      </c>
      <c r="FYB148" s="367" t="s">
        <v>206</v>
      </c>
      <c r="FYC148" s="367"/>
      <c r="FYD148" s="367"/>
      <c r="FYE148" s="368" t="s">
        <v>168</v>
      </c>
      <c r="FYF148" s="369">
        <v>0.5</v>
      </c>
      <c r="FYG148" s="370" t="e">
        <f>10/FYC146</f>
        <v>#DIV/0!</v>
      </c>
      <c r="FYH148" s="371">
        <v>15.38</v>
      </c>
      <c r="FYI148" s="371" t="e">
        <f>FYF148*FYG148*FYH148</f>
        <v>#DIV/0!</v>
      </c>
      <c r="FYJ148" s="367" t="s">
        <v>206</v>
      </c>
      <c r="FYK148" s="367"/>
      <c r="FYL148" s="367"/>
      <c r="FYM148" s="368" t="s">
        <v>168</v>
      </c>
      <c r="FYN148" s="369">
        <v>0.5</v>
      </c>
      <c r="FYO148" s="370" t="e">
        <f>10/FYK146</f>
        <v>#DIV/0!</v>
      </c>
      <c r="FYP148" s="371">
        <v>15.38</v>
      </c>
      <c r="FYQ148" s="371" t="e">
        <f>FYN148*FYO148*FYP148</f>
        <v>#DIV/0!</v>
      </c>
      <c r="FYR148" s="367" t="s">
        <v>206</v>
      </c>
      <c r="FYS148" s="367"/>
      <c r="FYT148" s="367"/>
      <c r="FYU148" s="368" t="s">
        <v>168</v>
      </c>
      <c r="FYV148" s="369">
        <v>0.5</v>
      </c>
      <c r="FYW148" s="370" t="e">
        <f>10/FYS146</f>
        <v>#DIV/0!</v>
      </c>
      <c r="FYX148" s="371">
        <v>15.38</v>
      </c>
      <c r="FYY148" s="371" t="e">
        <f>FYV148*FYW148*FYX148</f>
        <v>#DIV/0!</v>
      </c>
      <c r="FYZ148" s="367" t="s">
        <v>206</v>
      </c>
      <c r="FZA148" s="367"/>
      <c r="FZB148" s="367"/>
      <c r="FZC148" s="368" t="s">
        <v>168</v>
      </c>
      <c r="FZD148" s="369">
        <v>0.5</v>
      </c>
      <c r="FZE148" s="370" t="e">
        <f>10/FZA146</f>
        <v>#DIV/0!</v>
      </c>
      <c r="FZF148" s="371">
        <v>15.38</v>
      </c>
      <c r="FZG148" s="371" t="e">
        <f>FZD148*FZE148*FZF148</f>
        <v>#DIV/0!</v>
      </c>
      <c r="FZH148" s="367" t="s">
        <v>206</v>
      </c>
      <c r="FZI148" s="367"/>
      <c r="FZJ148" s="367"/>
      <c r="FZK148" s="368" t="s">
        <v>168</v>
      </c>
      <c r="FZL148" s="369">
        <v>0.5</v>
      </c>
      <c r="FZM148" s="370" t="e">
        <f>10/FZI146</f>
        <v>#DIV/0!</v>
      </c>
      <c r="FZN148" s="371">
        <v>15.38</v>
      </c>
      <c r="FZO148" s="371" t="e">
        <f>FZL148*FZM148*FZN148</f>
        <v>#DIV/0!</v>
      </c>
      <c r="FZP148" s="367" t="s">
        <v>206</v>
      </c>
      <c r="FZQ148" s="367"/>
      <c r="FZR148" s="367"/>
      <c r="FZS148" s="368" t="s">
        <v>168</v>
      </c>
      <c r="FZT148" s="369">
        <v>0.5</v>
      </c>
      <c r="FZU148" s="370" t="e">
        <f>10/FZQ146</f>
        <v>#DIV/0!</v>
      </c>
      <c r="FZV148" s="371">
        <v>15.38</v>
      </c>
      <c r="FZW148" s="371" t="e">
        <f>FZT148*FZU148*FZV148</f>
        <v>#DIV/0!</v>
      </c>
      <c r="FZX148" s="367" t="s">
        <v>206</v>
      </c>
      <c r="FZY148" s="367"/>
      <c r="FZZ148" s="367"/>
      <c r="GAA148" s="368" t="s">
        <v>168</v>
      </c>
      <c r="GAB148" s="369">
        <v>0.5</v>
      </c>
      <c r="GAC148" s="370" t="e">
        <f>10/FZY146</f>
        <v>#DIV/0!</v>
      </c>
      <c r="GAD148" s="371">
        <v>15.38</v>
      </c>
      <c r="GAE148" s="371" t="e">
        <f>GAB148*GAC148*GAD148</f>
        <v>#DIV/0!</v>
      </c>
      <c r="GAF148" s="367" t="s">
        <v>206</v>
      </c>
      <c r="GAG148" s="367"/>
      <c r="GAH148" s="367"/>
      <c r="GAI148" s="368" t="s">
        <v>168</v>
      </c>
      <c r="GAJ148" s="369">
        <v>0.5</v>
      </c>
      <c r="GAK148" s="370" t="e">
        <f>10/GAG146</f>
        <v>#DIV/0!</v>
      </c>
      <c r="GAL148" s="371">
        <v>15.38</v>
      </c>
      <c r="GAM148" s="371" t="e">
        <f>GAJ148*GAK148*GAL148</f>
        <v>#DIV/0!</v>
      </c>
      <c r="GAN148" s="367" t="s">
        <v>206</v>
      </c>
      <c r="GAO148" s="367"/>
      <c r="GAP148" s="367"/>
      <c r="GAQ148" s="368" t="s">
        <v>168</v>
      </c>
      <c r="GAR148" s="369">
        <v>0.5</v>
      </c>
      <c r="GAS148" s="370" t="e">
        <f>10/GAO146</f>
        <v>#DIV/0!</v>
      </c>
      <c r="GAT148" s="371">
        <v>15.38</v>
      </c>
      <c r="GAU148" s="371" t="e">
        <f>GAR148*GAS148*GAT148</f>
        <v>#DIV/0!</v>
      </c>
      <c r="GAV148" s="367" t="s">
        <v>206</v>
      </c>
      <c r="GAW148" s="367"/>
      <c r="GAX148" s="367"/>
      <c r="GAY148" s="368" t="s">
        <v>168</v>
      </c>
      <c r="GAZ148" s="369">
        <v>0.5</v>
      </c>
      <c r="GBA148" s="370" t="e">
        <f>10/GAW146</f>
        <v>#DIV/0!</v>
      </c>
      <c r="GBB148" s="371">
        <v>15.38</v>
      </c>
      <c r="GBC148" s="371" t="e">
        <f>GAZ148*GBA148*GBB148</f>
        <v>#DIV/0!</v>
      </c>
      <c r="GBD148" s="367" t="s">
        <v>206</v>
      </c>
      <c r="GBE148" s="367"/>
      <c r="GBF148" s="367"/>
      <c r="GBG148" s="368" t="s">
        <v>168</v>
      </c>
      <c r="GBH148" s="369">
        <v>0.5</v>
      </c>
      <c r="GBI148" s="370" t="e">
        <f>10/GBE146</f>
        <v>#DIV/0!</v>
      </c>
      <c r="GBJ148" s="371">
        <v>15.38</v>
      </c>
      <c r="GBK148" s="371" t="e">
        <f>GBH148*GBI148*GBJ148</f>
        <v>#DIV/0!</v>
      </c>
      <c r="GBL148" s="367" t="s">
        <v>206</v>
      </c>
      <c r="GBM148" s="367"/>
      <c r="GBN148" s="367"/>
      <c r="GBO148" s="368" t="s">
        <v>168</v>
      </c>
      <c r="GBP148" s="369">
        <v>0.5</v>
      </c>
      <c r="GBQ148" s="370" t="e">
        <f>10/GBM146</f>
        <v>#DIV/0!</v>
      </c>
      <c r="GBR148" s="371">
        <v>15.38</v>
      </c>
      <c r="GBS148" s="371" t="e">
        <f>GBP148*GBQ148*GBR148</f>
        <v>#DIV/0!</v>
      </c>
      <c r="GBT148" s="367" t="s">
        <v>206</v>
      </c>
      <c r="GBU148" s="367"/>
      <c r="GBV148" s="367"/>
      <c r="GBW148" s="368" t="s">
        <v>168</v>
      </c>
      <c r="GBX148" s="369">
        <v>0.5</v>
      </c>
      <c r="GBY148" s="370" t="e">
        <f>10/GBU146</f>
        <v>#DIV/0!</v>
      </c>
      <c r="GBZ148" s="371">
        <v>15.38</v>
      </c>
      <c r="GCA148" s="371" t="e">
        <f>GBX148*GBY148*GBZ148</f>
        <v>#DIV/0!</v>
      </c>
      <c r="GCB148" s="367" t="s">
        <v>206</v>
      </c>
      <c r="GCC148" s="367"/>
      <c r="GCD148" s="367"/>
      <c r="GCE148" s="368" t="s">
        <v>168</v>
      </c>
      <c r="GCF148" s="369">
        <v>0.5</v>
      </c>
      <c r="GCG148" s="370" t="e">
        <f>10/GCC146</f>
        <v>#DIV/0!</v>
      </c>
      <c r="GCH148" s="371">
        <v>15.38</v>
      </c>
      <c r="GCI148" s="371" t="e">
        <f>GCF148*GCG148*GCH148</f>
        <v>#DIV/0!</v>
      </c>
      <c r="GCJ148" s="367" t="s">
        <v>206</v>
      </c>
      <c r="GCK148" s="367"/>
      <c r="GCL148" s="367"/>
      <c r="GCM148" s="368" t="s">
        <v>168</v>
      </c>
      <c r="GCN148" s="369">
        <v>0.5</v>
      </c>
      <c r="GCO148" s="370" t="e">
        <f>10/GCK146</f>
        <v>#DIV/0!</v>
      </c>
      <c r="GCP148" s="371">
        <v>15.38</v>
      </c>
      <c r="GCQ148" s="371" t="e">
        <f>GCN148*GCO148*GCP148</f>
        <v>#DIV/0!</v>
      </c>
      <c r="GCR148" s="367" t="s">
        <v>206</v>
      </c>
      <c r="GCS148" s="367"/>
      <c r="GCT148" s="367"/>
      <c r="GCU148" s="368" t="s">
        <v>168</v>
      </c>
      <c r="GCV148" s="369">
        <v>0.5</v>
      </c>
      <c r="GCW148" s="370" t="e">
        <f>10/GCS146</f>
        <v>#DIV/0!</v>
      </c>
      <c r="GCX148" s="371">
        <v>15.38</v>
      </c>
      <c r="GCY148" s="371" t="e">
        <f>GCV148*GCW148*GCX148</f>
        <v>#DIV/0!</v>
      </c>
      <c r="GCZ148" s="367" t="s">
        <v>206</v>
      </c>
      <c r="GDA148" s="367"/>
      <c r="GDB148" s="367"/>
      <c r="GDC148" s="368" t="s">
        <v>168</v>
      </c>
      <c r="GDD148" s="369">
        <v>0.5</v>
      </c>
      <c r="GDE148" s="370" t="e">
        <f>10/GDA146</f>
        <v>#DIV/0!</v>
      </c>
      <c r="GDF148" s="371">
        <v>15.38</v>
      </c>
      <c r="GDG148" s="371" t="e">
        <f>GDD148*GDE148*GDF148</f>
        <v>#DIV/0!</v>
      </c>
      <c r="GDH148" s="367" t="s">
        <v>206</v>
      </c>
      <c r="GDI148" s="367"/>
      <c r="GDJ148" s="367"/>
      <c r="GDK148" s="368" t="s">
        <v>168</v>
      </c>
      <c r="GDL148" s="369">
        <v>0.5</v>
      </c>
      <c r="GDM148" s="370" t="e">
        <f>10/GDI146</f>
        <v>#DIV/0!</v>
      </c>
      <c r="GDN148" s="371">
        <v>15.38</v>
      </c>
      <c r="GDO148" s="371" t="e">
        <f>GDL148*GDM148*GDN148</f>
        <v>#DIV/0!</v>
      </c>
      <c r="GDP148" s="367" t="s">
        <v>206</v>
      </c>
      <c r="GDQ148" s="367"/>
      <c r="GDR148" s="367"/>
      <c r="GDS148" s="368" t="s">
        <v>168</v>
      </c>
      <c r="GDT148" s="369">
        <v>0.5</v>
      </c>
      <c r="GDU148" s="370" t="e">
        <f>10/GDQ146</f>
        <v>#DIV/0!</v>
      </c>
      <c r="GDV148" s="371">
        <v>15.38</v>
      </c>
      <c r="GDW148" s="371" t="e">
        <f>GDT148*GDU148*GDV148</f>
        <v>#DIV/0!</v>
      </c>
      <c r="GDX148" s="367" t="s">
        <v>206</v>
      </c>
      <c r="GDY148" s="367"/>
      <c r="GDZ148" s="367"/>
      <c r="GEA148" s="368" t="s">
        <v>168</v>
      </c>
      <c r="GEB148" s="369">
        <v>0.5</v>
      </c>
      <c r="GEC148" s="370" t="e">
        <f>10/GDY146</f>
        <v>#DIV/0!</v>
      </c>
      <c r="GED148" s="371">
        <v>15.38</v>
      </c>
      <c r="GEE148" s="371" t="e">
        <f>GEB148*GEC148*GED148</f>
        <v>#DIV/0!</v>
      </c>
      <c r="GEF148" s="367" t="s">
        <v>206</v>
      </c>
      <c r="GEG148" s="367"/>
      <c r="GEH148" s="367"/>
      <c r="GEI148" s="368" t="s">
        <v>168</v>
      </c>
      <c r="GEJ148" s="369">
        <v>0.5</v>
      </c>
      <c r="GEK148" s="370" t="e">
        <f>10/GEG146</f>
        <v>#DIV/0!</v>
      </c>
      <c r="GEL148" s="371">
        <v>15.38</v>
      </c>
      <c r="GEM148" s="371" t="e">
        <f>GEJ148*GEK148*GEL148</f>
        <v>#DIV/0!</v>
      </c>
      <c r="GEN148" s="367" t="s">
        <v>206</v>
      </c>
      <c r="GEO148" s="367"/>
      <c r="GEP148" s="367"/>
      <c r="GEQ148" s="368" t="s">
        <v>168</v>
      </c>
      <c r="GER148" s="369">
        <v>0.5</v>
      </c>
      <c r="GES148" s="370" t="e">
        <f>10/GEO146</f>
        <v>#DIV/0!</v>
      </c>
      <c r="GET148" s="371">
        <v>15.38</v>
      </c>
      <c r="GEU148" s="371" t="e">
        <f>GER148*GES148*GET148</f>
        <v>#DIV/0!</v>
      </c>
      <c r="GEV148" s="367" t="s">
        <v>206</v>
      </c>
      <c r="GEW148" s="367"/>
      <c r="GEX148" s="367"/>
      <c r="GEY148" s="368" t="s">
        <v>168</v>
      </c>
      <c r="GEZ148" s="369">
        <v>0.5</v>
      </c>
      <c r="GFA148" s="370" t="e">
        <f>10/GEW146</f>
        <v>#DIV/0!</v>
      </c>
      <c r="GFB148" s="371">
        <v>15.38</v>
      </c>
      <c r="GFC148" s="371" t="e">
        <f>GEZ148*GFA148*GFB148</f>
        <v>#DIV/0!</v>
      </c>
      <c r="GFD148" s="367" t="s">
        <v>206</v>
      </c>
      <c r="GFE148" s="367"/>
      <c r="GFF148" s="367"/>
      <c r="GFG148" s="368" t="s">
        <v>168</v>
      </c>
      <c r="GFH148" s="369">
        <v>0.5</v>
      </c>
      <c r="GFI148" s="370" t="e">
        <f>10/GFE146</f>
        <v>#DIV/0!</v>
      </c>
      <c r="GFJ148" s="371">
        <v>15.38</v>
      </c>
      <c r="GFK148" s="371" t="e">
        <f>GFH148*GFI148*GFJ148</f>
        <v>#DIV/0!</v>
      </c>
      <c r="GFL148" s="367" t="s">
        <v>206</v>
      </c>
      <c r="GFM148" s="367"/>
      <c r="GFN148" s="367"/>
      <c r="GFO148" s="368" t="s">
        <v>168</v>
      </c>
      <c r="GFP148" s="369">
        <v>0.5</v>
      </c>
      <c r="GFQ148" s="370" t="e">
        <f>10/GFM146</f>
        <v>#DIV/0!</v>
      </c>
      <c r="GFR148" s="371">
        <v>15.38</v>
      </c>
      <c r="GFS148" s="371" t="e">
        <f>GFP148*GFQ148*GFR148</f>
        <v>#DIV/0!</v>
      </c>
      <c r="GFT148" s="367" t="s">
        <v>206</v>
      </c>
      <c r="GFU148" s="367"/>
      <c r="GFV148" s="367"/>
      <c r="GFW148" s="368" t="s">
        <v>168</v>
      </c>
      <c r="GFX148" s="369">
        <v>0.5</v>
      </c>
      <c r="GFY148" s="370" t="e">
        <f>10/GFU146</f>
        <v>#DIV/0!</v>
      </c>
      <c r="GFZ148" s="371">
        <v>15.38</v>
      </c>
      <c r="GGA148" s="371" t="e">
        <f>GFX148*GFY148*GFZ148</f>
        <v>#DIV/0!</v>
      </c>
      <c r="GGB148" s="367" t="s">
        <v>206</v>
      </c>
      <c r="GGC148" s="367"/>
      <c r="GGD148" s="367"/>
      <c r="GGE148" s="368" t="s">
        <v>168</v>
      </c>
      <c r="GGF148" s="369">
        <v>0.5</v>
      </c>
      <c r="GGG148" s="370" t="e">
        <f>10/GGC146</f>
        <v>#DIV/0!</v>
      </c>
      <c r="GGH148" s="371">
        <v>15.38</v>
      </c>
      <c r="GGI148" s="371" t="e">
        <f>GGF148*GGG148*GGH148</f>
        <v>#DIV/0!</v>
      </c>
      <c r="GGJ148" s="367" t="s">
        <v>206</v>
      </c>
      <c r="GGK148" s="367"/>
      <c r="GGL148" s="367"/>
      <c r="GGM148" s="368" t="s">
        <v>168</v>
      </c>
      <c r="GGN148" s="369">
        <v>0.5</v>
      </c>
      <c r="GGO148" s="370" t="e">
        <f>10/GGK146</f>
        <v>#DIV/0!</v>
      </c>
      <c r="GGP148" s="371">
        <v>15.38</v>
      </c>
      <c r="GGQ148" s="371" t="e">
        <f>GGN148*GGO148*GGP148</f>
        <v>#DIV/0!</v>
      </c>
      <c r="GGR148" s="367" t="s">
        <v>206</v>
      </c>
      <c r="GGS148" s="367"/>
      <c r="GGT148" s="367"/>
      <c r="GGU148" s="368" t="s">
        <v>168</v>
      </c>
      <c r="GGV148" s="369">
        <v>0.5</v>
      </c>
      <c r="GGW148" s="370" t="e">
        <f>10/GGS146</f>
        <v>#DIV/0!</v>
      </c>
      <c r="GGX148" s="371">
        <v>15.38</v>
      </c>
      <c r="GGY148" s="371" t="e">
        <f>GGV148*GGW148*GGX148</f>
        <v>#DIV/0!</v>
      </c>
      <c r="GGZ148" s="367" t="s">
        <v>206</v>
      </c>
      <c r="GHA148" s="367"/>
      <c r="GHB148" s="367"/>
      <c r="GHC148" s="368" t="s">
        <v>168</v>
      </c>
      <c r="GHD148" s="369">
        <v>0.5</v>
      </c>
      <c r="GHE148" s="370" t="e">
        <f>10/GHA146</f>
        <v>#DIV/0!</v>
      </c>
      <c r="GHF148" s="371">
        <v>15.38</v>
      </c>
      <c r="GHG148" s="371" t="e">
        <f>GHD148*GHE148*GHF148</f>
        <v>#DIV/0!</v>
      </c>
      <c r="GHH148" s="367" t="s">
        <v>206</v>
      </c>
      <c r="GHI148" s="367"/>
      <c r="GHJ148" s="367"/>
      <c r="GHK148" s="368" t="s">
        <v>168</v>
      </c>
      <c r="GHL148" s="369">
        <v>0.5</v>
      </c>
      <c r="GHM148" s="370" t="e">
        <f>10/GHI146</f>
        <v>#DIV/0!</v>
      </c>
      <c r="GHN148" s="371">
        <v>15.38</v>
      </c>
      <c r="GHO148" s="371" t="e">
        <f>GHL148*GHM148*GHN148</f>
        <v>#DIV/0!</v>
      </c>
      <c r="GHP148" s="367" t="s">
        <v>206</v>
      </c>
      <c r="GHQ148" s="367"/>
      <c r="GHR148" s="367"/>
      <c r="GHS148" s="368" t="s">
        <v>168</v>
      </c>
      <c r="GHT148" s="369">
        <v>0.5</v>
      </c>
      <c r="GHU148" s="370" t="e">
        <f>10/GHQ146</f>
        <v>#DIV/0!</v>
      </c>
      <c r="GHV148" s="371">
        <v>15.38</v>
      </c>
      <c r="GHW148" s="371" t="e">
        <f>GHT148*GHU148*GHV148</f>
        <v>#DIV/0!</v>
      </c>
      <c r="GHX148" s="367" t="s">
        <v>206</v>
      </c>
      <c r="GHY148" s="367"/>
      <c r="GHZ148" s="367"/>
      <c r="GIA148" s="368" t="s">
        <v>168</v>
      </c>
      <c r="GIB148" s="369">
        <v>0.5</v>
      </c>
      <c r="GIC148" s="370" t="e">
        <f>10/GHY146</f>
        <v>#DIV/0!</v>
      </c>
      <c r="GID148" s="371">
        <v>15.38</v>
      </c>
      <c r="GIE148" s="371" t="e">
        <f>GIB148*GIC148*GID148</f>
        <v>#DIV/0!</v>
      </c>
      <c r="GIF148" s="367" t="s">
        <v>206</v>
      </c>
      <c r="GIG148" s="367"/>
      <c r="GIH148" s="367"/>
      <c r="GII148" s="368" t="s">
        <v>168</v>
      </c>
      <c r="GIJ148" s="369">
        <v>0.5</v>
      </c>
      <c r="GIK148" s="370" t="e">
        <f>10/GIG146</f>
        <v>#DIV/0!</v>
      </c>
      <c r="GIL148" s="371">
        <v>15.38</v>
      </c>
      <c r="GIM148" s="371" t="e">
        <f>GIJ148*GIK148*GIL148</f>
        <v>#DIV/0!</v>
      </c>
      <c r="GIN148" s="367" t="s">
        <v>206</v>
      </c>
      <c r="GIO148" s="367"/>
      <c r="GIP148" s="367"/>
      <c r="GIQ148" s="368" t="s">
        <v>168</v>
      </c>
      <c r="GIR148" s="369">
        <v>0.5</v>
      </c>
      <c r="GIS148" s="370" t="e">
        <f>10/GIO146</f>
        <v>#DIV/0!</v>
      </c>
      <c r="GIT148" s="371">
        <v>15.38</v>
      </c>
      <c r="GIU148" s="371" t="e">
        <f>GIR148*GIS148*GIT148</f>
        <v>#DIV/0!</v>
      </c>
      <c r="GIV148" s="367" t="s">
        <v>206</v>
      </c>
      <c r="GIW148" s="367"/>
      <c r="GIX148" s="367"/>
      <c r="GIY148" s="368" t="s">
        <v>168</v>
      </c>
      <c r="GIZ148" s="369">
        <v>0.5</v>
      </c>
      <c r="GJA148" s="370" t="e">
        <f>10/GIW146</f>
        <v>#DIV/0!</v>
      </c>
      <c r="GJB148" s="371">
        <v>15.38</v>
      </c>
      <c r="GJC148" s="371" t="e">
        <f>GIZ148*GJA148*GJB148</f>
        <v>#DIV/0!</v>
      </c>
      <c r="GJD148" s="367" t="s">
        <v>206</v>
      </c>
      <c r="GJE148" s="367"/>
      <c r="GJF148" s="367"/>
      <c r="GJG148" s="368" t="s">
        <v>168</v>
      </c>
      <c r="GJH148" s="369">
        <v>0.5</v>
      </c>
      <c r="GJI148" s="370" t="e">
        <f>10/GJE146</f>
        <v>#DIV/0!</v>
      </c>
      <c r="GJJ148" s="371">
        <v>15.38</v>
      </c>
      <c r="GJK148" s="371" t="e">
        <f>GJH148*GJI148*GJJ148</f>
        <v>#DIV/0!</v>
      </c>
      <c r="GJL148" s="367" t="s">
        <v>206</v>
      </c>
      <c r="GJM148" s="367"/>
      <c r="GJN148" s="367"/>
      <c r="GJO148" s="368" t="s">
        <v>168</v>
      </c>
      <c r="GJP148" s="369">
        <v>0.5</v>
      </c>
      <c r="GJQ148" s="370" t="e">
        <f>10/GJM146</f>
        <v>#DIV/0!</v>
      </c>
      <c r="GJR148" s="371">
        <v>15.38</v>
      </c>
      <c r="GJS148" s="371" t="e">
        <f>GJP148*GJQ148*GJR148</f>
        <v>#DIV/0!</v>
      </c>
      <c r="GJT148" s="367" t="s">
        <v>206</v>
      </c>
      <c r="GJU148" s="367"/>
      <c r="GJV148" s="367"/>
      <c r="GJW148" s="368" t="s">
        <v>168</v>
      </c>
      <c r="GJX148" s="369">
        <v>0.5</v>
      </c>
      <c r="GJY148" s="370" t="e">
        <f>10/GJU146</f>
        <v>#DIV/0!</v>
      </c>
      <c r="GJZ148" s="371">
        <v>15.38</v>
      </c>
      <c r="GKA148" s="371" t="e">
        <f>GJX148*GJY148*GJZ148</f>
        <v>#DIV/0!</v>
      </c>
      <c r="GKB148" s="367" t="s">
        <v>206</v>
      </c>
      <c r="GKC148" s="367"/>
      <c r="GKD148" s="367"/>
      <c r="GKE148" s="368" t="s">
        <v>168</v>
      </c>
      <c r="GKF148" s="369">
        <v>0.5</v>
      </c>
      <c r="GKG148" s="370" t="e">
        <f>10/GKC146</f>
        <v>#DIV/0!</v>
      </c>
      <c r="GKH148" s="371">
        <v>15.38</v>
      </c>
      <c r="GKI148" s="371" t="e">
        <f>GKF148*GKG148*GKH148</f>
        <v>#DIV/0!</v>
      </c>
      <c r="GKJ148" s="367" t="s">
        <v>206</v>
      </c>
      <c r="GKK148" s="367"/>
      <c r="GKL148" s="367"/>
      <c r="GKM148" s="368" t="s">
        <v>168</v>
      </c>
      <c r="GKN148" s="369">
        <v>0.5</v>
      </c>
      <c r="GKO148" s="370" t="e">
        <f>10/GKK146</f>
        <v>#DIV/0!</v>
      </c>
      <c r="GKP148" s="371">
        <v>15.38</v>
      </c>
      <c r="GKQ148" s="371" t="e">
        <f>GKN148*GKO148*GKP148</f>
        <v>#DIV/0!</v>
      </c>
      <c r="GKR148" s="367" t="s">
        <v>206</v>
      </c>
      <c r="GKS148" s="367"/>
      <c r="GKT148" s="367"/>
      <c r="GKU148" s="368" t="s">
        <v>168</v>
      </c>
      <c r="GKV148" s="369">
        <v>0.5</v>
      </c>
      <c r="GKW148" s="370" t="e">
        <f>10/GKS146</f>
        <v>#DIV/0!</v>
      </c>
      <c r="GKX148" s="371">
        <v>15.38</v>
      </c>
      <c r="GKY148" s="371" t="e">
        <f>GKV148*GKW148*GKX148</f>
        <v>#DIV/0!</v>
      </c>
      <c r="GKZ148" s="367" t="s">
        <v>206</v>
      </c>
      <c r="GLA148" s="367"/>
      <c r="GLB148" s="367"/>
      <c r="GLC148" s="368" t="s">
        <v>168</v>
      </c>
      <c r="GLD148" s="369">
        <v>0.5</v>
      </c>
      <c r="GLE148" s="370" t="e">
        <f>10/GLA146</f>
        <v>#DIV/0!</v>
      </c>
      <c r="GLF148" s="371">
        <v>15.38</v>
      </c>
      <c r="GLG148" s="371" t="e">
        <f>GLD148*GLE148*GLF148</f>
        <v>#DIV/0!</v>
      </c>
      <c r="GLH148" s="367" t="s">
        <v>206</v>
      </c>
      <c r="GLI148" s="367"/>
      <c r="GLJ148" s="367"/>
      <c r="GLK148" s="368" t="s">
        <v>168</v>
      </c>
      <c r="GLL148" s="369">
        <v>0.5</v>
      </c>
      <c r="GLM148" s="370" t="e">
        <f>10/GLI146</f>
        <v>#DIV/0!</v>
      </c>
      <c r="GLN148" s="371">
        <v>15.38</v>
      </c>
      <c r="GLO148" s="371" t="e">
        <f>GLL148*GLM148*GLN148</f>
        <v>#DIV/0!</v>
      </c>
      <c r="GLP148" s="367" t="s">
        <v>206</v>
      </c>
      <c r="GLQ148" s="367"/>
      <c r="GLR148" s="367"/>
      <c r="GLS148" s="368" t="s">
        <v>168</v>
      </c>
      <c r="GLT148" s="369">
        <v>0.5</v>
      </c>
      <c r="GLU148" s="370" t="e">
        <f>10/GLQ146</f>
        <v>#DIV/0!</v>
      </c>
      <c r="GLV148" s="371">
        <v>15.38</v>
      </c>
      <c r="GLW148" s="371" t="e">
        <f>GLT148*GLU148*GLV148</f>
        <v>#DIV/0!</v>
      </c>
      <c r="GLX148" s="367" t="s">
        <v>206</v>
      </c>
      <c r="GLY148" s="367"/>
      <c r="GLZ148" s="367"/>
      <c r="GMA148" s="368" t="s">
        <v>168</v>
      </c>
      <c r="GMB148" s="369">
        <v>0.5</v>
      </c>
      <c r="GMC148" s="370" t="e">
        <f>10/GLY146</f>
        <v>#DIV/0!</v>
      </c>
      <c r="GMD148" s="371">
        <v>15.38</v>
      </c>
      <c r="GME148" s="371" t="e">
        <f>GMB148*GMC148*GMD148</f>
        <v>#DIV/0!</v>
      </c>
      <c r="GMF148" s="367" t="s">
        <v>206</v>
      </c>
      <c r="GMG148" s="367"/>
      <c r="GMH148" s="367"/>
      <c r="GMI148" s="368" t="s">
        <v>168</v>
      </c>
      <c r="GMJ148" s="369">
        <v>0.5</v>
      </c>
      <c r="GMK148" s="370" t="e">
        <f>10/GMG146</f>
        <v>#DIV/0!</v>
      </c>
      <c r="GML148" s="371">
        <v>15.38</v>
      </c>
      <c r="GMM148" s="371" t="e">
        <f>GMJ148*GMK148*GML148</f>
        <v>#DIV/0!</v>
      </c>
      <c r="GMN148" s="367" t="s">
        <v>206</v>
      </c>
      <c r="GMO148" s="367"/>
      <c r="GMP148" s="367"/>
      <c r="GMQ148" s="368" t="s">
        <v>168</v>
      </c>
      <c r="GMR148" s="369">
        <v>0.5</v>
      </c>
      <c r="GMS148" s="370" t="e">
        <f>10/GMO146</f>
        <v>#DIV/0!</v>
      </c>
      <c r="GMT148" s="371">
        <v>15.38</v>
      </c>
      <c r="GMU148" s="371" t="e">
        <f>GMR148*GMS148*GMT148</f>
        <v>#DIV/0!</v>
      </c>
      <c r="GMV148" s="367" t="s">
        <v>206</v>
      </c>
      <c r="GMW148" s="367"/>
      <c r="GMX148" s="367"/>
      <c r="GMY148" s="368" t="s">
        <v>168</v>
      </c>
      <c r="GMZ148" s="369">
        <v>0.5</v>
      </c>
      <c r="GNA148" s="370" t="e">
        <f>10/GMW146</f>
        <v>#DIV/0!</v>
      </c>
      <c r="GNB148" s="371">
        <v>15.38</v>
      </c>
      <c r="GNC148" s="371" t="e">
        <f>GMZ148*GNA148*GNB148</f>
        <v>#DIV/0!</v>
      </c>
      <c r="GND148" s="367" t="s">
        <v>206</v>
      </c>
      <c r="GNE148" s="367"/>
      <c r="GNF148" s="367"/>
      <c r="GNG148" s="368" t="s">
        <v>168</v>
      </c>
      <c r="GNH148" s="369">
        <v>0.5</v>
      </c>
      <c r="GNI148" s="370" t="e">
        <f>10/GNE146</f>
        <v>#DIV/0!</v>
      </c>
      <c r="GNJ148" s="371">
        <v>15.38</v>
      </c>
      <c r="GNK148" s="371" t="e">
        <f>GNH148*GNI148*GNJ148</f>
        <v>#DIV/0!</v>
      </c>
      <c r="GNL148" s="367" t="s">
        <v>206</v>
      </c>
      <c r="GNM148" s="367"/>
      <c r="GNN148" s="367"/>
      <c r="GNO148" s="368" t="s">
        <v>168</v>
      </c>
      <c r="GNP148" s="369">
        <v>0.5</v>
      </c>
      <c r="GNQ148" s="370" t="e">
        <f>10/GNM146</f>
        <v>#DIV/0!</v>
      </c>
      <c r="GNR148" s="371">
        <v>15.38</v>
      </c>
      <c r="GNS148" s="371" t="e">
        <f>GNP148*GNQ148*GNR148</f>
        <v>#DIV/0!</v>
      </c>
      <c r="GNT148" s="367" t="s">
        <v>206</v>
      </c>
      <c r="GNU148" s="367"/>
      <c r="GNV148" s="367"/>
      <c r="GNW148" s="368" t="s">
        <v>168</v>
      </c>
      <c r="GNX148" s="369">
        <v>0.5</v>
      </c>
      <c r="GNY148" s="370" t="e">
        <f>10/GNU146</f>
        <v>#DIV/0!</v>
      </c>
      <c r="GNZ148" s="371">
        <v>15.38</v>
      </c>
      <c r="GOA148" s="371" t="e">
        <f>GNX148*GNY148*GNZ148</f>
        <v>#DIV/0!</v>
      </c>
      <c r="GOB148" s="367" t="s">
        <v>206</v>
      </c>
      <c r="GOC148" s="367"/>
      <c r="GOD148" s="367"/>
      <c r="GOE148" s="368" t="s">
        <v>168</v>
      </c>
      <c r="GOF148" s="369">
        <v>0.5</v>
      </c>
      <c r="GOG148" s="370" t="e">
        <f>10/GOC146</f>
        <v>#DIV/0!</v>
      </c>
      <c r="GOH148" s="371">
        <v>15.38</v>
      </c>
      <c r="GOI148" s="371" t="e">
        <f>GOF148*GOG148*GOH148</f>
        <v>#DIV/0!</v>
      </c>
      <c r="GOJ148" s="367" t="s">
        <v>206</v>
      </c>
      <c r="GOK148" s="367"/>
      <c r="GOL148" s="367"/>
      <c r="GOM148" s="368" t="s">
        <v>168</v>
      </c>
      <c r="GON148" s="369">
        <v>0.5</v>
      </c>
      <c r="GOO148" s="370" t="e">
        <f>10/GOK146</f>
        <v>#DIV/0!</v>
      </c>
      <c r="GOP148" s="371">
        <v>15.38</v>
      </c>
      <c r="GOQ148" s="371" t="e">
        <f>GON148*GOO148*GOP148</f>
        <v>#DIV/0!</v>
      </c>
      <c r="GOR148" s="367" t="s">
        <v>206</v>
      </c>
      <c r="GOS148" s="367"/>
      <c r="GOT148" s="367"/>
      <c r="GOU148" s="368" t="s">
        <v>168</v>
      </c>
      <c r="GOV148" s="369">
        <v>0.5</v>
      </c>
      <c r="GOW148" s="370" t="e">
        <f>10/GOS146</f>
        <v>#DIV/0!</v>
      </c>
      <c r="GOX148" s="371">
        <v>15.38</v>
      </c>
      <c r="GOY148" s="371" t="e">
        <f>GOV148*GOW148*GOX148</f>
        <v>#DIV/0!</v>
      </c>
      <c r="GOZ148" s="367" t="s">
        <v>206</v>
      </c>
      <c r="GPA148" s="367"/>
      <c r="GPB148" s="367"/>
      <c r="GPC148" s="368" t="s">
        <v>168</v>
      </c>
      <c r="GPD148" s="369">
        <v>0.5</v>
      </c>
      <c r="GPE148" s="370" t="e">
        <f>10/GPA146</f>
        <v>#DIV/0!</v>
      </c>
      <c r="GPF148" s="371">
        <v>15.38</v>
      </c>
      <c r="GPG148" s="371" t="e">
        <f>GPD148*GPE148*GPF148</f>
        <v>#DIV/0!</v>
      </c>
      <c r="GPH148" s="367" t="s">
        <v>206</v>
      </c>
      <c r="GPI148" s="367"/>
      <c r="GPJ148" s="367"/>
      <c r="GPK148" s="368" t="s">
        <v>168</v>
      </c>
      <c r="GPL148" s="369">
        <v>0.5</v>
      </c>
      <c r="GPM148" s="370" t="e">
        <f>10/GPI146</f>
        <v>#DIV/0!</v>
      </c>
      <c r="GPN148" s="371">
        <v>15.38</v>
      </c>
      <c r="GPO148" s="371" t="e">
        <f>GPL148*GPM148*GPN148</f>
        <v>#DIV/0!</v>
      </c>
      <c r="GPP148" s="367" t="s">
        <v>206</v>
      </c>
      <c r="GPQ148" s="367"/>
      <c r="GPR148" s="367"/>
      <c r="GPS148" s="368" t="s">
        <v>168</v>
      </c>
      <c r="GPT148" s="369">
        <v>0.5</v>
      </c>
      <c r="GPU148" s="370" t="e">
        <f>10/GPQ146</f>
        <v>#DIV/0!</v>
      </c>
      <c r="GPV148" s="371">
        <v>15.38</v>
      </c>
      <c r="GPW148" s="371" t="e">
        <f>GPT148*GPU148*GPV148</f>
        <v>#DIV/0!</v>
      </c>
      <c r="GPX148" s="367" t="s">
        <v>206</v>
      </c>
      <c r="GPY148" s="367"/>
      <c r="GPZ148" s="367"/>
      <c r="GQA148" s="368" t="s">
        <v>168</v>
      </c>
      <c r="GQB148" s="369">
        <v>0.5</v>
      </c>
      <c r="GQC148" s="370" t="e">
        <f>10/GPY146</f>
        <v>#DIV/0!</v>
      </c>
      <c r="GQD148" s="371">
        <v>15.38</v>
      </c>
      <c r="GQE148" s="371" t="e">
        <f>GQB148*GQC148*GQD148</f>
        <v>#DIV/0!</v>
      </c>
      <c r="GQF148" s="367" t="s">
        <v>206</v>
      </c>
      <c r="GQG148" s="367"/>
      <c r="GQH148" s="367"/>
      <c r="GQI148" s="368" t="s">
        <v>168</v>
      </c>
      <c r="GQJ148" s="369">
        <v>0.5</v>
      </c>
      <c r="GQK148" s="370" t="e">
        <f>10/GQG146</f>
        <v>#DIV/0!</v>
      </c>
      <c r="GQL148" s="371">
        <v>15.38</v>
      </c>
      <c r="GQM148" s="371" t="e">
        <f>GQJ148*GQK148*GQL148</f>
        <v>#DIV/0!</v>
      </c>
      <c r="GQN148" s="367" t="s">
        <v>206</v>
      </c>
      <c r="GQO148" s="367"/>
      <c r="GQP148" s="367"/>
      <c r="GQQ148" s="368" t="s">
        <v>168</v>
      </c>
      <c r="GQR148" s="369">
        <v>0.5</v>
      </c>
      <c r="GQS148" s="370" t="e">
        <f>10/GQO146</f>
        <v>#DIV/0!</v>
      </c>
      <c r="GQT148" s="371">
        <v>15.38</v>
      </c>
      <c r="GQU148" s="371" t="e">
        <f>GQR148*GQS148*GQT148</f>
        <v>#DIV/0!</v>
      </c>
      <c r="GQV148" s="367" t="s">
        <v>206</v>
      </c>
      <c r="GQW148" s="367"/>
      <c r="GQX148" s="367"/>
      <c r="GQY148" s="368" t="s">
        <v>168</v>
      </c>
      <c r="GQZ148" s="369">
        <v>0.5</v>
      </c>
      <c r="GRA148" s="370" t="e">
        <f>10/GQW146</f>
        <v>#DIV/0!</v>
      </c>
      <c r="GRB148" s="371">
        <v>15.38</v>
      </c>
      <c r="GRC148" s="371" t="e">
        <f>GQZ148*GRA148*GRB148</f>
        <v>#DIV/0!</v>
      </c>
      <c r="GRD148" s="367" t="s">
        <v>206</v>
      </c>
      <c r="GRE148" s="367"/>
      <c r="GRF148" s="367"/>
      <c r="GRG148" s="368" t="s">
        <v>168</v>
      </c>
      <c r="GRH148" s="369">
        <v>0.5</v>
      </c>
      <c r="GRI148" s="370" t="e">
        <f>10/GRE146</f>
        <v>#DIV/0!</v>
      </c>
      <c r="GRJ148" s="371">
        <v>15.38</v>
      </c>
      <c r="GRK148" s="371" t="e">
        <f>GRH148*GRI148*GRJ148</f>
        <v>#DIV/0!</v>
      </c>
      <c r="GRL148" s="367" t="s">
        <v>206</v>
      </c>
      <c r="GRM148" s="367"/>
      <c r="GRN148" s="367"/>
      <c r="GRO148" s="368" t="s">
        <v>168</v>
      </c>
      <c r="GRP148" s="369">
        <v>0.5</v>
      </c>
      <c r="GRQ148" s="370" t="e">
        <f>10/GRM146</f>
        <v>#DIV/0!</v>
      </c>
      <c r="GRR148" s="371">
        <v>15.38</v>
      </c>
      <c r="GRS148" s="371" t="e">
        <f>GRP148*GRQ148*GRR148</f>
        <v>#DIV/0!</v>
      </c>
      <c r="GRT148" s="367" t="s">
        <v>206</v>
      </c>
      <c r="GRU148" s="367"/>
      <c r="GRV148" s="367"/>
      <c r="GRW148" s="368" t="s">
        <v>168</v>
      </c>
      <c r="GRX148" s="369">
        <v>0.5</v>
      </c>
      <c r="GRY148" s="370" t="e">
        <f>10/GRU146</f>
        <v>#DIV/0!</v>
      </c>
      <c r="GRZ148" s="371">
        <v>15.38</v>
      </c>
      <c r="GSA148" s="371" t="e">
        <f>GRX148*GRY148*GRZ148</f>
        <v>#DIV/0!</v>
      </c>
      <c r="GSB148" s="367" t="s">
        <v>206</v>
      </c>
      <c r="GSC148" s="367"/>
      <c r="GSD148" s="367"/>
      <c r="GSE148" s="368" t="s">
        <v>168</v>
      </c>
      <c r="GSF148" s="369">
        <v>0.5</v>
      </c>
      <c r="GSG148" s="370" t="e">
        <f>10/GSC146</f>
        <v>#DIV/0!</v>
      </c>
      <c r="GSH148" s="371">
        <v>15.38</v>
      </c>
      <c r="GSI148" s="371" t="e">
        <f>GSF148*GSG148*GSH148</f>
        <v>#DIV/0!</v>
      </c>
      <c r="GSJ148" s="367" t="s">
        <v>206</v>
      </c>
      <c r="GSK148" s="367"/>
      <c r="GSL148" s="367"/>
      <c r="GSM148" s="368" t="s">
        <v>168</v>
      </c>
      <c r="GSN148" s="369">
        <v>0.5</v>
      </c>
      <c r="GSO148" s="370" t="e">
        <f>10/GSK146</f>
        <v>#DIV/0!</v>
      </c>
      <c r="GSP148" s="371">
        <v>15.38</v>
      </c>
      <c r="GSQ148" s="371" t="e">
        <f>GSN148*GSO148*GSP148</f>
        <v>#DIV/0!</v>
      </c>
      <c r="GSR148" s="367" t="s">
        <v>206</v>
      </c>
      <c r="GSS148" s="367"/>
      <c r="GST148" s="367"/>
      <c r="GSU148" s="368" t="s">
        <v>168</v>
      </c>
      <c r="GSV148" s="369">
        <v>0.5</v>
      </c>
      <c r="GSW148" s="370" t="e">
        <f>10/GSS146</f>
        <v>#DIV/0!</v>
      </c>
      <c r="GSX148" s="371">
        <v>15.38</v>
      </c>
      <c r="GSY148" s="371" t="e">
        <f>GSV148*GSW148*GSX148</f>
        <v>#DIV/0!</v>
      </c>
      <c r="GSZ148" s="367" t="s">
        <v>206</v>
      </c>
      <c r="GTA148" s="367"/>
      <c r="GTB148" s="367"/>
      <c r="GTC148" s="368" t="s">
        <v>168</v>
      </c>
      <c r="GTD148" s="369">
        <v>0.5</v>
      </c>
      <c r="GTE148" s="370" t="e">
        <f>10/GTA146</f>
        <v>#DIV/0!</v>
      </c>
      <c r="GTF148" s="371">
        <v>15.38</v>
      </c>
      <c r="GTG148" s="371" t="e">
        <f>GTD148*GTE148*GTF148</f>
        <v>#DIV/0!</v>
      </c>
      <c r="GTH148" s="367" t="s">
        <v>206</v>
      </c>
      <c r="GTI148" s="367"/>
      <c r="GTJ148" s="367"/>
      <c r="GTK148" s="368" t="s">
        <v>168</v>
      </c>
      <c r="GTL148" s="369">
        <v>0.5</v>
      </c>
      <c r="GTM148" s="370" t="e">
        <f>10/GTI146</f>
        <v>#DIV/0!</v>
      </c>
      <c r="GTN148" s="371">
        <v>15.38</v>
      </c>
      <c r="GTO148" s="371" t="e">
        <f>GTL148*GTM148*GTN148</f>
        <v>#DIV/0!</v>
      </c>
      <c r="GTP148" s="367" t="s">
        <v>206</v>
      </c>
      <c r="GTQ148" s="367"/>
      <c r="GTR148" s="367"/>
      <c r="GTS148" s="368" t="s">
        <v>168</v>
      </c>
      <c r="GTT148" s="369">
        <v>0.5</v>
      </c>
      <c r="GTU148" s="370" t="e">
        <f>10/GTQ146</f>
        <v>#DIV/0!</v>
      </c>
      <c r="GTV148" s="371">
        <v>15.38</v>
      </c>
      <c r="GTW148" s="371" t="e">
        <f>GTT148*GTU148*GTV148</f>
        <v>#DIV/0!</v>
      </c>
      <c r="GTX148" s="367" t="s">
        <v>206</v>
      </c>
      <c r="GTY148" s="367"/>
      <c r="GTZ148" s="367"/>
      <c r="GUA148" s="368" t="s">
        <v>168</v>
      </c>
      <c r="GUB148" s="369">
        <v>0.5</v>
      </c>
      <c r="GUC148" s="370" t="e">
        <f>10/GTY146</f>
        <v>#DIV/0!</v>
      </c>
      <c r="GUD148" s="371">
        <v>15.38</v>
      </c>
      <c r="GUE148" s="371" t="e">
        <f>GUB148*GUC148*GUD148</f>
        <v>#DIV/0!</v>
      </c>
      <c r="GUF148" s="367" t="s">
        <v>206</v>
      </c>
      <c r="GUG148" s="367"/>
      <c r="GUH148" s="367"/>
      <c r="GUI148" s="368" t="s">
        <v>168</v>
      </c>
      <c r="GUJ148" s="369">
        <v>0.5</v>
      </c>
      <c r="GUK148" s="370" t="e">
        <f>10/GUG146</f>
        <v>#DIV/0!</v>
      </c>
      <c r="GUL148" s="371">
        <v>15.38</v>
      </c>
      <c r="GUM148" s="371" t="e">
        <f>GUJ148*GUK148*GUL148</f>
        <v>#DIV/0!</v>
      </c>
      <c r="GUN148" s="367" t="s">
        <v>206</v>
      </c>
      <c r="GUO148" s="367"/>
      <c r="GUP148" s="367"/>
      <c r="GUQ148" s="368" t="s">
        <v>168</v>
      </c>
      <c r="GUR148" s="369">
        <v>0.5</v>
      </c>
      <c r="GUS148" s="370" t="e">
        <f>10/GUO146</f>
        <v>#DIV/0!</v>
      </c>
      <c r="GUT148" s="371">
        <v>15.38</v>
      </c>
      <c r="GUU148" s="371" t="e">
        <f>GUR148*GUS148*GUT148</f>
        <v>#DIV/0!</v>
      </c>
      <c r="GUV148" s="367" t="s">
        <v>206</v>
      </c>
      <c r="GUW148" s="367"/>
      <c r="GUX148" s="367"/>
      <c r="GUY148" s="368" t="s">
        <v>168</v>
      </c>
      <c r="GUZ148" s="369">
        <v>0.5</v>
      </c>
      <c r="GVA148" s="370" t="e">
        <f>10/GUW146</f>
        <v>#DIV/0!</v>
      </c>
      <c r="GVB148" s="371">
        <v>15.38</v>
      </c>
      <c r="GVC148" s="371" t="e">
        <f>GUZ148*GVA148*GVB148</f>
        <v>#DIV/0!</v>
      </c>
      <c r="GVD148" s="367" t="s">
        <v>206</v>
      </c>
      <c r="GVE148" s="367"/>
      <c r="GVF148" s="367"/>
      <c r="GVG148" s="368" t="s">
        <v>168</v>
      </c>
      <c r="GVH148" s="369">
        <v>0.5</v>
      </c>
      <c r="GVI148" s="370" t="e">
        <f>10/GVE146</f>
        <v>#DIV/0!</v>
      </c>
      <c r="GVJ148" s="371">
        <v>15.38</v>
      </c>
      <c r="GVK148" s="371" t="e">
        <f>GVH148*GVI148*GVJ148</f>
        <v>#DIV/0!</v>
      </c>
      <c r="GVL148" s="367" t="s">
        <v>206</v>
      </c>
      <c r="GVM148" s="367"/>
      <c r="GVN148" s="367"/>
      <c r="GVO148" s="368" t="s">
        <v>168</v>
      </c>
      <c r="GVP148" s="369">
        <v>0.5</v>
      </c>
      <c r="GVQ148" s="370" t="e">
        <f>10/GVM146</f>
        <v>#DIV/0!</v>
      </c>
      <c r="GVR148" s="371">
        <v>15.38</v>
      </c>
      <c r="GVS148" s="371" t="e">
        <f>GVP148*GVQ148*GVR148</f>
        <v>#DIV/0!</v>
      </c>
      <c r="GVT148" s="367" t="s">
        <v>206</v>
      </c>
      <c r="GVU148" s="367"/>
      <c r="GVV148" s="367"/>
      <c r="GVW148" s="368" t="s">
        <v>168</v>
      </c>
      <c r="GVX148" s="369">
        <v>0.5</v>
      </c>
      <c r="GVY148" s="370" t="e">
        <f>10/GVU146</f>
        <v>#DIV/0!</v>
      </c>
      <c r="GVZ148" s="371">
        <v>15.38</v>
      </c>
      <c r="GWA148" s="371" t="e">
        <f>GVX148*GVY148*GVZ148</f>
        <v>#DIV/0!</v>
      </c>
      <c r="GWB148" s="367" t="s">
        <v>206</v>
      </c>
      <c r="GWC148" s="367"/>
      <c r="GWD148" s="367"/>
      <c r="GWE148" s="368" t="s">
        <v>168</v>
      </c>
      <c r="GWF148" s="369">
        <v>0.5</v>
      </c>
      <c r="GWG148" s="370" t="e">
        <f>10/GWC146</f>
        <v>#DIV/0!</v>
      </c>
      <c r="GWH148" s="371">
        <v>15.38</v>
      </c>
      <c r="GWI148" s="371" t="e">
        <f>GWF148*GWG148*GWH148</f>
        <v>#DIV/0!</v>
      </c>
      <c r="GWJ148" s="367" t="s">
        <v>206</v>
      </c>
      <c r="GWK148" s="367"/>
      <c r="GWL148" s="367"/>
      <c r="GWM148" s="368" t="s">
        <v>168</v>
      </c>
      <c r="GWN148" s="369">
        <v>0.5</v>
      </c>
      <c r="GWO148" s="370" t="e">
        <f>10/GWK146</f>
        <v>#DIV/0!</v>
      </c>
      <c r="GWP148" s="371">
        <v>15.38</v>
      </c>
      <c r="GWQ148" s="371" t="e">
        <f>GWN148*GWO148*GWP148</f>
        <v>#DIV/0!</v>
      </c>
      <c r="GWR148" s="367" t="s">
        <v>206</v>
      </c>
      <c r="GWS148" s="367"/>
      <c r="GWT148" s="367"/>
      <c r="GWU148" s="368" t="s">
        <v>168</v>
      </c>
      <c r="GWV148" s="369">
        <v>0.5</v>
      </c>
      <c r="GWW148" s="370" t="e">
        <f>10/GWS146</f>
        <v>#DIV/0!</v>
      </c>
      <c r="GWX148" s="371">
        <v>15.38</v>
      </c>
      <c r="GWY148" s="371" t="e">
        <f>GWV148*GWW148*GWX148</f>
        <v>#DIV/0!</v>
      </c>
      <c r="GWZ148" s="367" t="s">
        <v>206</v>
      </c>
      <c r="GXA148" s="367"/>
      <c r="GXB148" s="367"/>
      <c r="GXC148" s="368" t="s">
        <v>168</v>
      </c>
      <c r="GXD148" s="369">
        <v>0.5</v>
      </c>
      <c r="GXE148" s="370" t="e">
        <f>10/GXA146</f>
        <v>#DIV/0!</v>
      </c>
      <c r="GXF148" s="371">
        <v>15.38</v>
      </c>
      <c r="GXG148" s="371" t="e">
        <f>GXD148*GXE148*GXF148</f>
        <v>#DIV/0!</v>
      </c>
      <c r="GXH148" s="367" t="s">
        <v>206</v>
      </c>
      <c r="GXI148" s="367"/>
      <c r="GXJ148" s="367"/>
      <c r="GXK148" s="368" t="s">
        <v>168</v>
      </c>
      <c r="GXL148" s="369">
        <v>0.5</v>
      </c>
      <c r="GXM148" s="370" t="e">
        <f>10/GXI146</f>
        <v>#DIV/0!</v>
      </c>
      <c r="GXN148" s="371">
        <v>15.38</v>
      </c>
      <c r="GXO148" s="371" t="e">
        <f>GXL148*GXM148*GXN148</f>
        <v>#DIV/0!</v>
      </c>
      <c r="GXP148" s="367" t="s">
        <v>206</v>
      </c>
      <c r="GXQ148" s="367"/>
      <c r="GXR148" s="367"/>
      <c r="GXS148" s="368" t="s">
        <v>168</v>
      </c>
      <c r="GXT148" s="369">
        <v>0.5</v>
      </c>
      <c r="GXU148" s="370" t="e">
        <f>10/GXQ146</f>
        <v>#DIV/0!</v>
      </c>
      <c r="GXV148" s="371">
        <v>15.38</v>
      </c>
      <c r="GXW148" s="371" t="e">
        <f>GXT148*GXU148*GXV148</f>
        <v>#DIV/0!</v>
      </c>
      <c r="GXX148" s="367" t="s">
        <v>206</v>
      </c>
      <c r="GXY148" s="367"/>
      <c r="GXZ148" s="367"/>
      <c r="GYA148" s="368" t="s">
        <v>168</v>
      </c>
      <c r="GYB148" s="369">
        <v>0.5</v>
      </c>
      <c r="GYC148" s="370" t="e">
        <f>10/GXY146</f>
        <v>#DIV/0!</v>
      </c>
      <c r="GYD148" s="371">
        <v>15.38</v>
      </c>
      <c r="GYE148" s="371" t="e">
        <f>GYB148*GYC148*GYD148</f>
        <v>#DIV/0!</v>
      </c>
      <c r="GYF148" s="367" t="s">
        <v>206</v>
      </c>
      <c r="GYG148" s="367"/>
      <c r="GYH148" s="367"/>
      <c r="GYI148" s="368" t="s">
        <v>168</v>
      </c>
      <c r="GYJ148" s="369">
        <v>0.5</v>
      </c>
      <c r="GYK148" s="370" t="e">
        <f>10/GYG146</f>
        <v>#DIV/0!</v>
      </c>
      <c r="GYL148" s="371">
        <v>15.38</v>
      </c>
      <c r="GYM148" s="371" t="e">
        <f>GYJ148*GYK148*GYL148</f>
        <v>#DIV/0!</v>
      </c>
      <c r="GYN148" s="367" t="s">
        <v>206</v>
      </c>
      <c r="GYO148" s="367"/>
      <c r="GYP148" s="367"/>
      <c r="GYQ148" s="368" t="s">
        <v>168</v>
      </c>
      <c r="GYR148" s="369">
        <v>0.5</v>
      </c>
      <c r="GYS148" s="370" t="e">
        <f>10/GYO146</f>
        <v>#DIV/0!</v>
      </c>
      <c r="GYT148" s="371">
        <v>15.38</v>
      </c>
      <c r="GYU148" s="371" t="e">
        <f>GYR148*GYS148*GYT148</f>
        <v>#DIV/0!</v>
      </c>
      <c r="GYV148" s="367" t="s">
        <v>206</v>
      </c>
      <c r="GYW148" s="367"/>
      <c r="GYX148" s="367"/>
      <c r="GYY148" s="368" t="s">
        <v>168</v>
      </c>
      <c r="GYZ148" s="369">
        <v>0.5</v>
      </c>
      <c r="GZA148" s="370" t="e">
        <f>10/GYW146</f>
        <v>#DIV/0!</v>
      </c>
      <c r="GZB148" s="371">
        <v>15.38</v>
      </c>
      <c r="GZC148" s="371" t="e">
        <f>GYZ148*GZA148*GZB148</f>
        <v>#DIV/0!</v>
      </c>
      <c r="GZD148" s="367" t="s">
        <v>206</v>
      </c>
      <c r="GZE148" s="367"/>
      <c r="GZF148" s="367"/>
      <c r="GZG148" s="368" t="s">
        <v>168</v>
      </c>
      <c r="GZH148" s="369">
        <v>0.5</v>
      </c>
      <c r="GZI148" s="370" t="e">
        <f>10/GZE146</f>
        <v>#DIV/0!</v>
      </c>
      <c r="GZJ148" s="371">
        <v>15.38</v>
      </c>
      <c r="GZK148" s="371" t="e">
        <f>GZH148*GZI148*GZJ148</f>
        <v>#DIV/0!</v>
      </c>
      <c r="GZL148" s="367" t="s">
        <v>206</v>
      </c>
      <c r="GZM148" s="367"/>
      <c r="GZN148" s="367"/>
      <c r="GZO148" s="368" t="s">
        <v>168</v>
      </c>
      <c r="GZP148" s="369">
        <v>0.5</v>
      </c>
      <c r="GZQ148" s="370" t="e">
        <f>10/GZM146</f>
        <v>#DIV/0!</v>
      </c>
      <c r="GZR148" s="371">
        <v>15.38</v>
      </c>
      <c r="GZS148" s="371" t="e">
        <f>GZP148*GZQ148*GZR148</f>
        <v>#DIV/0!</v>
      </c>
      <c r="GZT148" s="367" t="s">
        <v>206</v>
      </c>
      <c r="GZU148" s="367"/>
      <c r="GZV148" s="367"/>
      <c r="GZW148" s="368" t="s">
        <v>168</v>
      </c>
      <c r="GZX148" s="369">
        <v>0.5</v>
      </c>
      <c r="GZY148" s="370" t="e">
        <f>10/GZU146</f>
        <v>#DIV/0!</v>
      </c>
      <c r="GZZ148" s="371">
        <v>15.38</v>
      </c>
      <c r="HAA148" s="371" t="e">
        <f>GZX148*GZY148*GZZ148</f>
        <v>#DIV/0!</v>
      </c>
      <c r="HAB148" s="367" t="s">
        <v>206</v>
      </c>
      <c r="HAC148" s="367"/>
      <c r="HAD148" s="367"/>
      <c r="HAE148" s="368" t="s">
        <v>168</v>
      </c>
      <c r="HAF148" s="369">
        <v>0.5</v>
      </c>
      <c r="HAG148" s="370" t="e">
        <f>10/HAC146</f>
        <v>#DIV/0!</v>
      </c>
      <c r="HAH148" s="371">
        <v>15.38</v>
      </c>
      <c r="HAI148" s="371" t="e">
        <f>HAF148*HAG148*HAH148</f>
        <v>#DIV/0!</v>
      </c>
      <c r="HAJ148" s="367" t="s">
        <v>206</v>
      </c>
      <c r="HAK148" s="367"/>
      <c r="HAL148" s="367"/>
      <c r="HAM148" s="368" t="s">
        <v>168</v>
      </c>
      <c r="HAN148" s="369">
        <v>0.5</v>
      </c>
      <c r="HAO148" s="370" t="e">
        <f>10/HAK146</f>
        <v>#DIV/0!</v>
      </c>
      <c r="HAP148" s="371">
        <v>15.38</v>
      </c>
      <c r="HAQ148" s="371" t="e">
        <f>HAN148*HAO148*HAP148</f>
        <v>#DIV/0!</v>
      </c>
      <c r="HAR148" s="367" t="s">
        <v>206</v>
      </c>
      <c r="HAS148" s="367"/>
      <c r="HAT148" s="367"/>
      <c r="HAU148" s="368" t="s">
        <v>168</v>
      </c>
      <c r="HAV148" s="369">
        <v>0.5</v>
      </c>
      <c r="HAW148" s="370" t="e">
        <f>10/HAS146</f>
        <v>#DIV/0!</v>
      </c>
      <c r="HAX148" s="371">
        <v>15.38</v>
      </c>
      <c r="HAY148" s="371" t="e">
        <f>HAV148*HAW148*HAX148</f>
        <v>#DIV/0!</v>
      </c>
      <c r="HAZ148" s="367" t="s">
        <v>206</v>
      </c>
      <c r="HBA148" s="367"/>
      <c r="HBB148" s="367"/>
      <c r="HBC148" s="368" t="s">
        <v>168</v>
      </c>
      <c r="HBD148" s="369">
        <v>0.5</v>
      </c>
      <c r="HBE148" s="370" t="e">
        <f>10/HBA146</f>
        <v>#DIV/0!</v>
      </c>
      <c r="HBF148" s="371">
        <v>15.38</v>
      </c>
      <c r="HBG148" s="371" t="e">
        <f>HBD148*HBE148*HBF148</f>
        <v>#DIV/0!</v>
      </c>
      <c r="HBH148" s="367" t="s">
        <v>206</v>
      </c>
      <c r="HBI148" s="367"/>
      <c r="HBJ148" s="367"/>
      <c r="HBK148" s="368" t="s">
        <v>168</v>
      </c>
      <c r="HBL148" s="369">
        <v>0.5</v>
      </c>
      <c r="HBM148" s="370" t="e">
        <f>10/HBI146</f>
        <v>#DIV/0!</v>
      </c>
      <c r="HBN148" s="371">
        <v>15.38</v>
      </c>
      <c r="HBO148" s="371" t="e">
        <f>HBL148*HBM148*HBN148</f>
        <v>#DIV/0!</v>
      </c>
      <c r="HBP148" s="367" t="s">
        <v>206</v>
      </c>
      <c r="HBQ148" s="367"/>
      <c r="HBR148" s="367"/>
      <c r="HBS148" s="368" t="s">
        <v>168</v>
      </c>
      <c r="HBT148" s="369">
        <v>0.5</v>
      </c>
      <c r="HBU148" s="370" t="e">
        <f>10/HBQ146</f>
        <v>#DIV/0!</v>
      </c>
      <c r="HBV148" s="371">
        <v>15.38</v>
      </c>
      <c r="HBW148" s="371" t="e">
        <f>HBT148*HBU148*HBV148</f>
        <v>#DIV/0!</v>
      </c>
      <c r="HBX148" s="367" t="s">
        <v>206</v>
      </c>
      <c r="HBY148" s="367"/>
      <c r="HBZ148" s="367"/>
      <c r="HCA148" s="368" t="s">
        <v>168</v>
      </c>
      <c r="HCB148" s="369">
        <v>0.5</v>
      </c>
      <c r="HCC148" s="370" t="e">
        <f>10/HBY146</f>
        <v>#DIV/0!</v>
      </c>
      <c r="HCD148" s="371">
        <v>15.38</v>
      </c>
      <c r="HCE148" s="371" t="e">
        <f>HCB148*HCC148*HCD148</f>
        <v>#DIV/0!</v>
      </c>
      <c r="HCF148" s="367" t="s">
        <v>206</v>
      </c>
      <c r="HCG148" s="367"/>
      <c r="HCH148" s="367"/>
      <c r="HCI148" s="368" t="s">
        <v>168</v>
      </c>
      <c r="HCJ148" s="369">
        <v>0.5</v>
      </c>
      <c r="HCK148" s="370" t="e">
        <f>10/HCG146</f>
        <v>#DIV/0!</v>
      </c>
      <c r="HCL148" s="371">
        <v>15.38</v>
      </c>
      <c r="HCM148" s="371" t="e">
        <f>HCJ148*HCK148*HCL148</f>
        <v>#DIV/0!</v>
      </c>
      <c r="HCN148" s="367" t="s">
        <v>206</v>
      </c>
      <c r="HCO148" s="367"/>
      <c r="HCP148" s="367"/>
      <c r="HCQ148" s="368" t="s">
        <v>168</v>
      </c>
      <c r="HCR148" s="369">
        <v>0.5</v>
      </c>
      <c r="HCS148" s="370" t="e">
        <f>10/HCO146</f>
        <v>#DIV/0!</v>
      </c>
      <c r="HCT148" s="371">
        <v>15.38</v>
      </c>
      <c r="HCU148" s="371" t="e">
        <f>HCR148*HCS148*HCT148</f>
        <v>#DIV/0!</v>
      </c>
      <c r="HCV148" s="367" t="s">
        <v>206</v>
      </c>
      <c r="HCW148" s="367"/>
      <c r="HCX148" s="367"/>
      <c r="HCY148" s="368" t="s">
        <v>168</v>
      </c>
      <c r="HCZ148" s="369">
        <v>0.5</v>
      </c>
      <c r="HDA148" s="370" t="e">
        <f>10/HCW146</f>
        <v>#DIV/0!</v>
      </c>
      <c r="HDB148" s="371">
        <v>15.38</v>
      </c>
      <c r="HDC148" s="371" t="e">
        <f>HCZ148*HDA148*HDB148</f>
        <v>#DIV/0!</v>
      </c>
      <c r="HDD148" s="367" t="s">
        <v>206</v>
      </c>
      <c r="HDE148" s="367"/>
      <c r="HDF148" s="367"/>
      <c r="HDG148" s="368" t="s">
        <v>168</v>
      </c>
      <c r="HDH148" s="369">
        <v>0.5</v>
      </c>
      <c r="HDI148" s="370" t="e">
        <f>10/HDE146</f>
        <v>#DIV/0!</v>
      </c>
      <c r="HDJ148" s="371">
        <v>15.38</v>
      </c>
      <c r="HDK148" s="371" t="e">
        <f>HDH148*HDI148*HDJ148</f>
        <v>#DIV/0!</v>
      </c>
      <c r="HDL148" s="367" t="s">
        <v>206</v>
      </c>
      <c r="HDM148" s="367"/>
      <c r="HDN148" s="367"/>
      <c r="HDO148" s="368" t="s">
        <v>168</v>
      </c>
      <c r="HDP148" s="369">
        <v>0.5</v>
      </c>
      <c r="HDQ148" s="370" t="e">
        <f>10/HDM146</f>
        <v>#DIV/0!</v>
      </c>
      <c r="HDR148" s="371">
        <v>15.38</v>
      </c>
      <c r="HDS148" s="371" t="e">
        <f>HDP148*HDQ148*HDR148</f>
        <v>#DIV/0!</v>
      </c>
      <c r="HDT148" s="367" t="s">
        <v>206</v>
      </c>
      <c r="HDU148" s="367"/>
      <c r="HDV148" s="367"/>
      <c r="HDW148" s="368" t="s">
        <v>168</v>
      </c>
      <c r="HDX148" s="369">
        <v>0.5</v>
      </c>
      <c r="HDY148" s="370" t="e">
        <f>10/HDU146</f>
        <v>#DIV/0!</v>
      </c>
      <c r="HDZ148" s="371">
        <v>15.38</v>
      </c>
      <c r="HEA148" s="371" t="e">
        <f>HDX148*HDY148*HDZ148</f>
        <v>#DIV/0!</v>
      </c>
      <c r="HEB148" s="367" t="s">
        <v>206</v>
      </c>
      <c r="HEC148" s="367"/>
      <c r="HED148" s="367"/>
      <c r="HEE148" s="368" t="s">
        <v>168</v>
      </c>
      <c r="HEF148" s="369">
        <v>0.5</v>
      </c>
      <c r="HEG148" s="370" t="e">
        <f>10/HEC146</f>
        <v>#DIV/0!</v>
      </c>
      <c r="HEH148" s="371">
        <v>15.38</v>
      </c>
      <c r="HEI148" s="371" t="e">
        <f>HEF148*HEG148*HEH148</f>
        <v>#DIV/0!</v>
      </c>
      <c r="HEJ148" s="367" t="s">
        <v>206</v>
      </c>
      <c r="HEK148" s="367"/>
      <c r="HEL148" s="367"/>
      <c r="HEM148" s="368" t="s">
        <v>168</v>
      </c>
      <c r="HEN148" s="369">
        <v>0.5</v>
      </c>
      <c r="HEO148" s="370" t="e">
        <f>10/HEK146</f>
        <v>#DIV/0!</v>
      </c>
      <c r="HEP148" s="371">
        <v>15.38</v>
      </c>
      <c r="HEQ148" s="371" t="e">
        <f>HEN148*HEO148*HEP148</f>
        <v>#DIV/0!</v>
      </c>
      <c r="HER148" s="367" t="s">
        <v>206</v>
      </c>
      <c r="HES148" s="367"/>
      <c r="HET148" s="367"/>
      <c r="HEU148" s="368" t="s">
        <v>168</v>
      </c>
      <c r="HEV148" s="369">
        <v>0.5</v>
      </c>
      <c r="HEW148" s="370" t="e">
        <f>10/HES146</f>
        <v>#DIV/0!</v>
      </c>
      <c r="HEX148" s="371">
        <v>15.38</v>
      </c>
      <c r="HEY148" s="371" t="e">
        <f>HEV148*HEW148*HEX148</f>
        <v>#DIV/0!</v>
      </c>
      <c r="HEZ148" s="367" t="s">
        <v>206</v>
      </c>
      <c r="HFA148" s="367"/>
      <c r="HFB148" s="367"/>
      <c r="HFC148" s="368" t="s">
        <v>168</v>
      </c>
      <c r="HFD148" s="369">
        <v>0.5</v>
      </c>
      <c r="HFE148" s="370" t="e">
        <f>10/HFA146</f>
        <v>#DIV/0!</v>
      </c>
      <c r="HFF148" s="371">
        <v>15.38</v>
      </c>
      <c r="HFG148" s="371" t="e">
        <f>HFD148*HFE148*HFF148</f>
        <v>#DIV/0!</v>
      </c>
      <c r="HFH148" s="367" t="s">
        <v>206</v>
      </c>
      <c r="HFI148" s="367"/>
      <c r="HFJ148" s="367"/>
      <c r="HFK148" s="368" t="s">
        <v>168</v>
      </c>
      <c r="HFL148" s="369">
        <v>0.5</v>
      </c>
      <c r="HFM148" s="370" t="e">
        <f>10/HFI146</f>
        <v>#DIV/0!</v>
      </c>
      <c r="HFN148" s="371">
        <v>15.38</v>
      </c>
      <c r="HFO148" s="371" t="e">
        <f>HFL148*HFM148*HFN148</f>
        <v>#DIV/0!</v>
      </c>
      <c r="HFP148" s="367" t="s">
        <v>206</v>
      </c>
      <c r="HFQ148" s="367"/>
      <c r="HFR148" s="367"/>
      <c r="HFS148" s="368" t="s">
        <v>168</v>
      </c>
      <c r="HFT148" s="369">
        <v>0.5</v>
      </c>
      <c r="HFU148" s="370" t="e">
        <f>10/HFQ146</f>
        <v>#DIV/0!</v>
      </c>
      <c r="HFV148" s="371">
        <v>15.38</v>
      </c>
      <c r="HFW148" s="371" t="e">
        <f>HFT148*HFU148*HFV148</f>
        <v>#DIV/0!</v>
      </c>
      <c r="HFX148" s="367" t="s">
        <v>206</v>
      </c>
      <c r="HFY148" s="367"/>
      <c r="HFZ148" s="367"/>
      <c r="HGA148" s="368" t="s">
        <v>168</v>
      </c>
      <c r="HGB148" s="369">
        <v>0.5</v>
      </c>
      <c r="HGC148" s="370" t="e">
        <f>10/HFY146</f>
        <v>#DIV/0!</v>
      </c>
      <c r="HGD148" s="371">
        <v>15.38</v>
      </c>
      <c r="HGE148" s="371" t="e">
        <f>HGB148*HGC148*HGD148</f>
        <v>#DIV/0!</v>
      </c>
      <c r="HGF148" s="367" t="s">
        <v>206</v>
      </c>
      <c r="HGG148" s="367"/>
      <c r="HGH148" s="367"/>
      <c r="HGI148" s="368" t="s">
        <v>168</v>
      </c>
      <c r="HGJ148" s="369">
        <v>0.5</v>
      </c>
      <c r="HGK148" s="370" t="e">
        <f>10/HGG146</f>
        <v>#DIV/0!</v>
      </c>
      <c r="HGL148" s="371">
        <v>15.38</v>
      </c>
      <c r="HGM148" s="371" t="e">
        <f>HGJ148*HGK148*HGL148</f>
        <v>#DIV/0!</v>
      </c>
      <c r="HGN148" s="367" t="s">
        <v>206</v>
      </c>
      <c r="HGO148" s="367"/>
      <c r="HGP148" s="367"/>
      <c r="HGQ148" s="368" t="s">
        <v>168</v>
      </c>
      <c r="HGR148" s="369">
        <v>0.5</v>
      </c>
      <c r="HGS148" s="370" t="e">
        <f>10/HGO146</f>
        <v>#DIV/0!</v>
      </c>
      <c r="HGT148" s="371">
        <v>15.38</v>
      </c>
      <c r="HGU148" s="371" t="e">
        <f>HGR148*HGS148*HGT148</f>
        <v>#DIV/0!</v>
      </c>
      <c r="HGV148" s="367" t="s">
        <v>206</v>
      </c>
      <c r="HGW148" s="367"/>
      <c r="HGX148" s="367"/>
      <c r="HGY148" s="368" t="s">
        <v>168</v>
      </c>
      <c r="HGZ148" s="369">
        <v>0.5</v>
      </c>
      <c r="HHA148" s="370" t="e">
        <f>10/HGW146</f>
        <v>#DIV/0!</v>
      </c>
      <c r="HHB148" s="371">
        <v>15.38</v>
      </c>
      <c r="HHC148" s="371" t="e">
        <f>HGZ148*HHA148*HHB148</f>
        <v>#DIV/0!</v>
      </c>
      <c r="HHD148" s="367" t="s">
        <v>206</v>
      </c>
      <c r="HHE148" s="367"/>
      <c r="HHF148" s="367"/>
      <c r="HHG148" s="368" t="s">
        <v>168</v>
      </c>
      <c r="HHH148" s="369">
        <v>0.5</v>
      </c>
      <c r="HHI148" s="370" t="e">
        <f>10/HHE146</f>
        <v>#DIV/0!</v>
      </c>
      <c r="HHJ148" s="371">
        <v>15.38</v>
      </c>
      <c r="HHK148" s="371" t="e">
        <f>HHH148*HHI148*HHJ148</f>
        <v>#DIV/0!</v>
      </c>
      <c r="HHL148" s="367" t="s">
        <v>206</v>
      </c>
      <c r="HHM148" s="367"/>
      <c r="HHN148" s="367"/>
      <c r="HHO148" s="368" t="s">
        <v>168</v>
      </c>
      <c r="HHP148" s="369">
        <v>0.5</v>
      </c>
      <c r="HHQ148" s="370" t="e">
        <f>10/HHM146</f>
        <v>#DIV/0!</v>
      </c>
      <c r="HHR148" s="371">
        <v>15.38</v>
      </c>
      <c r="HHS148" s="371" t="e">
        <f>HHP148*HHQ148*HHR148</f>
        <v>#DIV/0!</v>
      </c>
      <c r="HHT148" s="367" t="s">
        <v>206</v>
      </c>
      <c r="HHU148" s="367"/>
      <c r="HHV148" s="367"/>
      <c r="HHW148" s="368" t="s">
        <v>168</v>
      </c>
      <c r="HHX148" s="369">
        <v>0.5</v>
      </c>
      <c r="HHY148" s="370" t="e">
        <f>10/HHU146</f>
        <v>#DIV/0!</v>
      </c>
      <c r="HHZ148" s="371">
        <v>15.38</v>
      </c>
      <c r="HIA148" s="371" t="e">
        <f>HHX148*HHY148*HHZ148</f>
        <v>#DIV/0!</v>
      </c>
      <c r="HIB148" s="367" t="s">
        <v>206</v>
      </c>
      <c r="HIC148" s="367"/>
      <c r="HID148" s="367"/>
      <c r="HIE148" s="368" t="s">
        <v>168</v>
      </c>
      <c r="HIF148" s="369">
        <v>0.5</v>
      </c>
      <c r="HIG148" s="370" t="e">
        <f>10/HIC146</f>
        <v>#DIV/0!</v>
      </c>
      <c r="HIH148" s="371">
        <v>15.38</v>
      </c>
      <c r="HII148" s="371" t="e">
        <f>HIF148*HIG148*HIH148</f>
        <v>#DIV/0!</v>
      </c>
      <c r="HIJ148" s="367" t="s">
        <v>206</v>
      </c>
      <c r="HIK148" s="367"/>
      <c r="HIL148" s="367"/>
      <c r="HIM148" s="368" t="s">
        <v>168</v>
      </c>
      <c r="HIN148" s="369">
        <v>0.5</v>
      </c>
      <c r="HIO148" s="370" t="e">
        <f>10/HIK146</f>
        <v>#DIV/0!</v>
      </c>
      <c r="HIP148" s="371">
        <v>15.38</v>
      </c>
      <c r="HIQ148" s="371" t="e">
        <f>HIN148*HIO148*HIP148</f>
        <v>#DIV/0!</v>
      </c>
      <c r="HIR148" s="367" t="s">
        <v>206</v>
      </c>
      <c r="HIS148" s="367"/>
      <c r="HIT148" s="367"/>
      <c r="HIU148" s="368" t="s">
        <v>168</v>
      </c>
      <c r="HIV148" s="369">
        <v>0.5</v>
      </c>
      <c r="HIW148" s="370" t="e">
        <f>10/HIS146</f>
        <v>#DIV/0!</v>
      </c>
      <c r="HIX148" s="371">
        <v>15.38</v>
      </c>
      <c r="HIY148" s="371" t="e">
        <f>HIV148*HIW148*HIX148</f>
        <v>#DIV/0!</v>
      </c>
      <c r="HIZ148" s="367" t="s">
        <v>206</v>
      </c>
      <c r="HJA148" s="367"/>
      <c r="HJB148" s="367"/>
      <c r="HJC148" s="368" t="s">
        <v>168</v>
      </c>
      <c r="HJD148" s="369">
        <v>0.5</v>
      </c>
      <c r="HJE148" s="370" t="e">
        <f>10/HJA146</f>
        <v>#DIV/0!</v>
      </c>
      <c r="HJF148" s="371">
        <v>15.38</v>
      </c>
      <c r="HJG148" s="371" t="e">
        <f>HJD148*HJE148*HJF148</f>
        <v>#DIV/0!</v>
      </c>
      <c r="HJH148" s="367" t="s">
        <v>206</v>
      </c>
      <c r="HJI148" s="367"/>
      <c r="HJJ148" s="367"/>
      <c r="HJK148" s="368" t="s">
        <v>168</v>
      </c>
      <c r="HJL148" s="369">
        <v>0.5</v>
      </c>
      <c r="HJM148" s="370" t="e">
        <f>10/HJI146</f>
        <v>#DIV/0!</v>
      </c>
      <c r="HJN148" s="371">
        <v>15.38</v>
      </c>
      <c r="HJO148" s="371" t="e">
        <f>HJL148*HJM148*HJN148</f>
        <v>#DIV/0!</v>
      </c>
      <c r="HJP148" s="367" t="s">
        <v>206</v>
      </c>
      <c r="HJQ148" s="367"/>
      <c r="HJR148" s="367"/>
      <c r="HJS148" s="368" t="s">
        <v>168</v>
      </c>
      <c r="HJT148" s="369">
        <v>0.5</v>
      </c>
      <c r="HJU148" s="370" t="e">
        <f>10/HJQ146</f>
        <v>#DIV/0!</v>
      </c>
      <c r="HJV148" s="371">
        <v>15.38</v>
      </c>
      <c r="HJW148" s="371" t="e">
        <f>HJT148*HJU148*HJV148</f>
        <v>#DIV/0!</v>
      </c>
      <c r="HJX148" s="367" t="s">
        <v>206</v>
      </c>
      <c r="HJY148" s="367"/>
      <c r="HJZ148" s="367"/>
      <c r="HKA148" s="368" t="s">
        <v>168</v>
      </c>
      <c r="HKB148" s="369">
        <v>0.5</v>
      </c>
      <c r="HKC148" s="370" t="e">
        <f>10/HJY146</f>
        <v>#DIV/0!</v>
      </c>
      <c r="HKD148" s="371">
        <v>15.38</v>
      </c>
      <c r="HKE148" s="371" t="e">
        <f>HKB148*HKC148*HKD148</f>
        <v>#DIV/0!</v>
      </c>
      <c r="HKF148" s="367" t="s">
        <v>206</v>
      </c>
      <c r="HKG148" s="367"/>
      <c r="HKH148" s="367"/>
      <c r="HKI148" s="368" t="s">
        <v>168</v>
      </c>
      <c r="HKJ148" s="369">
        <v>0.5</v>
      </c>
      <c r="HKK148" s="370" t="e">
        <f>10/HKG146</f>
        <v>#DIV/0!</v>
      </c>
      <c r="HKL148" s="371">
        <v>15.38</v>
      </c>
      <c r="HKM148" s="371" t="e">
        <f>HKJ148*HKK148*HKL148</f>
        <v>#DIV/0!</v>
      </c>
      <c r="HKN148" s="367" t="s">
        <v>206</v>
      </c>
      <c r="HKO148" s="367"/>
      <c r="HKP148" s="367"/>
      <c r="HKQ148" s="368" t="s">
        <v>168</v>
      </c>
      <c r="HKR148" s="369">
        <v>0.5</v>
      </c>
      <c r="HKS148" s="370" t="e">
        <f>10/HKO146</f>
        <v>#DIV/0!</v>
      </c>
      <c r="HKT148" s="371">
        <v>15.38</v>
      </c>
      <c r="HKU148" s="371" t="e">
        <f>HKR148*HKS148*HKT148</f>
        <v>#DIV/0!</v>
      </c>
      <c r="HKV148" s="367" t="s">
        <v>206</v>
      </c>
      <c r="HKW148" s="367"/>
      <c r="HKX148" s="367"/>
      <c r="HKY148" s="368" t="s">
        <v>168</v>
      </c>
      <c r="HKZ148" s="369">
        <v>0.5</v>
      </c>
      <c r="HLA148" s="370" t="e">
        <f>10/HKW146</f>
        <v>#DIV/0!</v>
      </c>
      <c r="HLB148" s="371">
        <v>15.38</v>
      </c>
      <c r="HLC148" s="371" t="e">
        <f>HKZ148*HLA148*HLB148</f>
        <v>#DIV/0!</v>
      </c>
      <c r="HLD148" s="367" t="s">
        <v>206</v>
      </c>
      <c r="HLE148" s="367"/>
      <c r="HLF148" s="367"/>
      <c r="HLG148" s="368" t="s">
        <v>168</v>
      </c>
      <c r="HLH148" s="369">
        <v>0.5</v>
      </c>
      <c r="HLI148" s="370" t="e">
        <f>10/HLE146</f>
        <v>#DIV/0!</v>
      </c>
      <c r="HLJ148" s="371">
        <v>15.38</v>
      </c>
      <c r="HLK148" s="371" t="e">
        <f>HLH148*HLI148*HLJ148</f>
        <v>#DIV/0!</v>
      </c>
      <c r="HLL148" s="367" t="s">
        <v>206</v>
      </c>
      <c r="HLM148" s="367"/>
      <c r="HLN148" s="367"/>
      <c r="HLO148" s="368" t="s">
        <v>168</v>
      </c>
      <c r="HLP148" s="369">
        <v>0.5</v>
      </c>
      <c r="HLQ148" s="370" t="e">
        <f>10/HLM146</f>
        <v>#DIV/0!</v>
      </c>
      <c r="HLR148" s="371">
        <v>15.38</v>
      </c>
      <c r="HLS148" s="371" t="e">
        <f>HLP148*HLQ148*HLR148</f>
        <v>#DIV/0!</v>
      </c>
      <c r="HLT148" s="367" t="s">
        <v>206</v>
      </c>
      <c r="HLU148" s="367"/>
      <c r="HLV148" s="367"/>
      <c r="HLW148" s="368" t="s">
        <v>168</v>
      </c>
      <c r="HLX148" s="369">
        <v>0.5</v>
      </c>
      <c r="HLY148" s="370" t="e">
        <f>10/HLU146</f>
        <v>#DIV/0!</v>
      </c>
      <c r="HLZ148" s="371">
        <v>15.38</v>
      </c>
      <c r="HMA148" s="371" t="e">
        <f>HLX148*HLY148*HLZ148</f>
        <v>#DIV/0!</v>
      </c>
      <c r="HMB148" s="367" t="s">
        <v>206</v>
      </c>
      <c r="HMC148" s="367"/>
      <c r="HMD148" s="367"/>
      <c r="HME148" s="368" t="s">
        <v>168</v>
      </c>
      <c r="HMF148" s="369">
        <v>0.5</v>
      </c>
      <c r="HMG148" s="370" t="e">
        <f>10/HMC146</f>
        <v>#DIV/0!</v>
      </c>
      <c r="HMH148" s="371">
        <v>15.38</v>
      </c>
      <c r="HMI148" s="371" t="e">
        <f>HMF148*HMG148*HMH148</f>
        <v>#DIV/0!</v>
      </c>
      <c r="HMJ148" s="367" t="s">
        <v>206</v>
      </c>
      <c r="HMK148" s="367"/>
      <c r="HML148" s="367"/>
      <c r="HMM148" s="368" t="s">
        <v>168</v>
      </c>
      <c r="HMN148" s="369">
        <v>0.5</v>
      </c>
      <c r="HMO148" s="370" t="e">
        <f>10/HMK146</f>
        <v>#DIV/0!</v>
      </c>
      <c r="HMP148" s="371">
        <v>15.38</v>
      </c>
      <c r="HMQ148" s="371" t="e">
        <f>HMN148*HMO148*HMP148</f>
        <v>#DIV/0!</v>
      </c>
      <c r="HMR148" s="367" t="s">
        <v>206</v>
      </c>
      <c r="HMS148" s="367"/>
      <c r="HMT148" s="367"/>
      <c r="HMU148" s="368" t="s">
        <v>168</v>
      </c>
      <c r="HMV148" s="369">
        <v>0.5</v>
      </c>
      <c r="HMW148" s="370" t="e">
        <f>10/HMS146</f>
        <v>#DIV/0!</v>
      </c>
      <c r="HMX148" s="371">
        <v>15.38</v>
      </c>
      <c r="HMY148" s="371" t="e">
        <f>HMV148*HMW148*HMX148</f>
        <v>#DIV/0!</v>
      </c>
      <c r="HMZ148" s="367" t="s">
        <v>206</v>
      </c>
      <c r="HNA148" s="367"/>
      <c r="HNB148" s="367"/>
      <c r="HNC148" s="368" t="s">
        <v>168</v>
      </c>
      <c r="HND148" s="369">
        <v>0.5</v>
      </c>
      <c r="HNE148" s="370" t="e">
        <f>10/HNA146</f>
        <v>#DIV/0!</v>
      </c>
      <c r="HNF148" s="371">
        <v>15.38</v>
      </c>
      <c r="HNG148" s="371" t="e">
        <f>HND148*HNE148*HNF148</f>
        <v>#DIV/0!</v>
      </c>
      <c r="HNH148" s="367" t="s">
        <v>206</v>
      </c>
      <c r="HNI148" s="367"/>
      <c r="HNJ148" s="367"/>
      <c r="HNK148" s="368" t="s">
        <v>168</v>
      </c>
      <c r="HNL148" s="369">
        <v>0.5</v>
      </c>
      <c r="HNM148" s="370" t="e">
        <f>10/HNI146</f>
        <v>#DIV/0!</v>
      </c>
      <c r="HNN148" s="371">
        <v>15.38</v>
      </c>
      <c r="HNO148" s="371" t="e">
        <f>HNL148*HNM148*HNN148</f>
        <v>#DIV/0!</v>
      </c>
      <c r="HNP148" s="367" t="s">
        <v>206</v>
      </c>
      <c r="HNQ148" s="367"/>
      <c r="HNR148" s="367"/>
      <c r="HNS148" s="368" t="s">
        <v>168</v>
      </c>
      <c r="HNT148" s="369">
        <v>0.5</v>
      </c>
      <c r="HNU148" s="370" t="e">
        <f>10/HNQ146</f>
        <v>#DIV/0!</v>
      </c>
      <c r="HNV148" s="371">
        <v>15.38</v>
      </c>
      <c r="HNW148" s="371" t="e">
        <f>HNT148*HNU148*HNV148</f>
        <v>#DIV/0!</v>
      </c>
      <c r="HNX148" s="367" t="s">
        <v>206</v>
      </c>
      <c r="HNY148" s="367"/>
      <c r="HNZ148" s="367"/>
      <c r="HOA148" s="368" t="s">
        <v>168</v>
      </c>
      <c r="HOB148" s="369">
        <v>0.5</v>
      </c>
      <c r="HOC148" s="370" t="e">
        <f>10/HNY146</f>
        <v>#DIV/0!</v>
      </c>
      <c r="HOD148" s="371">
        <v>15.38</v>
      </c>
      <c r="HOE148" s="371" t="e">
        <f>HOB148*HOC148*HOD148</f>
        <v>#DIV/0!</v>
      </c>
      <c r="HOF148" s="367" t="s">
        <v>206</v>
      </c>
      <c r="HOG148" s="367"/>
      <c r="HOH148" s="367"/>
      <c r="HOI148" s="368" t="s">
        <v>168</v>
      </c>
      <c r="HOJ148" s="369">
        <v>0.5</v>
      </c>
      <c r="HOK148" s="370" t="e">
        <f>10/HOG146</f>
        <v>#DIV/0!</v>
      </c>
      <c r="HOL148" s="371">
        <v>15.38</v>
      </c>
      <c r="HOM148" s="371" t="e">
        <f>HOJ148*HOK148*HOL148</f>
        <v>#DIV/0!</v>
      </c>
      <c r="HON148" s="367" t="s">
        <v>206</v>
      </c>
      <c r="HOO148" s="367"/>
      <c r="HOP148" s="367"/>
      <c r="HOQ148" s="368" t="s">
        <v>168</v>
      </c>
      <c r="HOR148" s="369">
        <v>0.5</v>
      </c>
      <c r="HOS148" s="370" t="e">
        <f>10/HOO146</f>
        <v>#DIV/0!</v>
      </c>
      <c r="HOT148" s="371">
        <v>15.38</v>
      </c>
      <c r="HOU148" s="371" t="e">
        <f>HOR148*HOS148*HOT148</f>
        <v>#DIV/0!</v>
      </c>
      <c r="HOV148" s="367" t="s">
        <v>206</v>
      </c>
      <c r="HOW148" s="367"/>
      <c r="HOX148" s="367"/>
      <c r="HOY148" s="368" t="s">
        <v>168</v>
      </c>
      <c r="HOZ148" s="369">
        <v>0.5</v>
      </c>
      <c r="HPA148" s="370" t="e">
        <f>10/HOW146</f>
        <v>#DIV/0!</v>
      </c>
      <c r="HPB148" s="371">
        <v>15.38</v>
      </c>
      <c r="HPC148" s="371" t="e">
        <f>HOZ148*HPA148*HPB148</f>
        <v>#DIV/0!</v>
      </c>
      <c r="HPD148" s="367" t="s">
        <v>206</v>
      </c>
      <c r="HPE148" s="367"/>
      <c r="HPF148" s="367"/>
      <c r="HPG148" s="368" t="s">
        <v>168</v>
      </c>
      <c r="HPH148" s="369">
        <v>0.5</v>
      </c>
      <c r="HPI148" s="370" t="e">
        <f>10/HPE146</f>
        <v>#DIV/0!</v>
      </c>
      <c r="HPJ148" s="371">
        <v>15.38</v>
      </c>
      <c r="HPK148" s="371" t="e">
        <f>HPH148*HPI148*HPJ148</f>
        <v>#DIV/0!</v>
      </c>
      <c r="HPL148" s="367" t="s">
        <v>206</v>
      </c>
      <c r="HPM148" s="367"/>
      <c r="HPN148" s="367"/>
      <c r="HPO148" s="368" t="s">
        <v>168</v>
      </c>
      <c r="HPP148" s="369">
        <v>0.5</v>
      </c>
      <c r="HPQ148" s="370" t="e">
        <f>10/HPM146</f>
        <v>#DIV/0!</v>
      </c>
      <c r="HPR148" s="371">
        <v>15.38</v>
      </c>
      <c r="HPS148" s="371" t="e">
        <f>HPP148*HPQ148*HPR148</f>
        <v>#DIV/0!</v>
      </c>
      <c r="HPT148" s="367" t="s">
        <v>206</v>
      </c>
      <c r="HPU148" s="367"/>
      <c r="HPV148" s="367"/>
      <c r="HPW148" s="368" t="s">
        <v>168</v>
      </c>
      <c r="HPX148" s="369">
        <v>0.5</v>
      </c>
      <c r="HPY148" s="370" t="e">
        <f>10/HPU146</f>
        <v>#DIV/0!</v>
      </c>
      <c r="HPZ148" s="371">
        <v>15.38</v>
      </c>
      <c r="HQA148" s="371" t="e">
        <f>HPX148*HPY148*HPZ148</f>
        <v>#DIV/0!</v>
      </c>
      <c r="HQB148" s="367" t="s">
        <v>206</v>
      </c>
      <c r="HQC148" s="367"/>
      <c r="HQD148" s="367"/>
      <c r="HQE148" s="368" t="s">
        <v>168</v>
      </c>
      <c r="HQF148" s="369">
        <v>0.5</v>
      </c>
      <c r="HQG148" s="370" t="e">
        <f>10/HQC146</f>
        <v>#DIV/0!</v>
      </c>
      <c r="HQH148" s="371">
        <v>15.38</v>
      </c>
      <c r="HQI148" s="371" t="e">
        <f>HQF148*HQG148*HQH148</f>
        <v>#DIV/0!</v>
      </c>
      <c r="HQJ148" s="367" t="s">
        <v>206</v>
      </c>
      <c r="HQK148" s="367"/>
      <c r="HQL148" s="367"/>
      <c r="HQM148" s="368" t="s">
        <v>168</v>
      </c>
      <c r="HQN148" s="369">
        <v>0.5</v>
      </c>
      <c r="HQO148" s="370" t="e">
        <f>10/HQK146</f>
        <v>#DIV/0!</v>
      </c>
      <c r="HQP148" s="371">
        <v>15.38</v>
      </c>
      <c r="HQQ148" s="371" t="e">
        <f>HQN148*HQO148*HQP148</f>
        <v>#DIV/0!</v>
      </c>
      <c r="HQR148" s="367" t="s">
        <v>206</v>
      </c>
      <c r="HQS148" s="367"/>
      <c r="HQT148" s="367"/>
      <c r="HQU148" s="368" t="s">
        <v>168</v>
      </c>
      <c r="HQV148" s="369">
        <v>0.5</v>
      </c>
      <c r="HQW148" s="370" t="e">
        <f>10/HQS146</f>
        <v>#DIV/0!</v>
      </c>
      <c r="HQX148" s="371">
        <v>15.38</v>
      </c>
      <c r="HQY148" s="371" t="e">
        <f>HQV148*HQW148*HQX148</f>
        <v>#DIV/0!</v>
      </c>
      <c r="HQZ148" s="367" t="s">
        <v>206</v>
      </c>
      <c r="HRA148" s="367"/>
      <c r="HRB148" s="367"/>
      <c r="HRC148" s="368" t="s">
        <v>168</v>
      </c>
      <c r="HRD148" s="369">
        <v>0.5</v>
      </c>
      <c r="HRE148" s="370" t="e">
        <f>10/HRA146</f>
        <v>#DIV/0!</v>
      </c>
      <c r="HRF148" s="371">
        <v>15.38</v>
      </c>
      <c r="HRG148" s="371" t="e">
        <f>HRD148*HRE148*HRF148</f>
        <v>#DIV/0!</v>
      </c>
      <c r="HRH148" s="367" t="s">
        <v>206</v>
      </c>
      <c r="HRI148" s="367"/>
      <c r="HRJ148" s="367"/>
      <c r="HRK148" s="368" t="s">
        <v>168</v>
      </c>
      <c r="HRL148" s="369">
        <v>0.5</v>
      </c>
      <c r="HRM148" s="370" t="e">
        <f>10/HRI146</f>
        <v>#DIV/0!</v>
      </c>
      <c r="HRN148" s="371">
        <v>15.38</v>
      </c>
      <c r="HRO148" s="371" t="e">
        <f>HRL148*HRM148*HRN148</f>
        <v>#DIV/0!</v>
      </c>
      <c r="HRP148" s="367" t="s">
        <v>206</v>
      </c>
      <c r="HRQ148" s="367"/>
      <c r="HRR148" s="367"/>
      <c r="HRS148" s="368" t="s">
        <v>168</v>
      </c>
      <c r="HRT148" s="369">
        <v>0.5</v>
      </c>
      <c r="HRU148" s="370" t="e">
        <f>10/HRQ146</f>
        <v>#DIV/0!</v>
      </c>
      <c r="HRV148" s="371">
        <v>15.38</v>
      </c>
      <c r="HRW148" s="371" t="e">
        <f>HRT148*HRU148*HRV148</f>
        <v>#DIV/0!</v>
      </c>
      <c r="HRX148" s="367" t="s">
        <v>206</v>
      </c>
      <c r="HRY148" s="367"/>
      <c r="HRZ148" s="367"/>
      <c r="HSA148" s="368" t="s">
        <v>168</v>
      </c>
      <c r="HSB148" s="369">
        <v>0.5</v>
      </c>
      <c r="HSC148" s="370" t="e">
        <f>10/HRY146</f>
        <v>#DIV/0!</v>
      </c>
      <c r="HSD148" s="371">
        <v>15.38</v>
      </c>
      <c r="HSE148" s="371" t="e">
        <f>HSB148*HSC148*HSD148</f>
        <v>#DIV/0!</v>
      </c>
      <c r="HSF148" s="367" t="s">
        <v>206</v>
      </c>
      <c r="HSG148" s="367"/>
      <c r="HSH148" s="367"/>
      <c r="HSI148" s="368" t="s">
        <v>168</v>
      </c>
      <c r="HSJ148" s="369">
        <v>0.5</v>
      </c>
      <c r="HSK148" s="370" t="e">
        <f>10/HSG146</f>
        <v>#DIV/0!</v>
      </c>
      <c r="HSL148" s="371">
        <v>15.38</v>
      </c>
      <c r="HSM148" s="371" t="e">
        <f>HSJ148*HSK148*HSL148</f>
        <v>#DIV/0!</v>
      </c>
      <c r="HSN148" s="367" t="s">
        <v>206</v>
      </c>
      <c r="HSO148" s="367"/>
      <c r="HSP148" s="367"/>
      <c r="HSQ148" s="368" t="s">
        <v>168</v>
      </c>
      <c r="HSR148" s="369">
        <v>0.5</v>
      </c>
      <c r="HSS148" s="370" t="e">
        <f>10/HSO146</f>
        <v>#DIV/0!</v>
      </c>
      <c r="HST148" s="371">
        <v>15.38</v>
      </c>
      <c r="HSU148" s="371" t="e">
        <f>HSR148*HSS148*HST148</f>
        <v>#DIV/0!</v>
      </c>
      <c r="HSV148" s="367" t="s">
        <v>206</v>
      </c>
      <c r="HSW148" s="367"/>
      <c r="HSX148" s="367"/>
      <c r="HSY148" s="368" t="s">
        <v>168</v>
      </c>
      <c r="HSZ148" s="369">
        <v>0.5</v>
      </c>
      <c r="HTA148" s="370" t="e">
        <f>10/HSW146</f>
        <v>#DIV/0!</v>
      </c>
      <c r="HTB148" s="371">
        <v>15.38</v>
      </c>
      <c r="HTC148" s="371" t="e">
        <f>HSZ148*HTA148*HTB148</f>
        <v>#DIV/0!</v>
      </c>
      <c r="HTD148" s="367" t="s">
        <v>206</v>
      </c>
      <c r="HTE148" s="367"/>
      <c r="HTF148" s="367"/>
      <c r="HTG148" s="368" t="s">
        <v>168</v>
      </c>
      <c r="HTH148" s="369">
        <v>0.5</v>
      </c>
      <c r="HTI148" s="370" t="e">
        <f>10/HTE146</f>
        <v>#DIV/0!</v>
      </c>
      <c r="HTJ148" s="371">
        <v>15.38</v>
      </c>
      <c r="HTK148" s="371" t="e">
        <f>HTH148*HTI148*HTJ148</f>
        <v>#DIV/0!</v>
      </c>
      <c r="HTL148" s="367" t="s">
        <v>206</v>
      </c>
      <c r="HTM148" s="367"/>
      <c r="HTN148" s="367"/>
      <c r="HTO148" s="368" t="s">
        <v>168</v>
      </c>
      <c r="HTP148" s="369">
        <v>0.5</v>
      </c>
      <c r="HTQ148" s="370" t="e">
        <f>10/HTM146</f>
        <v>#DIV/0!</v>
      </c>
      <c r="HTR148" s="371">
        <v>15.38</v>
      </c>
      <c r="HTS148" s="371" t="e">
        <f>HTP148*HTQ148*HTR148</f>
        <v>#DIV/0!</v>
      </c>
      <c r="HTT148" s="367" t="s">
        <v>206</v>
      </c>
      <c r="HTU148" s="367"/>
      <c r="HTV148" s="367"/>
      <c r="HTW148" s="368" t="s">
        <v>168</v>
      </c>
      <c r="HTX148" s="369">
        <v>0.5</v>
      </c>
      <c r="HTY148" s="370" t="e">
        <f>10/HTU146</f>
        <v>#DIV/0!</v>
      </c>
      <c r="HTZ148" s="371">
        <v>15.38</v>
      </c>
      <c r="HUA148" s="371" t="e">
        <f>HTX148*HTY148*HTZ148</f>
        <v>#DIV/0!</v>
      </c>
      <c r="HUB148" s="367" t="s">
        <v>206</v>
      </c>
      <c r="HUC148" s="367"/>
      <c r="HUD148" s="367"/>
      <c r="HUE148" s="368" t="s">
        <v>168</v>
      </c>
      <c r="HUF148" s="369">
        <v>0.5</v>
      </c>
      <c r="HUG148" s="370" t="e">
        <f>10/HUC146</f>
        <v>#DIV/0!</v>
      </c>
      <c r="HUH148" s="371">
        <v>15.38</v>
      </c>
      <c r="HUI148" s="371" t="e">
        <f>HUF148*HUG148*HUH148</f>
        <v>#DIV/0!</v>
      </c>
      <c r="HUJ148" s="367" t="s">
        <v>206</v>
      </c>
      <c r="HUK148" s="367"/>
      <c r="HUL148" s="367"/>
      <c r="HUM148" s="368" t="s">
        <v>168</v>
      </c>
      <c r="HUN148" s="369">
        <v>0.5</v>
      </c>
      <c r="HUO148" s="370" t="e">
        <f>10/HUK146</f>
        <v>#DIV/0!</v>
      </c>
      <c r="HUP148" s="371">
        <v>15.38</v>
      </c>
      <c r="HUQ148" s="371" t="e">
        <f>HUN148*HUO148*HUP148</f>
        <v>#DIV/0!</v>
      </c>
      <c r="HUR148" s="367" t="s">
        <v>206</v>
      </c>
      <c r="HUS148" s="367"/>
      <c r="HUT148" s="367"/>
      <c r="HUU148" s="368" t="s">
        <v>168</v>
      </c>
      <c r="HUV148" s="369">
        <v>0.5</v>
      </c>
      <c r="HUW148" s="370" t="e">
        <f>10/HUS146</f>
        <v>#DIV/0!</v>
      </c>
      <c r="HUX148" s="371">
        <v>15.38</v>
      </c>
      <c r="HUY148" s="371" t="e">
        <f>HUV148*HUW148*HUX148</f>
        <v>#DIV/0!</v>
      </c>
      <c r="HUZ148" s="367" t="s">
        <v>206</v>
      </c>
      <c r="HVA148" s="367"/>
      <c r="HVB148" s="367"/>
      <c r="HVC148" s="368" t="s">
        <v>168</v>
      </c>
      <c r="HVD148" s="369">
        <v>0.5</v>
      </c>
      <c r="HVE148" s="370" t="e">
        <f>10/HVA146</f>
        <v>#DIV/0!</v>
      </c>
      <c r="HVF148" s="371">
        <v>15.38</v>
      </c>
      <c r="HVG148" s="371" t="e">
        <f>HVD148*HVE148*HVF148</f>
        <v>#DIV/0!</v>
      </c>
      <c r="HVH148" s="367" t="s">
        <v>206</v>
      </c>
      <c r="HVI148" s="367"/>
      <c r="HVJ148" s="367"/>
      <c r="HVK148" s="368" t="s">
        <v>168</v>
      </c>
      <c r="HVL148" s="369">
        <v>0.5</v>
      </c>
      <c r="HVM148" s="370" t="e">
        <f>10/HVI146</f>
        <v>#DIV/0!</v>
      </c>
      <c r="HVN148" s="371">
        <v>15.38</v>
      </c>
      <c r="HVO148" s="371" t="e">
        <f>HVL148*HVM148*HVN148</f>
        <v>#DIV/0!</v>
      </c>
      <c r="HVP148" s="367" t="s">
        <v>206</v>
      </c>
      <c r="HVQ148" s="367"/>
      <c r="HVR148" s="367"/>
      <c r="HVS148" s="368" t="s">
        <v>168</v>
      </c>
      <c r="HVT148" s="369">
        <v>0.5</v>
      </c>
      <c r="HVU148" s="370" t="e">
        <f>10/HVQ146</f>
        <v>#DIV/0!</v>
      </c>
      <c r="HVV148" s="371">
        <v>15.38</v>
      </c>
      <c r="HVW148" s="371" t="e">
        <f>HVT148*HVU148*HVV148</f>
        <v>#DIV/0!</v>
      </c>
      <c r="HVX148" s="367" t="s">
        <v>206</v>
      </c>
      <c r="HVY148" s="367"/>
      <c r="HVZ148" s="367"/>
      <c r="HWA148" s="368" t="s">
        <v>168</v>
      </c>
      <c r="HWB148" s="369">
        <v>0.5</v>
      </c>
      <c r="HWC148" s="370" t="e">
        <f>10/HVY146</f>
        <v>#DIV/0!</v>
      </c>
      <c r="HWD148" s="371">
        <v>15.38</v>
      </c>
      <c r="HWE148" s="371" t="e">
        <f>HWB148*HWC148*HWD148</f>
        <v>#DIV/0!</v>
      </c>
      <c r="HWF148" s="367" t="s">
        <v>206</v>
      </c>
      <c r="HWG148" s="367"/>
      <c r="HWH148" s="367"/>
      <c r="HWI148" s="368" t="s">
        <v>168</v>
      </c>
      <c r="HWJ148" s="369">
        <v>0.5</v>
      </c>
      <c r="HWK148" s="370" t="e">
        <f>10/HWG146</f>
        <v>#DIV/0!</v>
      </c>
      <c r="HWL148" s="371">
        <v>15.38</v>
      </c>
      <c r="HWM148" s="371" t="e">
        <f>HWJ148*HWK148*HWL148</f>
        <v>#DIV/0!</v>
      </c>
      <c r="HWN148" s="367" t="s">
        <v>206</v>
      </c>
      <c r="HWO148" s="367"/>
      <c r="HWP148" s="367"/>
      <c r="HWQ148" s="368" t="s">
        <v>168</v>
      </c>
      <c r="HWR148" s="369">
        <v>0.5</v>
      </c>
      <c r="HWS148" s="370" t="e">
        <f>10/HWO146</f>
        <v>#DIV/0!</v>
      </c>
      <c r="HWT148" s="371">
        <v>15.38</v>
      </c>
      <c r="HWU148" s="371" t="e">
        <f>HWR148*HWS148*HWT148</f>
        <v>#DIV/0!</v>
      </c>
      <c r="HWV148" s="367" t="s">
        <v>206</v>
      </c>
      <c r="HWW148" s="367"/>
      <c r="HWX148" s="367"/>
      <c r="HWY148" s="368" t="s">
        <v>168</v>
      </c>
      <c r="HWZ148" s="369">
        <v>0.5</v>
      </c>
      <c r="HXA148" s="370" t="e">
        <f>10/HWW146</f>
        <v>#DIV/0!</v>
      </c>
      <c r="HXB148" s="371">
        <v>15.38</v>
      </c>
      <c r="HXC148" s="371" t="e">
        <f>HWZ148*HXA148*HXB148</f>
        <v>#DIV/0!</v>
      </c>
      <c r="HXD148" s="367" t="s">
        <v>206</v>
      </c>
      <c r="HXE148" s="367"/>
      <c r="HXF148" s="367"/>
      <c r="HXG148" s="368" t="s">
        <v>168</v>
      </c>
      <c r="HXH148" s="369">
        <v>0.5</v>
      </c>
      <c r="HXI148" s="370" t="e">
        <f>10/HXE146</f>
        <v>#DIV/0!</v>
      </c>
      <c r="HXJ148" s="371">
        <v>15.38</v>
      </c>
      <c r="HXK148" s="371" t="e">
        <f>HXH148*HXI148*HXJ148</f>
        <v>#DIV/0!</v>
      </c>
      <c r="HXL148" s="367" t="s">
        <v>206</v>
      </c>
      <c r="HXM148" s="367"/>
      <c r="HXN148" s="367"/>
      <c r="HXO148" s="368" t="s">
        <v>168</v>
      </c>
      <c r="HXP148" s="369">
        <v>0.5</v>
      </c>
      <c r="HXQ148" s="370" t="e">
        <f>10/HXM146</f>
        <v>#DIV/0!</v>
      </c>
      <c r="HXR148" s="371">
        <v>15.38</v>
      </c>
      <c r="HXS148" s="371" t="e">
        <f>HXP148*HXQ148*HXR148</f>
        <v>#DIV/0!</v>
      </c>
      <c r="HXT148" s="367" t="s">
        <v>206</v>
      </c>
      <c r="HXU148" s="367"/>
      <c r="HXV148" s="367"/>
      <c r="HXW148" s="368" t="s">
        <v>168</v>
      </c>
      <c r="HXX148" s="369">
        <v>0.5</v>
      </c>
      <c r="HXY148" s="370" t="e">
        <f>10/HXU146</f>
        <v>#DIV/0!</v>
      </c>
      <c r="HXZ148" s="371">
        <v>15.38</v>
      </c>
      <c r="HYA148" s="371" t="e">
        <f>HXX148*HXY148*HXZ148</f>
        <v>#DIV/0!</v>
      </c>
      <c r="HYB148" s="367" t="s">
        <v>206</v>
      </c>
      <c r="HYC148" s="367"/>
      <c r="HYD148" s="367"/>
      <c r="HYE148" s="368" t="s">
        <v>168</v>
      </c>
      <c r="HYF148" s="369">
        <v>0.5</v>
      </c>
      <c r="HYG148" s="370" t="e">
        <f>10/HYC146</f>
        <v>#DIV/0!</v>
      </c>
      <c r="HYH148" s="371">
        <v>15.38</v>
      </c>
      <c r="HYI148" s="371" t="e">
        <f>HYF148*HYG148*HYH148</f>
        <v>#DIV/0!</v>
      </c>
      <c r="HYJ148" s="367" t="s">
        <v>206</v>
      </c>
      <c r="HYK148" s="367"/>
      <c r="HYL148" s="367"/>
      <c r="HYM148" s="368" t="s">
        <v>168</v>
      </c>
      <c r="HYN148" s="369">
        <v>0.5</v>
      </c>
      <c r="HYO148" s="370" t="e">
        <f>10/HYK146</f>
        <v>#DIV/0!</v>
      </c>
      <c r="HYP148" s="371">
        <v>15.38</v>
      </c>
      <c r="HYQ148" s="371" t="e">
        <f>HYN148*HYO148*HYP148</f>
        <v>#DIV/0!</v>
      </c>
      <c r="HYR148" s="367" t="s">
        <v>206</v>
      </c>
      <c r="HYS148" s="367"/>
      <c r="HYT148" s="367"/>
      <c r="HYU148" s="368" t="s">
        <v>168</v>
      </c>
      <c r="HYV148" s="369">
        <v>0.5</v>
      </c>
      <c r="HYW148" s="370" t="e">
        <f>10/HYS146</f>
        <v>#DIV/0!</v>
      </c>
      <c r="HYX148" s="371">
        <v>15.38</v>
      </c>
      <c r="HYY148" s="371" t="e">
        <f>HYV148*HYW148*HYX148</f>
        <v>#DIV/0!</v>
      </c>
      <c r="HYZ148" s="367" t="s">
        <v>206</v>
      </c>
      <c r="HZA148" s="367"/>
      <c r="HZB148" s="367"/>
      <c r="HZC148" s="368" t="s">
        <v>168</v>
      </c>
      <c r="HZD148" s="369">
        <v>0.5</v>
      </c>
      <c r="HZE148" s="370" t="e">
        <f>10/HZA146</f>
        <v>#DIV/0!</v>
      </c>
      <c r="HZF148" s="371">
        <v>15.38</v>
      </c>
      <c r="HZG148" s="371" t="e">
        <f>HZD148*HZE148*HZF148</f>
        <v>#DIV/0!</v>
      </c>
      <c r="HZH148" s="367" t="s">
        <v>206</v>
      </c>
      <c r="HZI148" s="367"/>
      <c r="HZJ148" s="367"/>
      <c r="HZK148" s="368" t="s">
        <v>168</v>
      </c>
      <c r="HZL148" s="369">
        <v>0.5</v>
      </c>
      <c r="HZM148" s="370" t="e">
        <f>10/HZI146</f>
        <v>#DIV/0!</v>
      </c>
      <c r="HZN148" s="371">
        <v>15.38</v>
      </c>
      <c r="HZO148" s="371" t="e">
        <f>HZL148*HZM148*HZN148</f>
        <v>#DIV/0!</v>
      </c>
      <c r="HZP148" s="367" t="s">
        <v>206</v>
      </c>
      <c r="HZQ148" s="367"/>
      <c r="HZR148" s="367"/>
      <c r="HZS148" s="368" t="s">
        <v>168</v>
      </c>
      <c r="HZT148" s="369">
        <v>0.5</v>
      </c>
      <c r="HZU148" s="370" t="e">
        <f>10/HZQ146</f>
        <v>#DIV/0!</v>
      </c>
      <c r="HZV148" s="371">
        <v>15.38</v>
      </c>
      <c r="HZW148" s="371" t="e">
        <f>HZT148*HZU148*HZV148</f>
        <v>#DIV/0!</v>
      </c>
      <c r="HZX148" s="367" t="s">
        <v>206</v>
      </c>
      <c r="HZY148" s="367"/>
      <c r="HZZ148" s="367"/>
      <c r="IAA148" s="368" t="s">
        <v>168</v>
      </c>
      <c r="IAB148" s="369">
        <v>0.5</v>
      </c>
      <c r="IAC148" s="370" t="e">
        <f>10/HZY146</f>
        <v>#DIV/0!</v>
      </c>
      <c r="IAD148" s="371">
        <v>15.38</v>
      </c>
      <c r="IAE148" s="371" t="e">
        <f>IAB148*IAC148*IAD148</f>
        <v>#DIV/0!</v>
      </c>
      <c r="IAF148" s="367" t="s">
        <v>206</v>
      </c>
      <c r="IAG148" s="367"/>
      <c r="IAH148" s="367"/>
      <c r="IAI148" s="368" t="s">
        <v>168</v>
      </c>
      <c r="IAJ148" s="369">
        <v>0.5</v>
      </c>
      <c r="IAK148" s="370" t="e">
        <f>10/IAG146</f>
        <v>#DIV/0!</v>
      </c>
      <c r="IAL148" s="371">
        <v>15.38</v>
      </c>
      <c r="IAM148" s="371" t="e">
        <f>IAJ148*IAK148*IAL148</f>
        <v>#DIV/0!</v>
      </c>
      <c r="IAN148" s="367" t="s">
        <v>206</v>
      </c>
      <c r="IAO148" s="367"/>
      <c r="IAP148" s="367"/>
      <c r="IAQ148" s="368" t="s">
        <v>168</v>
      </c>
      <c r="IAR148" s="369">
        <v>0.5</v>
      </c>
      <c r="IAS148" s="370" t="e">
        <f>10/IAO146</f>
        <v>#DIV/0!</v>
      </c>
      <c r="IAT148" s="371">
        <v>15.38</v>
      </c>
      <c r="IAU148" s="371" t="e">
        <f>IAR148*IAS148*IAT148</f>
        <v>#DIV/0!</v>
      </c>
      <c r="IAV148" s="367" t="s">
        <v>206</v>
      </c>
      <c r="IAW148" s="367"/>
      <c r="IAX148" s="367"/>
      <c r="IAY148" s="368" t="s">
        <v>168</v>
      </c>
      <c r="IAZ148" s="369">
        <v>0.5</v>
      </c>
      <c r="IBA148" s="370" t="e">
        <f>10/IAW146</f>
        <v>#DIV/0!</v>
      </c>
      <c r="IBB148" s="371">
        <v>15.38</v>
      </c>
      <c r="IBC148" s="371" t="e">
        <f>IAZ148*IBA148*IBB148</f>
        <v>#DIV/0!</v>
      </c>
      <c r="IBD148" s="367" t="s">
        <v>206</v>
      </c>
      <c r="IBE148" s="367"/>
      <c r="IBF148" s="367"/>
      <c r="IBG148" s="368" t="s">
        <v>168</v>
      </c>
      <c r="IBH148" s="369">
        <v>0.5</v>
      </c>
      <c r="IBI148" s="370" t="e">
        <f>10/IBE146</f>
        <v>#DIV/0!</v>
      </c>
      <c r="IBJ148" s="371">
        <v>15.38</v>
      </c>
      <c r="IBK148" s="371" t="e">
        <f>IBH148*IBI148*IBJ148</f>
        <v>#DIV/0!</v>
      </c>
      <c r="IBL148" s="367" t="s">
        <v>206</v>
      </c>
      <c r="IBM148" s="367"/>
      <c r="IBN148" s="367"/>
      <c r="IBO148" s="368" t="s">
        <v>168</v>
      </c>
      <c r="IBP148" s="369">
        <v>0.5</v>
      </c>
      <c r="IBQ148" s="370" t="e">
        <f>10/IBM146</f>
        <v>#DIV/0!</v>
      </c>
      <c r="IBR148" s="371">
        <v>15.38</v>
      </c>
      <c r="IBS148" s="371" t="e">
        <f>IBP148*IBQ148*IBR148</f>
        <v>#DIV/0!</v>
      </c>
      <c r="IBT148" s="367" t="s">
        <v>206</v>
      </c>
      <c r="IBU148" s="367"/>
      <c r="IBV148" s="367"/>
      <c r="IBW148" s="368" t="s">
        <v>168</v>
      </c>
      <c r="IBX148" s="369">
        <v>0.5</v>
      </c>
      <c r="IBY148" s="370" t="e">
        <f>10/IBU146</f>
        <v>#DIV/0!</v>
      </c>
      <c r="IBZ148" s="371">
        <v>15.38</v>
      </c>
      <c r="ICA148" s="371" t="e">
        <f>IBX148*IBY148*IBZ148</f>
        <v>#DIV/0!</v>
      </c>
      <c r="ICB148" s="367" t="s">
        <v>206</v>
      </c>
      <c r="ICC148" s="367"/>
      <c r="ICD148" s="367"/>
      <c r="ICE148" s="368" t="s">
        <v>168</v>
      </c>
      <c r="ICF148" s="369">
        <v>0.5</v>
      </c>
      <c r="ICG148" s="370" t="e">
        <f>10/ICC146</f>
        <v>#DIV/0!</v>
      </c>
      <c r="ICH148" s="371">
        <v>15.38</v>
      </c>
      <c r="ICI148" s="371" t="e">
        <f>ICF148*ICG148*ICH148</f>
        <v>#DIV/0!</v>
      </c>
      <c r="ICJ148" s="367" t="s">
        <v>206</v>
      </c>
      <c r="ICK148" s="367"/>
      <c r="ICL148" s="367"/>
      <c r="ICM148" s="368" t="s">
        <v>168</v>
      </c>
      <c r="ICN148" s="369">
        <v>0.5</v>
      </c>
      <c r="ICO148" s="370" t="e">
        <f>10/ICK146</f>
        <v>#DIV/0!</v>
      </c>
      <c r="ICP148" s="371">
        <v>15.38</v>
      </c>
      <c r="ICQ148" s="371" t="e">
        <f>ICN148*ICO148*ICP148</f>
        <v>#DIV/0!</v>
      </c>
      <c r="ICR148" s="367" t="s">
        <v>206</v>
      </c>
      <c r="ICS148" s="367"/>
      <c r="ICT148" s="367"/>
      <c r="ICU148" s="368" t="s">
        <v>168</v>
      </c>
      <c r="ICV148" s="369">
        <v>0.5</v>
      </c>
      <c r="ICW148" s="370" t="e">
        <f>10/ICS146</f>
        <v>#DIV/0!</v>
      </c>
      <c r="ICX148" s="371">
        <v>15.38</v>
      </c>
      <c r="ICY148" s="371" t="e">
        <f>ICV148*ICW148*ICX148</f>
        <v>#DIV/0!</v>
      </c>
      <c r="ICZ148" s="367" t="s">
        <v>206</v>
      </c>
      <c r="IDA148" s="367"/>
      <c r="IDB148" s="367"/>
      <c r="IDC148" s="368" t="s">
        <v>168</v>
      </c>
      <c r="IDD148" s="369">
        <v>0.5</v>
      </c>
      <c r="IDE148" s="370" t="e">
        <f>10/IDA146</f>
        <v>#DIV/0!</v>
      </c>
      <c r="IDF148" s="371">
        <v>15.38</v>
      </c>
      <c r="IDG148" s="371" t="e">
        <f>IDD148*IDE148*IDF148</f>
        <v>#DIV/0!</v>
      </c>
      <c r="IDH148" s="367" t="s">
        <v>206</v>
      </c>
      <c r="IDI148" s="367"/>
      <c r="IDJ148" s="367"/>
      <c r="IDK148" s="368" t="s">
        <v>168</v>
      </c>
      <c r="IDL148" s="369">
        <v>0.5</v>
      </c>
      <c r="IDM148" s="370" t="e">
        <f>10/IDI146</f>
        <v>#DIV/0!</v>
      </c>
      <c r="IDN148" s="371">
        <v>15.38</v>
      </c>
      <c r="IDO148" s="371" t="e">
        <f>IDL148*IDM148*IDN148</f>
        <v>#DIV/0!</v>
      </c>
      <c r="IDP148" s="367" t="s">
        <v>206</v>
      </c>
      <c r="IDQ148" s="367"/>
      <c r="IDR148" s="367"/>
      <c r="IDS148" s="368" t="s">
        <v>168</v>
      </c>
      <c r="IDT148" s="369">
        <v>0.5</v>
      </c>
      <c r="IDU148" s="370" t="e">
        <f>10/IDQ146</f>
        <v>#DIV/0!</v>
      </c>
      <c r="IDV148" s="371">
        <v>15.38</v>
      </c>
      <c r="IDW148" s="371" t="e">
        <f>IDT148*IDU148*IDV148</f>
        <v>#DIV/0!</v>
      </c>
      <c r="IDX148" s="367" t="s">
        <v>206</v>
      </c>
      <c r="IDY148" s="367"/>
      <c r="IDZ148" s="367"/>
      <c r="IEA148" s="368" t="s">
        <v>168</v>
      </c>
      <c r="IEB148" s="369">
        <v>0.5</v>
      </c>
      <c r="IEC148" s="370" t="e">
        <f>10/IDY146</f>
        <v>#DIV/0!</v>
      </c>
      <c r="IED148" s="371">
        <v>15.38</v>
      </c>
      <c r="IEE148" s="371" t="e">
        <f>IEB148*IEC148*IED148</f>
        <v>#DIV/0!</v>
      </c>
      <c r="IEF148" s="367" t="s">
        <v>206</v>
      </c>
      <c r="IEG148" s="367"/>
      <c r="IEH148" s="367"/>
      <c r="IEI148" s="368" t="s">
        <v>168</v>
      </c>
      <c r="IEJ148" s="369">
        <v>0.5</v>
      </c>
      <c r="IEK148" s="370" t="e">
        <f>10/IEG146</f>
        <v>#DIV/0!</v>
      </c>
      <c r="IEL148" s="371">
        <v>15.38</v>
      </c>
      <c r="IEM148" s="371" t="e">
        <f>IEJ148*IEK148*IEL148</f>
        <v>#DIV/0!</v>
      </c>
      <c r="IEN148" s="367" t="s">
        <v>206</v>
      </c>
      <c r="IEO148" s="367"/>
      <c r="IEP148" s="367"/>
      <c r="IEQ148" s="368" t="s">
        <v>168</v>
      </c>
      <c r="IER148" s="369">
        <v>0.5</v>
      </c>
      <c r="IES148" s="370" t="e">
        <f>10/IEO146</f>
        <v>#DIV/0!</v>
      </c>
      <c r="IET148" s="371">
        <v>15.38</v>
      </c>
      <c r="IEU148" s="371" t="e">
        <f>IER148*IES148*IET148</f>
        <v>#DIV/0!</v>
      </c>
      <c r="IEV148" s="367" t="s">
        <v>206</v>
      </c>
      <c r="IEW148" s="367"/>
      <c r="IEX148" s="367"/>
      <c r="IEY148" s="368" t="s">
        <v>168</v>
      </c>
      <c r="IEZ148" s="369">
        <v>0.5</v>
      </c>
      <c r="IFA148" s="370" t="e">
        <f>10/IEW146</f>
        <v>#DIV/0!</v>
      </c>
      <c r="IFB148" s="371">
        <v>15.38</v>
      </c>
      <c r="IFC148" s="371" t="e">
        <f>IEZ148*IFA148*IFB148</f>
        <v>#DIV/0!</v>
      </c>
      <c r="IFD148" s="367" t="s">
        <v>206</v>
      </c>
      <c r="IFE148" s="367"/>
      <c r="IFF148" s="367"/>
      <c r="IFG148" s="368" t="s">
        <v>168</v>
      </c>
      <c r="IFH148" s="369">
        <v>0.5</v>
      </c>
      <c r="IFI148" s="370" t="e">
        <f>10/IFE146</f>
        <v>#DIV/0!</v>
      </c>
      <c r="IFJ148" s="371">
        <v>15.38</v>
      </c>
      <c r="IFK148" s="371" t="e">
        <f>IFH148*IFI148*IFJ148</f>
        <v>#DIV/0!</v>
      </c>
      <c r="IFL148" s="367" t="s">
        <v>206</v>
      </c>
      <c r="IFM148" s="367"/>
      <c r="IFN148" s="367"/>
      <c r="IFO148" s="368" t="s">
        <v>168</v>
      </c>
      <c r="IFP148" s="369">
        <v>0.5</v>
      </c>
      <c r="IFQ148" s="370" t="e">
        <f>10/IFM146</f>
        <v>#DIV/0!</v>
      </c>
      <c r="IFR148" s="371">
        <v>15.38</v>
      </c>
      <c r="IFS148" s="371" t="e">
        <f>IFP148*IFQ148*IFR148</f>
        <v>#DIV/0!</v>
      </c>
      <c r="IFT148" s="367" t="s">
        <v>206</v>
      </c>
      <c r="IFU148" s="367"/>
      <c r="IFV148" s="367"/>
      <c r="IFW148" s="368" t="s">
        <v>168</v>
      </c>
      <c r="IFX148" s="369">
        <v>0.5</v>
      </c>
      <c r="IFY148" s="370" t="e">
        <f>10/IFU146</f>
        <v>#DIV/0!</v>
      </c>
      <c r="IFZ148" s="371">
        <v>15.38</v>
      </c>
      <c r="IGA148" s="371" t="e">
        <f>IFX148*IFY148*IFZ148</f>
        <v>#DIV/0!</v>
      </c>
      <c r="IGB148" s="367" t="s">
        <v>206</v>
      </c>
      <c r="IGC148" s="367"/>
      <c r="IGD148" s="367"/>
      <c r="IGE148" s="368" t="s">
        <v>168</v>
      </c>
      <c r="IGF148" s="369">
        <v>0.5</v>
      </c>
      <c r="IGG148" s="370" t="e">
        <f>10/IGC146</f>
        <v>#DIV/0!</v>
      </c>
      <c r="IGH148" s="371">
        <v>15.38</v>
      </c>
      <c r="IGI148" s="371" t="e">
        <f>IGF148*IGG148*IGH148</f>
        <v>#DIV/0!</v>
      </c>
      <c r="IGJ148" s="367" t="s">
        <v>206</v>
      </c>
      <c r="IGK148" s="367"/>
      <c r="IGL148" s="367"/>
      <c r="IGM148" s="368" t="s">
        <v>168</v>
      </c>
      <c r="IGN148" s="369">
        <v>0.5</v>
      </c>
      <c r="IGO148" s="370" t="e">
        <f>10/IGK146</f>
        <v>#DIV/0!</v>
      </c>
      <c r="IGP148" s="371">
        <v>15.38</v>
      </c>
      <c r="IGQ148" s="371" t="e">
        <f>IGN148*IGO148*IGP148</f>
        <v>#DIV/0!</v>
      </c>
      <c r="IGR148" s="367" t="s">
        <v>206</v>
      </c>
      <c r="IGS148" s="367"/>
      <c r="IGT148" s="367"/>
      <c r="IGU148" s="368" t="s">
        <v>168</v>
      </c>
      <c r="IGV148" s="369">
        <v>0.5</v>
      </c>
      <c r="IGW148" s="370" t="e">
        <f>10/IGS146</f>
        <v>#DIV/0!</v>
      </c>
      <c r="IGX148" s="371">
        <v>15.38</v>
      </c>
      <c r="IGY148" s="371" t="e">
        <f>IGV148*IGW148*IGX148</f>
        <v>#DIV/0!</v>
      </c>
      <c r="IGZ148" s="367" t="s">
        <v>206</v>
      </c>
      <c r="IHA148" s="367"/>
      <c r="IHB148" s="367"/>
      <c r="IHC148" s="368" t="s">
        <v>168</v>
      </c>
      <c r="IHD148" s="369">
        <v>0.5</v>
      </c>
      <c r="IHE148" s="370" t="e">
        <f>10/IHA146</f>
        <v>#DIV/0!</v>
      </c>
      <c r="IHF148" s="371">
        <v>15.38</v>
      </c>
      <c r="IHG148" s="371" t="e">
        <f>IHD148*IHE148*IHF148</f>
        <v>#DIV/0!</v>
      </c>
      <c r="IHH148" s="367" t="s">
        <v>206</v>
      </c>
      <c r="IHI148" s="367"/>
      <c r="IHJ148" s="367"/>
      <c r="IHK148" s="368" t="s">
        <v>168</v>
      </c>
      <c r="IHL148" s="369">
        <v>0.5</v>
      </c>
      <c r="IHM148" s="370" t="e">
        <f>10/IHI146</f>
        <v>#DIV/0!</v>
      </c>
      <c r="IHN148" s="371">
        <v>15.38</v>
      </c>
      <c r="IHO148" s="371" t="e">
        <f>IHL148*IHM148*IHN148</f>
        <v>#DIV/0!</v>
      </c>
      <c r="IHP148" s="367" t="s">
        <v>206</v>
      </c>
      <c r="IHQ148" s="367"/>
      <c r="IHR148" s="367"/>
      <c r="IHS148" s="368" t="s">
        <v>168</v>
      </c>
      <c r="IHT148" s="369">
        <v>0.5</v>
      </c>
      <c r="IHU148" s="370" t="e">
        <f>10/IHQ146</f>
        <v>#DIV/0!</v>
      </c>
      <c r="IHV148" s="371">
        <v>15.38</v>
      </c>
      <c r="IHW148" s="371" t="e">
        <f>IHT148*IHU148*IHV148</f>
        <v>#DIV/0!</v>
      </c>
      <c r="IHX148" s="367" t="s">
        <v>206</v>
      </c>
      <c r="IHY148" s="367"/>
      <c r="IHZ148" s="367"/>
      <c r="IIA148" s="368" t="s">
        <v>168</v>
      </c>
      <c r="IIB148" s="369">
        <v>0.5</v>
      </c>
      <c r="IIC148" s="370" t="e">
        <f>10/IHY146</f>
        <v>#DIV/0!</v>
      </c>
      <c r="IID148" s="371">
        <v>15.38</v>
      </c>
      <c r="IIE148" s="371" t="e">
        <f>IIB148*IIC148*IID148</f>
        <v>#DIV/0!</v>
      </c>
      <c r="IIF148" s="367" t="s">
        <v>206</v>
      </c>
      <c r="IIG148" s="367"/>
      <c r="IIH148" s="367"/>
      <c r="III148" s="368" t="s">
        <v>168</v>
      </c>
      <c r="IIJ148" s="369">
        <v>0.5</v>
      </c>
      <c r="IIK148" s="370" t="e">
        <f>10/IIG146</f>
        <v>#DIV/0!</v>
      </c>
      <c r="IIL148" s="371">
        <v>15.38</v>
      </c>
      <c r="IIM148" s="371" t="e">
        <f>IIJ148*IIK148*IIL148</f>
        <v>#DIV/0!</v>
      </c>
      <c r="IIN148" s="367" t="s">
        <v>206</v>
      </c>
      <c r="IIO148" s="367"/>
      <c r="IIP148" s="367"/>
      <c r="IIQ148" s="368" t="s">
        <v>168</v>
      </c>
      <c r="IIR148" s="369">
        <v>0.5</v>
      </c>
      <c r="IIS148" s="370" t="e">
        <f>10/IIO146</f>
        <v>#DIV/0!</v>
      </c>
      <c r="IIT148" s="371">
        <v>15.38</v>
      </c>
      <c r="IIU148" s="371" t="e">
        <f>IIR148*IIS148*IIT148</f>
        <v>#DIV/0!</v>
      </c>
      <c r="IIV148" s="367" t="s">
        <v>206</v>
      </c>
      <c r="IIW148" s="367"/>
      <c r="IIX148" s="367"/>
      <c r="IIY148" s="368" t="s">
        <v>168</v>
      </c>
      <c r="IIZ148" s="369">
        <v>0.5</v>
      </c>
      <c r="IJA148" s="370" t="e">
        <f>10/IIW146</f>
        <v>#DIV/0!</v>
      </c>
      <c r="IJB148" s="371">
        <v>15.38</v>
      </c>
      <c r="IJC148" s="371" t="e">
        <f>IIZ148*IJA148*IJB148</f>
        <v>#DIV/0!</v>
      </c>
      <c r="IJD148" s="367" t="s">
        <v>206</v>
      </c>
      <c r="IJE148" s="367"/>
      <c r="IJF148" s="367"/>
      <c r="IJG148" s="368" t="s">
        <v>168</v>
      </c>
      <c r="IJH148" s="369">
        <v>0.5</v>
      </c>
      <c r="IJI148" s="370" t="e">
        <f>10/IJE146</f>
        <v>#DIV/0!</v>
      </c>
      <c r="IJJ148" s="371">
        <v>15.38</v>
      </c>
      <c r="IJK148" s="371" t="e">
        <f>IJH148*IJI148*IJJ148</f>
        <v>#DIV/0!</v>
      </c>
      <c r="IJL148" s="367" t="s">
        <v>206</v>
      </c>
      <c r="IJM148" s="367"/>
      <c r="IJN148" s="367"/>
      <c r="IJO148" s="368" t="s">
        <v>168</v>
      </c>
      <c r="IJP148" s="369">
        <v>0.5</v>
      </c>
      <c r="IJQ148" s="370" t="e">
        <f>10/IJM146</f>
        <v>#DIV/0!</v>
      </c>
      <c r="IJR148" s="371">
        <v>15.38</v>
      </c>
      <c r="IJS148" s="371" t="e">
        <f>IJP148*IJQ148*IJR148</f>
        <v>#DIV/0!</v>
      </c>
      <c r="IJT148" s="367" t="s">
        <v>206</v>
      </c>
      <c r="IJU148" s="367"/>
      <c r="IJV148" s="367"/>
      <c r="IJW148" s="368" t="s">
        <v>168</v>
      </c>
      <c r="IJX148" s="369">
        <v>0.5</v>
      </c>
      <c r="IJY148" s="370" t="e">
        <f>10/IJU146</f>
        <v>#DIV/0!</v>
      </c>
      <c r="IJZ148" s="371">
        <v>15.38</v>
      </c>
      <c r="IKA148" s="371" t="e">
        <f>IJX148*IJY148*IJZ148</f>
        <v>#DIV/0!</v>
      </c>
      <c r="IKB148" s="367" t="s">
        <v>206</v>
      </c>
      <c r="IKC148" s="367"/>
      <c r="IKD148" s="367"/>
      <c r="IKE148" s="368" t="s">
        <v>168</v>
      </c>
      <c r="IKF148" s="369">
        <v>0.5</v>
      </c>
      <c r="IKG148" s="370" t="e">
        <f>10/IKC146</f>
        <v>#DIV/0!</v>
      </c>
      <c r="IKH148" s="371">
        <v>15.38</v>
      </c>
      <c r="IKI148" s="371" t="e">
        <f>IKF148*IKG148*IKH148</f>
        <v>#DIV/0!</v>
      </c>
      <c r="IKJ148" s="367" t="s">
        <v>206</v>
      </c>
      <c r="IKK148" s="367"/>
      <c r="IKL148" s="367"/>
      <c r="IKM148" s="368" t="s">
        <v>168</v>
      </c>
      <c r="IKN148" s="369">
        <v>0.5</v>
      </c>
      <c r="IKO148" s="370" t="e">
        <f>10/IKK146</f>
        <v>#DIV/0!</v>
      </c>
      <c r="IKP148" s="371">
        <v>15.38</v>
      </c>
      <c r="IKQ148" s="371" t="e">
        <f>IKN148*IKO148*IKP148</f>
        <v>#DIV/0!</v>
      </c>
      <c r="IKR148" s="367" t="s">
        <v>206</v>
      </c>
      <c r="IKS148" s="367"/>
      <c r="IKT148" s="367"/>
      <c r="IKU148" s="368" t="s">
        <v>168</v>
      </c>
      <c r="IKV148" s="369">
        <v>0.5</v>
      </c>
      <c r="IKW148" s="370" t="e">
        <f>10/IKS146</f>
        <v>#DIV/0!</v>
      </c>
      <c r="IKX148" s="371">
        <v>15.38</v>
      </c>
      <c r="IKY148" s="371" t="e">
        <f>IKV148*IKW148*IKX148</f>
        <v>#DIV/0!</v>
      </c>
      <c r="IKZ148" s="367" t="s">
        <v>206</v>
      </c>
      <c r="ILA148" s="367"/>
      <c r="ILB148" s="367"/>
      <c r="ILC148" s="368" t="s">
        <v>168</v>
      </c>
      <c r="ILD148" s="369">
        <v>0.5</v>
      </c>
      <c r="ILE148" s="370" t="e">
        <f>10/ILA146</f>
        <v>#DIV/0!</v>
      </c>
      <c r="ILF148" s="371">
        <v>15.38</v>
      </c>
      <c r="ILG148" s="371" t="e">
        <f>ILD148*ILE148*ILF148</f>
        <v>#DIV/0!</v>
      </c>
      <c r="ILH148" s="367" t="s">
        <v>206</v>
      </c>
      <c r="ILI148" s="367"/>
      <c r="ILJ148" s="367"/>
      <c r="ILK148" s="368" t="s">
        <v>168</v>
      </c>
      <c r="ILL148" s="369">
        <v>0.5</v>
      </c>
      <c r="ILM148" s="370" t="e">
        <f>10/ILI146</f>
        <v>#DIV/0!</v>
      </c>
      <c r="ILN148" s="371">
        <v>15.38</v>
      </c>
      <c r="ILO148" s="371" t="e">
        <f>ILL148*ILM148*ILN148</f>
        <v>#DIV/0!</v>
      </c>
      <c r="ILP148" s="367" t="s">
        <v>206</v>
      </c>
      <c r="ILQ148" s="367"/>
      <c r="ILR148" s="367"/>
      <c r="ILS148" s="368" t="s">
        <v>168</v>
      </c>
      <c r="ILT148" s="369">
        <v>0.5</v>
      </c>
      <c r="ILU148" s="370" t="e">
        <f>10/ILQ146</f>
        <v>#DIV/0!</v>
      </c>
      <c r="ILV148" s="371">
        <v>15.38</v>
      </c>
      <c r="ILW148" s="371" t="e">
        <f>ILT148*ILU148*ILV148</f>
        <v>#DIV/0!</v>
      </c>
      <c r="ILX148" s="367" t="s">
        <v>206</v>
      </c>
      <c r="ILY148" s="367"/>
      <c r="ILZ148" s="367"/>
      <c r="IMA148" s="368" t="s">
        <v>168</v>
      </c>
      <c r="IMB148" s="369">
        <v>0.5</v>
      </c>
      <c r="IMC148" s="370" t="e">
        <f>10/ILY146</f>
        <v>#DIV/0!</v>
      </c>
      <c r="IMD148" s="371">
        <v>15.38</v>
      </c>
      <c r="IME148" s="371" t="e">
        <f>IMB148*IMC148*IMD148</f>
        <v>#DIV/0!</v>
      </c>
      <c r="IMF148" s="367" t="s">
        <v>206</v>
      </c>
      <c r="IMG148" s="367"/>
      <c r="IMH148" s="367"/>
      <c r="IMI148" s="368" t="s">
        <v>168</v>
      </c>
      <c r="IMJ148" s="369">
        <v>0.5</v>
      </c>
      <c r="IMK148" s="370" t="e">
        <f>10/IMG146</f>
        <v>#DIV/0!</v>
      </c>
      <c r="IML148" s="371">
        <v>15.38</v>
      </c>
      <c r="IMM148" s="371" t="e">
        <f>IMJ148*IMK148*IML148</f>
        <v>#DIV/0!</v>
      </c>
      <c r="IMN148" s="367" t="s">
        <v>206</v>
      </c>
      <c r="IMO148" s="367"/>
      <c r="IMP148" s="367"/>
      <c r="IMQ148" s="368" t="s">
        <v>168</v>
      </c>
      <c r="IMR148" s="369">
        <v>0.5</v>
      </c>
      <c r="IMS148" s="370" t="e">
        <f>10/IMO146</f>
        <v>#DIV/0!</v>
      </c>
      <c r="IMT148" s="371">
        <v>15.38</v>
      </c>
      <c r="IMU148" s="371" t="e">
        <f>IMR148*IMS148*IMT148</f>
        <v>#DIV/0!</v>
      </c>
      <c r="IMV148" s="367" t="s">
        <v>206</v>
      </c>
      <c r="IMW148" s="367"/>
      <c r="IMX148" s="367"/>
      <c r="IMY148" s="368" t="s">
        <v>168</v>
      </c>
      <c r="IMZ148" s="369">
        <v>0.5</v>
      </c>
      <c r="INA148" s="370" t="e">
        <f>10/IMW146</f>
        <v>#DIV/0!</v>
      </c>
      <c r="INB148" s="371">
        <v>15.38</v>
      </c>
      <c r="INC148" s="371" t="e">
        <f>IMZ148*INA148*INB148</f>
        <v>#DIV/0!</v>
      </c>
      <c r="IND148" s="367" t="s">
        <v>206</v>
      </c>
      <c r="INE148" s="367"/>
      <c r="INF148" s="367"/>
      <c r="ING148" s="368" t="s">
        <v>168</v>
      </c>
      <c r="INH148" s="369">
        <v>0.5</v>
      </c>
      <c r="INI148" s="370" t="e">
        <f>10/INE146</f>
        <v>#DIV/0!</v>
      </c>
      <c r="INJ148" s="371">
        <v>15.38</v>
      </c>
      <c r="INK148" s="371" t="e">
        <f>INH148*INI148*INJ148</f>
        <v>#DIV/0!</v>
      </c>
      <c r="INL148" s="367" t="s">
        <v>206</v>
      </c>
      <c r="INM148" s="367"/>
      <c r="INN148" s="367"/>
      <c r="INO148" s="368" t="s">
        <v>168</v>
      </c>
      <c r="INP148" s="369">
        <v>0.5</v>
      </c>
      <c r="INQ148" s="370" t="e">
        <f>10/INM146</f>
        <v>#DIV/0!</v>
      </c>
      <c r="INR148" s="371">
        <v>15.38</v>
      </c>
      <c r="INS148" s="371" t="e">
        <f>INP148*INQ148*INR148</f>
        <v>#DIV/0!</v>
      </c>
      <c r="INT148" s="367" t="s">
        <v>206</v>
      </c>
      <c r="INU148" s="367"/>
      <c r="INV148" s="367"/>
      <c r="INW148" s="368" t="s">
        <v>168</v>
      </c>
      <c r="INX148" s="369">
        <v>0.5</v>
      </c>
      <c r="INY148" s="370" t="e">
        <f>10/INU146</f>
        <v>#DIV/0!</v>
      </c>
      <c r="INZ148" s="371">
        <v>15.38</v>
      </c>
      <c r="IOA148" s="371" t="e">
        <f>INX148*INY148*INZ148</f>
        <v>#DIV/0!</v>
      </c>
      <c r="IOB148" s="367" t="s">
        <v>206</v>
      </c>
      <c r="IOC148" s="367"/>
      <c r="IOD148" s="367"/>
      <c r="IOE148" s="368" t="s">
        <v>168</v>
      </c>
      <c r="IOF148" s="369">
        <v>0.5</v>
      </c>
      <c r="IOG148" s="370" t="e">
        <f>10/IOC146</f>
        <v>#DIV/0!</v>
      </c>
      <c r="IOH148" s="371">
        <v>15.38</v>
      </c>
      <c r="IOI148" s="371" t="e">
        <f>IOF148*IOG148*IOH148</f>
        <v>#DIV/0!</v>
      </c>
      <c r="IOJ148" s="367" t="s">
        <v>206</v>
      </c>
      <c r="IOK148" s="367"/>
      <c r="IOL148" s="367"/>
      <c r="IOM148" s="368" t="s">
        <v>168</v>
      </c>
      <c r="ION148" s="369">
        <v>0.5</v>
      </c>
      <c r="IOO148" s="370" t="e">
        <f>10/IOK146</f>
        <v>#DIV/0!</v>
      </c>
      <c r="IOP148" s="371">
        <v>15.38</v>
      </c>
      <c r="IOQ148" s="371" t="e">
        <f>ION148*IOO148*IOP148</f>
        <v>#DIV/0!</v>
      </c>
      <c r="IOR148" s="367" t="s">
        <v>206</v>
      </c>
      <c r="IOS148" s="367"/>
      <c r="IOT148" s="367"/>
      <c r="IOU148" s="368" t="s">
        <v>168</v>
      </c>
      <c r="IOV148" s="369">
        <v>0.5</v>
      </c>
      <c r="IOW148" s="370" t="e">
        <f>10/IOS146</f>
        <v>#DIV/0!</v>
      </c>
      <c r="IOX148" s="371">
        <v>15.38</v>
      </c>
      <c r="IOY148" s="371" t="e">
        <f>IOV148*IOW148*IOX148</f>
        <v>#DIV/0!</v>
      </c>
      <c r="IOZ148" s="367" t="s">
        <v>206</v>
      </c>
      <c r="IPA148" s="367"/>
      <c r="IPB148" s="367"/>
      <c r="IPC148" s="368" t="s">
        <v>168</v>
      </c>
      <c r="IPD148" s="369">
        <v>0.5</v>
      </c>
      <c r="IPE148" s="370" t="e">
        <f>10/IPA146</f>
        <v>#DIV/0!</v>
      </c>
      <c r="IPF148" s="371">
        <v>15.38</v>
      </c>
      <c r="IPG148" s="371" t="e">
        <f>IPD148*IPE148*IPF148</f>
        <v>#DIV/0!</v>
      </c>
      <c r="IPH148" s="367" t="s">
        <v>206</v>
      </c>
      <c r="IPI148" s="367"/>
      <c r="IPJ148" s="367"/>
      <c r="IPK148" s="368" t="s">
        <v>168</v>
      </c>
      <c r="IPL148" s="369">
        <v>0.5</v>
      </c>
      <c r="IPM148" s="370" t="e">
        <f>10/IPI146</f>
        <v>#DIV/0!</v>
      </c>
      <c r="IPN148" s="371">
        <v>15.38</v>
      </c>
      <c r="IPO148" s="371" t="e">
        <f>IPL148*IPM148*IPN148</f>
        <v>#DIV/0!</v>
      </c>
      <c r="IPP148" s="367" t="s">
        <v>206</v>
      </c>
      <c r="IPQ148" s="367"/>
      <c r="IPR148" s="367"/>
      <c r="IPS148" s="368" t="s">
        <v>168</v>
      </c>
      <c r="IPT148" s="369">
        <v>0.5</v>
      </c>
      <c r="IPU148" s="370" t="e">
        <f>10/IPQ146</f>
        <v>#DIV/0!</v>
      </c>
      <c r="IPV148" s="371">
        <v>15.38</v>
      </c>
      <c r="IPW148" s="371" t="e">
        <f>IPT148*IPU148*IPV148</f>
        <v>#DIV/0!</v>
      </c>
      <c r="IPX148" s="367" t="s">
        <v>206</v>
      </c>
      <c r="IPY148" s="367"/>
      <c r="IPZ148" s="367"/>
      <c r="IQA148" s="368" t="s">
        <v>168</v>
      </c>
      <c r="IQB148" s="369">
        <v>0.5</v>
      </c>
      <c r="IQC148" s="370" t="e">
        <f>10/IPY146</f>
        <v>#DIV/0!</v>
      </c>
      <c r="IQD148" s="371">
        <v>15.38</v>
      </c>
      <c r="IQE148" s="371" t="e">
        <f>IQB148*IQC148*IQD148</f>
        <v>#DIV/0!</v>
      </c>
      <c r="IQF148" s="367" t="s">
        <v>206</v>
      </c>
      <c r="IQG148" s="367"/>
      <c r="IQH148" s="367"/>
      <c r="IQI148" s="368" t="s">
        <v>168</v>
      </c>
      <c r="IQJ148" s="369">
        <v>0.5</v>
      </c>
      <c r="IQK148" s="370" t="e">
        <f>10/IQG146</f>
        <v>#DIV/0!</v>
      </c>
      <c r="IQL148" s="371">
        <v>15.38</v>
      </c>
      <c r="IQM148" s="371" t="e">
        <f>IQJ148*IQK148*IQL148</f>
        <v>#DIV/0!</v>
      </c>
      <c r="IQN148" s="367" t="s">
        <v>206</v>
      </c>
      <c r="IQO148" s="367"/>
      <c r="IQP148" s="367"/>
      <c r="IQQ148" s="368" t="s">
        <v>168</v>
      </c>
      <c r="IQR148" s="369">
        <v>0.5</v>
      </c>
      <c r="IQS148" s="370" t="e">
        <f>10/IQO146</f>
        <v>#DIV/0!</v>
      </c>
      <c r="IQT148" s="371">
        <v>15.38</v>
      </c>
      <c r="IQU148" s="371" t="e">
        <f>IQR148*IQS148*IQT148</f>
        <v>#DIV/0!</v>
      </c>
      <c r="IQV148" s="367" t="s">
        <v>206</v>
      </c>
      <c r="IQW148" s="367"/>
      <c r="IQX148" s="367"/>
      <c r="IQY148" s="368" t="s">
        <v>168</v>
      </c>
      <c r="IQZ148" s="369">
        <v>0.5</v>
      </c>
      <c r="IRA148" s="370" t="e">
        <f>10/IQW146</f>
        <v>#DIV/0!</v>
      </c>
      <c r="IRB148" s="371">
        <v>15.38</v>
      </c>
      <c r="IRC148" s="371" t="e">
        <f>IQZ148*IRA148*IRB148</f>
        <v>#DIV/0!</v>
      </c>
      <c r="IRD148" s="367" t="s">
        <v>206</v>
      </c>
      <c r="IRE148" s="367"/>
      <c r="IRF148" s="367"/>
      <c r="IRG148" s="368" t="s">
        <v>168</v>
      </c>
      <c r="IRH148" s="369">
        <v>0.5</v>
      </c>
      <c r="IRI148" s="370" t="e">
        <f>10/IRE146</f>
        <v>#DIV/0!</v>
      </c>
      <c r="IRJ148" s="371">
        <v>15.38</v>
      </c>
      <c r="IRK148" s="371" t="e">
        <f>IRH148*IRI148*IRJ148</f>
        <v>#DIV/0!</v>
      </c>
      <c r="IRL148" s="367" t="s">
        <v>206</v>
      </c>
      <c r="IRM148" s="367"/>
      <c r="IRN148" s="367"/>
      <c r="IRO148" s="368" t="s">
        <v>168</v>
      </c>
      <c r="IRP148" s="369">
        <v>0.5</v>
      </c>
      <c r="IRQ148" s="370" t="e">
        <f>10/IRM146</f>
        <v>#DIV/0!</v>
      </c>
      <c r="IRR148" s="371">
        <v>15.38</v>
      </c>
      <c r="IRS148" s="371" t="e">
        <f>IRP148*IRQ148*IRR148</f>
        <v>#DIV/0!</v>
      </c>
      <c r="IRT148" s="367" t="s">
        <v>206</v>
      </c>
      <c r="IRU148" s="367"/>
      <c r="IRV148" s="367"/>
      <c r="IRW148" s="368" t="s">
        <v>168</v>
      </c>
      <c r="IRX148" s="369">
        <v>0.5</v>
      </c>
      <c r="IRY148" s="370" t="e">
        <f>10/IRU146</f>
        <v>#DIV/0!</v>
      </c>
      <c r="IRZ148" s="371">
        <v>15.38</v>
      </c>
      <c r="ISA148" s="371" t="e">
        <f>IRX148*IRY148*IRZ148</f>
        <v>#DIV/0!</v>
      </c>
      <c r="ISB148" s="367" t="s">
        <v>206</v>
      </c>
      <c r="ISC148" s="367"/>
      <c r="ISD148" s="367"/>
      <c r="ISE148" s="368" t="s">
        <v>168</v>
      </c>
      <c r="ISF148" s="369">
        <v>0.5</v>
      </c>
      <c r="ISG148" s="370" t="e">
        <f>10/ISC146</f>
        <v>#DIV/0!</v>
      </c>
      <c r="ISH148" s="371">
        <v>15.38</v>
      </c>
      <c r="ISI148" s="371" t="e">
        <f>ISF148*ISG148*ISH148</f>
        <v>#DIV/0!</v>
      </c>
      <c r="ISJ148" s="367" t="s">
        <v>206</v>
      </c>
      <c r="ISK148" s="367"/>
      <c r="ISL148" s="367"/>
      <c r="ISM148" s="368" t="s">
        <v>168</v>
      </c>
      <c r="ISN148" s="369">
        <v>0.5</v>
      </c>
      <c r="ISO148" s="370" t="e">
        <f>10/ISK146</f>
        <v>#DIV/0!</v>
      </c>
      <c r="ISP148" s="371">
        <v>15.38</v>
      </c>
      <c r="ISQ148" s="371" t="e">
        <f>ISN148*ISO148*ISP148</f>
        <v>#DIV/0!</v>
      </c>
      <c r="ISR148" s="367" t="s">
        <v>206</v>
      </c>
      <c r="ISS148" s="367"/>
      <c r="IST148" s="367"/>
      <c r="ISU148" s="368" t="s">
        <v>168</v>
      </c>
      <c r="ISV148" s="369">
        <v>0.5</v>
      </c>
      <c r="ISW148" s="370" t="e">
        <f>10/ISS146</f>
        <v>#DIV/0!</v>
      </c>
      <c r="ISX148" s="371">
        <v>15.38</v>
      </c>
      <c r="ISY148" s="371" t="e">
        <f>ISV148*ISW148*ISX148</f>
        <v>#DIV/0!</v>
      </c>
      <c r="ISZ148" s="367" t="s">
        <v>206</v>
      </c>
      <c r="ITA148" s="367"/>
      <c r="ITB148" s="367"/>
      <c r="ITC148" s="368" t="s">
        <v>168</v>
      </c>
      <c r="ITD148" s="369">
        <v>0.5</v>
      </c>
      <c r="ITE148" s="370" t="e">
        <f>10/ITA146</f>
        <v>#DIV/0!</v>
      </c>
      <c r="ITF148" s="371">
        <v>15.38</v>
      </c>
      <c r="ITG148" s="371" t="e">
        <f>ITD148*ITE148*ITF148</f>
        <v>#DIV/0!</v>
      </c>
      <c r="ITH148" s="367" t="s">
        <v>206</v>
      </c>
      <c r="ITI148" s="367"/>
      <c r="ITJ148" s="367"/>
      <c r="ITK148" s="368" t="s">
        <v>168</v>
      </c>
      <c r="ITL148" s="369">
        <v>0.5</v>
      </c>
      <c r="ITM148" s="370" t="e">
        <f>10/ITI146</f>
        <v>#DIV/0!</v>
      </c>
      <c r="ITN148" s="371">
        <v>15.38</v>
      </c>
      <c r="ITO148" s="371" t="e">
        <f>ITL148*ITM148*ITN148</f>
        <v>#DIV/0!</v>
      </c>
      <c r="ITP148" s="367" t="s">
        <v>206</v>
      </c>
      <c r="ITQ148" s="367"/>
      <c r="ITR148" s="367"/>
      <c r="ITS148" s="368" t="s">
        <v>168</v>
      </c>
      <c r="ITT148" s="369">
        <v>0.5</v>
      </c>
      <c r="ITU148" s="370" t="e">
        <f>10/ITQ146</f>
        <v>#DIV/0!</v>
      </c>
      <c r="ITV148" s="371">
        <v>15.38</v>
      </c>
      <c r="ITW148" s="371" t="e">
        <f>ITT148*ITU148*ITV148</f>
        <v>#DIV/0!</v>
      </c>
      <c r="ITX148" s="367" t="s">
        <v>206</v>
      </c>
      <c r="ITY148" s="367"/>
      <c r="ITZ148" s="367"/>
      <c r="IUA148" s="368" t="s">
        <v>168</v>
      </c>
      <c r="IUB148" s="369">
        <v>0.5</v>
      </c>
      <c r="IUC148" s="370" t="e">
        <f>10/ITY146</f>
        <v>#DIV/0!</v>
      </c>
      <c r="IUD148" s="371">
        <v>15.38</v>
      </c>
      <c r="IUE148" s="371" t="e">
        <f>IUB148*IUC148*IUD148</f>
        <v>#DIV/0!</v>
      </c>
      <c r="IUF148" s="367" t="s">
        <v>206</v>
      </c>
      <c r="IUG148" s="367"/>
      <c r="IUH148" s="367"/>
      <c r="IUI148" s="368" t="s">
        <v>168</v>
      </c>
      <c r="IUJ148" s="369">
        <v>0.5</v>
      </c>
      <c r="IUK148" s="370" t="e">
        <f>10/IUG146</f>
        <v>#DIV/0!</v>
      </c>
      <c r="IUL148" s="371">
        <v>15.38</v>
      </c>
      <c r="IUM148" s="371" t="e">
        <f>IUJ148*IUK148*IUL148</f>
        <v>#DIV/0!</v>
      </c>
      <c r="IUN148" s="367" t="s">
        <v>206</v>
      </c>
      <c r="IUO148" s="367"/>
      <c r="IUP148" s="367"/>
      <c r="IUQ148" s="368" t="s">
        <v>168</v>
      </c>
      <c r="IUR148" s="369">
        <v>0.5</v>
      </c>
      <c r="IUS148" s="370" t="e">
        <f>10/IUO146</f>
        <v>#DIV/0!</v>
      </c>
      <c r="IUT148" s="371">
        <v>15.38</v>
      </c>
      <c r="IUU148" s="371" t="e">
        <f>IUR148*IUS148*IUT148</f>
        <v>#DIV/0!</v>
      </c>
      <c r="IUV148" s="367" t="s">
        <v>206</v>
      </c>
      <c r="IUW148" s="367"/>
      <c r="IUX148" s="367"/>
      <c r="IUY148" s="368" t="s">
        <v>168</v>
      </c>
      <c r="IUZ148" s="369">
        <v>0.5</v>
      </c>
      <c r="IVA148" s="370" t="e">
        <f>10/IUW146</f>
        <v>#DIV/0!</v>
      </c>
      <c r="IVB148" s="371">
        <v>15.38</v>
      </c>
      <c r="IVC148" s="371" t="e">
        <f>IUZ148*IVA148*IVB148</f>
        <v>#DIV/0!</v>
      </c>
      <c r="IVD148" s="367" t="s">
        <v>206</v>
      </c>
      <c r="IVE148" s="367"/>
      <c r="IVF148" s="367"/>
      <c r="IVG148" s="368" t="s">
        <v>168</v>
      </c>
      <c r="IVH148" s="369">
        <v>0.5</v>
      </c>
      <c r="IVI148" s="370" t="e">
        <f>10/IVE146</f>
        <v>#DIV/0!</v>
      </c>
      <c r="IVJ148" s="371">
        <v>15.38</v>
      </c>
      <c r="IVK148" s="371" t="e">
        <f>IVH148*IVI148*IVJ148</f>
        <v>#DIV/0!</v>
      </c>
      <c r="IVL148" s="367" t="s">
        <v>206</v>
      </c>
      <c r="IVM148" s="367"/>
      <c r="IVN148" s="367"/>
      <c r="IVO148" s="368" t="s">
        <v>168</v>
      </c>
      <c r="IVP148" s="369">
        <v>0.5</v>
      </c>
      <c r="IVQ148" s="370" t="e">
        <f>10/IVM146</f>
        <v>#DIV/0!</v>
      </c>
      <c r="IVR148" s="371">
        <v>15.38</v>
      </c>
      <c r="IVS148" s="371" t="e">
        <f>IVP148*IVQ148*IVR148</f>
        <v>#DIV/0!</v>
      </c>
      <c r="IVT148" s="367" t="s">
        <v>206</v>
      </c>
      <c r="IVU148" s="367"/>
      <c r="IVV148" s="367"/>
      <c r="IVW148" s="368" t="s">
        <v>168</v>
      </c>
      <c r="IVX148" s="369">
        <v>0.5</v>
      </c>
      <c r="IVY148" s="370" t="e">
        <f>10/IVU146</f>
        <v>#DIV/0!</v>
      </c>
      <c r="IVZ148" s="371">
        <v>15.38</v>
      </c>
      <c r="IWA148" s="371" t="e">
        <f>IVX148*IVY148*IVZ148</f>
        <v>#DIV/0!</v>
      </c>
      <c r="IWB148" s="367" t="s">
        <v>206</v>
      </c>
      <c r="IWC148" s="367"/>
      <c r="IWD148" s="367"/>
      <c r="IWE148" s="368" t="s">
        <v>168</v>
      </c>
      <c r="IWF148" s="369">
        <v>0.5</v>
      </c>
      <c r="IWG148" s="370" t="e">
        <f>10/IWC146</f>
        <v>#DIV/0!</v>
      </c>
      <c r="IWH148" s="371">
        <v>15.38</v>
      </c>
      <c r="IWI148" s="371" t="e">
        <f>IWF148*IWG148*IWH148</f>
        <v>#DIV/0!</v>
      </c>
      <c r="IWJ148" s="367" t="s">
        <v>206</v>
      </c>
      <c r="IWK148" s="367"/>
      <c r="IWL148" s="367"/>
      <c r="IWM148" s="368" t="s">
        <v>168</v>
      </c>
      <c r="IWN148" s="369">
        <v>0.5</v>
      </c>
      <c r="IWO148" s="370" t="e">
        <f>10/IWK146</f>
        <v>#DIV/0!</v>
      </c>
      <c r="IWP148" s="371">
        <v>15.38</v>
      </c>
      <c r="IWQ148" s="371" t="e">
        <f>IWN148*IWO148*IWP148</f>
        <v>#DIV/0!</v>
      </c>
      <c r="IWR148" s="367" t="s">
        <v>206</v>
      </c>
      <c r="IWS148" s="367"/>
      <c r="IWT148" s="367"/>
      <c r="IWU148" s="368" t="s">
        <v>168</v>
      </c>
      <c r="IWV148" s="369">
        <v>0.5</v>
      </c>
      <c r="IWW148" s="370" t="e">
        <f>10/IWS146</f>
        <v>#DIV/0!</v>
      </c>
      <c r="IWX148" s="371">
        <v>15.38</v>
      </c>
      <c r="IWY148" s="371" t="e">
        <f>IWV148*IWW148*IWX148</f>
        <v>#DIV/0!</v>
      </c>
      <c r="IWZ148" s="367" t="s">
        <v>206</v>
      </c>
      <c r="IXA148" s="367"/>
      <c r="IXB148" s="367"/>
      <c r="IXC148" s="368" t="s">
        <v>168</v>
      </c>
      <c r="IXD148" s="369">
        <v>0.5</v>
      </c>
      <c r="IXE148" s="370" t="e">
        <f>10/IXA146</f>
        <v>#DIV/0!</v>
      </c>
      <c r="IXF148" s="371">
        <v>15.38</v>
      </c>
      <c r="IXG148" s="371" t="e">
        <f>IXD148*IXE148*IXF148</f>
        <v>#DIV/0!</v>
      </c>
      <c r="IXH148" s="367" t="s">
        <v>206</v>
      </c>
      <c r="IXI148" s="367"/>
      <c r="IXJ148" s="367"/>
      <c r="IXK148" s="368" t="s">
        <v>168</v>
      </c>
      <c r="IXL148" s="369">
        <v>0.5</v>
      </c>
      <c r="IXM148" s="370" t="e">
        <f>10/IXI146</f>
        <v>#DIV/0!</v>
      </c>
      <c r="IXN148" s="371">
        <v>15.38</v>
      </c>
      <c r="IXO148" s="371" t="e">
        <f>IXL148*IXM148*IXN148</f>
        <v>#DIV/0!</v>
      </c>
      <c r="IXP148" s="367" t="s">
        <v>206</v>
      </c>
      <c r="IXQ148" s="367"/>
      <c r="IXR148" s="367"/>
      <c r="IXS148" s="368" t="s">
        <v>168</v>
      </c>
      <c r="IXT148" s="369">
        <v>0.5</v>
      </c>
      <c r="IXU148" s="370" t="e">
        <f>10/IXQ146</f>
        <v>#DIV/0!</v>
      </c>
      <c r="IXV148" s="371">
        <v>15.38</v>
      </c>
      <c r="IXW148" s="371" t="e">
        <f>IXT148*IXU148*IXV148</f>
        <v>#DIV/0!</v>
      </c>
      <c r="IXX148" s="367" t="s">
        <v>206</v>
      </c>
      <c r="IXY148" s="367"/>
      <c r="IXZ148" s="367"/>
      <c r="IYA148" s="368" t="s">
        <v>168</v>
      </c>
      <c r="IYB148" s="369">
        <v>0.5</v>
      </c>
      <c r="IYC148" s="370" t="e">
        <f>10/IXY146</f>
        <v>#DIV/0!</v>
      </c>
      <c r="IYD148" s="371">
        <v>15.38</v>
      </c>
      <c r="IYE148" s="371" t="e">
        <f>IYB148*IYC148*IYD148</f>
        <v>#DIV/0!</v>
      </c>
      <c r="IYF148" s="367" t="s">
        <v>206</v>
      </c>
      <c r="IYG148" s="367"/>
      <c r="IYH148" s="367"/>
      <c r="IYI148" s="368" t="s">
        <v>168</v>
      </c>
      <c r="IYJ148" s="369">
        <v>0.5</v>
      </c>
      <c r="IYK148" s="370" t="e">
        <f>10/IYG146</f>
        <v>#DIV/0!</v>
      </c>
      <c r="IYL148" s="371">
        <v>15.38</v>
      </c>
      <c r="IYM148" s="371" t="e">
        <f>IYJ148*IYK148*IYL148</f>
        <v>#DIV/0!</v>
      </c>
      <c r="IYN148" s="367" t="s">
        <v>206</v>
      </c>
      <c r="IYO148" s="367"/>
      <c r="IYP148" s="367"/>
      <c r="IYQ148" s="368" t="s">
        <v>168</v>
      </c>
      <c r="IYR148" s="369">
        <v>0.5</v>
      </c>
      <c r="IYS148" s="370" t="e">
        <f>10/IYO146</f>
        <v>#DIV/0!</v>
      </c>
      <c r="IYT148" s="371">
        <v>15.38</v>
      </c>
      <c r="IYU148" s="371" t="e">
        <f>IYR148*IYS148*IYT148</f>
        <v>#DIV/0!</v>
      </c>
      <c r="IYV148" s="367" t="s">
        <v>206</v>
      </c>
      <c r="IYW148" s="367"/>
      <c r="IYX148" s="367"/>
      <c r="IYY148" s="368" t="s">
        <v>168</v>
      </c>
      <c r="IYZ148" s="369">
        <v>0.5</v>
      </c>
      <c r="IZA148" s="370" t="e">
        <f>10/IYW146</f>
        <v>#DIV/0!</v>
      </c>
      <c r="IZB148" s="371">
        <v>15.38</v>
      </c>
      <c r="IZC148" s="371" t="e">
        <f>IYZ148*IZA148*IZB148</f>
        <v>#DIV/0!</v>
      </c>
      <c r="IZD148" s="367" t="s">
        <v>206</v>
      </c>
      <c r="IZE148" s="367"/>
      <c r="IZF148" s="367"/>
      <c r="IZG148" s="368" t="s">
        <v>168</v>
      </c>
      <c r="IZH148" s="369">
        <v>0.5</v>
      </c>
      <c r="IZI148" s="370" t="e">
        <f>10/IZE146</f>
        <v>#DIV/0!</v>
      </c>
      <c r="IZJ148" s="371">
        <v>15.38</v>
      </c>
      <c r="IZK148" s="371" t="e">
        <f>IZH148*IZI148*IZJ148</f>
        <v>#DIV/0!</v>
      </c>
      <c r="IZL148" s="367" t="s">
        <v>206</v>
      </c>
      <c r="IZM148" s="367"/>
      <c r="IZN148" s="367"/>
      <c r="IZO148" s="368" t="s">
        <v>168</v>
      </c>
      <c r="IZP148" s="369">
        <v>0.5</v>
      </c>
      <c r="IZQ148" s="370" t="e">
        <f>10/IZM146</f>
        <v>#DIV/0!</v>
      </c>
      <c r="IZR148" s="371">
        <v>15.38</v>
      </c>
      <c r="IZS148" s="371" t="e">
        <f>IZP148*IZQ148*IZR148</f>
        <v>#DIV/0!</v>
      </c>
      <c r="IZT148" s="367" t="s">
        <v>206</v>
      </c>
      <c r="IZU148" s="367"/>
      <c r="IZV148" s="367"/>
      <c r="IZW148" s="368" t="s">
        <v>168</v>
      </c>
      <c r="IZX148" s="369">
        <v>0.5</v>
      </c>
      <c r="IZY148" s="370" t="e">
        <f>10/IZU146</f>
        <v>#DIV/0!</v>
      </c>
      <c r="IZZ148" s="371">
        <v>15.38</v>
      </c>
      <c r="JAA148" s="371" t="e">
        <f>IZX148*IZY148*IZZ148</f>
        <v>#DIV/0!</v>
      </c>
      <c r="JAB148" s="367" t="s">
        <v>206</v>
      </c>
      <c r="JAC148" s="367"/>
      <c r="JAD148" s="367"/>
      <c r="JAE148" s="368" t="s">
        <v>168</v>
      </c>
      <c r="JAF148" s="369">
        <v>0.5</v>
      </c>
      <c r="JAG148" s="370" t="e">
        <f>10/JAC146</f>
        <v>#DIV/0!</v>
      </c>
      <c r="JAH148" s="371">
        <v>15.38</v>
      </c>
      <c r="JAI148" s="371" t="e">
        <f>JAF148*JAG148*JAH148</f>
        <v>#DIV/0!</v>
      </c>
      <c r="JAJ148" s="367" t="s">
        <v>206</v>
      </c>
      <c r="JAK148" s="367"/>
      <c r="JAL148" s="367"/>
      <c r="JAM148" s="368" t="s">
        <v>168</v>
      </c>
      <c r="JAN148" s="369">
        <v>0.5</v>
      </c>
      <c r="JAO148" s="370" t="e">
        <f>10/JAK146</f>
        <v>#DIV/0!</v>
      </c>
      <c r="JAP148" s="371">
        <v>15.38</v>
      </c>
      <c r="JAQ148" s="371" t="e">
        <f>JAN148*JAO148*JAP148</f>
        <v>#DIV/0!</v>
      </c>
      <c r="JAR148" s="367" t="s">
        <v>206</v>
      </c>
      <c r="JAS148" s="367"/>
      <c r="JAT148" s="367"/>
      <c r="JAU148" s="368" t="s">
        <v>168</v>
      </c>
      <c r="JAV148" s="369">
        <v>0.5</v>
      </c>
      <c r="JAW148" s="370" t="e">
        <f>10/JAS146</f>
        <v>#DIV/0!</v>
      </c>
      <c r="JAX148" s="371">
        <v>15.38</v>
      </c>
      <c r="JAY148" s="371" t="e">
        <f>JAV148*JAW148*JAX148</f>
        <v>#DIV/0!</v>
      </c>
      <c r="JAZ148" s="367" t="s">
        <v>206</v>
      </c>
      <c r="JBA148" s="367"/>
      <c r="JBB148" s="367"/>
      <c r="JBC148" s="368" t="s">
        <v>168</v>
      </c>
      <c r="JBD148" s="369">
        <v>0.5</v>
      </c>
      <c r="JBE148" s="370" t="e">
        <f>10/JBA146</f>
        <v>#DIV/0!</v>
      </c>
      <c r="JBF148" s="371">
        <v>15.38</v>
      </c>
      <c r="JBG148" s="371" t="e">
        <f>JBD148*JBE148*JBF148</f>
        <v>#DIV/0!</v>
      </c>
      <c r="JBH148" s="367" t="s">
        <v>206</v>
      </c>
      <c r="JBI148" s="367"/>
      <c r="JBJ148" s="367"/>
      <c r="JBK148" s="368" t="s">
        <v>168</v>
      </c>
      <c r="JBL148" s="369">
        <v>0.5</v>
      </c>
      <c r="JBM148" s="370" t="e">
        <f>10/JBI146</f>
        <v>#DIV/0!</v>
      </c>
      <c r="JBN148" s="371">
        <v>15.38</v>
      </c>
      <c r="JBO148" s="371" t="e">
        <f>JBL148*JBM148*JBN148</f>
        <v>#DIV/0!</v>
      </c>
      <c r="JBP148" s="367" t="s">
        <v>206</v>
      </c>
      <c r="JBQ148" s="367"/>
      <c r="JBR148" s="367"/>
      <c r="JBS148" s="368" t="s">
        <v>168</v>
      </c>
      <c r="JBT148" s="369">
        <v>0.5</v>
      </c>
      <c r="JBU148" s="370" t="e">
        <f>10/JBQ146</f>
        <v>#DIV/0!</v>
      </c>
      <c r="JBV148" s="371">
        <v>15.38</v>
      </c>
      <c r="JBW148" s="371" t="e">
        <f>JBT148*JBU148*JBV148</f>
        <v>#DIV/0!</v>
      </c>
      <c r="JBX148" s="367" t="s">
        <v>206</v>
      </c>
      <c r="JBY148" s="367"/>
      <c r="JBZ148" s="367"/>
      <c r="JCA148" s="368" t="s">
        <v>168</v>
      </c>
      <c r="JCB148" s="369">
        <v>0.5</v>
      </c>
      <c r="JCC148" s="370" t="e">
        <f>10/JBY146</f>
        <v>#DIV/0!</v>
      </c>
      <c r="JCD148" s="371">
        <v>15.38</v>
      </c>
      <c r="JCE148" s="371" t="e">
        <f>JCB148*JCC148*JCD148</f>
        <v>#DIV/0!</v>
      </c>
      <c r="JCF148" s="367" t="s">
        <v>206</v>
      </c>
      <c r="JCG148" s="367"/>
      <c r="JCH148" s="367"/>
      <c r="JCI148" s="368" t="s">
        <v>168</v>
      </c>
      <c r="JCJ148" s="369">
        <v>0.5</v>
      </c>
      <c r="JCK148" s="370" t="e">
        <f>10/JCG146</f>
        <v>#DIV/0!</v>
      </c>
      <c r="JCL148" s="371">
        <v>15.38</v>
      </c>
      <c r="JCM148" s="371" t="e">
        <f>JCJ148*JCK148*JCL148</f>
        <v>#DIV/0!</v>
      </c>
      <c r="JCN148" s="367" t="s">
        <v>206</v>
      </c>
      <c r="JCO148" s="367"/>
      <c r="JCP148" s="367"/>
      <c r="JCQ148" s="368" t="s">
        <v>168</v>
      </c>
      <c r="JCR148" s="369">
        <v>0.5</v>
      </c>
      <c r="JCS148" s="370" t="e">
        <f>10/JCO146</f>
        <v>#DIV/0!</v>
      </c>
      <c r="JCT148" s="371">
        <v>15.38</v>
      </c>
      <c r="JCU148" s="371" t="e">
        <f>JCR148*JCS148*JCT148</f>
        <v>#DIV/0!</v>
      </c>
      <c r="JCV148" s="367" t="s">
        <v>206</v>
      </c>
      <c r="JCW148" s="367"/>
      <c r="JCX148" s="367"/>
      <c r="JCY148" s="368" t="s">
        <v>168</v>
      </c>
      <c r="JCZ148" s="369">
        <v>0.5</v>
      </c>
      <c r="JDA148" s="370" t="e">
        <f>10/JCW146</f>
        <v>#DIV/0!</v>
      </c>
      <c r="JDB148" s="371">
        <v>15.38</v>
      </c>
      <c r="JDC148" s="371" t="e">
        <f>JCZ148*JDA148*JDB148</f>
        <v>#DIV/0!</v>
      </c>
      <c r="JDD148" s="367" t="s">
        <v>206</v>
      </c>
      <c r="JDE148" s="367"/>
      <c r="JDF148" s="367"/>
      <c r="JDG148" s="368" t="s">
        <v>168</v>
      </c>
      <c r="JDH148" s="369">
        <v>0.5</v>
      </c>
      <c r="JDI148" s="370" t="e">
        <f>10/JDE146</f>
        <v>#DIV/0!</v>
      </c>
      <c r="JDJ148" s="371">
        <v>15.38</v>
      </c>
      <c r="JDK148" s="371" t="e">
        <f>JDH148*JDI148*JDJ148</f>
        <v>#DIV/0!</v>
      </c>
      <c r="JDL148" s="367" t="s">
        <v>206</v>
      </c>
      <c r="JDM148" s="367"/>
      <c r="JDN148" s="367"/>
      <c r="JDO148" s="368" t="s">
        <v>168</v>
      </c>
      <c r="JDP148" s="369">
        <v>0.5</v>
      </c>
      <c r="JDQ148" s="370" t="e">
        <f>10/JDM146</f>
        <v>#DIV/0!</v>
      </c>
      <c r="JDR148" s="371">
        <v>15.38</v>
      </c>
      <c r="JDS148" s="371" t="e">
        <f>JDP148*JDQ148*JDR148</f>
        <v>#DIV/0!</v>
      </c>
      <c r="JDT148" s="367" t="s">
        <v>206</v>
      </c>
      <c r="JDU148" s="367"/>
      <c r="JDV148" s="367"/>
      <c r="JDW148" s="368" t="s">
        <v>168</v>
      </c>
      <c r="JDX148" s="369">
        <v>0.5</v>
      </c>
      <c r="JDY148" s="370" t="e">
        <f>10/JDU146</f>
        <v>#DIV/0!</v>
      </c>
      <c r="JDZ148" s="371">
        <v>15.38</v>
      </c>
      <c r="JEA148" s="371" t="e">
        <f>JDX148*JDY148*JDZ148</f>
        <v>#DIV/0!</v>
      </c>
      <c r="JEB148" s="367" t="s">
        <v>206</v>
      </c>
      <c r="JEC148" s="367"/>
      <c r="JED148" s="367"/>
      <c r="JEE148" s="368" t="s">
        <v>168</v>
      </c>
      <c r="JEF148" s="369">
        <v>0.5</v>
      </c>
      <c r="JEG148" s="370" t="e">
        <f>10/JEC146</f>
        <v>#DIV/0!</v>
      </c>
      <c r="JEH148" s="371">
        <v>15.38</v>
      </c>
      <c r="JEI148" s="371" t="e">
        <f>JEF148*JEG148*JEH148</f>
        <v>#DIV/0!</v>
      </c>
      <c r="JEJ148" s="367" t="s">
        <v>206</v>
      </c>
      <c r="JEK148" s="367"/>
      <c r="JEL148" s="367"/>
      <c r="JEM148" s="368" t="s">
        <v>168</v>
      </c>
      <c r="JEN148" s="369">
        <v>0.5</v>
      </c>
      <c r="JEO148" s="370" t="e">
        <f>10/JEK146</f>
        <v>#DIV/0!</v>
      </c>
      <c r="JEP148" s="371">
        <v>15.38</v>
      </c>
      <c r="JEQ148" s="371" t="e">
        <f>JEN148*JEO148*JEP148</f>
        <v>#DIV/0!</v>
      </c>
      <c r="JER148" s="367" t="s">
        <v>206</v>
      </c>
      <c r="JES148" s="367"/>
      <c r="JET148" s="367"/>
      <c r="JEU148" s="368" t="s">
        <v>168</v>
      </c>
      <c r="JEV148" s="369">
        <v>0.5</v>
      </c>
      <c r="JEW148" s="370" t="e">
        <f>10/JES146</f>
        <v>#DIV/0!</v>
      </c>
      <c r="JEX148" s="371">
        <v>15.38</v>
      </c>
      <c r="JEY148" s="371" t="e">
        <f>JEV148*JEW148*JEX148</f>
        <v>#DIV/0!</v>
      </c>
      <c r="JEZ148" s="367" t="s">
        <v>206</v>
      </c>
      <c r="JFA148" s="367"/>
      <c r="JFB148" s="367"/>
      <c r="JFC148" s="368" t="s">
        <v>168</v>
      </c>
      <c r="JFD148" s="369">
        <v>0.5</v>
      </c>
      <c r="JFE148" s="370" t="e">
        <f>10/JFA146</f>
        <v>#DIV/0!</v>
      </c>
      <c r="JFF148" s="371">
        <v>15.38</v>
      </c>
      <c r="JFG148" s="371" t="e">
        <f>JFD148*JFE148*JFF148</f>
        <v>#DIV/0!</v>
      </c>
      <c r="JFH148" s="367" t="s">
        <v>206</v>
      </c>
      <c r="JFI148" s="367"/>
      <c r="JFJ148" s="367"/>
      <c r="JFK148" s="368" t="s">
        <v>168</v>
      </c>
      <c r="JFL148" s="369">
        <v>0.5</v>
      </c>
      <c r="JFM148" s="370" t="e">
        <f>10/JFI146</f>
        <v>#DIV/0!</v>
      </c>
      <c r="JFN148" s="371">
        <v>15.38</v>
      </c>
      <c r="JFO148" s="371" t="e">
        <f>JFL148*JFM148*JFN148</f>
        <v>#DIV/0!</v>
      </c>
      <c r="JFP148" s="367" t="s">
        <v>206</v>
      </c>
      <c r="JFQ148" s="367"/>
      <c r="JFR148" s="367"/>
      <c r="JFS148" s="368" t="s">
        <v>168</v>
      </c>
      <c r="JFT148" s="369">
        <v>0.5</v>
      </c>
      <c r="JFU148" s="370" t="e">
        <f>10/JFQ146</f>
        <v>#DIV/0!</v>
      </c>
      <c r="JFV148" s="371">
        <v>15.38</v>
      </c>
      <c r="JFW148" s="371" t="e">
        <f>JFT148*JFU148*JFV148</f>
        <v>#DIV/0!</v>
      </c>
      <c r="JFX148" s="367" t="s">
        <v>206</v>
      </c>
      <c r="JFY148" s="367"/>
      <c r="JFZ148" s="367"/>
      <c r="JGA148" s="368" t="s">
        <v>168</v>
      </c>
      <c r="JGB148" s="369">
        <v>0.5</v>
      </c>
      <c r="JGC148" s="370" t="e">
        <f>10/JFY146</f>
        <v>#DIV/0!</v>
      </c>
      <c r="JGD148" s="371">
        <v>15.38</v>
      </c>
      <c r="JGE148" s="371" t="e">
        <f>JGB148*JGC148*JGD148</f>
        <v>#DIV/0!</v>
      </c>
      <c r="JGF148" s="367" t="s">
        <v>206</v>
      </c>
      <c r="JGG148" s="367"/>
      <c r="JGH148" s="367"/>
      <c r="JGI148" s="368" t="s">
        <v>168</v>
      </c>
      <c r="JGJ148" s="369">
        <v>0.5</v>
      </c>
      <c r="JGK148" s="370" t="e">
        <f>10/JGG146</f>
        <v>#DIV/0!</v>
      </c>
      <c r="JGL148" s="371">
        <v>15.38</v>
      </c>
      <c r="JGM148" s="371" t="e">
        <f>JGJ148*JGK148*JGL148</f>
        <v>#DIV/0!</v>
      </c>
      <c r="JGN148" s="367" t="s">
        <v>206</v>
      </c>
      <c r="JGO148" s="367"/>
      <c r="JGP148" s="367"/>
      <c r="JGQ148" s="368" t="s">
        <v>168</v>
      </c>
      <c r="JGR148" s="369">
        <v>0.5</v>
      </c>
      <c r="JGS148" s="370" t="e">
        <f>10/JGO146</f>
        <v>#DIV/0!</v>
      </c>
      <c r="JGT148" s="371">
        <v>15.38</v>
      </c>
      <c r="JGU148" s="371" t="e">
        <f>JGR148*JGS148*JGT148</f>
        <v>#DIV/0!</v>
      </c>
      <c r="JGV148" s="367" t="s">
        <v>206</v>
      </c>
      <c r="JGW148" s="367"/>
      <c r="JGX148" s="367"/>
      <c r="JGY148" s="368" t="s">
        <v>168</v>
      </c>
      <c r="JGZ148" s="369">
        <v>0.5</v>
      </c>
      <c r="JHA148" s="370" t="e">
        <f>10/JGW146</f>
        <v>#DIV/0!</v>
      </c>
      <c r="JHB148" s="371">
        <v>15.38</v>
      </c>
      <c r="JHC148" s="371" t="e">
        <f>JGZ148*JHA148*JHB148</f>
        <v>#DIV/0!</v>
      </c>
      <c r="JHD148" s="367" t="s">
        <v>206</v>
      </c>
      <c r="JHE148" s="367"/>
      <c r="JHF148" s="367"/>
      <c r="JHG148" s="368" t="s">
        <v>168</v>
      </c>
      <c r="JHH148" s="369">
        <v>0.5</v>
      </c>
      <c r="JHI148" s="370" t="e">
        <f>10/JHE146</f>
        <v>#DIV/0!</v>
      </c>
      <c r="JHJ148" s="371">
        <v>15.38</v>
      </c>
      <c r="JHK148" s="371" t="e">
        <f>JHH148*JHI148*JHJ148</f>
        <v>#DIV/0!</v>
      </c>
      <c r="JHL148" s="367" t="s">
        <v>206</v>
      </c>
      <c r="JHM148" s="367"/>
      <c r="JHN148" s="367"/>
      <c r="JHO148" s="368" t="s">
        <v>168</v>
      </c>
      <c r="JHP148" s="369">
        <v>0.5</v>
      </c>
      <c r="JHQ148" s="370" t="e">
        <f>10/JHM146</f>
        <v>#DIV/0!</v>
      </c>
      <c r="JHR148" s="371">
        <v>15.38</v>
      </c>
      <c r="JHS148" s="371" t="e">
        <f>JHP148*JHQ148*JHR148</f>
        <v>#DIV/0!</v>
      </c>
      <c r="JHT148" s="367" t="s">
        <v>206</v>
      </c>
      <c r="JHU148" s="367"/>
      <c r="JHV148" s="367"/>
      <c r="JHW148" s="368" t="s">
        <v>168</v>
      </c>
      <c r="JHX148" s="369">
        <v>0.5</v>
      </c>
      <c r="JHY148" s="370" t="e">
        <f>10/JHU146</f>
        <v>#DIV/0!</v>
      </c>
      <c r="JHZ148" s="371">
        <v>15.38</v>
      </c>
      <c r="JIA148" s="371" t="e">
        <f>JHX148*JHY148*JHZ148</f>
        <v>#DIV/0!</v>
      </c>
      <c r="JIB148" s="367" t="s">
        <v>206</v>
      </c>
      <c r="JIC148" s="367"/>
      <c r="JID148" s="367"/>
      <c r="JIE148" s="368" t="s">
        <v>168</v>
      </c>
      <c r="JIF148" s="369">
        <v>0.5</v>
      </c>
      <c r="JIG148" s="370" t="e">
        <f>10/JIC146</f>
        <v>#DIV/0!</v>
      </c>
      <c r="JIH148" s="371">
        <v>15.38</v>
      </c>
      <c r="JII148" s="371" t="e">
        <f>JIF148*JIG148*JIH148</f>
        <v>#DIV/0!</v>
      </c>
      <c r="JIJ148" s="367" t="s">
        <v>206</v>
      </c>
      <c r="JIK148" s="367"/>
      <c r="JIL148" s="367"/>
      <c r="JIM148" s="368" t="s">
        <v>168</v>
      </c>
      <c r="JIN148" s="369">
        <v>0.5</v>
      </c>
      <c r="JIO148" s="370" t="e">
        <f>10/JIK146</f>
        <v>#DIV/0!</v>
      </c>
      <c r="JIP148" s="371">
        <v>15.38</v>
      </c>
      <c r="JIQ148" s="371" t="e">
        <f>JIN148*JIO148*JIP148</f>
        <v>#DIV/0!</v>
      </c>
      <c r="JIR148" s="367" t="s">
        <v>206</v>
      </c>
      <c r="JIS148" s="367"/>
      <c r="JIT148" s="367"/>
      <c r="JIU148" s="368" t="s">
        <v>168</v>
      </c>
      <c r="JIV148" s="369">
        <v>0.5</v>
      </c>
      <c r="JIW148" s="370" t="e">
        <f>10/JIS146</f>
        <v>#DIV/0!</v>
      </c>
      <c r="JIX148" s="371">
        <v>15.38</v>
      </c>
      <c r="JIY148" s="371" t="e">
        <f>JIV148*JIW148*JIX148</f>
        <v>#DIV/0!</v>
      </c>
      <c r="JIZ148" s="367" t="s">
        <v>206</v>
      </c>
      <c r="JJA148" s="367"/>
      <c r="JJB148" s="367"/>
      <c r="JJC148" s="368" t="s">
        <v>168</v>
      </c>
      <c r="JJD148" s="369">
        <v>0.5</v>
      </c>
      <c r="JJE148" s="370" t="e">
        <f>10/JJA146</f>
        <v>#DIV/0!</v>
      </c>
      <c r="JJF148" s="371">
        <v>15.38</v>
      </c>
      <c r="JJG148" s="371" t="e">
        <f>JJD148*JJE148*JJF148</f>
        <v>#DIV/0!</v>
      </c>
      <c r="JJH148" s="367" t="s">
        <v>206</v>
      </c>
      <c r="JJI148" s="367"/>
      <c r="JJJ148" s="367"/>
      <c r="JJK148" s="368" t="s">
        <v>168</v>
      </c>
      <c r="JJL148" s="369">
        <v>0.5</v>
      </c>
      <c r="JJM148" s="370" t="e">
        <f>10/JJI146</f>
        <v>#DIV/0!</v>
      </c>
      <c r="JJN148" s="371">
        <v>15.38</v>
      </c>
      <c r="JJO148" s="371" t="e">
        <f>JJL148*JJM148*JJN148</f>
        <v>#DIV/0!</v>
      </c>
      <c r="JJP148" s="367" t="s">
        <v>206</v>
      </c>
      <c r="JJQ148" s="367"/>
      <c r="JJR148" s="367"/>
      <c r="JJS148" s="368" t="s">
        <v>168</v>
      </c>
      <c r="JJT148" s="369">
        <v>0.5</v>
      </c>
      <c r="JJU148" s="370" t="e">
        <f>10/JJQ146</f>
        <v>#DIV/0!</v>
      </c>
      <c r="JJV148" s="371">
        <v>15.38</v>
      </c>
      <c r="JJW148" s="371" t="e">
        <f>JJT148*JJU148*JJV148</f>
        <v>#DIV/0!</v>
      </c>
      <c r="JJX148" s="367" t="s">
        <v>206</v>
      </c>
      <c r="JJY148" s="367"/>
      <c r="JJZ148" s="367"/>
      <c r="JKA148" s="368" t="s">
        <v>168</v>
      </c>
      <c r="JKB148" s="369">
        <v>0.5</v>
      </c>
      <c r="JKC148" s="370" t="e">
        <f>10/JJY146</f>
        <v>#DIV/0!</v>
      </c>
      <c r="JKD148" s="371">
        <v>15.38</v>
      </c>
      <c r="JKE148" s="371" t="e">
        <f>JKB148*JKC148*JKD148</f>
        <v>#DIV/0!</v>
      </c>
      <c r="JKF148" s="367" t="s">
        <v>206</v>
      </c>
      <c r="JKG148" s="367"/>
      <c r="JKH148" s="367"/>
      <c r="JKI148" s="368" t="s">
        <v>168</v>
      </c>
      <c r="JKJ148" s="369">
        <v>0.5</v>
      </c>
      <c r="JKK148" s="370" t="e">
        <f>10/JKG146</f>
        <v>#DIV/0!</v>
      </c>
      <c r="JKL148" s="371">
        <v>15.38</v>
      </c>
      <c r="JKM148" s="371" t="e">
        <f>JKJ148*JKK148*JKL148</f>
        <v>#DIV/0!</v>
      </c>
      <c r="JKN148" s="367" t="s">
        <v>206</v>
      </c>
      <c r="JKO148" s="367"/>
      <c r="JKP148" s="367"/>
      <c r="JKQ148" s="368" t="s">
        <v>168</v>
      </c>
      <c r="JKR148" s="369">
        <v>0.5</v>
      </c>
      <c r="JKS148" s="370" t="e">
        <f>10/JKO146</f>
        <v>#DIV/0!</v>
      </c>
      <c r="JKT148" s="371">
        <v>15.38</v>
      </c>
      <c r="JKU148" s="371" t="e">
        <f>JKR148*JKS148*JKT148</f>
        <v>#DIV/0!</v>
      </c>
      <c r="JKV148" s="367" t="s">
        <v>206</v>
      </c>
      <c r="JKW148" s="367"/>
      <c r="JKX148" s="367"/>
      <c r="JKY148" s="368" t="s">
        <v>168</v>
      </c>
      <c r="JKZ148" s="369">
        <v>0.5</v>
      </c>
      <c r="JLA148" s="370" t="e">
        <f>10/JKW146</f>
        <v>#DIV/0!</v>
      </c>
      <c r="JLB148" s="371">
        <v>15.38</v>
      </c>
      <c r="JLC148" s="371" t="e">
        <f>JKZ148*JLA148*JLB148</f>
        <v>#DIV/0!</v>
      </c>
      <c r="JLD148" s="367" t="s">
        <v>206</v>
      </c>
      <c r="JLE148" s="367"/>
      <c r="JLF148" s="367"/>
      <c r="JLG148" s="368" t="s">
        <v>168</v>
      </c>
      <c r="JLH148" s="369">
        <v>0.5</v>
      </c>
      <c r="JLI148" s="370" t="e">
        <f>10/JLE146</f>
        <v>#DIV/0!</v>
      </c>
      <c r="JLJ148" s="371">
        <v>15.38</v>
      </c>
      <c r="JLK148" s="371" t="e">
        <f>JLH148*JLI148*JLJ148</f>
        <v>#DIV/0!</v>
      </c>
      <c r="JLL148" s="367" t="s">
        <v>206</v>
      </c>
      <c r="JLM148" s="367"/>
      <c r="JLN148" s="367"/>
      <c r="JLO148" s="368" t="s">
        <v>168</v>
      </c>
      <c r="JLP148" s="369">
        <v>0.5</v>
      </c>
      <c r="JLQ148" s="370" t="e">
        <f>10/JLM146</f>
        <v>#DIV/0!</v>
      </c>
      <c r="JLR148" s="371">
        <v>15.38</v>
      </c>
      <c r="JLS148" s="371" t="e">
        <f>JLP148*JLQ148*JLR148</f>
        <v>#DIV/0!</v>
      </c>
      <c r="JLT148" s="367" t="s">
        <v>206</v>
      </c>
      <c r="JLU148" s="367"/>
      <c r="JLV148" s="367"/>
      <c r="JLW148" s="368" t="s">
        <v>168</v>
      </c>
      <c r="JLX148" s="369">
        <v>0.5</v>
      </c>
      <c r="JLY148" s="370" t="e">
        <f>10/JLU146</f>
        <v>#DIV/0!</v>
      </c>
      <c r="JLZ148" s="371">
        <v>15.38</v>
      </c>
      <c r="JMA148" s="371" t="e">
        <f>JLX148*JLY148*JLZ148</f>
        <v>#DIV/0!</v>
      </c>
      <c r="JMB148" s="367" t="s">
        <v>206</v>
      </c>
      <c r="JMC148" s="367"/>
      <c r="JMD148" s="367"/>
      <c r="JME148" s="368" t="s">
        <v>168</v>
      </c>
      <c r="JMF148" s="369">
        <v>0.5</v>
      </c>
      <c r="JMG148" s="370" t="e">
        <f>10/JMC146</f>
        <v>#DIV/0!</v>
      </c>
      <c r="JMH148" s="371">
        <v>15.38</v>
      </c>
      <c r="JMI148" s="371" t="e">
        <f>JMF148*JMG148*JMH148</f>
        <v>#DIV/0!</v>
      </c>
      <c r="JMJ148" s="367" t="s">
        <v>206</v>
      </c>
      <c r="JMK148" s="367"/>
      <c r="JML148" s="367"/>
      <c r="JMM148" s="368" t="s">
        <v>168</v>
      </c>
      <c r="JMN148" s="369">
        <v>0.5</v>
      </c>
      <c r="JMO148" s="370" t="e">
        <f>10/JMK146</f>
        <v>#DIV/0!</v>
      </c>
      <c r="JMP148" s="371">
        <v>15.38</v>
      </c>
      <c r="JMQ148" s="371" t="e">
        <f>JMN148*JMO148*JMP148</f>
        <v>#DIV/0!</v>
      </c>
      <c r="JMR148" s="367" t="s">
        <v>206</v>
      </c>
      <c r="JMS148" s="367"/>
      <c r="JMT148" s="367"/>
      <c r="JMU148" s="368" t="s">
        <v>168</v>
      </c>
      <c r="JMV148" s="369">
        <v>0.5</v>
      </c>
      <c r="JMW148" s="370" t="e">
        <f>10/JMS146</f>
        <v>#DIV/0!</v>
      </c>
      <c r="JMX148" s="371">
        <v>15.38</v>
      </c>
      <c r="JMY148" s="371" t="e">
        <f>JMV148*JMW148*JMX148</f>
        <v>#DIV/0!</v>
      </c>
      <c r="JMZ148" s="367" t="s">
        <v>206</v>
      </c>
      <c r="JNA148" s="367"/>
      <c r="JNB148" s="367"/>
      <c r="JNC148" s="368" t="s">
        <v>168</v>
      </c>
      <c r="JND148" s="369">
        <v>0.5</v>
      </c>
      <c r="JNE148" s="370" t="e">
        <f>10/JNA146</f>
        <v>#DIV/0!</v>
      </c>
      <c r="JNF148" s="371">
        <v>15.38</v>
      </c>
      <c r="JNG148" s="371" t="e">
        <f>JND148*JNE148*JNF148</f>
        <v>#DIV/0!</v>
      </c>
      <c r="JNH148" s="367" t="s">
        <v>206</v>
      </c>
      <c r="JNI148" s="367"/>
      <c r="JNJ148" s="367"/>
      <c r="JNK148" s="368" t="s">
        <v>168</v>
      </c>
      <c r="JNL148" s="369">
        <v>0.5</v>
      </c>
      <c r="JNM148" s="370" t="e">
        <f>10/JNI146</f>
        <v>#DIV/0!</v>
      </c>
      <c r="JNN148" s="371">
        <v>15.38</v>
      </c>
      <c r="JNO148" s="371" t="e">
        <f>JNL148*JNM148*JNN148</f>
        <v>#DIV/0!</v>
      </c>
      <c r="JNP148" s="367" t="s">
        <v>206</v>
      </c>
      <c r="JNQ148" s="367"/>
      <c r="JNR148" s="367"/>
      <c r="JNS148" s="368" t="s">
        <v>168</v>
      </c>
      <c r="JNT148" s="369">
        <v>0.5</v>
      </c>
      <c r="JNU148" s="370" t="e">
        <f>10/JNQ146</f>
        <v>#DIV/0!</v>
      </c>
      <c r="JNV148" s="371">
        <v>15.38</v>
      </c>
      <c r="JNW148" s="371" t="e">
        <f>JNT148*JNU148*JNV148</f>
        <v>#DIV/0!</v>
      </c>
      <c r="JNX148" s="367" t="s">
        <v>206</v>
      </c>
      <c r="JNY148" s="367"/>
      <c r="JNZ148" s="367"/>
      <c r="JOA148" s="368" t="s">
        <v>168</v>
      </c>
      <c r="JOB148" s="369">
        <v>0.5</v>
      </c>
      <c r="JOC148" s="370" t="e">
        <f>10/JNY146</f>
        <v>#DIV/0!</v>
      </c>
      <c r="JOD148" s="371">
        <v>15.38</v>
      </c>
      <c r="JOE148" s="371" t="e">
        <f>JOB148*JOC148*JOD148</f>
        <v>#DIV/0!</v>
      </c>
      <c r="JOF148" s="367" t="s">
        <v>206</v>
      </c>
      <c r="JOG148" s="367"/>
      <c r="JOH148" s="367"/>
      <c r="JOI148" s="368" t="s">
        <v>168</v>
      </c>
      <c r="JOJ148" s="369">
        <v>0.5</v>
      </c>
      <c r="JOK148" s="370" t="e">
        <f>10/JOG146</f>
        <v>#DIV/0!</v>
      </c>
      <c r="JOL148" s="371">
        <v>15.38</v>
      </c>
      <c r="JOM148" s="371" t="e">
        <f>JOJ148*JOK148*JOL148</f>
        <v>#DIV/0!</v>
      </c>
      <c r="JON148" s="367" t="s">
        <v>206</v>
      </c>
      <c r="JOO148" s="367"/>
      <c r="JOP148" s="367"/>
      <c r="JOQ148" s="368" t="s">
        <v>168</v>
      </c>
      <c r="JOR148" s="369">
        <v>0.5</v>
      </c>
      <c r="JOS148" s="370" t="e">
        <f>10/JOO146</f>
        <v>#DIV/0!</v>
      </c>
      <c r="JOT148" s="371">
        <v>15.38</v>
      </c>
      <c r="JOU148" s="371" t="e">
        <f>JOR148*JOS148*JOT148</f>
        <v>#DIV/0!</v>
      </c>
      <c r="JOV148" s="367" t="s">
        <v>206</v>
      </c>
      <c r="JOW148" s="367"/>
      <c r="JOX148" s="367"/>
      <c r="JOY148" s="368" t="s">
        <v>168</v>
      </c>
      <c r="JOZ148" s="369">
        <v>0.5</v>
      </c>
      <c r="JPA148" s="370" t="e">
        <f>10/JOW146</f>
        <v>#DIV/0!</v>
      </c>
      <c r="JPB148" s="371">
        <v>15.38</v>
      </c>
      <c r="JPC148" s="371" t="e">
        <f>JOZ148*JPA148*JPB148</f>
        <v>#DIV/0!</v>
      </c>
      <c r="JPD148" s="367" t="s">
        <v>206</v>
      </c>
      <c r="JPE148" s="367"/>
      <c r="JPF148" s="367"/>
      <c r="JPG148" s="368" t="s">
        <v>168</v>
      </c>
      <c r="JPH148" s="369">
        <v>0.5</v>
      </c>
      <c r="JPI148" s="370" t="e">
        <f>10/JPE146</f>
        <v>#DIV/0!</v>
      </c>
      <c r="JPJ148" s="371">
        <v>15.38</v>
      </c>
      <c r="JPK148" s="371" t="e">
        <f>JPH148*JPI148*JPJ148</f>
        <v>#DIV/0!</v>
      </c>
      <c r="JPL148" s="367" t="s">
        <v>206</v>
      </c>
      <c r="JPM148" s="367"/>
      <c r="JPN148" s="367"/>
      <c r="JPO148" s="368" t="s">
        <v>168</v>
      </c>
      <c r="JPP148" s="369">
        <v>0.5</v>
      </c>
      <c r="JPQ148" s="370" t="e">
        <f>10/JPM146</f>
        <v>#DIV/0!</v>
      </c>
      <c r="JPR148" s="371">
        <v>15.38</v>
      </c>
      <c r="JPS148" s="371" t="e">
        <f>JPP148*JPQ148*JPR148</f>
        <v>#DIV/0!</v>
      </c>
      <c r="JPT148" s="367" t="s">
        <v>206</v>
      </c>
      <c r="JPU148" s="367"/>
      <c r="JPV148" s="367"/>
      <c r="JPW148" s="368" t="s">
        <v>168</v>
      </c>
      <c r="JPX148" s="369">
        <v>0.5</v>
      </c>
      <c r="JPY148" s="370" t="e">
        <f>10/JPU146</f>
        <v>#DIV/0!</v>
      </c>
      <c r="JPZ148" s="371">
        <v>15.38</v>
      </c>
      <c r="JQA148" s="371" t="e">
        <f>JPX148*JPY148*JPZ148</f>
        <v>#DIV/0!</v>
      </c>
      <c r="JQB148" s="367" t="s">
        <v>206</v>
      </c>
      <c r="JQC148" s="367"/>
      <c r="JQD148" s="367"/>
      <c r="JQE148" s="368" t="s">
        <v>168</v>
      </c>
      <c r="JQF148" s="369">
        <v>0.5</v>
      </c>
      <c r="JQG148" s="370" t="e">
        <f>10/JQC146</f>
        <v>#DIV/0!</v>
      </c>
      <c r="JQH148" s="371">
        <v>15.38</v>
      </c>
      <c r="JQI148" s="371" t="e">
        <f>JQF148*JQG148*JQH148</f>
        <v>#DIV/0!</v>
      </c>
      <c r="JQJ148" s="367" t="s">
        <v>206</v>
      </c>
      <c r="JQK148" s="367"/>
      <c r="JQL148" s="367"/>
      <c r="JQM148" s="368" t="s">
        <v>168</v>
      </c>
      <c r="JQN148" s="369">
        <v>0.5</v>
      </c>
      <c r="JQO148" s="370" t="e">
        <f>10/JQK146</f>
        <v>#DIV/0!</v>
      </c>
      <c r="JQP148" s="371">
        <v>15.38</v>
      </c>
      <c r="JQQ148" s="371" t="e">
        <f>JQN148*JQO148*JQP148</f>
        <v>#DIV/0!</v>
      </c>
      <c r="JQR148" s="367" t="s">
        <v>206</v>
      </c>
      <c r="JQS148" s="367"/>
      <c r="JQT148" s="367"/>
      <c r="JQU148" s="368" t="s">
        <v>168</v>
      </c>
      <c r="JQV148" s="369">
        <v>0.5</v>
      </c>
      <c r="JQW148" s="370" t="e">
        <f>10/JQS146</f>
        <v>#DIV/0!</v>
      </c>
      <c r="JQX148" s="371">
        <v>15.38</v>
      </c>
      <c r="JQY148" s="371" t="e">
        <f>JQV148*JQW148*JQX148</f>
        <v>#DIV/0!</v>
      </c>
      <c r="JQZ148" s="367" t="s">
        <v>206</v>
      </c>
      <c r="JRA148" s="367"/>
      <c r="JRB148" s="367"/>
      <c r="JRC148" s="368" t="s">
        <v>168</v>
      </c>
      <c r="JRD148" s="369">
        <v>0.5</v>
      </c>
      <c r="JRE148" s="370" t="e">
        <f>10/JRA146</f>
        <v>#DIV/0!</v>
      </c>
      <c r="JRF148" s="371">
        <v>15.38</v>
      </c>
      <c r="JRG148" s="371" t="e">
        <f>JRD148*JRE148*JRF148</f>
        <v>#DIV/0!</v>
      </c>
      <c r="JRH148" s="367" t="s">
        <v>206</v>
      </c>
      <c r="JRI148" s="367"/>
      <c r="JRJ148" s="367"/>
      <c r="JRK148" s="368" t="s">
        <v>168</v>
      </c>
      <c r="JRL148" s="369">
        <v>0.5</v>
      </c>
      <c r="JRM148" s="370" t="e">
        <f>10/JRI146</f>
        <v>#DIV/0!</v>
      </c>
      <c r="JRN148" s="371">
        <v>15.38</v>
      </c>
      <c r="JRO148" s="371" t="e">
        <f>JRL148*JRM148*JRN148</f>
        <v>#DIV/0!</v>
      </c>
      <c r="JRP148" s="367" t="s">
        <v>206</v>
      </c>
      <c r="JRQ148" s="367"/>
      <c r="JRR148" s="367"/>
      <c r="JRS148" s="368" t="s">
        <v>168</v>
      </c>
      <c r="JRT148" s="369">
        <v>0.5</v>
      </c>
      <c r="JRU148" s="370" t="e">
        <f>10/JRQ146</f>
        <v>#DIV/0!</v>
      </c>
      <c r="JRV148" s="371">
        <v>15.38</v>
      </c>
      <c r="JRW148" s="371" t="e">
        <f>JRT148*JRU148*JRV148</f>
        <v>#DIV/0!</v>
      </c>
      <c r="JRX148" s="367" t="s">
        <v>206</v>
      </c>
      <c r="JRY148" s="367"/>
      <c r="JRZ148" s="367"/>
      <c r="JSA148" s="368" t="s">
        <v>168</v>
      </c>
      <c r="JSB148" s="369">
        <v>0.5</v>
      </c>
      <c r="JSC148" s="370" t="e">
        <f>10/JRY146</f>
        <v>#DIV/0!</v>
      </c>
      <c r="JSD148" s="371">
        <v>15.38</v>
      </c>
      <c r="JSE148" s="371" t="e">
        <f>JSB148*JSC148*JSD148</f>
        <v>#DIV/0!</v>
      </c>
      <c r="JSF148" s="367" t="s">
        <v>206</v>
      </c>
      <c r="JSG148" s="367"/>
      <c r="JSH148" s="367"/>
      <c r="JSI148" s="368" t="s">
        <v>168</v>
      </c>
      <c r="JSJ148" s="369">
        <v>0.5</v>
      </c>
      <c r="JSK148" s="370" t="e">
        <f>10/JSG146</f>
        <v>#DIV/0!</v>
      </c>
      <c r="JSL148" s="371">
        <v>15.38</v>
      </c>
      <c r="JSM148" s="371" t="e">
        <f>JSJ148*JSK148*JSL148</f>
        <v>#DIV/0!</v>
      </c>
      <c r="JSN148" s="367" t="s">
        <v>206</v>
      </c>
      <c r="JSO148" s="367"/>
      <c r="JSP148" s="367"/>
      <c r="JSQ148" s="368" t="s">
        <v>168</v>
      </c>
      <c r="JSR148" s="369">
        <v>0.5</v>
      </c>
      <c r="JSS148" s="370" t="e">
        <f>10/JSO146</f>
        <v>#DIV/0!</v>
      </c>
      <c r="JST148" s="371">
        <v>15.38</v>
      </c>
      <c r="JSU148" s="371" t="e">
        <f>JSR148*JSS148*JST148</f>
        <v>#DIV/0!</v>
      </c>
      <c r="JSV148" s="367" t="s">
        <v>206</v>
      </c>
      <c r="JSW148" s="367"/>
      <c r="JSX148" s="367"/>
      <c r="JSY148" s="368" t="s">
        <v>168</v>
      </c>
      <c r="JSZ148" s="369">
        <v>0.5</v>
      </c>
      <c r="JTA148" s="370" t="e">
        <f>10/JSW146</f>
        <v>#DIV/0!</v>
      </c>
      <c r="JTB148" s="371">
        <v>15.38</v>
      </c>
      <c r="JTC148" s="371" t="e">
        <f>JSZ148*JTA148*JTB148</f>
        <v>#DIV/0!</v>
      </c>
      <c r="JTD148" s="367" t="s">
        <v>206</v>
      </c>
      <c r="JTE148" s="367"/>
      <c r="JTF148" s="367"/>
      <c r="JTG148" s="368" t="s">
        <v>168</v>
      </c>
      <c r="JTH148" s="369">
        <v>0.5</v>
      </c>
      <c r="JTI148" s="370" t="e">
        <f>10/JTE146</f>
        <v>#DIV/0!</v>
      </c>
      <c r="JTJ148" s="371">
        <v>15.38</v>
      </c>
      <c r="JTK148" s="371" t="e">
        <f>JTH148*JTI148*JTJ148</f>
        <v>#DIV/0!</v>
      </c>
      <c r="JTL148" s="367" t="s">
        <v>206</v>
      </c>
      <c r="JTM148" s="367"/>
      <c r="JTN148" s="367"/>
      <c r="JTO148" s="368" t="s">
        <v>168</v>
      </c>
      <c r="JTP148" s="369">
        <v>0.5</v>
      </c>
      <c r="JTQ148" s="370" t="e">
        <f>10/JTM146</f>
        <v>#DIV/0!</v>
      </c>
      <c r="JTR148" s="371">
        <v>15.38</v>
      </c>
      <c r="JTS148" s="371" t="e">
        <f>JTP148*JTQ148*JTR148</f>
        <v>#DIV/0!</v>
      </c>
      <c r="JTT148" s="367" t="s">
        <v>206</v>
      </c>
      <c r="JTU148" s="367"/>
      <c r="JTV148" s="367"/>
      <c r="JTW148" s="368" t="s">
        <v>168</v>
      </c>
      <c r="JTX148" s="369">
        <v>0.5</v>
      </c>
      <c r="JTY148" s="370" t="e">
        <f>10/JTU146</f>
        <v>#DIV/0!</v>
      </c>
      <c r="JTZ148" s="371">
        <v>15.38</v>
      </c>
      <c r="JUA148" s="371" t="e">
        <f>JTX148*JTY148*JTZ148</f>
        <v>#DIV/0!</v>
      </c>
      <c r="JUB148" s="367" t="s">
        <v>206</v>
      </c>
      <c r="JUC148" s="367"/>
      <c r="JUD148" s="367"/>
      <c r="JUE148" s="368" t="s">
        <v>168</v>
      </c>
      <c r="JUF148" s="369">
        <v>0.5</v>
      </c>
      <c r="JUG148" s="370" t="e">
        <f>10/JUC146</f>
        <v>#DIV/0!</v>
      </c>
      <c r="JUH148" s="371">
        <v>15.38</v>
      </c>
      <c r="JUI148" s="371" t="e">
        <f>JUF148*JUG148*JUH148</f>
        <v>#DIV/0!</v>
      </c>
      <c r="JUJ148" s="367" t="s">
        <v>206</v>
      </c>
      <c r="JUK148" s="367"/>
      <c r="JUL148" s="367"/>
      <c r="JUM148" s="368" t="s">
        <v>168</v>
      </c>
      <c r="JUN148" s="369">
        <v>0.5</v>
      </c>
      <c r="JUO148" s="370" t="e">
        <f>10/JUK146</f>
        <v>#DIV/0!</v>
      </c>
      <c r="JUP148" s="371">
        <v>15.38</v>
      </c>
      <c r="JUQ148" s="371" t="e">
        <f>JUN148*JUO148*JUP148</f>
        <v>#DIV/0!</v>
      </c>
      <c r="JUR148" s="367" t="s">
        <v>206</v>
      </c>
      <c r="JUS148" s="367"/>
      <c r="JUT148" s="367"/>
      <c r="JUU148" s="368" t="s">
        <v>168</v>
      </c>
      <c r="JUV148" s="369">
        <v>0.5</v>
      </c>
      <c r="JUW148" s="370" t="e">
        <f>10/JUS146</f>
        <v>#DIV/0!</v>
      </c>
      <c r="JUX148" s="371">
        <v>15.38</v>
      </c>
      <c r="JUY148" s="371" t="e">
        <f>JUV148*JUW148*JUX148</f>
        <v>#DIV/0!</v>
      </c>
      <c r="JUZ148" s="367" t="s">
        <v>206</v>
      </c>
      <c r="JVA148" s="367"/>
      <c r="JVB148" s="367"/>
      <c r="JVC148" s="368" t="s">
        <v>168</v>
      </c>
      <c r="JVD148" s="369">
        <v>0.5</v>
      </c>
      <c r="JVE148" s="370" t="e">
        <f>10/JVA146</f>
        <v>#DIV/0!</v>
      </c>
      <c r="JVF148" s="371">
        <v>15.38</v>
      </c>
      <c r="JVG148" s="371" t="e">
        <f>JVD148*JVE148*JVF148</f>
        <v>#DIV/0!</v>
      </c>
      <c r="JVH148" s="367" t="s">
        <v>206</v>
      </c>
      <c r="JVI148" s="367"/>
      <c r="JVJ148" s="367"/>
      <c r="JVK148" s="368" t="s">
        <v>168</v>
      </c>
      <c r="JVL148" s="369">
        <v>0.5</v>
      </c>
      <c r="JVM148" s="370" t="e">
        <f>10/JVI146</f>
        <v>#DIV/0!</v>
      </c>
      <c r="JVN148" s="371">
        <v>15.38</v>
      </c>
      <c r="JVO148" s="371" t="e">
        <f>JVL148*JVM148*JVN148</f>
        <v>#DIV/0!</v>
      </c>
      <c r="JVP148" s="367" t="s">
        <v>206</v>
      </c>
      <c r="JVQ148" s="367"/>
      <c r="JVR148" s="367"/>
      <c r="JVS148" s="368" t="s">
        <v>168</v>
      </c>
      <c r="JVT148" s="369">
        <v>0.5</v>
      </c>
      <c r="JVU148" s="370" t="e">
        <f>10/JVQ146</f>
        <v>#DIV/0!</v>
      </c>
      <c r="JVV148" s="371">
        <v>15.38</v>
      </c>
      <c r="JVW148" s="371" t="e">
        <f>JVT148*JVU148*JVV148</f>
        <v>#DIV/0!</v>
      </c>
      <c r="JVX148" s="367" t="s">
        <v>206</v>
      </c>
      <c r="JVY148" s="367"/>
      <c r="JVZ148" s="367"/>
      <c r="JWA148" s="368" t="s">
        <v>168</v>
      </c>
      <c r="JWB148" s="369">
        <v>0.5</v>
      </c>
      <c r="JWC148" s="370" t="e">
        <f>10/JVY146</f>
        <v>#DIV/0!</v>
      </c>
      <c r="JWD148" s="371">
        <v>15.38</v>
      </c>
      <c r="JWE148" s="371" t="e">
        <f>JWB148*JWC148*JWD148</f>
        <v>#DIV/0!</v>
      </c>
      <c r="JWF148" s="367" t="s">
        <v>206</v>
      </c>
      <c r="JWG148" s="367"/>
      <c r="JWH148" s="367"/>
      <c r="JWI148" s="368" t="s">
        <v>168</v>
      </c>
      <c r="JWJ148" s="369">
        <v>0.5</v>
      </c>
      <c r="JWK148" s="370" t="e">
        <f>10/JWG146</f>
        <v>#DIV/0!</v>
      </c>
      <c r="JWL148" s="371">
        <v>15.38</v>
      </c>
      <c r="JWM148" s="371" t="e">
        <f>JWJ148*JWK148*JWL148</f>
        <v>#DIV/0!</v>
      </c>
      <c r="JWN148" s="367" t="s">
        <v>206</v>
      </c>
      <c r="JWO148" s="367"/>
      <c r="JWP148" s="367"/>
      <c r="JWQ148" s="368" t="s">
        <v>168</v>
      </c>
      <c r="JWR148" s="369">
        <v>0.5</v>
      </c>
      <c r="JWS148" s="370" t="e">
        <f>10/JWO146</f>
        <v>#DIV/0!</v>
      </c>
      <c r="JWT148" s="371">
        <v>15.38</v>
      </c>
      <c r="JWU148" s="371" t="e">
        <f>JWR148*JWS148*JWT148</f>
        <v>#DIV/0!</v>
      </c>
      <c r="JWV148" s="367" t="s">
        <v>206</v>
      </c>
      <c r="JWW148" s="367"/>
      <c r="JWX148" s="367"/>
      <c r="JWY148" s="368" t="s">
        <v>168</v>
      </c>
      <c r="JWZ148" s="369">
        <v>0.5</v>
      </c>
      <c r="JXA148" s="370" t="e">
        <f>10/JWW146</f>
        <v>#DIV/0!</v>
      </c>
      <c r="JXB148" s="371">
        <v>15.38</v>
      </c>
      <c r="JXC148" s="371" t="e">
        <f>JWZ148*JXA148*JXB148</f>
        <v>#DIV/0!</v>
      </c>
      <c r="JXD148" s="367" t="s">
        <v>206</v>
      </c>
      <c r="JXE148" s="367"/>
      <c r="JXF148" s="367"/>
      <c r="JXG148" s="368" t="s">
        <v>168</v>
      </c>
      <c r="JXH148" s="369">
        <v>0.5</v>
      </c>
      <c r="JXI148" s="370" t="e">
        <f>10/JXE146</f>
        <v>#DIV/0!</v>
      </c>
      <c r="JXJ148" s="371">
        <v>15.38</v>
      </c>
      <c r="JXK148" s="371" t="e">
        <f>JXH148*JXI148*JXJ148</f>
        <v>#DIV/0!</v>
      </c>
      <c r="JXL148" s="367" t="s">
        <v>206</v>
      </c>
      <c r="JXM148" s="367"/>
      <c r="JXN148" s="367"/>
      <c r="JXO148" s="368" t="s">
        <v>168</v>
      </c>
      <c r="JXP148" s="369">
        <v>0.5</v>
      </c>
      <c r="JXQ148" s="370" t="e">
        <f>10/JXM146</f>
        <v>#DIV/0!</v>
      </c>
      <c r="JXR148" s="371">
        <v>15.38</v>
      </c>
      <c r="JXS148" s="371" t="e">
        <f>JXP148*JXQ148*JXR148</f>
        <v>#DIV/0!</v>
      </c>
      <c r="JXT148" s="367" t="s">
        <v>206</v>
      </c>
      <c r="JXU148" s="367"/>
      <c r="JXV148" s="367"/>
      <c r="JXW148" s="368" t="s">
        <v>168</v>
      </c>
      <c r="JXX148" s="369">
        <v>0.5</v>
      </c>
      <c r="JXY148" s="370" t="e">
        <f>10/JXU146</f>
        <v>#DIV/0!</v>
      </c>
      <c r="JXZ148" s="371">
        <v>15.38</v>
      </c>
      <c r="JYA148" s="371" t="e">
        <f>JXX148*JXY148*JXZ148</f>
        <v>#DIV/0!</v>
      </c>
      <c r="JYB148" s="367" t="s">
        <v>206</v>
      </c>
      <c r="JYC148" s="367"/>
      <c r="JYD148" s="367"/>
      <c r="JYE148" s="368" t="s">
        <v>168</v>
      </c>
      <c r="JYF148" s="369">
        <v>0.5</v>
      </c>
      <c r="JYG148" s="370" t="e">
        <f>10/JYC146</f>
        <v>#DIV/0!</v>
      </c>
      <c r="JYH148" s="371">
        <v>15.38</v>
      </c>
      <c r="JYI148" s="371" t="e">
        <f>JYF148*JYG148*JYH148</f>
        <v>#DIV/0!</v>
      </c>
      <c r="JYJ148" s="367" t="s">
        <v>206</v>
      </c>
      <c r="JYK148" s="367"/>
      <c r="JYL148" s="367"/>
      <c r="JYM148" s="368" t="s">
        <v>168</v>
      </c>
      <c r="JYN148" s="369">
        <v>0.5</v>
      </c>
      <c r="JYO148" s="370" t="e">
        <f>10/JYK146</f>
        <v>#DIV/0!</v>
      </c>
      <c r="JYP148" s="371">
        <v>15.38</v>
      </c>
      <c r="JYQ148" s="371" t="e">
        <f>JYN148*JYO148*JYP148</f>
        <v>#DIV/0!</v>
      </c>
      <c r="JYR148" s="367" t="s">
        <v>206</v>
      </c>
      <c r="JYS148" s="367"/>
      <c r="JYT148" s="367"/>
      <c r="JYU148" s="368" t="s">
        <v>168</v>
      </c>
      <c r="JYV148" s="369">
        <v>0.5</v>
      </c>
      <c r="JYW148" s="370" t="e">
        <f>10/JYS146</f>
        <v>#DIV/0!</v>
      </c>
      <c r="JYX148" s="371">
        <v>15.38</v>
      </c>
      <c r="JYY148" s="371" t="e">
        <f>JYV148*JYW148*JYX148</f>
        <v>#DIV/0!</v>
      </c>
      <c r="JYZ148" s="367" t="s">
        <v>206</v>
      </c>
      <c r="JZA148" s="367"/>
      <c r="JZB148" s="367"/>
      <c r="JZC148" s="368" t="s">
        <v>168</v>
      </c>
      <c r="JZD148" s="369">
        <v>0.5</v>
      </c>
      <c r="JZE148" s="370" t="e">
        <f>10/JZA146</f>
        <v>#DIV/0!</v>
      </c>
      <c r="JZF148" s="371">
        <v>15.38</v>
      </c>
      <c r="JZG148" s="371" t="e">
        <f>JZD148*JZE148*JZF148</f>
        <v>#DIV/0!</v>
      </c>
      <c r="JZH148" s="367" t="s">
        <v>206</v>
      </c>
      <c r="JZI148" s="367"/>
      <c r="JZJ148" s="367"/>
      <c r="JZK148" s="368" t="s">
        <v>168</v>
      </c>
      <c r="JZL148" s="369">
        <v>0.5</v>
      </c>
      <c r="JZM148" s="370" t="e">
        <f>10/JZI146</f>
        <v>#DIV/0!</v>
      </c>
      <c r="JZN148" s="371">
        <v>15.38</v>
      </c>
      <c r="JZO148" s="371" t="e">
        <f>JZL148*JZM148*JZN148</f>
        <v>#DIV/0!</v>
      </c>
      <c r="JZP148" s="367" t="s">
        <v>206</v>
      </c>
      <c r="JZQ148" s="367"/>
      <c r="JZR148" s="367"/>
      <c r="JZS148" s="368" t="s">
        <v>168</v>
      </c>
      <c r="JZT148" s="369">
        <v>0.5</v>
      </c>
      <c r="JZU148" s="370" t="e">
        <f>10/JZQ146</f>
        <v>#DIV/0!</v>
      </c>
      <c r="JZV148" s="371">
        <v>15.38</v>
      </c>
      <c r="JZW148" s="371" t="e">
        <f>JZT148*JZU148*JZV148</f>
        <v>#DIV/0!</v>
      </c>
      <c r="JZX148" s="367" t="s">
        <v>206</v>
      </c>
      <c r="JZY148" s="367"/>
      <c r="JZZ148" s="367"/>
      <c r="KAA148" s="368" t="s">
        <v>168</v>
      </c>
      <c r="KAB148" s="369">
        <v>0.5</v>
      </c>
      <c r="KAC148" s="370" t="e">
        <f>10/JZY146</f>
        <v>#DIV/0!</v>
      </c>
      <c r="KAD148" s="371">
        <v>15.38</v>
      </c>
      <c r="KAE148" s="371" t="e">
        <f>KAB148*KAC148*KAD148</f>
        <v>#DIV/0!</v>
      </c>
      <c r="KAF148" s="367" t="s">
        <v>206</v>
      </c>
      <c r="KAG148" s="367"/>
      <c r="KAH148" s="367"/>
      <c r="KAI148" s="368" t="s">
        <v>168</v>
      </c>
      <c r="KAJ148" s="369">
        <v>0.5</v>
      </c>
      <c r="KAK148" s="370" t="e">
        <f>10/KAG146</f>
        <v>#DIV/0!</v>
      </c>
      <c r="KAL148" s="371">
        <v>15.38</v>
      </c>
      <c r="KAM148" s="371" t="e">
        <f>KAJ148*KAK148*KAL148</f>
        <v>#DIV/0!</v>
      </c>
      <c r="KAN148" s="367" t="s">
        <v>206</v>
      </c>
      <c r="KAO148" s="367"/>
      <c r="KAP148" s="367"/>
      <c r="KAQ148" s="368" t="s">
        <v>168</v>
      </c>
      <c r="KAR148" s="369">
        <v>0.5</v>
      </c>
      <c r="KAS148" s="370" t="e">
        <f>10/KAO146</f>
        <v>#DIV/0!</v>
      </c>
      <c r="KAT148" s="371">
        <v>15.38</v>
      </c>
      <c r="KAU148" s="371" t="e">
        <f>KAR148*KAS148*KAT148</f>
        <v>#DIV/0!</v>
      </c>
      <c r="KAV148" s="367" t="s">
        <v>206</v>
      </c>
      <c r="KAW148" s="367"/>
      <c r="KAX148" s="367"/>
      <c r="KAY148" s="368" t="s">
        <v>168</v>
      </c>
      <c r="KAZ148" s="369">
        <v>0.5</v>
      </c>
      <c r="KBA148" s="370" t="e">
        <f>10/KAW146</f>
        <v>#DIV/0!</v>
      </c>
      <c r="KBB148" s="371">
        <v>15.38</v>
      </c>
      <c r="KBC148" s="371" t="e">
        <f>KAZ148*KBA148*KBB148</f>
        <v>#DIV/0!</v>
      </c>
      <c r="KBD148" s="367" t="s">
        <v>206</v>
      </c>
      <c r="KBE148" s="367"/>
      <c r="KBF148" s="367"/>
      <c r="KBG148" s="368" t="s">
        <v>168</v>
      </c>
      <c r="KBH148" s="369">
        <v>0.5</v>
      </c>
      <c r="KBI148" s="370" t="e">
        <f>10/KBE146</f>
        <v>#DIV/0!</v>
      </c>
      <c r="KBJ148" s="371">
        <v>15.38</v>
      </c>
      <c r="KBK148" s="371" t="e">
        <f>KBH148*KBI148*KBJ148</f>
        <v>#DIV/0!</v>
      </c>
      <c r="KBL148" s="367" t="s">
        <v>206</v>
      </c>
      <c r="KBM148" s="367"/>
      <c r="KBN148" s="367"/>
      <c r="KBO148" s="368" t="s">
        <v>168</v>
      </c>
      <c r="KBP148" s="369">
        <v>0.5</v>
      </c>
      <c r="KBQ148" s="370" t="e">
        <f>10/KBM146</f>
        <v>#DIV/0!</v>
      </c>
      <c r="KBR148" s="371">
        <v>15.38</v>
      </c>
      <c r="KBS148" s="371" t="e">
        <f>KBP148*KBQ148*KBR148</f>
        <v>#DIV/0!</v>
      </c>
      <c r="KBT148" s="367" t="s">
        <v>206</v>
      </c>
      <c r="KBU148" s="367"/>
      <c r="KBV148" s="367"/>
      <c r="KBW148" s="368" t="s">
        <v>168</v>
      </c>
      <c r="KBX148" s="369">
        <v>0.5</v>
      </c>
      <c r="KBY148" s="370" t="e">
        <f>10/KBU146</f>
        <v>#DIV/0!</v>
      </c>
      <c r="KBZ148" s="371">
        <v>15.38</v>
      </c>
      <c r="KCA148" s="371" t="e">
        <f>KBX148*KBY148*KBZ148</f>
        <v>#DIV/0!</v>
      </c>
      <c r="KCB148" s="367" t="s">
        <v>206</v>
      </c>
      <c r="KCC148" s="367"/>
      <c r="KCD148" s="367"/>
      <c r="KCE148" s="368" t="s">
        <v>168</v>
      </c>
      <c r="KCF148" s="369">
        <v>0.5</v>
      </c>
      <c r="KCG148" s="370" t="e">
        <f>10/KCC146</f>
        <v>#DIV/0!</v>
      </c>
      <c r="KCH148" s="371">
        <v>15.38</v>
      </c>
      <c r="KCI148" s="371" t="e">
        <f>KCF148*KCG148*KCH148</f>
        <v>#DIV/0!</v>
      </c>
      <c r="KCJ148" s="367" t="s">
        <v>206</v>
      </c>
      <c r="KCK148" s="367"/>
      <c r="KCL148" s="367"/>
      <c r="KCM148" s="368" t="s">
        <v>168</v>
      </c>
      <c r="KCN148" s="369">
        <v>0.5</v>
      </c>
      <c r="KCO148" s="370" t="e">
        <f>10/KCK146</f>
        <v>#DIV/0!</v>
      </c>
      <c r="KCP148" s="371">
        <v>15.38</v>
      </c>
      <c r="KCQ148" s="371" t="e">
        <f>KCN148*KCO148*KCP148</f>
        <v>#DIV/0!</v>
      </c>
      <c r="KCR148" s="367" t="s">
        <v>206</v>
      </c>
      <c r="KCS148" s="367"/>
      <c r="KCT148" s="367"/>
      <c r="KCU148" s="368" t="s">
        <v>168</v>
      </c>
      <c r="KCV148" s="369">
        <v>0.5</v>
      </c>
      <c r="KCW148" s="370" t="e">
        <f>10/KCS146</f>
        <v>#DIV/0!</v>
      </c>
      <c r="KCX148" s="371">
        <v>15.38</v>
      </c>
      <c r="KCY148" s="371" t="e">
        <f>KCV148*KCW148*KCX148</f>
        <v>#DIV/0!</v>
      </c>
      <c r="KCZ148" s="367" t="s">
        <v>206</v>
      </c>
      <c r="KDA148" s="367"/>
      <c r="KDB148" s="367"/>
      <c r="KDC148" s="368" t="s">
        <v>168</v>
      </c>
      <c r="KDD148" s="369">
        <v>0.5</v>
      </c>
      <c r="KDE148" s="370" t="e">
        <f>10/KDA146</f>
        <v>#DIV/0!</v>
      </c>
      <c r="KDF148" s="371">
        <v>15.38</v>
      </c>
      <c r="KDG148" s="371" t="e">
        <f>KDD148*KDE148*KDF148</f>
        <v>#DIV/0!</v>
      </c>
      <c r="KDH148" s="367" t="s">
        <v>206</v>
      </c>
      <c r="KDI148" s="367"/>
      <c r="KDJ148" s="367"/>
      <c r="KDK148" s="368" t="s">
        <v>168</v>
      </c>
      <c r="KDL148" s="369">
        <v>0.5</v>
      </c>
      <c r="KDM148" s="370" t="e">
        <f>10/KDI146</f>
        <v>#DIV/0!</v>
      </c>
      <c r="KDN148" s="371">
        <v>15.38</v>
      </c>
      <c r="KDO148" s="371" t="e">
        <f>KDL148*KDM148*KDN148</f>
        <v>#DIV/0!</v>
      </c>
      <c r="KDP148" s="367" t="s">
        <v>206</v>
      </c>
      <c r="KDQ148" s="367"/>
      <c r="KDR148" s="367"/>
      <c r="KDS148" s="368" t="s">
        <v>168</v>
      </c>
      <c r="KDT148" s="369">
        <v>0.5</v>
      </c>
      <c r="KDU148" s="370" t="e">
        <f>10/KDQ146</f>
        <v>#DIV/0!</v>
      </c>
      <c r="KDV148" s="371">
        <v>15.38</v>
      </c>
      <c r="KDW148" s="371" t="e">
        <f>KDT148*KDU148*KDV148</f>
        <v>#DIV/0!</v>
      </c>
      <c r="KDX148" s="367" t="s">
        <v>206</v>
      </c>
      <c r="KDY148" s="367"/>
      <c r="KDZ148" s="367"/>
      <c r="KEA148" s="368" t="s">
        <v>168</v>
      </c>
      <c r="KEB148" s="369">
        <v>0.5</v>
      </c>
      <c r="KEC148" s="370" t="e">
        <f>10/KDY146</f>
        <v>#DIV/0!</v>
      </c>
      <c r="KED148" s="371">
        <v>15.38</v>
      </c>
      <c r="KEE148" s="371" t="e">
        <f>KEB148*KEC148*KED148</f>
        <v>#DIV/0!</v>
      </c>
      <c r="KEF148" s="367" t="s">
        <v>206</v>
      </c>
      <c r="KEG148" s="367"/>
      <c r="KEH148" s="367"/>
      <c r="KEI148" s="368" t="s">
        <v>168</v>
      </c>
      <c r="KEJ148" s="369">
        <v>0.5</v>
      </c>
      <c r="KEK148" s="370" t="e">
        <f>10/KEG146</f>
        <v>#DIV/0!</v>
      </c>
      <c r="KEL148" s="371">
        <v>15.38</v>
      </c>
      <c r="KEM148" s="371" t="e">
        <f>KEJ148*KEK148*KEL148</f>
        <v>#DIV/0!</v>
      </c>
      <c r="KEN148" s="367" t="s">
        <v>206</v>
      </c>
      <c r="KEO148" s="367"/>
      <c r="KEP148" s="367"/>
      <c r="KEQ148" s="368" t="s">
        <v>168</v>
      </c>
      <c r="KER148" s="369">
        <v>0.5</v>
      </c>
      <c r="KES148" s="370" t="e">
        <f>10/KEO146</f>
        <v>#DIV/0!</v>
      </c>
      <c r="KET148" s="371">
        <v>15.38</v>
      </c>
      <c r="KEU148" s="371" t="e">
        <f>KER148*KES148*KET148</f>
        <v>#DIV/0!</v>
      </c>
      <c r="KEV148" s="367" t="s">
        <v>206</v>
      </c>
      <c r="KEW148" s="367"/>
      <c r="KEX148" s="367"/>
      <c r="KEY148" s="368" t="s">
        <v>168</v>
      </c>
      <c r="KEZ148" s="369">
        <v>0.5</v>
      </c>
      <c r="KFA148" s="370" t="e">
        <f>10/KEW146</f>
        <v>#DIV/0!</v>
      </c>
      <c r="KFB148" s="371">
        <v>15.38</v>
      </c>
      <c r="KFC148" s="371" t="e">
        <f>KEZ148*KFA148*KFB148</f>
        <v>#DIV/0!</v>
      </c>
      <c r="KFD148" s="367" t="s">
        <v>206</v>
      </c>
      <c r="KFE148" s="367"/>
      <c r="KFF148" s="367"/>
      <c r="KFG148" s="368" t="s">
        <v>168</v>
      </c>
      <c r="KFH148" s="369">
        <v>0.5</v>
      </c>
      <c r="KFI148" s="370" t="e">
        <f>10/KFE146</f>
        <v>#DIV/0!</v>
      </c>
      <c r="KFJ148" s="371">
        <v>15.38</v>
      </c>
      <c r="KFK148" s="371" t="e">
        <f>KFH148*KFI148*KFJ148</f>
        <v>#DIV/0!</v>
      </c>
      <c r="KFL148" s="367" t="s">
        <v>206</v>
      </c>
      <c r="KFM148" s="367"/>
      <c r="KFN148" s="367"/>
      <c r="KFO148" s="368" t="s">
        <v>168</v>
      </c>
      <c r="KFP148" s="369">
        <v>0.5</v>
      </c>
      <c r="KFQ148" s="370" t="e">
        <f>10/KFM146</f>
        <v>#DIV/0!</v>
      </c>
      <c r="KFR148" s="371">
        <v>15.38</v>
      </c>
      <c r="KFS148" s="371" t="e">
        <f>KFP148*KFQ148*KFR148</f>
        <v>#DIV/0!</v>
      </c>
      <c r="KFT148" s="367" t="s">
        <v>206</v>
      </c>
      <c r="KFU148" s="367"/>
      <c r="KFV148" s="367"/>
      <c r="KFW148" s="368" t="s">
        <v>168</v>
      </c>
      <c r="KFX148" s="369">
        <v>0.5</v>
      </c>
      <c r="KFY148" s="370" t="e">
        <f>10/KFU146</f>
        <v>#DIV/0!</v>
      </c>
      <c r="KFZ148" s="371">
        <v>15.38</v>
      </c>
      <c r="KGA148" s="371" t="e">
        <f>KFX148*KFY148*KFZ148</f>
        <v>#DIV/0!</v>
      </c>
      <c r="KGB148" s="367" t="s">
        <v>206</v>
      </c>
      <c r="KGC148" s="367"/>
      <c r="KGD148" s="367"/>
      <c r="KGE148" s="368" t="s">
        <v>168</v>
      </c>
      <c r="KGF148" s="369">
        <v>0.5</v>
      </c>
      <c r="KGG148" s="370" t="e">
        <f>10/KGC146</f>
        <v>#DIV/0!</v>
      </c>
      <c r="KGH148" s="371">
        <v>15.38</v>
      </c>
      <c r="KGI148" s="371" t="e">
        <f>KGF148*KGG148*KGH148</f>
        <v>#DIV/0!</v>
      </c>
      <c r="KGJ148" s="367" t="s">
        <v>206</v>
      </c>
      <c r="KGK148" s="367"/>
      <c r="KGL148" s="367"/>
      <c r="KGM148" s="368" t="s">
        <v>168</v>
      </c>
      <c r="KGN148" s="369">
        <v>0.5</v>
      </c>
      <c r="KGO148" s="370" t="e">
        <f>10/KGK146</f>
        <v>#DIV/0!</v>
      </c>
      <c r="KGP148" s="371">
        <v>15.38</v>
      </c>
      <c r="KGQ148" s="371" t="e">
        <f>KGN148*KGO148*KGP148</f>
        <v>#DIV/0!</v>
      </c>
      <c r="KGR148" s="367" t="s">
        <v>206</v>
      </c>
      <c r="KGS148" s="367"/>
      <c r="KGT148" s="367"/>
      <c r="KGU148" s="368" t="s">
        <v>168</v>
      </c>
      <c r="KGV148" s="369">
        <v>0.5</v>
      </c>
      <c r="KGW148" s="370" t="e">
        <f>10/KGS146</f>
        <v>#DIV/0!</v>
      </c>
      <c r="KGX148" s="371">
        <v>15.38</v>
      </c>
      <c r="KGY148" s="371" t="e">
        <f>KGV148*KGW148*KGX148</f>
        <v>#DIV/0!</v>
      </c>
      <c r="KGZ148" s="367" t="s">
        <v>206</v>
      </c>
      <c r="KHA148" s="367"/>
      <c r="KHB148" s="367"/>
      <c r="KHC148" s="368" t="s">
        <v>168</v>
      </c>
      <c r="KHD148" s="369">
        <v>0.5</v>
      </c>
      <c r="KHE148" s="370" t="e">
        <f>10/KHA146</f>
        <v>#DIV/0!</v>
      </c>
      <c r="KHF148" s="371">
        <v>15.38</v>
      </c>
      <c r="KHG148" s="371" t="e">
        <f>KHD148*KHE148*KHF148</f>
        <v>#DIV/0!</v>
      </c>
      <c r="KHH148" s="367" t="s">
        <v>206</v>
      </c>
      <c r="KHI148" s="367"/>
      <c r="KHJ148" s="367"/>
      <c r="KHK148" s="368" t="s">
        <v>168</v>
      </c>
      <c r="KHL148" s="369">
        <v>0.5</v>
      </c>
      <c r="KHM148" s="370" t="e">
        <f>10/KHI146</f>
        <v>#DIV/0!</v>
      </c>
      <c r="KHN148" s="371">
        <v>15.38</v>
      </c>
      <c r="KHO148" s="371" t="e">
        <f>KHL148*KHM148*KHN148</f>
        <v>#DIV/0!</v>
      </c>
      <c r="KHP148" s="367" t="s">
        <v>206</v>
      </c>
      <c r="KHQ148" s="367"/>
      <c r="KHR148" s="367"/>
      <c r="KHS148" s="368" t="s">
        <v>168</v>
      </c>
      <c r="KHT148" s="369">
        <v>0.5</v>
      </c>
      <c r="KHU148" s="370" t="e">
        <f>10/KHQ146</f>
        <v>#DIV/0!</v>
      </c>
      <c r="KHV148" s="371">
        <v>15.38</v>
      </c>
      <c r="KHW148" s="371" t="e">
        <f>KHT148*KHU148*KHV148</f>
        <v>#DIV/0!</v>
      </c>
      <c r="KHX148" s="367" t="s">
        <v>206</v>
      </c>
      <c r="KHY148" s="367"/>
      <c r="KHZ148" s="367"/>
      <c r="KIA148" s="368" t="s">
        <v>168</v>
      </c>
      <c r="KIB148" s="369">
        <v>0.5</v>
      </c>
      <c r="KIC148" s="370" t="e">
        <f>10/KHY146</f>
        <v>#DIV/0!</v>
      </c>
      <c r="KID148" s="371">
        <v>15.38</v>
      </c>
      <c r="KIE148" s="371" t="e">
        <f>KIB148*KIC148*KID148</f>
        <v>#DIV/0!</v>
      </c>
      <c r="KIF148" s="367" t="s">
        <v>206</v>
      </c>
      <c r="KIG148" s="367"/>
      <c r="KIH148" s="367"/>
      <c r="KII148" s="368" t="s">
        <v>168</v>
      </c>
      <c r="KIJ148" s="369">
        <v>0.5</v>
      </c>
      <c r="KIK148" s="370" t="e">
        <f>10/KIG146</f>
        <v>#DIV/0!</v>
      </c>
      <c r="KIL148" s="371">
        <v>15.38</v>
      </c>
      <c r="KIM148" s="371" t="e">
        <f>KIJ148*KIK148*KIL148</f>
        <v>#DIV/0!</v>
      </c>
      <c r="KIN148" s="367" t="s">
        <v>206</v>
      </c>
      <c r="KIO148" s="367"/>
      <c r="KIP148" s="367"/>
      <c r="KIQ148" s="368" t="s">
        <v>168</v>
      </c>
      <c r="KIR148" s="369">
        <v>0.5</v>
      </c>
      <c r="KIS148" s="370" t="e">
        <f>10/KIO146</f>
        <v>#DIV/0!</v>
      </c>
      <c r="KIT148" s="371">
        <v>15.38</v>
      </c>
      <c r="KIU148" s="371" t="e">
        <f>KIR148*KIS148*KIT148</f>
        <v>#DIV/0!</v>
      </c>
      <c r="KIV148" s="367" t="s">
        <v>206</v>
      </c>
      <c r="KIW148" s="367"/>
      <c r="KIX148" s="367"/>
      <c r="KIY148" s="368" t="s">
        <v>168</v>
      </c>
      <c r="KIZ148" s="369">
        <v>0.5</v>
      </c>
      <c r="KJA148" s="370" t="e">
        <f>10/KIW146</f>
        <v>#DIV/0!</v>
      </c>
      <c r="KJB148" s="371">
        <v>15.38</v>
      </c>
      <c r="KJC148" s="371" t="e">
        <f>KIZ148*KJA148*KJB148</f>
        <v>#DIV/0!</v>
      </c>
      <c r="KJD148" s="367" t="s">
        <v>206</v>
      </c>
      <c r="KJE148" s="367"/>
      <c r="KJF148" s="367"/>
      <c r="KJG148" s="368" t="s">
        <v>168</v>
      </c>
      <c r="KJH148" s="369">
        <v>0.5</v>
      </c>
      <c r="KJI148" s="370" t="e">
        <f>10/KJE146</f>
        <v>#DIV/0!</v>
      </c>
      <c r="KJJ148" s="371">
        <v>15.38</v>
      </c>
      <c r="KJK148" s="371" t="e">
        <f>KJH148*KJI148*KJJ148</f>
        <v>#DIV/0!</v>
      </c>
      <c r="KJL148" s="367" t="s">
        <v>206</v>
      </c>
      <c r="KJM148" s="367"/>
      <c r="KJN148" s="367"/>
      <c r="KJO148" s="368" t="s">
        <v>168</v>
      </c>
      <c r="KJP148" s="369">
        <v>0.5</v>
      </c>
      <c r="KJQ148" s="370" t="e">
        <f>10/KJM146</f>
        <v>#DIV/0!</v>
      </c>
      <c r="KJR148" s="371">
        <v>15.38</v>
      </c>
      <c r="KJS148" s="371" t="e">
        <f>KJP148*KJQ148*KJR148</f>
        <v>#DIV/0!</v>
      </c>
      <c r="KJT148" s="367" t="s">
        <v>206</v>
      </c>
      <c r="KJU148" s="367"/>
      <c r="KJV148" s="367"/>
      <c r="KJW148" s="368" t="s">
        <v>168</v>
      </c>
      <c r="KJX148" s="369">
        <v>0.5</v>
      </c>
      <c r="KJY148" s="370" t="e">
        <f>10/KJU146</f>
        <v>#DIV/0!</v>
      </c>
      <c r="KJZ148" s="371">
        <v>15.38</v>
      </c>
      <c r="KKA148" s="371" t="e">
        <f>KJX148*KJY148*KJZ148</f>
        <v>#DIV/0!</v>
      </c>
      <c r="KKB148" s="367" t="s">
        <v>206</v>
      </c>
      <c r="KKC148" s="367"/>
      <c r="KKD148" s="367"/>
      <c r="KKE148" s="368" t="s">
        <v>168</v>
      </c>
      <c r="KKF148" s="369">
        <v>0.5</v>
      </c>
      <c r="KKG148" s="370" t="e">
        <f>10/KKC146</f>
        <v>#DIV/0!</v>
      </c>
      <c r="KKH148" s="371">
        <v>15.38</v>
      </c>
      <c r="KKI148" s="371" t="e">
        <f>KKF148*KKG148*KKH148</f>
        <v>#DIV/0!</v>
      </c>
      <c r="KKJ148" s="367" t="s">
        <v>206</v>
      </c>
      <c r="KKK148" s="367"/>
      <c r="KKL148" s="367"/>
      <c r="KKM148" s="368" t="s">
        <v>168</v>
      </c>
      <c r="KKN148" s="369">
        <v>0.5</v>
      </c>
      <c r="KKO148" s="370" t="e">
        <f>10/KKK146</f>
        <v>#DIV/0!</v>
      </c>
      <c r="KKP148" s="371">
        <v>15.38</v>
      </c>
      <c r="KKQ148" s="371" t="e">
        <f>KKN148*KKO148*KKP148</f>
        <v>#DIV/0!</v>
      </c>
      <c r="KKR148" s="367" t="s">
        <v>206</v>
      </c>
      <c r="KKS148" s="367"/>
      <c r="KKT148" s="367"/>
      <c r="KKU148" s="368" t="s">
        <v>168</v>
      </c>
      <c r="KKV148" s="369">
        <v>0.5</v>
      </c>
      <c r="KKW148" s="370" t="e">
        <f>10/KKS146</f>
        <v>#DIV/0!</v>
      </c>
      <c r="KKX148" s="371">
        <v>15.38</v>
      </c>
      <c r="KKY148" s="371" t="e">
        <f>KKV148*KKW148*KKX148</f>
        <v>#DIV/0!</v>
      </c>
      <c r="KKZ148" s="367" t="s">
        <v>206</v>
      </c>
      <c r="KLA148" s="367"/>
      <c r="KLB148" s="367"/>
      <c r="KLC148" s="368" t="s">
        <v>168</v>
      </c>
      <c r="KLD148" s="369">
        <v>0.5</v>
      </c>
      <c r="KLE148" s="370" t="e">
        <f>10/KLA146</f>
        <v>#DIV/0!</v>
      </c>
      <c r="KLF148" s="371">
        <v>15.38</v>
      </c>
      <c r="KLG148" s="371" t="e">
        <f>KLD148*KLE148*KLF148</f>
        <v>#DIV/0!</v>
      </c>
      <c r="KLH148" s="367" t="s">
        <v>206</v>
      </c>
      <c r="KLI148" s="367"/>
      <c r="KLJ148" s="367"/>
      <c r="KLK148" s="368" t="s">
        <v>168</v>
      </c>
      <c r="KLL148" s="369">
        <v>0.5</v>
      </c>
      <c r="KLM148" s="370" t="e">
        <f>10/KLI146</f>
        <v>#DIV/0!</v>
      </c>
      <c r="KLN148" s="371">
        <v>15.38</v>
      </c>
      <c r="KLO148" s="371" t="e">
        <f>KLL148*KLM148*KLN148</f>
        <v>#DIV/0!</v>
      </c>
      <c r="KLP148" s="367" t="s">
        <v>206</v>
      </c>
      <c r="KLQ148" s="367"/>
      <c r="KLR148" s="367"/>
      <c r="KLS148" s="368" t="s">
        <v>168</v>
      </c>
      <c r="KLT148" s="369">
        <v>0.5</v>
      </c>
      <c r="KLU148" s="370" t="e">
        <f>10/KLQ146</f>
        <v>#DIV/0!</v>
      </c>
      <c r="KLV148" s="371">
        <v>15.38</v>
      </c>
      <c r="KLW148" s="371" t="e">
        <f>KLT148*KLU148*KLV148</f>
        <v>#DIV/0!</v>
      </c>
      <c r="KLX148" s="367" t="s">
        <v>206</v>
      </c>
      <c r="KLY148" s="367"/>
      <c r="KLZ148" s="367"/>
      <c r="KMA148" s="368" t="s">
        <v>168</v>
      </c>
      <c r="KMB148" s="369">
        <v>0.5</v>
      </c>
      <c r="KMC148" s="370" t="e">
        <f>10/KLY146</f>
        <v>#DIV/0!</v>
      </c>
      <c r="KMD148" s="371">
        <v>15.38</v>
      </c>
      <c r="KME148" s="371" t="e">
        <f>KMB148*KMC148*KMD148</f>
        <v>#DIV/0!</v>
      </c>
      <c r="KMF148" s="367" t="s">
        <v>206</v>
      </c>
      <c r="KMG148" s="367"/>
      <c r="KMH148" s="367"/>
      <c r="KMI148" s="368" t="s">
        <v>168</v>
      </c>
      <c r="KMJ148" s="369">
        <v>0.5</v>
      </c>
      <c r="KMK148" s="370" t="e">
        <f>10/KMG146</f>
        <v>#DIV/0!</v>
      </c>
      <c r="KML148" s="371">
        <v>15.38</v>
      </c>
      <c r="KMM148" s="371" t="e">
        <f>KMJ148*KMK148*KML148</f>
        <v>#DIV/0!</v>
      </c>
      <c r="KMN148" s="367" t="s">
        <v>206</v>
      </c>
      <c r="KMO148" s="367"/>
      <c r="KMP148" s="367"/>
      <c r="KMQ148" s="368" t="s">
        <v>168</v>
      </c>
      <c r="KMR148" s="369">
        <v>0.5</v>
      </c>
      <c r="KMS148" s="370" t="e">
        <f>10/KMO146</f>
        <v>#DIV/0!</v>
      </c>
      <c r="KMT148" s="371">
        <v>15.38</v>
      </c>
      <c r="KMU148" s="371" t="e">
        <f>KMR148*KMS148*KMT148</f>
        <v>#DIV/0!</v>
      </c>
      <c r="KMV148" s="367" t="s">
        <v>206</v>
      </c>
      <c r="KMW148" s="367"/>
      <c r="KMX148" s="367"/>
      <c r="KMY148" s="368" t="s">
        <v>168</v>
      </c>
      <c r="KMZ148" s="369">
        <v>0.5</v>
      </c>
      <c r="KNA148" s="370" t="e">
        <f>10/KMW146</f>
        <v>#DIV/0!</v>
      </c>
      <c r="KNB148" s="371">
        <v>15.38</v>
      </c>
      <c r="KNC148" s="371" t="e">
        <f>KMZ148*KNA148*KNB148</f>
        <v>#DIV/0!</v>
      </c>
      <c r="KND148" s="367" t="s">
        <v>206</v>
      </c>
      <c r="KNE148" s="367"/>
      <c r="KNF148" s="367"/>
      <c r="KNG148" s="368" t="s">
        <v>168</v>
      </c>
      <c r="KNH148" s="369">
        <v>0.5</v>
      </c>
      <c r="KNI148" s="370" t="e">
        <f>10/KNE146</f>
        <v>#DIV/0!</v>
      </c>
      <c r="KNJ148" s="371">
        <v>15.38</v>
      </c>
      <c r="KNK148" s="371" t="e">
        <f>KNH148*KNI148*KNJ148</f>
        <v>#DIV/0!</v>
      </c>
      <c r="KNL148" s="367" t="s">
        <v>206</v>
      </c>
      <c r="KNM148" s="367"/>
      <c r="KNN148" s="367"/>
      <c r="KNO148" s="368" t="s">
        <v>168</v>
      </c>
      <c r="KNP148" s="369">
        <v>0.5</v>
      </c>
      <c r="KNQ148" s="370" t="e">
        <f>10/KNM146</f>
        <v>#DIV/0!</v>
      </c>
      <c r="KNR148" s="371">
        <v>15.38</v>
      </c>
      <c r="KNS148" s="371" t="e">
        <f>KNP148*KNQ148*KNR148</f>
        <v>#DIV/0!</v>
      </c>
      <c r="KNT148" s="367" t="s">
        <v>206</v>
      </c>
      <c r="KNU148" s="367"/>
      <c r="KNV148" s="367"/>
      <c r="KNW148" s="368" t="s">
        <v>168</v>
      </c>
      <c r="KNX148" s="369">
        <v>0.5</v>
      </c>
      <c r="KNY148" s="370" t="e">
        <f>10/KNU146</f>
        <v>#DIV/0!</v>
      </c>
      <c r="KNZ148" s="371">
        <v>15.38</v>
      </c>
      <c r="KOA148" s="371" t="e">
        <f>KNX148*KNY148*KNZ148</f>
        <v>#DIV/0!</v>
      </c>
      <c r="KOB148" s="367" t="s">
        <v>206</v>
      </c>
      <c r="KOC148" s="367"/>
      <c r="KOD148" s="367"/>
      <c r="KOE148" s="368" t="s">
        <v>168</v>
      </c>
      <c r="KOF148" s="369">
        <v>0.5</v>
      </c>
      <c r="KOG148" s="370" t="e">
        <f>10/KOC146</f>
        <v>#DIV/0!</v>
      </c>
      <c r="KOH148" s="371">
        <v>15.38</v>
      </c>
      <c r="KOI148" s="371" t="e">
        <f>KOF148*KOG148*KOH148</f>
        <v>#DIV/0!</v>
      </c>
      <c r="KOJ148" s="367" t="s">
        <v>206</v>
      </c>
      <c r="KOK148" s="367"/>
      <c r="KOL148" s="367"/>
      <c r="KOM148" s="368" t="s">
        <v>168</v>
      </c>
      <c r="KON148" s="369">
        <v>0.5</v>
      </c>
      <c r="KOO148" s="370" t="e">
        <f>10/KOK146</f>
        <v>#DIV/0!</v>
      </c>
      <c r="KOP148" s="371">
        <v>15.38</v>
      </c>
      <c r="KOQ148" s="371" t="e">
        <f>KON148*KOO148*KOP148</f>
        <v>#DIV/0!</v>
      </c>
      <c r="KOR148" s="367" t="s">
        <v>206</v>
      </c>
      <c r="KOS148" s="367"/>
      <c r="KOT148" s="367"/>
      <c r="KOU148" s="368" t="s">
        <v>168</v>
      </c>
      <c r="KOV148" s="369">
        <v>0.5</v>
      </c>
      <c r="KOW148" s="370" t="e">
        <f>10/KOS146</f>
        <v>#DIV/0!</v>
      </c>
      <c r="KOX148" s="371">
        <v>15.38</v>
      </c>
      <c r="KOY148" s="371" t="e">
        <f>KOV148*KOW148*KOX148</f>
        <v>#DIV/0!</v>
      </c>
      <c r="KOZ148" s="367" t="s">
        <v>206</v>
      </c>
      <c r="KPA148" s="367"/>
      <c r="KPB148" s="367"/>
      <c r="KPC148" s="368" t="s">
        <v>168</v>
      </c>
      <c r="KPD148" s="369">
        <v>0.5</v>
      </c>
      <c r="KPE148" s="370" t="e">
        <f>10/KPA146</f>
        <v>#DIV/0!</v>
      </c>
      <c r="KPF148" s="371">
        <v>15.38</v>
      </c>
      <c r="KPG148" s="371" t="e">
        <f>KPD148*KPE148*KPF148</f>
        <v>#DIV/0!</v>
      </c>
      <c r="KPH148" s="367" t="s">
        <v>206</v>
      </c>
      <c r="KPI148" s="367"/>
      <c r="KPJ148" s="367"/>
      <c r="KPK148" s="368" t="s">
        <v>168</v>
      </c>
      <c r="KPL148" s="369">
        <v>0.5</v>
      </c>
      <c r="KPM148" s="370" t="e">
        <f>10/KPI146</f>
        <v>#DIV/0!</v>
      </c>
      <c r="KPN148" s="371">
        <v>15.38</v>
      </c>
      <c r="KPO148" s="371" t="e">
        <f>KPL148*KPM148*KPN148</f>
        <v>#DIV/0!</v>
      </c>
      <c r="KPP148" s="367" t="s">
        <v>206</v>
      </c>
      <c r="KPQ148" s="367"/>
      <c r="KPR148" s="367"/>
      <c r="KPS148" s="368" t="s">
        <v>168</v>
      </c>
      <c r="KPT148" s="369">
        <v>0.5</v>
      </c>
      <c r="KPU148" s="370" t="e">
        <f>10/KPQ146</f>
        <v>#DIV/0!</v>
      </c>
      <c r="KPV148" s="371">
        <v>15.38</v>
      </c>
      <c r="KPW148" s="371" t="e">
        <f>KPT148*KPU148*KPV148</f>
        <v>#DIV/0!</v>
      </c>
      <c r="KPX148" s="367" t="s">
        <v>206</v>
      </c>
      <c r="KPY148" s="367"/>
      <c r="KPZ148" s="367"/>
      <c r="KQA148" s="368" t="s">
        <v>168</v>
      </c>
      <c r="KQB148" s="369">
        <v>0.5</v>
      </c>
      <c r="KQC148" s="370" t="e">
        <f>10/KPY146</f>
        <v>#DIV/0!</v>
      </c>
      <c r="KQD148" s="371">
        <v>15.38</v>
      </c>
      <c r="KQE148" s="371" t="e">
        <f>KQB148*KQC148*KQD148</f>
        <v>#DIV/0!</v>
      </c>
      <c r="KQF148" s="367" t="s">
        <v>206</v>
      </c>
      <c r="KQG148" s="367"/>
      <c r="KQH148" s="367"/>
      <c r="KQI148" s="368" t="s">
        <v>168</v>
      </c>
      <c r="KQJ148" s="369">
        <v>0.5</v>
      </c>
      <c r="KQK148" s="370" t="e">
        <f>10/KQG146</f>
        <v>#DIV/0!</v>
      </c>
      <c r="KQL148" s="371">
        <v>15.38</v>
      </c>
      <c r="KQM148" s="371" t="e">
        <f>KQJ148*KQK148*KQL148</f>
        <v>#DIV/0!</v>
      </c>
      <c r="KQN148" s="367" t="s">
        <v>206</v>
      </c>
      <c r="KQO148" s="367"/>
      <c r="KQP148" s="367"/>
      <c r="KQQ148" s="368" t="s">
        <v>168</v>
      </c>
      <c r="KQR148" s="369">
        <v>0.5</v>
      </c>
      <c r="KQS148" s="370" t="e">
        <f>10/KQO146</f>
        <v>#DIV/0!</v>
      </c>
      <c r="KQT148" s="371">
        <v>15.38</v>
      </c>
      <c r="KQU148" s="371" t="e">
        <f>KQR148*KQS148*KQT148</f>
        <v>#DIV/0!</v>
      </c>
      <c r="KQV148" s="367" t="s">
        <v>206</v>
      </c>
      <c r="KQW148" s="367"/>
      <c r="KQX148" s="367"/>
      <c r="KQY148" s="368" t="s">
        <v>168</v>
      </c>
      <c r="KQZ148" s="369">
        <v>0.5</v>
      </c>
      <c r="KRA148" s="370" t="e">
        <f>10/KQW146</f>
        <v>#DIV/0!</v>
      </c>
      <c r="KRB148" s="371">
        <v>15.38</v>
      </c>
      <c r="KRC148" s="371" t="e">
        <f>KQZ148*KRA148*KRB148</f>
        <v>#DIV/0!</v>
      </c>
      <c r="KRD148" s="367" t="s">
        <v>206</v>
      </c>
      <c r="KRE148" s="367"/>
      <c r="KRF148" s="367"/>
      <c r="KRG148" s="368" t="s">
        <v>168</v>
      </c>
      <c r="KRH148" s="369">
        <v>0.5</v>
      </c>
      <c r="KRI148" s="370" t="e">
        <f>10/KRE146</f>
        <v>#DIV/0!</v>
      </c>
      <c r="KRJ148" s="371">
        <v>15.38</v>
      </c>
      <c r="KRK148" s="371" t="e">
        <f>KRH148*KRI148*KRJ148</f>
        <v>#DIV/0!</v>
      </c>
      <c r="KRL148" s="367" t="s">
        <v>206</v>
      </c>
      <c r="KRM148" s="367"/>
      <c r="KRN148" s="367"/>
      <c r="KRO148" s="368" t="s">
        <v>168</v>
      </c>
      <c r="KRP148" s="369">
        <v>0.5</v>
      </c>
      <c r="KRQ148" s="370" t="e">
        <f>10/KRM146</f>
        <v>#DIV/0!</v>
      </c>
      <c r="KRR148" s="371">
        <v>15.38</v>
      </c>
      <c r="KRS148" s="371" t="e">
        <f>KRP148*KRQ148*KRR148</f>
        <v>#DIV/0!</v>
      </c>
      <c r="KRT148" s="367" t="s">
        <v>206</v>
      </c>
      <c r="KRU148" s="367"/>
      <c r="KRV148" s="367"/>
      <c r="KRW148" s="368" t="s">
        <v>168</v>
      </c>
      <c r="KRX148" s="369">
        <v>0.5</v>
      </c>
      <c r="KRY148" s="370" t="e">
        <f>10/KRU146</f>
        <v>#DIV/0!</v>
      </c>
      <c r="KRZ148" s="371">
        <v>15.38</v>
      </c>
      <c r="KSA148" s="371" t="e">
        <f>KRX148*KRY148*KRZ148</f>
        <v>#DIV/0!</v>
      </c>
      <c r="KSB148" s="367" t="s">
        <v>206</v>
      </c>
      <c r="KSC148" s="367"/>
      <c r="KSD148" s="367"/>
      <c r="KSE148" s="368" t="s">
        <v>168</v>
      </c>
      <c r="KSF148" s="369">
        <v>0.5</v>
      </c>
      <c r="KSG148" s="370" t="e">
        <f>10/KSC146</f>
        <v>#DIV/0!</v>
      </c>
      <c r="KSH148" s="371">
        <v>15.38</v>
      </c>
      <c r="KSI148" s="371" t="e">
        <f>KSF148*KSG148*KSH148</f>
        <v>#DIV/0!</v>
      </c>
      <c r="KSJ148" s="367" t="s">
        <v>206</v>
      </c>
      <c r="KSK148" s="367"/>
      <c r="KSL148" s="367"/>
      <c r="KSM148" s="368" t="s">
        <v>168</v>
      </c>
      <c r="KSN148" s="369">
        <v>0.5</v>
      </c>
      <c r="KSO148" s="370" t="e">
        <f>10/KSK146</f>
        <v>#DIV/0!</v>
      </c>
      <c r="KSP148" s="371">
        <v>15.38</v>
      </c>
      <c r="KSQ148" s="371" t="e">
        <f>KSN148*KSO148*KSP148</f>
        <v>#DIV/0!</v>
      </c>
      <c r="KSR148" s="367" t="s">
        <v>206</v>
      </c>
      <c r="KSS148" s="367"/>
      <c r="KST148" s="367"/>
      <c r="KSU148" s="368" t="s">
        <v>168</v>
      </c>
      <c r="KSV148" s="369">
        <v>0.5</v>
      </c>
      <c r="KSW148" s="370" t="e">
        <f>10/KSS146</f>
        <v>#DIV/0!</v>
      </c>
      <c r="KSX148" s="371">
        <v>15.38</v>
      </c>
      <c r="KSY148" s="371" t="e">
        <f>KSV148*KSW148*KSX148</f>
        <v>#DIV/0!</v>
      </c>
      <c r="KSZ148" s="367" t="s">
        <v>206</v>
      </c>
      <c r="KTA148" s="367"/>
      <c r="KTB148" s="367"/>
      <c r="KTC148" s="368" t="s">
        <v>168</v>
      </c>
      <c r="KTD148" s="369">
        <v>0.5</v>
      </c>
      <c r="KTE148" s="370" t="e">
        <f>10/KTA146</f>
        <v>#DIV/0!</v>
      </c>
      <c r="KTF148" s="371">
        <v>15.38</v>
      </c>
      <c r="KTG148" s="371" t="e">
        <f>KTD148*KTE148*KTF148</f>
        <v>#DIV/0!</v>
      </c>
      <c r="KTH148" s="367" t="s">
        <v>206</v>
      </c>
      <c r="KTI148" s="367"/>
      <c r="KTJ148" s="367"/>
      <c r="KTK148" s="368" t="s">
        <v>168</v>
      </c>
      <c r="KTL148" s="369">
        <v>0.5</v>
      </c>
      <c r="KTM148" s="370" t="e">
        <f>10/KTI146</f>
        <v>#DIV/0!</v>
      </c>
      <c r="KTN148" s="371">
        <v>15.38</v>
      </c>
      <c r="KTO148" s="371" t="e">
        <f>KTL148*KTM148*KTN148</f>
        <v>#DIV/0!</v>
      </c>
      <c r="KTP148" s="367" t="s">
        <v>206</v>
      </c>
      <c r="KTQ148" s="367"/>
      <c r="KTR148" s="367"/>
      <c r="KTS148" s="368" t="s">
        <v>168</v>
      </c>
      <c r="KTT148" s="369">
        <v>0.5</v>
      </c>
      <c r="KTU148" s="370" t="e">
        <f>10/KTQ146</f>
        <v>#DIV/0!</v>
      </c>
      <c r="KTV148" s="371">
        <v>15.38</v>
      </c>
      <c r="KTW148" s="371" t="e">
        <f>KTT148*KTU148*KTV148</f>
        <v>#DIV/0!</v>
      </c>
      <c r="KTX148" s="367" t="s">
        <v>206</v>
      </c>
      <c r="KTY148" s="367"/>
      <c r="KTZ148" s="367"/>
      <c r="KUA148" s="368" t="s">
        <v>168</v>
      </c>
      <c r="KUB148" s="369">
        <v>0.5</v>
      </c>
      <c r="KUC148" s="370" t="e">
        <f>10/KTY146</f>
        <v>#DIV/0!</v>
      </c>
      <c r="KUD148" s="371">
        <v>15.38</v>
      </c>
      <c r="KUE148" s="371" t="e">
        <f>KUB148*KUC148*KUD148</f>
        <v>#DIV/0!</v>
      </c>
      <c r="KUF148" s="367" t="s">
        <v>206</v>
      </c>
      <c r="KUG148" s="367"/>
      <c r="KUH148" s="367"/>
      <c r="KUI148" s="368" t="s">
        <v>168</v>
      </c>
      <c r="KUJ148" s="369">
        <v>0.5</v>
      </c>
      <c r="KUK148" s="370" t="e">
        <f>10/KUG146</f>
        <v>#DIV/0!</v>
      </c>
      <c r="KUL148" s="371">
        <v>15.38</v>
      </c>
      <c r="KUM148" s="371" t="e">
        <f>KUJ148*KUK148*KUL148</f>
        <v>#DIV/0!</v>
      </c>
      <c r="KUN148" s="367" t="s">
        <v>206</v>
      </c>
      <c r="KUO148" s="367"/>
      <c r="KUP148" s="367"/>
      <c r="KUQ148" s="368" t="s">
        <v>168</v>
      </c>
      <c r="KUR148" s="369">
        <v>0.5</v>
      </c>
      <c r="KUS148" s="370" t="e">
        <f>10/KUO146</f>
        <v>#DIV/0!</v>
      </c>
      <c r="KUT148" s="371">
        <v>15.38</v>
      </c>
      <c r="KUU148" s="371" t="e">
        <f>KUR148*KUS148*KUT148</f>
        <v>#DIV/0!</v>
      </c>
      <c r="KUV148" s="367" t="s">
        <v>206</v>
      </c>
      <c r="KUW148" s="367"/>
      <c r="KUX148" s="367"/>
      <c r="KUY148" s="368" t="s">
        <v>168</v>
      </c>
      <c r="KUZ148" s="369">
        <v>0.5</v>
      </c>
      <c r="KVA148" s="370" t="e">
        <f>10/KUW146</f>
        <v>#DIV/0!</v>
      </c>
      <c r="KVB148" s="371">
        <v>15.38</v>
      </c>
      <c r="KVC148" s="371" t="e">
        <f>KUZ148*KVA148*KVB148</f>
        <v>#DIV/0!</v>
      </c>
      <c r="KVD148" s="367" t="s">
        <v>206</v>
      </c>
      <c r="KVE148" s="367"/>
      <c r="KVF148" s="367"/>
      <c r="KVG148" s="368" t="s">
        <v>168</v>
      </c>
      <c r="KVH148" s="369">
        <v>0.5</v>
      </c>
      <c r="KVI148" s="370" t="e">
        <f>10/KVE146</f>
        <v>#DIV/0!</v>
      </c>
      <c r="KVJ148" s="371">
        <v>15.38</v>
      </c>
      <c r="KVK148" s="371" t="e">
        <f>KVH148*KVI148*KVJ148</f>
        <v>#DIV/0!</v>
      </c>
      <c r="KVL148" s="367" t="s">
        <v>206</v>
      </c>
      <c r="KVM148" s="367"/>
      <c r="KVN148" s="367"/>
      <c r="KVO148" s="368" t="s">
        <v>168</v>
      </c>
      <c r="KVP148" s="369">
        <v>0.5</v>
      </c>
      <c r="KVQ148" s="370" t="e">
        <f>10/KVM146</f>
        <v>#DIV/0!</v>
      </c>
      <c r="KVR148" s="371">
        <v>15.38</v>
      </c>
      <c r="KVS148" s="371" t="e">
        <f>KVP148*KVQ148*KVR148</f>
        <v>#DIV/0!</v>
      </c>
      <c r="KVT148" s="367" t="s">
        <v>206</v>
      </c>
      <c r="KVU148" s="367"/>
      <c r="KVV148" s="367"/>
      <c r="KVW148" s="368" t="s">
        <v>168</v>
      </c>
      <c r="KVX148" s="369">
        <v>0.5</v>
      </c>
      <c r="KVY148" s="370" t="e">
        <f>10/KVU146</f>
        <v>#DIV/0!</v>
      </c>
      <c r="KVZ148" s="371">
        <v>15.38</v>
      </c>
      <c r="KWA148" s="371" t="e">
        <f>KVX148*KVY148*KVZ148</f>
        <v>#DIV/0!</v>
      </c>
      <c r="KWB148" s="367" t="s">
        <v>206</v>
      </c>
      <c r="KWC148" s="367"/>
      <c r="KWD148" s="367"/>
      <c r="KWE148" s="368" t="s">
        <v>168</v>
      </c>
      <c r="KWF148" s="369">
        <v>0.5</v>
      </c>
      <c r="KWG148" s="370" t="e">
        <f>10/KWC146</f>
        <v>#DIV/0!</v>
      </c>
      <c r="KWH148" s="371">
        <v>15.38</v>
      </c>
      <c r="KWI148" s="371" t="e">
        <f>KWF148*KWG148*KWH148</f>
        <v>#DIV/0!</v>
      </c>
      <c r="KWJ148" s="367" t="s">
        <v>206</v>
      </c>
      <c r="KWK148" s="367"/>
      <c r="KWL148" s="367"/>
      <c r="KWM148" s="368" t="s">
        <v>168</v>
      </c>
      <c r="KWN148" s="369">
        <v>0.5</v>
      </c>
      <c r="KWO148" s="370" t="e">
        <f>10/KWK146</f>
        <v>#DIV/0!</v>
      </c>
      <c r="KWP148" s="371">
        <v>15.38</v>
      </c>
      <c r="KWQ148" s="371" t="e">
        <f>KWN148*KWO148*KWP148</f>
        <v>#DIV/0!</v>
      </c>
      <c r="KWR148" s="367" t="s">
        <v>206</v>
      </c>
      <c r="KWS148" s="367"/>
      <c r="KWT148" s="367"/>
      <c r="KWU148" s="368" t="s">
        <v>168</v>
      </c>
      <c r="KWV148" s="369">
        <v>0.5</v>
      </c>
      <c r="KWW148" s="370" t="e">
        <f>10/KWS146</f>
        <v>#DIV/0!</v>
      </c>
      <c r="KWX148" s="371">
        <v>15.38</v>
      </c>
      <c r="KWY148" s="371" t="e">
        <f>KWV148*KWW148*KWX148</f>
        <v>#DIV/0!</v>
      </c>
      <c r="KWZ148" s="367" t="s">
        <v>206</v>
      </c>
      <c r="KXA148" s="367"/>
      <c r="KXB148" s="367"/>
      <c r="KXC148" s="368" t="s">
        <v>168</v>
      </c>
      <c r="KXD148" s="369">
        <v>0.5</v>
      </c>
      <c r="KXE148" s="370" t="e">
        <f>10/KXA146</f>
        <v>#DIV/0!</v>
      </c>
      <c r="KXF148" s="371">
        <v>15.38</v>
      </c>
      <c r="KXG148" s="371" t="e">
        <f>KXD148*KXE148*KXF148</f>
        <v>#DIV/0!</v>
      </c>
      <c r="KXH148" s="367" t="s">
        <v>206</v>
      </c>
      <c r="KXI148" s="367"/>
      <c r="KXJ148" s="367"/>
      <c r="KXK148" s="368" t="s">
        <v>168</v>
      </c>
      <c r="KXL148" s="369">
        <v>0.5</v>
      </c>
      <c r="KXM148" s="370" t="e">
        <f>10/KXI146</f>
        <v>#DIV/0!</v>
      </c>
      <c r="KXN148" s="371">
        <v>15.38</v>
      </c>
      <c r="KXO148" s="371" t="e">
        <f>KXL148*KXM148*KXN148</f>
        <v>#DIV/0!</v>
      </c>
      <c r="KXP148" s="367" t="s">
        <v>206</v>
      </c>
      <c r="KXQ148" s="367"/>
      <c r="KXR148" s="367"/>
      <c r="KXS148" s="368" t="s">
        <v>168</v>
      </c>
      <c r="KXT148" s="369">
        <v>0.5</v>
      </c>
      <c r="KXU148" s="370" t="e">
        <f>10/KXQ146</f>
        <v>#DIV/0!</v>
      </c>
      <c r="KXV148" s="371">
        <v>15.38</v>
      </c>
      <c r="KXW148" s="371" t="e">
        <f>KXT148*KXU148*KXV148</f>
        <v>#DIV/0!</v>
      </c>
      <c r="KXX148" s="367" t="s">
        <v>206</v>
      </c>
      <c r="KXY148" s="367"/>
      <c r="KXZ148" s="367"/>
      <c r="KYA148" s="368" t="s">
        <v>168</v>
      </c>
      <c r="KYB148" s="369">
        <v>0.5</v>
      </c>
      <c r="KYC148" s="370" t="e">
        <f>10/KXY146</f>
        <v>#DIV/0!</v>
      </c>
      <c r="KYD148" s="371">
        <v>15.38</v>
      </c>
      <c r="KYE148" s="371" t="e">
        <f>KYB148*KYC148*KYD148</f>
        <v>#DIV/0!</v>
      </c>
      <c r="KYF148" s="367" t="s">
        <v>206</v>
      </c>
      <c r="KYG148" s="367"/>
      <c r="KYH148" s="367"/>
      <c r="KYI148" s="368" t="s">
        <v>168</v>
      </c>
      <c r="KYJ148" s="369">
        <v>0.5</v>
      </c>
      <c r="KYK148" s="370" t="e">
        <f>10/KYG146</f>
        <v>#DIV/0!</v>
      </c>
      <c r="KYL148" s="371">
        <v>15.38</v>
      </c>
      <c r="KYM148" s="371" t="e">
        <f>KYJ148*KYK148*KYL148</f>
        <v>#DIV/0!</v>
      </c>
      <c r="KYN148" s="367" t="s">
        <v>206</v>
      </c>
      <c r="KYO148" s="367"/>
      <c r="KYP148" s="367"/>
      <c r="KYQ148" s="368" t="s">
        <v>168</v>
      </c>
      <c r="KYR148" s="369">
        <v>0.5</v>
      </c>
      <c r="KYS148" s="370" t="e">
        <f>10/KYO146</f>
        <v>#DIV/0!</v>
      </c>
      <c r="KYT148" s="371">
        <v>15.38</v>
      </c>
      <c r="KYU148" s="371" t="e">
        <f>KYR148*KYS148*KYT148</f>
        <v>#DIV/0!</v>
      </c>
      <c r="KYV148" s="367" t="s">
        <v>206</v>
      </c>
      <c r="KYW148" s="367"/>
      <c r="KYX148" s="367"/>
      <c r="KYY148" s="368" t="s">
        <v>168</v>
      </c>
      <c r="KYZ148" s="369">
        <v>0.5</v>
      </c>
      <c r="KZA148" s="370" t="e">
        <f>10/KYW146</f>
        <v>#DIV/0!</v>
      </c>
      <c r="KZB148" s="371">
        <v>15.38</v>
      </c>
      <c r="KZC148" s="371" t="e">
        <f>KYZ148*KZA148*KZB148</f>
        <v>#DIV/0!</v>
      </c>
      <c r="KZD148" s="367" t="s">
        <v>206</v>
      </c>
      <c r="KZE148" s="367"/>
      <c r="KZF148" s="367"/>
      <c r="KZG148" s="368" t="s">
        <v>168</v>
      </c>
      <c r="KZH148" s="369">
        <v>0.5</v>
      </c>
      <c r="KZI148" s="370" t="e">
        <f>10/KZE146</f>
        <v>#DIV/0!</v>
      </c>
      <c r="KZJ148" s="371">
        <v>15.38</v>
      </c>
      <c r="KZK148" s="371" t="e">
        <f>KZH148*KZI148*KZJ148</f>
        <v>#DIV/0!</v>
      </c>
      <c r="KZL148" s="367" t="s">
        <v>206</v>
      </c>
      <c r="KZM148" s="367"/>
      <c r="KZN148" s="367"/>
      <c r="KZO148" s="368" t="s">
        <v>168</v>
      </c>
      <c r="KZP148" s="369">
        <v>0.5</v>
      </c>
      <c r="KZQ148" s="370" t="e">
        <f>10/KZM146</f>
        <v>#DIV/0!</v>
      </c>
      <c r="KZR148" s="371">
        <v>15.38</v>
      </c>
      <c r="KZS148" s="371" t="e">
        <f>KZP148*KZQ148*KZR148</f>
        <v>#DIV/0!</v>
      </c>
      <c r="KZT148" s="367" t="s">
        <v>206</v>
      </c>
      <c r="KZU148" s="367"/>
      <c r="KZV148" s="367"/>
      <c r="KZW148" s="368" t="s">
        <v>168</v>
      </c>
      <c r="KZX148" s="369">
        <v>0.5</v>
      </c>
      <c r="KZY148" s="370" t="e">
        <f>10/KZU146</f>
        <v>#DIV/0!</v>
      </c>
      <c r="KZZ148" s="371">
        <v>15.38</v>
      </c>
      <c r="LAA148" s="371" t="e">
        <f>KZX148*KZY148*KZZ148</f>
        <v>#DIV/0!</v>
      </c>
      <c r="LAB148" s="367" t="s">
        <v>206</v>
      </c>
      <c r="LAC148" s="367"/>
      <c r="LAD148" s="367"/>
      <c r="LAE148" s="368" t="s">
        <v>168</v>
      </c>
      <c r="LAF148" s="369">
        <v>0.5</v>
      </c>
      <c r="LAG148" s="370" t="e">
        <f>10/LAC146</f>
        <v>#DIV/0!</v>
      </c>
      <c r="LAH148" s="371">
        <v>15.38</v>
      </c>
      <c r="LAI148" s="371" t="e">
        <f>LAF148*LAG148*LAH148</f>
        <v>#DIV/0!</v>
      </c>
      <c r="LAJ148" s="367" t="s">
        <v>206</v>
      </c>
      <c r="LAK148" s="367"/>
      <c r="LAL148" s="367"/>
      <c r="LAM148" s="368" t="s">
        <v>168</v>
      </c>
      <c r="LAN148" s="369">
        <v>0.5</v>
      </c>
      <c r="LAO148" s="370" t="e">
        <f>10/LAK146</f>
        <v>#DIV/0!</v>
      </c>
      <c r="LAP148" s="371">
        <v>15.38</v>
      </c>
      <c r="LAQ148" s="371" t="e">
        <f>LAN148*LAO148*LAP148</f>
        <v>#DIV/0!</v>
      </c>
      <c r="LAR148" s="367" t="s">
        <v>206</v>
      </c>
      <c r="LAS148" s="367"/>
      <c r="LAT148" s="367"/>
      <c r="LAU148" s="368" t="s">
        <v>168</v>
      </c>
      <c r="LAV148" s="369">
        <v>0.5</v>
      </c>
      <c r="LAW148" s="370" t="e">
        <f>10/LAS146</f>
        <v>#DIV/0!</v>
      </c>
      <c r="LAX148" s="371">
        <v>15.38</v>
      </c>
      <c r="LAY148" s="371" t="e">
        <f>LAV148*LAW148*LAX148</f>
        <v>#DIV/0!</v>
      </c>
      <c r="LAZ148" s="367" t="s">
        <v>206</v>
      </c>
      <c r="LBA148" s="367"/>
      <c r="LBB148" s="367"/>
      <c r="LBC148" s="368" t="s">
        <v>168</v>
      </c>
      <c r="LBD148" s="369">
        <v>0.5</v>
      </c>
      <c r="LBE148" s="370" t="e">
        <f>10/LBA146</f>
        <v>#DIV/0!</v>
      </c>
      <c r="LBF148" s="371">
        <v>15.38</v>
      </c>
      <c r="LBG148" s="371" t="e">
        <f>LBD148*LBE148*LBF148</f>
        <v>#DIV/0!</v>
      </c>
      <c r="LBH148" s="367" t="s">
        <v>206</v>
      </c>
      <c r="LBI148" s="367"/>
      <c r="LBJ148" s="367"/>
      <c r="LBK148" s="368" t="s">
        <v>168</v>
      </c>
      <c r="LBL148" s="369">
        <v>0.5</v>
      </c>
      <c r="LBM148" s="370" t="e">
        <f>10/LBI146</f>
        <v>#DIV/0!</v>
      </c>
      <c r="LBN148" s="371">
        <v>15.38</v>
      </c>
      <c r="LBO148" s="371" t="e">
        <f>LBL148*LBM148*LBN148</f>
        <v>#DIV/0!</v>
      </c>
      <c r="LBP148" s="367" t="s">
        <v>206</v>
      </c>
      <c r="LBQ148" s="367"/>
      <c r="LBR148" s="367"/>
      <c r="LBS148" s="368" t="s">
        <v>168</v>
      </c>
      <c r="LBT148" s="369">
        <v>0.5</v>
      </c>
      <c r="LBU148" s="370" t="e">
        <f>10/LBQ146</f>
        <v>#DIV/0!</v>
      </c>
      <c r="LBV148" s="371">
        <v>15.38</v>
      </c>
      <c r="LBW148" s="371" t="e">
        <f>LBT148*LBU148*LBV148</f>
        <v>#DIV/0!</v>
      </c>
      <c r="LBX148" s="367" t="s">
        <v>206</v>
      </c>
      <c r="LBY148" s="367"/>
      <c r="LBZ148" s="367"/>
      <c r="LCA148" s="368" t="s">
        <v>168</v>
      </c>
      <c r="LCB148" s="369">
        <v>0.5</v>
      </c>
      <c r="LCC148" s="370" t="e">
        <f>10/LBY146</f>
        <v>#DIV/0!</v>
      </c>
      <c r="LCD148" s="371">
        <v>15.38</v>
      </c>
      <c r="LCE148" s="371" t="e">
        <f>LCB148*LCC148*LCD148</f>
        <v>#DIV/0!</v>
      </c>
      <c r="LCF148" s="367" t="s">
        <v>206</v>
      </c>
      <c r="LCG148" s="367"/>
      <c r="LCH148" s="367"/>
      <c r="LCI148" s="368" t="s">
        <v>168</v>
      </c>
      <c r="LCJ148" s="369">
        <v>0.5</v>
      </c>
      <c r="LCK148" s="370" t="e">
        <f>10/LCG146</f>
        <v>#DIV/0!</v>
      </c>
      <c r="LCL148" s="371">
        <v>15.38</v>
      </c>
      <c r="LCM148" s="371" t="e">
        <f>LCJ148*LCK148*LCL148</f>
        <v>#DIV/0!</v>
      </c>
      <c r="LCN148" s="367" t="s">
        <v>206</v>
      </c>
      <c r="LCO148" s="367"/>
      <c r="LCP148" s="367"/>
      <c r="LCQ148" s="368" t="s">
        <v>168</v>
      </c>
      <c r="LCR148" s="369">
        <v>0.5</v>
      </c>
      <c r="LCS148" s="370" t="e">
        <f>10/LCO146</f>
        <v>#DIV/0!</v>
      </c>
      <c r="LCT148" s="371">
        <v>15.38</v>
      </c>
      <c r="LCU148" s="371" t="e">
        <f>LCR148*LCS148*LCT148</f>
        <v>#DIV/0!</v>
      </c>
      <c r="LCV148" s="367" t="s">
        <v>206</v>
      </c>
      <c r="LCW148" s="367"/>
      <c r="LCX148" s="367"/>
      <c r="LCY148" s="368" t="s">
        <v>168</v>
      </c>
      <c r="LCZ148" s="369">
        <v>0.5</v>
      </c>
      <c r="LDA148" s="370" t="e">
        <f>10/LCW146</f>
        <v>#DIV/0!</v>
      </c>
      <c r="LDB148" s="371">
        <v>15.38</v>
      </c>
      <c r="LDC148" s="371" t="e">
        <f>LCZ148*LDA148*LDB148</f>
        <v>#DIV/0!</v>
      </c>
      <c r="LDD148" s="367" t="s">
        <v>206</v>
      </c>
      <c r="LDE148" s="367"/>
      <c r="LDF148" s="367"/>
      <c r="LDG148" s="368" t="s">
        <v>168</v>
      </c>
      <c r="LDH148" s="369">
        <v>0.5</v>
      </c>
      <c r="LDI148" s="370" t="e">
        <f>10/LDE146</f>
        <v>#DIV/0!</v>
      </c>
      <c r="LDJ148" s="371">
        <v>15.38</v>
      </c>
      <c r="LDK148" s="371" t="e">
        <f>LDH148*LDI148*LDJ148</f>
        <v>#DIV/0!</v>
      </c>
      <c r="LDL148" s="367" t="s">
        <v>206</v>
      </c>
      <c r="LDM148" s="367"/>
      <c r="LDN148" s="367"/>
      <c r="LDO148" s="368" t="s">
        <v>168</v>
      </c>
      <c r="LDP148" s="369">
        <v>0.5</v>
      </c>
      <c r="LDQ148" s="370" t="e">
        <f>10/LDM146</f>
        <v>#DIV/0!</v>
      </c>
      <c r="LDR148" s="371">
        <v>15.38</v>
      </c>
      <c r="LDS148" s="371" t="e">
        <f>LDP148*LDQ148*LDR148</f>
        <v>#DIV/0!</v>
      </c>
      <c r="LDT148" s="367" t="s">
        <v>206</v>
      </c>
      <c r="LDU148" s="367"/>
      <c r="LDV148" s="367"/>
      <c r="LDW148" s="368" t="s">
        <v>168</v>
      </c>
      <c r="LDX148" s="369">
        <v>0.5</v>
      </c>
      <c r="LDY148" s="370" t="e">
        <f>10/LDU146</f>
        <v>#DIV/0!</v>
      </c>
      <c r="LDZ148" s="371">
        <v>15.38</v>
      </c>
      <c r="LEA148" s="371" t="e">
        <f>LDX148*LDY148*LDZ148</f>
        <v>#DIV/0!</v>
      </c>
      <c r="LEB148" s="367" t="s">
        <v>206</v>
      </c>
      <c r="LEC148" s="367"/>
      <c r="LED148" s="367"/>
      <c r="LEE148" s="368" t="s">
        <v>168</v>
      </c>
      <c r="LEF148" s="369">
        <v>0.5</v>
      </c>
      <c r="LEG148" s="370" t="e">
        <f>10/LEC146</f>
        <v>#DIV/0!</v>
      </c>
      <c r="LEH148" s="371">
        <v>15.38</v>
      </c>
      <c r="LEI148" s="371" t="e">
        <f>LEF148*LEG148*LEH148</f>
        <v>#DIV/0!</v>
      </c>
      <c r="LEJ148" s="367" t="s">
        <v>206</v>
      </c>
      <c r="LEK148" s="367"/>
      <c r="LEL148" s="367"/>
      <c r="LEM148" s="368" t="s">
        <v>168</v>
      </c>
      <c r="LEN148" s="369">
        <v>0.5</v>
      </c>
      <c r="LEO148" s="370" t="e">
        <f>10/LEK146</f>
        <v>#DIV/0!</v>
      </c>
      <c r="LEP148" s="371">
        <v>15.38</v>
      </c>
      <c r="LEQ148" s="371" t="e">
        <f>LEN148*LEO148*LEP148</f>
        <v>#DIV/0!</v>
      </c>
      <c r="LER148" s="367" t="s">
        <v>206</v>
      </c>
      <c r="LES148" s="367"/>
      <c r="LET148" s="367"/>
      <c r="LEU148" s="368" t="s">
        <v>168</v>
      </c>
      <c r="LEV148" s="369">
        <v>0.5</v>
      </c>
      <c r="LEW148" s="370" t="e">
        <f>10/LES146</f>
        <v>#DIV/0!</v>
      </c>
      <c r="LEX148" s="371">
        <v>15.38</v>
      </c>
      <c r="LEY148" s="371" t="e">
        <f>LEV148*LEW148*LEX148</f>
        <v>#DIV/0!</v>
      </c>
      <c r="LEZ148" s="367" t="s">
        <v>206</v>
      </c>
      <c r="LFA148" s="367"/>
      <c r="LFB148" s="367"/>
      <c r="LFC148" s="368" t="s">
        <v>168</v>
      </c>
      <c r="LFD148" s="369">
        <v>0.5</v>
      </c>
      <c r="LFE148" s="370" t="e">
        <f>10/LFA146</f>
        <v>#DIV/0!</v>
      </c>
      <c r="LFF148" s="371">
        <v>15.38</v>
      </c>
      <c r="LFG148" s="371" t="e">
        <f>LFD148*LFE148*LFF148</f>
        <v>#DIV/0!</v>
      </c>
      <c r="LFH148" s="367" t="s">
        <v>206</v>
      </c>
      <c r="LFI148" s="367"/>
      <c r="LFJ148" s="367"/>
      <c r="LFK148" s="368" t="s">
        <v>168</v>
      </c>
      <c r="LFL148" s="369">
        <v>0.5</v>
      </c>
      <c r="LFM148" s="370" t="e">
        <f>10/LFI146</f>
        <v>#DIV/0!</v>
      </c>
      <c r="LFN148" s="371">
        <v>15.38</v>
      </c>
      <c r="LFO148" s="371" t="e">
        <f>LFL148*LFM148*LFN148</f>
        <v>#DIV/0!</v>
      </c>
      <c r="LFP148" s="367" t="s">
        <v>206</v>
      </c>
      <c r="LFQ148" s="367"/>
      <c r="LFR148" s="367"/>
      <c r="LFS148" s="368" t="s">
        <v>168</v>
      </c>
      <c r="LFT148" s="369">
        <v>0.5</v>
      </c>
      <c r="LFU148" s="370" t="e">
        <f>10/LFQ146</f>
        <v>#DIV/0!</v>
      </c>
      <c r="LFV148" s="371">
        <v>15.38</v>
      </c>
      <c r="LFW148" s="371" t="e">
        <f>LFT148*LFU148*LFV148</f>
        <v>#DIV/0!</v>
      </c>
      <c r="LFX148" s="367" t="s">
        <v>206</v>
      </c>
      <c r="LFY148" s="367"/>
      <c r="LFZ148" s="367"/>
      <c r="LGA148" s="368" t="s">
        <v>168</v>
      </c>
      <c r="LGB148" s="369">
        <v>0.5</v>
      </c>
      <c r="LGC148" s="370" t="e">
        <f>10/LFY146</f>
        <v>#DIV/0!</v>
      </c>
      <c r="LGD148" s="371">
        <v>15.38</v>
      </c>
      <c r="LGE148" s="371" t="e">
        <f>LGB148*LGC148*LGD148</f>
        <v>#DIV/0!</v>
      </c>
      <c r="LGF148" s="367" t="s">
        <v>206</v>
      </c>
      <c r="LGG148" s="367"/>
      <c r="LGH148" s="367"/>
      <c r="LGI148" s="368" t="s">
        <v>168</v>
      </c>
      <c r="LGJ148" s="369">
        <v>0.5</v>
      </c>
      <c r="LGK148" s="370" t="e">
        <f>10/LGG146</f>
        <v>#DIV/0!</v>
      </c>
      <c r="LGL148" s="371">
        <v>15.38</v>
      </c>
      <c r="LGM148" s="371" t="e">
        <f>LGJ148*LGK148*LGL148</f>
        <v>#DIV/0!</v>
      </c>
      <c r="LGN148" s="367" t="s">
        <v>206</v>
      </c>
      <c r="LGO148" s="367"/>
      <c r="LGP148" s="367"/>
      <c r="LGQ148" s="368" t="s">
        <v>168</v>
      </c>
      <c r="LGR148" s="369">
        <v>0.5</v>
      </c>
      <c r="LGS148" s="370" t="e">
        <f>10/LGO146</f>
        <v>#DIV/0!</v>
      </c>
      <c r="LGT148" s="371">
        <v>15.38</v>
      </c>
      <c r="LGU148" s="371" t="e">
        <f>LGR148*LGS148*LGT148</f>
        <v>#DIV/0!</v>
      </c>
      <c r="LGV148" s="367" t="s">
        <v>206</v>
      </c>
      <c r="LGW148" s="367"/>
      <c r="LGX148" s="367"/>
      <c r="LGY148" s="368" t="s">
        <v>168</v>
      </c>
      <c r="LGZ148" s="369">
        <v>0.5</v>
      </c>
      <c r="LHA148" s="370" t="e">
        <f>10/LGW146</f>
        <v>#DIV/0!</v>
      </c>
      <c r="LHB148" s="371">
        <v>15.38</v>
      </c>
      <c r="LHC148" s="371" t="e">
        <f>LGZ148*LHA148*LHB148</f>
        <v>#DIV/0!</v>
      </c>
      <c r="LHD148" s="367" t="s">
        <v>206</v>
      </c>
      <c r="LHE148" s="367"/>
      <c r="LHF148" s="367"/>
      <c r="LHG148" s="368" t="s">
        <v>168</v>
      </c>
      <c r="LHH148" s="369">
        <v>0.5</v>
      </c>
      <c r="LHI148" s="370" t="e">
        <f>10/LHE146</f>
        <v>#DIV/0!</v>
      </c>
      <c r="LHJ148" s="371">
        <v>15.38</v>
      </c>
      <c r="LHK148" s="371" t="e">
        <f>LHH148*LHI148*LHJ148</f>
        <v>#DIV/0!</v>
      </c>
      <c r="LHL148" s="367" t="s">
        <v>206</v>
      </c>
      <c r="LHM148" s="367"/>
      <c r="LHN148" s="367"/>
      <c r="LHO148" s="368" t="s">
        <v>168</v>
      </c>
      <c r="LHP148" s="369">
        <v>0.5</v>
      </c>
      <c r="LHQ148" s="370" t="e">
        <f>10/LHM146</f>
        <v>#DIV/0!</v>
      </c>
      <c r="LHR148" s="371">
        <v>15.38</v>
      </c>
      <c r="LHS148" s="371" t="e">
        <f>LHP148*LHQ148*LHR148</f>
        <v>#DIV/0!</v>
      </c>
      <c r="LHT148" s="367" t="s">
        <v>206</v>
      </c>
      <c r="LHU148" s="367"/>
      <c r="LHV148" s="367"/>
      <c r="LHW148" s="368" t="s">
        <v>168</v>
      </c>
      <c r="LHX148" s="369">
        <v>0.5</v>
      </c>
      <c r="LHY148" s="370" t="e">
        <f>10/LHU146</f>
        <v>#DIV/0!</v>
      </c>
      <c r="LHZ148" s="371">
        <v>15.38</v>
      </c>
      <c r="LIA148" s="371" t="e">
        <f>LHX148*LHY148*LHZ148</f>
        <v>#DIV/0!</v>
      </c>
      <c r="LIB148" s="367" t="s">
        <v>206</v>
      </c>
      <c r="LIC148" s="367"/>
      <c r="LID148" s="367"/>
      <c r="LIE148" s="368" t="s">
        <v>168</v>
      </c>
      <c r="LIF148" s="369">
        <v>0.5</v>
      </c>
      <c r="LIG148" s="370" t="e">
        <f>10/LIC146</f>
        <v>#DIV/0!</v>
      </c>
      <c r="LIH148" s="371">
        <v>15.38</v>
      </c>
      <c r="LII148" s="371" t="e">
        <f>LIF148*LIG148*LIH148</f>
        <v>#DIV/0!</v>
      </c>
      <c r="LIJ148" s="367" t="s">
        <v>206</v>
      </c>
      <c r="LIK148" s="367"/>
      <c r="LIL148" s="367"/>
      <c r="LIM148" s="368" t="s">
        <v>168</v>
      </c>
      <c r="LIN148" s="369">
        <v>0.5</v>
      </c>
      <c r="LIO148" s="370" t="e">
        <f>10/LIK146</f>
        <v>#DIV/0!</v>
      </c>
      <c r="LIP148" s="371">
        <v>15.38</v>
      </c>
      <c r="LIQ148" s="371" t="e">
        <f>LIN148*LIO148*LIP148</f>
        <v>#DIV/0!</v>
      </c>
      <c r="LIR148" s="367" t="s">
        <v>206</v>
      </c>
      <c r="LIS148" s="367"/>
      <c r="LIT148" s="367"/>
      <c r="LIU148" s="368" t="s">
        <v>168</v>
      </c>
      <c r="LIV148" s="369">
        <v>0.5</v>
      </c>
      <c r="LIW148" s="370" t="e">
        <f>10/LIS146</f>
        <v>#DIV/0!</v>
      </c>
      <c r="LIX148" s="371">
        <v>15.38</v>
      </c>
      <c r="LIY148" s="371" t="e">
        <f>LIV148*LIW148*LIX148</f>
        <v>#DIV/0!</v>
      </c>
      <c r="LIZ148" s="367" t="s">
        <v>206</v>
      </c>
      <c r="LJA148" s="367"/>
      <c r="LJB148" s="367"/>
      <c r="LJC148" s="368" t="s">
        <v>168</v>
      </c>
      <c r="LJD148" s="369">
        <v>0.5</v>
      </c>
      <c r="LJE148" s="370" t="e">
        <f>10/LJA146</f>
        <v>#DIV/0!</v>
      </c>
      <c r="LJF148" s="371">
        <v>15.38</v>
      </c>
      <c r="LJG148" s="371" t="e">
        <f>LJD148*LJE148*LJF148</f>
        <v>#DIV/0!</v>
      </c>
      <c r="LJH148" s="367" t="s">
        <v>206</v>
      </c>
      <c r="LJI148" s="367"/>
      <c r="LJJ148" s="367"/>
      <c r="LJK148" s="368" t="s">
        <v>168</v>
      </c>
      <c r="LJL148" s="369">
        <v>0.5</v>
      </c>
      <c r="LJM148" s="370" t="e">
        <f>10/LJI146</f>
        <v>#DIV/0!</v>
      </c>
      <c r="LJN148" s="371">
        <v>15.38</v>
      </c>
      <c r="LJO148" s="371" t="e">
        <f>LJL148*LJM148*LJN148</f>
        <v>#DIV/0!</v>
      </c>
      <c r="LJP148" s="367" t="s">
        <v>206</v>
      </c>
      <c r="LJQ148" s="367"/>
      <c r="LJR148" s="367"/>
      <c r="LJS148" s="368" t="s">
        <v>168</v>
      </c>
      <c r="LJT148" s="369">
        <v>0.5</v>
      </c>
      <c r="LJU148" s="370" t="e">
        <f>10/LJQ146</f>
        <v>#DIV/0!</v>
      </c>
      <c r="LJV148" s="371">
        <v>15.38</v>
      </c>
      <c r="LJW148" s="371" t="e">
        <f>LJT148*LJU148*LJV148</f>
        <v>#DIV/0!</v>
      </c>
      <c r="LJX148" s="367" t="s">
        <v>206</v>
      </c>
      <c r="LJY148" s="367"/>
      <c r="LJZ148" s="367"/>
      <c r="LKA148" s="368" t="s">
        <v>168</v>
      </c>
      <c r="LKB148" s="369">
        <v>0.5</v>
      </c>
      <c r="LKC148" s="370" t="e">
        <f>10/LJY146</f>
        <v>#DIV/0!</v>
      </c>
      <c r="LKD148" s="371">
        <v>15.38</v>
      </c>
      <c r="LKE148" s="371" t="e">
        <f>LKB148*LKC148*LKD148</f>
        <v>#DIV/0!</v>
      </c>
      <c r="LKF148" s="367" t="s">
        <v>206</v>
      </c>
      <c r="LKG148" s="367"/>
      <c r="LKH148" s="367"/>
      <c r="LKI148" s="368" t="s">
        <v>168</v>
      </c>
      <c r="LKJ148" s="369">
        <v>0.5</v>
      </c>
      <c r="LKK148" s="370" t="e">
        <f>10/LKG146</f>
        <v>#DIV/0!</v>
      </c>
      <c r="LKL148" s="371">
        <v>15.38</v>
      </c>
      <c r="LKM148" s="371" t="e">
        <f>LKJ148*LKK148*LKL148</f>
        <v>#DIV/0!</v>
      </c>
      <c r="LKN148" s="367" t="s">
        <v>206</v>
      </c>
      <c r="LKO148" s="367"/>
      <c r="LKP148" s="367"/>
      <c r="LKQ148" s="368" t="s">
        <v>168</v>
      </c>
      <c r="LKR148" s="369">
        <v>0.5</v>
      </c>
      <c r="LKS148" s="370" t="e">
        <f>10/LKO146</f>
        <v>#DIV/0!</v>
      </c>
      <c r="LKT148" s="371">
        <v>15.38</v>
      </c>
      <c r="LKU148" s="371" t="e">
        <f>LKR148*LKS148*LKT148</f>
        <v>#DIV/0!</v>
      </c>
      <c r="LKV148" s="367" t="s">
        <v>206</v>
      </c>
      <c r="LKW148" s="367"/>
      <c r="LKX148" s="367"/>
      <c r="LKY148" s="368" t="s">
        <v>168</v>
      </c>
      <c r="LKZ148" s="369">
        <v>0.5</v>
      </c>
      <c r="LLA148" s="370" t="e">
        <f>10/LKW146</f>
        <v>#DIV/0!</v>
      </c>
      <c r="LLB148" s="371">
        <v>15.38</v>
      </c>
      <c r="LLC148" s="371" t="e">
        <f>LKZ148*LLA148*LLB148</f>
        <v>#DIV/0!</v>
      </c>
      <c r="LLD148" s="367" t="s">
        <v>206</v>
      </c>
      <c r="LLE148" s="367"/>
      <c r="LLF148" s="367"/>
      <c r="LLG148" s="368" t="s">
        <v>168</v>
      </c>
      <c r="LLH148" s="369">
        <v>0.5</v>
      </c>
      <c r="LLI148" s="370" t="e">
        <f>10/LLE146</f>
        <v>#DIV/0!</v>
      </c>
      <c r="LLJ148" s="371">
        <v>15.38</v>
      </c>
      <c r="LLK148" s="371" t="e">
        <f>LLH148*LLI148*LLJ148</f>
        <v>#DIV/0!</v>
      </c>
      <c r="LLL148" s="367" t="s">
        <v>206</v>
      </c>
      <c r="LLM148" s="367"/>
      <c r="LLN148" s="367"/>
      <c r="LLO148" s="368" t="s">
        <v>168</v>
      </c>
      <c r="LLP148" s="369">
        <v>0.5</v>
      </c>
      <c r="LLQ148" s="370" t="e">
        <f>10/LLM146</f>
        <v>#DIV/0!</v>
      </c>
      <c r="LLR148" s="371">
        <v>15.38</v>
      </c>
      <c r="LLS148" s="371" t="e">
        <f>LLP148*LLQ148*LLR148</f>
        <v>#DIV/0!</v>
      </c>
      <c r="LLT148" s="367" t="s">
        <v>206</v>
      </c>
      <c r="LLU148" s="367"/>
      <c r="LLV148" s="367"/>
      <c r="LLW148" s="368" t="s">
        <v>168</v>
      </c>
      <c r="LLX148" s="369">
        <v>0.5</v>
      </c>
      <c r="LLY148" s="370" t="e">
        <f>10/LLU146</f>
        <v>#DIV/0!</v>
      </c>
      <c r="LLZ148" s="371">
        <v>15.38</v>
      </c>
      <c r="LMA148" s="371" t="e">
        <f>LLX148*LLY148*LLZ148</f>
        <v>#DIV/0!</v>
      </c>
      <c r="LMB148" s="367" t="s">
        <v>206</v>
      </c>
      <c r="LMC148" s="367"/>
      <c r="LMD148" s="367"/>
      <c r="LME148" s="368" t="s">
        <v>168</v>
      </c>
      <c r="LMF148" s="369">
        <v>0.5</v>
      </c>
      <c r="LMG148" s="370" t="e">
        <f>10/LMC146</f>
        <v>#DIV/0!</v>
      </c>
      <c r="LMH148" s="371">
        <v>15.38</v>
      </c>
      <c r="LMI148" s="371" t="e">
        <f>LMF148*LMG148*LMH148</f>
        <v>#DIV/0!</v>
      </c>
      <c r="LMJ148" s="367" t="s">
        <v>206</v>
      </c>
      <c r="LMK148" s="367"/>
      <c r="LML148" s="367"/>
      <c r="LMM148" s="368" t="s">
        <v>168</v>
      </c>
      <c r="LMN148" s="369">
        <v>0.5</v>
      </c>
      <c r="LMO148" s="370" t="e">
        <f>10/LMK146</f>
        <v>#DIV/0!</v>
      </c>
      <c r="LMP148" s="371">
        <v>15.38</v>
      </c>
      <c r="LMQ148" s="371" t="e">
        <f>LMN148*LMO148*LMP148</f>
        <v>#DIV/0!</v>
      </c>
      <c r="LMR148" s="367" t="s">
        <v>206</v>
      </c>
      <c r="LMS148" s="367"/>
      <c r="LMT148" s="367"/>
      <c r="LMU148" s="368" t="s">
        <v>168</v>
      </c>
      <c r="LMV148" s="369">
        <v>0.5</v>
      </c>
      <c r="LMW148" s="370" t="e">
        <f>10/LMS146</f>
        <v>#DIV/0!</v>
      </c>
      <c r="LMX148" s="371">
        <v>15.38</v>
      </c>
      <c r="LMY148" s="371" t="e">
        <f>LMV148*LMW148*LMX148</f>
        <v>#DIV/0!</v>
      </c>
      <c r="LMZ148" s="367" t="s">
        <v>206</v>
      </c>
      <c r="LNA148" s="367"/>
      <c r="LNB148" s="367"/>
      <c r="LNC148" s="368" t="s">
        <v>168</v>
      </c>
      <c r="LND148" s="369">
        <v>0.5</v>
      </c>
      <c r="LNE148" s="370" t="e">
        <f>10/LNA146</f>
        <v>#DIV/0!</v>
      </c>
      <c r="LNF148" s="371">
        <v>15.38</v>
      </c>
      <c r="LNG148" s="371" t="e">
        <f>LND148*LNE148*LNF148</f>
        <v>#DIV/0!</v>
      </c>
      <c r="LNH148" s="367" t="s">
        <v>206</v>
      </c>
      <c r="LNI148" s="367"/>
      <c r="LNJ148" s="367"/>
      <c r="LNK148" s="368" t="s">
        <v>168</v>
      </c>
      <c r="LNL148" s="369">
        <v>0.5</v>
      </c>
      <c r="LNM148" s="370" t="e">
        <f>10/LNI146</f>
        <v>#DIV/0!</v>
      </c>
      <c r="LNN148" s="371">
        <v>15.38</v>
      </c>
      <c r="LNO148" s="371" t="e">
        <f>LNL148*LNM148*LNN148</f>
        <v>#DIV/0!</v>
      </c>
      <c r="LNP148" s="367" t="s">
        <v>206</v>
      </c>
      <c r="LNQ148" s="367"/>
      <c r="LNR148" s="367"/>
      <c r="LNS148" s="368" t="s">
        <v>168</v>
      </c>
      <c r="LNT148" s="369">
        <v>0.5</v>
      </c>
      <c r="LNU148" s="370" t="e">
        <f>10/LNQ146</f>
        <v>#DIV/0!</v>
      </c>
      <c r="LNV148" s="371">
        <v>15.38</v>
      </c>
      <c r="LNW148" s="371" t="e">
        <f>LNT148*LNU148*LNV148</f>
        <v>#DIV/0!</v>
      </c>
      <c r="LNX148" s="367" t="s">
        <v>206</v>
      </c>
      <c r="LNY148" s="367"/>
      <c r="LNZ148" s="367"/>
      <c r="LOA148" s="368" t="s">
        <v>168</v>
      </c>
      <c r="LOB148" s="369">
        <v>0.5</v>
      </c>
      <c r="LOC148" s="370" t="e">
        <f>10/LNY146</f>
        <v>#DIV/0!</v>
      </c>
      <c r="LOD148" s="371">
        <v>15.38</v>
      </c>
      <c r="LOE148" s="371" t="e">
        <f>LOB148*LOC148*LOD148</f>
        <v>#DIV/0!</v>
      </c>
      <c r="LOF148" s="367" t="s">
        <v>206</v>
      </c>
      <c r="LOG148" s="367"/>
      <c r="LOH148" s="367"/>
      <c r="LOI148" s="368" t="s">
        <v>168</v>
      </c>
      <c r="LOJ148" s="369">
        <v>0.5</v>
      </c>
      <c r="LOK148" s="370" t="e">
        <f>10/LOG146</f>
        <v>#DIV/0!</v>
      </c>
      <c r="LOL148" s="371">
        <v>15.38</v>
      </c>
      <c r="LOM148" s="371" t="e">
        <f>LOJ148*LOK148*LOL148</f>
        <v>#DIV/0!</v>
      </c>
      <c r="LON148" s="367" t="s">
        <v>206</v>
      </c>
      <c r="LOO148" s="367"/>
      <c r="LOP148" s="367"/>
      <c r="LOQ148" s="368" t="s">
        <v>168</v>
      </c>
      <c r="LOR148" s="369">
        <v>0.5</v>
      </c>
      <c r="LOS148" s="370" t="e">
        <f>10/LOO146</f>
        <v>#DIV/0!</v>
      </c>
      <c r="LOT148" s="371">
        <v>15.38</v>
      </c>
      <c r="LOU148" s="371" t="e">
        <f>LOR148*LOS148*LOT148</f>
        <v>#DIV/0!</v>
      </c>
      <c r="LOV148" s="367" t="s">
        <v>206</v>
      </c>
      <c r="LOW148" s="367"/>
      <c r="LOX148" s="367"/>
      <c r="LOY148" s="368" t="s">
        <v>168</v>
      </c>
      <c r="LOZ148" s="369">
        <v>0.5</v>
      </c>
      <c r="LPA148" s="370" t="e">
        <f>10/LOW146</f>
        <v>#DIV/0!</v>
      </c>
      <c r="LPB148" s="371">
        <v>15.38</v>
      </c>
      <c r="LPC148" s="371" t="e">
        <f>LOZ148*LPA148*LPB148</f>
        <v>#DIV/0!</v>
      </c>
      <c r="LPD148" s="367" t="s">
        <v>206</v>
      </c>
      <c r="LPE148" s="367"/>
      <c r="LPF148" s="367"/>
      <c r="LPG148" s="368" t="s">
        <v>168</v>
      </c>
      <c r="LPH148" s="369">
        <v>0.5</v>
      </c>
      <c r="LPI148" s="370" t="e">
        <f>10/LPE146</f>
        <v>#DIV/0!</v>
      </c>
      <c r="LPJ148" s="371">
        <v>15.38</v>
      </c>
      <c r="LPK148" s="371" t="e">
        <f>LPH148*LPI148*LPJ148</f>
        <v>#DIV/0!</v>
      </c>
      <c r="LPL148" s="367" t="s">
        <v>206</v>
      </c>
      <c r="LPM148" s="367"/>
      <c r="LPN148" s="367"/>
      <c r="LPO148" s="368" t="s">
        <v>168</v>
      </c>
      <c r="LPP148" s="369">
        <v>0.5</v>
      </c>
      <c r="LPQ148" s="370" t="e">
        <f>10/LPM146</f>
        <v>#DIV/0!</v>
      </c>
      <c r="LPR148" s="371">
        <v>15.38</v>
      </c>
      <c r="LPS148" s="371" t="e">
        <f>LPP148*LPQ148*LPR148</f>
        <v>#DIV/0!</v>
      </c>
      <c r="LPT148" s="367" t="s">
        <v>206</v>
      </c>
      <c r="LPU148" s="367"/>
      <c r="LPV148" s="367"/>
      <c r="LPW148" s="368" t="s">
        <v>168</v>
      </c>
      <c r="LPX148" s="369">
        <v>0.5</v>
      </c>
      <c r="LPY148" s="370" t="e">
        <f>10/LPU146</f>
        <v>#DIV/0!</v>
      </c>
      <c r="LPZ148" s="371">
        <v>15.38</v>
      </c>
      <c r="LQA148" s="371" t="e">
        <f>LPX148*LPY148*LPZ148</f>
        <v>#DIV/0!</v>
      </c>
      <c r="LQB148" s="367" t="s">
        <v>206</v>
      </c>
      <c r="LQC148" s="367"/>
      <c r="LQD148" s="367"/>
      <c r="LQE148" s="368" t="s">
        <v>168</v>
      </c>
      <c r="LQF148" s="369">
        <v>0.5</v>
      </c>
      <c r="LQG148" s="370" t="e">
        <f>10/LQC146</f>
        <v>#DIV/0!</v>
      </c>
      <c r="LQH148" s="371">
        <v>15.38</v>
      </c>
      <c r="LQI148" s="371" t="e">
        <f>LQF148*LQG148*LQH148</f>
        <v>#DIV/0!</v>
      </c>
      <c r="LQJ148" s="367" t="s">
        <v>206</v>
      </c>
      <c r="LQK148" s="367"/>
      <c r="LQL148" s="367"/>
      <c r="LQM148" s="368" t="s">
        <v>168</v>
      </c>
      <c r="LQN148" s="369">
        <v>0.5</v>
      </c>
      <c r="LQO148" s="370" t="e">
        <f>10/LQK146</f>
        <v>#DIV/0!</v>
      </c>
      <c r="LQP148" s="371">
        <v>15.38</v>
      </c>
      <c r="LQQ148" s="371" t="e">
        <f>LQN148*LQO148*LQP148</f>
        <v>#DIV/0!</v>
      </c>
      <c r="LQR148" s="367" t="s">
        <v>206</v>
      </c>
      <c r="LQS148" s="367"/>
      <c r="LQT148" s="367"/>
      <c r="LQU148" s="368" t="s">
        <v>168</v>
      </c>
      <c r="LQV148" s="369">
        <v>0.5</v>
      </c>
      <c r="LQW148" s="370" t="e">
        <f>10/LQS146</f>
        <v>#DIV/0!</v>
      </c>
      <c r="LQX148" s="371">
        <v>15.38</v>
      </c>
      <c r="LQY148" s="371" t="e">
        <f>LQV148*LQW148*LQX148</f>
        <v>#DIV/0!</v>
      </c>
      <c r="LQZ148" s="367" t="s">
        <v>206</v>
      </c>
      <c r="LRA148" s="367"/>
      <c r="LRB148" s="367"/>
      <c r="LRC148" s="368" t="s">
        <v>168</v>
      </c>
      <c r="LRD148" s="369">
        <v>0.5</v>
      </c>
      <c r="LRE148" s="370" t="e">
        <f>10/LRA146</f>
        <v>#DIV/0!</v>
      </c>
      <c r="LRF148" s="371">
        <v>15.38</v>
      </c>
      <c r="LRG148" s="371" t="e">
        <f>LRD148*LRE148*LRF148</f>
        <v>#DIV/0!</v>
      </c>
      <c r="LRH148" s="367" t="s">
        <v>206</v>
      </c>
      <c r="LRI148" s="367"/>
      <c r="LRJ148" s="367"/>
      <c r="LRK148" s="368" t="s">
        <v>168</v>
      </c>
      <c r="LRL148" s="369">
        <v>0.5</v>
      </c>
      <c r="LRM148" s="370" t="e">
        <f>10/LRI146</f>
        <v>#DIV/0!</v>
      </c>
      <c r="LRN148" s="371">
        <v>15.38</v>
      </c>
      <c r="LRO148" s="371" t="e">
        <f>LRL148*LRM148*LRN148</f>
        <v>#DIV/0!</v>
      </c>
      <c r="LRP148" s="367" t="s">
        <v>206</v>
      </c>
      <c r="LRQ148" s="367"/>
      <c r="LRR148" s="367"/>
      <c r="LRS148" s="368" t="s">
        <v>168</v>
      </c>
      <c r="LRT148" s="369">
        <v>0.5</v>
      </c>
      <c r="LRU148" s="370" t="e">
        <f>10/LRQ146</f>
        <v>#DIV/0!</v>
      </c>
      <c r="LRV148" s="371">
        <v>15.38</v>
      </c>
      <c r="LRW148" s="371" t="e">
        <f>LRT148*LRU148*LRV148</f>
        <v>#DIV/0!</v>
      </c>
      <c r="LRX148" s="367" t="s">
        <v>206</v>
      </c>
      <c r="LRY148" s="367"/>
      <c r="LRZ148" s="367"/>
      <c r="LSA148" s="368" t="s">
        <v>168</v>
      </c>
      <c r="LSB148" s="369">
        <v>0.5</v>
      </c>
      <c r="LSC148" s="370" t="e">
        <f>10/LRY146</f>
        <v>#DIV/0!</v>
      </c>
      <c r="LSD148" s="371">
        <v>15.38</v>
      </c>
      <c r="LSE148" s="371" t="e">
        <f>LSB148*LSC148*LSD148</f>
        <v>#DIV/0!</v>
      </c>
      <c r="LSF148" s="367" t="s">
        <v>206</v>
      </c>
      <c r="LSG148" s="367"/>
      <c r="LSH148" s="367"/>
      <c r="LSI148" s="368" t="s">
        <v>168</v>
      </c>
      <c r="LSJ148" s="369">
        <v>0.5</v>
      </c>
      <c r="LSK148" s="370" t="e">
        <f>10/LSG146</f>
        <v>#DIV/0!</v>
      </c>
      <c r="LSL148" s="371">
        <v>15.38</v>
      </c>
      <c r="LSM148" s="371" t="e">
        <f>LSJ148*LSK148*LSL148</f>
        <v>#DIV/0!</v>
      </c>
      <c r="LSN148" s="367" t="s">
        <v>206</v>
      </c>
      <c r="LSO148" s="367"/>
      <c r="LSP148" s="367"/>
      <c r="LSQ148" s="368" t="s">
        <v>168</v>
      </c>
      <c r="LSR148" s="369">
        <v>0.5</v>
      </c>
      <c r="LSS148" s="370" t="e">
        <f>10/LSO146</f>
        <v>#DIV/0!</v>
      </c>
      <c r="LST148" s="371">
        <v>15.38</v>
      </c>
      <c r="LSU148" s="371" t="e">
        <f>LSR148*LSS148*LST148</f>
        <v>#DIV/0!</v>
      </c>
      <c r="LSV148" s="367" t="s">
        <v>206</v>
      </c>
      <c r="LSW148" s="367"/>
      <c r="LSX148" s="367"/>
      <c r="LSY148" s="368" t="s">
        <v>168</v>
      </c>
      <c r="LSZ148" s="369">
        <v>0.5</v>
      </c>
      <c r="LTA148" s="370" t="e">
        <f>10/LSW146</f>
        <v>#DIV/0!</v>
      </c>
      <c r="LTB148" s="371">
        <v>15.38</v>
      </c>
      <c r="LTC148" s="371" t="e">
        <f>LSZ148*LTA148*LTB148</f>
        <v>#DIV/0!</v>
      </c>
      <c r="LTD148" s="367" t="s">
        <v>206</v>
      </c>
      <c r="LTE148" s="367"/>
      <c r="LTF148" s="367"/>
      <c r="LTG148" s="368" t="s">
        <v>168</v>
      </c>
      <c r="LTH148" s="369">
        <v>0.5</v>
      </c>
      <c r="LTI148" s="370" t="e">
        <f>10/LTE146</f>
        <v>#DIV/0!</v>
      </c>
      <c r="LTJ148" s="371">
        <v>15.38</v>
      </c>
      <c r="LTK148" s="371" t="e">
        <f>LTH148*LTI148*LTJ148</f>
        <v>#DIV/0!</v>
      </c>
      <c r="LTL148" s="367" t="s">
        <v>206</v>
      </c>
      <c r="LTM148" s="367"/>
      <c r="LTN148" s="367"/>
      <c r="LTO148" s="368" t="s">
        <v>168</v>
      </c>
      <c r="LTP148" s="369">
        <v>0.5</v>
      </c>
      <c r="LTQ148" s="370" t="e">
        <f>10/LTM146</f>
        <v>#DIV/0!</v>
      </c>
      <c r="LTR148" s="371">
        <v>15.38</v>
      </c>
      <c r="LTS148" s="371" t="e">
        <f>LTP148*LTQ148*LTR148</f>
        <v>#DIV/0!</v>
      </c>
      <c r="LTT148" s="367" t="s">
        <v>206</v>
      </c>
      <c r="LTU148" s="367"/>
      <c r="LTV148" s="367"/>
      <c r="LTW148" s="368" t="s">
        <v>168</v>
      </c>
      <c r="LTX148" s="369">
        <v>0.5</v>
      </c>
      <c r="LTY148" s="370" t="e">
        <f>10/LTU146</f>
        <v>#DIV/0!</v>
      </c>
      <c r="LTZ148" s="371">
        <v>15.38</v>
      </c>
      <c r="LUA148" s="371" t="e">
        <f>LTX148*LTY148*LTZ148</f>
        <v>#DIV/0!</v>
      </c>
      <c r="LUB148" s="367" t="s">
        <v>206</v>
      </c>
      <c r="LUC148" s="367"/>
      <c r="LUD148" s="367"/>
      <c r="LUE148" s="368" t="s">
        <v>168</v>
      </c>
      <c r="LUF148" s="369">
        <v>0.5</v>
      </c>
      <c r="LUG148" s="370" t="e">
        <f>10/LUC146</f>
        <v>#DIV/0!</v>
      </c>
      <c r="LUH148" s="371">
        <v>15.38</v>
      </c>
      <c r="LUI148" s="371" t="e">
        <f>LUF148*LUG148*LUH148</f>
        <v>#DIV/0!</v>
      </c>
      <c r="LUJ148" s="367" t="s">
        <v>206</v>
      </c>
      <c r="LUK148" s="367"/>
      <c r="LUL148" s="367"/>
      <c r="LUM148" s="368" t="s">
        <v>168</v>
      </c>
      <c r="LUN148" s="369">
        <v>0.5</v>
      </c>
      <c r="LUO148" s="370" t="e">
        <f>10/LUK146</f>
        <v>#DIV/0!</v>
      </c>
      <c r="LUP148" s="371">
        <v>15.38</v>
      </c>
      <c r="LUQ148" s="371" t="e">
        <f>LUN148*LUO148*LUP148</f>
        <v>#DIV/0!</v>
      </c>
      <c r="LUR148" s="367" t="s">
        <v>206</v>
      </c>
      <c r="LUS148" s="367"/>
      <c r="LUT148" s="367"/>
      <c r="LUU148" s="368" t="s">
        <v>168</v>
      </c>
      <c r="LUV148" s="369">
        <v>0.5</v>
      </c>
      <c r="LUW148" s="370" t="e">
        <f>10/LUS146</f>
        <v>#DIV/0!</v>
      </c>
      <c r="LUX148" s="371">
        <v>15.38</v>
      </c>
      <c r="LUY148" s="371" t="e">
        <f>LUV148*LUW148*LUX148</f>
        <v>#DIV/0!</v>
      </c>
      <c r="LUZ148" s="367" t="s">
        <v>206</v>
      </c>
      <c r="LVA148" s="367"/>
      <c r="LVB148" s="367"/>
      <c r="LVC148" s="368" t="s">
        <v>168</v>
      </c>
      <c r="LVD148" s="369">
        <v>0.5</v>
      </c>
      <c r="LVE148" s="370" t="e">
        <f>10/LVA146</f>
        <v>#DIV/0!</v>
      </c>
      <c r="LVF148" s="371">
        <v>15.38</v>
      </c>
      <c r="LVG148" s="371" t="e">
        <f>LVD148*LVE148*LVF148</f>
        <v>#DIV/0!</v>
      </c>
      <c r="LVH148" s="367" t="s">
        <v>206</v>
      </c>
      <c r="LVI148" s="367"/>
      <c r="LVJ148" s="367"/>
      <c r="LVK148" s="368" t="s">
        <v>168</v>
      </c>
      <c r="LVL148" s="369">
        <v>0.5</v>
      </c>
      <c r="LVM148" s="370" t="e">
        <f>10/LVI146</f>
        <v>#DIV/0!</v>
      </c>
      <c r="LVN148" s="371">
        <v>15.38</v>
      </c>
      <c r="LVO148" s="371" t="e">
        <f>LVL148*LVM148*LVN148</f>
        <v>#DIV/0!</v>
      </c>
      <c r="LVP148" s="367" t="s">
        <v>206</v>
      </c>
      <c r="LVQ148" s="367"/>
      <c r="LVR148" s="367"/>
      <c r="LVS148" s="368" t="s">
        <v>168</v>
      </c>
      <c r="LVT148" s="369">
        <v>0.5</v>
      </c>
      <c r="LVU148" s="370" t="e">
        <f>10/LVQ146</f>
        <v>#DIV/0!</v>
      </c>
      <c r="LVV148" s="371">
        <v>15.38</v>
      </c>
      <c r="LVW148" s="371" t="e">
        <f>LVT148*LVU148*LVV148</f>
        <v>#DIV/0!</v>
      </c>
      <c r="LVX148" s="367" t="s">
        <v>206</v>
      </c>
      <c r="LVY148" s="367"/>
      <c r="LVZ148" s="367"/>
      <c r="LWA148" s="368" t="s">
        <v>168</v>
      </c>
      <c r="LWB148" s="369">
        <v>0.5</v>
      </c>
      <c r="LWC148" s="370" t="e">
        <f>10/LVY146</f>
        <v>#DIV/0!</v>
      </c>
      <c r="LWD148" s="371">
        <v>15.38</v>
      </c>
      <c r="LWE148" s="371" t="e">
        <f>LWB148*LWC148*LWD148</f>
        <v>#DIV/0!</v>
      </c>
      <c r="LWF148" s="367" t="s">
        <v>206</v>
      </c>
      <c r="LWG148" s="367"/>
      <c r="LWH148" s="367"/>
      <c r="LWI148" s="368" t="s">
        <v>168</v>
      </c>
      <c r="LWJ148" s="369">
        <v>0.5</v>
      </c>
      <c r="LWK148" s="370" t="e">
        <f>10/LWG146</f>
        <v>#DIV/0!</v>
      </c>
      <c r="LWL148" s="371">
        <v>15.38</v>
      </c>
      <c r="LWM148" s="371" t="e">
        <f>LWJ148*LWK148*LWL148</f>
        <v>#DIV/0!</v>
      </c>
      <c r="LWN148" s="367" t="s">
        <v>206</v>
      </c>
      <c r="LWO148" s="367"/>
      <c r="LWP148" s="367"/>
      <c r="LWQ148" s="368" t="s">
        <v>168</v>
      </c>
      <c r="LWR148" s="369">
        <v>0.5</v>
      </c>
      <c r="LWS148" s="370" t="e">
        <f>10/LWO146</f>
        <v>#DIV/0!</v>
      </c>
      <c r="LWT148" s="371">
        <v>15.38</v>
      </c>
      <c r="LWU148" s="371" t="e">
        <f>LWR148*LWS148*LWT148</f>
        <v>#DIV/0!</v>
      </c>
      <c r="LWV148" s="367" t="s">
        <v>206</v>
      </c>
      <c r="LWW148" s="367"/>
      <c r="LWX148" s="367"/>
      <c r="LWY148" s="368" t="s">
        <v>168</v>
      </c>
      <c r="LWZ148" s="369">
        <v>0.5</v>
      </c>
      <c r="LXA148" s="370" t="e">
        <f>10/LWW146</f>
        <v>#DIV/0!</v>
      </c>
      <c r="LXB148" s="371">
        <v>15.38</v>
      </c>
      <c r="LXC148" s="371" t="e">
        <f>LWZ148*LXA148*LXB148</f>
        <v>#DIV/0!</v>
      </c>
      <c r="LXD148" s="367" t="s">
        <v>206</v>
      </c>
      <c r="LXE148" s="367"/>
      <c r="LXF148" s="367"/>
      <c r="LXG148" s="368" t="s">
        <v>168</v>
      </c>
      <c r="LXH148" s="369">
        <v>0.5</v>
      </c>
      <c r="LXI148" s="370" t="e">
        <f>10/LXE146</f>
        <v>#DIV/0!</v>
      </c>
      <c r="LXJ148" s="371">
        <v>15.38</v>
      </c>
      <c r="LXK148" s="371" t="e">
        <f>LXH148*LXI148*LXJ148</f>
        <v>#DIV/0!</v>
      </c>
      <c r="LXL148" s="367" t="s">
        <v>206</v>
      </c>
      <c r="LXM148" s="367"/>
      <c r="LXN148" s="367"/>
      <c r="LXO148" s="368" t="s">
        <v>168</v>
      </c>
      <c r="LXP148" s="369">
        <v>0.5</v>
      </c>
      <c r="LXQ148" s="370" t="e">
        <f>10/LXM146</f>
        <v>#DIV/0!</v>
      </c>
      <c r="LXR148" s="371">
        <v>15.38</v>
      </c>
      <c r="LXS148" s="371" t="e">
        <f>LXP148*LXQ148*LXR148</f>
        <v>#DIV/0!</v>
      </c>
      <c r="LXT148" s="367" t="s">
        <v>206</v>
      </c>
      <c r="LXU148" s="367"/>
      <c r="LXV148" s="367"/>
      <c r="LXW148" s="368" t="s">
        <v>168</v>
      </c>
      <c r="LXX148" s="369">
        <v>0.5</v>
      </c>
      <c r="LXY148" s="370" t="e">
        <f>10/LXU146</f>
        <v>#DIV/0!</v>
      </c>
      <c r="LXZ148" s="371">
        <v>15.38</v>
      </c>
      <c r="LYA148" s="371" t="e">
        <f>LXX148*LXY148*LXZ148</f>
        <v>#DIV/0!</v>
      </c>
      <c r="LYB148" s="367" t="s">
        <v>206</v>
      </c>
      <c r="LYC148" s="367"/>
      <c r="LYD148" s="367"/>
      <c r="LYE148" s="368" t="s">
        <v>168</v>
      </c>
      <c r="LYF148" s="369">
        <v>0.5</v>
      </c>
      <c r="LYG148" s="370" t="e">
        <f>10/LYC146</f>
        <v>#DIV/0!</v>
      </c>
      <c r="LYH148" s="371">
        <v>15.38</v>
      </c>
      <c r="LYI148" s="371" t="e">
        <f>LYF148*LYG148*LYH148</f>
        <v>#DIV/0!</v>
      </c>
      <c r="LYJ148" s="367" t="s">
        <v>206</v>
      </c>
      <c r="LYK148" s="367"/>
      <c r="LYL148" s="367"/>
      <c r="LYM148" s="368" t="s">
        <v>168</v>
      </c>
      <c r="LYN148" s="369">
        <v>0.5</v>
      </c>
      <c r="LYO148" s="370" t="e">
        <f>10/LYK146</f>
        <v>#DIV/0!</v>
      </c>
      <c r="LYP148" s="371">
        <v>15.38</v>
      </c>
      <c r="LYQ148" s="371" t="e">
        <f>LYN148*LYO148*LYP148</f>
        <v>#DIV/0!</v>
      </c>
      <c r="LYR148" s="367" t="s">
        <v>206</v>
      </c>
      <c r="LYS148" s="367"/>
      <c r="LYT148" s="367"/>
      <c r="LYU148" s="368" t="s">
        <v>168</v>
      </c>
      <c r="LYV148" s="369">
        <v>0.5</v>
      </c>
      <c r="LYW148" s="370" t="e">
        <f>10/LYS146</f>
        <v>#DIV/0!</v>
      </c>
      <c r="LYX148" s="371">
        <v>15.38</v>
      </c>
      <c r="LYY148" s="371" t="e">
        <f>LYV148*LYW148*LYX148</f>
        <v>#DIV/0!</v>
      </c>
      <c r="LYZ148" s="367" t="s">
        <v>206</v>
      </c>
      <c r="LZA148" s="367"/>
      <c r="LZB148" s="367"/>
      <c r="LZC148" s="368" t="s">
        <v>168</v>
      </c>
      <c r="LZD148" s="369">
        <v>0.5</v>
      </c>
      <c r="LZE148" s="370" t="e">
        <f>10/LZA146</f>
        <v>#DIV/0!</v>
      </c>
      <c r="LZF148" s="371">
        <v>15.38</v>
      </c>
      <c r="LZG148" s="371" t="e">
        <f>LZD148*LZE148*LZF148</f>
        <v>#DIV/0!</v>
      </c>
      <c r="LZH148" s="367" t="s">
        <v>206</v>
      </c>
      <c r="LZI148" s="367"/>
      <c r="LZJ148" s="367"/>
      <c r="LZK148" s="368" t="s">
        <v>168</v>
      </c>
      <c r="LZL148" s="369">
        <v>0.5</v>
      </c>
      <c r="LZM148" s="370" t="e">
        <f>10/LZI146</f>
        <v>#DIV/0!</v>
      </c>
      <c r="LZN148" s="371">
        <v>15.38</v>
      </c>
      <c r="LZO148" s="371" t="e">
        <f>LZL148*LZM148*LZN148</f>
        <v>#DIV/0!</v>
      </c>
      <c r="LZP148" s="367" t="s">
        <v>206</v>
      </c>
      <c r="LZQ148" s="367"/>
      <c r="LZR148" s="367"/>
      <c r="LZS148" s="368" t="s">
        <v>168</v>
      </c>
      <c r="LZT148" s="369">
        <v>0.5</v>
      </c>
      <c r="LZU148" s="370" t="e">
        <f>10/LZQ146</f>
        <v>#DIV/0!</v>
      </c>
      <c r="LZV148" s="371">
        <v>15.38</v>
      </c>
      <c r="LZW148" s="371" t="e">
        <f>LZT148*LZU148*LZV148</f>
        <v>#DIV/0!</v>
      </c>
      <c r="LZX148" s="367" t="s">
        <v>206</v>
      </c>
      <c r="LZY148" s="367"/>
      <c r="LZZ148" s="367"/>
      <c r="MAA148" s="368" t="s">
        <v>168</v>
      </c>
      <c r="MAB148" s="369">
        <v>0.5</v>
      </c>
      <c r="MAC148" s="370" t="e">
        <f>10/LZY146</f>
        <v>#DIV/0!</v>
      </c>
      <c r="MAD148" s="371">
        <v>15.38</v>
      </c>
      <c r="MAE148" s="371" t="e">
        <f>MAB148*MAC148*MAD148</f>
        <v>#DIV/0!</v>
      </c>
      <c r="MAF148" s="367" t="s">
        <v>206</v>
      </c>
      <c r="MAG148" s="367"/>
      <c r="MAH148" s="367"/>
      <c r="MAI148" s="368" t="s">
        <v>168</v>
      </c>
      <c r="MAJ148" s="369">
        <v>0.5</v>
      </c>
      <c r="MAK148" s="370" t="e">
        <f>10/MAG146</f>
        <v>#DIV/0!</v>
      </c>
      <c r="MAL148" s="371">
        <v>15.38</v>
      </c>
      <c r="MAM148" s="371" t="e">
        <f>MAJ148*MAK148*MAL148</f>
        <v>#DIV/0!</v>
      </c>
      <c r="MAN148" s="367" t="s">
        <v>206</v>
      </c>
      <c r="MAO148" s="367"/>
      <c r="MAP148" s="367"/>
      <c r="MAQ148" s="368" t="s">
        <v>168</v>
      </c>
      <c r="MAR148" s="369">
        <v>0.5</v>
      </c>
      <c r="MAS148" s="370" t="e">
        <f>10/MAO146</f>
        <v>#DIV/0!</v>
      </c>
      <c r="MAT148" s="371">
        <v>15.38</v>
      </c>
      <c r="MAU148" s="371" t="e">
        <f>MAR148*MAS148*MAT148</f>
        <v>#DIV/0!</v>
      </c>
      <c r="MAV148" s="367" t="s">
        <v>206</v>
      </c>
      <c r="MAW148" s="367"/>
      <c r="MAX148" s="367"/>
      <c r="MAY148" s="368" t="s">
        <v>168</v>
      </c>
      <c r="MAZ148" s="369">
        <v>0.5</v>
      </c>
      <c r="MBA148" s="370" t="e">
        <f>10/MAW146</f>
        <v>#DIV/0!</v>
      </c>
      <c r="MBB148" s="371">
        <v>15.38</v>
      </c>
      <c r="MBC148" s="371" t="e">
        <f>MAZ148*MBA148*MBB148</f>
        <v>#DIV/0!</v>
      </c>
      <c r="MBD148" s="367" t="s">
        <v>206</v>
      </c>
      <c r="MBE148" s="367"/>
      <c r="MBF148" s="367"/>
      <c r="MBG148" s="368" t="s">
        <v>168</v>
      </c>
      <c r="MBH148" s="369">
        <v>0.5</v>
      </c>
      <c r="MBI148" s="370" t="e">
        <f>10/MBE146</f>
        <v>#DIV/0!</v>
      </c>
      <c r="MBJ148" s="371">
        <v>15.38</v>
      </c>
      <c r="MBK148" s="371" t="e">
        <f>MBH148*MBI148*MBJ148</f>
        <v>#DIV/0!</v>
      </c>
      <c r="MBL148" s="367" t="s">
        <v>206</v>
      </c>
      <c r="MBM148" s="367"/>
      <c r="MBN148" s="367"/>
      <c r="MBO148" s="368" t="s">
        <v>168</v>
      </c>
      <c r="MBP148" s="369">
        <v>0.5</v>
      </c>
      <c r="MBQ148" s="370" t="e">
        <f>10/MBM146</f>
        <v>#DIV/0!</v>
      </c>
      <c r="MBR148" s="371">
        <v>15.38</v>
      </c>
      <c r="MBS148" s="371" t="e">
        <f>MBP148*MBQ148*MBR148</f>
        <v>#DIV/0!</v>
      </c>
      <c r="MBT148" s="367" t="s">
        <v>206</v>
      </c>
      <c r="MBU148" s="367"/>
      <c r="MBV148" s="367"/>
      <c r="MBW148" s="368" t="s">
        <v>168</v>
      </c>
      <c r="MBX148" s="369">
        <v>0.5</v>
      </c>
      <c r="MBY148" s="370" t="e">
        <f>10/MBU146</f>
        <v>#DIV/0!</v>
      </c>
      <c r="MBZ148" s="371">
        <v>15.38</v>
      </c>
      <c r="MCA148" s="371" t="e">
        <f>MBX148*MBY148*MBZ148</f>
        <v>#DIV/0!</v>
      </c>
      <c r="MCB148" s="367" t="s">
        <v>206</v>
      </c>
      <c r="MCC148" s="367"/>
      <c r="MCD148" s="367"/>
      <c r="MCE148" s="368" t="s">
        <v>168</v>
      </c>
      <c r="MCF148" s="369">
        <v>0.5</v>
      </c>
      <c r="MCG148" s="370" t="e">
        <f>10/MCC146</f>
        <v>#DIV/0!</v>
      </c>
      <c r="MCH148" s="371">
        <v>15.38</v>
      </c>
      <c r="MCI148" s="371" t="e">
        <f>MCF148*MCG148*MCH148</f>
        <v>#DIV/0!</v>
      </c>
      <c r="MCJ148" s="367" t="s">
        <v>206</v>
      </c>
      <c r="MCK148" s="367"/>
      <c r="MCL148" s="367"/>
      <c r="MCM148" s="368" t="s">
        <v>168</v>
      </c>
      <c r="MCN148" s="369">
        <v>0.5</v>
      </c>
      <c r="MCO148" s="370" t="e">
        <f>10/MCK146</f>
        <v>#DIV/0!</v>
      </c>
      <c r="MCP148" s="371">
        <v>15.38</v>
      </c>
      <c r="MCQ148" s="371" t="e">
        <f>MCN148*MCO148*MCP148</f>
        <v>#DIV/0!</v>
      </c>
      <c r="MCR148" s="367" t="s">
        <v>206</v>
      </c>
      <c r="MCS148" s="367"/>
      <c r="MCT148" s="367"/>
      <c r="MCU148" s="368" t="s">
        <v>168</v>
      </c>
      <c r="MCV148" s="369">
        <v>0.5</v>
      </c>
      <c r="MCW148" s="370" t="e">
        <f>10/MCS146</f>
        <v>#DIV/0!</v>
      </c>
      <c r="MCX148" s="371">
        <v>15.38</v>
      </c>
      <c r="MCY148" s="371" t="e">
        <f>MCV148*MCW148*MCX148</f>
        <v>#DIV/0!</v>
      </c>
      <c r="MCZ148" s="367" t="s">
        <v>206</v>
      </c>
      <c r="MDA148" s="367"/>
      <c r="MDB148" s="367"/>
      <c r="MDC148" s="368" t="s">
        <v>168</v>
      </c>
      <c r="MDD148" s="369">
        <v>0.5</v>
      </c>
      <c r="MDE148" s="370" t="e">
        <f>10/MDA146</f>
        <v>#DIV/0!</v>
      </c>
      <c r="MDF148" s="371">
        <v>15.38</v>
      </c>
      <c r="MDG148" s="371" t="e">
        <f>MDD148*MDE148*MDF148</f>
        <v>#DIV/0!</v>
      </c>
      <c r="MDH148" s="367" t="s">
        <v>206</v>
      </c>
      <c r="MDI148" s="367"/>
      <c r="MDJ148" s="367"/>
      <c r="MDK148" s="368" t="s">
        <v>168</v>
      </c>
      <c r="MDL148" s="369">
        <v>0.5</v>
      </c>
      <c r="MDM148" s="370" t="e">
        <f>10/MDI146</f>
        <v>#DIV/0!</v>
      </c>
      <c r="MDN148" s="371">
        <v>15.38</v>
      </c>
      <c r="MDO148" s="371" t="e">
        <f>MDL148*MDM148*MDN148</f>
        <v>#DIV/0!</v>
      </c>
      <c r="MDP148" s="367" t="s">
        <v>206</v>
      </c>
      <c r="MDQ148" s="367"/>
      <c r="MDR148" s="367"/>
      <c r="MDS148" s="368" t="s">
        <v>168</v>
      </c>
      <c r="MDT148" s="369">
        <v>0.5</v>
      </c>
      <c r="MDU148" s="370" t="e">
        <f>10/MDQ146</f>
        <v>#DIV/0!</v>
      </c>
      <c r="MDV148" s="371">
        <v>15.38</v>
      </c>
      <c r="MDW148" s="371" t="e">
        <f>MDT148*MDU148*MDV148</f>
        <v>#DIV/0!</v>
      </c>
      <c r="MDX148" s="367" t="s">
        <v>206</v>
      </c>
      <c r="MDY148" s="367"/>
      <c r="MDZ148" s="367"/>
      <c r="MEA148" s="368" t="s">
        <v>168</v>
      </c>
      <c r="MEB148" s="369">
        <v>0.5</v>
      </c>
      <c r="MEC148" s="370" t="e">
        <f>10/MDY146</f>
        <v>#DIV/0!</v>
      </c>
      <c r="MED148" s="371">
        <v>15.38</v>
      </c>
      <c r="MEE148" s="371" t="e">
        <f>MEB148*MEC148*MED148</f>
        <v>#DIV/0!</v>
      </c>
      <c r="MEF148" s="367" t="s">
        <v>206</v>
      </c>
      <c r="MEG148" s="367"/>
      <c r="MEH148" s="367"/>
      <c r="MEI148" s="368" t="s">
        <v>168</v>
      </c>
      <c r="MEJ148" s="369">
        <v>0.5</v>
      </c>
      <c r="MEK148" s="370" t="e">
        <f>10/MEG146</f>
        <v>#DIV/0!</v>
      </c>
      <c r="MEL148" s="371">
        <v>15.38</v>
      </c>
      <c r="MEM148" s="371" t="e">
        <f>MEJ148*MEK148*MEL148</f>
        <v>#DIV/0!</v>
      </c>
      <c r="MEN148" s="367" t="s">
        <v>206</v>
      </c>
      <c r="MEO148" s="367"/>
      <c r="MEP148" s="367"/>
      <c r="MEQ148" s="368" t="s">
        <v>168</v>
      </c>
      <c r="MER148" s="369">
        <v>0.5</v>
      </c>
      <c r="MES148" s="370" t="e">
        <f>10/MEO146</f>
        <v>#DIV/0!</v>
      </c>
      <c r="MET148" s="371">
        <v>15.38</v>
      </c>
      <c r="MEU148" s="371" t="e">
        <f>MER148*MES148*MET148</f>
        <v>#DIV/0!</v>
      </c>
      <c r="MEV148" s="367" t="s">
        <v>206</v>
      </c>
      <c r="MEW148" s="367"/>
      <c r="MEX148" s="367"/>
      <c r="MEY148" s="368" t="s">
        <v>168</v>
      </c>
      <c r="MEZ148" s="369">
        <v>0.5</v>
      </c>
      <c r="MFA148" s="370" t="e">
        <f>10/MEW146</f>
        <v>#DIV/0!</v>
      </c>
      <c r="MFB148" s="371">
        <v>15.38</v>
      </c>
      <c r="MFC148" s="371" t="e">
        <f>MEZ148*MFA148*MFB148</f>
        <v>#DIV/0!</v>
      </c>
      <c r="MFD148" s="367" t="s">
        <v>206</v>
      </c>
      <c r="MFE148" s="367"/>
      <c r="MFF148" s="367"/>
      <c r="MFG148" s="368" t="s">
        <v>168</v>
      </c>
      <c r="MFH148" s="369">
        <v>0.5</v>
      </c>
      <c r="MFI148" s="370" t="e">
        <f>10/MFE146</f>
        <v>#DIV/0!</v>
      </c>
      <c r="MFJ148" s="371">
        <v>15.38</v>
      </c>
      <c r="MFK148" s="371" t="e">
        <f>MFH148*MFI148*MFJ148</f>
        <v>#DIV/0!</v>
      </c>
      <c r="MFL148" s="367" t="s">
        <v>206</v>
      </c>
      <c r="MFM148" s="367"/>
      <c r="MFN148" s="367"/>
      <c r="MFO148" s="368" t="s">
        <v>168</v>
      </c>
      <c r="MFP148" s="369">
        <v>0.5</v>
      </c>
      <c r="MFQ148" s="370" t="e">
        <f>10/MFM146</f>
        <v>#DIV/0!</v>
      </c>
      <c r="MFR148" s="371">
        <v>15.38</v>
      </c>
      <c r="MFS148" s="371" t="e">
        <f>MFP148*MFQ148*MFR148</f>
        <v>#DIV/0!</v>
      </c>
      <c r="MFT148" s="367" t="s">
        <v>206</v>
      </c>
      <c r="MFU148" s="367"/>
      <c r="MFV148" s="367"/>
      <c r="MFW148" s="368" t="s">
        <v>168</v>
      </c>
      <c r="MFX148" s="369">
        <v>0.5</v>
      </c>
      <c r="MFY148" s="370" t="e">
        <f>10/MFU146</f>
        <v>#DIV/0!</v>
      </c>
      <c r="MFZ148" s="371">
        <v>15.38</v>
      </c>
      <c r="MGA148" s="371" t="e">
        <f>MFX148*MFY148*MFZ148</f>
        <v>#DIV/0!</v>
      </c>
      <c r="MGB148" s="367" t="s">
        <v>206</v>
      </c>
      <c r="MGC148" s="367"/>
      <c r="MGD148" s="367"/>
      <c r="MGE148" s="368" t="s">
        <v>168</v>
      </c>
      <c r="MGF148" s="369">
        <v>0.5</v>
      </c>
      <c r="MGG148" s="370" t="e">
        <f>10/MGC146</f>
        <v>#DIV/0!</v>
      </c>
      <c r="MGH148" s="371">
        <v>15.38</v>
      </c>
      <c r="MGI148" s="371" t="e">
        <f>MGF148*MGG148*MGH148</f>
        <v>#DIV/0!</v>
      </c>
      <c r="MGJ148" s="367" t="s">
        <v>206</v>
      </c>
      <c r="MGK148" s="367"/>
      <c r="MGL148" s="367"/>
      <c r="MGM148" s="368" t="s">
        <v>168</v>
      </c>
      <c r="MGN148" s="369">
        <v>0.5</v>
      </c>
      <c r="MGO148" s="370" t="e">
        <f>10/MGK146</f>
        <v>#DIV/0!</v>
      </c>
      <c r="MGP148" s="371">
        <v>15.38</v>
      </c>
      <c r="MGQ148" s="371" t="e">
        <f>MGN148*MGO148*MGP148</f>
        <v>#DIV/0!</v>
      </c>
      <c r="MGR148" s="367" t="s">
        <v>206</v>
      </c>
      <c r="MGS148" s="367"/>
      <c r="MGT148" s="367"/>
      <c r="MGU148" s="368" t="s">
        <v>168</v>
      </c>
      <c r="MGV148" s="369">
        <v>0.5</v>
      </c>
      <c r="MGW148" s="370" t="e">
        <f>10/MGS146</f>
        <v>#DIV/0!</v>
      </c>
      <c r="MGX148" s="371">
        <v>15.38</v>
      </c>
      <c r="MGY148" s="371" t="e">
        <f>MGV148*MGW148*MGX148</f>
        <v>#DIV/0!</v>
      </c>
      <c r="MGZ148" s="367" t="s">
        <v>206</v>
      </c>
      <c r="MHA148" s="367"/>
      <c r="MHB148" s="367"/>
      <c r="MHC148" s="368" t="s">
        <v>168</v>
      </c>
      <c r="MHD148" s="369">
        <v>0.5</v>
      </c>
      <c r="MHE148" s="370" t="e">
        <f>10/MHA146</f>
        <v>#DIV/0!</v>
      </c>
      <c r="MHF148" s="371">
        <v>15.38</v>
      </c>
      <c r="MHG148" s="371" t="e">
        <f>MHD148*MHE148*MHF148</f>
        <v>#DIV/0!</v>
      </c>
      <c r="MHH148" s="367" t="s">
        <v>206</v>
      </c>
      <c r="MHI148" s="367"/>
      <c r="MHJ148" s="367"/>
      <c r="MHK148" s="368" t="s">
        <v>168</v>
      </c>
      <c r="MHL148" s="369">
        <v>0.5</v>
      </c>
      <c r="MHM148" s="370" t="e">
        <f>10/MHI146</f>
        <v>#DIV/0!</v>
      </c>
      <c r="MHN148" s="371">
        <v>15.38</v>
      </c>
      <c r="MHO148" s="371" t="e">
        <f>MHL148*MHM148*MHN148</f>
        <v>#DIV/0!</v>
      </c>
      <c r="MHP148" s="367" t="s">
        <v>206</v>
      </c>
      <c r="MHQ148" s="367"/>
      <c r="MHR148" s="367"/>
      <c r="MHS148" s="368" t="s">
        <v>168</v>
      </c>
      <c r="MHT148" s="369">
        <v>0.5</v>
      </c>
      <c r="MHU148" s="370" t="e">
        <f>10/MHQ146</f>
        <v>#DIV/0!</v>
      </c>
      <c r="MHV148" s="371">
        <v>15.38</v>
      </c>
      <c r="MHW148" s="371" t="e">
        <f>MHT148*MHU148*MHV148</f>
        <v>#DIV/0!</v>
      </c>
      <c r="MHX148" s="367" t="s">
        <v>206</v>
      </c>
      <c r="MHY148" s="367"/>
      <c r="MHZ148" s="367"/>
      <c r="MIA148" s="368" t="s">
        <v>168</v>
      </c>
      <c r="MIB148" s="369">
        <v>0.5</v>
      </c>
      <c r="MIC148" s="370" t="e">
        <f>10/MHY146</f>
        <v>#DIV/0!</v>
      </c>
      <c r="MID148" s="371">
        <v>15.38</v>
      </c>
      <c r="MIE148" s="371" t="e">
        <f>MIB148*MIC148*MID148</f>
        <v>#DIV/0!</v>
      </c>
      <c r="MIF148" s="367" t="s">
        <v>206</v>
      </c>
      <c r="MIG148" s="367"/>
      <c r="MIH148" s="367"/>
      <c r="MII148" s="368" t="s">
        <v>168</v>
      </c>
      <c r="MIJ148" s="369">
        <v>0.5</v>
      </c>
      <c r="MIK148" s="370" t="e">
        <f>10/MIG146</f>
        <v>#DIV/0!</v>
      </c>
      <c r="MIL148" s="371">
        <v>15.38</v>
      </c>
      <c r="MIM148" s="371" t="e">
        <f>MIJ148*MIK148*MIL148</f>
        <v>#DIV/0!</v>
      </c>
      <c r="MIN148" s="367" t="s">
        <v>206</v>
      </c>
      <c r="MIO148" s="367"/>
      <c r="MIP148" s="367"/>
      <c r="MIQ148" s="368" t="s">
        <v>168</v>
      </c>
      <c r="MIR148" s="369">
        <v>0.5</v>
      </c>
      <c r="MIS148" s="370" t="e">
        <f>10/MIO146</f>
        <v>#DIV/0!</v>
      </c>
      <c r="MIT148" s="371">
        <v>15.38</v>
      </c>
      <c r="MIU148" s="371" t="e">
        <f>MIR148*MIS148*MIT148</f>
        <v>#DIV/0!</v>
      </c>
      <c r="MIV148" s="367" t="s">
        <v>206</v>
      </c>
      <c r="MIW148" s="367"/>
      <c r="MIX148" s="367"/>
      <c r="MIY148" s="368" t="s">
        <v>168</v>
      </c>
      <c r="MIZ148" s="369">
        <v>0.5</v>
      </c>
      <c r="MJA148" s="370" t="e">
        <f>10/MIW146</f>
        <v>#DIV/0!</v>
      </c>
      <c r="MJB148" s="371">
        <v>15.38</v>
      </c>
      <c r="MJC148" s="371" t="e">
        <f>MIZ148*MJA148*MJB148</f>
        <v>#DIV/0!</v>
      </c>
      <c r="MJD148" s="367" t="s">
        <v>206</v>
      </c>
      <c r="MJE148" s="367"/>
      <c r="MJF148" s="367"/>
      <c r="MJG148" s="368" t="s">
        <v>168</v>
      </c>
      <c r="MJH148" s="369">
        <v>0.5</v>
      </c>
      <c r="MJI148" s="370" t="e">
        <f>10/MJE146</f>
        <v>#DIV/0!</v>
      </c>
      <c r="MJJ148" s="371">
        <v>15.38</v>
      </c>
      <c r="MJK148" s="371" t="e">
        <f>MJH148*MJI148*MJJ148</f>
        <v>#DIV/0!</v>
      </c>
      <c r="MJL148" s="367" t="s">
        <v>206</v>
      </c>
      <c r="MJM148" s="367"/>
      <c r="MJN148" s="367"/>
      <c r="MJO148" s="368" t="s">
        <v>168</v>
      </c>
      <c r="MJP148" s="369">
        <v>0.5</v>
      </c>
      <c r="MJQ148" s="370" t="e">
        <f>10/MJM146</f>
        <v>#DIV/0!</v>
      </c>
      <c r="MJR148" s="371">
        <v>15.38</v>
      </c>
      <c r="MJS148" s="371" t="e">
        <f>MJP148*MJQ148*MJR148</f>
        <v>#DIV/0!</v>
      </c>
      <c r="MJT148" s="367" t="s">
        <v>206</v>
      </c>
      <c r="MJU148" s="367"/>
      <c r="MJV148" s="367"/>
      <c r="MJW148" s="368" t="s">
        <v>168</v>
      </c>
      <c r="MJX148" s="369">
        <v>0.5</v>
      </c>
      <c r="MJY148" s="370" t="e">
        <f>10/MJU146</f>
        <v>#DIV/0!</v>
      </c>
      <c r="MJZ148" s="371">
        <v>15.38</v>
      </c>
      <c r="MKA148" s="371" t="e">
        <f>MJX148*MJY148*MJZ148</f>
        <v>#DIV/0!</v>
      </c>
      <c r="MKB148" s="367" t="s">
        <v>206</v>
      </c>
      <c r="MKC148" s="367"/>
      <c r="MKD148" s="367"/>
      <c r="MKE148" s="368" t="s">
        <v>168</v>
      </c>
      <c r="MKF148" s="369">
        <v>0.5</v>
      </c>
      <c r="MKG148" s="370" t="e">
        <f>10/MKC146</f>
        <v>#DIV/0!</v>
      </c>
      <c r="MKH148" s="371">
        <v>15.38</v>
      </c>
      <c r="MKI148" s="371" t="e">
        <f>MKF148*MKG148*MKH148</f>
        <v>#DIV/0!</v>
      </c>
      <c r="MKJ148" s="367" t="s">
        <v>206</v>
      </c>
      <c r="MKK148" s="367"/>
      <c r="MKL148" s="367"/>
      <c r="MKM148" s="368" t="s">
        <v>168</v>
      </c>
      <c r="MKN148" s="369">
        <v>0.5</v>
      </c>
      <c r="MKO148" s="370" t="e">
        <f>10/MKK146</f>
        <v>#DIV/0!</v>
      </c>
      <c r="MKP148" s="371">
        <v>15.38</v>
      </c>
      <c r="MKQ148" s="371" t="e">
        <f>MKN148*MKO148*MKP148</f>
        <v>#DIV/0!</v>
      </c>
      <c r="MKR148" s="367" t="s">
        <v>206</v>
      </c>
      <c r="MKS148" s="367"/>
      <c r="MKT148" s="367"/>
      <c r="MKU148" s="368" t="s">
        <v>168</v>
      </c>
      <c r="MKV148" s="369">
        <v>0.5</v>
      </c>
      <c r="MKW148" s="370" t="e">
        <f>10/MKS146</f>
        <v>#DIV/0!</v>
      </c>
      <c r="MKX148" s="371">
        <v>15.38</v>
      </c>
      <c r="MKY148" s="371" t="e">
        <f>MKV148*MKW148*MKX148</f>
        <v>#DIV/0!</v>
      </c>
      <c r="MKZ148" s="367" t="s">
        <v>206</v>
      </c>
      <c r="MLA148" s="367"/>
      <c r="MLB148" s="367"/>
      <c r="MLC148" s="368" t="s">
        <v>168</v>
      </c>
      <c r="MLD148" s="369">
        <v>0.5</v>
      </c>
      <c r="MLE148" s="370" t="e">
        <f>10/MLA146</f>
        <v>#DIV/0!</v>
      </c>
      <c r="MLF148" s="371">
        <v>15.38</v>
      </c>
      <c r="MLG148" s="371" t="e">
        <f>MLD148*MLE148*MLF148</f>
        <v>#DIV/0!</v>
      </c>
      <c r="MLH148" s="367" t="s">
        <v>206</v>
      </c>
      <c r="MLI148" s="367"/>
      <c r="MLJ148" s="367"/>
      <c r="MLK148" s="368" t="s">
        <v>168</v>
      </c>
      <c r="MLL148" s="369">
        <v>0.5</v>
      </c>
      <c r="MLM148" s="370" t="e">
        <f>10/MLI146</f>
        <v>#DIV/0!</v>
      </c>
      <c r="MLN148" s="371">
        <v>15.38</v>
      </c>
      <c r="MLO148" s="371" t="e">
        <f>MLL148*MLM148*MLN148</f>
        <v>#DIV/0!</v>
      </c>
      <c r="MLP148" s="367" t="s">
        <v>206</v>
      </c>
      <c r="MLQ148" s="367"/>
      <c r="MLR148" s="367"/>
      <c r="MLS148" s="368" t="s">
        <v>168</v>
      </c>
      <c r="MLT148" s="369">
        <v>0.5</v>
      </c>
      <c r="MLU148" s="370" t="e">
        <f>10/MLQ146</f>
        <v>#DIV/0!</v>
      </c>
      <c r="MLV148" s="371">
        <v>15.38</v>
      </c>
      <c r="MLW148" s="371" t="e">
        <f>MLT148*MLU148*MLV148</f>
        <v>#DIV/0!</v>
      </c>
      <c r="MLX148" s="367" t="s">
        <v>206</v>
      </c>
      <c r="MLY148" s="367"/>
      <c r="MLZ148" s="367"/>
      <c r="MMA148" s="368" t="s">
        <v>168</v>
      </c>
      <c r="MMB148" s="369">
        <v>0.5</v>
      </c>
      <c r="MMC148" s="370" t="e">
        <f>10/MLY146</f>
        <v>#DIV/0!</v>
      </c>
      <c r="MMD148" s="371">
        <v>15.38</v>
      </c>
      <c r="MME148" s="371" t="e">
        <f>MMB148*MMC148*MMD148</f>
        <v>#DIV/0!</v>
      </c>
      <c r="MMF148" s="367" t="s">
        <v>206</v>
      </c>
      <c r="MMG148" s="367"/>
      <c r="MMH148" s="367"/>
      <c r="MMI148" s="368" t="s">
        <v>168</v>
      </c>
      <c r="MMJ148" s="369">
        <v>0.5</v>
      </c>
      <c r="MMK148" s="370" t="e">
        <f>10/MMG146</f>
        <v>#DIV/0!</v>
      </c>
      <c r="MML148" s="371">
        <v>15.38</v>
      </c>
      <c r="MMM148" s="371" t="e">
        <f>MMJ148*MMK148*MML148</f>
        <v>#DIV/0!</v>
      </c>
      <c r="MMN148" s="367" t="s">
        <v>206</v>
      </c>
      <c r="MMO148" s="367"/>
      <c r="MMP148" s="367"/>
      <c r="MMQ148" s="368" t="s">
        <v>168</v>
      </c>
      <c r="MMR148" s="369">
        <v>0.5</v>
      </c>
      <c r="MMS148" s="370" t="e">
        <f>10/MMO146</f>
        <v>#DIV/0!</v>
      </c>
      <c r="MMT148" s="371">
        <v>15.38</v>
      </c>
      <c r="MMU148" s="371" t="e">
        <f>MMR148*MMS148*MMT148</f>
        <v>#DIV/0!</v>
      </c>
      <c r="MMV148" s="367" t="s">
        <v>206</v>
      </c>
      <c r="MMW148" s="367"/>
      <c r="MMX148" s="367"/>
      <c r="MMY148" s="368" t="s">
        <v>168</v>
      </c>
      <c r="MMZ148" s="369">
        <v>0.5</v>
      </c>
      <c r="MNA148" s="370" t="e">
        <f>10/MMW146</f>
        <v>#DIV/0!</v>
      </c>
      <c r="MNB148" s="371">
        <v>15.38</v>
      </c>
      <c r="MNC148" s="371" t="e">
        <f>MMZ148*MNA148*MNB148</f>
        <v>#DIV/0!</v>
      </c>
      <c r="MND148" s="367" t="s">
        <v>206</v>
      </c>
      <c r="MNE148" s="367"/>
      <c r="MNF148" s="367"/>
      <c r="MNG148" s="368" t="s">
        <v>168</v>
      </c>
      <c r="MNH148" s="369">
        <v>0.5</v>
      </c>
      <c r="MNI148" s="370" t="e">
        <f>10/MNE146</f>
        <v>#DIV/0!</v>
      </c>
      <c r="MNJ148" s="371">
        <v>15.38</v>
      </c>
      <c r="MNK148" s="371" t="e">
        <f>MNH148*MNI148*MNJ148</f>
        <v>#DIV/0!</v>
      </c>
      <c r="MNL148" s="367" t="s">
        <v>206</v>
      </c>
      <c r="MNM148" s="367"/>
      <c r="MNN148" s="367"/>
      <c r="MNO148" s="368" t="s">
        <v>168</v>
      </c>
      <c r="MNP148" s="369">
        <v>0.5</v>
      </c>
      <c r="MNQ148" s="370" t="e">
        <f>10/MNM146</f>
        <v>#DIV/0!</v>
      </c>
      <c r="MNR148" s="371">
        <v>15.38</v>
      </c>
      <c r="MNS148" s="371" t="e">
        <f>MNP148*MNQ148*MNR148</f>
        <v>#DIV/0!</v>
      </c>
      <c r="MNT148" s="367" t="s">
        <v>206</v>
      </c>
      <c r="MNU148" s="367"/>
      <c r="MNV148" s="367"/>
      <c r="MNW148" s="368" t="s">
        <v>168</v>
      </c>
      <c r="MNX148" s="369">
        <v>0.5</v>
      </c>
      <c r="MNY148" s="370" t="e">
        <f>10/MNU146</f>
        <v>#DIV/0!</v>
      </c>
      <c r="MNZ148" s="371">
        <v>15.38</v>
      </c>
      <c r="MOA148" s="371" t="e">
        <f>MNX148*MNY148*MNZ148</f>
        <v>#DIV/0!</v>
      </c>
      <c r="MOB148" s="367" t="s">
        <v>206</v>
      </c>
      <c r="MOC148" s="367"/>
      <c r="MOD148" s="367"/>
      <c r="MOE148" s="368" t="s">
        <v>168</v>
      </c>
      <c r="MOF148" s="369">
        <v>0.5</v>
      </c>
      <c r="MOG148" s="370" t="e">
        <f>10/MOC146</f>
        <v>#DIV/0!</v>
      </c>
      <c r="MOH148" s="371">
        <v>15.38</v>
      </c>
      <c r="MOI148" s="371" t="e">
        <f>MOF148*MOG148*MOH148</f>
        <v>#DIV/0!</v>
      </c>
      <c r="MOJ148" s="367" t="s">
        <v>206</v>
      </c>
      <c r="MOK148" s="367"/>
      <c r="MOL148" s="367"/>
      <c r="MOM148" s="368" t="s">
        <v>168</v>
      </c>
      <c r="MON148" s="369">
        <v>0.5</v>
      </c>
      <c r="MOO148" s="370" t="e">
        <f>10/MOK146</f>
        <v>#DIV/0!</v>
      </c>
      <c r="MOP148" s="371">
        <v>15.38</v>
      </c>
      <c r="MOQ148" s="371" t="e">
        <f>MON148*MOO148*MOP148</f>
        <v>#DIV/0!</v>
      </c>
      <c r="MOR148" s="367" t="s">
        <v>206</v>
      </c>
      <c r="MOS148" s="367"/>
      <c r="MOT148" s="367"/>
      <c r="MOU148" s="368" t="s">
        <v>168</v>
      </c>
      <c r="MOV148" s="369">
        <v>0.5</v>
      </c>
      <c r="MOW148" s="370" t="e">
        <f>10/MOS146</f>
        <v>#DIV/0!</v>
      </c>
      <c r="MOX148" s="371">
        <v>15.38</v>
      </c>
      <c r="MOY148" s="371" t="e">
        <f>MOV148*MOW148*MOX148</f>
        <v>#DIV/0!</v>
      </c>
      <c r="MOZ148" s="367" t="s">
        <v>206</v>
      </c>
      <c r="MPA148" s="367"/>
      <c r="MPB148" s="367"/>
      <c r="MPC148" s="368" t="s">
        <v>168</v>
      </c>
      <c r="MPD148" s="369">
        <v>0.5</v>
      </c>
      <c r="MPE148" s="370" t="e">
        <f>10/MPA146</f>
        <v>#DIV/0!</v>
      </c>
      <c r="MPF148" s="371">
        <v>15.38</v>
      </c>
      <c r="MPG148" s="371" t="e">
        <f>MPD148*MPE148*MPF148</f>
        <v>#DIV/0!</v>
      </c>
      <c r="MPH148" s="367" t="s">
        <v>206</v>
      </c>
      <c r="MPI148" s="367"/>
      <c r="MPJ148" s="367"/>
      <c r="MPK148" s="368" t="s">
        <v>168</v>
      </c>
      <c r="MPL148" s="369">
        <v>0.5</v>
      </c>
      <c r="MPM148" s="370" t="e">
        <f>10/MPI146</f>
        <v>#DIV/0!</v>
      </c>
      <c r="MPN148" s="371">
        <v>15.38</v>
      </c>
      <c r="MPO148" s="371" t="e">
        <f>MPL148*MPM148*MPN148</f>
        <v>#DIV/0!</v>
      </c>
      <c r="MPP148" s="367" t="s">
        <v>206</v>
      </c>
      <c r="MPQ148" s="367"/>
      <c r="MPR148" s="367"/>
      <c r="MPS148" s="368" t="s">
        <v>168</v>
      </c>
      <c r="MPT148" s="369">
        <v>0.5</v>
      </c>
      <c r="MPU148" s="370" t="e">
        <f>10/MPQ146</f>
        <v>#DIV/0!</v>
      </c>
      <c r="MPV148" s="371">
        <v>15.38</v>
      </c>
      <c r="MPW148" s="371" t="e">
        <f>MPT148*MPU148*MPV148</f>
        <v>#DIV/0!</v>
      </c>
      <c r="MPX148" s="367" t="s">
        <v>206</v>
      </c>
      <c r="MPY148" s="367"/>
      <c r="MPZ148" s="367"/>
      <c r="MQA148" s="368" t="s">
        <v>168</v>
      </c>
      <c r="MQB148" s="369">
        <v>0.5</v>
      </c>
      <c r="MQC148" s="370" t="e">
        <f>10/MPY146</f>
        <v>#DIV/0!</v>
      </c>
      <c r="MQD148" s="371">
        <v>15.38</v>
      </c>
      <c r="MQE148" s="371" t="e">
        <f>MQB148*MQC148*MQD148</f>
        <v>#DIV/0!</v>
      </c>
      <c r="MQF148" s="367" t="s">
        <v>206</v>
      </c>
      <c r="MQG148" s="367"/>
      <c r="MQH148" s="367"/>
      <c r="MQI148" s="368" t="s">
        <v>168</v>
      </c>
      <c r="MQJ148" s="369">
        <v>0.5</v>
      </c>
      <c r="MQK148" s="370" t="e">
        <f>10/MQG146</f>
        <v>#DIV/0!</v>
      </c>
      <c r="MQL148" s="371">
        <v>15.38</v>
      </c>
      <c r="MQM148" s="371" t="e">
        <f>MQJ148*MQK148*MQL148</f>
        <v>#DIV/0!</v>
      </c>
      <c r="MQN148" s="367" t="s">
        <v>206</v>
      </c>
      <c r="MQO148" s="367"/>
      <c r="MQP148" s="367"/>
      <c r="MQQ148" s="368" t="s">
        <v>168</v>
      </c>
      <c r="MQR148" s="369">
        <v>0.5</v>
      </c>
      <c r="MQS148" s="370" t="e">
        <f>10/MQO146</f>
        <v>#DIV/0!</v>
      </c>
      <c r="MQT148" s="371">
        <v>15.38</v>
      </c>
      <c r="MQU148" s="371" t="e">
        <f>MQR148*MQS148*MQT148</f>
        <v>#DIV/0!</v>
      </c>
      <c r="MQV148" s="367" t="s">
        <v>206</v>
      </c>
      <c r="MQW148" s="367"/>
      <c r="MQX148" s="367"/>
      <c r="MQY148" s="368" t="s">
        <v>168</v>
      </c>
      <c r="MQZ148" s="369">
        <v>0.5</v>
      </c>
      <c r="MRA148" s="370" t="e">
        <f>10/MQW146</f>
        <v>#DIV/0!</v>
      </c>
      <c r="MRB148" s="371">
        <v>15.38</v>
      </c>
      <c r="MRC148" s="371" t="e">
        <f>MQZ148*MRA148*MRB148</f>
        <v>#DIV/0!</v>
      </c>
      <c r="MRD148" s="367" t="s">
        <v>206</v>
      </c>
      <c r="MRE148" s="367"/>
      <c r="MRF148" s="367"/>
      <c r="MRG148" s="368" t="s">
        <v>168</v>
      </c>
      <c r="MRH148" s="369">
        <v>0.5</v>
      </c>
      <c r="MRI148" s="370" t="e">
        <f>10/MRE146</f>
        <v>#DIV/0!</v>
      </c>
      <c r="MRJ148" s="371">
        <v>15.38</v>
      </c>
      <c r="MRK148" s="371" t="e">
        <f>MRH148*MRI148*MRJ148</f>
        <v>#DIV/0!</v>
      </c>
      <c r="MRL148" s="367" t="s">
        <v>206</v>
      </c>
      <c r="MRM148" s="367"/>
      <c r="MRN148" s="367"/>
      <c r="MRO148" s="368" t="s">
        <v>168</v>
      </c>
      <c r="MRP148" s="369">
        <v>0.5</v>
      </c>
      <c r="MRQ148" s="370" t="e">
        <f>10/MRM146</f>
        <v>#DIV/0!</v>
      </c>
      <c r="MRR148" s="371">
        <v>15.38</v>
      </c>
      <c r="MRS148" s="371" t="e">
        <f>MRP148*MRQ148*MRR148</f>
        <v>#DIV/0!</v>
      </c>
      <c r="MRT148" s="367" t="s">
        <v>206</v>
      </c>
      <c r="MRU148" s="367"/>
      <c r="MRV148" s="367"/>
      <c r="MRW148" s="368" t="s">
        <v>168</v>
      </c>
      <c r="MRX148" s="369">
        <v>0.5</v>
      </c>
      <c r="MRY148" s="370" t="e">
        <f>10/MRU146</f>
        <v>#DIV/0!</v>
      </c>
      <c r="MRZ148" s="371">
        <v>15.38</v>
      </c>
      <c r="MSA148" s="371" t="e">
        <f>MRX148*MRY148*MRZ148</f>
        <v>#DIV/0!</v>
      </c>
      <c r="MSB148" s="367" t="s">
        <v>206</v>
      </c>
      <c r="MSC148" s="367"/>
      <c r="MSD148" s="367"/>
      <c r="MSE148" s="368" t="s">
        <v>168</v>
      </c>
      <c r="MSF148" s="369">
        <v>0.5</v>
      </c>
      <c r="MSG148" s="370" t="e">
        <f>10/MSC146</f>
        <v>#DIV/0!</v>
      </c>
      <c r="MSH148" s="371">
        <v>15.38</v>
      </c>
      <c r="MSI148" s="371" t="e">
        <f>MSF148*MSG148*MSH148</f>
        <v>#DIV/0!</v>
      </c>
      <c r="MSJ148" s="367" t="s">
        <v>206</v>
      </c>
      <c r="MSK148" s="367"/>
      <c r="MSL148" s="367"/>
      <c r="MSM148" s="368" t="s">
        <v>168</v>
      </c>
      <c r="MSN148" s="369">
        <v>0.5</v>
      </c>
      <c r="MSO148" s="370" t="e">
        <f>10/MSK146</f>
        <v>#DIV/0!</v>
      </c>
      <c r="MSP148" s="371">
        <v>15.38</v>
      </c>
      <c r="MSQ148" s="371" t="e">
        <f>MSN148*MSO148*MSP148</f>
        <v>#DIV/0!</v>
      </c>
      <c r="MSR148" s="367" t="s">
        <v>206</v>
      </c>
      <c r="MSS148" s="367"/>
      <c r="MST148" s="367"/>
      <c r="MSU148" s="368" t="s">
        <v>168</v>
      </c>
      <c r="MSV148" s="369">
        <v>0.5</v>
      </c>
      <c r="MSW148" s="370" t="e">
        <f>10/MSS146</f>
        <v>#DIV/0!</v>
      </c>
      <c r="MSX148" s="371">
        <v>15.38</v>
      </c>
      <c r="MSY148" s="371" t="e">
        <f>MSV148*MSW148*MSX148</f>
        <v>#DIV/0!</v>
      </c>
      <c r="MSZ148" s="367" t="s">
        <v>206</v>
      </c>
      <c r="MTA148" s="367"/>
      <c r="MTB148" s="367"/>
      <c r="MTC148" s="368" t="s">
        <v>168</v>
      </c>
      <c r="MTD148" s="369">
        <v>0.5</v>
      </c>
      <c r="MTE148" s="370" t="e">
        <f>10/MTA146</f>
        <v>#DIV/0!</v>
      </c>
      <c r="MTF148" s="371">
        <v>15.38</v>
      </c>
      <c r="MTG148" s="371" t="e">
        <f>MTD148*MTE148*MTF148</f>
        <v>#DIV/0!</v>
      </c>
      <c r="MTH148" s="367" t="s">
        <v>206</v>
      </c>
      <c r="MTI148" s="367"/>
      <c r="MTJ148" s="367"/>
      <c r="MTK148" s="368" t="s">
        <v>168</v>
      </c>
      <c r="MTL148" s="369">
        <v>0.5</v>
      </c>
      <c r="MTM148" s="370" t="e">
        <f>10/MTI146</f>
        <v>#DIV/0!</v>
      </c>
      <c r="MTN148" s="371">
        <v>15.38</v>
      </c>
      <c r="MTO148" s="371" t="e">
        <f>MTL148*MTM148*MTN148</f>
        <v>#DIV/0!</v>
      </c>
      <c r="MTP148" s="367" t="s">
        <v>206</v>
      </c>
      <c r="MTQ148" s="367"/>
      <c r="MTR148" s="367"/>
      <c r="MTS148" s="368" t="s">
        <v>168</v>
      </c>
      <c r="MTT148" s="369">
        <v>0.5</v>
      </c>
      <c r="MTU148" s="370" t="e">
        <f>10/MTQ146</f>
        <v>#DIV/0!</v>
      </c>
      <c r="MTV148" s="371">
        <v>15.38</v>
      </c>
      <c r="MTW148" s="371" t="e">
        <f>MTT148*MTU148*MTV148</f>
        <v>#DIV/0!</v>
      </c>
      <c r="MTX148" s="367" t="s">
        <v>206</v>
      </c>
      <c r="MTY148" s="367"/>
      <c r="MTZ148" s="367"/>
      <c r="MUA148" s="368" t="s">
        <v>168</v>
      </c>
      <c r="MUB148" s="369">
        <v>0.5</v>
      </c>
      <c r="MUC148" s="370" t="e">
        <f>10/MTY146</f>
        <v>#DIV/0!</v>
      </c>
      <c r="MUD148" s="371">
        <v>15.38</v>
      </c>
      <c r="MUE148" s="371" t="e">
        <f>MUB148*MUC148*MUD148</f>
        <v>#DIV/0!</v>
      </c>
      <c r="MUF148" s="367" t="s">
        <v>206</v>
      </c>
      <c r="MUG148" s="367"/>
      <c r="MUH148" s="367"/>
      <c r="MUI148" s="368" t="s">
        <v>168</v>
      </c>
      <c r="MUJ148" s="369">
        <v>0.5</v>
      </c>
      <c r="MUK148" s="370" t="e">
        <f>10/MUG146</f>
        <v>#DIV/0!</v>
      </c>
      <c r="MUL148" s="371">
        <v>15.38</v>
      </c>
      <c r="MUM148" s="371" t="e">
        <f>MUJ148*MUK148*MUL148</f>
        <v>#DIV/0!</v>
      </c>
      <c r="MUN148" s="367" t="s">
        <v>206</v>
      </c>
      <c r="MUO148" s="367"/>
      <c r="MUP148" s="367"/>
      <c r="MUQ148" s="368" t="s">
        <v>168</v>
      </c>
      <c r="MUR148" s="369">
        <v>0.5</v>
      </c>
      <c r="MUS148" s="370" t="e">
        <f>10/MUO146</f>
        <v>#DIV/0!</v>
      </c>
      <c r="MUT148" s="371">
        <v>15.38</v>
      </c>
      <c r="MUU148" s="371" t="e">
        <f>MUR148*MUS148*MUT148</f>
        <v>#DIV/0!</v>
      </c>
      <c r="MUV148" s="367" t="s">
        <v>206</v>
      </c>
      <c r="MUW148" s="367"/>
      <c r="MUX148" s="367"/>
      <c r="MUY148" s="368" t="s">
        <v>168</v>
      </c>
      <c r="MUZ148" s="369">
        <v>0.5</v>
      </c>
      <c r="MVA148" s="370" t="e">
        <f>10/MUW146</f>
        <v>#DIV/0!</v>
      </c>
      <c r="MVB148" s="371">
        <v>15.38</v>
      </c>
      <c r="MVC148" s="371" t="e">
        <f>MUZ148*MVA148*MVB148</f>
        <v>#DIV/0!</v>
      </c>
      <c r="MVD148" s="367" t="s">
        <v>206</v>
      </c>
      <c r="MVE148" s="367"/>
      <c r="MVF148" s="367"/>
      <c r="MVG148" s="368" t="s">
        <v>168</v>
      </c>
      <c r="MVH148" s="369">
        <v>0.5</v>
      </c>
      <c r="MVI148" s="370" t="e">
        <f>10/MVE146</f>
        <v>#DIV/0!</v>
      </c>
      <c r="MVJ148" s="371">
        <v>15.38</v>
      </c>
      <c r="MVK148" s="371" t="e">
        <f>MVH148*MVI148*MVJ148</f>
        <v>#DIV/0!</v>
      </c>
      <c r="MVL148" s="367" t="s">
        <v>206</v>
      </c>
      <c r="MVM148" s="367"/>
      <c r="MVN148" s="367"/>
      <c r="MVO148" s="368" t="s">
        <v>168</v>
      </c>
      <c r="MVP148" s="369">
        <v>0.5</v>
      </c>
      <c r="MVQ148" s="370" t="e">
        <f>10/MVM146</f>
        <v>#DIV/0!</v>
      </c>
      <c r="MVR148" s="371">
        <v>15.38</v>
      </c>
      <c r="MVS148" s="371" t="e">
        <f>MVP148*MVQ148*MVR148</f>
        <v>#DIV/0!</v>
      </c>
      <c r="MVT148" s="367" t="s">
        <v>206</v>
      </c>
      <c r="MVU148" s="367"/>
      <c r="MVV148" s="367"/>
      <c r="MVW148" s="368" t="s">
        <v>168</v>
      </c>
      <c r="MVX148" s="369">
        <v>0.5</v>
      </c>
      <c r="MVY148" s="370" t="e">
        <f>10/MVU146</f>
        <v>#DIV/0!</v>
      </c>
      <c r="MVZ148" s="371">
        <v>15.38</v>
      </c>
      <c r="MWA148" s="371" t="e">
        <f>MVX148*MVY148*MVZ148</f>
        <v>#DIV/0!</v>
      </c>
      <c r="MWB148" s="367" t="s">
        <v>206</v>
      </c>
      <c r="MWC148" s="367"/>
      <c r="MWD148" s="367"/>
      <c r="MWE148" s="368" t="s">
        <v>168</v>
      </c>
      <c r="MWF148" s="369">
        <v>0.5</v>
      </c>
      <c r="MWG148" s="370" t="e">
        <f>10/MWC146</f>
        <v>#DIV/0!</v>
      </c>
      <c r="MWH148" s="371">
        <v>15.38</v>
      </c>
      <c r="MWI148" s="371" t="e">
        <f>MWF148*MWG148*MWH148</f>
        <v>#DIV/0!</v>
      </c>
      <c r="MWJ148" s="367" t="s">
        <v>206</v>
      </c>
      <c r="MWK148" s="367"/>
      <c r="MWL148" s="367"/>
      <c r="MWM148" s="368" t="s">
        <v>168</v>
      </c>
      <c r="MWN148" s="369">
        <v>0.5</v>
      </c>
      <c r="MWO148" s="370" t="e">
        <f>10/MWK146</f>
        <v>#DIV/0!</v>
      </c>
      <c r="MWP148" s="371">
        <v>15.38</v>
      </c>
      <c r="MWQ148" s="371" t="e">
        <f>MWN148*MWO148*MWP148</f>
        <v>#DIV/0!</v>
      </c>
      <c r="MWR148" s="367" t="s">
        <v>206</v>
      </c>
      <c r="MWS148" s="367"/>
      <c r="MWT148" s="367"/>
      <c r="MWU148" s="368" t="s">
        <v>168</v>
      </c>
      <c r="MWV148" s="369">
        <v>0.5</v>
      </c>
      <c r="MWW148" s="370" t="e">
        <f>10/MWS146</f>
        <v>#DIV/0!</v>
      </c>
      <c r="MWX148" s="371">
        <v>15.38</v>
      </c>
      <c r="MWY148" s="371" t="e">
        <f>MWV148*MWW148*MWX148</f>
        <v>#DIV/0!</v>
      </c>
      <c r="MWZ148" s="367" t="s">
        <v>206</v>
      </c>
      <c r="MXA148" s="367"/>
      <c r="MXB148" s="367"/>
      <c r="MXC148" s="368" t="s">
        <v>168</v>
      </c>
      <c r="MXD148" s="369">
        <v>0.5</v>
      </c>
      <c r="MXE148" s="370" t="e">
        <f>10/MXA146</f>
        <v>#DIV/0!</v>
      </c>
      <c r="MXF148" s="371">
        <v>15.38</v>
      </c>
      <c r="MXG148" s="371" t="e">
        <f>MXD148*MXE148*MXF148</f>
        <v>#DIV/0!</v>
      </c>
      <c r="MXH148" s="367" t="s">
        <v>206</v>
      </c>
      <c r="MXI148" s="367"/>
      <c r="MXJ148" s="367"/>
      <c r="MXK148" s="368" t="s">
        <v>168</v>
      </c>
      <c r="MXL148" s="369">
        <v>0.5</v>
      </c>
      <c r="MXM148" s="370" t="e">
        <f>10/MXI146</f>
        <v>#DIV/0!</v>
      </c>
      <c r="MXN148" s="371">
        <v>15.38</v>
      </c>
      <c r="MXO148" s="371" t="e">
        <f>MXL148*MXM148*MXN148</f>
        <v>#DIV/0!</v>
      </c>
      <c r="MXP148" s="367" t="s">
        <v>206</v>
      </c>
      <c r="MXQ148" s="367"/>
      <c r="MXR148" s="367"/>
      <c r="MXS148" s="368" t="s">
        <v>168</v>
      </c>
      <c r="MXT148" s="369">
        <v>0.5</v>
      </c>
      <c r="MXU148" s="370" t="e">
        <f>10/MXQ146</f>
        <v>#DIV/0!</v>
      </c>
      <c r="MXV148" s="371">
        <v>15.38</v>
      </c>
      <c r="MXW148" s="371" t="e">
        <f>MXT148*MXU148*MXV148</f>
        <v>#DIV/0!</v>
      </c>
      <c r="MXX148" s="367" t="s">
        <v>206</v>
      </c>
      <c r="MXY148" s="367"/>
      <c r="MXZ148" s="367"/>
      <c r="MYA148" s="368" t="s">
        <v>168</v>
      </c>
      <c r="MYB148" s="369">
        <v>0.5</v>
      </c>
      <c r="MYC148" s="370" t="e">
        <f>10/MXY146</f>
        <v>#DIV/0!</v>
      </c>
      <c r="MYD148" s="371">
        <v>15.38</v>
      </c>
      <c r="MYE148" s="371" t="e">
        <f>MYB148*MYC148*MYD148</f>
        <v>#DIV/0!</v>
      </c>
      <c r="MYF148" s="367" t="s">
        <v>206</v>
      </c>
      <c r="MYG148" s="367"/>
      <c r="MYH148" s="367"/>
      <c r="MYI148" s="368" t="s">
        <v>168</v>
      </c>
      <c r="MYJ148" s="369">
        <v>0.5</v>
      </c>
      <c r="MYK148" s="370" t="e">
        <f>10/MYG146</f>
        <v>#DIV/0!</v>
      </c>
      <c r="MYL148" s="371">
        <v>15.38</v>
      </c>
      <c r="MYM148" s="371" t="e">
        <f>MYJ148*MYK148*MYL148</f>
        <v>#DIV/0!</v>
      </c>
      <c r="MYN148" s="367" t="s">
        <v>206</v>
      </c>
      <c r="MYO148" s="367"/>
      <c r="MYP148" s="367"/>
      <c r="MYQ148" s="368" t="s">
        <v>168</v>
      </c>
      <c r="MYR148" s="369">
        <v>0.5</v>
      </c>
      <c r="MYS148" s="370" t="e">
        <f>10/MYO146</f>
        <v>#DIV/0!</v>
      </c>
      <c r="MYT148" s="371">
        <v>15.38</v>
      </c>
      <c r="MYU148" s="371" t="e">
        <f>MYR148*MYS148*MYT148</f>
        <v>#DIV/0!</v>
      </c>
      <c r="MYV148" s="367" t="s">
        <v>206</v>
      </c>
      <c r="MYW148" s="367"/>
      <c r="MYX148" s="367"/>
      <c r="MYY148" s="368" t="s">
        <v>168</v>
      </c>
      <c r="MYZ148" s="369">
        <v>0.5</v>
      </c>
      <c r="MZA148" s="370" t="e">
        <f>10/MYW146</f>
        <v>#DIV/0!</v>
      </c>
      <c r="MZB148" s="371">
        <v>15.38</v>
      </c>
      <c r="MZC148" s="371" t="e">
        <f>MYZ148*MZA148*MZB148</f>
        <v>#DIV/0!</v>
      </c>
      <c r="MZD148" s="367" t="s">
        <v>206</v>
      </c>
      <c r="MZE148" s="367"/>
      <c r="MZF148" s="367"/>
      <c r="MZG148" s="368" t="s">
        <v>168</v>
      </c>
      <c r="MZH148" s="369">
        <v>0.5</v>
      </c>
      <c r="MZI148" s="370" t="e">
        <f>10/MZE146</f>
        <v>#DIV/0!</v>
      </c>
      <c r="MZJ148" s="371">
        <v>15.38</v>
      </c>
      <c r="MZK148" s="371" t="e">
        <f>MZH148*MZI148*MZJ148</f>
        <v>#DIV/0!</v>
      </c>
      <c r="MZL148" s="367" t="s">
        <v>206</v>
      </c>
      <c r="MZM148" s="367"/>
      <c r="MZN148" s="367"/>
      <c r="MZO148" s="368" t="s">
        <v>168</v>
      </c>
      <c r="MZP148" s="369">
        <v>0.5</v>
      </c>
      <c r="MZQ148" s="370" t="e">
        <f>10/MZM146</f>
        <v>#DIV/0!</v>
      </c>
      <c r="MZR148" s="371">
        <v>15.38</v>
      </c>
      <c r="MZS148" s="371" t="e">
        <f>MZP148*MZQ148*MZR148</f>
        <v>#DIV/0!</v>
      </c>
      <c r="MZT148" s="367" t="s">
        <v>206</v>
      </c>
      <c r="MZU148" s="367"/>
      <c r="MZV148" s="367"/>
      <c r="MZW148" s="368" t="s">
        <v>168</v>
      </c>
      <c r="MZX148" s="369">
        <v>0.5</v>
      </c>
      <c r="MZY148" s="370" t="e">
        <f>10/MZU146</f>
        <v>#DIV/0!</v>
      </c>
      <c r="MZZ148" s="371">
        <v>15.38</v>
      </c>
      <c r="NAA148" s="371" t="e">
        <f>MZX148*MZY148*MZZ148</f>
        <v>#DIV/0!</v>
      </c>
      <c r="NAB148" s="367" t="s">
        <v>206</v>
      </c>
      <c r="NAC148" s="367"/>
      <c r="NAD148" s="367"/>
      <c r="NAE148" s="368" t="s">
        <v>168</v>
      </c>
      <c r="NAF148" s="369">
        <v>0.5</v>
      </c>
      <c r="NAG148" s="370" t="e">
        <f>10/NAC146</f>
        <v>#DIV/0!</v>
      </c>
      <c r="NAH148" s="371">
        <v>15.38</v>
      </c>
      <c r="NAI148" s="371" t="e">
        <f>NAF148*NAG148*NAH148</f>
        <v>#DIV/0!</v>
      </c>
      <c r="NAJ148" s="367" t="s">
        <v>206</v>
      </c>
      <c r="NAK148" s="367"/>
      <c r="NAL148" s="367"/>
      <c r="NAM148" s="368" t="s">
        <v>168</v>
      </c>
      <c r="NAN148" s="369">
        <v>0.5</v>
      </c>
      <c r="NAO148" s="370" t="e">
        <f>10/NAK146</f>
        <v>#DIV/0!</v>
      </c>
      <c r="NAP148" s="371">
        <v>15.38</v>
      </c>
      <c r="NAQ148" s="371" t="e">
        <f>NAN148*NAO148*NAP148</f>
        <v>#DIV/0!</v>
      </c>
      <c r="NAR148" s="367" t="s">
        <v>206</v>
      </c>
      <c r="NAS148" s="367"/>
      <c r="NAT148" s="367"/>
      <c r="NAU148" s="368" t="s">
        <v>168</v>
      </c>
      <c r="NAV148" s="369">
        <v>0.5</v>
      </c>
      <c r="NAW148" s="370" t="e">
        <f>10/NAS146</f>
        <v>#DIV/0!</v>
      </c>
      <c r="NAX148" s="371">
        <v>15.38</v>
      </c>
      <c r="NAY148" s="371" t="e">
        <f>NAV148*NAW148*NAX148</f>
        <v>#DIV/0!</v>
      </c>
      <c r="NAZ148" s="367" t="s">
        <v>206</v>
      </c>
      <c r="NBA148" s="367"/>
      <c r="NBB148" s="367"/>
      <c r="NBC148" s="368" t="s">
        <v>168</v>
      </c>
      <c r="NBD148" s="369">
        <v>0.5</v>
      </c>
      <c r="NBE148" s="370" t="e">
        <f>10/NBA146</f>
        <v>#DIV/0!</v>
      </c>
      <c r="NBF148" s="371">
        <v>15.38</v>
      </c>
      <c r="NBG148" s="371" t="e">
        <f>NBD148*NBE148*NBF148</f>
        <v>#DIV/0!</v>
      </c>
      <c r="NBH148" s="367" t="s">
        <v>206</v>
      </c>
      <c r="NBI148" s="367"/>
      <c r="NBJ148" s="367"/>
      <c r="NBK148" s="368" t="s">
        <v>168</v>
      </c>
      <c r="NBL148" s="369">
        <v>0.5</v>
      </c>
      <c r="NBM148" s="370" t="e">
        <f>10/NBI146</f>
        <v>#DIV/0!</v>
      </c>
      <c r="NBN148" s="371">
        <v>15.38</v>
      </c>
      <c r="NBO148" s="371" t="e">
        <f>NBL148*NBM148*NBN148</f>
        <v>#DIV/0!</v>
      </c>
      <c r="NBP148" s="367" t="s">
        <v>206</v>
      </c>
      <c r="NBQ148" s="367"/>
      <c r="NBR148" s="367"/>
      <c r="NBS148" s="368" t="s">
        <v>168</v>
      </c>
      <c r="NBT148" s="369">
        <v>0.5</v>
      </c>
      <c r="NBU148" s="370" t="e">
        <f>10/NBQ146</f>
        <v>#DIV/0!</v>
      </c>
      <c r="NBV148" s="371">
        <v>15.38</v>
      </c>
      <c r="NBW148" s="371" t="e">
        <f>NBT148*NBU148*NBV148</f>
        <v>#DIV/0!</v>
      </c>
      <c r="NBX148" s="367" t="s">
        <v>206</v>
      </c>
      <c r="NBY148" s="367"/>
      <c r="NBZ148" s="367"/>
      <c r="NCA148" s="368" t="s">
        <v>168</v>
      </c>
      <c r="NCB148" s="369">
        <v>0.5</v>
      </c>
      <c r="NCC148" s="370" t="e">
        <f>10/NBY146</f>
        <v>#DIV/0!</v>
      </c>
      <c r="NCD148" s="371">
        <v>15.38</v>
      </c>
      <c r="NCE148" s="371" t="e">
        <f>NCB148*NCC148*NCD148</f>
        <v>#DIV/0!</v>
      </c>
      <c r="NCF148" s="367" t="s">
        <v>206</v>
      </c>
      <c r="NCG148" s="367"/>
      <c r="NCH148" s="367"/>
      <c r="NCI148" s="368" t="s">
        <v>168</v>
      </c>
      <c r="NCJ148" s="369">
        <v>0.5</v>
      </c>
      <c r="NCK148" s="370" t="e">
        <f>10/NCG146</f>
        <v>#DIV/0!</v>
      </c>
      <c r="NCL148" s="371">
        <v>15.38</v>
      </c>
      <c r="NCM148" s="371" t="e">
        <f>NCJ148*NCK148*NCL148</f>
        <v>#DIV/0!</v>
      </c>
      <c r="NCN148" s="367" t="s">
        <v>206</v>
      </c>
      <c r="NCO148" s="367"/>
      <c r="NCP148" s="367"/>
      <c r="NCQ148" s="368" t="s">
        <v>168</v>
      </c>
      <c r="NCR148" s="369">
        <v>0.5</v>
      </c>
      <c r="NCS148" s="370" t="e">
        <f>10/NCO146</f>
        <v>#DIV/0!</v>
      </c>
      <c r="NCT148" s="371">
        <v>15.38</v>
      </c>
      <c r="NCU148" s="371" t="e">
        <f>NCR148*NCS148*NCT148</f>
        <v>#DIV/0!</v>
      </c>
      <c r="NCV148" s="367" t="s">
        <v>206</v>
      </c>
      <c r="NCW148" s="367"/>
      <c r="NCX148" s="367"/>
      <c r="NCY148" s="368" t="s">
        <v>168</v>
      </c>
      <c r="NCZ148" s="369">
        <v>0.5</v>
      </c>
      <c r="NDA148" s="370" t="e">
        <f>10/NCW146</f>
        <v>#DIV/0!</v>
      </c>
      <c r="NDB148" s="371">
        <v>15.38</v>
      </c>
      <c r="NDC148" s="371" t="e">
        <f>NCZ148*NDA148*NDB148</f>
        <v>#DIV/0!</v>
      </c>
      <c r="NDD148" s="367" t="s">
        <v>206</v>
      </c>
      <c r="NDE148" s="367"/>
      <c r="NDF148" s="367"/>
      <c r="NDG148" s="368" t="s">
        <v>168</v>
      </c>
      <c r="NDH148" s="369">
        <v>0.5</v>
      </c>
      <c r="NDI148" s="370" t="e">
        <f>10/NDE146</f>
        <v>#DIV/0!</v>
      </c>
      <c r="NDJ148" s="371">
        <v>15.38</v>
      </c>
      <c r="NDK148" s="371" t="e">
        <f>NDH148*NDI148*NDJ148</f>
        <v>#DIV/0!</v>
      </c>
      <c r="NDL148" s="367" t="s">
        <v>206</v>
      </c>
      <c r="NDM148" s="367"/>
      <c r="NDN148" s="367"/>
      <c r="NDO148" s="368" t="s">
        <v>168</v>
      </c>
      <c r="NDP148" s="369">
        <v>0.5</v>
      </c>
      <c r="NDQ148" s="370" t="e">
        <f>10/NDM146</f>
        <v>#DIV/0!</v>
      </c>
      <c r="NDR148" s="371">
        <v>15.38</v>
      </c>
      <c r="NDS148" s="371" t="e">
        <f>NDP148*NDQ148*NDR148</f>
        <v>#DIV/0!</v>
      </c>
      <c r="NDT148" s="367" t="s">
        <v>206</v>
      </c>
      <c r="NDU148" s="367"/>
      <c r="NDV148" s="367"/>
      <c r="NDW148" s="368" t="s">
        <v>168</v>
      </c>
      <c r="NDX148" s="369">
        <v>0.5</v>
      </c>
      <c r="NDY148" s="370" t="e">
        <f>10/NDU146</f>
        <v>#DIV/0!</v>
      </c>
      <c r="NDZ148" s="371">
        <v>15.38</v>
      </c>
      <c r="NEA148" s="371" t="e">
        <f>NDX148*NDY148*NDZ148</f>
        <v>#DIV/0!</v>
      </c>
      <c r="NEB148" s="367" t="s">
        <v>206</v>
      </c>
      <c r="NEC148" s="367"/>
      <c r="NED148" s="367"/>
      <c r="NEE148" s="368" t="s">
        <v>168</v>
      </c>
      <c r="NEF148" s="369">
        <v>0.5</v>
      </c>
      <c r="NEG148" s="370" t="e">
        <f>10/NEC146</f>
        <v>#DIV/0!</v>
      </c>
      <c r="NEH148" s="371">
        <v>15.38</v>
      </c>
      <c r="NEI148" s="371" t="e">
        <f>NEF148*NEG148*NEH148</f>
        <v>#DIV/0!</v>
      </c>
      <c r="NEJ148" s="367" t="s">
        <v>206</v>
      </c>
      <c r="NEK148" s="367"/>
      <c r="NEL148" s="367"/>
      <c r="NEM148" s="368" t="s">
        <v>168</v>
      </c>
      <c r="NEN148" s="369">
        <v>0.5</v>
      </c>
      <c r="NEO148" s="370" t="e">
        <f>10/NEK146</f>
        <v>#DIV/0!</v>
      </c>
      <c r="NEP148" s="371">
        <v>15.38</v>
      </c>
      <c r="NEQ148" s="371" t="e">
        <f>NEN148*NEO148*NEP148</f>
        <v>#DIV/0!</v>
      </c>
      <c r="NER148" s="367" t="s">
        <v>206</v>
      </c>
      <c r="NES148" s="367"/>
      <c r="NET148" s="367"/>
      <c r="NEU148" s="368" t="s">
        <v>168</v>
      </c>
      <c r="NEV148" s="369">
        <v>0.5</v>
      </c>
      <c r="NEW148" s="370" t="e">
        <f>10/NES146</f>
        <v>#DIV/0!</v>
      </c>
      <c r="NEX148" s="371">
        <v>15.38</v>
      </c>
      <c r="NEY148" s="371" t="e">
        <f>NEV148*NEW148*NEX148</f>
        <v>#DIV/0!</v>
      </c>
      <c r="NEZ148" s="367" t="s">
        <v>206</v>
      </c>
      <c r="NFA148" s="367"/>
      <c r="NFB148" s="367"/>
      <c r="NFC148" s="368" t="s">
        <v>168</v>
      </c>
      <c r="NFD148" s="369">
        <v>0.5</v>
      </c>
      <c r="NFE148" s="370" t="e">
        <f>10/NFA146</f>
        <v>#DIV/0!</v>
      </c>
      <c r="NFF148" s="371">
        <v>15.38</v>
      </c>
      <c r="NFG148" s="371" t="e">
        <f>NFD148*NFE148*NFF148</f>
        <v>#DIV/0!</v>
      </c>
      <c r="NFH148" s="367" t="s">
        <v>206</v>
      </c>
      <c r="NFI148" s="367"/>
      <c r="NFJ148" s="367"/>
      <c r="NFK148" s="368" t="s">
        <v>168</v>
      </c>
      <c r="NFL148" s="369">
        <v>0.5</v>
      </c>
      <c r="NFM148" s="370" t="e">
        <f>10/NFI146</f>
        <v>#DIV/0!</v>
      </c>
      <c r="NFN148" s="371">
        <v>15.38</v>
      </c>
      <c r="NFO148" s="371" t="e">
        <f>NFL148*NFM148*NFN148</f>
        <v>#DIV/0!</v>
      </c>
      <c r="NFP148" s="367" t="s">
        <v>206</v>
      </c>
      <c r="NFQ148" s="367"/>
      <c r="NFR148" s="367"/>
      <c r="NFS148" s="368" t="s">
        <v>168</v>
      </c>
      <c r="NFT148" s="369">
        <v>0.5</v>
      </c>
      <c r="NFU148" s="370" t="e">
        <f>10/NFQ146</f>
        <v>#DIV/0!</v>
      </c>
      <c r="NFV148" s="371">
        <v>15.38</v>
      </c>
      <c r="NFW148" s="371" t="e">
        <f>NFT148*NFU148*NFV148</f>
        <v>#DIV/0!</v>
      </c>
      <c r="NFX148" s="367" t="s">
        <v>206</v>
      </c>
      <c r="NFY148" s="367"/>
      <c r="NFZ148" s="367"/>
      <c r="NGA148" s="368" t="s">
        <v>168</v>
      </c>
      <c r="NGB148" s="369">
        <v>0.5</v>
      </c>
      <c r="NGC148" s="370" t="e">
        <f>10/NFY146</f>
        <v>#DIV/0!</v>
      </c>
      <c r="NGD148" s="371">
        <v>15.38</v>
      </c>
      <c r="NGE148" s="371" t="e">
        <f>NGB148*NGC148*NGD148</f>
        <v>#DIV/0!</v>
      </c>
      <c r="NGF148" s="367" t="s">
        <v>206</v>
      </c>
      <c r="NGG148" s="367"/>
      <c r="NGH148" s="367"/>
      <c r="NGI148" s="368" t="s">
        <v>168</v>
      </c>
      <c r="NGJ148" s="369">
        <v>0.5</v>
      </c>
      <c r="NGK148" s="370" t="e">
        <f>10/NGG146</f>
        <v>#DIV/0!</v>
      </c>
      <c r="NGL148" s="371">
        <v>15.38</v>
      </c>
      <c r="NGM148" s="371" t="e">
        <f>NGJ148*NGK148*NGL148</f>
        <v>#DIV/0!</v>
      </c>
      <c r="NGN148" s="367" t="s">
        <v>206</v>
      </c>
      <c r="NGO148" s="367"/>
      <c r="NGP148" s="367"/>
      <c r="NGQ148" s="368" t="s">
        <v>168</v>
      </c>
      <c r="NGR148" s="369">
        <v>0.5</v>
      </c>
      <c r="NGS148" s="370" t="e">
        <f>10/NGO146</f>
        <v>#DIV/0!</v>
      </c>
      <c r="NGT148" s="371">
        <v>15.38</v>
      </c>
      <c r="NGU148" s="371" t="e">
        <f>NGR148*NGS148*NGT148</f>
        <v>#DIV/0!</v>
      </c>
      <c r="NGV148" s="367" t="s">
        <v>206</v>
      </c>
      <c r="NGW148" s="367"/>
      <c r="NGX148" s="367"/>
      <c r="NGY148" s="368" t="s">
        <v>168</v>
      </c>
      <c r="NGZ148" s="369">
        <v>0.5</v>
      </c>
      <c r="NHA148" s="370" t="e">
        <f>10/NGW146</f>
        <v>#DIV/0!</v>
      </c>
      <c r="NHB148" s="371">
        <v>15.38</v>
      </c>
      <c r="NHC148" s="371" t="e">
        <f>NGZ148*NHA148*NHB148</f>
        <v>#DIV/0!</v>
      </c>
      <c r="NHD148" s="367" t="s">
        <v>206</v>
      </c>
      <c r="NHE148" s="367"/>
      <c r="NHF148" s="367"/>
      <c r="NHG148" s="368" t="s">
        <v>168</v>
      </c>
      <c r="NHH148" s="369">
        <v>0.5</v>
      </c>
      <c r="NHI148" s="370" t="e">
        <f>10/NHE146</f>
        <v>#DIV/0!</v>
      </c>
      <c r="NHJ148" s="371">
        <v>15.38</v>
      </c>
      <c r="NHK148" s="371" t="e">
        <f>NHH148*NHI148*NHJ148</f>
        <v>#DIV/0!</v>
      </c>
      <c r="NHL148" s="367" t="s">
        <v>206</v>
      </c>
      <c r="NHM148" s="367"/>
      <c r="NHN148" s="367"/>
      <c r="NHO148" s="368" t="s">
        <v>168</v>
      </c>
      <c r="NHP148" s="369">
        <v>0.5</v>
      </c>
      <c r="NHQ148" s="370" t="e">
        <f>10/NHM146</f>
        <v>#DIV/0!</v>
      </c>
      <c r="NHR148" s="371">
        <v>15.38</v>
      </c>
      <c r="NHS148" s="371" t="e">
        <f>NHP148*NHQ148*NHR148</f>
        <v>#DIV/0!</v>
      </c>
      <c r="NHT148" s="367" t="s">
        <v>206</v>
      </c>
      <c r="NHU148" s="367"/>
      <c r="NHV148" s="367"/>
      <c r="NHW148" s="368" t="s">
        <v>168</v>
      </c>
      <c r="NHX148" s="369">
        <v>0.5</v>
      </c>
      <c r="NHY148" s="370" t="e">
        <f>10/NHU146</f>
        <v>#DIV/0!</v>
      </c>
      <c r="NHZ148" s="371">
        <v>15.38</v>
      </c>
      <c r="NIA148" s="371" t="e">
        <f>NHX148*NHY148*NHZ148</f>
        <v>#DIV/0!</v>
      </c>
      <c r="NIB148" s="367" t="s">
        <v>206</v>
      </c>
      <c r="NIC148" s="367"/>
      <c r="NID148" s="367"/>
      <c r="NIE148" s="368" t="s">
        <v>168</v>
      </c>
      <c r="NIF148" s="369">
        <v>0.5</v>
      </c>
      <c r="NIG148" s="370" t="e">
        <f>10/NIC146</f>
        <v>#DIV/0!</v>
      </c>
      <c r="NIH148" s="371">
        <v>15.38</v>
      </c>
      <c r="NII148" s="371" t="e">
        <f>NIF148*NIG148*NIH148</f>
        <v>#DIV/0!</v>
      </c>
      <c r="NIJ148" s="367" t="s">
        <v>206</v>
      </c>
      <c r="NIK148" s="367"/>
      <c r="NIL148" s="367"/>
      <c r="NIM148" s="368" t="s">
        <v>168</v>
      </c>
      <c r="NIN148" s="369">
        <v>0.5</v>
      </c>
      <c r="NIO148" s="370" t="e">
        <f>10/NIK146</f>
        <v>#DIV/0!</v>
      </c>
      <c r="NIP148" s="371">
        <v>15.38</v>
      </c>
      <c r="NIQ148" s="371" t="e">
        <f>NIN148*NIO148*NIP148</f>
        <v>#DIV/0!</v>
      </c>
      <c r="NIR148" s="367" t="s">
        <v>206</v>
      </c>
      <c r="NIS148" s="367"/>
      <c r="NIT148" s="367"/>
      <c r="NIU148" s="368" t="s">
        <v>168</v>
      </c>
      <c r="NIV148" s="369">
        <v>0.5</v>
      </c>
      <c r="NIW148" s="370" t="e">
        <f>10/NIS146</f>
        <v>#DIV/0!</v>
      </c>
      <c r="NIX148" s="371">
        <v>15.38</v>
      </c>
      <c r="NIY148" s="371" t="e">
        <f>NIV148*NIW148*NIX148</f>
        <v>#DIV/0!</v>
      </c>
      <c r="NIZ148" s="367" t="s">
        <v>206</v>
      </c>
      <c r="NJA148" s="367"/>
      <c r="NJB148" s="367"/>
      <c r="NJC148" s="368" t="s">
        <v>168</v>
      </c>
      <c r="NJD148" s="369">
        <v>0.5</v>
      </c>
      <c r="NJE148" s="370" t="e">
        <f>10/NJA146</f>
        <v>#DIV/0!</v>
      </c>
      <c r="NJF148" s="371">
        <v>15.38</v>
      </c>
      <c r="NJG148" s="371" t="e">
        <f>NJD148*NJE148*NJF148</f>
        <v>#DIV/0!</v>
      </c>
      <c r="NJH148" s="367" t="s">
        <v>206</v>
      </c>
      <c r="NJI148" s="367"/>
      <c r="NJJ148" s="367"/>
      <c r="NJK148" s="368" t="s">
        <v>168</v>
      </c>
      <c r="NJL148" s="369">
        <v>0.5</v>
      </c>
      <c r="NJM148" s="370" t="e">
        <f>10/NJI146</f>
        <v>#DIV/0!</v>
      </c>
      <c r="NJN148" s="371">
        <v>15.38</v>
      </c>
      <c r="NJO148" s="371" t="e">
        <f>NJL148*NJM148*NJN148</f>
        <v>#DIV/0!</v>
      </c>
      <c r="NJP148" s="367" t="s">
        <v>206</v>
      </c>
      <c r="NJQ148" s="367"/>
      <c r="NJR148" s="367"/>
      <c r="NJS148" s="368" t="s">
        <v>168</v>
      </c>
      <c r="NJT148" s="369">
        <v>0.5</v>
      </c>
      <c r="NJU148" s="370" t="e">
        <f>10/NJQ146</f>
        <v>#DIV/0!</v>
      </c>
      <c r="NJV148" s="371">
        <v>15.38</v>
      </c>
      <c r="NJW148" s="371" t="e">
        <f>NJT148*NJU148*NJV148</f>
        <v>#DIV/0!</v>
      </c>
      <c r="NJX148" s="367" t="s">
        <v>206</v>
      </c>
      <c r="NJY148" s="367"/>
      <c r="NJZ148" s="367"/>
      <c r="NKA148" s="368" t="s">
        <v>168</v>
      </c>
      <c r="NKB148" s="369">
        <v>0.5</v>
      </c>
      <c r="NKC148" s="370" t="e">
        <f>10/NJY146</f>
        <v>#DIV/0!</v>
      </c>
      <c r="NKD148" s="371">
        <v>15.38</v>
      </c>
      <c r="NKE148" s="371" t="e">
        <f>NKB148*NKC148*NKD148</f>
        <v>#DIV/0!</v>
      </c>
      <c r="NKF148" s="367" t="s">
        <v>206</v>
      </c>
      <c r="NKG148" s="367"/>
      <c r="NKH148" s="367"/>
      <c r="NKI148" s="368" t="s">
        <v>168</v>
      </c>
      <c r="NKJ148" s="369">
        <v>0.5</v>
      </c>
      <c r="NKK148" s="370" t="e">
        <f>10/NKG146</f>
        <v>#DIV/0!</v>
      </c>
      <c r="NKL148" s="371">
        <v>15.38</v>
      </c>
      <c r="NKM148" s="371" t="e">
        <f>NKJ148*NKK148*NKL148</f>
        <v>#DIV/0!</v>
      </c>
      <c r="NKN148" s="367" t="s">
        <v>206</v>
      </c>
      <c r="NKO148" s="367"/>
      <c r="NKP148" s="367"/>
      <c r="NKQ148" s="368" t="s">
        <v>168</v>
      </c>
      <c r="NKR148" s="369">
        <v>0.5</v>
      </c>
      <c r="NKS148" s="370" t="e">
        <f>10/NKO146</f>
        <v>#DIV/0!</v>
      </c>
      <c r="NKT148" s="371">
        <v>15.38</v>
      </c>
      <c r="NKU148" s="371" t="e">
        <f>NKR148*NKS148*NKT148</f>
        <v>#DIV/0!</v>
      </c>
      <c r="NKV148" s="367" t="s">
        <v>206</v>
      </c>
      <c r="NKW148" s="367"/>
      <c r="NKX148" s="367"/>
      <c r="NKY148" s="368" t="s">
        <v>168</v>
      </c>
      <c r="NKZ148" s="369">
        <v>0.5</v>
      </c>
      <c r="NLA148" s="370" t="e">
        <f>10/NKW146</f>
        <v>#DIV/0!</v>
      </c>
      <c r="NLB148" s="371">
        <v>15.38</v>
      </c>
      <c r="NLC148" s="371" t="e">
        <f>NKZ148*NLA148*NLB148</f>
        <v>#DIV/0!</v>
      </c>
      <c r="NLD148" s="367" t="s">
        <v>206</v>
      </c>
      <c r="NLE148" s="367"/>
      <c r="NLF148" s="367"/>
      <c r="NLG148" s="368" t="s">
        <v>168</v>
      </c>
      <c r="NLH148" s="369">
        <v>0.5</v>
      </c>
      <c r="NLI148" s="370" t="e">
        <f>10/NLE146</f>
        <v>#DIV/0!</v>
      </c>
      <c r="NLJ148" s="371">
        <v>15.38</v>
      </c>
      <c r="NLK148" s="371" t="e">
        <f>NLH148*NLI148*NLJ148</f>
        <v>#DIV/0!</v>
      </c>
      <c r="NLL148" s="367" t="s">
        <v>206</v>
      </c>
      <c r="NLM148" s="367"/>
      <c r="NLN148" s="367"/>
      <c r="NLO148" s="368" t="s">
        <v>168</v>
      </c>
      <c r="NLP148" s="369">
        <v>0.5</v>
      </c>
      <c r="NLQ148" s="370" t="e">
        <f>10/NLM146</f>
        <v>#DIV/0!</v>
      </c>
      <c r="NLR148" s="371">
        <v>15.38</v>
      </c>
      <c r="NLS148" s="371" t="e">
        <f>NLP148*NLQ148*NLR148</f>
        <v>#DIV/0!</v>
      </c>
      <c r="NLT148" s="367" t="s">
        <v>206</v>
      </c>
      <c r="NLU148" s="367"/>
      <c r="NLV148" s="367"/>
      <c r="NLW148" s="368" t="s">
        <v>168</v>
      </c>
      <c r="NLX148" s="369">
        <v>0.5</v>
      </c>
      <c r="NLY148" s="370" t="e">
        <f>10/NLU146</f>
        <v>#DIV/0!</v>
      </c>
      <c r="NLZ148" s="371">
        <v>15.38</v>
      </c>
      <c r="NMA148" s="371" t="e">
        <f>NLX148*NLY148*NLZ148</f>
        <v>#DIV/0!</v>
      </c>
      <c r="NMB148" s="367" t="s">
        <v>206</v>
      </c>
      <c r="NMC148" s="367"/>
      <c r="NMD148" s="367"/>
      <c r="NME148" s="368" t="s">
        <v>168</v>
      </c>
      <c r="NMF148" s="369">
        <v>0.5</v>
      </c>
      <c r="NMG148" s="370" t="e">
        <f>10/NMC146</f>
        <v>#DIV/0!</v>
      </c>
      <c r="NMH148" s="371">
        <v>15.38</v>
      </c>
      <c r="NMI148" s="371" t="e">
        <f>NMF148*NMG148*NMH148</f>
        <v>#DIV/0!</v>
      </c>
      <c r="NMJ148" s="367" t="s">
        <v>206</v>
      </c>
      <c r="NMK148" s="367"/>
      <c r="NML148" s="367"/>
      <c r="NMM148" s="368" t="s">
        <v>168</v>
      </c>
      <c r="NMN148" s="369">
        <v>0.5</v>
      </c>
      <c r="NMO148" s="370" t="e">
        <f>10/NMK146</f>
        <v>#DIV/0!</v>
      </c>
      <c r="NMP148" s="371">
        <v>15.38</v>
      </c>
      <c r="NMQ148" s="371" t="e">
        <f>NMN148*NMO148*NMP148</f>
        <v>#DIV/0!</v>
      </c>
      <c r="NMR148" s="367" t="s">
        <v>206</v>
      </c>
      <c r="NMS148" s="367"/>
      <c r="NMT148" s="367"/>
      <c r="NMU148" s="368" t="s">
        <v>168</v>
      </c>
      <c r="NMV148" s="369">
        <v>0.5</v>
      </c>
      <c r="NMW148" s="370" t="e">
        <f>10/NMS146</f>
        <v>#DIV/0!</v>
      </c>
      <c r="NMX148" s="371">
        <v>15.38</v>
      </c>
      <c r="NMY148" s="371" t="e">
        <f>NMV148*NMW148*NMX148</f>
        <v>#DIV/0!</v>
      </c>
      <c r="NMZ148" s="367" t="s">
        <v>206</v>
      </c>
      <c r="NNA148" s="367"/>
      <c r="NNB148" s="367"/>
      <c r="NNC148" s="368" t="s">
        <v>168</v>
      </c>
      <c r="NND148" s="369">
        <v>0.5</v>
      </c>
      <c r="NNE148" s="370" t="e">
        <f>10/NNA146</f>
        <v>#DIV/0!</v>
      </c>
      <c r="NNF148" s="371">
        <v>15.38</v>
      </c>
      <c r="NNG148" s="371" t="e">
        <f>NND148*NNE148*NNF148</f>
        <v>#DIV/0!</v>
      </c>
      <c r="NNH148" s="367" t="s">
        <v>206</v>
      </c>
      <c r="NNI148" s="367"/>
      <c r="NNJ148" s="367"/>
      <c r="NNK148" s="368" t="s">
        <v>168</v>
      </c>
      <c r="NNL148" s="369">
        <v>0.5</v>
      </c>
      <c r="NNM148" s="370" t="e">
        <f>10/NNI146</f>
        <v>#DIV/0!</v>
      </c>
      <c r="NNN148" s="371">
        <v>15.38</v>
      </c>
      <c r="NNO148" s="371" t="e">
        <f>NNL148*NNM148*NNN148</f>
        <v>#DIV/0!</v>
      </c>
      <c r="NNP148" s="367" t="s">
        <v>206</v>
      </c>
      <c r="NNQ148" s="367"/>
      <c r="NNR148" s="367"/>
      <c r="NNS148" s="368" t="s">
        <v>168</v>
      </c>
      <c r="NNT148" s="369">
        <v>0.5</v>
      </c>
      <c r="NNU148" s="370" t="e">
        <f>10/NNQ146</f>
        <v>#DIV/0!</v>
      </c>
      <c r="NNV148" s="371">
        <v>15.38</v>
      </c>
      <c r="NNW148" s="371" t="e">
        <f>NNT148*NNU148*NNV148</f>
        <v>#DIV/0!</v>
      </c>
      <c r="NNX148" s="367" t="s">
        <v>206</v>
      </c>
      <c r="NNY148" s="367"/>
      <c r="NNZ148" s="367"/>
      <c r="NOA148" s="368" t="s">
        <v>168</v>
      </c>
      <c r="NOB148" s="369">
        <v>0.5</v>
      </c>
      <c r="NOC148" s="370" t="e">
        <f>10/NNY146</f>
        <v>#DIV/0!</v>
      </c>
      <c r="NOD148" s="371">
        <v>15.38</v>
      </c>
      <c r="NOE148" s="371" t="e">
        <f>NOB148*NOC148*NOD148</f>
        <v>#DIV/0!</v>
      </c>
      <c r="NOF148" s="367" t="s">
        <v>206</v>
      </c>
      <c r="NOG148" s="367"/>
      <c r="NOH148" s="367"/>
      <c r="NOI148" s="368" t="s">
        <v>168</v>
      </c>
      <c r="NOJ148" s="369">
        <v>0.5</v>
      </c>
      <c r="NOK148" s="370" t="e">
        <f>10/NOG146</f>
        <v>#DIV/0!</v>
      </c>
      <c r="NOL148" s="371">
        <v>15.38</v>
      </c>
      <c r="NOM148" s="371" t="e">
        <f>NOJ148*NOK148*NOL148</f>
        <v>#DIV/0!</v>
      </c>
      <c r="NON148" s="367" t="s">
        <v>206</v>
      </c>
      <c r="NOO148" s="367"/>
      <c r="NOP148" s="367"/>
      <c r="NOQ148" s="368" t="s">
        <v>168</v>
      </c>
      <c r="NOR148" s="369">
        <v>0.5</v>
      </c>
      <c r="NOS148" s="370" t="e">
        <f>10/NOO146</f>
        <v>#DIV/0!</v>
      </c>
      <c r="NOT148" s="371">
        <v>15.38</v>
      </c>
      <c r="NOU148" s="371" t="e">
        <f>NOR148*NOS148*NOT148</f>
        <v>#DIV/0!</v>
      </c>
      <c r="NOV148" s="367" t="s">
        <v>206</v>
      </c>
      <c r="NOW148" s="367"/>
      <c r="NOX148" s="367"/>
      <c r="NOY148" s="368" t="s">
        <v>168</v>
      </c>
      <c r="NOZ148" s="369">
        <v>0.5</v>
      </c>
      <c r="NPA148" s="370" t="e">
        <f>10/NOW146</f>
        <v>#DIV/0!</v>
      </c>
      <c r="NPB148" s="371">
        <v>15.38</v>
      </c>
      <c r="NPC148" s="371" t="e">
        <f>NOZ148*NPA148*NPB148</f>
        <v>#DIV/0!</v>
      </c>
      <c r="NPD148" s="367" t="s">
        <v>206</v>
      </c>
      <c r="NPE148" s="367"/>
      <c r="NPF148" s="367"/>
      <c r="NPG148" s="368" t="s">
        <v>168</v>
      </c>
      <c r="NPH148" s="369">
        <v>0.5</v>
      </c>
      <c r="NPI148" s="370" t="e">
        <f>10/NPE146</f>
        <v>#DIV/0!</v>
      </c>
      <c r="NPJ148" s="371">
        <v>15.38</v>
      </c>
      <c r="NPK148" s="371" t="e">
        <f>NPH148*NPI148*NPJ148</f>
        <v>#DIV/0!</v>
      </c>
      <c r="NPL148" s="367" t="s">
        <v>206</v>
      </c>
      <c r="NPM148" s="367"/>
      <c r="NPN148" s="367"/>
      <c r="NPO148" s="368" t="s">
        <v>168</v>
      </c>
      <c r="NPP148" s="369">
        <v>0.5</v>
      </c>
      <c r="NPQ148" s="370" t="e">
        <f>10/NPM146</f>
        <v>#DIV/0!</v>
      </c>
      <c r="NPR148" s="371">
        <v>15.38</v>
      </c>
      <c r="NPS148" s="371" t="e">
        <f>NPP148*NPQ148*NPR148</f>
        <v>#DIV/0!</v>
      </c>
      <c r="NPT148" s="367" t="s">
        <v>206</v>
      </c>
      <c r="NPU148" s="367"/>
      <c r="NPV148" s="367"/>
      <c r="NPW148" s="368" t="s">
        <v>168</v>
      </c>
      <c r="NPX148" s="369">
        <v>0.5</v>
      </c>
      <c r="NPY148" s="370" t="e">
        <f>10/NPU146</f>
        <v>#DIV/0!</v>
      </c>
      <c r="NPZ148" s="371">
        <v>15.38</v>
      </c>
      <c r="NQA148" s="371" t="e">
        <f>NPX148*NPY148*NPZ148</f>
        <v>#DIV/0!</v>
      </c>
      <c r="NQB148" s="367" t="s">
        <v>206</v>
      </c>
      <c r="NQC148" s="367"/>
      <c r="NQD148" s="367"/>
      <c r="NQE148" s="368" t="s">
        <v>168</v>
      </c>
      <c r="NQF148" s="369">
        <v>0.5</v>
      </c>
      <c r="NQG148" s="370" t="e">
        <f>10/NQC146</f>
        <v>#DIV/0!</v>
      </c>
      <c r="NQH148" s="371">
        <v>15.38</v>
      </c>
      <c r="NQI148" s="371" t="e">
        <f>NQF148*NQG148*NQH148</f>
        <v>#DIV/0!</v>
      </c>
      <c r="NQJ148" s="367" t="s">
        <v>206</v>
      </c>
      <c r="NQK148" s="367"/>
      <c r="NQL148" s="367"/>
      <c r="NQM148" s="368" t="s">
        <v>168</v>
      </c>
      <c r="NQN148" s="369">
        <v>0.5</v>
      </c>
      <c r="NQO148" s="370" t="e">
        <f>10/NQK146</f>
        <v>#DIV/0!</v>
      </c>
      <c r="NQP148" s="371">
        <v>15.38</v>
      </c>
      <c r="NQQ148" s="371" t="e">
        <f>NQN148*NQO148*NQP148</f>
        <v>#DIV/0!</v>
      </c>
      <c r="NQR148" s="367" t="s">
        <v>206</v>
      </c>
      <c r="NQS148" s="367"/>
      <c r="NQT148" s="367"/>
      <c r="NQU148" s="368" t="s">
        <v>168</v>
      </c>
      <c r="NQV148" s="369">
        <v>0.5</v>
      </c>
      <c r="NQW148" s="370" t="e">
        <f>10/NQS146</f>
        <v>#DIV/0!</v>
      </c>
      <c r="NQX148" s="371">
        <v>15.38</v>
      </c>
      <c r="NQY148" s="371" t="e">
        <f>NQV148*NQW148*NQX148</f>
        <v>#DIV/0!</v>
      </c>
      <c r="NQZ148" s="367" t="s">
        <v>206</v>
      </c>
      <c r="NRA148" s="367"/>
      <c r="NRB148" s="367"/>
      <c r="NRC148" s="368" t="s">
        <v>168</v>
      </c>
      <c r="NRD148" s="369">
        <v>0.5</v>
      </c>
      <c r="NRE148" s="370" t="e">
        <f>10/NRA146</f>
        <v>#DIV/0!</v>
      </c>
      <c r="NRF148" s="371">
        <v>15.38</v>
      </c>
      <c r="NRG148" s="371" t="e">
        <f>NRD148*NRE148*NRF148</f>
        <v>#DIV/0!</v>
      </c>
      <c r="NRH148" s="367" t="s">
        <v>206</v>
      </c>
      <c r="NRI148" s="367"/>
      <c r="NRJ148" s="367"/>
      <c r="NRK148" s="368" t="s">
        <v>168</v>
      </c>
      <c r="NRL148" s="369">
        <v>0.5</v>
      </c>
      <c r="NRM148" s="370" t="e">
        <f>10/NRI146</f>
        <v>#DIV/0!</v>
      </c>
      <c r="NRN148" s="371">
        <v>15.38</v>
      </c>
      <c r="NRO148" s="371" t="e">
        <f>NRL148*NRM148*NRN148</f>
        <v>#DIV/0!</v>
      </c>
      <c r="NRP148" s="367" t="s">
        <v>206</v>
      </c>
      <c r="NRQ148" s="367"/>
      <c r="NRR148" s="367"/>
      <c r="NRS148" s="368" t="s">
        <v>168</v>
      </c>
      <c r="NRT148" s="369">
        <v>0.5</v>
      </c>
      <c r="NRU148" s="370" t="e">
        <f>10/NRQ146</f>
        <v>#DIV/0!</v>
      </c>
      <c r="NRV148" s="371">
        <v>15.38</v>
      </c>
      <c r="NRW148" s="371" t="e">
        <f>NRT148*NRU148*NRV148</f>
        <v>#DIV/0!</v>
      </c>
      <c r="NRX148" s="367" t="s">
        <v>206</v>
      </c>
      <c r="NRY148" s="367"/>
      <c r="NRZ148" s="367"/>
      <c r="NSA148" s="368" t="s">
        <v>168</v>
      </c>
      <c r="NSB148" s="369">
        <v>0.5</v>
      </c>
      <c r="NSC148" s="370" t="e">
        <f>10/NRY146</f>
        <v>#DIV/0!</v>
      </c>
      <c r="NSD148" s="371">
        <v>15.38</v>
      </c>
      <c r="NSE148" s="371" t="e">
        <f>NSB148*NSC148*NSD148</f>
        <v>#DIV/0!</v>
      </c>
      <c r="NSF148" s="367" t="s">
        <v>206</v>
      </c>
      <c r="NSG148" s="367"/>
      <c r="NSH148" s="367"/>
      <c r="NSI148" s="368" t="s">
        <v>168</v>
      </c>
      <c r="NSJ148" s="369">
        <v>0.5</v>
      </c>
      <c r="NSK148" s="370" t="e">
        <f>10/NSG146</f>
        <v>#DIV/0!</v>
      </c>
      <c r="NSL148" s="371">
        <v>15.38</v>
      </c>
      <c r="NSM148" s="371" t="e">
        <f>NSJ148*NSK148*NSL148</f>
        <v>#DIV/0!</v>
      </c>
      <c r="NSN148" s="367" t="s">
        <v>206</v>
      </c>
      <c r="NSO148" s="367"/>
      <c r="NSP148" s="367"/>
      <c r="NSQ148" s="368" t="s">
        <v>168</v>
      </c>
      <c r="NSR148" s="369">
        <v>0.5</v>
      </c>
      <c r="NSS148" s="370" t="e">
        <f>10/NSO146</f>
        <v>#DIV/0!</v>
      </c>
      <c r="NST148" s="371">
        <v>15.38</v>
      </c>
      <c r="NSU148" s="371" t="e">
        <f>NSR148*NSS148*NST148</f>
        <v>#DIV/0!</v>
      </c>
      <c r="NSV148" s="367" t="s">
        <v>206</v>
      </c>
      <c r="NSW148" s="367"/>
      <c r="NSX148" s="367"/>
      <c r="NSY148" s="368" t="s">
        <v>168</v>
      </c>
      <c r="NSZ148" s="369">
        <v>0.5</v>
      </c>
      <c r="NTA148" s="370" t="e">
        <f>10/NSW146</f>
        <v>#DIV/0!</v>
      </c>
      <c r="NTB148" s="371">
        <v>15.38</v>
      </c>
      <c r="NTC148" s="371" t="e">
        <f>NSZ148*NTA148*NTB148</f>
        <v>#DIV/0!</v>
      </c>
      <c r="NTD148" s="367" t="s">
        <v>206</v>
      </c>
      <c r="NTE148" s="367"/>
      <c r="NTF148" s="367"/>
      <c r="NTG148" s="368" t="s">
        <v>168</v>
      </c>
      <c r="NTH148" s="369">
        <v>0.5</v>
      </c>
      <c r="NTI148" s="370" t="e">
        <f>10/NTE146</f>
        <v>#DIV/0!</v>
      </c>
      <c r="NTJ148" s="371">
        <v>15.38</v>
      </c>
      <c r="NTK148" s="371" t="e">
        <f>NTH148*NTI148*NTJ148</f>
        <v>#DIV/0!</v>
      </c>
      <c r="NTL148" s="367" t="s">
        <v>206</v>
      </c>
      <c r="NTM148" s="367"/>
      <c r="NTN148" s="367"/>
      <c r="NTO148" s="368" t="s">
        <v>168</v>
      </c>
      <c r="NTP148" s="369">
        <v>0.5</v>
      </c>
      <c r="NTQ148" s="370" t="e">
        <f>10/NTM146</f>
        <v>#DIV/0!</v>
      </c>
      <c r="NTR148" s="371">
        <v>15.38</v>
      </c>
      <c r="NTS148" s="371" t="e">
        <f>NTP148*NTQ148*NTR148</f>
        <v>#DIV/0!</v>
      </c>
      <c r="NTT148" s="367" t="s">
        <v>206</v>
      </c>
      <c r="NTU148" s="367"/>
      <c r="NTV148" s="367"/>
      <c r="NTW148" s="368" t="s">
        <v>168</v>
      </c>
      <c r="NTX148" s="369">
        <v>0.5</v>
      </c>
      <c r="NTY148" s="370" t="e">
        <f>10/NTU146</f>
        <v>#DIV/0!</v>
      </c>
      <c r="NTZ148" s="371">
        <v>15.38</v>
      </c>
      <c r="NUA148" s="371" t="e">
        <f>NTX148*NTY148*NTZ148</f>
        <v>#DIV/0!</v>
      </c>
      <c r="NUB148" s="367" t="s">
        <v>206</v>
      </c>
      <c r="NUC148" s="367"/>
      <c r="NUD148" s="367"/>
      <c r="NUE148" s="368" t="s">
        <v>168</v>
      </c>
      <c r="NUF148" s="369">
        <v>0.5</v>
      </c>
      <c r="NUG148" s="370" t="e">
        <f>10/NUC146</f>
        <v>#DIV/0!</v>
      </c>
      <c r="NUH148" s="371">
        <v>15.38</v>
      </c>
      <c r="NUI148" s="371" t="e">
        <f>NUF148*NUG148*NUH148</f>
        <v>#DIV/0!</v>
      </c>
      <c r="NUJ148" s="367" t="s">
        <v>206</v>
      </c>
      <c r="NUK148" s="367"/>
      <c r="NUL148" s="367"/>
      <c r="NUM148" s="368" t="s">
        <v>168</v>
      </c>
      <c r="NUN148" s="369">
        <v>0.5</v>
      </c>
      <c r="NUO148" s="370" t="e">
        <f>10/NUK146</f>
        <v>#DIV/0!</v>
      </c>
      <c r="NUP148" s="371">
        <v>15.38</v>
      </c>
      <c r="NUQ148" s="371" t="e">
        <f>NUN148*NUO148*NUP148</f>
        <v>#DIV/0!</v>
      </c>
      <c r="NUR148" s="367" t="s">
        <v>206</v>
      </c>
      <c r="NUS148" s="367"/>
      <c r="NUT148" s="367"/>
      <c r="NUU148" s="368" t="s">
        <v>168</v>
      </c>
      <c r="NUV148" s="369">
        <v>0.5</v>
      </c>
      <c r="NUW148" s="370" t="e">
        <f>10/NUS146</f>
        <v>#DIV/0!</v>
      </c>
      <c r="NUX148" s="371">
        <v>15.38</v>
      </c>
      <c r="NUY148" s="371" t="e">
        <f>NUV148*NUW148*NUX148</f>
        <v>#DIV/0!</v>
      </c>
      <c r="NUZ148" s="367" t="s">
        <v>206</v>
      </c>
      <c r="NVA148" s="367"/>
      <c r="NVB148" s="367"/>
      <c r="NVC148" s="368" t="s">
        <v>168</v>
      </c>
      <c r="NVD148" s="369">
        <v>0.5</v>
      </c>
      <c r="NVE148" s="370" t="e">
        <f>10/NVA146</f>
        <v>#DIV/0!</v>
      </c>
      <c r="NVF148" s="371">
        <v>15.38</v>
      </c>
      <c r="NVG148" s="371" t="e">
        <f>NVD148*NVE148*NVF148</f>
        <v>#DIV/0!</v>
      </c>
      <c r="NVH148" s="367" t="s">
        <v>206</v>
      </c>
      <c r="NVI148" s="367"/>
      <c r="NVJ148" s="367"/>
      <c r="NVK148" s="368" t="s">
        <v>168</v>
      </c>
      <c r="NVL148" s="369">
        <v>0.5</v>
      </c>
      <c r="NVM148" s="370" t="e">
        <f>10/NVI146</f>
        <v>#DIV/0!</v>
      </c>
      <c r="NVN148" s="371">
        <v>15.38</v>
      </c>
      <c r="NVO148" s="371" t="e">
        <f>NVL148*NVM148*NVN148</f>
        <v>#DIV/0!</v>
      </c>
      <c r="NVP148" s="367" t="s">
        <v>206</v>
      </c>
      <c r="NVQ148" s="367"/>
      <c r="NVR148" s="367"/>
      <c r="NVS148" s="368" t="s">
        <v>168</v>
      </c>
      <c r="NVT148" s="369">
        <v>0.5</v>
      </c>
      <c r="NVU148" s="370" t="e">
        <f>10/NVQ146</f>
        <v>#DIV/0!</v>
      </c>
      <c r="NVV148" s="371">
        <v>15.38</v>
      </c>
      <c r="NVW148" s="371" t="e">
        <f>NVT148*NVU148*NVV148</f>
        <v>#DIV/0!</v>
      </c>
      <c r="NVX148" s="367" t="s">
        <v>206</v>
      </c>
      <c r="NVY148" s="367"/>
      <c r="NVZ148" s="367"/>
      <c r="NWA148" s="368" t="s">
        <v>168</v>
      </c>
      <c r="NWB148" s="369">
        <v>0.5</v>
      </c>
      <c r="NWC148" s="370" t="e">
        <f>10/NVY146</f>
        <v>#DIV/0!</v>
      </c>
      <c r="NWD148" s="371">
        <v>15.38</v>
      </c>
      <c r="NWE148" s="371" t="e">
        <f>NWB148*NWC148*NWD148</f>
        <v>#DIV/0!</v>
      </c>
      <c r="NWF148" s="367" t="s">
        <v>206</v>
      </c>
      <c r="NWG148" s="367"/>
      <c r="NWH148" s="367"/>
      <c r="NWI148" s="368" t="s">
        <v>168</v>
      </c>
      <c r="NWJ148" s="369">
        <v>0.5</v>
      </c>
      <c r="NWK148" s="370" t="e">
        <f>10/NWG146</f>
        <v>#DIV/0!</v>
      </c>
      <c r="NWL148" s="371">
        <v>15.38</v>
      </c>
      <c r="NWM148" s="371" t="e">
        <f>NWJ148*NWK148*NWL148</f>
        <v>#DIV/0!</v>
      </c>
      <c r="NWN148" s="367" t="s">
        <v>206</v>
      </c>
      <c r="NWO148" s="367"/>
      <c r="NWP148" s="367"/>
      <c r="NWQ148" s="368" t="s">
        <v>168</v>
      </c>
      <c r="NWR148" s="369">
        <v>0.5</v>
      </c>
      <c r="NWS148" s="370" t="e">
        <f>10/NWO146</f>
        <v>#DIV/0!</v>
      </c>
      <c r="NWT148" s="371">
        <v>15.38</v>
      </c>
      <c r="NWU148" s="371" t="e">
        <f>NWR148*NWS148*NWT148</f>
        <v>#DIV/0!</v>
      </c>
      <c r="NWV148" s="367" t="s">
        <v>206</v>
      </c>
      <c r="NWW148" s="367"/>
      <c r="NWX148" s="367"/>
      <c r="NWY148" s="368" t="s">
        <v>168</v>
      </c>
      <c r="NWZ148" s="369">
        <v>0.5</v>
      </c>
      <c r="NXA148" s="370" t="e">
        <f>10/NWW146</f>
        <v>#DIV/0!</v>
      </c>
      <c r="NXB148" s="371">
        <v>15.38</v>
      </c>
      <c r="NXC148" s="371" t="e">
        <f>NWZ148*NXA148*NXB148</f>
        <v>#DIV/0!</v>
      </c>
      <c r="NXD148" s="367" t="s">
        <v>206</v>
      </c>
      <c r="NXE148" s="367"/>
      <c r="NXF148" s="367"/>
      <c r="NXG148" s="368" t="s">
        <v>168</v>
      </c>
      <c r="NXH148" s="369">
        <v>0.5</v>
      </c>
      <c r="NXI148" s="370" t="e">
        <f>10/NXE146</f>
        <v>#DIV/0!</v>
      </c>
      <c r="NXJ148" s="371">
        <v>15.38</v>
      </c>
      <c r="NXK148" s="371" t="e">
        <f>NXH148*NXI148*NXJ148</f>
        <v>#DIV/0!</v>
      </c>
      <c r="NXL148" s="367" t="s">
        <v>206</v>
      </c>
      <c r="NXM148" s="367"/>
      <c r="NXN148" s="367"/>
      <c r="NXO148" s="368" t="s">
        <v>168</v>
      </c>
      <c r="NXP148" s="369">
        <v>0.5</v>
      </c>
      <c r="NXQ148" s="370" t="e">
        <f>10/NXM146</f>
        <v>#DIV/0!</v>
      </c>
      <c r="NXR148" s="371">
        <v>15.38</v>
      </c>
      <c r="NXS148" s="371" t="e">
        <f>NXP148*NXQ148*NXR148</f>
        <v>#DIV/0!</v>
      </c>
      <c r="NXT148" s="367" t="s">
        <v>206</v>
      </c>
      <c r="NXU148" s="367"/>
      <c r="NXV148" s="367"/>
      <c r="NXW148" s="368" t="s">
        <v>168</v>
      </c>
      <c r="NXX148" s="369">
        <v>0.5</v>
      </c>
      <c r="NXY148" s="370" t="e">
        <f>10/NXU146</f>
        <v>#DIV/0!</v>
      </c>
      <c r="NXZ148" s="371">
        <v>15.38</v>
      </c>
      <c r="NYA148" s="371" t="e">
        <f>NXX148*NXY148*NXZ148</f>
        <v>#DIV/0!</v>
      </c>
      <c r="NYB148" s="367" t="s">
        <v>206</v>
      </c>
      <c r="NYC148" s="367"/>
      <c r="NYD148" s="367"/>
      <c r="NYE148" s="368" t="s">
        <v>168</v>
      </c>
      <c r="NYF148" s="369">
        <v>0.5</v>
      </c>
      <c r="NYG148" s="370" t="e">
        <f>10/NYC146</f>
        <v>#DIV/0!</v>
      </c>
      <c r="NYH148" s="371">
        <v>15.38</v>
      </c>
      <c r="NYI148" s="371" t="e">
        <f>NYF148*NYG148*NYH148</f>
        <v>#DIV/0!</v>
      </c>
      <c r="NYJ148" s="367" t="s">
        <v>206</v>
      </c>
      <c r="NYK148" s="367"/>
      <c r="NYL148" s="367"/>
      <c r="NYM148" s="368" t="s">
        <v>168</v>
      </c>
      <c r="NYN148" s="369">
        <v>0.5</v>
      </c>
      <c r="NYO148" s="370" t="e">
        <f>10/NYK146</f>
        <v>#DIV/0!</v>
      </c>
      <c r="NYP148" s="371">
        <v>15.38</v>
      </c>
      <c r="NYQ148" s="371" t="e">
        <f>NYN148*NYO148*NYP148</f>
        <v>#DIV/0!</v>
      </c>
      <c r="NYR148" s="367" t="s">
        <v>206</v>
      </c>
      <c r="NYS148" s="367"/>
      <c r="NYT148" s="367"/>
      <c r="NYU148" s="368" t="s">
        <v>168</v>
      </c>
      <c r="NYV148" s="369">
        <v>0.5</v>
      </c>
      <c r="NYW148" s="370" t="e">
        <f>10/NYS146</f>
        <v>#DIV/0!</v>
      </c>
      <c r="NYX148" s="371">
        <v>15.38</v>
      </c>
      <c r="NYY148" s="371" t="e">
        <f>NYV148*NYW148*NYX148</f>
        <v>#DIV/0!</v>
      </c>
      <c r="NYZ148" s="367" t="s">
        <v>206</v>
      </c>
      <c r="NZA148" s="367"/>
      <c r="NZB148" s="367"/>
      <c r="NZC148" s="368" t="s">
        <v>168</v>
      </c>
      <c r="NZD148" s="369">
        <v>0.5</v>
      </c>
      <c r="NZE148" s="370" t="e">
        <f>10/NZA146</f>
        <v>#DIV/0!</v>
      </c>
      <c r="NZF148" s="371">
        <v>15.38</v>
      </c>
      <c r="NZG148" s="371" t="e">
        <f>NZD148*NZE148*NZF148</f>
        <v>#DIV/0!</v>
      </c>
      <c r="NZH148" s="367" t="s">
        <v>206</v>
      </c>
      <c r="NZI148" s="367"/>
      <c r="NZJ148" s="367"/>
      <c r="NZK148" s="368" t="s">
        <v>168</v>
      </c>
      <c r="NZL148" s="369">
        <v>0.5</v>
      </c>
      <c r="NZM148" s="370" t="e">
        <f>10/NZI146</f>
        <v>#DIV/0!</v>
      </c>
      <c r="NZN148" s="371">
        <v>15.38</v>
      </c>
      <c r="NZO148" s="371" t="e">
        <f>NZL148*NZM148*NZN148</f>
        <v>#DIV/0!</v>
      </c>
      <c r="NZP148" s="367" t="s">
        <v>206</v>
      </c>
      <c r="NZQ148" s="367"/>
      <c r="NZR148" s="367"/>
      <c r="NZS148" s="368" t="s">
        <v>168</v>
      </c>
      <c r="NZT148" s="369">
        <v>0.5</v>
      </c>
      <c r="NZU148" s="370" t="e">
        <f>10/NZQ146</f>
        <v>#DIV/0!</v>
      </c>
      <c r="NZV148" s="371">
        <v>15.38</v>
      </c>
      <c r="NZW148" s="371" t="e">
        <f>NZT148*NZU148*NZV148</f>
        <v>#DIV/0!</v>
      </c>
      <c r="NZX148" s="367" t="s">
        <v>206</v>
      </c>
      <c r="NZY148" s="367"/>
      <c r="NZZ148" s="367"/>
      <c r="OAA148" s="368" t="s">
        <v>168</v>
      </c>
      <c r="OAB148" s="369">
        <v>0.5</v>
      </c>
      <c r="OAC148" s="370" t="e">
        <f>10/NZY146</f>
        <v>#DIV/0!</v>
      </c>
      <c r="OAD148" s="371">
        <v>15.38</v>
      </c>
      <c r="OAE148" s="371" t="e">
        <f>OAB148*OAC148*OAD148</f>
        <v>#DIV/0!</v>
      </c>
      <c r="OAF148" s="367" t="s">
        <v>206</v>
      </c>
      <c r="OAG148" s="367"/>
      <c r="OAH148" s="367"/>
      <c r="OAI148" s="368" t="s">
        <v>168</v>
      </c>
      <c r="OAJ148" s="369">
        <v>0.5</v>
      </c>
      <c r="OAK148" s="370" t="e">
        <f>10/OAG146</f>
        <v>#DIV/0!</v>
      </c>
      <c r="OAL148" s="371">
        <v>15.38</v>
      </c>
      <c r="OAM148" s="371" t="e">
        <f>OAJ148*OAK148*OAL148</f>
        <v>#DIV/0!</v>
      </c>
      <c r="OAN148" s="367" t="s">
        <v>206</v>
      </c>
      <c r="OAO148" s="367"/>
      <c r="OAP148" s="367"/>
      <c r="OAQ148" s="368" t="s">
        <v>168</v>
      </c>
      <c r="OAR148" s="369">
        <v>0.5</v>
      </c>
      <c r="OAS148" s="370" t="e">
        <f>10/OAO146</f>
        <v>#DIV/0!</v>
      </c>
      <c r="OAT148" s="371">
        <v>15.38</v>
      </c>
      <c r="OAU148" s="371" t="e">
        <f>OAR148*OAS148*OAT148</f>
        <v>#DIV/0!</v>
      </c>
      <c r="OAV148" s="367" t="s">
        <v>206</v>
      </c>
      <c r="OAW148" s="367"/>
      <c r="OAX148" s="367"/>
      <c r="OAY148" s="368" t="s">
        <v>168</v>
      </c>
      <c r="OAZ148" s="369">
        <v>0.5</v>
      </c>
      <c r="OBA148" s="370" t="e">
        <f>10/OAW146</f>
        <v>#DIV/0!</v>
      </c>
      <c r="OBB148" s="371">
        <v>15.38</v>
      </c>
      <c r="OBC148" s="371" t="e">
        <f>OAZ148*OBA148*OBB148</f>
        <v>#DIV/0!</v>
      </c>
      <c r="OBD148" s="367" t="s">
        <v>206</v>
      </c>
      <c r="OBE148" s="367"/>
      <c r="OBF148" s="367"/>
      <c r="OBG148" s="368" t="s">
        <v>168</v>
      </c>
      <c r="OBH148" s="369">
        <v>0.5</v>
      </c>
      <c r="OBI148" s="370" t="e">
        <f>10/OBE146</f>
        <v>#DIV/0!</v>
      </c>
      <c r="OBJ148" s="371">
        <v>15.38</v>
      </c>
      <c r="OBK148" s="371" t="e">
        <f>OBH148*OBI148*OBJ148</f>
        <v>#DIV/0!</v>
      </c>
      <c r="OBL148" s="367" t="s">
        <v>206</v>
      </c>
      <c r="OBM148" s="367"/>
      <c r="OBN148" s="367"/>
      <c r="OBO148" s="368" t="s">
        <v>168</v>
      </c>
      <c r="OBP148" s="369">
        <v>0.5</v>
      </c>
      <c r="OBQ148" s="370" t="e">
        <f>10/OBM146</f>
        <v>#DIV/0!</v>
      </c>
      <c r="OBR148" s="371">
        <v>15.38</v>
      </c>
      <c r="OBS148" s="371" t="e">
        <f>OBP148*OBQ148*OBR148</f>
        <v>#DIV/0!</v>
      </c>
      <c r="OBT148" s="367" t="s">
        <v>206</v>
      </c>
      <c r="OBU148" s="367"/>
      <c r="OBV148" s="367"/>
      <c r="OBW148" s="368" t="s">
        <v>168</v>
      </c>
      <c r="OBX148" s="369">
        <v>0.5</v>
      </c>
      <c r="OBY148" s="370" t="e">
        <f>10/OBU146</f>
        <v>#DIV/0!</v>
      </c>
      <c r="OBZ148" s="371">
        <v>15.38</v>
      </c>
      <c r="OCA148" s="371" t="e">
        <f>OBX148*OBY148*OBZ148</f>
        <v>#DIV/0!</v>
      </c>
      <c r="OCB148" s="367" t="s">
        <v>206</v>
      </c>
      <c r="OCC148" s="367"/>
      <c r="OCD148" s="367"/>
      <c r="OCE148" s="368" t="s">
        <v>168</v>
      </c>
      <c r="OCF148" s="369">
        <v>0.5</v>
      </c>
      <c r="OCG148" s="370" t="e">
        <f>10/OCC146</f>
        <v>#DIV/0!</v>
      </c>
      <c r="OCH148" s="371">
        <v>15.38</v>
      </c>
      <c r="OCI148" s="371" t="e">
        <f>OCF148*OCG148*OCH148</f>
        <v>#DIV/0!</v>
      </c>
      <c r="OCJ148" s="367" t="s">
        <v>206</v>
      </c>
      <c r="OCK148" s="367"/>
      <c r="OCL148" s="367"/>
      <c r="OCM148" s="368" t="s">
        <v>168</v>
      </c>
      <c r="OCN148" s="369">
        <v>0.5</v>
      </c>
      <c r="OCO148" s="370" t="e">
        <f>10/OCK146</f>
        <v>#DIV/0!</v>
      </c>
      <c r="OCP148" s="371">
        <v>15.38</v>
      </c>
      <c r="OCQ148" s="371" t="e">
        <f>OCN148*OCO148*OCP148</f>
        <v>#DIV/0!</v>
      </c>
      <c r="OCR148" s="367" t="s">
        <v>206</v>
      </c>
      <c r="OCS148" s="367"/>
      <c r="OCT148" s="367"/>
      <c r="OCU148" s="368" t="s">
        <v>168</v>
      </c>
      <c r="OCV148" s="369">
        <v>0.5</v>
      </c>
      <c r="OCW148" s="370" t="e">
        <f>10/OCS146</f>
        <v>#DIV/0!</v>
      </c>
      <c r="OCX148" s="371">
        <v>15.38</v>
      </c>
      <c r="OCY148" s="371" t="e">
        <f>OCV148*OCW148*OCX148</f>
        <v>#DIV/0!</v>
      </c>
      <c r="OCZ148" s="367" t="s">
        <v>206</v>
      </c>
      <c r="ODA148" s="367"/>
      <c r="ODB148" s="367"/>
      <c r="ODC148" s="368" t="s">
        <v>168</v>
      </c>
      <c r="ODD148" s="369">
        <v>0.5</v>
      </c>
      <c r="ODE148" s="370" t="e">
        <f>10/ODA146</f>
        <v>#DIV/0!</v>
      </c>
      <c r="ODF148" s="371">
        <v>15.38</v>
      </c>
      <c r="ODG148" s="371" t="e">
        <f>ODD148*ODE148*ODF148</f>
        <v>#DIV/0!</v>
      </c>
      <c r="ODH148" s="367" t="s">
        <v>206</v>
      </c>
      <c r="ODI148" s="367"/>
      <c r="ODJ148" s="367"/>
      <c r="ODK148" s="368" t="s">
        <v>168</v>
      </c>
      <c r="ODL148" s="369">
        <v>0.5</v>
      </c>
      <c r="ODM148" s="370" t="e">
        <f>10/ODI146</f>
        <v>#DIV/0!</v>
      </c>
      <c r="ODN148" s="371">
        <v>15.38</v>
      </c>
      <c r="ODO148" s="371" t="e">
        <f>ODL148*ODM148*ODN148</f>
        <v>#DIV/0!</v>
      </c>
      <c r="ODP148" s="367" t="s">
        <v>206</v>
      </c>
      <c r="ODQ148" s="367"/>
      <c r="ODR148" s="367"/>
      <c r="ODS148" s="368" t="s">
        <v>168</v>
      </c>
      <c r="ODT148" s="369">
        <v>0.5</v>
      </c>
      <c r="ODU148" s="370" t="e">
        <f>10/ODQ146</f>
        <v>#DIV/0!</v>
      </c>
      <c r="ODV148" s="371">
        <v>15.38</v>
      </c>
      <c r="ODW148" s="371" t="e">
        <f>ODT148*ODU148*ODV148</f>
        <v>#DIV/0!</v>
      </c>
      <c r="ODX148" s="367" t="s">
        <v>206</v>
      </c>
      <c r="ODY148" s="367"/>
      <c r="ODZ148" s="367"/>
      <c r="OEA148" s="368" t="s">
        <v>168</v>
      </c>
      <c r="OEB148" s="369">
        <v>0.5</v>
      </c>
      <c r="OEC148" s="370" t="e">
        <f>10/ODY146</f>
        <v>#DIV/0!</v>
      </c>
      <c r="OED148" s="371">
        <v>15.38</v>
      </c>
      <c r="OEE148" s="371" t="e">
        <f>OEB148*OEC148*OED148</f>
        <v>#DIV/0!</v>
      </c>
      <c r="OEF148" s="367" t="s">
        <v>206</v>
      </c>
      <c r="OEG148" s="367"/>
      <c r="OEH148" s="367"/>
      <c r="OEI148" s="368" t="s">
        <v>168</v>
      </c>
      <c r="OEJ148" s="369">
        <v>0.5</v>
      </c>
      <c r="OEK148" s="370" t="e">
        <f>10/OEG146</f>
        <v>#DIV/0!</v>
      </c>
      <c r="OEL148" s="371">
        <v>15.38</v>
      </c>
      <c r="OEM148" s="371" t="e">
        <f>OEJ148*OEK148*OEL148</f>
        <v>#DIV/0!</v>
      </c>
      <c r="OEN148" s="367" t="s">
        <v>206</v>
      </c>
      <c r="OEO148" s="367"/>
      <c r="OEP148" s="367"/>
      <c r="OEQ148" s="368" t="s">
        <v>168</v>
      </c>
      <c r="OER148" s="369">
        <v>0.5</v>
      </c>
      <c r="OES148" s="370" t="e">
        <f>10/OEO146</f>
        <v>#DIV/0!</v>
      </c>
      <c r="OET148" s="371">
        <v>15.38</v>
      </c>
      <c r="OEU148" s="371" t="e">
        <f>OER148*OES148*OET148</f>
        <v>#DIV/0!</v>
      </c>
      <c r="OEV148" s="367" t="s">
        <v>206</v>
      </c>
      <c r="OEW148" s="367"/>
      <c r="OEX148" s="367"/>
      <c r="OEY148" s="368" t="s">
        <v>168</v>
      </c>
      <c r="OEZ148" s="369">
        <v>0.5</v>
      </c>
      <c r="OFA148" s="370" t="e">
        <f>10/OEW146</f>
        <v>#DIV/0!</v>
      </c>
      <c r="OFB148" s="371">
        <v>15.38</v>
      </c>
      <c r="OFC148" s="371" t="e">
        <f>OEZ148*OFA148*OFB148</f>
        <v>#DIV/0!</v>
      </c>
      <c r="OFD148" s="367" t="s">
        <v>206</v>
      </c>
      <c r="OFE148" s="367"/>
      <c r="OFF148" s="367"/>
      <c r="OFG148" s="368" t="s">
        <v>168</v>
      </c>
      <c r="OFH148" s="369">
        <v>0.5</v>
      </c>
      <c r="OFI148" s="370" t="e">
        <f>10/OFE146</f>
        <v>#DIV/0!</v>
      </c>
      <c r="OFJ148" s="371">
        <v>15.38</v>
      </c>
      <c r="OFK148" s="371" t="e">
        <f>OFH148*OFI148*OFJ148</f>
        <v>#DIV/0!</v>
      </c>
      <c r="OFL148" s="367" t="s">
        <v>206</v>
      </c>
      <c r="OFM148" s="367"/>
      <c r="OFN148" s="367"/>
      <c r="OFO148" s="368" t="s">
        <v>168</v>
      </c>
      <c r="OFP148" s="369">
        <v>0.5</v>
      </c>
      <c r="OFQ148" s="370" t="e">
        <f>10/OFM146</f>
        <v>#DIV/0!</v>
      </c>
      <c r="OFR148" s="371">
        <v>15.38</v>
      </c>
      <c r="OFS148" s="371" t="e">
        <f>OFP148*OFQ148*OFR148</f>
        <v>#DIV/0!</v>
      </c>
      <c r="OFT148" s="367" t="s">
        <v>206</v>
      </c>
      <c r="OFU148" s="367"/>
      <c r="OFV148" s="367"/>
      <c r="OFW148" s="368" t="s">
        <v>168</v>
      </c>
      <c r="OFX148" s="369">
        <v>0.5</v>
      </c>
      <c r="OFY148" s="370" t="e">
        <f>10/OFU146</f>
        <v>#DIV/0!</v>
      </c>
      <c r="OFZ148" s="371">
        <v>15.38</v>
      </c>
      <c r="OGA148" s="371" t="e">
        <f>OFX148*OFY148*OFZ148</f>
        <v>#DIV/0!</v>
      </c>
      <c r="OGB148" s="367" t="s">
        <v>206</v>
      </c>
      <c r="OGC148" s="367"/>
      <c r="OGD148" s="367"/>
      <c r="OGE148" s="368" t="s">
        <v>168</v>
      </c>
      <c r="OGF148" s="369">
        <v>0.5</v>
      </c>
      <c r="OGG148" s="370" t="e">
        <f>10/OGC146</f>
        <v>#DIV/0!</v>
      </c>
      <c r="OGH148" s="371">
        <v>15.38</v>
      </c>
      <c r="OGI148" s="371" t="e">
        <f>OGF148*OGG148*OGH148</f>
        <v>#DIV/0!</v>
      </c>
      <c r="OGJ148" s="367" t="s">
        <v>206</v>
      </c>
      <c r="OGK148" s="367"/>
      <c r="OGL148" s="367"/>
      <c r="OGM148" s="368" t="s">
        <v>168</v>
      </c>
      <c r="OGN148" s="369">
        <v>0.5</v>
      </c>
      <c r="OGO148" s="370" t="e">
        <f>10/OGK146</f>
        <v>#DIV/0!</v>
      </c>
      <c r="OGP148" s="371">
        <v>15.38</v>
      </c>
      <c r="OGQ148" s="371" t="e">
        <f>OGN148*OGO148*OGP148</f>
        <v>#DIV/0!</v>
      </c>
      <c r="OGR148" s="367" t="s">
        <v>206</v>
      </c>
      <c r="OGS148" s="367"/>
      <c r="OGT148" s="367"/>
      <c r="OGU148" s="368" t="s">
        <v>168</v>
      </c>
      <c r="OGV148" s="369">
        <v>0.5</v>
      </c>
      <c r="OGW148" s="370" t="e">
        <f>10/OGS146</f>
        <v>#DIV/0!</v>
      </c>
      <c r="OGX148" s="371">
        <v>15.38</v>
      </c>
      <c r="OGY148" s="371" t="e">
        <f>OGV148*OGW148*OGX148</f>
        <v>#DIV/0!</v>
      </c>
      <c r="OGZ148" s="367" t="s">
        <v>206</v>
      </c>
      <c r="OHA148" s="367"/>
      <c r="OHB148" s="367"/>
      <c r="OHC148" s="368" t="s">
        <v>168</v>
      </c>
      <c r="OHD148" s="369">
        <v>0.5</v>
      </c>
      <c r="OHE148" s="370" t="e">
        <f>10/OHA146</f>
        <v>#DIV/0!</v>
      </c>
      <c r="OHF148" s="371">
        <v>15.38</v>
      </c>
      <c r="OHG148" s="371" t="e">
        <f>OHD148*OHE148*OHF148</f>
        <v>#DIV/0!</v>
      </c>
      <c r="OHH148" s="367" t="s">
        <v>206</v>
      </c>
      <c r="OHI148" s="367"/>
      <c r="OHJ148" s="367"/>
      <c r="OHK148" s="368" t="s">
        <v>168</v>
      </c>
      <c r="OHL148" s="369">
        <v>0.5</v>
      </c>
      <c r="OHM148" s="370" t="e">
        <f>10/OHI146</f>
        <v>#DIV/0!</v>
      </c>
      <c r="OHN148" s="371">
        <v>15.38</v>
      </c>
      <c r="OHO148" s="371" t="e">
        <f>OHL148*OHM148*OHN148</f>
        <v>#DIV/0!</v>
      </c>
      <c r="OHP148" s="367" t="s">
        <v>206</v>
      </c>
      <c r="OHQ148" s="367"/>
      <c r="OHR148" s="367"/>
      <c r="OHS148" s="368" t="s">
        <v>168</v>
      </c>
      <c r="OHT148" s="369">
        <v>0.5</v>
      </c>
      <c r="OHU148" s="370" t="e">
        <f>10/OHQ146</f>
        <v>#DIV/0!</v>
      </c>
      <c r="OHV148" s="371">
        <v>15.38</v>
      </c>
      <c r="OHW148" s="371" t="e">
        <f>OHT148*OHU148*OHV148</f>
        <v>#DIV/0!</v>
      </c>
      <c r="OHX148" s="367" t="s">
        <v>206</v>
      </c>
      <c r="OHY148" s="367"/>
      <c r="OHZ148" s="367"/>
      <c r="OIA148" s="368" t="s">
        <v>168</v>
      </c>
      <c r="OIB148" s="369">
        <v>0.5</v>
      </c>
      <c r="OIC148" s="370" t="e">
        <f>10/OHY146</f>
        <v>#DIV/0!</v>
      </c>
      <c r="OID148" s="371">
        <v>15.38</v>
      </c>
      <c r="OIE148" s="371" t="e">
        <f>OIB148*OIC148*OID148</f>
        <v>#DIV/0!</v>
      </c>
      <c r="OIF148" s="367" t="s">
        <v>206</v>
      </c>
      <c r="OIG148" s="367"/>
      <c r="OIH148" s="367"/>
      <c r="OII148" s="368" t="s">
        <v>168</v>
      </c>
      <c r="OIJ148" s="369">
        <v>0.5</v>
      </c>
      <c r="OIK148" s="370" t="e">
        <f>10/OIG146</f>
        <v>#DIV/0!</v>
      </c>
      <c r="OIL148" s="371">
        <v>15.38</v>
      </c>
      <c r="OIM148" s="371" t="e">
        <f>OIJ148*OIK148*OIL148</f>
        <v>#DIV/0!</v>
      </c>
      <c r="OIN148" s="367" t="s">
        <v>206</v>
      </c>
      <c r="OIO148" s="367"/>
      <c r="OIP148" s="367"/>
      <c r="OIQ148" s="368" t="s">
        <v>168</v>
      </c>
      <c r="OIR148" s="369">
        <v>0.5</v>
      </c>
      <c r="OIS148" s="370" t="e">
        <f>10/OIO146</f>
        <v>#DIV/0!</v>
      </c>
      <c r="OIT148" s="371">
        <v>15.38</v>
      </c>
      <c r="OIU148" s="371" t="e">
        <f>OIR148*OIS148*OIT148</f>
        <v>#DIV/0!</v>
      </c>
      <c r="OIV148" s="367" t="s">
        <v>206</v>
      </c>
      <c r="OIW148" s="367"/>
      <c r="OIX148" s="367"/>
      <c r="OIY148" s="368" t="s">
        <v>168</v>
      </c>
      <c r="OIZ148" s="369">
        <v>0.5</v>
      </c>
      <c r="OJA148" s="370" t="e">
        <f>10/OIW146</f>
        <v>#DIV/0!</v>
      </c>
      <c r="OJB148" s="371">
        <v>15.38</v>
      </c>
      <c r="OJC148" s="371" t="e">
        <f>OIZ148*OJA148*OJB148</f>
        <v>#DIV/0!</v>
      </c>
      <c r="OJD148" s="367" t="s">
        <v>206</v>
      </c>
      <c r="OJE148" s="367"/>
      <c r="OJF148" s="367"/>
      <c r="OJG148" s="368" t="s">
        <v>168</v>
      </c>
      <c r="OJH148" s="369">
        <v>0.5</v>
      </c>
      <c r="OJI148" s="370" t="e">
        <f>10/OJE146</f>
        <v>#DIV/0!</v>
      </c>
      <c r="OJJ148" s="371">
        <v>15.38</v>
      </c>
      <c r="OJK148" s="371" t="e">
        <f>OJH148*OJI148*OJJ148</f>
        <v>#DIV/0!</v>
      </c>
      <c r="OJL148" s="367" t="s">
        <v>206</v>
      </c>
      <c r="OJM148" s="367"/>
      <c r="OJN148" s="367"/>
      <c r="OJO148" s="368" t="s">
        <v>168</v>
      </c>
      <c r="OJP148" s="369">
        <v>0.5</v>
      </c>
      <c r="OJQ148" s="370" t="e">
        <f>10/OJM146</f>
        <v>#DIV/0!</v>
      </c>
      <c r="OJR148" s="371">
        <v>15.38</v>
      </c>
      <c r="OJS148" s="371" t="e">
        <f>OJP148*OJQ148*OJR148</f>
        <v>#DIV/0!</v>
      </c>
      <c r="OJT148" s="367" t="s">
        <v>206</v>
      </c>
      <c r="OJU148" s="367"/>
      <c r="OJV148" s="367"/>
      <c r="OJW148" s="368" t="s">
        <v>168</v>
      </c>
      <c r="OJX148" s="369">
        <v>0.5</v>
      </c>
      <c r="OJY148" s="370" t="e">
        <f>10/OJU146</f>
        <v>#DIV/0!</v>
      </c>
      <c r="OJZ148" s="371">
        <v>15.38</v>
      </c>
      <c r="OKA148" s="371" t="e">
        <f>OJX148*OJY148*OJZ148</f>
        <v>#DIV/0!</v>
      </c>
      <c r="OKB148" s="367" t="s">
        <v>206</v>
      </c>
      <c r="OKC148" s="367"/>
      <c r="OKD148" s="367"/>
      <c r="OKE148" s="368" t="s">
        <v>168</v>
      </c>
      <c r="OKF148" s="369">
        <v>0.5</v>
      </c>
      <c r="OKG148" s="370" t="e">
        <f>10/OKC146</f>
        <v>#DIV/0!</v>
      </c>
      <c r="OKH148" s="371">
        <v>15.38</v>
      </c>
      <c r="OKI148" s="371" t="e">
        <f>OKF148*OKG148*OKH148</f>
        <v>#DIV/0!</v>
      </c>
      <c r="OKJ148" s="367" t="s">
        <v>206</v>
      </c>
      <c r="OKK148" s="367"/>
      <c r="OKL148" s="367"/>
      <c r="OKM148" s="368" t="s">
        <v>168</v>
      </c>
      <c r="OKN148" s="369">
        <v>0.5</v>
      </c>
      <c r="OKO148" s="370" t="e">
        <f>10/OKK146</f>
        <v>#DIV/0!</v>
      </c>
      <c r="OKP148" s="371">
        <v>15.38</v>
      </c>
      <c r="OKQ148" s="371" t="e">
        <f>OKN148*OKO148*OKP148</f>
        <v>#DIV/0!</v>
      </c>
      <c r="OKR148" s="367" t="s">
        <v>206</v>
      </c>
      <c r="OKS148" s="367"/>
      <c r="OKT148" s="367"/>
      <c r="OKU148" s="368" t="s">
        <v>168</v>
      </c>
      <c r="OKV148" s="369">
        <v>0.5</v>
      </c>
      <c r="OKW148" s="370" t="e">
        <f>10/OKS146</f>
        <v>#DIV/0!</v>
      </c>
      <c r="OKX148" s="371">
        <v>15.38</v>
      </c>
      <c r="OKY148" s="371" t="e">
        <f>OKV148*OKW148*OKX148</f>
        <v>#DIV/0!</v>
      </c>
      <c r="OKZ148" s="367" t="s">
        <v>206</v>
      </c>
      <c r="OLA148" s="367"/>
      <c r="OLB148" s="367"/>
      <c r="OLC148" s="368" t="s">
        <v>168</v>
      </c>
      <c r="OLD148" s="369">
        <v>0.5</v>
      </c>
      <c r="OLE148" s="370" t="e">
        <f>10/OLA146</f>
        <v>#DIV/0!</v>
      </c>
      <c r="OLF148" s="371">
        <v>15.38</v>
      </c>
      <c r="OLG148" s="371" t="e">
        <f>OLD148*OLE148*OLF148</f>
        <v>#DIV/0!</v>
      </c>
      <c r="OLH148" s="367" t="s">
        <v>206</v>
      </c>
      <c r="OLI148" s="367"/>
      <c r="OLJ148" s="367"/>
      <c r="OLK148" s="368" t="s">
        <v>168</v>
      </c>
      <c r="OLL148" s="369">
        <v>0.5</v>
      </c>
      <c r="OLM148" s="370" t="e">
        <f>10/OLI146</f>
        <v>#DIV/0!</v>
      </c>
      <c r="OLN148" s="371">
        <v>15.38</v>
      </c>
      <c r="OLO148" s="371" t="e">
        <f>OLL148*OLM148*OLN148</f>
        <v>#DIV/0!</v>
      </c>
      <c r="OLP148" s="367" t="s">
        <v>206</v>
      </c>
      <c r="OLQ148" s="367"/>
      <c r="OLR148" s="367"/>
      <c r="OLS148" s="368" t="s">
        <v>168</v>
      </c>
      <c r="OLT148" s="369">
        <v>0.5</v>
      </c>
      <c r="OLU148" s="370" t="e">
        <f>10/OLQ146</f>
        <v>#DIV/0!</v>
      </c>
      <c r="OLV148" s="371">
        <v>15.38</v>
      </c>
      <c r="OLW148" s="371" t="e">
        <f>OLT148*OLU148*OLV148</f>
        <v>#DIV/0!</v>
      </c>
      <c r="OLX148" s="367" t="s">
        <v>206</v>
      </c>
      <c r="OLY148" s="367"/>
      <c r="OLZ148" s="367"/>
      <c r="OMA148" s="368" t="s">
        <v>168</v>
      </c>
      <c r="OMB148" s="369">
        <v>0.5</v>
      </c>
      <c r="OMC148" s="370" t="e">
        <f>10/OLY146</f>
        <v>#DIV/0!</v>
      </c>
      <c r="OMD148" s="371">
        <v>15.38</v>
      </c>
      <c r="OME148" s="371" t="e">
        <f>OMB148*OMC148*OMD148</f>
        <v>#DIV/0!</v>
      </c>
      <c r="OMF148" s="367" t="s">
        <v>206</v>
      </c>
      <c r="OMG148" s="367"/>
      <c r="OMH148" s="367"/>
      <c r="OMI148" s="368" t="s">
        <v>168</v>
      </c>
      <c r="OMJ148" s="369">
        <v>0.5</v>
      </c>
      <c r="OMK148" s="370" t="e">
        <f>10/OMG146</f>
        <v>#DIV/0!</v>
      </c>
      <c r="OML148" s="371">
        <v>15.38</v>
      </c>
      <c r="OMM148" s="371" t="e">
        <f>OMJ148*OMK148*OML148</f>
        <v>#DIV/0!</v>
      </c>
      <c r="OMN148" s="367" t="s">
        <v>206</v>
      </c>
      <c r="OMO148" s="367"/>
      <c r="OMP148" s="367"/>
      <c r="OMQ148" s="368" t="s">
        <v>168</v>
      </c>
      <c r="OMR148" s="369">
        <v>0.5</v>
      </c>
      <c r="OMS148" s="370" t="e">
        <f>10/OMO146</f>
        <v>#DIV/0!</v>
      </c>
      <c r="OMT148" s="371">
        <v>15.38</v>
      </c>
      <c r="OMU148" s="371" t="e">
        <f>OMR148*OMS148*OMT148</f>
        <v>#DIV/0!</v>
      </c>
      <c r="OMV148" s="367" t="s">
        <v>206</v>
      </c>
      <c r="OMW148" s="367"/>
      <c r="OMX148" s="367"/>
      <c r="OMY148" s="368" t="s">
        <v>168</v>
      </c>
      <c r="OMZ148" s="369">
        <v>0.5</v>
      </c>
      <c r="ONA148" s="370" t="e">
        <f>10/OMW146</f>
        <v>#DIV/0!</v>
      </c>
      <c r="ONB148" s="371">
        <v>15.38</v>
      </c>
      <c r="ONC148" s="371" t="e">
        <f>OMZ148*ONA148*ONB148</f>
        <v>#DIV/0!</v>
      </c>
      <c r="OND148" s="367" t="s">
        <v>206</v>
      </c>
      <c r="ONE148" s="367"/>
      <c r="ONF148" s="367"/>
      <c r="ONG148" s="368" t="s">
        <v>168</v>
      </c>
      <c r="ONH148" s="369">
        <v>0.5</v>
      </c>
      <c r="ONI148" s="370" t="e">
        <f>10/ONE146</f>
        <v>#DIV/0!</v>
      </c>
      <c r="ONJ148" s="371">
        <v>15.38</v>
      </c>
      <c r="ONK148" s="371" t="e">
        <f>ONH148*ONI148*ONJ148</f>
        <v>#DIV/0!</v>
      </c>
      <c r="ONL148" s="367" t="s">
        <v>206</v>
      </c>
      <c r="ONM148" s="367"/>
      <c r="ONN148" s="367"/>
      <c r="ONO148" s="368" t="s">
        <v>168</v>
      </c>
      <c r="ONP148" s="369">
        <v>0.5</v>
      </c>
      <c r="ONQ148" s="370" t="e">
        <f>10/ONM146</f>
        <v>#DIV/0!</v>
      </c>
      <c r="ONR148" s="371">
        <v>15.38</v>
      </c>
      <c r="ONS148" s="371" t="e">
        <f>ONP148*ONQ148*ONR148</f>
        <v>#DIV/0!</v>
      </c>
      <c r="ONT148" s="367" t="s">
        <v>206</v>
      </c>
      <c r="ONU148" s="367"/>
      <c r="ONV148" s="367"/>
      <c r="ONW148" s="368" t="s">
        <v>168</v>
      </c>
      <c r="ONX148" s="369">
        <v>0.5</v>
      </c>
      <c r="ONY148" s="370" t="e">
        <f>10/ONU146</f>
        <v>#DIV/0!</v>
      </c>
      <c r="ONZ148" s="371">
        <v>15.38</v>
      </c>
      <c r="OOA148" s="371" t="e">
        <f>ONX148*ONY148*ONZ148</f>
        <v>#DIV/0!</v>
      </c>
      <c r="OOB148" s="367" t="s">
        <v>206</v>
      </c>
      <c r="OOC148" s="367"/>
      <c r="OOD148" s="367"/>
      <c r="OOE148" s="368" t="s">
        <v>168</v>
      </c>
      <c r="OOF148" s="369">
        <v>0.5</v>
      </c>
      <c r="OOG148" s="370" t="e">
        <f>10/OOC146</f>
        <v>#DIV/0!</v>
      </c>
      <c r="OOH148" s="371">
        <v>15.38</v>
      </c>
      <c r="OOI148" s="371" t="e">
        <f>OOF148*OOG148*OOH148</f>
        <v>#DIV/0!</v>
      </c>
      <c r="OOJ148" s="367" t="s">
        <v>206</v>
      </c>
      <c r="OOK148" s="367"/>
      <c r="OOL148" s="367"/>
      <c r="OOM148" s="368" t="s">
        <v>168</v>
      </c>
      <c r="OON148" s="369">
        <v>0.5</v>
      </c>
      <c r="OOO148" s="370" t="e">
        <f>10/OOK146</f>
        <v>#DIV/0!</v>
      </c>
      <c r="OOP148" s="371">
        <v>15.38</v>
      </c>
      <c r="OOQ148" s="371" t="e">
        <f>OON148*OOO148*OOP148</f>
        <v>#DIV/0!</v>
      </c>
      <c r="OOR148" s="367" t="s">
        <v>206</v>
      </c>
      <c r="OOS148" s="367"/>
      <c r="OOT148" s="367"/>
      <c r="OOU148" s="368" t="s">
        <v>168</v>
      </c>
      <c r="OOV148" s="369">
        <v>0.5</v>
      </c>
      <c r="OOW148" s="370" t="e">
        <f>10/OOS146</f>
        <v>#DIV/0!</v>
      </c>
      <c r="OOX148" s="371">
        <v>15.38</v>
      </c>
      <c r="OOY148" s="371" t="e">
        <f>OOV148*OOW148*OOX148</f>
        <v>#DIV/0!</v>
      </c>
      <c r="OOZ148" s="367" t="s">
        <v>206</v>
      </c>
      <c r="OPA148" s="367"/>
      <c r="OPB148" s="367"/>
      <c r="OPC148" s="368" t="s">
        <v>168</v>
      </c>
      <c r="OPD148" s="369">
        <v>0.5</v>
      </c>
      <c r="OPE148" s="370" t="e">
        <f>10/OPA146</f>
        <v>#DIV/0!</v>
      </c>
      <c r="OPF148" s="371">
        <v>15.38</v>
      </c>
      <c r="OPG148" s="371" t="e">
        <f>OPD148*OPE148*OPF148</f>
        <v>#DIV/0!</v>
      </c>
      <c r="OPH148" s="367" t="s">
        <v>206</v>
      </c>
      <c r="OPI148" s="367"/>
      <c r="OPJ148" s="367"/>
      <c r="OPK148" s="368" t="s">
        <v>168</v>
      </c>
      <c r="OPL148" s="369">
        <v>0.5</v>
      </c>
      <c r="OPM148" s="370" t="e">
        <f>10/OPI146</f>
        <v>#DIV/0!</v>
      </c>
      <c r="OPN148" s="371">
        <v>15.38</v>
      </c>
      <c r="OPO148" s="371" t="e">
        <f>OPL148*OPM148*OPN148</f>
        <v>#DIV/0!</v>
      </c>
      <c r="OPP148" s="367" t="s">
        <v>206</v>
      </c>
      <c r="OPQ148" s="367"/>
      <c r="OPR148" s="367"/>
      <c r="OPS148" s="368" t="s">
        <v>168</v>
      </c>
      <c r="OPT148" s="369">
        <v>0.5</v>
      </c>
      <c r="OPU148" s="370" t="e">
        <f>10/OPQ146</f>
        <v>#DIV/0!</v>
      </c>
      <c r="OPV148" s="371">
        <v>15.38</v>
      </c>
      <c r="OPW148" s="371" t="e">
        <f>OPT148*OPU148*OPV148</f>
        <v>#DIV/0!</v>
      </c>
      <c r="OPX148" s="367" t="s">
        <v>206</v>
      </c>
      <c r="OPY148" s="367"/>
      <c r="OPZ148" s="367"/>
      <c r="OQA148" s="368" t="s">
        <v>168</v>
      </c>
      <c r="OQB148" s="369">
        <v>0.5</v>
      </c>
      <c r="OQC148" s="370" t="e">
        <f>10/OPY146</f>
        <v>#DIV/0!</v>
      </c>
      <c r="OQD148" s="371">
        <v>15.38</v>
      </c>
      <c r="OQE148" s="371" t="e">
        <f>OQB148*OQC148*OQD148</f>
        <v>#DIV/0!</v>
      </c>
      <c r="OQF148" s="367" t="s">
        <v>206</v>
      </c>
      <c r="OQG148" s="367"/>
      <c r="OQH148" s="367"/>
      <c r="OQI148" s="368" t="s">
        <v>168</v>
      </c>
      <c r="OQJ148" s="369">
        <v>0.5</v>
      </c>
      <c r="OQK148" s="370" t="e">
        <f>10/OQG146</f>
        <v>#DIV/0!</v>
      </c>
      <c r="OQL148" s="371">
        <v>15.38</v>
      </c>
      <c r="OQM148" s="371" t="e">
        <f>OQJ148*OQK148*OQL148</f>
        <v>#DIV/0!</v>
      </c>
      <c r="OQN148" s="367" t="s">
        <v>206</v>
      </c>
      <c r="OQO148" s="367"/>
      <c r="OQP148" s="367"/>
      <c r="OQQ148" s="368" t="s">
        <v>168</v>
      </c>
      <c r="OQR148" s="369">
        <v>0.5</v>
      </c>
      <c r="OQS148" s="370" t="e">
        <f>10/OQO146</f>
        <v>#DIV/0!</v>
      </c>
      <c r="OQT148" s="371">
        <v>15.38</v>
      </c>
      <c r="OQU148" s="371" t="e">
        <f>OQR148*OQS148*OQT148</f>
        <v>#DIV/0!</v>
      </c>
      <c r="OQV148" s="367" t="s">
        <v>206</v>
      </c>
      <c r="OQW148" s="367"/>
      <c r="OQX148" s="367"/>
      <c r="OQY148" s="368" t="s">
        <v>168</v>
      </c>
      <c r="OQZ148" s="369">
        <v>0.5</v>
      </c>
      <c r="ORA148" s="370" t="e">
        <f>10/OQW146</f>
        <v>#DIV/0!</v>
      </c>
      <c r="ORB148" s="371">
        <v>15.38</v>
      </c>
      <c r="ORC148" s="371" t="e">
        <f>OQZ148*ORA148*ORB148</f>
        <v>#DIV/0!</v>
      </c>
      <c r="ORD148" s="367" t="s">
        <v>206</v>
      </c>
      <c r="ORE148" s="367"/>
      <c r="ORF148" s="367"/>
      <c r="ORG148" s="368" t="s">
        <v>168</v>
      </c>
      <c r="ORH148" s="369">
        <v>0.5</v>
      </c>
      <c r="ORI148" s="370" t="e">
        <f>10/ORE146</f>
        <v>#DIV/0!</v>
      </c>
      <c r="ORJ148" s="371">
        <v>15.38</v>
      </c>
      <c r="ORK148" s="371" t="e">
        <f>ORH148*ORI148*ORJ148</f>
        <v>#DIV/0!</v>
      </c>
      <c r="ORL148" s="367" t="s">
        <v>206</v>
      </c>
      <c r="ORM148" s="367"/>
      <c r="ORN148" s="367"/>
      <c r="ORO148" s="368" t="s">
        <v>168</v>
      </c>
      <c r="ORP148" s="369">
        <v>0.5</v>
      </c>
      <c r="ORQ148" s="370" t="e">
        <f>10/ORM146</f>
        <v>#DIV/0!</v>
      </c>
      <c r="ORR148" s="371">
        <v>15.38</v>
      </c>
      <c r="ORS148" s="371" t="e">
        <f>ORP148*ORQ148*ORR148</f>
        <v>#DIV/0!</v>
      </c>
      <c r="ORT148" s="367" t="s">
        <v>206</v>
      </c>
      <c r="ORU148" s="367"/>
      <c r="ORV148" s="367"/>
      <c r="ORW148" s="368" t="s">
        <v>168</v>
      </c>
      <c r="ORX148" s="369">
        <v>0.5</v>
      </c>
      <c r="ORY148" s="370" t="e">
        <f>10/ORU146</f>
        <v>#DIV/0!</v>
      </c>
      <c r="ORZ148" s="371">
        <v>15.38</v>
      </c>
      <c r="OSA148" s="371" t="e">
        <f>ORX148*ORY148*ORZ148</f>
        <v>#DIV/0!</v>
      </c>
      <c r="OSB148" s="367" t="s">
        <v>206</v>
      </c>
      <c r="OSC148" s="367"/>
      <c r="OSD148" s="367"/>
      <c r="OSE148" s="368" t="s">
        <v>168</v>
      </c>
      <c r="OSF148" s="369">
        <v>0.5</v>
      </c>
      <c r="OSG148" s="370" t="e">
        <f>10/OSC146</f>
        <v>#DIV/0!</v>
      </c>
      <c r="OSH148" s="371">
        <v>15.38</v>
      </c>
      <c r="OSI148" s="371" t="e">
        <f>OSF148*OSG148*OSH148</f>
        <v>#DIV/0!</v>
      </c>
      <c r="OSJ148" s="367" t="s">
        <v>206</v>
      </c>
      <c r="OSK148" s="367"/>
      <c r="OSL148" s="367"/>
      <c r="OSM148" s="368" t="s">
        <v>168</v>
      </c>
      <c r="OSN148" s="369">
        <v>0.5</v>
      </c>
      <c r="OSO148" s="370" t="e">
        <f>10/OSK146</f>
        <v>#DIV/0!</v>
      </c>
      <c r="OSP148" s="371">
        <v>15.38</v>
      </c>
      <c r="OSQ148" s="371" t="e">
        <f>OSN148*OSO148*OSP148</f>
        <v>#DIV/0!</v>
      </c>
      <c r="OSR148" s="367" t="s">
        <v>206</v>
      </c>
      <c r="OSS148" s="367"/>
      <c r="OST148" s="367"/>
      <c r="OSU148" s="368" t="s">
        <v>168</v>
      </c>
      <c r="OSV148" s="369">
        <v>0.5</v>
      </c>
      <c r="OSW148" s="370" t="e">
        <f>10/OSS146</f>
        <v>#DIV/0!</v>
      </c>
      <c r="OSX148" s="371">
        <v>15.38</v>
      </c>
      <c r="OSY148" s="371" t="e">
        <f>OSV148*OSW148*OSX148</f>
        <v>#DIV/0!</v>
      </c>
      <c r="OSZ148" s="367" t="s">
        <v>206</v>
      </c>
      <c r="OTA148" s="367"/>
      <c r="OTB148" s="367"/>
      <c r="OTC148" s="368" t="s">
        <v>168</v>
      </c>
      <c r="OTD148" s="369">
        <v>0.5</v>
      </c>
      <c r="OTE148" s="370" t="e">
        <f>10/OTA146</f>
        <v>#DIV/0!</v>
      </c>
      <c r="OTF148" s="371">
        <v>15.38</v>
      </c>
      <c r="OTG148" s="371" t="e">
        <f>OTD148*OTE148*OTF148</f>
        <v>#DIV/0!</v>
      </c>
      <c r="OTH148" s="367" t="s">
        <v>206</v>
      </c>
      <c r="OTI148" s="367"/>
      <c r="OTJ148" s="367"/>
      <c r="OTK148" s="368" t="s">
        <v>168</v>
      </c>
      <c r="OTL148" s="369">
        <v>0.5</v>
      </c>
      <c r="OTM148" s="370" t="e">
        <f>10/OTI146</f>
        <v>#DIV/0!</v>
      </c>
      <c r="OTN148" s="371">
        <v>15.38</v>
      </c>
      <c r="OTO148" s="371" t="e">
        <f>OTL148*OTM148*OTN148</f>
        <v>#DIV/0!</v>
      </c>
      <c r="OTP148" s="367" t="s">
        <v>206</v>
      </c>
      <c r="OTQ148" s="367"/>
      <c r="OTR148" s="367"/>
      <c r="OTS148" s="368" t="s">
        <v>168</v>
      </c>
      <c r="OTT148" s="369">
        <v>0.5</v>
      </c>
      <c r="OTU148" s="370" t="e">
        <f>10/OTQ146</f>
        <v>#DIV/0!</v>
      </c>
      <c r="OTV148" s="371">
        <v>15.38</v>
      </c>
      <c r="OTW148" s="371" t="e">
        <f>OTT148*OTU148*OTV148</f>
        <v>#DIV/0!</v>
      </c>
      <c r="OTX148" s="367" t="s">
        <v>206</v>
      </c>
      <c r="OTY148" s="367"/>
      <c r="OTZ148" s="367"/>
      <c r="OUA148" s="368" t="s">
        <v>168</v>
      </c>
      <c r="OUB148" s="369">
        <v>0.5</v>
      </c>
      <c r="OUC148" s="370" t="e">
        <f>10/OTY146</f>
        <v>#DIV/0!</v>
      </c>
      <c r="OUD148" s="371">
        <v>15.38</v>
      </c>
      <c r="OUE148" s="371" t="e">
        <f>OUB148*OUC148*OUD148</f>
        <v>#DIV/0!</v>
      </c>
      <c r="OUF148" s="367" t="s">
        <v>206</v>
      </c>
      <c r="OUG148" s="367"/>
      <c r="OUH148" s="367"/>
      <c r="OUI148" s="368" t="s">
        <v>168</v>
      </c>
      <c r="OUJ148" s="369">
        <v>0.5</v>
      </c>
      <c r="OUK148" s="370" t="e">
        <f>10/OUG146</f>
        <v>#DIV/0!</v>
      </c>
      <c r="OUL148" s="371">
        <v>15.38</v>
      </c>
      <c r="OUM148" s="371" t="e">
        <f>OUJ148*OUK148*OUL148</f>
        <v>#DIV/0!</v>
      </c>
      <c r="OUN148" s="367" t="s">
        <v>206</v>
      </c>
      <c r="OUO148" s="367"/>
      <c r="OUP148" s="367"/>
      <c r="OUQ148" s="368" t="s">
        <v>168</v>
      </c>
      <c r="OUR148" s="369">
        <v>0.5</v>
      </c>
      <c r="OUS148" s="370" t="e">
        <f>10/OUO146</f>
        <v>#DIV/0!</v>
      </c>
      <c r="OUT148" s="371">
        <v>15.38</v>
      </c>
      <c r="OUU148" s="371" t="e">
        <f>OUR148*OUS148*OUT148</f>
        <v>#DIV/0!</v>
      </c>
      <c r="OUV148" s="367" t="s">
        <v>206</v>
      </c>
      <c r="OUW148" s="367"/>
      <c r="OUX148" s="367"/>
      <c r="OUY148" s="368" t="s">
        <v>168</v>
      </c>
      <c r="OUZ148" s="369">
        <v>0.5</v>
      </c>
      <c r="OVA148" s="370" t="e">
        <f>10/OUW146</f>
        <v>#DIV/0!</v>
      </c>
      <c r="OVB148" s="371">
        <v>15.38</v>
      </c>
      <c r="OVC148" s="371" t="e">
        <f>OUZ148*OVA148*OVB148</f>
        <v>#DIV/0!</v>
      </c>
      <c r="OVD148" s="367" t="s">
        <v>206</v>
      </c>
      <c r="OVE148" s="367"/>
      <c r="OVF148" s="367"/>
      <c r="OVG148" s="368" t="s">
        <v>168</v>
      </c>
      <c r="OVH148" s="369">
        <v>0.5</v>
      </c>
      <c r="OVI148" s="370" t="e">
        <f>10/OVE146</f>
        <v>#DIV/0!</v>
      </c>
      <c r="OVJ148" s="371">
        <v>15.38</v>
      </c>
      <c r="OVK148" s="371" t="e">
        <f>OVH148*OVI148*OVJ148</f>
        <v>#DIV/0!</v>
      </c>
      <c r="OVL148" s="367" t="s">
        <v>206</v>
      </c>
      <c r="OVM148" s="367"/>
      <c r="OVN148" s="367"/>
      <c r="OVO148" s="368" t="s">
        <v>168</v>
      </c>
      <c r="OVP148" s="369">
        <v>0.5</v>
      </c>
      <c r="OVQ148" s="370" t="e">
        <f>10/OVM146</f>
        <v>#DIV/0!</v>
      </c>
      <c r="OVR148" s="371">
        <v>15.38</v>
      </c>
      <c r="OVS148" s="371" t="e">
        <f>OVP148*OVQ148*OVR148</f>
        <v>#DIV/0!</v>
      </c>
      <c r="OVT148" s="367" t="s">
        <v>206</v>
      </c>
      <c r="OVU148" s="367"/>
      <c r="OVV148" s="367"/>
      <c r="OVW148" s="368" t="s">
        <v>168</v>
      </c>
      <c r="OVX148" s="369">
        <v>0.5</v>
      </c>
      <c r="OVY148" s="370" t="e">
        <f>10/OVU146</f>
        <v>#DIV/0!</v>
      </c>
      <c r="OVZ148" s="371">
        <v>15.38</v>
      </c>
      <c r="OWA148" s="371" t="e">
        <f>OVX148*OVY148*OVZ148</f>
        <v>#DIV/0!</v>
      </c>
      <c r="OWB148" s="367" t="s">
        <v>206</v>
      </c>
      <c r="OWC148" s="367"/>
      <c r="OWD148" s="367"/>
      <c r="OWE148" s="368" t="s">
        <v>168</v>
      </c>
      <c r="OWF148" s="369">
        <v>0.5</v>
      </c>
      <c r="OWG148" s="370" t="e">
        <f>10/OWC146</f>
        <v>#DIV/0!</v>
      </c>
      <c r="OWH148" s="371">
        <v>15.38</v>
      </c>
      <c r="OWI148" s="371" t="e">
        <f>OWF148*OWG148*OWH148</f>
        <v>#DIV/0!</v>
      </c>
      <c r="OWJ148" s="367" t="s">
        <v>206</v>
      </c>
      <c r="OWK148" s="367"/>
      <c r="OWL148" s="367"/>
      <c r="OWM148" s="368" t="s">
        <v>168</v>
      </c>
      <c r="OWN148" s="369">
        <v>0.5</v>
      </c>
      <c r="OWO148" s="370" t="e">
        <f>10/OWK146</f>
        <v>#DIV/0!</v>
      </c>
      <c r="OWP148" s="371">
        <v>15.38</v>
      </c>
      <c r="OWQ148" s="371" t="e">
        <f>OWN148*OWO148*OWP148</f>
        <v>#DIV/0!</v>
      </c>
      <c r="OWR148" s="367" t="s">
        <v>206</v>
      </c>
      <c r="OWS148" s="367"/>
      <c r="OWT148" s="367"/>
      <c r="OWU148" s="368" t="s">
        <v>168</v>
      </c>
      <c r="OWV148" s="369">
        <v>0.5</v>
      </c>
      <c r="OWW148" s="370" t="e">
        <f>10/OWS146</f>
        <v>#DIV/0!</v>
      </c>
      <c r="OWX148" s="371">
        <v>15.38</v>
      </c>
      <c r="OWY148" s="371" t="e">
        <f>OWV148*OWW148*OWX148</f>
        <v>#DIV/0!</v>
      </c>
      <c r="OWZ148" s="367" t="s">
        <v>206</v>
      </c>
      <c r="OXA148" s="367"/>
      <c r="OXB148" s="367"/>
      <c r="OXC148" s="368" t="s">
        <v>168</v>
      </c>
      <c r="OXD148" s="369">
        <v>0.5</v>
      </c>
      <c r="OXE148" s="370" t="e">
        <f>10/OXA146</f>
        <v>#DIV/0!</v>
      </c>
      <c r="OXF148" s="371">
        <v>15.38</v>
      </c>
      <c r="OXG148" s="371" t="e">
        <f>OXD148*OXE148*OXF148</f>
        <v>#DIV/0!</v>
      </c>
      <c r="OXH148" s="367" t="s">
        <v>206</v>
      </c>
      <c r="OXI148" s="367"/>
      <c r="OXJ148" s="367"/>
      <c r="OXK148" s="368" t="s">
        <v>168</v>
      </c>
      <c r="OXL148" s="369">
        <v>0.5</v>
      </c>
      <c r="OXM148" s="370" t="e">
        <f>10/OXI146</f>
        <v>#DIV/0!</v>
      </c>
      <c r="OXN148" s="371">
        <v>15.38</v>
      </c>
      <c r="OXO148" s="371" t="e">
        <f>OXL148*OXM148*OXN148</f>
        <v>#DIV/0!</v>
      </c>
      <c r="OXP148" s="367" t="s">
        <v>206</v>
      </c>
      <c r="OXQ148" s="367"/>
      <c r="OXR148" s="367"/>
      <c r="OXS148" s="368" t="s">
        <v>168</v>
      </c>
      <c r="OXT148" s="369">
        <v>0.5</v>
      </c>
      <c r="OXU148" s="370" t="e">
        <f>10/OXQ146</f>
        <v>#DIV/0!</v>
      </c>
      <c r="OXV148" s="371">
        <v>15.38</v>
      </c>
      <c r="OXW148" s="371" t="e">
        <f>OXT148*OXU148*OXV148</f>
        <v>#DIV/0!</v>
      </c>
      <c r="OXX148" s="367" t="s">
        <v>206</v>
      </c>
      <c r="OXY148" s="367"/>
      <c r="OXZ148" s="367"/>
      <c r="OYA148" s="368" t="s">
        <v>168</v>
      </c>
      <c r="OYB148" s="369">
        <v>0.5</v>
      </c>
      <c r="OYC148" s="370" t="e">
        <f>10/OXY146</f>
        <v>#DIV/0!</v>
      </c>
      <c r="OYD148" s="371">
        <v>15.38</v>
      </c>
      <c r="OYE148" s="371" t="e">
        <f>OYB148*OYC148*OYD148</f>
        <v>#DIV/0!</v>
      </c>
      <c r="OYF148" s="367" t="s">
        <v>206</v>
      </c>
      <c r="OYG148" s="367"/>
      <c r="OYH148" s="367"/>
      <c r="OYI148" s="368" t="s">
        <v>168</v>
      </c>
      <c r="OYJ148" s="369">
        <v>0.5</v>
      </c>
      <c r="OYK148" s="370" t="e">
        <f>10/OYG146</f>
        <v>#DIV/0!</v>
      </c>
      <c r="OYL148" s="371">
        <v>15.38</v>
      </c>
      <c r="OYM148" s="371" t="e">
        <f>OYJ148*OYK148*OYL148</f>
        <v>#DIV/0!</v>
      </c>
      <c r="OYN148" s="367" t="s">
        <v>206</v>
      </c>
      <c r="OYO148" s="367"/>
      <c r="OYP148" s="367"/>
      <c r="OYQ148" s="368" t="s">
        <v>168</v>
      </c>
      <c r="OYR148" s="369">
        <v>0.5</v>
      </c>
      <c r="OYS148" s="370" t="e">
        <f>10/OYO146</f>
        <v>#DIV/0!</v>
      </c>
      <c r="OYT148" s="371">
        <v>15.38</v>
      </c>
      <c r="OYU148" s="371" t="e">
        <f>OYR148*OYS148*OYT148</f>
        <v>#DIV/0!</v>
      </c>
      <c r="OYV148" s="367" t="s">
        <v>206</v>
      </c>
      <c r="OYW148" s="367"/>
      <c r="OYX148" s="367"/>
      <c r="OYY148" s="368" t="s">
        <v>168</v>
      </c>
      <c r="OYZ148" s="369">
        <v>0.5</v>
      </c>
      <c r="OZA148" s="370" t="e">
        <f>10/OYW146</f>
        <v>#DIV/0!</v>
      </c>
      <c r="OZB148" s="371">
        <v>15.38</v>
      </c>
      <c r="OZC148" s="371" t="e">
        <f>OYZ148*OZA148*OZB148</f>
        <v>#DIV/0!</v>
      </c>
      <c r="OZD148" s="367" t="s">
        <v>206</v>
      </c>
      <c r="OZE148" s="367"/>
      <c r="OZF148" s="367"/>
      <c r="OZG148" s="368" t="s">
        <v>168</v>
      </c>
      <c r="OZH148" s="369">
        <v>0.5</v>
      </c>
      <c r="OZI148" s="370" t="e">
        <f>10/OZE146</f>
        <v>#DIV/0!</v>
      </c>
      <c r="OZJ148" s="371">
        <v>15.38</v>
      </c>
      <c r="OZK148" s="371" t="e">
        <f>OZH148*OZI148*OZJ148</f>
        <v>#DIV/0!</v>
      </c>
      <c r="OZL148" s="367" t="s">
        <v>206</v>
      </c>
      <c r="OZM148" s="367"/>
      <c r="OZN148" s="367"/>
      <c r="OZO148" s="368" t="s">
        <v>168</v>
      </c>
      <c r="OZP148" s="369">
        <v>0.5</v>
      </c>
      <c r="OZQ148" s="370" t="e">
        <f>10/OZM146</f>
        <v>#DIV/0!</v>
      </c>
      <c r="OZR148" s="371">
        <v>15.38</v>
      </c>
      <c r="OZS148" s="371" t="e">
        <f>OZP148*OZQ148*OZR148</f>
        <v>#DIV/0!</v>
      </c>
      <c r="OZT148" s="367" t="s">
        <v>206</v>
      </c>
      <c r="OZU148" s="367"/>
      <c r="OZV148" s="367"/>
      <c r="OZW148" s="368" t="s">
        <v>168</v>
      </c>
      <c r="OZX148" s="369">
        <v>0.5</v>
      </c>
      <c r="OZY148" s="370" t="e">
        <f>10/OZU146</f>
        <v>#DIV/0!</v>
      </c>
      <c r="OZZ148" s="371">
        <v>15.38</v>
      </c>
      <c r="PAA148" s="371" t="e">
        <f>OZX148*OZY148*OZZ148</f>
        <v>#DIV/0!</v>
      </c>
      <c r="PAB148" s="367" t="s">
        <v>206</v>
      </c>
      <c r="PAC148" s="367"/>
      <c r="PAD148" s="367"/>
      <c r="PAE148" s="368" t="s">
        <v>168</v>
      </c>
      <c r="PAF148" s="369">
        <v>0.5</v>
      </c>
      <c r="PAG148" s="370" t="e">
        <f>10/PAC146</f>
        <v>#DIV/0!</v>
      </c>
      <c r="PAH148" s="371">
        <v>15.38</v>
      </c>
      <c r="PAI148" s="371" t="e">
        <f>PAF148*PAG148*PAH148</f>
        <v>#DIV/0!</v>
      </c>
      <c r="PAJ148" s="367" t="s">
        <v>206</v>
      </c>
      <c r="PAK148" s="367"/>
      <c r="PAL148" s="367"/>
      <c r="PAM148" s="368" t="s">
        <v>168</v>
      </c>
      <c r="PAN148" s="369">
        <v>0.5</v>
      </c>
      <c r="PAO148" s="370" t="e">
        <f>10/PAK146</f>
        <v>#DIV/0!</v>
      </c>
      <c r="PAP148" s="371">
        <v>15.38</v>
      </c>
      <c r="PAQ148" s="371" t="e">
        <f>PAN148*PAO148*PAP148</f>
        <v>#DIV/0!</v>
      </c>
      <c r="PAR148" s="367" t="s">
        <v>206</v>
      </c>
      <c r="PAS148" s="367"/>
      <c r="PAT148" s="367"/>
      <c r="PAU148" s="368" t="s">
        <v>168</v>
      </c>
      <c r="PAV148" s="369">
        <v>0.5</v>
      </c>
      <c r="PAW148" s="370" t="e">
        <f>10/PAS146</f>
        <v>#DIV/0!</v>
      </c>
      <c r="PAX148" s="371">
        <v>15.38</v>
      </c>
      <c r="PAY148" s="371" t="e">
        <f>PAV148*PAW148*PAX148</f>
        <v>#DIV/0!</v>
      </c>
      <c r="PAZ148" s="367" t="s">
        <v>206</v>
      </c>
      <c r="PBA148" s="367"/>
      <c r="PBB148" s="367"/>
      <c r="PBC148" s="368" t="s">
        <v>168</v>
      </c>
      <c r="PBD148" s="369">
        <v>0.5</v>
      </c>
      <c r="PBE148" s="370" t="e">
        <f>10/PBA146</f>
        <v>#DIV/0!</v>
      </c>
      <c r="PBF148" s="371">
        <v>15.38</v>
      </c>
      <c r="PBG148" s="371" t="e">
        <f>PBD148*PBE148*PBF148</f>
        <v>#DIV/0!</v>
      </c>
      <c r="PBH148" s="367" t="s">
        <v>206</v>
      </c>
      <c r="PBI148" s="367"/>
      <c r="PBJ148" s="367"/>
      <c r="PBK148" s="368" t="s">
        <v>168</v>
      </c>
      <c r="PBL148" s="369">
        <v>0.5</v>
      </c>
      <c r="PBM148" s="370" t="e">
        <f>10/PBI146</f>
        <v>#DIV/0!</v>
      </c>
      <c r="PBN148" s="371">
        <v>15.38</v>
      </c>
      <c r="PBO148" s="371" t="e">
        <f>PBL148*PBM148*PBN148</f>
        <v>#DIV/0!</v>
      </c>
      <c r="PBP148" s="367" t="s">
        <v>206</v>
      </c>
      <c r="PBQ148" s="367"/>
      <c r="PBR148" s="367"/>
      <c r="PBS148" s="368" t="s">
        <v>168</v>
      </c>
      <c r="PBT148" s="369">
        <v>0.5</v>
      </c>
      <c r="PBU148" s="370" t="e">
        <f>10/PBQ146</f>
        <v>#DIV/0!</v>
      </c>
      <c r="PBV148" s="371">
        <v>15.38</v>
      </c>
      <c r="PBW148" s="371" t="e">
        <f>PBT148*PBU148*PBV148</f>
        <v>#DIV/0!</v>
      </c>
      <c r="PBX148" s="367" t="s">
        <v>206</v>
      </c>
      <c r="PBY148" s="367"/>
      <c r="PBZ148" s="367"/>
      <c r="PCA148" s="368" t="s">
        <v>168</v>
      </c>
      <c r="PCB148" s="369">
        <v>0.5</v>
      </c>
      <c r="PCC148" s="370" t="e">
        <f>10/PBY146</f>
        <v>#DIV/0!</v>
      </c>
      <c r="PCD148" s="371">
        <v>15.38</v>
      </c>
      <c r="PCE148" s="371" t="e">
        <f>PCB148*PCC148*PCD148</f>
        <v>#DIV/0!</v>
      </c>
      <c r="PCF148" s="367" t="s">
        <v>206</v>
      </c>
      <c r="PCG148" s="367"/>
      <c r="PCH148" s="367"/>
      <c r="PCI148" s="368" t="s">
        <v>168</v>
      </c>
      <c r="PCJ148" s="369">
        <v>0.5</v>
      </c>
      <c r="PCK148" s="370" t="e">
        <f>10/PCG146</f>
        <v>#DIV/0!</v>
      </c>
      <c r="PCL148" s="371">
        <v>15.38</v>
      </c>
      <c r="PCM148" s="371" t="e">
        <f>PCJ148*PCK148*PCL148</f>
        <v>#DIV/0!</v>
      </c>
      <c r="PCN148" s="367" t="s">
        <v>206</v>
      </c>
      <c r="PCO148" s="367"/>
      <c r="PCP148" s="367"/>
      <c r="PCQ148" s="368" t="s">
        <v>168</v>
      </c>
      <c r="PCR148" s="369">
        <v>0.5</v>
      </c>
      <c r="PCS148" s="370" t="e">
        <f>10/PCO146</f>
        <v>#DIV/0!</v>
      </c>
      <c r="PCT148" s="371">
        <v>15.38</v>
      </c>
      <c r="PCU148" s="371" t="e">
        <f>PCR148*PCS148*PCT148</f>
        <v>#DIV/0!</v>
      </c>
      <c r="PCV148" s="367" t="s">
        <v>206</v>
      </c>
      <c r="PCW148" s="367"/>
      <c r="PCX148" s="367"/>
      <c r="PCY148" s="368" t="s">
        <v>168</v>
      </c>
      <c r="PCZ148" s="369">
        <v>0.5</v>
      </c>
      <c r="PDA148" s="370" t="e">
        <f>10/PCW146</f>
        <v>#DIV/0!</v>
      </c>
      <c r="PDB148" s="371">
        <v>15.38</v>
      </c>
      <c r="PDC148" s="371" t="e">
        <f>PCZ148*PDA148*PDB148</f>
        <v>#DIV/0!</v>
      </c>
      <c r="PDD148" s="367" t="s">
        <v>206</v>
      </c>
      <c r="PDE148" s="367"/>
      <c r="PDF148" s="367"/>
      <c r="PDG148" s="368" t="s">
        <v>168</v>
      </c>
      <c r="PDH148" s="369">
        <v>0.5</v>
      </c>
      <c r="PDI148" s="370" t="e">
        <f>10/PDE146</f>
        <v>#DIV/0!</v>
      </c>
      <c r="PDJ148" s="371">
        <v>15.38</v>
      </c>
      <c r="PDK148" s="371" t="e">
        <f>PDH148*PDI148*PDJ148</f>
        <v>#DIV/0!</v>
      </c>
      <c r="PDL148" s="367" t="s">
        <v>206</v>
      </c>
      <c r="PDM148" s="367"/>
      <c r="PDN148" s="367"/>
      <c r="PDO148" s="368" t="s">
        <v>168</v>
      </c>
      <c r="PDP148" s="369">
        <v>0.5</v>
      </c>
      <c r="PDQ148" s="370" t="e">
        <f>10/PDM146</f>
        <v>#DIV/0!</v>
      </c>
      <c r="PDR148" s="371">
        <v>15.38</v>
      </c>
      <c r="PDS148" s="371" t="e">
        <f>PDP148*PDQ148*PDR148</f>
        <v>#DIV/0!</v>
      </c>
      <c r="PDT148" s="367" t="s">
        <v>206</v>
      </c>
      <c r="PDU148" s="367"/>
      <c r="PDV148" s="367"/>
      <c r="PDW148" s="368" t="s">
        <v>168</v>
      </c>
      <c r="PDX148" s="369">
        <v>0.5</v>
      </c>
      <c r="PDY148" s="370" t="e">
        <f>10/PDU146</f>
        <v>#DIV/0!</v>
      </c>
      <c r="PDZ148" s="371">
        <v>15.38</v>
      </c>
      <c r="PEA148" s="371" t="e">
        <f>PDX148*PDY148*PDZ148</f>
        <v>#DIV/0!</v>
      </c>
      <c r="PEB148" s="367" t="s">
        <v>206</v>
      </c>
      <c r="PEC148" s="367"/>
      <c r="PED148" s="367"/>
      <c r="PEE148" s="368" t="s">
        <v>168</v>
      </c>
      <c r="PEF148" s="369">
        <v>0.5</v>
      </c>
      <c r="PEG148" s="370" t="e">
        <f>10/PEC146</f>
        <v>#DIV/0!</v>
      </c>
      <c r="PEH148" s="371">
        <v>15.38</v>
      </c>
      <c r="PEI148" s="371" t="e">
        <f>PEF148*PEG148*PEH148</f>
        <v>#DIV/0!</v>
      </c>
      <c r="PEJ148" s="367" t="s">
        <v>206</v>
      </c>
      <c r="PEK148" s="367"/>
      <c r="PEL148" s="367"/>
      <c r="PEM148" s="368" t="s">
        <v>168</v>
      </c>
      <c r="PEN148" s="369">
        <v>0.5</v>
      </c>
      <c r="PEO148" s="370" t="e">
        <f>10/PEK146</f>
        <v>#DIV/0!</v>
      </c>
      <c r="PEP148" s="371">
        <v>15.38</v>
      </c>
      <c r="PEQ148" s="371" t="e">
        <f>PEN148*PEO148*PEP148</f>
        <v>#DIV/0!</v>
      </c>
      <c r="PER148" s="367" t="s">
        <v>206</v>
      </c>
      <c r="PES148" s="367"/>
      <c r="PET148" s="367"/>
      <c r="PEU148" s="368" t="s">
        <v>168</v>
      </c>
      <c r="PEV148" s="369">
        <v>0.5</v>
      </c>
      <c r="PEW148" s="370" t="e">
        <f>10/PES146</f>
        <v>#DIV/0!</v>
      </c>
      <c r="PEX148" s="371">
        <v>15.38</v>
      </c>
      <c r="PEY148" s="371" t="e">
        <f>PEV148*PEW148*PEX148</f>
        <v>#DIV/0!</v>
      </c>
      <c r="PEZ148" s="367" t="s">
        <v>206</v>
      </c>
      <c r="PFA148" s="367"/>
      <c r="PFB148" s="367"/>
      <c r="PFC148" s="368" t="s">
        <v>168</v>
      </c>
      <c r="PFD148" s="369">
        <v>0.5</v>
      </c>
      <c r="PFE148" s="370" t="e">
        <f>10/PFA146</f>
        <v>#DIV/0!</v>
      </c>
      <c r="PFF148" s="371">
        <v>15.38</v>
      </c>
      <c r="PFG148" s="371" t="e">
        <f>PFD148*PFE148*PFF148</f>
        <v>#DIV/0!</v>
      </c>
      <c r="PFH148" s="367" t="s">
        <v>206</v>
      </c>
      <c r="PFI148" s="367"/>
      <c r="PFJ148" s="367"/>
      <c r="PFK148" s="368" t="s">
        <v>168</v>
      </c>
      <c r="PFL148" s="369">
        <v>0.5</v>
      </c>
      <c r="PFM148" s="370" t="e">
        <f>10/PFI146</f>
        <v>#DIV/0!</v>
      </c>
      <c r="PFN148" s="371">
        <v>15.38</v>
      </c>
      <c r="PFO148" s="371" t="e">
        <f>PFL148*PFM148*PFN148</f>
        <v>#DIV/0!</v>
      </c>
      <c r="PFP148" s="367" t="s">
        <v>206</v>
      </c>
      <c r="PFQ148" s="367"/>
      <c r="PFR148" s="367"/>
      <c r="PFS148" s="368" t="s">
        <v>168</v>
      </c>
      <c r="PFT148" s="369">
        <v>0.5</v>
      </c>
      <c r="PFU148" s="370" t="e">
        <f>10/PFQ146</f>
        <v>#DIV/0!</v>
      </c>
      <c r="PFV148" s="371">
        <v>15.38</v>
      </c>
      <c r="PFW148" s="371" t="e">
        <f>PFT148*PFU148*PFV148</f>
        <v>#DIV/0!</v>
      </c>
      <c r="PFX148" s="367" t="s">
        <v>206</v>
      </c>
      <c r="PFY148" s="367"/>
      <c r="PFZ148" s="367"/>
      <c r="PGA148" s="368" t="s">
        <v>168</v>
      </c>
      <c r="PGB148" s="369">
        <v>0.5</v>
      </c>
      <c r="PGC148" s="370" t="e">
        <f>10/PFY146</f>
        <v>#DIV/0!</v>
      </c>
      <c r="PGD148" s="371">
        <v>15.38</v>
      </c>
      <c r="PGE148" s="371" t="e">
        <f>PGB148*PGC148*PGD148</f>
        <v>#DIV/0!</v>
      </c>
      <c r="PGF148" s="367" t="s">
        <v>206</v>
      </c>
      <c r="PGG148" s="367"/>
      <c r="PGH148" s="367"/>
      <c r="PGI148" s="368" t="s">
        <v>168</v>
      </c>
      <c r="PGJ148" s="369">
        <v>0.5</v>
      </c>
      <c r="PGK148" s="370" t="e">
        <f>10/PGG146</f>
        <v>#DIV/0!</v>
      </c>
      <c r="PGL148" s="371">
        <v>15.38</v>
      </c>
      <c r="PGM148" s="371" t="e">
        <f>PGJ148*PGK148*PGL148</f>
        <v>#DIV/0!</v>
      </c>
      <c r="PGN148" s="367" t="s">
        <v>206</v>
      </c>
      <c r="PGO148" s="367"/>
      <c r="PGP148" s="367"/>
      <c r="PGQ148" s="368" t="s">
        <v>168</v>
      </c>
      <c r="PGR148" s="369">
        <v>0.5</v>
      </c>
      <c r="PGS148" s="370" t="e">
        <f>10/PGO146</f>
        <v>#DIV/0!</v>
      </c>
      <c r="PGT148" s="371">
        <v>15.38</v>
      </c>
      <c r="PGU148" s="371" t="e">
        <f>PGR148*PGS148*PGT148</f>
        <v>#DIV/0!</v>
      </c>
      <c r="PGV148" s="367" t="s">
        <v>206</v>
      </c>
      <c r="PGW148" s="367"/>
      <c r="PGX148" s="367"/>
      <c r="PGY148" s="368" t="s">
        <v>168</v>
      </c>
      <c r="PGZ148" s="369">
        <v>0.5</v>
      </c>
      <c r="PHA148" s="370" t="e">
        <f>10/PGW146</f>
        <v>#DIV/0!</v>
      </c>
      <c r="PHB148" s="371">
        <v>15.38</v>
      </c>
      <c r="PHC148" s="371" t="e">
        <f>PGZ148*PHA148*PHB148</f>
        <v>#DIV/0!</v>
      </c>
      <c r="PHD148" s="367" t="s">
        <v>206</v>
      </c>
      <c r="PHE148" s="367"/>
      <c r="PHF148" s="367"/>
      <c r="PHG148" s="368" t="s">
        <v>168</v>
      </c>
      <c r="PHH148" s="369">
        <v>0.5</v>
      </c>
      <c r="PHI148" s="370" t="e">
        <f>10/PHE146</f>
        <v>#DIV/0!</v>
      </c>
      <c r="PHJ148" s="371">
        <v>15.38</v>
      </c>
      <c r="PHK148" s="371" t="e">
        <f>PHH148*PHI148*PHJ148</f>
        <v>#DIV/0!</v>
      </c>
      <c r="PHL148" s="367" t="s">
        <v>206</v>
      </c>
      <c r="PHM148" s="367"/>
      <c r="PHN148" s="367"/>
      <c r="PHO148" s="368" t="s">
        <v>168</v>
      </c>
      <c r="PHP148" s="369">
        <v>0.5</v>
      </c>
      <c r="PHQ148" s="370" t="e">
        <f>10/PHM146</f>
        <v>#DIV/0!</v>
      </c>
      <c r="PHR148" s="371">
        <v>15.38</v>
      </c>
      <c r="PHS148" s="371" t="e">
        <f>PHP148*PHQ148*PHR148</f>
        <v>#DIV/0!</v>
      </c>
      <c r="PHT148" s="367" t="s">
        <v>206</v>
      </c>
      <c r="PHU148" s="367"/>
      <c r="PHV148" s="367"/>
      <c r="PHW148" s="368" t="s">
        <v>168</v>
      </c>
      <c r="PHX148" s="369">
        <v>0.5</v>
      </c>
      <c r="PHY148" s="370" t="e">
        <f>10/PHU146</f>
        <v>#DIV/0!</v>
      </c>
      <c r="PHZ148" s="371">
        <v>15.38</v>
      </c>
      <c r="PIA148" s="371" t="e">
        <f>PHX148*PHY148*PHZ148</f>
        <v>#DIV/0!</v>
      </c>
      <c r="PIB148" s="367" t="s">
        <v>206</v>
      </c>
      <c r="PIC148" s="367"/>
      <c r="PID148" s="367"/>
      <c r="PIE148" s="368" t="s">
        <v>168</v>
      </c>
      <c r="PIF148" s="369">
        <v>0.5</v>
      </c>
      <c r="PIG148" s="370" t="e">
        <f>10/PIC146</f>
        <v>#DIV/0!</v>
      </c>
      <c r="PIH148" s="371">
        <v>15.38</v>
      </c>
      <c r="PII148" s="371" t="e">
        <f>PIF148*PIG148*PIH148</f>
        <v>#DIV/0!</v>
      </c>
      <c r="PIJ148" s="367" t="s">
        <v>206</v>
      </c>
      <c r="PIK148" s="367"/>
      <c r="PIL148" s="367"/>
      <c r="PIM148" s="368" t="s">
        <v>168</v>
      </c>
      <c r="PIN148" s="369">
        <v>0.5</v>
      </c>
      <c r="PIO148" s="370" t="e">
        <f>10/PIK146</f>
        <v>#DIV/0!</v>
      </c>
      <c r="PIP148" s="371">
        <v>15.38</v>
      </c>
      <c r="PIQ148" s="371" t="e">
        <f>PIN148*PIO148*PIP148</f>
        <v>#DIV/0!</v>
      </c>
      <c r="PIR148" s="367" t="s">
        <v>206</v>
      </c>
      <c r="PIS148" s="367"/>
      <c r="PIT148" s="367"/>
      <c r="PIU148" s="368" t="s">
        <v>168</v>
      </c>
      <c r="PIV148" s="369">
        <v>0.5</v>
      </c>
      <c r="PIW148" s="370" t="e">
        <f>10/PIS146</f>
        <v>#DIV/0!</v>
      </c>
      <c r="PIX148" s="371">
        <v>15.38</v>
      </c>
      <c r="PIY148" s="371" t="e">
        <f>PIV148*PIW148*PIX148</f>
        <v>#DIV/0!</v>
      </c>
      <c r="PIZ148" s="367" t="s">
        <v>206</v>
      </c>
      <c r="PJA148" s="367"/>
      <c r="PJB148" s="367"/>
      <c r="PJC148" s="368" t="s">
        <v>168</v>
      </c>
      <c r="PJD148" s="369">
        <v>0.5</v>
      </c>
      <c r="PJE148" s="370" t="e">
        <f>10/PJA146</f>
        <v>#DIV/0!</v>
      </c>
      <c r="PJF148" s="371">
        <v>15.38</v>
      </c>
      <c r="PJG148" s="371" t="e">
        <f>PJD148*PJE148*PJF148</f>
        <v>#DIV/0!</v>
      </c>
      <c r="PJH148" s="367" t="s">
        <v>206</v>
      </c>
      <c r="PJI148" s="367"/>
      <c r="PJJ148" s="367"/>
      <c r="PJK148" s="368" t="s">
        <v>168</v>
      </c>
      <c r="PJL148" s="369">
        <v>0.5</v>
      </c>
      <c r="PJM148" s="370" t="e">
        <f>10/PJI146</f>
        <v>#DIV/0!</v>
      </c>
      <c r="PJN148" s="371">
        <v>15.38</v>
      </c>
      <c r="PJO148" s="371" t="e">
        <f>PJL148*PJM148*PJN148</f>
        <v>#DIV/0!</v>
      </c>
      <c r="PJP148" s="367" t="s">
        <v>206</v>
      </c>
      <c r="PJQ148" s="367"/>
      <c r="PJR148" s="367"/>
      <c r="PJS148" s="368" t="s">
        <v>168</v>
      </c>
      <c r="PJT148" s="369">
        <v>0.5</v>
      </c>
      <c r="PJU148" s="370" t="e">
        <f>10/PJQ146</f>
        <v>#DIV/0!</v>
      </c>
      <c r="PJV148" s="371">
        <v>15.38</v>
      </c>
      <c r="PJW148" s="371" t="e">
        <f>PJT148*PJU148*PJV148</f>
        <v>#DIV/0!</v>
      </c>
      <c r="PJX148" s="367" t="s">
        <v>206</v>
      </c>
      <c r="PJY148" s="367"/>
      <c r="PJZ148" s="367"/>
      <c r="PKA148" s="368" t="s">
        <v>168</v>
      </c>
      <c r="PKB148" s="369">
        <v>0.5</v>
      </c>
      <c r="PKC148" s="370" t="e">
        <f>10/PJY146</f>
        <v>#DIV/0!</v>
      </c>
      <c r="PKD148" s="371">
        <v>15.38</v>
      </c>
      <c r="PKE148" s="371" t="e">
        <f>PKB148*PKC148*PKD148</f>
        <v>#DIV/0!</v>
      </c>
      <c r="PKF148" s="367" t="s">
        <v>206</v>
      </c>
      <c r="PKG148" s="367"/>
      <c r="PKH148" s="367"/>
      <c r="PKI148" s="368" t="s">
        <v>168</v>
      </c>
      <c r="PKJ148" s="369">
        <v>0.5</v>
      </c>
      <c r="PKK148" s="370" t="e">
        <f>10/PKG146</f>
        <v>#DIV/0!</v>
      </c>
      <c r="PKL148" s="371">
        <v>15.38</v>
      </c>
      <c r="PKM148" s="371" t="e">
        <f>PKJ148*PKK148*PKL148</f>
        <v>#DIV/0!</v>
      </c>
      <c r="PKN148" s="367" t="s">
        <v>206</v>
      </c>
      <c r="PKO148" s="367"/>
      <c r="PKP148" s="367"/>
      <c r="PKQ148" s="368" t="s">
        <v>168</v>
      </c>
      <c r="PKR148" s="369">
        <v>0.5</v>
      </c>
      <c r="PKS148" s="370" t="e">
        <f>10/PKO146</f>
        <v>#DIV/0!</v>
      </c>
      <c r="PKT148" s="371">
        <v>15.38</v>
      </c>
      <c r="PKU148" s="371" t="e">
        <f>PKR148*PKS148*PKT148</f>
        <v>#DIV/0!</v>
      </c>
      <c r="PKV148" s="367" t="s">
        <v>206</v>
      </c>
      <c r="PKW148" s="367"/>
      <c r="PKX148" s="367"/>
      <c r="PKY148" s="368" t="s">
        <v>168</v>
      </c>
      <c r="PKZ148" s="369">
        <v>0.5</v>
      </c>
      <c r="PLA148" s="370" t="e">
        <f>10/PKW146</f>
        <v>#DIV/0!</v>
      </c>
      <c r="PLB148" s="371">
        <v>15.38</v>
      </c>
      <c r="PLC148" s="371" t="e">
        <f>PKZ148*PLA148*PLB148</f>
        <v>#DIV/0!</v>
      </c>
      <c r="PLD148" s="367" t="s">
        <v>206</v>
      </c>
      <c r="PLE148" s="367"/>
      <c r="PLF148" s="367"/>
      <c r="PLG148" s="368" t="s">
        <v>168</v>
      </c>
      <c r="PLH148" s="369">
        <v>0.5</v>
      </c>
      <c r="PLI148" s="370" t="e">
        <f>10/PLE146</f>
        <v>#DIV/0!</v>
      </c>
      <c r="PLJ148" s="371">
        <v>15.38</v>
      </c>
      <c r="PLK148" s="371" t="e">
        <f>PLH148*PLI148*PLJ148</f>
        <v>#DIV/0!</v>
      </c>
      <c r="PLL148" s="367" t="s">
        <v>206</v>
      </c>
      <c r="PLM148" s="367"/>
      <c r="PLN148" s="367"/>
      <c r="PLO148" s="368" t="s">
        <v>168</v>
      </c>
      <c r="PLP148" s="369">
        <v>0.5</v>
      </c>
      <c r="PLQ148" s="370" t="e">
        <f>10/PLM146</f>
        <v>#DIV/0!</v>
      </c>
      <c r="PLR148" s="371">
        <v>15.38</v>
      </c>
      <c r="PLS148" s="371" t="e">
        <f>PLP148*PLQ148*PLR148</f>
        <v>#DIV/0!</v>
      </c>
      <c r="PLT148" s="367" t="s">
        <v>206</v>
      </c>
      <c r="PLU148" s="367"/>
      <c r="PLV148" s="367"/>
      <c r="PLW148" s="368" t="s">
        <v>168</v>
      </c>
      <c r="PLX148" s="369">
        <v>0.5</v>
      </c>
      <c r="PLY148" s="370" t="e">
        <f>10/PLU146</f>
        <v>#DIV/0!</v>
      </c>
      <c r="PLZ148" s="371">
        <v>15.38</v>
      </c>
      <c r="PMA148" s="371" t="e">
        <f>PLX148*PLY148*PLZ148</f>
        <v>#DIV/0!</v>
      </c>
      <c r="PMB148" s="367" t="s">
        <v>206</v>
      </c>
      <c r="PMC148" s="367"/>
      <c r="PMD148" s="367"/>
      <c r="PME148" s="368" t="s">
        <v>168</v>
      </c>
      <c r="PMF148" s="369">
        <v>0.5</v>
      </c>
      <c r="PMG148" s="370" t="e">
        <f>10/PMC146</f>
        <v>#DIV/0!</v>
      </c>
      <c r="PMH148" s="371">
        <v>15.38</v>
      </c>
      <c r="PMI148" s="371" t="e">
        <f>PMF148*PMG148*PMH148</f>
        <v>#DIV/0!</v>
      </c>
      <c r="PMJ148" s="367" t="s">
        <v>206</v>
      </c>
      <c r="PMK148" s="367"/>
      <c r="PML148" s="367"/>
      <c r="PMM148" s="368" t="s">
        <v>168</v>
      </c>
      <c r="PMN148" s="369">
        <v>0.5</v>
      </c>
      <c r="PMO148" s="370" t="e">
        <f>10/PMK146</f>
        <v>#DIV/0!</v>
      </c>
      <c r="PMP148" s="371">
        <v>15.38</v>
      </c>
      <c r="PMQ148" s="371" t="e">
        <f>PMN148*PMO148*PMP148</f>
        <v>#DIV/0!</v>
      </c>
      <c r="PMR148" s="367" t="s">
        <v>206</v>
      </c>
      <c r="PMS148" s="367"/>
      <c r="PMT148" s="367"/>
      <c r="PMU148" s="368" t="s">
        <v>168</v>
      </c>
      <c r="PMV148" s="369">
        <v>0.5</v>
      </c>
      <c r="PMW148" s="370" t="e">
        <f>10/PMS146</f>
        <v>#DIV/0!</v>
      </c>
      <c r="PMX148" s="371">
        <v>15.38</v>
      </c>
      <c r="PMY148" s="371" t="e">
        <f>PMV148*PMW148*PMX148</f>
        <v>#DIV/0!</v>
      </c>
      <c r="PMZ148" s="367" t="s">
        <v>206</v>
      </c>
      <c r="PNA148" s="367"/>
      <c r="PNB148" s="367"/>
      <c r="PNC148" s="368" t="s">
        <v>168</v>
      </c>
      <c r="PND148" s="369">
        <v>0.5</v>
      </c>
      <c r="PNE148" s="370" t="e">
        <f>10/PNA146</f>
        <v>#DIV/0!</v>
      </c>
      <c r="PNF148" s="371">
        <v>15.38</v>
      </c>
      <c r="PNG148" s="371" t="e">
        <f>PND148*PNE148*PNF148</f>
        <v>#DIV/0!</v>
      </c>
      <c r="PNH148" s="367" t="s">
        <v>206</v>
      </c>
      <c r="PNI148" s="367"/>
      <c r="PNJ148" s="367"/>
      <c r="PNK148" s="368" t="s">
        <v>168</v>
      </c>
      <c r="PNL148" s="369">
        <v>0.5</v>
      </c>
      <c r="PNM148" s="370" t="e">
        <f>10/PNI146</f>
        <v>#DIV/0!</v>
      </c>
      <c r="PNN148" s="371">
        <v>15.38</v>
      </c>
      <c r="PNO148" s="371" t="e">
        <f>PNL148*PNM148*PNN148</f>
        <v>#DIV/0!</v>
      </c>
      <c r="PNP148" s="367" t="s">
        <v>206</v>
      </c>
      <c r="PNQ148" s="367"/>
      <c r="PNR148" s="367"/>
      <c r="PNS148" s="368" t="s">
        <v>168</v>
      </c>
      <c r="PNT148" s="369">
        <v>0.5</v>
      </c>
      <c r="PNU148" s="370" t="e">
        <f>10/PNQ146</f>
        <v>#DIV/0!</v>
      </c>
      <c r="PNV148" s="371">
        <v>15.38</v>
      </c>
      <c r="PNW148" s="371" t="e">
        <f>PNT148*PNU148*PNV148</f>
        <v>#DIV/0!</v>
      </c>
      <c r="PNX148" s="367" t="s">
        <v>206</v>
      </c>
      <c r="PNY148" s="367"/>
      <c r="PNZ148" s="367"/>
      <c r="POA148" s="368" t="s">
        <v>168</v>
      </c>
      <c r="POB148" s="369">
        <v>0.5</v>
      </c>
      <c r="POC148" s="370" t="e">
        <f>10/PNY146</f>
        <v>#DIV/0!</v>
      </c>
      <c r="POD148" s="371">
        <v>15.38</v>
      </c>
      <c r="POE148" s="371" t="e">
        <f>POB148*POC148*POD148</f>
        <v>#DIV/0!</v>
      </c>
      <c r="POF148" s="367" t="s">
        <v>206</v>
      </c>
      <c r="POG148" s="367"/>
      <c r="POH148" s="367"/>
      <c r="POI148" s="368" t="s">
        <v>168</v>
      </c>
      <c r="POJ148" s="369">
        <v>0.5</v>
      </c>
      <c r="POK148" s="370" t="e">
        <f>10/POG146</f>
        <v>#DIV/0!</v>
      </c>
      <c r="POL148" s="371">
        <v>15.38</v>
      </c>
      <c r="POM148" s="371" t="e">
        <f>POJ148*POK148*POL148</f>
        <v>#DIV/0!</v>
      </c>
      <c r="PON148" s="367" t="s">
        <v>206</v>
      </c>
      <c r="POO148" s="367"/>
      <c r="POP148" s="367"/>
      <c r="POQ148" s="368" t="s">
        <v>168</v>
      </c>
      <c r="POR148" s="369">
        <v>0.5</v>
      </c>
      <c r="POS148" s="370" t="e">
        <f>10/POO146</f>
        <v>#DIV/0!</v>
      </c>
      <c r="POT148" s="371">
        <v>15.38</v>
      </c>
      <c r="POU148" s="371" t="e">
        <f>POR148*POS148*POT148</f>
        <v>#DIV/0!</v>
      </c>
      <c r="POV148" s="367" t="s">
        <v>206</v>
      </c>
      <c r="POW148" s="367"/>
      <c r="POX148" s="367"/>
      <c r="POY148" s="368" t="s">
        <v>168</v>
      </c>
      <c r="POZ148" s="369">
        <v>0.5</v>
      </c>
      <c r="PPA148" s="370" t="e">
        <f>10/POW146</f>
        <v>#DIV/0!</v>
      </c>
      <c r="PPB148" s="371">
        <v>15.38</v>
      </c>
      <c r="PPC148" s="371" t="e">
        <f>POZ148*PPA148*PPB148</f>
        <v>#DIV/0!</v>
      </c>
      <c r="PPD148" s="367" t="s">
        <v>206</v>
      </c>
      <c r="PPE148" s="367"/>
      <c r="PPF148" s="367"/>
      <c r="PPG148" s="368" t="s">
        <v>168</v>
      </c>
      <c r="PPH148" s="369">
        <v>0.5</v>
      </c>
      <c r="PPI148" s="370" t="e">
        <f>10/PPE146</f>
        <v>#DIV/0!</v>
      </c>
      <c r="PPJ148" s="371">
        <v>15.38</v>
      </c>
      <c r="PPK148" s="371" t="e">
        <f>PPH148*PPI148*PPJ148</f>
        <v>#DIV/0!</v>
      </c>
      <c r="PPL148" s="367" t="s">
        <v>206</v>
      </c>
      <c r="PPM148" s="367"/>
      <c r="PPN148" s="367"/>
      <c r="PPO148" s="368" t="s">
        <v>168</v>
      </c>
      <c r="PPP148" s="369">
        <v>0.5</v>
      </c>
      <c r="PPQ148" s="370" t="e">
        <f>10/PPM146</f>
        <v>#DIV/0!</v>
      </c>
      <c r="PPR148" s="371">
        <v>15.38</v>
      </c>
      <c r="PPS148" s="371" t="e">
        <f>PPP148*PPQ148*PPR148</f>
        <v>#DIV/0!</v>
      </c>
      <c r="PPT148" s="367" t="s">
        <v>206</v>
      </c>
      <c r="PPU148" s="367"/>
      <c r="PPV148" s="367"/>
      <c r="PPW148" s="368" t="s">
        <v>168</v>
      </c>
      <c r="PPX148" s="369">
        <v>0.5</v>
      </c>
      <c r="PPY148" s="370" t="e">
        <f>10/PPU146</f>
        <v>#DIV/0!</v>
      </c>
      <c r="PPZ148" s="371">
        <v>15.38</v>
      </c>
      <c r="PQA148" s="371" t="e">
        <f>PPX148*PPY148*PPZ148</f>
        <v>#DIV/0!</v>
      </c>
      <c r="PQB148" s="367" t="s">
        <v>206</v>
      </c>
      <c r="PQC148" s="367"/>
      <c r="PQD148" s="367"/>
      <c r="PQE148" s="368" t="s">
        <v>168</v>
      </c>
      <c r="PQF148" s="369">
        <v>0.5</v>
      </c>
      <c r="PQG148" s="370" t="e">
        <f>10/PQC146</f>
        <v>#DIV/0!</v>
      </c>
      <c r="PQH148" s="371">
        <v>15.38</v>
      </c>
      <c r="PQI148" s="371" t="e">
        <f>PQF148*PQG148*PQH148</f>
        <v>#DIV/0!</v>
      </c>
      <c r="PQJ148" s="367" t="s">
        <v>206</v>
      </c>
      <c r="PQK148" s="367"/>
      <c r="PQL148" s="367"/>
      <c r="PQM148" s="368" t="s">
        <v>168</v>
      </c>
      <c r="PQN148" s="369">
        <v>0.5</v>
      </c>
      <c r="PQO148" s="370" t="e">
        <f>10/PQK146</f>
        <v>#DIV/0!</v>
      </c>
      <c r="PQP148" s="371">
        <v>15.38</v>
      </c>
      <c r="PQQ148" s="371" t="e">
        <f>PQN148*PQO148*PQP148</f>
        <v>#DIV/0!</v>
      </c>
      <c r="PQR148" s="367" t="s">
        <v>206</v>
      </c>
      <c r="PQS148" s="367"/>
      <c r="PQT148" s="367"/>
      <c r="PQU148" s="368" t="s">
        <v>168</v>
      </c>
      <c r="PQV148" s="369">
        <v>0.5</v>
      </c>
      <c r="PQW148" s="370" t="e">
        <f>10/PQS146</f>
        <v>#DIV/0!</v>
      </c>
      <c r="PQX148" s="371">
        <v>15.38</v>
      </c>
      <c r="PQY148" s="371" t="e">
        <f>PQV148*PQW148*PQX148</f>
        <v>#DIV/0!</v>
      </c>
      <c r="PQZ148" s="367" t="s">
        <v>206</v>
      </c>
      <c r="PRA148" s="367"/>
      <c r="PRB148" s="367"/>
      <c r="PRC148" s="368" t="s">
        <v>168</v>
      </c>
      <c r="PRD148" s="369">
        <v>0.5</v>
      </c>
      <c r="PRE148" s="370" t="e">
        <f>10/PRA146</f>
        <v>#DIV/0!</v>
      </c>
      <c r="PRF148" s="371">
        <v>15.38</v>
      </c>
      <c r="PRG148" s="371" t="e">
        <f>PRD148*PRE148*PRF148</f>
        <v>#DIV/0!</v>
      </c>
      <c r="PRH148" s="367" t="s">
        <v>206</v>
      </c>
      <c r="PRI148" s="367"/>
      <c r="PRJ148" s="367"/>
      <c r="PRK148" s="368" t="s">
        <v>168</v>
      </c>
      <c r="PRL148" s="369">
        <v>0.5</v>
      </c>
      <c r="PRM148" s="370" t="e">
        <f>10/PRI146</f>
        <v>#DIV/0!</v>
      </c>
      <c r="PRN148" s="371">
        <v>15.38</v>
      </c>
      <c r="PRO148" s="371" t="e">
        <f>PRL148*PRM148*PRN148</f>
        <v>#DIV/0!</v>
      </c>
      <c r="PRP148" s="367" t="s">
        <v>206</v>
      </c>
      <c r="PRQ148" s="367"/>
      <c r="PRR148" s="367"/>
      <c r="PRS148" s="368" t="s">
        <v>168</v>
      </c>
      <c r="PRT148" s="369">
        <v>0.5</v>
      </c>
      <c r="PRU148" s="370" t="e">
        <f>10/PRQ146</f>
        <v>#DIV/0!</v>
      </c>
      <c r="PRV148" s="371">
        <v>15.38</v>
      </c>
      <c r="PRW148" s="371" t="e">
        <f>PRT148*PRU148*PRV148</f>
        <v>#DIV/0!</v>
      </c>
      <c r="PRX148" s="367" t="s">
        <v>206</v>
      </c>
      <c r="PRY148" s="367"/>
      <c r="PRZ148" s="367"/>
      <c r="PSA148" s="368" t="s">
        <v>168</v>
      </c>
      <c r="PSB148" s="369">
        <v>0.5</v>
      </c>
      <c r="PSC148" s="370" t="e">
        <f>10/PRY146</f>
        <v>#DIV/0!</v>
      </c>
      <c r="PSD148" s="371">
        <v>15.38</v>
      </c>
      <c r="PSE148" s="371" t="e">
        <f>PSB148*PSC148*PSD148</f>
        <v>#DIV/0!</v>
      </c>
      <c r="PSF148" s="367" t="s">
        <v>206</v>
      </c>
      <c r="PSG148" s="367"/>
      <c r="PSH148" s="367"/>
      <c r="PSI148" s="368" t="s">
        <v>168</v>
      </c>
      <c r="PSJ148" s="369">
        <v>0.5</v>
      </c>
      <c r="PSK148" s="370" t="e">
        <f>10/PSG146</f>
        <v>#DIV/0!</v>
      </c>
      <c r="PSL148" s="371">
        <v>15.38</v>
      </c>
      <c r="PSM148" s="371" t="e">
        <f>PSJ148*PSK148*PSL148</f>
        <v>#DIV/0!</v>
      </c>
      <c r="PSN148" s="367" t="s">
        <v>206</v>
      </c>
      <c r="PSO148" s="367"/>
      <c r="PSP148" s="367"/>
      <c r="PSQ148" s="368" t="s">
        <v>168</v>
      </c>
      <c r="PSR148" s="369">
        <v>0.5</v>
      </c>
      <c r="PSS148" s="370" t="e">
        <f>10/PSO146</f>
        <v>#DIV/0!</v>
      </c>
      <c r="PST148" s="371">
        <v>15.38</v>
      </c>
      <c r="PSU148" s="371" t="e">
        <f>PSR148*PSS148*PST148</f>
        <v>#DIV/0!</v>
      </c>
      <c r="PSV148" s="367" t="s">
        <v>206</v>
      </c>
      <c r="PSW148" s="367"/>
      <c r="PSX148" s="367"/>
      <c r="PSY148" s="368" t="s">
        <v>168</v>
      </c>
      <c r="PSZ148" s="369">
        <v>0.5</v>
      </c>
      <c r="PTA148" s="370" t="e">
        <f>10/PSW146</f>
        <v>#DIV/0!</v>
      </c>
      <c r="PTB148" s="371">
        <v>15.38</v>
      </c>
      <c r="PTC148" s="371" t="e">
        <f>PSZ148*PTA148*PTB148</f>
        <v>#DIV/0!</v>
      </c>
      <c r="PTD148" s="367" t="s">
        <v>206</v>
      </c>
      <c r="PTE148" s="367"/>
      <c r="PTF148" s="367"/>
      <c r="PTG148" s="368" t="s">
        <v>168</v>
      </c>
      <c r="PTH148" s="369">
        <v>0.5</v>
      </c>
      <c r="PTI148" s="370" t="e">
        <f>10/PTE146</f>
        <v>#DIV/0!</v>
      </c>
      <c r="PTJ148" s="371">
        <v>15.38</v>
      </c>
      <c r="PTK148" s="371" t="e">
        <f>PTH148*PTI148*PTJ148</f>
        <v>#DIV/0!</v>
      </c>
      <c r="PTL148" s="367" t="s">
        <v>206</v>
      </c>
      <c r="PTM148" s="367"/>
      <c r="PTN148" s="367"/>
      <c r="PTO148" s="368" t="s">
        <v>168</v>
      </c>
      <c r="PTP148" s="369">
        <v>0.5</v>
      </c>
      <c r="PTQ148" s="370" t="e">
        <f>10/PTM146</f>
        <v>#DIV/0!</v>
      </c>
      <c r="PTR148" s="371">
        <v>15.38</v>
      </c>
      <c r="PTS148" s="371" t="e">
        <f>PTP148*PTQ148*PTR148</f>
        <v>#DIV/0!</v>
      </c>
      <c r="PTT148" s="367" t="s">
        <v>206</v>
      </c>
      <c r="PTU148" s="367"/>
      <c r="PTV148" s="367"/>
      <c r="PTW148" s="368" t="s">
        <v>168</v>
      </c>
      <c r="PTX148" s="369">
        <v>0.5</v>
      </c>
      <c r="PTY148" s="370" t="e">
        <f>10/PTU146</f>
        <v>#DIV/0!</v>
      </c>
      <c r="PTZ148" s="371">
        <v>15.38</v>
      </c>
      <c r="PUA148" s="371" t="e">
        <f>PTX148*PTY148*PTZ148</f>
        <v>#DIV/0!</v>
      </c>
      <c r="PUB148" s="367" t="s">
        <v>206</v>
      </c>
      <c r="PUC148" s="367"/>
      <c r="PUD148" s="367"/>
      <c r="PUE148" s="368" t="s">
        <v>168</v>
      </c>
      <c r="PUF148" s="369">
        <v>0.5</v>
      </c>
      <c r="PUG148" s="370" t="e">
        <f>10/PUC146</f>
        <v>#DIV/0!</v>
      </c>
      <c r="PUH148" s="371">
        <v>15.38</v>
      </c>
      <c r="PUI148" s="371" t="e">
        <f>PUF148*PUG148*PUH148</f>
        <v>#DIV/0!</v>
      </c>
      <c r="PUJ148" s="367" t="s">
        <v>206</v>
      </c>
      <c r="PUK148" s="367"/>
      <c r="PUL148" s="367"/>
      <c r="PUM148" s="368" t="s">
        <v>168</v>
      </c>
      <c r="PUN148" s="369">
        <v>0.5</v>
      </c>
      <c r="PUO148" s="370" t="e">
        <f>10/PUK146</f>
        <v>#DIV/0!</v>
      </c>
      <c r="PUP148" s="371">
        <v>15.38</v>
      </c>
      <c r="PUQ148" s="371" t="e">
        <f>PUN148*PUO148*PUP148</f>
        <v>#DIV/0!</v>
      </c>
      <c r="PUR148" s="367" t="s">
        <v>206</v>
      </c>
      <c r="PUS148" s="367"/>
      <c r="PUT148" s="367"/>
      <c r="PUU148" s="368" t="s">
        <v>168</v>
      </c>
      <c r="PUV148" s="369">
        <v>0.5</v>
      </c>
      <c r="PUW148" s="370" t="e">
        <f>10/PUS146</f>
        <v>#DIV/0!</v>
      </c>
      <c r="PUX148" s="371">
        <v>15.38</v>
      </c>
      <c r="PUY148" s="371" t="e">
        <f>PUV148*PUW148*PUX148</f>
        <v>#DIV/0!</v>
      </c>
      <c r="PUZ148" s="367" t="s">
        <v>206</v>
      </c>
      <c r="PVA148" s="367"/>
      <c r="PVB148" s="367"/>
      <c r="PVC148" s="368" t="s">
        <v>168</v>
      </c>
      <c r="PVD148" s="369">
        <v>0.5</v>
      </c>
      <c r="PVE148" s="370" t="e">
        <f>10/PVA146</f>
        <v>#DIV/0!</v>
      </c>
      <c r="PVF148" s="371">
        <v>15.38</v>
      </c>
      <c r="PVG148" s="371" t="e">
        <f>PVD148*PVE148*PVF148</f>
        <v>#DIV/0!</v>
      </c>
      <c r="PVH148" s="367" t="s">
        <v>206</v>
      </c>
      <c r="PVI148" s="367"/>
      <c r="PVJ148" s="367"/>
      <c r="PVK148" s="368" t="s">
        <v>168</v>
      </c>
      <c r="PVL148" s="369">
        <v>0.5</v>
      </c>
      <c r="PVM148" s="370" t="e">
        <f>10/PVI146</f>
        <v>#DIV/0!</v>
      </c>
      <c r="PVN148" s="371">
        <v>15.38</v>
      </c>
      <c r="PVO148" s="371" t="e">
        <f>PVL148*PVM148*PVN148</f>
        <v>#DIV/0!</v>
      </c>
      <c r="PVP148" s="367" t="s">
        <v>206</v>
      </c>
      <c r="PVQ148" s="367"/>
      <c r="PVR148" s="367"/>
      <c r="PVS148" s="368" t="s">
        <v>168</v>
      </c>
      <c r="PVT148" s="369">
        <v>0.5</v>
      </c>
      <c r="PVU148" s="370" t="e">
        <f>10/PVQ146</f>
        <v>#DIV/0!</v>
      </c>
      <c r="PVV148" s="371">
        <v>15.38</v>
      </c>
      <c r="PVW148" s="371" t="e">
        <f>PVT148*PVU148*PVV148</f>
        <v>#DIV/0!</v>
      </c>
      <c r="PVX148" s="367" t="s">
        <v>206</v>
      </c>
      <c r="PVY148" s="367"/>
      <c r="PVZ148" s="367"/>
      <c r="PWA148" s="368" t="s">
        <v>168</v>
      </c>
      <c r="PWB148" s="369">
        <v>0.5</v>
      </c>
      <c r="PWC148" s="370" t="e">
        <f>10/PVY146</f>
        <v>#DIV/0!</v>
      </c>
      <c r="PWD148" s="371">
        <v>15.38</v>
      </c>
      <c r="PWE148" s="371" t="e">
        <f>PWB148*PWC148*PWD148</f>
        <v>#DIV/0!</v>
      </c>
      <c r="PWF148" s="367" t="s">
        <v>206</v>
      </c>
      <c r="PWG148" s="367"/>
      <c r="PWH148" s="367"/>
      <c r="PWI148" s="368" t="s">
        <v>168</v>
      </c>
      <c r="PWJ148" s="369">
        <v>0.5</v>
      </c>
      <c r="PWK148" s="370" t="e">
        <f>10/PWG146</f>
        <v>#DIV/0!</v>
      </c>
      <c r="PWL148" s="371">
        <v>15.38</v>
      </c>
      <c r="PWM148" s="371" t="e">
        <f>PWJ148*PWK148*PWL148</f>
        <v>#DIV/0!</v>
      </c>
      <c r="PWN148" s="367" t="s">
        <v>206</v>
      </c>
      <c r="PWO148" s="367"/>
      <c r="PWP148" s="367"/>
      <c r="PWQ148" s="368" t="s">
        <v>168</v>
      </c>
      <c r="PWR148" s="369">
        <v>0.5</v>
      </c>
      <c r="PWS148" s="370" t="e">
        <f>10/PWO146</f>
        <v>#DIV/0!</v>
      </c>
      <c r="PWT148" s="371">
        <v>15.38</v>
      </c>
      <c r="PWU148" s="371" t="e">
        <f>PWR148*PWS148*PWT148</f>
        <v>#DIV/0!</v>
      </c>
      <c r="PWV148" s="367" t="s">
        <v>206</v>
      </c>
      <c r="PWW148" s="367"/>
      <c r="PWX148" s="367"/>
      <c r="PWY148" s="368" t="s">
        <v>168</v>
      </c>
      <c r="PWZ148" s="369">
        <v>0.5</v>
      </c>
      <c r="PXA148" s="370" t="e">
        <f>10/PWW146</f>
        <v>#DIV/0!</v>
      </c>
      <c r="PXB148" s="371">
        <v>15.38</v>
      </c>
      <c r="PXC148" s="371" t="e">
        <f>PWZ148*PXA148*PXB148</f>
        <v>#DIV/0!</v>
      </c>
      <c r="PXD148" s="367" t="s">
        <v>206</v>
      </c>
      <c r="PXE148" s="367"/>
      <c r="PXF148" s="367"/>
      <c r="PXG148" s="368" t="s">
        <v>168</v>
      </c>
      <c r="PXH148" s="369">
        <v>0.5</v>
      </c>
      <c r="PXI148" s="370" t="e">
        <f>10/PXE146</f>
        <v>#DIV/0!</v>
      </c>
      <c r="PXJ148" s="371">
        <v>15.38</v>
      </c>
      <c r="PXK148" s="371" t="e">
        <f>PXH148*PXI148*PXJ148</f>
        <v>#DIV/0!</v>
      </c>
      <c r="PXL148" s="367" t="s">
        <v>206</v>
      </c>
      <c r="PXM148" s="367"/>
      <c r="PXN148" s="367"/>
      <c r="PXO148" s="368" t="s">
        <v>168</v>
      </c>
      <c r="PXP148" s="369">
        <v>0.5</v>
      </c>
      <c r="PXQ148" s="370" t="e">
        <f>10/PXM146</f>
        <v>#DIV/0!</v>
      </c>
      <c r="PXR148" s="371">
        <v>15.38</v>
      </c>
      <c r="PXS148" s="371" t="e">
        <f>PXP148*PXQ148*PXR148</f>
        <v>#DIV/0!</v>
      </c>
      <c r="PXT148" s="367" t="s">
        <v>206</v>
      </c>
      <c r="PXU148" s="367"/>
      <c r="PXV148" s="367"/>
      <c r="PXW148" s="368" t="s">
        <v>168</v>
      </c>
      <c r="PXX148" s="369">
        <v>0.5</v>
      </c>
      <c r="PXY148" s="370" t="e">
        <f>10/PXU146</f>
        <v>#DIV/0!</v>
      </c>
      <c r="PXZ148" s="371">
        <v>15.38</v>
      </c>
      <c r="PYA148" s="371" t="e">
        <f>PXX148*PXY148*PXZ148</f>
        <v>#DIV/0!</v>
      </c>
      <c r="PYB148" s="367" t="s">
        <v>206</v>
      </c>
      <c r="PYC148" s="367"/>
      <c r="PYD148" s="367"/>
      <c r="PYE148" s="368" t="s">
        <v>168</v>
      </c>
      <c r="PYF148" s="369">
        <v>0.5</v>
      </c>
      <c r="PYG148" s="370" t="e">
        <f>10/PYC146</f>
        <v>#DIV/0!</v>
      </c>
      <c r="PYH148" s="371">
        <v>15.38</v>
      </c>
      <c r="PYI148" s="371" t="e">
        <f>PYF148*PYG148*PYH148</f>
        <v>#DIV/0!</v>
      </c>
      <c r="PYJ148" s="367" t="s">
        <v>206</v>
      </c>
      <c r="PYK148" s="367"/>
      <c r="PYL148" s="367"/>
      <c r="PYM148" s="368" t="s">
        <v>168</v>
      </c>
      <c r="PYN148" s="369">
        <v>0.5</v>
      </c>
      <c r="PYO148" s="370" t="e">
        <f>10/PYK146</f>
        <v>#DIV/0!</v>
      </c>
      <c r="PYP148" s="371">
        <v>15.38</v>
      </c>
      <c r="PYQ148" s="371" t="e">
        <f>PYN148*PYO148*PYP148</f>
        <v>#DIV/0!</v>
      </c>
      <c r="PYR148" s="367" t="s">
        <v>206</v>
      </c>
      <c r="PYS148" s="367"/>
      <c r="PYT148" s="367"/>
      <c r="PYU148" s="368" t="s">
        <v>168</v>
      </c>
      <c r="PYV148" s="369">
        <v>0.5</v>
      </c>
      <c r="PYW148" s="370" t="e">
        <f>10/PYS146</f>
        <v>#DIV/0!</v>
      </c>
      <c r="PYX148" s="371">
        <v>15.38</v>
      </c>
      <c r="PYY148" s="371" t="e">
        <f>PYV148*PYW148*PYX148</f>
        <v>#DIV/0!</v>
      </c>
      <c r="PYZ148" s="367" t="s">
        <v>206</v>
      </c>
      <c r="PZA148" s="367"/>
      <c r="PZB148" s="367"/>
      <c r="PZC148" s="368" t="s">
        <v>168</v>
      </c>
      <c r="PZD148" s="369">
        <v>0.5</v>
      </c>
      <c r="PZE148" s="370" t="e">
        <f>10/PZA146</f>
        <v>#DIV/0!</v>
      </c>
      <c r="PZF148" s="371">
        <v>15.38</v>
      </c>
      <c r="PZG148" s="371" t="e">
        <f>PZD148*PZE148*PZF148</f>
        <v>#DIV/0!</v>
      </c>
      <c r="PZH148" s="367" t="s">
        <v>206</v>
      </c>
      <c r="PZI148" s="367"/>
      <c r="PZJ148" s="367"/>
      <c r="PZK148" s="368" t="s">
        <v>168</v>
      </c>
      <c r="PZL148" s="369">
        <v>0.5</v>
      </c>
      <c r="PZM148" s="370" t="e">
        <f>10/PZI146</f>
        <v>#DIV/0!</v>
      </c>
      <c r="PZN148" s="371">
        <v>15.38</v>
      </c>
      <c r="PZO148" s="371" t="e">
        <f>PZL148*PZM148*PZN148</f>
        <v>#DIV/0!</v>
      </c>
      <c r="PZP148" s="367" t="s">
        <v>206</v>
      </c>
      <c r="PZQ148" s="367"/>
      <c r="PZR148" s="367"/>
      <c r="PZS148" s="368" t="s">
        <v>168</v>
      </c>
      <c r="PZT148" s="369">
        <v>0.5</v>
      </c>
      <c r="PZU148" s="370" t="e">
        <f>10/PZQ146</f>
        <v>#DIV/0!</v>
      </c>
      <c r="PZV148" s="371">
        <v>15.38</v>
      </c>
      <c r="PZW148" s="371" t="e">
        <f>PZT148*PZU148*PZV148</f>
        <v>#DIV/0!</v>
      </c>
      <c r="PZX148" s="367" t="s">
        <v>206</v>
      </c>
      <c r="PZY148" s="367"/>
      <c r="PZZ148" s="367"/>
      <c r="QAA148" s="368" t="s">
        <v>168</v>
      </c>
      <c r="QAB148" s="369">
        <v>0.5</v>
      </c>
      <c r="QAC148" s="370" t="e">
        <f>10/PZY146</f>
        <v>#DIV/0!</v>
      </c>
      <c r="QAD148" s="371">
        <v>15.38</v>
      </c>
      <c r="QAE148" s="371" t="e">
        <f>QAB148*QAC148*QAD148</f>
        <v>#DIV/0!</v>
      </c>
      <c r="QAF148" s="367" t="s">
        <v>206</v>
      </c>
      <c r="QAG148" s="367"/>
      <c r="QAH148" s="367"/>
      <c r="QAI148" s="368" t="s">
        <v>168</v>
      </c>
      <c r="QAJ148" s="369">
        <v>0.5</v>
      </c>
      <c r="QAK148" s="370" t="e">
        <f>10/QAG146</f>
        <v>#DIV/0!</v>
      </c>
      <c r="QAL148" s="371">
        <v>15.38</v>
      </c>
      <c r="QAM148" s="371" t="e">
        <f>QAJ148*QAK148*QAL148</f>
        <v>#DIV/0!</v>
      </c>
      <c r="QAN148" s="367" t="s">
        <v>206</v>
      </c>
      <c r="QAO148" s="367"/>
      <c r="QAP148" s="367"/>
      <c r="QAQ148" s="368" t="s">
        <v>168</v>
      </c>
      <c r="QAR148" s="369">
        <v>0.5</v>
      </c>
      <c r="QAS148" s="370" t="e">
        <f>10/QAO146</f>
        <v>#DIV/0!</v>
      </c>
      <c r="QAT148" s="371">
        <v>15.38</v>
      </c>
      <c r="QAU148" s="371" t="e">
        <f>QAR148*QAS148*QAT148</f>
        <v>#DIV/0!</v>
      </c>
      <c r="QAV148" s="367" t="s">
        <v>206</v>
      </c>
      <c r="QAW148" s="367"/>
      <c r="QAX148" s="367"/>
      <c r="QAY148" s="368" t="s">
        <v>168</v>
      </c>
      <c r="QAZ148" s="369">
        <v>0.5</v>
      </c>
      <c r="QBA148" s="370" t="e">
        <f>10/QAW146</f>
        <v>#DIV/0!</v>
      </c>
      <c r="QBB148" s="371">
        <v>15.38</v>
      </c>
      <c r="QBC148" s="371" t="e">
        <f>QAZ148*QBA148*QBB148</f>
        <v>#DIV/0!</v>
      </c>
      <c r="QBD148" s="367" t="s">
        <v>206</v>
      </c>
      <c r="QBE148" s="367"/>
      <c r="QBF148" s="367"/>
      <c r="QBG148" s="368" t="s">
        <v>168</v>
      </c>
      <c r="QBH148" s="369">
        <v>0.5</v>
      </c>
      <c r="QBI148" s="370" t="e">
        <f>10/QBE146</f>
        <v>#DIV/0!</v>
      </c>
      <c r="QBJ148" s="371">
        <v>15.38</v>
      </c>
      <c r="QBK148" s="371" t="e">
        <f>QBH148*QBI148*QBJ148</f>
        <v>#DIV/0!</v>
      </c>
      <c r="QBL148" s="367" t="s">
        <v>206</v>
      </c>
      <c r="QBM148" s="367"/>
      <c r="QBN148" s="367"/>
      <c r="QBO148" s="368" t="s">
        <v>168</v>
      </c>
      <c r="QBP148" s="369">
        <v>0.5</v>
      </c>
      <c r="QBQ148" s="370" t="e">
        <f>10/QBM146</f>
        <v>#DIV/0!</v>
      </c>
      <c r="QBR148" s="371">
        <v>15.38</v>
      </c>
      <c r="QBS148" s="371" t="e">
        <f>QBP148*QBQ148*QBR148</f>
        <v>#DIV/0!</v>
      </c>
      <c r="QBT148" s="367" t="s">
        <v>206</v>
      </c>
      <c r="QBU148" s="367"/>
      <c r="QBV148" s="367"/>
      <c r="QBW148" s="368" t="s">
        <v>168</v>
      </c>
      <c r="QBX148" s="369">
        <v>0.5</v>
      </c>
      <c r="QBY148" s="370" t="e">
        <f>10/QBU146</f>
        <v>#DIV/0!</v>
      </c>
      <c r="QBZ148" s="371">
        <v>15.38</v>
      </c>
      <c r="QCA148" s="371" t="e">
        <f>QBX148*QBY148*QBZ148</f>
        <v>#DIV/0!</v>
      </c>
      <c r="QCB148" s="367" t="s">
        <v>206</v>
      </c>
      <c r="QCC148" s="367"/>
      <c r="QCD148" s="367"/>
      <c r="QCE148" s="368" t="s">
        <v>168</v>
      </c>
      <c r="QCF148" s="369">
        <v>0.5</v>
      </c>
      <c r="QCG148" s="370" t="e">
        <f>10/QCC146</f>
        <v>#DIV/0!</v>
      </c>
      <c r="QCH148" s="371">
        <v>15.38</v>
      </c>
      <c r="QCI148" s="371" t="e">
        <f>QCF148*QCG148*QCH148</f>
        <v>#DIV/0!</v>
      </c>
      <c r="QCJ148" s="367" t="s">
        <v>206</v>
      </c>
      <c r="QCK148" s="367"/>
      <c r="QCL148" s="367"/>
      <c r="QCM148" s="368" t="s">
        <v>168</v>
      </c>
      <c r="QCN148" s="369">
        <v>0.5</v>
      </c>
      <c r="QCO148" s="370" t="e">
        <f>10/QCK146</f>
        <v>#DIV/0!</v>
      </c>
      <c r="QCP148" s="371">
        <v>15.38</v>
      </c>
      <c r="QCQ148" s="371" t="e">
        <f>QCN148*QCO148*QCP148</f>
        <v>#DIV/0!</v>
      </c>
      <c r="QCR148" s="367" t="s">
        <v>206</v>
      </c>
      <c r="QCS148" s="367"/>
      <c r="QCT148" s="367"/>
      <c r="QCU148" s="368" t="s">
        <v>168</v>
      </c>
      <c r="QCV148" s="369">
        <v>0.5</v>
      </c>
      <c r="QCW148" s="370" t="e">
        <f>10/QCS146</f>
        <v>#DIV/0!</v>
      </c>
      <c r="QCX148" s="371">
        <v>15.38</v>
      </c>
      <c r="QCY148" s="371" t="e">
        <f>QCV148*QCW148*QCX148</f>
        <v>#DIV/0!</v>
      </c>
      <c r="QCZ148" s="367" t="s">
        <v>206</v>
      </c>
      <c r="QDA148" s="367"/>
      <c r="QDB148" s="367"/>
      <c r="QDC148" s="368" t="s">
        <v>168</v>
      </c>
      <c r="QDD148" s="369">
        <v>0.5</v>
      </c>
      <c r="QDE148" s="370" t="e">
        <f>10/QDA146</f>
        <v>#DIV/0!</v>
      </c>
      <c r="QDF148" s="371">
        <v>15.38</v>
      </c>
      <c r="QDG148" s="371" t="e">
        <f>QDD148*QDE148*QDF148</f>
        <v>#DIV/0!</v>
      </c>
      <c r="QDH148" s="367" t="s">
        <v>206</v>
      </c>
      <c r="QDI148" s="367"/>
      <c r="QDJ148" s="367"/>
      <c r="QDK148" s="368" t="s">
        <v>168</v>
      </c>
      <c r="QDL148" s="369">
        <v>0.5</v>
      </c>
      <c r="QDM148" s="370" t="e">
        <f>10/QDI146</f>
        <v>#DIV/0!</v>
      </c>
      <c r="QDN148" s="371">
        <v>15.38</v>
      </c>
      <c r="QDO148" s="371" t="e">
        <f>QDL148*QDM148*QDN148</f>
        <v>#DIV/0!</v>
      </c>
      <c r="QDP148" s="367" t="s">
        <v>206</v>
      </c>
      <c r="QDQ148" s="367"/>
      <c r="QDR148" s="367"/>
      <c r="QDS148" s="368" t="s">
        <v>168</v>
      </c>
      <c r="QDT148" s="369">
        <v>0.5</v>
      </c>
      <c r="QDU148" s="370" t="e">
        <f>10/QDQ146</f>
        <v>#DIV/0!</v>
      </c>
      <c r="QDV148" s="371">
        <v>15.38</v>
      </c>
      <c r="QDW148" s="371" t="e">
        <f>QDT148*QDU148*QDV148</f>
        <v>#DIV/0!</v>
      </c>
      <c r="QDX148" s="367" t="s">
        <v>206</v>
      </c>
      <c r="QDY148" s="367"/>
      <c r="QDZ148" s="367"/>
      <c r="QEA148" s="368" t="s">
        <v>168</v>
      </c>
      <c r="QEB148" s="369">
        <v>0.5</v>
      </c>
      <c r="QEC148" s="370" t="e">
        <f>10/QDY146</f>
        <v>#DIV/0!</v>
      </c>
      <c r="QED148" s="371">
        <v>15.38</v>
      </c>
      <c r="QEE148" s="371" t="e">
        <f>QEB148*QEC148*QED148</f>
        <v>#DIV/0!</v>
      </c>
      <c r="QEF148" s="367" t="s">
        <v>206</v>
      </c>
      <c r="QEG148" s="367"/>
      <c r="QEH148" s="367"/>
      <c r="QEI148" s="368" t="s">
        <v>168</v>
      </c>
      <c r="QEJ148" s="369">
        <v>0.5</v>
      </c>
      <c r="QEK148" s="370" t="e">
        <f>10/QEG146</f>
        <v>#DIV/0!</v>
      </c>
      <c r="QEL148" s="371">
        <v>15.38</v>
      </c>
      <c r="QEM148" s="371" t="e">
        <f>QEJ148*QEK148*QEL148</f>
        <v>#DIV/0!</v>
      </c>
      <c r="QEN148" s="367" t="s">
        <v>206</v>
      </c>
      <c r="QEO148" s="367"/>
      <c r="QEP148" s="367"/>
      <c r="QEQ148" s="368" t="s">
        <v>168</v>
      </c>
      <c r="QER148" s="369">
        <v>0.5</v>
      </c>
      <c r="QES148" s="370" t="e">
        <f>10/QEO146</f>
        <v>#DIV/0!</v>
      </c>
      <c r="QET148" s="371">
        <v>15.38</v>
      </c>
      <c r="QEU148" s="371" t="e">
        <f>QER148*QES148*QET148</f>
        <v>#DIV/0!</v>
      </c>
      <c r="QEV148" s="367" t="s">
        <v>206</v>
      </c>
      <c r="QEW148" s="367"/>
      <c r="QEX148" s="367"/>
      <c r="QEY148" s="368" t="s">
        <v>168</v>
      </c>
      <c r="QEZ148" s="369">
        <v>0.5</v>
      </c>
      <c r="QFA148" s="370" t="e">
        <f>10/QEW146</f>
        <v>#DIV/0!</v>
      </c>
      <c r="QFB148" s="371">
        <v>15.38</v>
      </c>
      <c r="QFC148" s="371" t="e">
        <f>QEZ148*QFA148*QFB148</f>
        <v>#DIV/0!</v>
      </c>
      <c r="QFD148" s="367" t="s">
        <v>206</v>
      </c>
      <c r="QFE148" s="367"/>
      <c r="QFF148" s="367"/>
      <c r="QFG148" s="368" t="s">
        <v>168</v>
      </c>
      <c r="QFH148" s="369">
        <v>0.5</v>
      </c>
      <c r="QFI148" s="370" t="e">
        <f>10/QFE146</f>
        <v>#DIV/0!</v>
      </c>
      <c r="QFJ148" s="371">
        <v>15.38</v>
      </c>
      <c r="QFK148" s="371" t="e">
        <f>QFH148*QFI148*QFJ148</f>
        <v>#DIV/0!</v>
      </c>
      <c r="QFL148" s="367" t="s">
        <v>206</v>
      </c>
      <c r="QFM148" s="367"/>
      <c r="QFN148" s="367"/>
      <c r="QFO148" s="368" t="s">
        <v>168</v>
      </c>
      <c r="QFP148" s="369">
        <v>0.5</v>
      </c>
      <c r="QFQ148" s="370" t="e">
        <f>10/QFM146</f>
        <v>#DIV/0!</v>
      </c>
      <c r="QFR148" s="371">
        <v>15.38</v>
      </c>
      <c r="QFS148" s="371" t="e">
        <f>QFP148*QFQ148*QFR148</f>
        <v>#DIV/0!</v>
      </c>
      <c r="QFT148" s="367" t="s">
        <v>206</v>
      </c>
      <c r="QFU148" s="367"/>
      <c r="QFV148" s="367"/>
      <c r="QFW148" s="368" t="s">
        <v>168</v>
      </c>
      <c r="QFX148" s="369">
        <v>0.5</v>
      </c>
      <c r="QFY148" s="370" t="e">
        <f>10/QFU146</f>
        <v>#DIV/0!</v>
      </c>
      <c r="QFZ148" s="371">
        <v>15.38</v>
      </c>
      <c r="QGA148" s="371" t="e">
        <f>QFX148*QFY148*QFZ148</f>
        <v>#DIV/0!</v>
      </c>
      <c r="QGB148" s="367" t="s">
        <v>206</v>
      </c>
      <c r="QGC148" s="367"/>
      <c r="QGD148" s="367"/>
      <c r="QGE148" s="368" t="s">
        <v>168</v>
      </c>
      <c r="QGF148" s="369">
        <v>0.5</v>
      </c>
      <c r="QGG148" s="370" t="e">
        <f>10/QGC146</f>
        <v>#DIV/0!</v>
      </c>
      <c r="QGH148" s="371">
        <v>15.38</v>
      </c>
      <c r="QGI148" s="371" t="e">
        <f>QGF148*QGG148*QGH148</f>
        <v>#DIV/0!</v>
      </c>
      <c r="QGJ148" s="367" t="s">
        <v>206</v>
      </c>
      <c r="QGK148" s="367"/>
      <c r="QGL148" s="367"/>
      <c r="QGM148" s="368" t="s">
        <v>168</v>
      </c>
      <c r="QGN148" s="369">
        <v>0.5</v>
      </c>
      <c r="QGO148" s="370" t="e">
        <f>10/QGK146</f>
        <v>#DIV/0!</v>
      </c>
      <c r="QGP148" s="371">
        <v>15.38</v>
      </c>
      <c r="QGQ148" s="371" t="e">
        <f>QGN148*QGO148*QGP148</f>
        <v>#DIV/0!</v>
      </c>
      <c r="QGR148" s="367" t="s">
        <v>206</v>
      </c>
      <c r="QGS148" s="367"/>
      <c r="QGT148" s="367"/>
      <c r="QGU148" s="368" t="s">
        <v>168</v>
      </c>
      <c r="QGV148" s="369">
        <v>0.5</v>
      </c>
      <c r="QGW148" s="370" t="e">
        <f>10/QGS146</f>
        <v>#DIV/0!</v>
      </c>
      <c r="QGX148" s="371">
        <v>15.38</v>
      </c>
      <c r="QGY148" s="371" t="e">
        <f>QGV148*QGW148*QGX148</f>
        <v>#DIV/0!</v>
      </c>
      <c r="QGZ148" s="367" t="s">
        <v>206</v>
      </c>
      <c r="QHA148" s="367"/>
      <c r="QHB148" s="367"/>
      <c r="QHC148" s="368" t="s">
        <v>168</v>
      </c>
      <c r="QHD148" s="369">
        <v>0.5</v>
      </c>
      <c r="QHE148" s="370" t="e">
        <f>10/QHA146</f>
        <v>#DIV/0!</v>
      </c>
      <c r="QHF148" s="371">
        <v>15.38</v>
      </c>
      <c r="QHG148" s="371" t="e">
        <f>QHD148*QHE148*QHF148</f>
        <v>#DIV/0!</v>
      </c>
      <c r="QHH148" s="367" t="s">
        <v>206</v>
      </c>
      <c r="QHI148" s="367"/>
      <c r="QHJ148" s="367"/>
      <c r="QHK148" s="368" t="s">
        <v>168</v>
      </c>
      <c r="QHL148" s="369">
        <v>0.5</v>
      </c>
      <c r="QHM148" s="370" t="e">
        <f>10/QHI146</f>
        <v>#DIV/0!</v>
      </c>
      <c r="QHN148" s="371">
        <v>15.38</v>
      </c>
      <c r="QHO148" s="371" t="e">
        <f>QHL148*QHM148*QHN148</f>
        <v>#DIV/0!</v>
      </c>
      <c r="QHP148" s="367" t="s">
        <v>206</v>
      </c>
      <c r="QHQ148" s="367"/>
      <c r="QHR148" s="367"/>
      <c r="QHS148" s="368" t="s">
        <v>168</v>
      </c>
      <c r="QHT148" s="369">
        <v>0.5</v>
      </c>
      <c r="QHU148" s="370" t="e">
        <f>10/QHQ146</f>
        <v>#DIV/0!</v>
      </c>
      <c r="QHV148" s="371">
        <v>15.38</v>
      </c>
      <c r="QHW148" s="371" t="e">
        <f>QHT148*QHU148*QHV148</f>
        <v>#DIV/0!</v>
      </c>
      <c r="QHX148" s="367" t="s">
        <v>206</v>
      </c>
      <c r="QHY148" s="367"/>
      <c r="QHZ148" s="367"/>
      <c r="QIA148" s="368" t="s">
        <v>168</v>
      </c>
      <c r="QIB148" s="369">
        <v>0.5</v>
      </c>
      <c r="QIC148" s="370" t="e">
        <f>10/QHY146</f>
        <v>#DIV/0!</v>
      </c>
      <c r="QID148" s="371">
        <v>15.38</v>
      </c>
      <c r="QIE148" s="371" t="e">
        <f>QIB148*QIC148*QID148</f>
        <v>#DIV/0!</v>
      </c>
      <c r="QIF148" s="367" t="s">
        <v>206</v>
      </c>
      <c r="QIG148" s="367"/>
      <c r="QIH148" s="367"/>
      <c r="QII148" s="368" t="s">
        <v>168</v>
      </c>
      <c r="QIJ148" s="369">
        <v>0.5</v>
      </c>
      <c r="QIK148" s="370" t="e">
        <f>10/QIG146</f>
        <v>#DIV/0!</v>
      </c>
      <c r="QIL148" s="371">
        <v>15.38</v>
      </c>
      <c r="QIM148" s="371" t="e">
        <f>QIJ148*QIK148*QIL148</f>
        <v>#DIV/0!</v>
      </c>
      <c r="QIN148" s="367" t="s">
        <v>206</v>
      </c>
      <c r="QIO148" s="367"/>
      <c r="QIP148" s="367"/>
      <c r="QIQ148" s="368" t="s">
        <v>168</v>
      </c>
      <c r="QIR148" s="369">
        <v>0.5</v>
      </c>
      <c r="QIS148" s="370" t="e">
        <f>10/QIO146</f>
        <v>#DIV/0!</v>
      </c>
      <c r="QIT148" s="371">
        <v>15.38</v>
      </c>
      <c r="QIU148" s="371" t="e">
        <f>QIR148*QIS148*QIT148</f>
        <v>#DIV/0!</v>
      </c>
      <c r="QIV148" s="367" t="s">
        <v>206</v>
      </c>
      <c r="QIW148" s="367"/>
      <c r="QIX148" s="367"/>
      <c r="QIY148" s="368" t="s">
        <v>168</v>
      </c>
      <c r="QIZ148" s="369">
        <v>0.5</v>
      </c>
      <c r="QJA148" s="370" t="e">
        <f>10/QIW146</f>
        <v>#DIV/0!</v>
      </c>
      <c r="QJB148" s="371">
        <v>15.38</v>
      </c>
      <c r="QJC148" s="371" t="e">
        <f>QIZ148*QJA148*QJB148</f>
        <v>#DIV/0!</v>
      </c>
      <c r="QJD148" s="367" t="s">
        <v>206</v>
      </c>
      <c r="QJE148" s="367"/>
      <c r="QJF148" s="367"/>
      <c r="QJG148" s="368" t="s">
        <v>168</v>
      </c>
      <c r="QJH148" s="369">
        <v>0.5</v>
      </c>
      <c r="QJI148" s="370" t="e">
        <f>10/QJE146</f>
        <v>#DIV/0!</v>
      </c>
      <c r="QJJ148" s="371">
        <v>15.38</v>
      </c>
      <c r="QJK148" s="371" t="e">
        <f>QJH148*QJI148*QJJ148</f>
        <v>#DIV/0!</v>
      </c>
      <c r="QJL148" s="367" t="s">
        <v>206</v>
      </c>
      <c r="QJM148" s="367"/>
      <c r="QJN148" s="367"/>
      <c r="QJO148" s="368" t="s">
        <v>168</v>
      </c>
      <c r="QJP148" s="369">
        <v>0.5</v>
      </c>
      <c r="QJQ148" s="370" t="e">
        <f>10/QJM146</f>
        <v>#DIV/0!</v>
      </c>
      <c r="QJR148" s="371">
        <v>15.38</v>
      </c>
      <c r="QJS148" s="371" t="e">
        <f>QJP148*QJQ148*QJR148</f>
        <v>#DIV/0!</v>
      </c>
      <c r="QJT148" s="367" t="s">
        <v>206</v>
      </c>
      <c r="QJU148" s="367"/>
      <c r="QJV148" s="367"/>
      <c r="QJW148" s="368" t="s">
        <v>168</v>
      </c>
      <c r="QJX148" s="369">
        <v>0.5</v>
      </c>
      <c r="QJY148" s="370" t="e">
        <f>10/QJU146</f>
        <v>#DIV/0!</v>
      </c>
      <c r="QJZ148" s="371">
        <v>15.38</v>
      </c>
      <c r="QKA148" s="371" t="e">
        <f>QJX148*QJY148*QJZ148</f>
        <v>#DIV/0!</v>
      </c>
      <c r="QKB148" s="367" t="s">
        <v>206</v>
      </c>
      <c r="QKC148" s="367"/>
      <c r="QKD148" s="367"/>
      <c r="QKE148" s="368" t="s">
        <v>168</v>
      </c>
      <c r="QKF148" s="369">
        <v>0.5</v>
      </c>
      <c r="QKG148" s="370" t="e">
        <f>10/QKC146</f>
        <v>#DIV/0!</v>
      </c>
      <c r="QKH148" s="371">
        <v>15.38</v>
      </c>
      <c r="QKI148" s="371" t="e">
        <f>QKF148*QKG148*QKH148</f>
        <v>#DIV/0!</v>
      </c>
      <c r="QKJ148" s="367" t="s">
        <v>206</v>
      </c>
      <c r="QKK148" s="367"/>
      <c r="QKL148" s="367"/>
      <c r="QKM148" s="368" t="s">
        <v>168</v>
      </c>
      <c r="QKN148" s="369">
        <v>0.5</v>
      </c>
      <c r="QKO148" s="370" t="e">
        <f>10/QKK146</f>
        <v>#DIV/0!</v>
      </c>
      <c r="QKP148" s="371">
        <v>15.38</v>
      </c>
      <c r="QKQ148" s="371" t="e">
        <f>QKN148*QKO148*QKP148</f>
        <v>#DIV/0!</v>
      </c>
      <c r="QKR148" s="367" t="s">
        <v>206</v>
      </c>
      <c r="QKS148" s="367"/>
      <c r="QKT148" s="367"/>
      <c r="QKU148" s="368" t="s">
        <v>168</v>
      </c>
      <c r="QKV148" s="369">
        <v>0.5</v>
      </c>
      <c r="QKW148" s="370" t="e">
        <f>10/QKS146</f>
        <v>#DIV/0!</v>
      </c>
      <c r="QKX148" s="371">
        <v>15.38</v>
      </c>
      <c r="QKY148" s="371" t="e">
        <f>QKV148*QKW148*QKX148</f>
        <v>#DIV/0!</v>
      </c>
      <c r="QKZ148" s="367" t="s">
        <v>206</v>
      </c>
      <c r="QLA148" s="367"/>
      <c r="QLB148" s="367"/>
      <c r="QLC148" s="368" t="s">
        <v>168</v>
      </c>
      <c r="QLD148" s="369">
        <v>0.5</v>
      </c>
      <c r="QLE148" s="370" t="e">
        <f>10/QLA146</f>
        <v>#DIV/0!</v>
      </c>
      <c r="QLF148" s="371">
        <v>15.38</v>
      </c>
      <c r="QLG148" s="371" t="e">
        <f>QLD148*QLE148*QLF148</f>
        <v>#DIV/0!</v>
      </c>
      <c r="QLH148" s="367" t="s">
        <v>206</v>
      </c>
      <c r="QLI148" s="367"/>
      <c r="QLJ148" s="367"/>
      <c r="QLK148" s="368" t="s">
        <v>168</v>
      </c>
      <c r="QLL148" s="369">
        <v>0.5</v>
      </c>
      <c r="QLM148" s="370" t="e">
        <f>10/QLI146</f>
        <v>#DIV/0!</v>
      </c>
      <c r="QLN148" s="371">
        <v>15.38</v>
      </c>
      <c r="QLO148" s="371" t="e">
        <f>QLL148*QLM148*QLN148</f>
        <v>#DIV/0!</v>
      </c>
      <c r="QLP148" s="367" t="s">
        <v>206</v>
      </c>
      <c r="QLQ148" s="367"/>
      <c r="QLR148" s="367"/>
      <c r="QLS148" s="368" t="s">
        <v>168</v>
      </c>
      <c r="QLT148" s="369">
        <v>0.5</v>
      </c>
      <c r="QLU148" s="370" t="e">
        <f>10/QLQ146</f>
        <v>#DIV/0!</v>
      </c>
      <c r="QLV148" s="371">
        <v>15.38</v>
      </c>
      <c r="QLW148" s="371" t="e">
        <f>QLT148*QLU148*QLV148</f>
        <v>#DIV/0!</v>
      </c>
      <c r="QLX148" s="367" t="s">
        <v>206</v>
      </c>
      <c r="QLY148" s="367"/>
      <c r="QLZ148" s="367"/>
      <c r="QMA148" s="368" t="s">
        <v>168</v>
      </c>
      <c r="QMB148" s="369">
        <v>0.5</v>
      </c>
      <c r="QMC148" s="370" t="e">
        <f>10/QLY146</f>
        <v>#DIV/0!</v>
      </c>
      <c r="QMD148" s="371">
        <v>15.38</v>
      </c>
      <c r="QME148" s="371" t="e">
        <f>QMB148*QMC148*QMD148</f>
        <v>#DIV/0!</v>
      </c>
      <c r="QMF148" s="367" t="s">
        <v>206</v>
      </c>
      <c r="QMG148" s="367"/>
      <c r="QMH148" s="367"/>
      <c r="QMI148" s="368" t="s">
        <v>168</v>
      </c>
      <c r="QMJ148" s="369">
        <v>0.5</v>
      </c>
      <c r="QMK148" s="370" t="e">
        <f>10/QMG146</f>
        <v>#DIV/0!</v>
      </c>
      <c r="QML148" s="371">
        <v>15.38</v>
      </c>
      <c r="QMM148" s="371" t="e">
        <f>QMJ148*QMK148*QML148</f>
        <v>#DIV/0!</v>
      </c>
      <c r="QMN148" s="367" t="s">
        <v>206</v>
      </c>
      <c r="QMO148" s="367"/>
      <c r="QMP148" s="367"/>
      <c r="QMQ148" s="368" t="s">
        <v>168</v>
      </c>
      <c r="QMR148" s="369">
        <v>0.5</v>
      </c>
      <c r="QMS148" s="370" t="e">
        <f>10/QMO146</f>
        <v>#DIV/0!</v>
      </c>
      <c r="QMT148" s="371">
        <v>15.38</v>
      </c>
      <c r="QMU148" s="371" t="e">
        <f>QMR148*QMS148*QMT148</f>
        <v>#DIV/0!</v>
      </c>
      <c r="QMV148" s="367" t="s">
        <v>206</v>
      </c>
      <c r="QMW148" s="367"/>
      <c r="QMX148" s="367"/>
      <c r="QMY148" s="368" t="s">
        <v>168</v>
      </c>
      <c r="QMZ148" s="369">
        <v>0.5</v>
      </c>
      <c r="QNA148" s="370" t="e">
        <f>10/QMW146</f>
        <v>#DIV/0!</v>
      </c>
      <c r="QNB148" s="371">
        <v>15.38</v>
      </c>
      <c r="QNC148" s="371" t="e">
        <f>QMZ148*QNA148*QNB148</f>
        <v>#DIV/0!</v>
      </c>
      <c r="QND148" s="367" t="s">
        <v>206</v>
      </c>
      <c r="QNE148" s="367"/>
      <c r="QNF148" s="367"/>
      <c r="QNG148" s="368" t="s">
        <v>168</v>
      </c>
      <c r="QNH148" s="369">
        <v>0.5</v>
      </c>
      <c r="QNI148" s="370" t="e">
        <f>10/QNE146</f>
        <v>#DIV/0!</v>
      </c>
      <c r="QNJ148" s="371">
        <v>15.38</v>
      </c>
      <c r="QNK148" s="371" t="e">
        <f>QNH148*QNI148*QNJ148</f>
        <v>#DIV/0!</v>
      </c>
      <c r="QNL148" s="367" t="s">
        <v>206</v>
      </c>
      <c r="QNM148" s="367"/>
      <c r="QNN148" s="367"/>
      <c r="QNO148" s="368" t="s">
        <v>168</v>
      </c>
      <c r="QNP148" s="369">
        <v>0.5</v>
      </c>
      <c r="QNQ148" s="370" t="e">
        <f>10/QNM146</f>
        <v>#DIV/0!</v>
      </c>
      <c r="QNR148" s="371">
        <v>15.38</v>
      </c>
      <c r="QNS148" s="371" t="e">
        <f>QNP148*QNQ148*QNR148</f>
        <v>#DIV/0!</v>
      </c>
      <c r="QNT148" s="367" t="s">
        <v>206</v>
      </c>
      <c r="QNU148" s="367"/>
      <c r="QNV148" s="367"/>
      <c r="QNW148" s="368" t="s">
        <v>168</v>
      </c>
      <c r="QNX148" s="369">
        <v>0.5</v>
      </c>
      <c r="QNY148" s="370" t="e">
        <f>10/QNU146</f>
        <v>#DIV/0!</v>
      </c>
      <c r="QNZ148" s="371">
        <v>15.38</v>
      </c>
      <c r="QOA148" s="371" t="e">
        <f>QNX148*QNY148*QNZ148</f>
        <v>#DIV/0!</v>
      </c>
      <c r="QOB148" s="367" t="s">
        <v>206</v>
      </c>
      <c r="QOC148" s="367"/>
      <c r="QOD148" s="367"/>
      <c r="QOE148" s="368" t="s">
        <v>168</v>
      </c>
      <c r="QOF148" s="369">
        <v>0.5</v>
      </c>
      <c r="QOG148" s="370" t="e">
        <f>10/QOC146</f>
        <v>#DIV/0!</v>
      </c>
      <c r="QOH148" s="371">
        <v>15.38</v>
      </c>
      <c r="QOI148" s="371" t="e">
        <f>QOF148*QOG148*QOH148</f>
        <v>#DIV/0!</v>
      </c>
      <c r="QOJ148" s="367" t="s">
        <v>206</v>
      </c>
      <c r="QOK148" s="367"/>
      <c r="QOL148" s="367"/>
      <c r="QOM148" s="368" t="s">
        <v>168</v>
      </c>
      <c r="QON148" s="369">
        <v>0.5</v>
      </c>
      <c r="QOO148" s="370" t="e">
        <f>10/QOK146</f>
        <v>#DIV/0!</v>
      </c>
      <c r="QOP148" s="371">
        <v>15.38</v>
      </c>
      <c r="QOQ148" s="371" t="e">
        <f>QON148*QOO148*QOP148</f>
        <v>#DIV/0!</v>
      </c>
      <c r="QOR148" s="367" t="s">
        <v>206</v>
      </c>
      <c r="QOS148" s="367"/>
      <c r="QOT148" s="367"/>
      <c r="QOU148" s="368" t="s">
        <v>168</v>
      </c>
      <c r="QOV148" s="369">
        <v>0.5</v>
      </c>
      <c r="QOW148" s="370" t="e">
        <f>10/QOS146</f>
        <v>#DIV/0!</v>
      </c>
      <c r="QOX148" s="371">
        <v>15.38</v>
      </c>
      <c r="QOY148" s="371" t="e">
        <f>QOV148*QOW148*QOX148</f>
        <v>#DIV/0!</v>
      </c>
      <c r="QOZ148" s="367" t="s">
        <v>206</v>
      </c>
      <c r="QPA148" s="367"/>
      <c r="QPB148" s="367"/>
      <c r="QPC148" s="368" t="s">
        <v>168</v>
      </c>
      <c r="QPD148" s="369">
        <v>0.5</v>
      </c>
      <c r="QPE148" s="370" t="e">
        <f>10/QPA146</f>
        <v>#DIV/0!</v>
      </c>
      <c r="QPF148" s="371">
        <v>15.38</v>
      </c>
      <c r="QPG148" s="371" t="e">
        <f>QPD148*QPE148*QPF148</f>
        <v>#DIV/0!</v>
      </c>
      <c r="QPH148" s="367" t="s">
        <v>206</v>
      </c>
      <c r="QPI148" s="367"/>
      <c r="QPJ148" s="367"/>
      <c r="QPK148" s="368" t="s">
        <v>168</v>
      </c>
      <c r="QPL148" s="369">
        <v>0.5</v>
      </c>
      <c r="QPM148" s="370" t="e">
        <f>10/QPI146</f>
        <v>#DIV/0!</v>
      </c>
      <c r="QPN148" s="371">
        <v>15.38</v>
      </c>
      <c r="QPO148" s="371" t="e">
        <f>QPL148*QPM148*QPN148</f>
        <v>#DIV/0!</v>
      </c>
      <c r="QPP148" s="367" t="s">
        <v>206</v>
      </c>
      <c r="QPQ148" s="367"/>
      <c r="QPR148" s="367"/>
      <c r="QPS148" s="368" t="s">
        <v>168</v>
      </c>
      <c r="QPT148" s="369">
        <v>0.5</v>
      </c>
      <c r="QPU148" s="370" t="e">
        <f>10/QPQ146</f>
        <v>#DIV/0!</v>
      </c>
      <c r="QPV148" s="371">
        <v>15.38</v>
      </c>
      <c r="QPW148" s="371" t="e">
        <f>QPT148*QPU148*QPV148</f>
        <v>#DIV/0!</v>
      </c>
      <c r="QPX148" s="367" t="s">
        <v>206</v>
      </c>
      <c r="QPY148" s="367"/>
      <c r="QPZ148" s="367"/>
      <c r="QQA148" s="368" t="s">
        <v>168</v>
      </c>
      <c r="QQB148" s="369">
        <v>0.5</v>
      </c>
      <c r="QQC148" s="370" t="e">
        <f>10/QPY146</f>
        <v>#DIV/0!</v>
      </c>
      <c r="QQD148" s="371">
        <v>15.38</v>
      </c>
      <c r="QQE148" s="371" t="e">
        <f>QQB148*QQC148*QQD148</f>
        <v>#DIV/0!</v>
      </c>
      <c r="QQF148" s="367" t="s">
        <v>206</v>
      </c>
      <c r="QQG148" s="367"/>
      <c r="QQH148" s="367"/>
      <c r="QQI148" s="368" t="s">
        <v>168</v>
      </c>
      <c r="QQJ148" s="369">
        <v>0.5</v>
      </c>
      <c r="QQK148" s="370" t="e">
        <f>10/QQG146</f>
        <v>#DIV/0!</v>
      </c>
      <c r="QQL148" s="371">
        <v>15.38</v>
      </c>
      <c r="QQM148" s="371" t="e">
        <f>QQJ148*QQK148*QQL148</f>
        <v>#DIV/0!</v>
      </c>
      <c r="QQN148" s="367" t="s">
        <v>206</v>
      </c>
      <c r="QQO148" s="367"/>
      <c r="QQP148" s="367"/>
      <c r="QQQ148" s="368" t="s">
        <v>168</v>
      </c>
      <c r="QQR148" s="369">
        <v>0.5</v>
      </c>
      <c r="QQS148" s="370" t="e">
        <f>10/QQO146</f>
        <v>#DIV/0!</v>
      </c>
      <c r="QQT148" s="371">
        <v>15.38</v>
      </c>
      <c r="QQU148" s="371" t="e">
        <f>QQR148*QQS148*QQT148</f>
        <v>#DIV/0!</v>
      </c>
      <c r="QQV148" s="367" t="s">
        <v>206</v>
      </c>
      <c r="QQW148" s="367"/>
      <c r="QQX148" s="367"/>
      <c r="QQY148" s="368" t="s">
        <v>168</v>
      </c>
      <c r="QQZ148" s="369">
        <v>0.5</v>
      </c>
      <c r="QRA148" s="370" t="e">
        <f>10/QQW146</f>
        <v>#DIV/0!</v>
      </c>
      <c r="QRB148" s="371">
        <v>15.38</v>
      </c>
      <c r="QRC148" s="371" t="e">
        <f>QQZ148*QRA148*QRB148</f>
        <v>#DIV/0!</v>
      </c>
      <c r="QRD148" s="367" t="s">
        <v>206</v>
      </c>
      <c r="QRE148" s="367"/>
      <c r="QRF148" s="367"/>
      <c r="QRG148" s="368" t="s">
        <v>168</v>
      </c>
      <c r="QRH148" s="369">
        <v>0.5</v>
      </c>
      <c r="QRI148" s="370" t="e">
        <f>10/QRE146</f>
        <v>#DIV/0!</v>
      </c>
      <c r="QRJ148" s="371">
        <v>15.38</v>
      </c>
      <c r="QRK148" s="371" t="e">
        <f>QRH148*QRI148*QRJ148</f>
        <v>#DIV/0!</v>
      </c>
      <c r="QRL148" s="367" t="s">
        <v>206</v>
      </c>
      <c r="QRM148" s="367"/>
      <c r="QRN148" s="367"/>
      <c r="QRO148" s="368" t="s">
        <v>168</v>
      </c>
      <c r="QRP148" s="369">
        <v>0.5</v>
      </c>
      <c r="QRQ148" s="370" t="e">
        <f>10/QRM146</f>
        <v>#DIV/0!</v>
      </c>
      <c r="QRR148" s="371">
        <v>15.38</v>
      </c>
      <c r="QRS148" s="371" t="e">
        <f>QRP148*QRQ148*QRR148</f>
        <v>#DIV/0!</v>
      </c>
      <c r="QRT148" s="367" t="s">
        <v>206</v>
      </c>
      <c r="QRU148" s="367"/>
      <c r="QRV148" s="367"/>
      <c r="QRW148" s="368" t="s">
        <v>168</v>
      </c>
      <c r="QRX148" s="369">
        <v>0.5</v>
      </c>
      <c r="QRY148" s="370" t="e">
        <f>10/QRU146</f>
        <v>#DIV/0!</v>
      </c>
      <c r="QRZ148" s="371">
        <v>15.38</v>
      </c>
      <c r="QSA148" s="371" t="e">
        <f>QRX148*QRY148*QRZ148</f>
        <v>#DIV/0!</v>
      </c>
      <c r="QSB148" s="367" t="s">
        <v>206</v>
      </c>
      <c r="QSC148" s="367"/>
      <c r="QSD148" s="367"/>
      <c r="QSE148" s="368" t="s">
        <v>168</v>
      </c>
      <c r="QSF148" s="369">
        <v>0.5</v>
      </c>
      <c r="QSG148" s="370" t="e">
        <f>10/QSC146</f>
        <v>#DIV/0!</v>
      </c>
      <c r="QSH148" s="371">
        <v>15.38</v>
      </c>
      <c r="QSI148" s="371" t="e">
        <f>QSF148*QSG148*QSH148</f>
        <v>#DIV/0!</v>
      </c>
      <c r="QSJ148" s="367" t="s">
        <v>206</v>
      </c>
      <c r="QSK148" s="367"/>
      <c r="QSL148" s="367"/>
      <c r="QSM148" s="368" t="s">
        <v>168</v>
      </c>
      <c r="QSN148" s="369">
        <v>0.5</v>
      </c>
      <c r="QSO148" s="370" t="e">
        <f>10/QSK146</f>
        <v>#DIV/0!</v>
      </c>
      <c r="QSP148" s="371">
        <v>15.38</v>
      </c>
      <c r="QSQ148" s="371" t="e">
        <f>QSN148*QSO148*QSP148</f>
        <v>#DIV/0!</v>
      </c>
      <c r="QSR148" s="367" t="s">
        <v>206</v>
      </c>
      <c r="QSS148" s="367"/>
      <c r="QST148" s="367"/>
      <c r="QSU148" s="368" t="s">
        <v>168</v>
      </c>
      <c r="QSV148" s="369">
        <v>0.5</v>
      </c>
      <c r="QSW148" s="370" t="e">
        <f>10/QSS146</f>
        <v>#DIV/0!</v>
      </c>
      <c r="QSX148" s="371">
        <v>15.38</v>
      </c>
      <c r="QSY148" s="371" t="e">
        <f>QSV148*QSW148*QSX148</f>
        <v>#DIV/0!</v>
      </c>
      <c r="QSZ148" s="367" t="s">
        <v>206</v>
      </c>
      <c r="QTA148" s="367"/>
      <c r="QTB148" s="367"/>
      <c r="QTC148" s="368" t="s">
        <v>168</v>
      </c>
      <c r="QTD148" s="369">
        <v>0.5</v>
      </c>
      <c r="QTE148" s="370" t="e">
        <f>10/QTA146</f>
        <v>#DIV/0!</v>
      </c>
      <c r="QTF148" s="371">
        <v>15.38</v>
      </c>
      <c r="QTG148" s="371" t="e">
        <f>QTD148*QTE148*QTF148</f>
        <v>#DIV/0!</v>
      </c>
      <c r="QTH148" s="367" t="s">
        <v>206</v>
      </c>
      <c r="QTI148" s="367"/>
      <c r="QTJ148" s="367"/>
      <c r="QTK148" s="368" t="s">
        <v>168</v>
      </c>
      <c r="QTL148" s="369">
        <v>0.5</v>
      </c>
      <c r="QTM148" s="370" t="e">
        <f>10/QTI146</f>
        <v>#DIV/0!</v>
      </c>
      <c r="QTN148" s="371">
        <v>15.38</v>
      </c>
      <c r="QTO148" s="371" t="e">
        <f>QTL148*QTM148*QTN148</f>
        <v>#DIV/0!</v>
      </c>
      <c r="QTP148" s="367" t="s">
        <v>206</v>
      </c>
      <c r="QTQ148" s="367"/>
      <c r="QTR148" s="367"/>
      <c r="QTS148" s="368" t="s">
        <v>168</v>
      </c>
      <c r="QTT148" s="369">
        <v>0.5</v>
      </c>
      <c r="QTU148" s="370" t="e">
        <f>10/QTQ146</f>
        <v>#DIV/0!</v>
      </c>
      <c r="QTV148" s="371">
        <v>15.38</v>
      </c>
      <c r="QTW148" s="371" t="e">
        <f>QTT148*QTU148*QTV148</f>
        <v>#DIV/0!</v>
      </c>
      <c r="QTX148" s="367" t="s">
        <v>206</v>
      </c>
      <c r="QTY148" s="367"/>
      <c r="QTZ148" s="367"/>
      <c r="QUA148" s="368" t="s">
        <v>168</v>
      </c>
      <c r="QUB148" s="369">
        <v>0.5</v>
      </c>
      <c r="QUC148" s="370" t="e">
        <f>10/QTY146</f>
        <v>#DIV/0!</v>
      </c>
      <c r="QUD148" s="371">
        <v>15.38</v>
      </c>
      <c r="QUE148" s="371" t="e">
        <f>QUB148*QUC148*QUD148</f>
        <v>#DIV/0!</v>
      </c>
      <c r="QUF148" s="367" t="s">
        <v>206</v>
      </c>
      <c r="QUG148" s="367"/>
      <c r="QUH148" s="367"/>
      <c r="QUI148" s="368" t="s">
        <v>168</v>
      </c>
      <c r="QUJ148" s="369">
        <v>0.5</v>
      </c>
      <c r="QUK148" s="370" t="e">
        <f>10/QUG146</f>
        <v>#DIV/0!</v>
      </c>
      <c r="QUL148" s="371">
        <v>15.38</v>
      </c>
      <c r="QUM148" s="371" t="e">
        <f>QUJ148*QUK148*QUL148</f>
        <v>#DIV/0!</v>
      </c>
      <c r="QUN148" s="367" t="s">
        <v>206</v>
      </c>
      <c r="QUO148" s="367"/>
      <c r="QUP148" s="367"/>
      <c r="QUQ148" s="368" t="s">
        <v>168</v>
      </c>
      <c r="QUR148" s="369">
        <v>0.5</v>
      </c>
      <c r="QUS148" s="370" t="e">
        <f>10/QUO146</f>
        <v>#DIV/0!</v>
      </c>
      <c r="QUT148" s="371">
        <v>15.38</v>
      </c>
      <c r="QUU148" s="371" t="e">
        <f>QUR148*QUS148*QUT148</f>
        <v>#DIV/0!</v>
      </c>
      <c r="QUV148" s="367" t="s">
        <v>206</v>
      </c>
      <c r="QUW148" s="367"/>
      <c r="QUX148" s="367"/>
      <c r="QUY148" s="368" t="s">
        <v>168</v>
      </c>
      <c r="QUZ148" s="369">
        <v>0.5</v>
      </c>
      <c r="QVA148" s="370" t="e">
        <f>10/QUW146</f>
        <v>#DIV/0!</v>
      </c>
      <c r="QVB148" s="371">
        <v>15.38</v>
      </c>
      <c r="QVC148" s="371" t="e">
        <f>QUZ148*QVA148*QVB148</f>
        <v>#DIV/0!</v>
      </c>
      <c r="QVD148" s="367" t="s">
        <v>206</v>
      </c>
      <c r="QVE148" s="367"/>
      <c r="QVF148" s="367"/>
      <c r="QVG148" s="368" t="s">
        <v>168</v>
      </c>
      <c r="QVH148" s="369">
        <v>0.5</v>
      </c>
      <c r="QVI148" s="370" t="e">
        <f>10/QVE146</f>
        <v>#DIV/0!</v>
      </c>
      <c r="QVJ148" s="371">
        <v>15.38</v>
      </c>
      <c r="QVK148" s="371" t="e">
        <f>QVH148*QVI148*QVJ148</f>
        <v>#DIV/0!</v>
      </c>
      <c r="QVL148" s="367" t="s">
        <v>206</v>
      </c>
      <c r="QVM148" s="367"/>
      <c r="QVN148" s="367"/>
      <c r="QVO148" s="368" t="s">
        <v>168</v>
      </c>
      <c r="QVP148" s="369">
        <v>0.5</v>
      </c>
      <c r="QVQ148" s="370" t="e">
        <f>10/QVM146</f>
        <v>#DIV/0!</v>
      </c>
      <c r="QVR148" s="371">
        <v>15.38</v>
      </c>
      <c r="QVS148" s="371" t="e">
        <f>QVP148*QVQ148*QVR148</f>
        <v>#DIV/0!</v>
      </c>
      <c r="QVT148" s="367" t="s">
        <v>206</v>
      </c>
      <c r="QVU148" s="367"/>
      <c r="QVV148" s="367"/>
      <c r="QVW148" s="368" t="s">
        <v>168</v>
      </c>
      <c r="QVX148" s="369">
        <v>0.5</v>
      </c>
      <c r="QVY148" s="370" t="e">
        <f>10/QVU146</f>
        <v>#DIV/0!</v>
      </c>
      <c r="QVZ148" s="371">
        <v>15.38</v>
      </c>
      <c r="QWA148" s="371" t="e">
        <f>QVX148*QVY148*QVZ148</f>
        <v>#DIV/0!</v>
      </c>
      <c r="QWB148" s="367" t="s">
        <v>206</v>
      </c>
      <c r="QWC148" s="367"/>
      <c r="QWD148" s="367"/>
      <c r="QWE148" s="368" t="s">
        <v>168</v>
      </c>
      <c r="QWF148" s="369">
        <v>0.5</v>
      </c>
      <c r="QWG148" s="370" t="e">
        <f>10/QWC146</f>
        <v>#DIV/0!</v>
      </c>
      <c r="QWH148" s="371">
        <v>15.38</v>
      </c>
      <c r="QWI148" s="371" t="e">
        <f>QWF148*QWG148*QWH148</f>
        <v>#DIV/0!</v>
      </c>
      <c r="QWJ148" s="367" t="s">
        <v>206</v>
      </c>
      <c r="QWK148" s="367"/>
      <c r="QWL148" s="367"/>
      <c r="QWM148" s="368" t="s">
        <v>168</v>
      </c>
      <c r="QWN148" s="369">
        <v>0.5</v>
      </c>
      <c r="QWO148" s="370" t="e">
        <f>10/QWK146</f>
        <v>#DIV/0!</v>
      </c>
      <c r="QWP148" s="371">
        <v>15.38</v>
      </c>
      <c r="QWQ148" s="371" t="e">
        <f>QWN148*QWO148*QWP148</f>
        <v>#DIV/0!</v>
      </c>
      <c r="QWR148" s="367" t="s">
        <v>206</v>
      </c>
      <c r="QWS148" s="367"/>
      <c r="QWT148" s="367"/>
      <c r="QWU148" s="368" t="s">
        <v>168</v>
      </c>
      <c r="QWV148" s="369">
        <v>0.5</v>
      </c>
      <c r="QWW148" s="370" t="e">
        <f>10/QWS146</f>
        <v>#DIV/0!</v>
      </c>
      <c r="QWX148" s="371">
        <v>15.38</v>
      </c>
      <c r="QWY148" s="371" t="e">
        <f>QWV148*QWW148*QWX148</f>
        <v>#DIV/0!</v>
      </c>
      <c r="QWZ148" s="367" t="s">
        <v>206</v>
      </c>
      <c r="QXA148" s="367"/>
      <c r="QXB148" s="367"/>
      <c r="QXC148" s="368" t="s">
        <v>168</v>
      </c>
      <c r="QXD148" s="369">
        <v>0.5</v>
      </c>
      <c r="QXE148" s="370" t="e">
        <f>10/QXA146</f>
        <v>#DIV/0!</v>
      </c>
      <c r="QXF148" s="371">
        <v>15.38</v>
      </c>
      <c r="QXG148" s="371" t="e">
        <f>QXD148*QXE148*QXF148</f>
        <v>#DIV/0!</v>
      </c>
      <c r="QXH148" s="367" t="s">
        <v>206</v>
      </c>
      <c r="QXI148" s="367"/>
      <c r="QXJ148" s="367"/>
      <c r="QXK148" s="368" t="s">
        <v>168</v>
      </c>
      <c r="QXL148" s="369">
        <v>0.5</v>
      </c>
      <c r="QXM148" s="370" t="e">
        <f>10/QXI146</f>
        <v>#DIV/0!</v>
      </c>
      <c r="QXN148" s="371">
        <v>15.38</v>
      </c>
      <c r="QXO148" s="371" t="e">
        <f>QXL148*QXM148*QXN148</f>
        <v>#DIV/0!</v>
      </c>
      <c r="QXP148" s="367" t="s">
        <v>206</v>
      </c>
      <c r="QXQ148" s="367"/>
      <c r="QXR148" s="367"/>
      <c r="QXS148" s="368" t="s">
        <v>168</v>
      </c>
      <c r="QXT148" s="369">
        <v>0.5</v>
      </c>
      <c r="QXU148" s="370" t="e">
        <f>10/QXQ146</f>
        <v>#DIV/0!</v>
      </c>
      <c r="QXV148" s="371">
        <v>15.38</v>
      </c>
      <c r="QXW148" s="371" t="e">
        <f>QXT148*QXU148*QXV148</f>
        <v>#DIV/0!</v>
      </c>
      <c r="QXX148" s="367" t="s">
        <v>206</v>
      </c>
      <c r="QXY148" s="367"/>
      <c r="QXZ148" s="367"/>
      <c r="QYA148" s="368" t="s">
        <v>168</v>
      </c>
      <c r="QYB148" s="369">
        <v>0.5</v>
      </c>
      <c r="QYC148" s="370" t="e">
        <f>10/QXY146</f>
        <v>#DIV/0!</v>
      </c>
      <c r="QYD148" s="371">
        <v>15.38</v>
      </c>
      <c r="QYE148" s="371" t="e">
        <f>QYB148*QYC148*QYD148</f>
        <v>#DIV/0!</v>
      </c>
      <c r="QYF148" s="367" t="s">
        <v>206</v>
      </c>
      <c r="QYG148" s="367"/>
      <c r="QYH148" s="367"/>
      <c r="QYI148" s="368" t="s">
        <v>168</v>
      </c>
      <c r="QYJ148" s="369">
        <v>0.5</v>
      </c>
      <c r="QYK148" s="370" t="e">
        <f>10/QYG146</f>
        <v>#DIV/0!</v>
      </c>
      <c r="QYL148" s="371">
        <v>15.38</v>
      </c>
      <c r="QYM148" s="371" t="e">
        <f>QYJ148*QYK148*QYL148</f>
        <v>#DIV/0!</v>
      </c>
      <c r="QYN148" s="367" t="s">
        <v>206</v>
      </c>
      <c r="QYO148" s="367"/>
      <c r="QYP148" s="367"/>
      <c r="QYQ148" s="368" t="s">
        <v>168</v>
      </c>
      <c r="QYR148" s="369">
        <v>0.5</v>
      </c>
      <c r="QYS148" s="370" t="e">
        <f>10/QYO146</f>
        <v>#DIV/0!</v>
      </c>
      <c r="QYT148" s="371">
        <v>15.38</v>
      </c>
      <c r="QYU148" s="371" t="e">
        <f>QYR148*QYS148*QYT148</f>
        <v>#DIV/0!</v>
      </c>
      <c r="QYV148" s="367" t="s">
        <v>206</v>
      </c>
      <c r="QYW148" s="367"/>
      <c r="QYX148" s="367"/>
      <c r="QYY148" s="368" t="s">
        <v>168</v>
      </c>
      <c r="QYZ148" s="369">
        <v>0.5</v>
      </c>
      <c r="QZA148" s="370" t="e">
        <f>10/QYW146</f>
        <v>#DIV/0!</v>
      </c>
      <c r="QZB148" s="371">
        <v>15.38</v>
      </c>
      <c r="QZC148" s="371" t="e">
        <f>QYZ148*QZA148*QZB148</f>
        <v>#DIV/0!</v>
      </c>
      <c r="QZD148" s="367" t="s">
        <v>206</v>
      </c>
      <c r="QZE148" s="367"/>
      <c r="QZF148" s="367"/>
      <c r="QZG148" s="368" t="s">
        <v>168</v>
      </c>
      <c r="QZH148" s="369">
        <v>0.5</v>
      </c>
      <c r="QZI148" s="370" t="e">
        <f>10/QZE146</f>
        <v>#DIV/0!</v>
      </c>
      <c r="QZJ148" s="371">
        <v>15.38</v>
      </c>
      <c r="QZK148" s="371" t="e">
        <f>QZH148*QZI148*QZJ148</f>
        <v>#DIV/0!</v>
      </c>
      <c r="QZL148" s="367" t="s">
        <v>206</v>
      </c>
      <c r="QZM148" s="367"/>
      <c r="QZN148" s="367"/>
      <c r="QZO148" s="368" t="s">
        <v>168</v>
      </c>
      <c r="QZP148" s="369">
        <v>0.5</v>
      </c>
      <c r="QZQ148" s="370" t="e">
        <f>10/QZM146</f>
        <v>#DIV/0!</v>
      </c>
      <c r="QZR148" s="371">
        <v>15.38</v>
      </c>
      <c r="QZS148" s="371" t="e">
        <f>QZP148*QZQ148*QZR148</f>
        <v>#DIV/0!</v>
      </c>
      <c r="QZT148" s="367" t="s">
        <v>206</v>
      </c>
      <c r="QZU148" s="367"/>
      <c r="QZV148" s="367"/>
      <c r="QZW148" s="368" t="s">
        <v>168</v>
      </c>
      <c r="QZX148" s="369">
        <v>0.5</v>
      </c>
      <c r="QZY148" s="370" t="e">
        <f>10/QZU146</f>
        <v>#DIV/0!</v>
      </c>
      <c r="QZZ148" s="371">
        <v>15.38</v>
      </c>
      <c r="RAA148" s="371" t="e">
        <f>QZX148*QZY148*QZZ148</f>
        <v>#DIV/0!</v>
      </c>
      <c r="RAB148" s="367" t="s">
        <v>206</v>
      </c>
      <c r="RAC148" s="367"/>
      <c r="RAD148" s="367"/>
      <c r="RAE148" s="368" t="s">
        <v>168</v>
      </c>
      <c r="RAF148" s="369">
        <v>0.5</v>
      </c>
      <c r="RAG148" s="370" t="e">
        <f>10/RAC146</f>
        <v>#DIV/0!</v>
      </c>
      <c r="RAH148" s="371">
        <v>15.38</v>
      </c>
      <c r="RAI148" s="371" t="e">
        <f>RAF148*RAG148*RAH148</f>
        <v>#DIV/0!</v>
      </c>
      <c r="RAJ148" s="367" t="s">
        <v>206</v>
      </c>
      <c r="RAK148" s="367"/>
      <c r="RAL148" s="367"/>
      <c r="RAM148" s="368" t="s">
        <v>168</v>
      </c>
      <c r="RAN148" s="369">
        <v>0.5</v>
      </c>
      <c r="RAO148" s="370" t="e">
        <f>10/RAK146</f>
        <v>#DIV/0!</v>
      </c>
      <c r="RAP148" s="371">
        <v>15.38</v>
      </c>
      <c r="RAQ148" s="371" t="e">
        <f>RAN148*RAO148*RAP148</f>
        <v>#DIV/0!</v>
      </c>
      <c r="RAR148" s="367" t="s">
        <v>206</v>
      </c>
      <c r="RAS148" s="367"/>
      <c r="RAT148" s="367"/>
      <c r="RAU148" s="368" t="s">
        <v>168</v>
      </c>
      <c r="RAV148" s="369">
        <v>0.5</v>
      </c>
      <c r="RAW148" s="370" t="e">
        <f>10/RAS146</f>
        <v>#DIV/0!</v>
      </c>
      <c r="RAX148" s="371">
        <v>15.38</v>
      </c>
      <c r="RAY148" s="371" t="e">
        <f>RAV148*RAW148*RAX148</f>
        <v>#DIV/0!</v>
      </c>
      <c r="RAZ148" s="367" t="s">
        <v>206</v>
      </c>
      <c r="RBA148" s="367"/>
      <c r="RBB148" s="367"/>
      <c r="RBC148" s="368" t="s">
        <v>168</v>
      </c>
      <c r="RBD148" s="369">
        <v>0.5</v>
      </c>
      <c r="RBE148" s="370" t="e">
        <f>10/RBA146</f>
        <v>#DIV/0!</v>
      </c>
      <c r="RBF148" s="371">
        <v>15.38</v>
      </c>
      <c r="RBG148" s="371" t="e">
        <f>RBD148*RBE148*RBF148</f>
        <v>#DIV/0!</v>
      </c>
      <c r="RBH148" s="367" t="s">
        <v>206</v>
      </c>
      <c r="RBI148" s="367"/>
      <c r="RBJ148" s="367"/>
      <c r="RBK148" s="368" t="s">
        <v>168</v>
      </c>
      <c r="RBL148" s="369">
        <v>0.5</v>
      </c>
      <c r="RBM148" s="370" t="e">
        <f>10/RBI146</f>
        <v>#DIV/0!</v>
      </c>
      <c r="RBN148" s="371">
        <v>15.38</v>
      </c>
      <c r="RBO148" s="371" t="e">
        <f>RBL148*RBM148*RBN148</f>
        <v>#DIV/0!</v>
      </c>
      <c r="RBP148" s="367" t="s">
        <v>206</v>
      </c>
      <c r="RBQ148" s="367"/>
      <c r="RBR148" s="367"/>
      <c r="RBS148" s="368" t="s">
        <v>168</v>
      </c>
      <c r="RBT148" s="369">
        <v>0.5</v>
      </c>
      <c r="RBU148" s="370" t="e">
        <f>10/RBQ146</f>
        <v>#DIV/0!</v>
      </c>
      <c r="RBV148" s="371">
        <v>15.38</v>
      </c>
      <c r="RBW148" s="371" t="e">
        <f>RBT148*RBU148*RBV148</f>
        <v>#DIV/0!</v>
      </c>
      <c r="RBX148" s="367" t="s">
        <v>206</v>
      </c>
      <c r="RBY148" s="367"/>
      <c r="RBZ148" s="367"/>
      <c r="RCA148" s="368" t="s">
        <v>168</v>
      </c>
      <c r="RCB148" s="369">
        <v>0.5</v>
      </c>
      <c r="RCC148" s="370" t="e">
        <f>10/RBY146</f>
        <v>#DIV/0!</v>
      </c>
      <c r="RCD148" s="371">
        <v>15.38</v>
      </c>
      <c r="RCE148" s="371" t="e">
        <f>RCB148*RCC148*RCD148</f>
        <v>#DIV/0!</v>
      </c>
      <c r="RCF148" s="367" t="s">
        <v>206</v>
      </c>
      <c r="RCG148" s="367"/>
      <c r="RCH148" s="367"/>
      <c r="RCI148" s="368" t="s">
        <v>168</v>
      </c>
      <c r="RCJ148" s="369">
        <v>0.5</v>
      </c>
      <c r="RCK148" s="370" t="e">
        <f>10/RCG146</f>
        <v>#DIV/0!</v>
      </c>
      <c r="RCL148" s="371">
        <v>15.38</v>
      </c>
      <c r="RCM148" s="371" t="e">
        <f>RCJ148*RCK148*RCL148</f>
        <v>#DIV/0!</v>
      </c>
      <c r="RCN148" s="367" t="s">
        <v>206</v>
      </c>
      <c r="RCO148" s="367"/>
      <c r="RCP148" s="367"/>
      <c r="RCQ148" s="368" t="s">
        <v>168</v>
      </c>
      <c r="RCR148" s="369">
        <v>0.5</v>
      </c>
      <c r="RCS148" s="370" t="e">
        <f>10/RCO146</f>
        <v>#DIV/0!</v>
      </c>
      <c r="RCT148" s="371">
        <v>15.38</v>
      </c>
      <c r="RCU148" s="371" t="e">
        <f>RCR148*RCS148*RCT148</f>
        <v>#DIV/0!</v>
      </c>
      <c r="RCV148" s="367" t="s">
        <v>206</v>
      </c>
      <c r="RCW148" s="367"/>
      <c r="RCX148" s="367"/>
      <c r="RCY148" s="368" t="s">
        <v>168</v>
      </c>
      <c r="RCZ148" s="369">
        <v>0.5</v>
      </c>
      <c r="RDA148" s="370" t="e">
        <f>10/RCW146</f>
        <v>#DIV/0!</v>
      </c>
      <c r="RDB148" s="371">
        <v>15.38</v>
      </c>
      <c r="RDC148" s="371" t="e">
        <f>RCZ148*RDA148*RDB148</f>
        <v>#DIV/0!</v>
      </c>
      <c r="RDD148" s="367" t="s">
        <v>206</v>
      </c>
      <c r="RDE148" s="367"/>
      <c r="RDF148" s="367"/>
      <c r="RDG148" s="368" t="s">
        <v>168</v>
      </c>
      <c r="RDH148" s="369">
        <v>0.5</v>
      </c>
      <c r="RDI148" s="370" t="e">
        <f>10/RDE146</f>
        <v>#DIV/0!</v>
      </c>
      <c r="RDJ148" s="371">
        <v>15.38</v>
      </c>
      <c r="RDK148" s="371" t="e">
        <f>RDH148*RDI148*RDJ148</f>
        <v>#DIV/0!</v>
      </c>
      <c r="RDL148" s="367" t="s">
        <v>206</v>
      </c>
      <c r="RDM148" s="367"/>
      <c r="RDN148" s="367"/>
      <c r="RDO148" s="368" t="s">
        <v>168</v>
      </c>
      <c r="RDP148" s="369">
        <v>0.5</v>
      </c>
      <c r="RDQ148" s="370" t="e">
        <f>10/RDM146</f>
        <v>#DIV/0!</v>
      </c>
      <c r="RDR148" s="371">
        <v>15.38</v>
      </c>
      <c r="RDS148" s="371" t="e">
        <f>RDP148*RDQ148*RDR148</f>
        <v>#DIV/0!</v>
      </c>
      <c r="RDT148" s="367" t="s">
        <v>206</v>
      </c>
      <c r="RDU148" s="367"/>
      <c r="RDV148" s="367"/>
      <c r="RDW148" s="368" t="s">
        <v>168</v>
      </c>
      <c r="RDX148" s="369">
        <v>0.5</v>
      </c>
      <c r="RDY148" s="370" t="e">
        <f>10/RDU146</f>
        <v>#DIV/0!</v>
      </c>
      <c r="RDZ148" s="371">
        <v>15.38</v>
      </c>
      <c r="REA148" s="371" t="e">
        <f>RDX148*RDY148*RDZ148</f>
        <v>#DIV/0!</v>
      </c>
      <c r="REB148" s="367" t="s">
        <v>206</v>
      </c>
      <c r="REC148" s="367"/>
      <c r="RED148" s="367"/>
      <c r="REE148" s="368" t="s">
        <v>168</v>
      </c>
      <c r="REF148" s="369">
        <v>0.5</v>
      </c>
      <c r="REG148" s="370" t="e">
        <f>10/REC146</f>
        <v>#DIV/0!</v>
      </c>
      <c r="REH148" s="371">
        <v>15.38</v>
      </c>
      <c r="REI148" s="371" t="e">
        <f>REF148*REG148*REH148</f>
        <v>#DIV/0!</v>
      </c>
      <c r="REJ148" s="367" t="s">
        <v>206</v>
      </c>
      <c r="REK148" s="367"/>
      <c r="REL148" s="367"/>
      <c r="REM148" s="368" t="s">
        <v>168</v>
      </c>
      <c r="REN148" s="369">
        <v>0.5</v>
      </c>
      <c r="REO148" s="370" t="e">
        <f>10/REK146</f>
        <v>#DIV/0!</v>
      </c>
      <c r="REP148" s="371">
        <v>15.38</v>
      </c>
      <c r="REQ148" s="371" t="e">
        <f>REN148*REO148*REP148</f>
        <v>#DIV/0!</v>
      </c>
      <c r="RER148" s="367" t="s">
        <v>206</v>
      </c>
      <c r="RES148" s="367"/>
      <c r="RET148" s="367"/>
      <c r="REU148" s="368" t="s">
        <v>168</v>
      </c>
      <c r="REV148" s="369">
        <v>0.5</v>
      </c>
      <c r="REW148" s="370" t="e">
        <f>10/RES146</f>
        <v>#DIV/0!</v>
      </c>
      <c r="REX148" s="371">
        <v>15.38</v>
      </c>
      <c r="REY148" s="371" t="e">
        <f>REV148*REW148*REX148</f>
        <v>#DIV/0!</v>
      </c>
      <c r="REZ148" s="367" t="s">
        <v>206</v>
      </c>
      <c r="RFA148" s="367"/>
      <c r="RFB148" s="367"/>
      <c r="RFC148" s="368" t="s">
        <v>168</v>
      </c>
      <c r="RFD148" s="369">
        <v>0.5</v>
      </c>
      <c r="RFE148" s="370" t="e">
        <f>10/RFA146</f>
        <v>#DIV/0!</v>
      </c>
      <c r="RFF148" s="371">
        <v>15.38</v>
      </c>
      <c r="RFG148" s="371" t="e">
        <f>RFD148*RFE148*RFF148</f>
        <v>#DIV/0!</v>
      </c>
      <c r="RFH148" s="367" t="s">
        <v>206</v>
      </c>
      <c r="RFI148" s="367"/>
      <c r="RFJ148" s="367"/>
      <c r="RFK148" s="368" t="s">
        <v>168</v>
      </c>
      <c r="RFL148" s="369">
        <v>0.5</v>
      </c>
      <c r="RFM148" s="370" t="e">
        <f>10/RFI146</f>
        <v>#DIV/0!</v>
      </c>
      <c r="RFN148" s="371">
        <v>15.38</v>
      </c>
      <c r="RFO148" s="371" t="e">
        <f>RFL148*RFM148*RFN148</f>
        <v>#DIV/0!</v>
      </c>
      <c r="RFP148" s="367" t="s">
        <v>206</v>
      </c>
      <c r="RFQ148" s="367"/>
      <c r="RFR148" s="367"/>
      <c r="RFS148" s="368" t="s">
        <v>168</v>
      </c>
      <c r="RFT148" s="369">
        <v>0.5</v>
      </c>
      <c r="RFU148" s="370" t="e">
        <f>10/RFQ146</f>
        <v>#DIV/0!</v>
      </c>
      <c r="RFV148" s="371">
        <v>15.38</v>
      </c>
      <c r="RFW148" s="371" t="e">
        <f>RFT148*RFU148*RFV148</f>
        <v>#DIV/0!</v>
      </c>
      <c r="RFX148" s="367" t="s">
        <v>206</v>
      </c>
      <c r="RFY148" s="367"/>
      <c r="RFZ148" s="367"/>
      <c r="RGA148" s="368" t="s">
        <v>168</v>
      </c>
      <c r="RGB148" s="369">
        <v>0.5</v>
      </c>
      <c r="RGC148" s="370" t="e">
        <f>10/RFY146</f>
        <v>#DIV/0!</v>
      </c>
      <c r="RGD148" s="371">
        <v>15.38</v>
      </c>
      <c r="RGE148" s="371" t="e">
        <f>RGB148*RGC148*RGD148</f>
        <v>#DIV/0!</v>
      </c>
      <c r="RGF148" s="367" t="s">
        <v>206</v>
      </c>
      <c r="RGG148" s="367"/>
      <c r="RGH148" s="367"/>
      <c r="RGI148" s="368" t="s">
        <v>168</v>
      </c>
      <c r="RGJ148" s="369">
        <v>0.5</v>
      </c>
      <c r="RGK148" s="370" t="e">
        <f>10/RGG146</f>
        <v>#DIV/0!</v>
      </c>
      <c r="RGL148" s="371">
        <v>15.38</v>
      </c>
      <c r="RGM148" s="371" t="e">
        <f>RGJ148*RGK148*RGL148</f>
        <v>#DIV/0!</v>
      </c>
      <c r="RGN148" s="367" t="s">
        <v>206</v>
      </c>
      <c r="RGO148" s="367"/>
      <c r="RGP148" s="367"/>
      <c r="RGQ148" s="368" t="s">
        <v>168</v>
      </c>
      <c r="RGR148" s="369">
        <v>0.5</v>
      </c>
      <c r="RGS148" s="370" t="e">
        <f>10/RGO146</f>
        <v>#DIV/0!</v>
      </c>
      <c r="RGT148" s="371">
        <v>15.38</v>
      </c>
      <c r="RGU148" s="371" t="e">
        <f>RGR148*RGS148*RGT148</f>
        <v>#DIV/0!</v>
      </c>
      <c r="RGV148" s="367" t="s">
        <v>206</v>
      </c>
      <c r="RGW148" s="367"/>
      <c r="RGX148" s="367"/>
      <c r="RGY148" s="368" t="s">
        <v>168</v>
      </c>
      <c r="RGZ148" s="369">
        <v>0.5</v>
      </c>
      <c r="RHA148" s="370" t="e">
        <f>10/RGW146</f>
        <v>#DIV/0!</v>
      </c>
      <c r="RHB148" s="371">
        <v>15.38</v>
      </c>
      <c r="RHC148" s="371" t="e">
        <f>RGZ148*RHA148*RHB148</f>
        <v>#DIV/0!</v>
      </c>
      <c r="RHD148" s="367" t="s">
        <v>206</v>
      </c>
      <c r="RHE148" s="367"/>
      <c r="RHF148" s="367"/>
      <c r="RHG148" s="368" t="s">
        <v>168</v>
      </c>
      <c r="RHH148" s="369">
        <v>0.5</v>
      </c>
      <c r="RHI148" s="370" t="e">
        <f>10/RHE146</f>
        <v>#DIV/0!</v>
      </c>
      <c r="RHJ148" s="371">
        <v>15.38</v>
      </c>
      <c r="RHK148" s="371" t="e">
        <f>RHH148*RHI148*RHJ148</f>
        <v>#DIV/0!</v>
      </c>
      <c r="RHL148" s="367" t="s">
        <v>206</v>
      </c>
      <c r="RHM148" s="367"/>
      <c r="RHN148" s="367"/>
      <c r="RHO148" s="368" t="s">
        <v>168</v>
      </c>
      <c r="RHP148" s="369">
        <v>0.5</v>
      </c>
      <c r="RHQ148" s="370" t="e">
        <f>10/RHM146</f>
        <v>#DIV/0!</v>
      </c>
      <c r="RHR148" s="371">
        <v>15.38</v>
      </c>
      <c r="RHS148" s="371" t="e">
        <f>RHP148*RHQ148*RHR148</f>
        <v>#DIV/0!</v>
      </c>
      <c r="RHT148" s="367" t="s">
        <v>206</v>
      </c>
      <c r="RHU148" s="367"/>
      <c r="RHV148" s="367"/>
      <c r="RHW148" s="368" t="s">
        <v>168</v>
      </c>
      <c r="RHX148" s="369">
        <v>0.5</v>
      </c>
      <c r="RHY148" s="370" t="e">
        <f>10/RHU146</f>
        <v>#DIV/0!</v>
      </c>
      <c r="RHZ148" s="371">
        <v>15.38</v>
      </c>
      <c r="RIA148" s="371" t="e">
        <f>RHX148*RHY148*RHZ148</f>
        <v>#DIV/0!</v>
      </c>
      <c r="RIB148" s="367" t="s">
        <v>206</v>
      </c>
      <c r="RIC148" s="367"/>
      <c r="RID148" s="367"/>
      <c r="RIE148" s="368" t="s">
        <v>168</v>
      </c>
      <c r="RIF148" s="369">
        <v>0.5</v>
      </c>
      <c r="RIG148" s="370" t="e">
        <f>10/RIC146</f>
        <v>#DIV/0!</v>
      </c>
      <c r="RIH148" s="371">
        <v>15.38</v>
      </c>
      <c r="RII148" s="371" t="e">
        <f>RIF148*RIG148*RIH148</f>
        <v>#DIV/0!</v>
      </c>
      <c r="RIJ148" s="367" t="s">
        <v>206</v>
      </c>
      <c r="RIK148" s="367"/>
      <c r="RIL148" s="367"/>
      <c r="RIM148" s="368" t="s">
        <v>168</v>
      </c>
      <c r="RIN148" s="369">
        <v>0.5</v>
      </c>
      <c r="RIO148" s="370" t="e">
        <f>10/RIK146</f>
        <v>#DIV/0!</v>
      </c>
      <c r="RIP148" s="371">
        <v>15.38</v>
      </c>
      <c r="RIQ148" s="371" t="e">
        <f>RIN148*RIO148*RIP148</f>
        <v>#DIV/0!</v>
      </c>
      <c r="RIR148" s="367" t="s">
        <v>206</v>
      </c>
      <c r="RIS148" s="367"/>
      <c r="RIT148" s="367"/>
      <c r="RIU148" s="368" t="s">
        <v>168</v>
      </c>
      <c r="RIV148" s="369">
        <v>0.5</v>
      </c>
      <c r="RIW148" s="370" t="e">
        <f>10/RIS146</f>
        <v>#DIV/0!</v>
      </c>
      <c r="RIX148" s="371">
        <v>15.38</v>
      </c>
      <c r="RIY148" s="371" t="e">
        <f>RIV148*RIW148*RIX148</f>
        <v>#DIV/0!</v>
      </c>
      <c r="RIZ148" s="367" t="s">
        <v>206</v>
      </c>
      <c r="RJA148" s="367"/>
      <c r="RJB148" s="367"/>
      <c r="RJC148" s="368" t="s">
        <v>168</v>
      </c>
      <c r="RJD148" s="369">
        <v>0.5</v>
      </c>
      <c r="RJE148" s="370" t="e">
        <f>10/RJA146</f>
        <v>#DIV/0!</v>
      </c>
      <c r="RJF148" s="371">
        <v>15.38</v>
      </c>
      <c r="RJG148" s="371" t="e">
        <f>RJD148*RJE148*RJF148</f>
        <v>#DIV/0!</v>
      </c>
      <c r="RJH148" s="367" t="s">
        <v>206</v>
      </c>
      <c r="RJI148" s="367"/>
      <c r="RJJ148" s="367"/>
      <c r="RJK148" s="368" t="s">
        <v>168</v>
      </c>
      <c r="RJL148" s="369">
        <v>0.5</v>
      </c>
      <c r="RJM148" s="370" t="e">
        <f>10/RJI146</f>
        <v>#DIV/0!</v>
      </c>
      <c r="RJN148" s="371">
        <v>15.38</v>
      </c>
      <c r="RJO148" s="371" t="e">
        <f>RJL148*RJM148*RJN148</f>
        <v>#DIV/0!</v>
      </c>
      <c r="RJP148" s="367" t="s">
        <v>206</v>
      </c>
      <c r="RJQ148" s="367"/>
      <c r="RJR148" s="367"/>
      <c r="RJS148" s="368" t="s">
        <v>168</v>
      </c>
      <c r="RJT148" s="369">
        <v>0.5</v>
      </c>
      <c r="RJU148" s="370" t="e">
        <f>10/RJQ146</f>
        <v>#DIV/0!</v>
      </c>
      <c r="RJV148" s="371">
        <v>15.38</v>
      </c>
      <c r="RJW148" s="371" t="e">
        <f>RJT148*RJU148*RJV148</f>
        <v>#DIV/0!</v>
      </c>
      <c r="RJX148" s="367" t="s">
        <v>206</v>
      </c>
      <c r="RJY148" s="367"/>
      <c r="RJZ148" s="367"/>
      <c r="RKA148" s="368" t="s">
        <v>168</v>
      </c>
      <c r="RKB148" s="369">
        <v>0.5</v>
      </c>
      <c r="RKC148" s="370" t="e">
        <f>10/RJY146</f>
        <v>#DIV/0!</v>
      </c>
      <c r="RKD148" s="371">
        <v>15.38</v>
      </c>
      <c r="RKE148" s="371" t="e">
        <f>RKB148*RKC148*RKD148</f>
        <v>#DIV/0!</v>
      </c>
      <c r="RKF148" s="367" t="s">
        <v>206</v>
      </c>
      <c r="RKG148" s="367"/>
      <c r="RKH148" s="367"/>
      <c r="RKI148" s="368" t="s">
        <v>168</v>
      </c>
      <c r="RKJ148" s="369">
        <v>0.5</v>
      </c>
      <c r="RKK148" s="370" t="e">
        <f>10/RKG146</f>
        <v>#DIV/0!</v>
      </c>
      <c r="RKL148" s="371">
        <v>15.38</v>
      </c>
      <c r="RKM148" s="371" t="e">
        <f>RKJ148*RKK148*RKL148</f>
        <v>#DIV/0!</v>
      </c>
      <c r="RKN148" s="367" t="s">
        <v>206</v>
      </c>
      <c r="RKO148" s="367"/>
      <c r="RKP148" s="367"/>
      <c r="RKQ148" s="368" t="s">
        <v>168</v>
      </c>
      <c r="RKR148" s="369">
        <v>0.5</v>
      </c>
      <c r="RKS148" s="370" t="e">
        <f>10/RKO146</f>
        <v>#DIV/0!</v>
      </c>
      <c r="RKT148" s="371">
        <v>15.38</v>
      </c>
      <c r="RKU148" s="371" t="e">
        <f>RKR148*RKS148*RKT148</f>
        <v>#DIV/0!</v>
      </c>
      <c r="RKV148" s="367" t="s">
        <v>206</v>
      </c>
      <c r="RKW148" s="367"/>
      <c r="RKX148" s="367"/>
      <c r="RKY148" s="368" t="s">
        <v>168</v>
      </c>
      <c r="RKZ148" s="369">
        <v>0.5</v>
      </c>
      <c r="RLA148" s="370" t="e">
        <f>10/RKW146</f>
        <v>#DIV/0!</v>
      </c>
      <c r="RLB148" s="371">
        <v>15.38</v>
      </c>
      <c r="RLC148" s="371" t="e">
        <f>RKZ148*RLA148*RLB148</f>
        <v>#DIV/0!</v>
      </c>
      <c r="RLD148" s="367" t="s">
        <v>206</v>
      </c>
      <c r="RLE148" s="367"/>
      <c r="RLF148" s="367"/>
      <c r="RLG148" s="368" t="s">
        <v>168</v>
      </c>
      <c r="RLH148" s="369">
        <v>0.5</v>
      </c>
      <c r="RLI148" s="370" t="e">
        <f>10/RLE146</f>
        <v>#DIV/0!</v>
      </c>
      <c r="RLJ148" s="371">
        <v>15.38</v>
      </c>
      <c r="RLK148" s="371" t="e">
        <f>RLH148*RLI148*RLJ148</f>
        <v>#DIV/0!</v>
      </c>
      <c r="RLL148" s="367" t="s">
        <v>206</v>
      </c>
      <c r="RLM148" s="367"/>
      <c r="RLN148" s="367"/>
      <c r="RLO148" s="368" t="s">
        <v>168</v>
      </c>
      <c r="RLP148" s="369">
        <v>0.5</v>
      </c>
      <c r="RLQ148" s="370" t="e">
        <f>10/RLM146</f>
        <v>#DIV/0!</v>
      </c>
      <c r="RLR148" s="371">
        <v>15.38</v>
      </c>
      <c r="RLS148" s="371" t="e">
        <f>RLP148*RLQ148*RLR148</f>
        <v>#DIV/0!</v>
      </c>
      <c r="RLT148" s="367" t="s">
        <v>206</v>
      </c>
      <c r="RLU148" s="367"/>
      <c r="RLV148" s="367"/>
      <c r="RLW148" s="368" t="s">
        <v>168</v>
      </c>
      <c r="RLX148" s="369">
        <v>0.5</v>
      </c>
      <c r="RLY148" s="370" t="e">
        <f>10/RLU146</f>
        <v>#DIV/0!</v>
      </c>
      <c r="RLZ148" s="371">
        <v>15.38</v>
      </c>
      <c r="RMA148" s="371" t="e">
        <f>RLX148*RLY148*RLZ148</f>
        <v>#DIV/0!</v>
      </c>
      <c r="RMB148" s="367" t="s">
        <v>206</v>
      </c>
      <c r="RMC148" s="367"/>
      <c r="RMD148" s="367"/>
      <c r="RME148" s="368" t="s">
        <v>168</v>
      </c>
      <c r="RMF148" s="369">
        <v>0.5</v>
      </c>
      <c r="RMG148" s="370" t="e">
        <f>10/RMC146</f>
        <v>#DIV/0!</v>
      </c>
      <c r="RMH148" s="371">
        <v>15.38</v>
      </c>
      <c r="RMI148" s="371" t="e">
        <f>RMF148*RMG148*RMH148</f>
        <v>#DIV/0!</v>
      </c>
      <c r="RMJ148" s="367" t="s">
        <v>206</v>
      </c>
      <c r="RMK148" s="367"/>
      <c r="RML148" s="367"/>
      <c r="RMM148" s="368" t="s">
        <v>168</v>
      </c>
      <c r="RMN148" s="369">
        <v>0.5</v>
      </c>
      <c r="RMO148" s="370" t="e">
        <f>10/RMK146</f>
        <v>#DIV/0!</v>
      </c>
      <c r="RMP148" s="371">
        <v>15.38</v>
      </c>
      <c r="RMQ148" s="371" t="e">
        <f>RMN148*RMO148*RMP148</f>
        <v>#DIV/0!</v>
      </c>
      <c r="RMR148" s="367" t="s">
        <v>206</v>
      </c>
      <c r="RMS148" s="367"/>
      <c r="RMT148" s="367"/>
      <c r="RMU148" s="368" t="s">
        <v>168</v>
      </c>
      <c r="RMV148" s="369">
        <v>0.5</v>
      </c>
      <c r="RMW148" s="370" t="e">
        <f>10/RMS146</f>
        <v>#DIV/0!</v>
      </c>
      <c r="RMX148" s="371">
        <v>15.38</v>
      </c>
      <c r="RMY148" s="371" t="e">
        <f>RMV148*RMW148*RMX148</f>
        <v>#DIV/0!</v>
      </c>
      <c r="RMZ148" s="367" t="s">
        <v>206</v>
      </c>
      <c r="RNA148" s="367"/>
      <c r="RNB148" s="367"/>
      <c r="RNC148" s="368" t="s">
        <v>168</v>
      </c>
      <c r="RND148" s="369">
        <v>0.5</v>
      </c>
      <c r="RNE148" s="370" t="e">
        <f>10/RNA146</f>
        <v>#DIV/0!</v>
      </c>
      <c r="RNF148" s="371">
        <v>15.38</v>
      </c>
      <c r="RNG148" s="371" t="e">
        <f>RND148*RNE148*RNF148</f>
        <v>#DIV/0!</v>
      </c>
      <c r="RNH148" s="367" t="s">
        <v>206</v>
      </c>
      <c r="RNI148" s="367"/>
      <c r="RNJ148" s="367"/>
      <c r="RNK148" s="368" t="s">
        <v>168</v>
      </c>
      <c r="RNL148" s="369">
        <v>0.5</v>
      </c>
      <c r="RNM148" s="370" t="e">
        <f>10/RNI146</f>
        <v>#DIV/0!</v>
      </c>
      <c r="RNN148" s="371">
        <v>15.38</v>
      </c>
      <c r="RNO148" s="371" t="e">
        <f>RNL148*RNM148*RNN148</f>
        <v>#DIV/0!</v>
      </c>
      <c r="RNP148" s="367" t="s">
        <v>206</v>
      </c>
      <c r="RNQ148" s="367"/>
      <c r="RNR148" s="367"/>
      <c r="RNS148" s="368" t="s">
        <v>168</v>
      </c>
      <c r="RNT148" s="369">
        <v>0.5</v>
      </c>
      <c r="RNU148" s="370" t="e">
        <f>10/RNQ146</f>
        <v>#DIV/0!</v>
      </c>
      <c r="RNV148" s="371">
        <v>15.38</v>
      </c>
      <c r="RNW148" s="371" t="e">
        <f>RNT148*RNU148*RNV148</f>
        <v>#DIV/0!</v>
      </c>
      <c r="RNX148" s="367" t="s">
        <v>206</v>
      </c>
      <c r="RNY148" s="367"/>
      <c r="RNZ148" s="367"/>
      <c r="ROA148" s="368" t="s">
        <v>168</v>
      </c>
      <c r="ROB148" s="369">
        <v>0.5</v>
      </c>
      <c r="ROC148" s="370" t="e">
        <f>10/RNY146</f>
        <v>#DIV/0!</v>
      </c>
      <c r="ROD148" s="371">
        <v>15.38</v>
      </c>
      <c r="ROE148" s="371" t="e">
        <f>ROB148*ROC148*ROD148</f>
        <v>#DIV/0!</v>
      </c>
      <c r="ROF148" s="367" t="s">
        <v>206</v>
      </c>
      <c r="ROG148" s="367"/>
      <c r="ROH148" s="367"/>
      <c r="ROI148" s="368" t="s">
        <v>168</v>
      </c>
      <c r="ROJ148" s="369">
        <v>0.5</v>
      </c>
      <c r="ROK148" s="370" t="e">
        <f>10/ROG146</f>
        <v>#DIV/0!</v>
      </c>
      <c r="ROL148" s="371">
        <v>15.38</v>
      </c>
      <c r="ROM148" s="371" t="e">
        <f>ROJ148*ROK148*ROL148</f>
        <v>#DIV/0!</v>
      </c>
      <c r="RON148" s="367" t="s">
        <v>206</v>
      </c>
      <c r="ROO148" s="367"/>
      <c r="ROP148" s="367"/>
      <c r="ROQ148" s="368" t="s">
        <v>168</v>
      </c>
      <c r="ROR148" s="369">
        <v>0.5</v>
      </c>
      <c r="ROS148" s="370" t="e">
        <f>10/ROO146</f>
        <v>#DIV/0!</v>
      </c>
      <c r="ROT148" s="371">
        <v>15.38</v>
      </c>
      <c r="ROU148" s="371" t="e">
        <f>ROR148*ROS148*ROT148</f>
        <v>#DIV/0!</v>
      </c>
      <c r="ROV148" s="367" t="s">
        <v>206</v>
      </c>
      <c r="ROW148" s="367"/>
      <c r="ROX148" s="367"/>
      <c r="ROY148" s="368" t="s">
        <v>168</v>
      </c>
      <c r="ROZ148" s="369">
        <v>0.5</v>
      </c>
      <c r="RPA148" s="370" t="e">
        <f>10/ROW146</f>
        <v>#DIV/0!</v>
      </c>
      <c r="RPB148" s="371">
        <v>15.38</v>
      </c>
      <c r="RPC148" s="371" t="e">
        <f>ROZ148*RPA148*RPB148</f>
        <v>#DIV/0!</v>
      </c>
      <c r="RPD148" s="367" t="s">
        <v>206</v>
      </c>
      <c r="RPE148" s="367"/>
      <c r="RPF148" s="367"/>
      <c r="RPG148" s="368" t="s">
        <v>168</v>
      </c>
      <c r="RPH148" s="369">
        <v>0.5</v>
      </c>
      <c r="RPI148" s="370" t="e">
        <f>10/RPE146</f>
        <v>#DIV/0!</v>
      </c>
      <c r="RPJ148" s="371">
        <v>15.38</v>
      </c>
      <c r="RPK148" s="371" t="e">
        <f>RPH148*RPI148*RPJ148</f>
        <v>#DIV/0!</v>
      </c>
      <c r="RPL148" s="367" t="s">
        <v>206</v>
      </c>
      <c r="RPM148" s="367"/>
      <c r="RPN148" s="367"/>
      <c r="RPO148" s="368" t="s">
        <v>168</v>
      </c>
      <c r="RPP148" s="369">
        <v>0.5</v>
      </c>
      <c r="RPQ148" s="370" t="e">
        <f>10/RPM146</f>
        <v>#DIV/0!</v>
      </c>
      <c r="RPR148" s="371">
        <v>15.38</v>
      </c>
      <c r="RPS148" s="371" t="e">
        <f>RPP148*RPQ148*RPR148</f>
        <v>#DIV/0!</v>
      </c>
      <c r="RPT148" s="367" t="s">
        <v>206</v>
      </c>
      <c r="RPU148" s="367"/>
      <c r="RPV148" s="367"/>
      <c r="RPW148" s="368" t="s">
        <v>168</v>
      </c>
      <c r="RPX148" s="369">
        <v>0.5</v>
      </c>
      <c r="RPY148" s="370" t="e">
        <f>10/RPU146</f>
        <v>#DIV/0!</v>
      </c>
      <c r="RPZ148" s="371">
        <v>15.38</v>
      </c>
      <c r="RQA148" s="371" t="e">
        <f>RPX148*RPY148*RPZ148</f>
        <v>#DIV/0!</v>
      </c>
      <c r="RQB148" s="367" t="s">
        <v>206</v>
      </c>
      <c r="RQC148" s="367"/>
      <c r="RQD148" s="367"/>
      <c r="RQE148" s="368" t="s">
        <v>168</v>
      </c>
      <c r="RQF148" s="369">
        <v>0.5</v>
      </c>
      <c r="RQG148" s="370" t="e">
        <f>10/RQC146</f>
        <v>#DIV/0!</v>
      </c>
      <c r="RQH148" s="371">
        <v>15.38</v>
      </c>
      <c r="RQI148" s="371" t="e">
        <f>RQF148*RQG148*RQH148</f>
        <v>#DIV/0!</v>
      </c>
      <c r="RQJ148" s="367" t="s">
        <v>206</v>
      </c>
      <c r="RQK148" s="367"/>
      <c r="RQL148" s="367"/>
      <c r="RQM148" s="368" t="s">
        <v>168</v>
      </c>
      <c r="RQN148" s="369">
        <v>0.5</v>
      </c>
      <c r="RQO148" s="370" t="e">
        <f>10/RQK146</f>
        <v>#DIV/0!</v>
      </c>
      <c r="RQP148" s="371">
        <v>15.38</v>
      </c>
      <c r="RQQ148" s="371" t="e">
        <f>RQN148*RQO148*RQP148</f>
        <v>#DIV/0!</v>
      </c>
      <c r="RQR148" s="367" t="s">
        <v>206</v>
      </c>
      <c r="RQS148" s="367"/>
      <c r="RQT148" s="367"/>
      <c r="RQU148" s="368" t="s">
        <v>168</v>
      </c>
      <c r="RQV148" s="369">
        <v>0.5</v>
      </c>
      <c r="RQW148" s="370" t="e">
        <f>10/RQS146</f>
        <v>#DIV/0!</v>
      </c>
      <c r="RQX148" s="371">
        <v>15.38</v>
      </c>
      <c r="RQY148" s="371" t="e">
        <f>RQV148*RQW148*RQX148</f>
        <v>#DIV/0!</v>
      </c>
      <c r="RQZ148" s="367" t="s">
        <v>206</v>
      </c>
      <c r="RRA148" s="367"/>
      <c r="RRB148" s="367"/>
      <c r="RRC148" s="368" t="s">
        <v>168</v>
      </c>
      <c r="RRD148" s="369">
        <v>0.5</v>
      </c>
      <c r="RRE148" s="370" t="e">
        <f>10/RRA146</f>
        <v>#DIV/0!</v>
      </c>
      <c r="RRF148" s="371">
        <v>15.38</v>
      </c>
      <c r="RRG148" s="371" t="e">
        <f>RRD148*RRE148*RRF148</f>
        <v>#DIV/0!</v>
      </c>
      <c r="RRH148" s="367" t="s">
        <v>206</v>
      </c>
      <c r="RRI148" s="367"/>
      <c r="RRJ148" s="367"/>
      <c r="RRK148" s="368" t="s">
        <v>168</v>
      </c>
      <c r="RRL148" s="369">
        <v>0.5</v>
      </c>
      <c r="RRM148" s="370" t="e">
        <f>10/RRI146</f>
        <v>#DIV/0!</v>
      </c>
      <c r="RRN148" s="371">
        <v>15.38</v>
      </c>
      <c r="RRO148" s="371" t="e">
        <f>RRL148*RRM148*RRN148</f>
        <v>#DIV/0!</v>
      </c>
      <c r="RRP148" s="367" t="s">
        <v>206</v>
      </c>
      <c r="RRQ148" s="367"/>
      <c r="RRR148" s="367"/>
      <c r="RRS148" s="368" t="s">
        <v>168</v>
      </c>
      <c r="RRT148" s="369">
        <v>0.5</v>
      </c>
      <c r="RRU148" s="370" t="e">
        <f>10/RRQ146</f>
        <v>#DIV/0!</v>
      </c>
      <c r="RRV148" s="371">
        <v>15.38</v>
      </c>
      <c r="RRW148" s="371" t="e">
        <f>RRT148*RRU148*RRV148</f>
        <v>#DIV/0!</v>
      </c>
      <c r="RRX148" s="367" t="s">
        <v>206</v>
      </c>
      <c r="RRY148" s="367"/>
      <c r="RRZ148" s="367"/>
      <c r="RSA148" s="368" t="s">
        <v>168</v>
      </c>
      <c r="RSB148" s="369">
        <v>0.5</v>
      </c>
      <c r="RSC148" s="370" t="e">
        <f>10/RRY146</f>
        <v>#DIV/0!</v>
      </c>
      <c r="RSD148" s="371">
        <v>15.38</v>
      </c>
      <c r="RSE148" s="371" t="e">
        <f>RSB148*RSC148*RSD148</f>
        <v>#DIV/0!</v>
      </c>
      <c r="RSF148" s="367" t="s">
        <v>206</v>
      </c>
      <c r="RSG148" s="367"/>
      <c r="RSH148" s="367"/>
      <c r="RSI148" s="368" t="s">
        <v>168</v>
      </c>
      <c r="RSJ148" s="369">
        <v>0.5</v>
      </c>
      <c r="RSK148" s="370" t="e">
        <f>10/RSG146</f>
        <v>#DIV/0!</v>
      </c>
      <c r="RSL148" s="371">
        <v>15.38</v>
      </c>
      <c r="RSM148" s="371" t="e">
        <f>RSJ148*RSK148*RSL148</f>
        <v>#DIV/0!</v>
      </c>
      <c r="RSN148" s="367" t="s">
        <v>206</v>
      </c>
      <c r="RSO148" s="367"/>
      <c r="RSP148" s="367"/>
      <c r="RSQ148" s="368" t="s">
        <v>168</v>
      </c>
      <c r="RSR148" s="369">
        <v>0.5</v>
      </c>
      <c r="RSS148" s="370" t="e">
        <f>10/RSO146</f>
        <v>#DIV/0!</v>
      </c>
      <c r="RST148" s="371">
        <v>15.38</v>
      </c>
      <c r="RSU148" s="371" t="e">
        <f>RSR148*RSS148*RST148</f>
        <v>#DIV/0!</v>
      </c>
      <c r="RSV148" s="367" t="s">
        <v>206</v>
      </c>
      <c r="RSW148" s="367"/>
      <c r="RSX148" s="367"/>
      <c r="RSY148" s="368" t="s">
        <v>168</v>
      </c>
      <c r="RSZ148" s="369">
        <v>0.5</v>
      </c>
      <c r="RTA148" s="370" t="e">
        <f>10/RSW146</f>
        <v>#DIV/0!</v>
      </c>
      <c r="RTB148" s="371">
        <v>15.38</v>
      </c>
      <c r="RTC148" s="371" t="e">
        <f>RSZ148*RTA148*RTB148</f>
        <v>#DIV/0!</v>
      </c>
      <c r="RTD148" s="367" t="s">
        <v>206</v>
      </c>
      <c r="RTE148" s="367"/>
      <c r="RTF148" s="367"/>
      <c r="RTG148" s="368" t="s">
        <v>168</v>
      </c>
      <c r="RTH148" s="369">
        <v>0.5</v>
      </c>
      <c r="RTI148" s="370" t="e">
        <f>10/RTE146</f>
        <v>#DIV/0!</v>
      </c>
      <c r="RTJ148" s="371">
        <v>15.38</v>
      </c>
      <c r="RTK148" s="371" t="e">
        <f>RTH148*RTI148*RTJ148</f>
        <v>#DIV/0!</v>
      </c>
      <c r="RTL148" s="367" t="s">
        <v>206</v>
      </c>
      <c r="RTM148" s="367"/>
      <c r="RTN148" s="367"/>
      <c r="RTO148" s="368" t="s">
        <v>168</v>
      </c>
      <c r="RTP148" s="369">
        <v>0.5</v>
      </c>
      <c r="RTQ148" s="370" t="e">
        <f>10/RTM146</f>
        <v>#DIV/0!</v>
      </c>
      <c r="RTR148" s="371">
        <v>15.38</v>
      </c>
      <c r="RTS148" s="371" t="e">
        <f>RTP148*RTQ148*RTR148</f>
        <v>#DIV/0!</v>
      </c>
      <c r="RTT148" s="367" t="s">
        <v>206</v>
      </c>
      <c r="RTU148" s="367"/>
      <c r="RTV148" s="367"/>
      <c r="RTW148" s="368" t="s">
        <v>168</v>
      </c>
      <c r="RTX148" s="369">
        <v>0.5</v>
      </c>
      <c r="RTY148" s="370" t="e">
        <f>10/RTU146</f>
        <v>#DIV/0!</v>
      </c>
      <c r="RTZ148" s="371">
        <v>15.38</v>
      </c>
      <c r="RUA148" s="371" t="e">
        <f>RTX148*RTY148*RTZ148</f>
        <v>#DIV/0!</v>
      </c>
      <c r="RUB148" s="367" t="s">
        <v>206</v>
      </c>
      <c r="RUC148" s="367"/>
      <c r="RUD148" s="367"/>
      <c r="RUE148" s="368" t="s">
        <v>168</v>
      </c>
      <c r="RUF148" s="369">
        <v>0.5</v>
      </c>
      <c r="RUG148" s="370" t="e">
        <f>10/RUC146</f>
        <v>#DIV/0!</v>
      </c>
      <c r="RUH148" s="371">
        <v>15.38</v>
      </c>
      <c r="RUI148" s="371" t="e">
        <f>RUF148*RUG148*RUH148</f>
        <v>#DIV/0!</v>
      </c>
      <c r="RUJ148" s="367" t="s">
        <v>206</v>
      </c>
      <c r="RUK148" s="367"/>
      <c r="RUL148" s="367"/>
      <c r="RUM148" s="368" t="s">
        <v>168</v>
      </c>
      <c r="RUN148" s="369">
        <v>0.5</v>
      </c>
      <c r="RUO148" s="370" t="e">
        <f>10/RUK146</f>
        <v>#DIV/0!</v>
      </c>
      <c r="RUP148" s="371">
        <v>15.38</v>
      </c>
      <c r="RUQ148" s="371" t="e">
        <f>RUN148*RUO148*RUP148</f>
        <v>#DIV/0!</v>
      </c>
      <c r="RUR148" s="367" t="s">
        <v>206</v>
      </c>
      <c r="RUS148" s="367"/>
      <c r="RUT148" s="367"/>
      <c r="RUU148" s="368" t="s">
        <v>168</v>
      </c>
      <c r="RUV148" s="369">
        <v>0.5</v>
      </c>
      <c r="RUW148" s="370" t="e">
        <f>10/RUS146</f>
        <v>#DIV/0!</v>
      </c>
      <c r="RUX148" s="371">
        <v>15.38</v>
      </c>
      <c r="RUY148" s="371" t="e">
        <f>RUV148*RUW148*RUX148</f>
        <v>#DIV/0!</v>
      </c>
      <c r="RUZ148" s="367" t="s">
        <v>206</v>
      </c>
      <c r="RVA148" s="367"/>
      <c r="RVB148" s="367"/>
      <c r="RVC148" s="368" t="s">
        <v>168</v>
      </c>
      <c r="RVD148" s="369">
        <v>0.5</v>
      </c>
      <c r="RVE148" s="370" t="e">
        <f>10/RVA146</f>
        <v>#DIV/0!</v>
      </c>
      <c r="RVF148" s="371">
        <v>15.38</v>
      </c>
      <c r="RVG148" s="371" t="e">
        <f>RVD148*RVE148*RVF148</f>
        <v>#DIV/0!</v>
      </c>
      <c r="RVH148" s="367" t="s">
        <v>206</v>
      </c>
      <c r="RVI148" s="367"/>
      <c r="RVJ148" s="367"/>
      <c r="RVK148" s="368" t="s">
        <v>168</v>
      </c>
      <c r="RVL148" s="369">
        <v>0.5</v>
      </c>
      <c r="RVM148" s="370" t="e">
        <f>10/RVI146</f>
        <v>#DIV/0!</v>
      </c>
      <c r="RVN148" s="371">
        <v>15.38</v>
      </c>
      <c r="RVO148" s="371" t="e">
        <f>RVL148*RVM148*RVN148</f>
        <v>#DIV/0!</v>
      </c>
      <c r="RVP148" s="367" t="s">
        <v>206</v>
      </c>
      <c r="RVQ148" s="367"/>
      <c r="RVR148" s="367"/>
      <c r="RVS148" s="368" t="s">
        <v>168</v>
      </c>
      <c r="RVT148" s="369">
        <v>0.5</v>
      </c>
      <c r="RVU148" s="370" t="e">
        <f>10/RVQ146</f>
        <v>#DIV/0!</v>
      </c>
      <c r="RVV148" s="371">
        <v>15.38</v>
      </c>
      <c r="RVW148" s="371" t="e">
        <f>RVT148*RVU148*RVV148</f>
        <v>#DIV/0!</v>
      </c>
      <c r="RVX148" s="367" t="s">
        <v>206</v>
      </c>
      <c r="RVY148" s="367"/>
      <c r="RVZ148" s="367"/>
      <c r="RWA148" s="368" t="s">
        <v>168</v>
      </c>
      <c r="RWB148" s="369">
        <v>0.5</v>
      </c>
      <c r="RWC148" s="370" t="e">
        <f>10/RVY146</f>
        <v>#DIV/0!</v>
      </c>
      <c r="RWD148" s="371">
        <v>15.38</v>
      </c>
      <c r="RWE148" s="371" t="e">
        <f>RWB148*RWC148*RWD148</f>
        <v>#DIV/0!</v>
      </c>
      <c r="RWF148" s="367" t="s">
        <v>206</v>
      </c>
      <c r="RWG148" s="367"/>
      <c r="RWH148" s="367"/>
      <c r="RWI148" s="368" t="s">
        <v>168</v>
      </c>
      <c r="RWJ148" s="369">
        <v>0.5</v>
      </c>
      <c r="RWK148" s="370" t="e">
        <f>10/RWG146</f>
        <v>#DIV/0!</v>
      </c>
      <c r="RWL148" s="371">
        <v>15.38</v>
      </c>
      <c r="RWM148" s="371" t="e">
        <f>RWJ148*RWK148*RWL148</f>
        <v>#DIV/0!</v>
      </c>
      <c r="RWN148" s="367" t="s">
        <v>206</v>
      </c>
      <c r="RWO148" s="367"/>
      <c r="RWP148" s="367"/>
      <c r="RWQ148" s="368" t="s">
        <v>168</v>
      </c>
      <c r="RWR148" s="369">
        <v>0.5</v>
      </c>
      <c r="RWS148" s="370" t="e">
        <f>10/RWO146</f>
        <v>#DIV/0!</v>
      </c>
      <c r="RWT148" s="371">
        <v>15.38</v>
      </c>
      <c r="RWU148" s="371" t="e">
        <f>RWR148*RWS148*RWT148</f>
        <v>#DIV/0!</v>
      </c>
      <c r="RWV148" s="367" t="s">
        <v>206</v>
      </c>
      <c r="RWW148" s="367"/>
      <c r="RWX148" s="367"/>
      <c r="RWY148" s="368" t="s">
        <v>168</v>
      </c>
      <c r="RWZ148" s="369">
        <v>0.5</v>
      </c>
      <c r="RXA148" s="370" t="e">
        <f>10/RWW146</f>
        <v>#DIV/0!</v>
      </c>
      <c r="RXB148" s="371">
        <v>15.38</v>
      </c>
      <c r="RXC148" s="371" t="e">
        <f>RWZ148*RXA148*RXB148</f>
        <v>#DIV/0!</v>
      </c>
      <c r="RXD148" s="367" t="s">
        <v>206</v>
      </c>
      <c r="RXE148" s="367"/>
      <c r="RXF148" s="367"/>
      <c r="RXG148" s="368" t="s">
        <v>168</v>
      </c>
      <c r="RXH148" s="369">
        <v>0.5</v>
      </c>
      <c r="RXI148" s="370" t="e">
        <f>10/RXE146</f>
        <v>#DIV/0!</v>
      </c>
      <c r="RXJ148" s="371">
        <v>15.38</v>
      </c>
      <c r="RXK148" s="371" t="e">
        <f>RXH148*RXI148*RXJ148</f>
        <v>#DIV/0!</v>
      </c>
      <c r="RXL148" s="367" t="s">
        <v>206</v>
      </c>
      <c r="RXM148" s="367"/>
      <c r="RXN148" s="367"/>
      <c r="RXO148" s="368" t="s">
        <v>168</v>
      </c>
      <c r="RXP148" s="369">
        <v>0.5</v>
      </c>
      <c r="RXQ148" s="370" t="e">
        <f>10/RXM146</f>
        <v>#DIV/0!</v>
      </c>
      <c r="RXR148" s="371">
        <v>15.38</v>
      </c>
      <c r="RXS148" s="371" t="e">
        <f>RXP148*RXQ148*RXR148</f>
        <v>#DIV/0!</v>
      </c>
      <c r="RXT148" s="367" t="s">
        <v>206</v>
      </c>
      <c r="RXU148" s="367"/>
      <c r="RXV148" s="367"/>
      <c r="RXW148" s="368" t="s">
        <v>168</v>
      </c>
      <c r="RXX148" s="369">
        <v>0.5</v>
      </c>
      <c r="RXY148" s="370" t="e">
        <f>10/RXU146</f>
        <v>#DIV/0!</v>
      </c>
      <c r="RXZ148" s="371">
        <v>15.38</v>
      </c>
      <c r="RYA148" s="371" t="e">
        <f>RXX148*RXY148*RXZ148</f>
        <v>#DIV/0!</v>
      </c>
      <c r="RYB148" s="367" t="s">
        <v>206</v>
      </c>
      <c r="RYC148" s="367"/>
      <c r="RYD148" s="367"/>
      <c r="RYE148" s="368" t="s">
        <v>168</v>
      </c>
      <c r="RYF148" s="369">
        <v>0.5</v>
      </c>
      <c r="RYG148" s="370" t="e">
        <f>10/RYC146</f>
        <v>#DIV/0!</v>
      </c>
      <c r="RYH148" s="371">
        <v>15.38</v>
      </c>
      <c r="RYI148" s="371" t="e">
        <f>RYF148*RYG148*RYH148</f>
        <v>#DIV/0!</v>
      </c>
      <c r="RYJ148" s="367" t="s">
        <v>206</v>
      </c>
      <c r="RYK148" s="367"/>
      <c r="RYL148" s="367"/>
      <c r="RYM148" s="368" t="s">
        <v>168</v>
      </c>
      <c r="RYN148" s="369">
        <v>0.5</v>
      </c>
      <c r="RYO148" s="370" t="e">
        <f>10/RYK146</f>
        <v>#DIV/0!</v>
      </c>
      <c r="RYP148" s="371">
        <v>15.38</v>
      </c>
      <c r="RYQ148" s="371" t="e">
        <f>RYN148*RYO148*RYP148</f>
        <v>#DIV/0!</v>
      </c>
      <c r="RYR148" s="367" t="s">
        <v>206</v>
      </c>
      <c r="RYS148" s="367"/>
      <c r="RYT148" s="367"/>
      <c r="RYU148" s="368" t="s">
        <v>168</v>
      </c>
      <c r="RYV148" s="369">
        <v>0.5</v>
      </c>
      <c r="RYW148" s="370" t="e">
        <f>10/RYS146</f>
        <v>#DIV/0!</v>
      </c>
      <c r="RYX148" s="371">
        <v>15.38</v>
      </c>
      <c r="RYY148" s="371" t="e">
        <f>RYV148*RYW148*RYX148</f>
        <v>#DIV/0!</v>
      </c>
      <c r="RYZ148" s="367" t="s">
        <v>206</v>
      </c>
      <c r="RZA148" s="367"/>
      <c r="RZB148" s="367"/>
      <c r="RZC148" s="368" t="s">
        <v>168</v>
      </c>
      <c r="RZD148" s="369">
        <v>0.5</v>
      </c>
      <c r="RZE148" s="370" t="e">
        <f>10/RZA146</f>
        <v>#DIV/0!</v>
      </c>
      <c r="RZF148" s="371">
        <v>15.38</v>
      </c>
      <c r="RZG148" s="371" t="e">
        <f>RZD148*RZE148*RZF148</f>
        <v>#DIV/0!</v>
      </c>
      <c r="RZH148" s="367" t="s">
        <v>206</v>
      </c>
      <c r="RZI148" s="367"/>
      <c r="RZJ148" s="367"/>
      <c r="RZK148" s="368" t="s">
        <v>168</v>
      </c>
      <c r="RZL148" s="369">
        <v>0.5</v>
      </c>
      <c r="RZM148" s="370" t="e">
        <f>10/RZI146</f>
        <v>#DIV/0!</v>
      </c>
      <c r="RZN148" s="371">
        <v>15.38</v>
      </c>
      <c r="RZO148" s="371" t="e">
        <f>RZL148*RZM148*RZN148</f>
        <v>#DIV/0!</v>
      </c>
      <c r="RZP148" s="367" t="s">
        <v>206</v>
      </c>
      <c r="RZQ148" s="367"/>
      <c r="RZR148" s="367"/>
      <c r="RZS148" s="368" t="s">
        <v>168</v>
      </c>
      <c r="RZT148" s="369">
        <v>0.5</v>
      </c>
      <c r="RZU148" s="370" t="e">
        <f>10/RZQ146</f>
        <v>#DIV/0!</v>
      </c>
      <c r="RZV148" s="371">
        <v>15.38</v>
      </c>
      <c r="RZW148" s="371" t="e">
        <f>RZT148*RZU148*RZV148</f>
        <v>#DIV/0!</v>
      </c>
      <c r="RZX148" s="367" t="s">
        <v>206</v>
      </c>
      <c r="RZY148" s="367"/>
      <c r="RZZ148" s="367"/>
      <c r="SAA148" s="368" t="s">
        <v>168</v>
      </c>
      <c r="SAB148" s="369">
        <v>0.5</v>
      </c>
      <c r="SAC148" s="370" t="e">
        <f>10/RZY146</f>
        <v>#DIV/0!</v>
      </c>
      <c r="SAD148" s="371">
        <v>15.38</v>
      </c>
      <c r="SAE148" s="371" t="e">
        <f>SAB148*SAC148*SAD148</f>
        <v>#DIV/0!</v>
      </c>
      <c r="SAF148" s="367" t="s">
        <v>206</v>
      </c>
      <c r="SAG148" s="367"/>
      <c r="SAH148" s="367"/>
      <c r="SAI148" s="368" t="s">
        <v>168</v>
      </c>
      <c r="SAJ148" s="369">
        <v>0.5</v>
      </c>
      <c r="SAK148" s="370" t="e">
        <f>10/SAG146</f>
        <v>#DIV/0!</v>
      </c>
      <c r="SAL148" s="371">
        <v>15.38</v>
      </c>
      <c r="SAM148" s="371" t="e">
        <f>SAJ148*SAK148*SAL148</f>
        <v>#DIV/0!</v>
      </c>
      <c r="SAN148" s="367" t="s">
        <v>206</v>
      </c>
      <c r="SAO148" s="367"/>
      <c r="SAP148" s="367"/>
      <c r="SAQ148" s="368" t="s">
        <v>168</v>
      </c>
      <c r="SAR148" s="369">
        <v>0.5</v>
      </c>
      <c r="SAS148" s="370" t="e">
        <f>10/SAO146</f>
        <v>#DIV/0!</v>
      </c>
      <c r="SAT148" s="371">
        <v>15.38</v>
      </c>
      <c r="SAU148" s="371" t="e">
        <f>SAR148*SAS148*SAT148</f>
        <v>#DIV/0!</v>
      </c>
      <c r="SAV148" s="367" t="s">
        <v>206</v>
      </c>
      <c r="SAW148" s="367"/>
      <c r="SAX148" s="367"/>
      <c r="SAY148" s="368" t="s">
        <v>168</v>
      </c>
      <c r="SAZ148" s="369">
        <v>0.5</v>
      </c>
      <c r="SBA148" s="370" t="e">
        <f>10/SAW146</f>
        <v>#DIV/0!</v>
      </c>
      <c r="SBB148" s="371">
        <v>15.38</v>
      </c>
      <c r="SBC148" s="371" t="e">
        <f>SAZ148*SBA148*SBB148</f>
        <v>#DIV/0!</v>
      </c>
      <c r="SBD148" s="367" t="s">
        <v>206</v>
      </c>
      <c r="SBE148" s="367"/>
      <c r="SBF148" s="367"/>
      <c r="SBG148" s="368" t="s">
        <v>168</v>
      </c>
      <c r="SBH148" s="369">
        <v>0.5</v>
      </c>
      <c r="SBI148" s="370" t="e">
        <f>10/SBE146</f>
        <v>#DIV/0!</v>
      </c>
      <c r="SBJ148" s="371">
        <v>15.38</v>
      </c>
      <c r="SBK148" s="371" t="e">
        <f>SBH148*SBI148*SBJ148</f>
        <v>#DIV/0!</v>
      </c>
      <c r="SBL148" s="367" t="s">
        <v>206</v>
      </c>
      <c r="SBM148" s="367"/>
      <c r="SBN148" s="367"/>
      <c r="SBO148" s="368" t="s">
        <v>168</v>
      </c>
      <c r="SBP148" s="369">
        <v>0.5</v>
      </c>
      <c r="SBQ148" s="370" t="e">
        <f>10/SBM146</f>
        <v>#DIV/0!</v>
      </c>
      <c r="SBR148" s="371">
        <v>15.38</v>
      </c>
      <c r="SBS148" s="371" t="e">
        <f>SBP148*SBQ148*SBR148</f>
        <v>#DIV/0!</v>
      </c>
      <c r="SBT148" s="367" t="s">
        <v>206</v>
      </c>
      <c r="SBU148" s="367"/>
      <c r="SBV148" s="367"/>
      <c r="SBW148" s="368" t="s">
        <v>168</v>
      </c>
      <c r="SBX148" s="369">
        <v>0.5</v>
      </c>
      <c r="SBY148" s="370" t="e">
        <f>10/SBU146</f>
        <v>#DIV/0!</v>
      </c>
      <c r="SBZ148" s="371">
        <v>15.38</v>
      </c>
      <c r="SCA148" s="371" t="e">
        <f>SBX148*SBY148*SBZ148</f>
        <v>#DIV/0!</v>
      </c>
      <c r="SCB148" s="367" t="s">
        <v>206</v>
      </c>
      <c r="SCC148" s="367"/>
      <c r="SCD148" s="367"/>
      <c r="SCE148" s="368" t="s">
        <v>168</v>
      </c>
      <c r="SCF148" s="369">
        <v>0.5</v>
      </c>
      <c r="SCG148" s="370" t="e">
        <f>10/SCC146</f>
        <v>#DIV/0!</v>
      </c>
      <c r="SCH148" s="371">
        <v>15.38</v>
      </c>
      <c r="SCI148" s="371" t="e">
        <f>SCF148*SCG148*SCH148</f>
        <v>#DIV/0!</v>
      </c>
      <c r="SCJ148" s="367" t="s">
        <v>206</v>
      </c>
      <c r="SCK148" s="367"/>
      <c r="SCL148" s="367"/>
      <c r="SCM148" s="368" t="s">
        <v>168</v>
      </c>
      <c r="SCN148" s="369">
        <v>0.5</v>
      </c>
      <c r="SCO148" s="370" t="e">
        <f>10/SCK146</f>
        <v>#DIV/0!</v>
      </c>
      <c r="SCP148" s="371">
        <v>15.38</v>
      </c>
      <c r="SCQ148" s="371" t="e">
        <f>SCN148*SCO148*SCP148</f>
        <v>#DIV/0!</v>
      </c>
      <c r="SCR148" s="367" t="s">
        <v>206</v>
      </c>
      <c r="SCS148" s="367"/>
      <c r="SCT148" s="367"/>
      <c r="SCU148" s="368" t="s">
        <v>168</v>
      </c>
      <c r="SCV148" s="369">
        <v>0.5</v>
      </c>
      <c r="SCW148" s="370" t="e">
        <f>10/SCS146</f>
        <v>#DIV/0!</v>
      </c>
      <c r="SCX148" s="371">
        <v>15.38</v>
      </c>
      <c r="SCY148" s="371" t="e">
        <f>SCV148*SCW148*SCX148</f>
        <v>#DIV/0!</v>
      </c>
      <c r="SCZ148" s="367" t="s">
        <v>206</v>
      </c>
      <c r="SDA148" s="367"/>
      <c r="SDB148" s="367"/>
      <c r="SDC148" s="368" t="s">
        <v>168</v>
      </c>
      <c r="SDD148" s="369">
        <v>0.5</v>
      </c>
      <c r="SDE148" s="370" t="e">
        <f>10/SDA146</f>
        <v>#DIV/0!</v>
      </c>
      <c r="SDF148" s="371">
        <v>15.38</v>
      </c>
      <c r="SDG148" s="371" t="e">
        <f>SDD148*SDE148*SDF148</f>
        <v>#DIV/0!</v>
      </c>
      <c r="SDH148" s="367" t="s">
        <v>206</v>
      </c>
      <c r="SDI148" s="367"/>
      <c r="SDJ148" s="367"/>
      <c r="SDK148" s="368" t="s">
        <v>168</v>
      </c>
      <c r="SDL148" s="369">
        <v>0.5</v>
      </c>
      <c r="SDM148" s="370" t="e">
        <f>10/SDI146</f>
        <v>#DIV/0!</v>
      </c>
      <c r="SDN148" s="371">
        <v>15.38</v>
      </c>
      <c r="SDO148" s="371" t="e">
        <f>SDL148*SDM148*SDN148</f>
        <v>#DIV/0!</v>
      </c>
      <c r="SDP148" s="367" t="s">
        <v>206</v>
      </c>
      <c r="SDQ148" s="367"/>
      <c r="SDR148" s="367"/>
      <c r="SDS148" s="368" t="s">
        <v>168</v>
      </c>
      <c r="SDT148" s="369">
        <v>0.5</v>
      </c>
      <c r="SDU148" s="370" t="e">
        <f>10/SDQ146</f>
        <v>#DIV/0!</v>
      </c>
      <c r="SDV148" s="371">
        <v>15.38</v>
      </c>
      <c r="SDW148" s="371" t="e">
        <f>SDT148*SDU148*SDV148</f>
        <v>#DIV/0!</v>
      </c>
      <c r="SDX148" s="367" t="s">
        <v>206</v>
      </c>
      <c r="SDY148" s="367"/>
      <c r="SDZ148" s="367"/>
      <c r="SEA148" s="368" t="s">
        <v>168</v>
      </c>
      <c r="SEB148" s="369">
        <v>0.5</v>
      </c>
      <c r="SEC148" s="370" t="e">
        <f>10/SDY146</f>
        <v>#DIV/0!</v>
      </c>
      <c r="SED148" s="371">
        <v>15.38</v>
      </c>
      <c r="SEE148" s="371" t="e">
        <f>SEB148*SEC148*SED148</f>
        <v>#DIV/0!</v>
      </c>
      <c r="SEF148" s="367" t="s">
        <v>206</v>
      </c>
      <c r="SEG148" s="367"/>
      <c r="SEH148" s="367"/>
      <c r="SEI148" s="368" t="s">
        <v>168</v>
      </c>
      <c r="SEJ148" s="369">
        <v>0.5</v>
      </c>
      <c r="SEK148" s="370" t="e">
        <f>10/SEG146</f>
        <v>#DIV/0!</v>
      </c>
      <c r="SEL148" s="371">
        <v>15.38</v>
      </c>
      <c r="SEM148" s="371" t="e">
        <f>SEJ148*SEK148*SEL148</f>
        <v>#DIV/0!</v>
      </c>
      <c r="SEN148" s="367" t="s">
        <v>206</v>
      </c>
      <c r="SEO148" s="367"/>
      <c r="SEP148" s="367"/>
      <c r="SEQ148" s="368" t="s">
        <v>168</v>
      </c>
      <c r="SER148" s="369">
        <v>0.5</v>
      </c>
      <c r="SES148" s="370" t="e">
        <f>10/SEO146</f>
        <v>#DIV/0!</v>
      </c>
      <c r="SET148" s="371">
        <v>15.38</v>
      </c>
      <c r="SEU148" s="371" t="e">
        <f>SER148*SES148*SET148</f>
        <v>#DIV/0!</v>
      </c>
      <c r="SEV148" s="367" t="s">
        <v>206</v>
      </c>
      <c r="SEW148" s="367"/>
      <c r="SEX148" s="367"/>
      <c r="SEY148" s="368" t="s">
        <v>168</v>
      </c>
      <c r="SEZ148" s="369">
        <v>0.5</v>
      </c>
      <c r="SFA148" s="370" t="e">
        <f>10/SEW146</f>
        <v>#DIV/0!</v>
      </c>
      <c r="SFB148" s="371">
        <v>15.38</v>
      </c>
      <c r="SFC148" s="371" t="e">
        <f>SEZ148*SFA148*SFB148</f>
        <v>#DIV/0!</v>
      </c>
      <c r="SFD148" s="367" t="s">
        <v>206</v>
      </c>
      <c r="SFE148" s="367"/>
      <c r="SFF148" s="367"/>
      <c r="SFG148" s="368" t="s">
        <v>168</v>
      </c>
      <c r="SFH148" s="369">
        <v>0.5</v>
      </c>
      <c r="SFI148" s="370" t="e">
        <f>10/SFE146</f>
        <v>#DIV/0!</v>
      </c>
      <c r="SFJ148" s="371">
        <v>15.38</v>
      </c>
      <c r="SFK148" s="371" t="e">
        <f>SFH148*SFI148*SFJ148</f>
        <v>#DIV/0!</v>
      </c>
      <c r="SFL148" s="367" t="s">
        <v>206</v>
      </c>
      <c r="SFM148" s="367"/>
      <c r="SFN148" s="367"/>
      <c r="SFO148" s="368" t="s">
        <v>168</v>
      </c>
      <c r="SFP148" s="369">
        <v>0.5</v>
      </c>
      <c r="SFQ148" s="370" t="e">
        <f>10/SFM146</f>
        <v>#DIV/0!</v>
      </c>
      <c r="SFR148" s="371">
        <v>15.38</v>
      </c>
      <c r="SFS148" s="371" t="e">
        <f>SFP148*SFQ148*SFR148</f>
        <v>#DIV/0!</v>
      </c>
      <c r="SFT148" s="367" t="s">
        <v>206</v>
      </c>
      <c r="SFU148" s="367"/>
      <c r="SFV148" s="367"/>
      <c r="SFW148" s="368" t="s">
        <v>168</v>
      </c>
      <c r="SFX148" s="369">
        <v>0.5</v>
      </c>
      <c r="SFY148" s="370" t="e">
        <f>10/SFU146</f>
        <v>#DIV/0!</v>
      </c>
      <c r="SFZ148" s="371">
        <v>15.38</v>
      </c>
      <c r="SGA148" s="371" t="e">
        <f>SFX148*SFY148*SFZ148</f>
        <v>#DIV/0!</v>
      </c>
      <c r="SGB148" s="367" t="s">
        <v>206</v>
      </c>
      <c r="SGC148" s="367"/>
      <c r="SGD148" s="367"/>
      <c r="SGE148" s="368" t="s">
        <v>168</v>
      </c>
      <c r="SGF148" s="369">
        <v>0.5</v>
      </c>
      <c r="SGG148" s="370" t="e">
        <f>10/SGC146</f>
        <v>#DIV/0!</v>
      </c>
      <c r="SGH148" s="371">
        <v>15.38</v>
      </c>
      <c r="SGI148" s="371" t="e">
        <f>SGF148*SGG148*SGH148</f>
        <v>#DIV/0!</v>
      </c>
      <c r="SGJ148" s="367" t="s">
        <v>206</v>
      </c>
      <c r="SGK148" s="367"/>
      <c r="SGL148" s="367"/>
      <c r="SGM148" s="368" t="s">
        <v>168</v>
      </c>
      <c r="SGN148" s="369">
        <v>0.5</v>
      </c>
      <c r="SGO148" s="370" t="e">
        <f>10/SGK146</f>
        <v>#DIV/0!</v>
      </c>
      <c r="SGP148" s="371">
        <v>15.38</v>
      </c>
      <c r="SGQ148" s="371" t="e">
        <f>SGN148*SGO148*SGP148</f>
        <v>#DIV/0!</v>
      </c>
      <c r="SGR148" s="367" t="s">
        <v>206</v>
      </c>
      <c r="SGS148" s="367"/>
      <c r="SGT148" s="367"/>
      <c r="SGU148" s="368" t="s">
        <v>168</v>
      </c>
      <c r="SGV148" s="369">
        <v>0.5</v>
      </c>
      <c r="SGW148" s="370" t="e">
        <f>10/SGS146</f>
        <v>#DIV/0!</v>
      </c>
      <c r="SGX148" s="371">
        <v>15.38</v>
      </c>
      <c r="SGY148" s="371" t="e">
        <f>SGV148*SGW148*SGX148</f>
        <v>#DIV/0!</v>
      </c>
      <c r="SGZ148" s="367" t="s">
        <v>206</v>
      </c>
      <c r="SHA148" s="367"/>
      <c r="SHB148" s="367"/>
      <c r="SHC148" s="368" t="s">
        <v>168</v>
      </c>
      <c r="SHD148" s="369">
        <v>0.5</v>
      </c>
      <c r="SHE148" s="370" t="e">
        <f>10/SHA146</f>
        <v>#DIV/0!</v>
      </c>
      <c r="SHF148" s="371">
        <v>15.38</v>
      </c>
      <c r="SHG148" s="371" t="e">
        <f>SHD148*SHE148*SHF148</f>
        <v>#DIV/0!</v>
      </c>
      <c r="SHH148" s="367" t="s">
        <v>206</v>
      </c>
      <c r="SHI148" s="367"/>
      <c r="SHJ148" s="367"/>
      <c r="SHK148" s="368" t="s">
        <v>168</v>
      </c>
      <c r="SHL148" s="369">
        <v>0.5</v>
      </c>
      <c r="SHM148" s="370" t="e">
        <f>10/SHI146</f>
        <v>#DIV/0!</v>
      </c>
      <c r="SHN148" s="371">
        <v>15.38</v>
      </c>
      <c r="SHO148" s="371" t="e">
        <f>SHL148*SHM148*SHN148</f>
        <v>#DIV/0!</v>
      </c>
      <c r="SHP148" s="367" t="s">
        <v>206</v>
      </c>
      <c r="SHQ148" s="367"/>
      <c r="SHR148" s="367"/>
      <c r="SHS148" s="368" t="s">
        <v>168</v>
      </c>
      <c r="SHT148" s="369">
        <v>0.5</v>
      </c>
      <c r="SHU148" s="370" t="e">
        <f>10/SHQ146</f>
        <v>#DIV/0!</v>
      </c>
      <c r="SHV148" s="371">
        <v>15.38</v>
      </c>
      <c r="SHW148" s="371" t="e">
        <f>SHT148*SHU148*SHV148</f>
        <v>#DIV/0!</v>
      </c>
      <c r="SHX148" s="367" t="s">
        <v>206</v>
      </c>
      <c r="SHY148" s="367"/>
      <c r="SHZ148" s="367"/>
      <c r="SIA148" s="368" t="s">
        <v>168</v>
      </c>
      <c r="SIB148" s="369">
        <v>0.5</v>
      </c>
      <c r="SIC148" s="370" t="e">
        <f>10/SHY146</f>
        <v>#DIV/0!</v>
      </c>
      <c r="SID148" s="371">
        <v>15.38</v>
      </c>
      <c r="SIE148" s="371" t="e">
        <f>SIB148*SIC148*SID148</f>
        <v>#DIV/0!</v>
      </c>
      <c r="SIF148" s="367" t="s">
        <v>206</v>
      </c>
      <c r="SIG148" s="367"/>
      <c r="SIH148" s="367"/>
      <c r="SII148" s="368" t="s">
        <v>168</v>
      </c>
      <c r="SIJ148" s="369">
        <v>0.5</v>
      </c>
      <c r="SIK148" s="370" t="e">
        <f>10/SIG146</f>
        <v>#DIV/0!</v>
      </c>
      <c r="SIL148" s="371">
        <v>15.38</v>
      </c>
      <c r="SIM148" s="371" t="e">
        <f>SIJ148*SIK148*SIL148</f>
        <v>#DIV/0!</v>
      </c>
      <c r="SIN148" s="367" t="s">
        <v>206</v>
      </c>
      <c r="SIO148" s="367"/>
      <c r="SIP148" s="367"/>
      <c r="SIQ148" s="368" t="s">
        <v>168</v>
      </c>
      <c r="SIR148" s="369">
        <v>0.5</v>
      </c>
      <c r="SIS148" s="370" t="e">
        <f>10/SIO146</f>
        <v>#DIV/0!</v>
      </c>
      <c r="SIT148" s="371">
        <v>15.38</v>
      </c>
      <c r="SIU148" s="371" t="e">
        <f>SIR148*SIS148*SIT148</f>
        <v>#DIV/0!</v>
      </c>
      <c r="SIV148" s="367" t="s">
        <v>206</v>
      </c>
      <c r="SIW148" s="367"/>
      <c r="SIX148" s="367"/>
      <c r="SIY148" s="368" t="s">
        <v>168</v>
      </c>
      <c r="SIZ148" s="369">
        <v>0.5</v>
      </c>
      <c r="SJA148" s="370" t="e">
        <f>10/SIW146</f>
        <v>#DIV/0!</v>
      </c>
      <c r="SJB148" s="371">
        <v>15.38</v>
      </c>
      <c r="SJC148" s="371" t="e">
        <f>SIZ148*SJA148*SJB148</f>
        <v>#DIV/0!</v>
      </c>
      <c r="SJD148" s="367" t="s">
        <v>206</v>
      </c>
      <c r="SJE148" s="367"/>
      <c r="SJF148" s="367"/>
      <c r="SJG148" s="368" t="s">
        <v>168</v>
      </c>
      <c r="SJH148" s="369">
        <v>0.5</v>
      </c>
      <c r="SJI148" s="370" t="e">
        <f>10/SJE146</f>
        <v>#DIV/0!</v>
      </c>
      <c r="SJJ148" s="371">
        <v>15.38</v>
      </c>
      <c r="SJK148" s="371" t="e">
        <f>SJH148*SJI148*SJJ148</f>
        <v>#DIV/0!</v>
      </c>
      <c r="SJL148" s="367" t="s">
        <v>206</v>
      </c>
      <c r="SJM148" s="367"/>
      <c r="SJN148" s="367"/>
      <c r="SJO148" s="368" t="s">
        <v>168</v>
      </c>
      <c r="SJP148" s="369">
        <v>0.5</v>
      </c>
      <c r="SJQ148" s="370" t="e">
        <f>10/SJM146</f>
        <v>#DIV/0!</v>
      </c>
      <c r="SJR148" s="371">
        <v>15.38</v>
      </c>
      <c r="SJS148" s="371" t="e">
        <f>SJP148*SJQ148*SJR148</f>
        <v>#DIV/0!</v>
      </c>
      <c r="SJT148" s="367" t="s">
        <v>206</v>
      </c>
      <c r="SJU148" s="367"/>
      <c r="SJV148" s="367"/>
      <c r="SJW148" s="368" t="s">
        <v>168</v>
      </c>
      <c r="SJX148" s="369">
        <v>0.5</v>
      </c>
      <c r="SJY148" s="370" t="e">
        <f>10/SJU146</f>
        <v>#DIV/0!</v>
      </c>
      <c r="SJZ148" s="371">
        <v>15.38</v>
      </c>
      <c r="SKA148" s="371" t="e">
        <f>SJX148*SJY148*SJZ148</f>
        <v>#DIV/0!</v>
      </c>
      <c r="SKB148" s="367" t="s">
        <v>206</v>
      </c>
      <c r="SKC148" s="367"/>
      <c r="SKD148" s="367"/>
      <c r="SKE148" s="368" t="s">
        <v>168</v>
      </c>
      <c r="SKF148" s="369">
        <v>0.5</v>
      </c>
      <c r="SKG148" s="370" t="e">
        <f>10/SKC146</f>
        <v>#DIV/0!</v>
      </c>
      <c r="SKH148" s="371">
        <v>15.38</v>
      </c>
      <c r="SKI148" s="371" t="e">
        <f>SKF148*SKG148*SKH148</f>
        <v>#DIV/0!</v>
      </c>
      <c r="SKJ148" s="367" t="s">
        <v>206</v>
      </c>
      <c r="SKK148" s="367"/>
      <c r="SKL148" s="367"/>
      <c r="SKM148" s="368" t="s">
        <v>168</v>
      </c>
      <c r="SKN148" s="369">
        <v>0.5</v>
      </c>
      <c r="SKO148" s="370" t="e">
        <f>10/SKK146</f>
        <v>#DIV/0!</v>
      </c>
      <c r="SKP148" s="371">
        <v>15.38</v>
      </c>
      <c r="SKQ148" s="371" t="e">
        <f>SKN148*SKO148*SKP148</f>
        <v>#DIV/0!</v>
      </c>
      <c r="SKR148" s="367" t="s">
        <v>206</v>
      </c>
      <c r="SKS148" s="367"/>
      <c r="SKT148" s="367"/>
      <c r="SKU148" s="368" t="s">
        <v>168</v>
      </c>
      <c r="SKV148" s="369">
        <v>0.5</v>
      </c>
      <c r="SKW148" s="370" t="e">
        <f>10/SKS146</f>
        <v>#DIV/0!</v>
      </c>
      <c r="SKX148" s="371">
        <v>15.38</v>
      </c>
      <c r="SKY148" s="371" t="e">
        <f>SKV148*SKW148*SKX148</f>
        <v>#DIV/0!</v>
      </c>
      <c r="SKZ148" s="367" t="s">
        <v>206</v>
      </c>
      <c r="SLA148" s="367"/>
      <c r="SLB148" s="367"/>
      <c r="SLC148" s="368" t="s">
        <v>168</v>
      </c>
      <c r="SLD148" s="369">
        <v>0.5</v>
      </c>
      <c r="SLE148" s="370" t="e">
        <f>10/SLA146</f>
        <v>#DIV/0!</v>
      </c>
      <c r="SLF148" s="371">
        <v>15.38</v>
      </c>
      <c r="SLG148" s="371" t="e">
        <f>SLD148*SLE148*SLF148</f>
        <v>#DIV/0!</v>
      </c>
      <c r="SLH148" s="367" t="s">
        <v>206</v>
      </c>
      <c r="SLI148" s="367"/>
      <c r="SLJ148" s="367"/>
      <c r="SLK148" s="368" t="s">
        <v>168</v>
      </c>
      <c r="SLL148" s="369">
        <v>0.5</v>
      </c>
      <c r="SLM148" s="370" t="e">
        <f>10/SLI146</f>
        <v>#DIV/0!</v>
      </c>
      <c r="SLN148" s="371">
        <v>15.38</v>
      </c>
      <c r="SLO148" s="371" t="e">
        <f>SLL148*SLM148*SLN148</f>
        <v>#DIV/0!</v>
      </c>
      <c r="SLP148" s="367" t="s">
        <v>206</v>
      </c>
      <c r="SLQ148" s="367"/>
      <c r="SLR148" s="367"/>
      <c r="SLS148" s="368" t="s">
        <v>168</v>
      </c>
      <c r="SLT148" s="369">
        <v>0.5</v>
      </c>
      <c r="SLU148" s="370" t="e">
        <f>10/SLQ146</f>
        <v>#DIV/0!</v>
      </c>
      <c r="SLV148" s="371">
        <v>15.38</v>
      </c>
      <c r="SLW148" s="371" t="e">
        <f>SLT148*SLU148*SLV148</f>
        <v>#DIV/0!</v>
      </c>
      <c r="SLX148" s="367" t="s">
        <v>206</v>
      </c>
      <c r="SLY148" s="367"/>
      <c r="SLZ148" s="367"/>
      <c r="SMA148" s="368" t="s">
        <v>168</v>
      </c>
      <c r="SMB148" s="369">
        <v>0.5</v>
      </c>
      <c r="SMC148" s="370" t="e">
        <f>10/SLY146</f>
        <v>#DIV/0!</v>
      </c>
      <c r="SMD148" s="371">
        <v>15.38</v>
      </c>
      <c r="SME148" s="371" t="e">
        <f>SMB148*SMC148*SMD148</f>
        <v>#DIV/0!</v>
      </c>
      <c r="SMF148" s="367" t="s">
        <v>206</v>
      </c>
      <c r="SMG148" s="367"/>
      <c r="SMH148" s="367"/>
      <c r="SMI148" s="368" t="s">
        <v>168</v>
      </c>
      <c r="SMJ148" s="369">
        <v>0.5</v>
      </c>
      <c r="SMK148" s="370" t="e">
        <f>10/SMG146</f>
        <v>#DIV/0!</v>
      </c>
      <c r="SML148" s="371">
        <v>15.38</v>
      </c>
      <c r="SMM148" s="371" t="e">
        <f>SMJ148*SMK148*SML148</f>
        <v>#DIV/0!</v>
      </c>
      <c r="SMN148" s="367" t="s">
        <v>206</v>
      </c>
      <c r="SMO148" s="367"/>
      <c r="SMP148" s="367"/>
      <c r="SMQ148" s="368" t="s">
        <v>168</v>
      </c>
      <c r="SMR148" s="369">
        <v>0.5</v>
      </c>
      <c r="SMS148" s="370" t="e">
        <f>10/SMO146</f>
        <v>#DIV/0!</v>
      </c>
      <c r="SMT148" s="371">
        <v>15.38</v>
      </c>
      <c r="SMU148" s="371" t="e">
        <f>SMR148*SMS148*SMT148</f>
        <v>#DIV/0!</v>
      </c>
      <c r="SMV148" s="367" t="s">
        <v>206</v>
      </c>
      <c r="SMW148" s="367"/>
      <c r="SMX148" s="367"/>
      <c r="SMY148" s="368" t="s">
        <v>168</v>
      </c>
      <c r="SMZ148" s="369">
        <v>0.5</v>
      </c>
      <c r="SNA148" s="370" t="e">
        <f>10/SMW146</f>
        <v>#DIV/0!</v>
      </c>
      <c r="SNB148" s="371">
        <v>15.38</v>
      </c>
      <c r="SNC148" s="371" t="e">
        <f>SMZ148*SNA148*SNB148</f>
        <v>#DIV/0!</v>
      </c>
      <c r="SND148" s="367" t="s">
        <v>206</v>
      </c>
      <c r="SNE148" s="367"/>
      <c r="SNF148" s="367"/>
      <c r="SNG148" s="368" t="s">
        <v>168</v>
      </c>
      <c r="SNH148" s="369">
        <v>0.5</v>
      </c>
      <c r="SNI148" s="370" t="e">
        <f>10/SNE146</f>
        <v>#DIV/0!</v>
      </c>
      <c r="SNJ148" s="371">
        <v>15.38</v>
      </c>
      <c r="SNK148" s="371" t="e">
        <f>SNH148*SNI148*SNJ148</f>
        <v>#DIV/0!</v>
      </c>
      <c r="SNL148" s="367" t="s">
        <v>206</v>
      </c>
      <c r="SNM148" s="367"/>
      <c r="SNN148" s="367"/>
      <c r="SNO148" s="368" t="s">
        <v>168</v>
      </c>
      <c r="SNP148" s="369">
        <v>0.5</v>
      </c>
      <c r="SNQ148" s="370" t="e">
        <f>10/SNM146</f>
        <v>#DIV/0!</v>
      </c>
      <c r="SNR148" s="371">
        <v>15.38</v>
      </c>
      <c r="SNS148" s="371" t="e">
        <f>SNP148*SNQ148*SNR148</f>
        <v>#DIV/0!</v>
      </c>
      <c r="SNT148" s="367" t="s">
        <v>206</v>
      </c>
      <c r="SNU148" s="367"/>
      <c r="SNV148" s="367"/>
      <c r="SNW148" s="368" t="s">
        <v>168</v>
      </c>
      <c r="SNX148" s="369">
        <v>0.5</v>
      </c>
      <c r="SNY148" s="370" t="e">
        <f>10/SNU146</f>
        <v>#DIV/0!</v>
      </c>
      <c r="SNZ148" s="371">
        <v>15.38</v>
      </c>
      <c r="SOA148" s="371" t="e">
        <f>SNX148*SNY148*SNZ148</f>
        <v>#DIV/0!</v>
      </c>
      <c r="SOB148" s="367" t="s">
        <v>206</v>
      </c>
      <c r="SOC148" s="367"/>
      <c r="SOD148" s="367"/>
      <c r="SOE148" s="368" t="s">
        <v>168</v>
      </c>
      <c r="SOF148" s="369">
        <v>0.5</v>
      </c>
      <c r="SOG148" s="370" t="e">
        <f>10/SOC146</f>
        <v>#DIV/0!</v>
      </c>
      <c r="SOH148" s="371">
        <v>15.38</v>
      </c>
      <c r="SOI148" s="371" t="e">
        <f>SOF148*SOG148*SOH148</f>
        <v>#DIV/0!</v>
      </c>
      <c r="SOJ148" s="367" t="s">
        <v>206</v>
      </c>
      <c r="SOK148" s="367"/>
      <c r="SOL148" s="367"/>
      <c r="SOM148" s="368" t="s">
        <v>168</v>
      </c>
      <c r="SON148" s="369">
        <v>0.5</v>
      </c>
      <c r="SOO148" s="370" t="e">
        <f>10/SOK146</f>
        <v>#DIV/0!</v>
      </c>
      <c r="SOP148" s="371">
        <v>15.38</v>
      </c>
      <c r="SOQ148" s="371" t="e">
        <f>SON148*SOO148*SOP148</f>
        <v>#DIV/0!</v>
      </c>
      <c r="SOR148" s="367" t="s">
        <v>206</v>
      </c>
      <c r="SOS148" s="367"/>
      <c r="SOT148" s="367"/>
      <c r="SOU148" s="368" t="s">
        <v>168</v>
      </c>
      <c r="SOV148" s="369">
        <v>0.5</v>
      </c>
      <c r="SOW148" s="370" t="e">
        <f>10/SOS146</f>
        <v>#DIV/0!</v>
      </c>
      <c r="SOX148" s="371">
        <v>15.38</v>
      </c>
      <c r="SOY148" s="371" t="e">
        <f>SOV148*SOW148*SOX148</f>
        <v>#DIV/0!</v>
      </c>
      <c r="SOZ148" s="367" t="s">
        <v>206</v>
      </c>
      <c r="SPA148" s="367"/>
      <c r="SPB148" s="367"/>
      <c r="SPC148" s="368" t="s">
        <v>168</v>
      </c>
      <c r="SPD148" s="369">
        <v>0.5</v>
      </c>
      <c r="SPE148" s="370" t="e">
        <f>10/SPA146</f>
        <v>#DIV/0!</v>
      </c>
      <c r="SPF148" s="371">
        <v>15.38</v>
      </c>
      <c r="SPG148" s="371" t="e">
        <f>SPD148*SPE148*SPF148</f>
        <v>#DIV/0!</v>
      </c>
      <c r="SPH148" s="367" t="s">
        <v>206</v>
      </c>
      <c r="SPI148" s="367"/>
      <c r="SPJ148" s="367"/>
      <c r="SPK148" s="368" t="s">
        <v>168</v>
      </c>
      <c r="SPL148" s="369">
        <v>0.5</v>
      </c>
      <c r="SPM148" s="370" t="e">
        <f>10/SPI146</f>
        <v>#DIV/0!</v>
      </c>
      <c r="SPN148" s="371">
        <v>15.38</v>
      </c>
      <c r="SPO148" s="371" t="e">
        <f>SPL148*SPM148*SPN148</f>
        <v>#DIV/0!</v>
      </c>
      <c r="SPP148" s="367" t="s">
        <v>206</v>
      </c>
      <c r="SPQ148" s="367"/>
      <c r="SPR148" s="367"/>
      <c r="SPS148" s="368" t="s">
        <v>168</v>
      </c>
      <c r="SPT148" s="369">
        <v>0.5</v>
      </c>
      <c r="SPU148" s="370" t="e">
        <f>10/SPQ146</f>
        <v>#DIV/0!</v>
      </c>
      <c r="SPV148" s="371">
        <v>15.38</v>
      </c>
      <c r="SPW148" s="371" t="e">
        <f>SPT148*SPU148*SPV148</f>
        <v>#DIV/0!</v>
      </c>
      <c r="SPX148" s="367" t="s">
        <v>206</v>
      </c>
      <c r="SPY148" s="367"/>
      <c r="SPZ148" s="367"/>
      <c r="SQA148" s="368" t="s">
        <v>168</v>
      </c>
      <c r="SQB148" s="369">
        <v>0.5</v>
      </c>
      <c r="SQC148" s="370" t="e">
        <f>10/SPY146</f>
        <v>#DIV/0!</v>
      </c>
      <c r="SQD148" s="371">
        <v>15.38</v>
      </c>
      <c r="SQE148" s="371" t="e">
        <f>SQB148*SQC148*SQD148</f>
        <v>#DIV/0!</v>
      </c>
      <c r="SQF148" s="367" t="s">
        <v>206</v>
      </c>
      <c r="SQG148" s="367"/>
      <c r="SQH148" s="367"/>
      <c r="SQI148" s="368" t="s">
        <v>168</v>
      </c>
      <c r="SQJ148" s="369">
        <v>0.5</v>
      </c>
      <c r="SQK148" s="370" t="e">
        <f>10/SQG146</f>
        <v>#DIV/0!</v>
      </c>
      <c r="SQL148" s="371">
        <v>15.38</v>
      </c>
      <c r="SQM148" s="371" t="e">
        <f>SQJ148*SQK148*SQL148</f>
        <v>#DIV/0!</v>
      </c>
      <c r="SQN148" s="367" t="s">
        <v>206</v>
      </c>
      <c r="SQO148" s="367"/>
      <c r="SQP148" s="367"/>
      <c r="SQQ148" s="368" t="s">
        <v>168</v>
      </c>
      <c r="SQR148" s="369">
        <v>0.5</v>
      </c>
      <c r="SQS148" s="370" t="e">
        <f>10/SQO146</f>
        <v>#DIV/0!</v>
      </c>
      <c r="SQT148" s="371">
        <v>15.38</v>
      </c>
      <c r="SQU148" s="371" t="e">
        <f>SQR148*SQS148*SQT148</f>
        <v>#DIV/0!</v>
      </c>
      <c r="SQV148" s="367" t="s">
        <v>206</v>
      </c>
      <c r="SQW148" s="367"/>
      <c r="SQX148" s="367"/>
      <c r="SQY148" s="368" t="s">
        <v>168</v>
      </c>
      <c r="SQZ148" s="369">
        <v>0.5</v>
      </c>
      <c r="SRA148" s="370" t="e">
        <f>10/SQW146</f>
        <v>#DIV/0!</v>
      </c>
      <c r="SRB148" s="371">
        <v>15.38</v>
      </c>
      <c r="SRC148" s="371" t="e">
        <f>SQZ148*SRA148*SRB148</f>
        <v>#DIV/0!</v>
      </c>
      <c r="SRD148" s="367" t="s">
        <v>206</v>
      </c>
      <c r="SRE148" s="367"/>
      <c r="SRF148" s="367"/>
      <c r="SRG148" s="368" t="s">
        <v>168</v>
      </c>
      <c r="SRH148" s="369">
        <v>0.5</v>
      </c>
      <c r="SRI148" s="370" t="e">
        <f>10/SRE146</f>
        <v>#DIV/0!</v>
      </c>
      <c r="SRJ148" s="371">
        <v>15.38</v>
      </c>
      <c r="SRK148" s="371" t="e">
        <f>SRH148*SRI148*SRJ148</f>
        <v>#DIV/0!</v>
      </c>
      <c r="SRL148" s="367" t="s">
        <v>206</v>
      </c>
      <c r="SRM148" s="367"/>
      <c r="SRN148" s="367"/>
      <c r="SRO148" s="368" t="s">
        <v>168</v>
      </c>
      <c r="SRP148" s="369">
        <v>0.5</v>
      </c>
      <c r="SRQ148" s="370" t="e">
        <f>10/SRM146</f>
        <v>#DIV/0!</v>
      </c>
      <c r="SRR148" s="371">
        <v>15.38</v>
      </c>
      <c r="SRS148" s="371" t="e">
        <f>SRP148*SRQ148*SRR148</f>
        <v>#DIV/0!</v>
      </c>
      <c r="SRT148" s="367" t="s">
        <v>206</v>
      </c>
      <c r="SRU148" s="367"/>
      <c r="SRV148" s="367"/>
      <c r="SRW148" s="368" t="s">
        <v>168</v>
      </c>
      <c r="SRX148" s="369">
        <v>0.5</v>
      </c>
      <c r="SRY148" s="370" t="e">
        <f>10/SRU146</f>
        <v>#DIV/0!</v>
      </c>
      <c r="SRZ148" s="371">
        <v>15.38</v>
      </c>
      <c r="SSA148" s="371" t="e">
        <f>SRX148*SRY148*SRZ148</f>
        <v>#DIV/0!</v>
      </c>
      <c r="SSB148" s="367" t="s">
        <v>206</v>
      </c>
      <c r="SSC148" s="367"/>
      <c r="SSD148" s="367"/>
      <c r="SSE148" s="368" t="s">
        <v>168</v>
      </c>
      <c r="SSF148" s="369">
        <v>0.5</v>
      </c>
      <c r="SSG148" s="370" t="e">
        <f>10/SSC146</f>
        <v>#DIV/0!</v>
      </c>
      <c r="SSH148" s="371">
        <v>15.38</v>
      </c>
      <c r="SSI148" s="371" t="e">
        <f>SSF148*SSG148*SSH148</f>
        <v>#DIV/0!</v>
      </c>
      <c r="SSJ148" s="367" t="s">
        <v>206</v>
      </c>
      <c r="SSK148" s="367"/>
      <c r="SSL148" s="367"/>
      <c r="SSM148" s="368" t="s">
        <v>168</v>
      </c>
      <c r="SSN148" s="369">
        <v>0.5</v>
      </c>
      <c r="SSO148" s="370" t="e">
        <f>10/SSK146</f>
        <v>#DIV/0!</v>
      </c>
      <c r="SSP148" s="371">
        <v>15.38</v>
      </c>
      <c r="SSQ148" s="371" t="e">
        <f>SSN148*SSO148*SSP148</f>
        <v>#DIV/0!</v>
      </c>
      <c r="SSR148" s="367" t="s">
        <v>206</v>
      </c>
      <c r="SSS148" s="367"/>
      <c r="SST148" s="367"/>
      <c r="SSU148" s="368" t="s">
        <v>168</v>
      </c>
      <c r="SSV148" s="369">
        <v>0.5</v>
      </c>
      <c r="SSW148" s="370" t="e">
        <f>10/SSS146</f>
        <v>#DIV/0!</v>
      </c>
      <c r="SSX148" s="371">
        <v>15.38</v>
      </c>
      <c r="SSY148" s="371" t="e">
        <f>SSV148*SSW148*SSX148</f>
        <v>#DIV/0!</v>
      </c>
      <c r="SSZ148" s="367" t="s">
        <v>206</v>
      </c>
      <c r="STA148" s="367"/>
      <c r="STB148" s="367"/>
      <c r="STC148" s="368" t="s">
        <v>168</v>
      </c>
      <c r="STD148" s="369">
        <v>0.5</v>
      </c>
      <c r="STE148" s="370" t="e">
        <f>10/STA146</f>
        <v>#DIV/0!</v>
      </c>
      <c r="STF148" s="371">
        <v>15.38</v>
      </c>
      <c r="STG148" s="371" t="e">
        <f>STD148*STE148*STF148</f>
        <v>#DIV/0!</v>
      </c>
      <c r="STH148" s="367" t="s">
        <v>206</v>
      </c>
      <c r="STI148" s="367"/>
      <c r="STJ148" s="367"/>
      <c r="STK148" s="368" t="s">
        <v>168</v>
      </c>
      <c r="STL148" s="369">
        <v>0.5</v>
      </c>
      <c r="STM148" s="370" t="e">
        <f>10/STI146</f>
        <v>#DIV/0!</v>
      </c>
      <c r="STN148" s="371">
        <v>15.38</v>
      </c>
      <c r="STO148" s="371" t="e">
        <f>STL148*STM148*STN148</f>
        <v>#DIV/0!</v>
      </c>
      <c r="STP148" s="367" t="s">
        <v>206</v>
      </c>
      <c r="STQ148" s="367"/>
      <c r="STR148" s="367"/>
      <c r="STS148" s="368" t="s">
        <v>168</v>
      </c>
      <c r="STT148" s="369">
        <v>0.5</v>
      </c>
      <c r="STU148" s="370" t="e">
        <f>10/STQ146</f>
        <v>#DIV/0!</v>
      </c>
      <c r="STV148" s="371">
        <v>15.38</v>
      </c>
      <c r="STW148" s="371" t="e">
        <f>STT148*STU148*STV148</f>
        <v>#DIV/0!</v>
      </c>
      <c r="STX148" s="367" t="s">
        <v>206</v>
      </c>
      <c r="STY148" s="367"/>
      <c r="STZ148" s="367"/>
      <c r="SUA148" s="368" t="s">
        <v>168</v>
      </c>
      <c r="SUB148" s="369">
        <v>0.5</v>
      </c>
      <c r="SUC148" s="370" t="e">
        <f>10/STY146</f>
        <v>#DIV/0!</v>
      </c>
      <c r="SUD148" s="371">
        <v>15.38</v>
      </c>
      <c r="SUE148" s="371" t="e">
        <f>SUB148*SUC148*SUD148</f>
        <v>#DIV/0!</v>
      </c>
      <c r="SUF148" s="367" t="s">
        <v>206</v>
      </c>
      <c r="SUG148" s="367"/>
      <c r="SUH148" s="367"/>
      <c r="SUI148" s="368" t="s">
        <v>168</v>
      </c>
      <c r="SUJ148" s="369">
        <v>0.5</v>
      </c>
      <c r="SUK148" s="370" t="e">
        <f>10/SUG146</f>
        <v>#DIV/0!</v>
      </c>
      <c r="SUL148" s="371">
        <v>15.38</v>
      </c>
      <c r="SUM148" s="371" t="e">
        <f>SUJ148*SUK148*SUL148</f>
        <v>#DIV/0!</v>
      </c>
      <c r="SUN148" s="367" t="s">
        <v>206</v>
      </c>
      <c r="SUO148" s="367"/>
      <c r="SUP148" s="367"/>
      <c r="SUQ148" s="368" t="s">
        <v>168</v>
      </c>
      <c r="SUR148" s="369">
        <v>0.5</v>
      </c>
      <c r="SUS148" s="370" t="e">
        <f>10/SUO146</f>
        <v>#DIV/0!</v>
      </c>
      <c r="SUT148" s="371">
        <v>15.38</v>
      </c>
      <c r="SUU148" s="371" t="e">
        <f>SUR148*SUS148*SUT148</f>
        <v>#DIV/0!</v>
      </c>
      <c r="SUV148" s="367" t="s">
        <v>206</v>
      </c>
      <c r="SUW148" s="367"/>
      <c r="SUX148" s="367"/>
      <c r="SUY148" s="368" t="s">
        <v>168</v>
      </c>
      <c r="SUZ148" s="369">
        <v>0.5</v>
      </c>
      <c r="SVA148" s="370" t="e">
        <f>10/SUW146</f>
        <v>#DIV/0!</v>
      </c>
      <c r="SVB148" s="371">
        <v>15.38</v>
      </c>
      <c r="SVC148" s="371" t="e">
        <f>SUZ148*SVA148*SVB148</f>
        <v>#DIV/0!</v>
      </c>
      <c r="SVD148" s="367" t="s">
        <v>206</v>
      </c>
      <c r="SVE148" s="367"/>
      <c r="SVF148" s="367"/>
      <c r="SVG148" s="368" t="s">
        <v>168</v>
      </c>
      <c r="SVH148" s="369">
        <v>0.5</v>
      </c>
      <c r="SVI148" s="370" t="e">
        <f>10/SVE146</f>
        <v>#DIV/0!</v>
      </c>
      <c r="SVJ148" s="371">
        <v>15.38</v>
      </c>
      <c r="SVK148" s="371" t="e">
        <f>SVH148*SVI148*SVJ148</f>
        <v>#DIV/0!</v>
      </c>
      <c r="SVL148" s="367" t="s">
        <v>206</v>
      </c>
      <c r="SVM148" s="367"/>
      <c r="SVN148" s="367"/>
      <c r="SVO148" s="368" t="s">
        <v>168</v>
      </c>
      <c r="SVP148" s="369">
        <v>0.5</v>
      </c>
      <c r="SVQ148" s="370" t="e">
        <f>10/SVM146</f>
        <v>#DIV/0!</v>
      </c>
      <c r="SVR148" s="371">
        <v>15.38</v>
      </c>
      <c r="SVS148" s="371" t="e">
        <f>SVP148*SVQ148*SVR148</f>
        <v>#DIV/0!</v>
      </c>
      <c r="SVT148" s="367" t="s">
        <v>206</v>
      </c>
      <c r="SVU148" s="367"/>
      <c r="SVV148" s="367"/>
      <c r="SVW148" s="368" t="s">
        <v>168</v>
      </c>
      <c r="SVX148" s="369">
        <v>0.5</v>
      </c>
      <c r="SVY148" s="370" t="e">
        <f>10/SVU146</f>
        <v>#DIV/0!</v>
      </c>
      <c r="SVZ148" s="371">
        <v>15.38</v>
      </c>
      <c r="SWA148" s="371" t="e">
        <f>SVX148*SVY148*SVZ148</f>
        <v>#DIV/0!</v>
      </c>
      <c r="SWB148" s="367" t="s">
        <v>206</v>
      </c>
      <c r="SWC148" s="367"/>
      <c r="SWD148" s="367"/>
      <c r="SWE148" s="368" t="s">
        <v>168</v>
      </c>
      <c r="SWF148" s="369">
        <v>0.5</v>
      </c>
      <c r="SWG148" s="370" t="e">
        <f>10/SWC146</f>
        <v>#DIV/0!</v>
      </c>
      <c r="SWH148" s="371">
        <v>15.38</v>
      </c>
      <c r="SWI148" s="371" t="e">
        <f>SWF148*SWG148*SWH148</f>
        <v>#DIV/0!</v>
      </c>
      <c r="SWJ148" s="367" t="s">
        <v>206</v>
      </c>
      <c r="SWK148" s="367"/>
      <c r="SWL148" s="367"/>
      <c r="SWM148" s="368" t="s">
        <v>168</v>
      </c>
      <c r="SWN148" s="369">
        <v>0.5</v>
      </c>
      <c r="SWO148" s="370" t="e">
        <f>10/SWK146</f>
        <v>#DIV/0!</v>
      </c>
      <c r="SWP148" s="371">
        <v>15.38</v>
      </c>
      <c r="SWQ148" s="371" t="e">
        <f>SWN148*SWO148*SWP148</f>
        <v>#DIV/0!</v>
      </c>
      <c r="SWR148" s="367" t="s">
        <v>206</v>
      </c>
      <c r="SWS148" s="367"/>
      <c r="SWT148" s="367"/>
      <c r="SWU148" s="368" t="s">
        <v>168</v>
      </c>
      <c r="SWV148" s="369">
        <v>0.5</v>
      </c>
      <c r="SWW148" s="370" t="e">
        <f>10/SWS146</f>
        <v>#DIV/0!</v>
      </c>
      <c r="SWX148" s="371">
        <v>15.38</v>
      </c>
      <c r="SWY148" s="371" t="e">
        <f>SWV148*SWW148*SWX148</f>
        <v>#DIV/0!</v>
      </c>
      <c r="SWZ148" s="367" t="s">
        <v>206</v>
      </c>
      <c r="SXA148" s="367"/>
      <c r="SXB148" s="367"/>
      <c r="SXC148" s="368" t="s">
        <v>168</v>
      </c>
      <c r="SXD148" s="369">
        <v>0.5</v>
      </c>
      <c r="SXE148" s="370" t="e">
        <f>10/SXA146</f>
        <v>#DIV/0!</v>
      </c>
      <c r="SXF148" s="371">
        <v>15.38</v>
      </c>
      <c r="SXG148" s="371" t="e">
        <f>SXD148*SXE148*SXF148</f>
        <v>#DIV/0!</v>
      </c>
      <c r="SXH148" s="367" t="s">
        <v>206</v>
      </c>
      <c r="SXI148" s="367"/>
      <c r="SXJ148" s="367"/>
      <c r="SXK148" s="368" t="s">
        <v>168</v>
      </c>
      <c r="SXL148" s="369">
        <v>0.5</v>
      </c>
      <c r="SXM148" s="370" t="e">
        <f>10/SXI146</f>
        <v>#DIV/0!</v>
      </c>
      <c r="SXN148" s="371">
        <v>15.38</v>
      </c>
      <c r="SXO148" s="371" t="e">
        <f>SXL148*SXM148*SXN148</f>
        <v>#DIV/0!</v>
      </c>
      <c r="SXP148" s="367" t="s">
        <v>206</v>
      </c>
      <c r="SXQ148" s="367"/>
      <c r="SXR148" s="367"/>
      <c r="SXS148" s="368" t="s">
        <v>168</v>
      </c>
      <c r="SXT148" s="369">
        <v>0.5</v>
      </c>
      <c r="SXU148" s="370" t="e">
        <f>10/SXQ146</f>
        <v>#DIV/0!</v>
      </c>
      <c r="SXV148" s="371">
        <v>15.38</v>
      </c>
      <c r="SXW148" s="371" t="e">
        <f>SXT148*SXU148*SXV148</f>
        <v>#DIV/0!</v>
      </c>
      <c r="SXX148" s="367" t="s">
        <v>206</v>
      </c>
      <c r="SXY148" s="367"/>
      <c r="SXZ148" s="367"/>
      <c r="SYA148" s="368" t="s">
        <v>168</v>
      </c>
      <c r="SYB148" s="369">
        <v>0.5</v>
      </c>
      <c r="SYC148" s="370" t="e">
        <f>10/SXY146</f>
        <v>#DIV/0!</v>
      </c>
      <c r="SYD148" s="371">
        <v>15.38</v>
      </c>
      <c r="SYE148" s="371" t="e">
        <f>SYB148*SYC148*SYD148</f>
        <v>#DIV/0!</v>
      </c>
      <c r="SYF148" s="367" t="s">
        <v>206</v>
      </c>
      <c r="SYG148" s="367"/>
      <c r="SYH148" s="367"/>
      <c r="SYI148" s="368" t="s">
        <v>168</v>
      </c>
      <c r="SYJ148" s="369">
        <v>0.5</v>
      </c>
      <c r="SYK148" s="370" t="e">
        <f>10/SYG146</f>
        <v>#DIV/0!</v>
      </c>
      <c r="SYL148" s="371">
        <v>15.38</v>
      </c>
      <c r="SYM148" s="371" t="e">
        <f>SYJ148*SYK148*SYL148</f>
        <v>#DIV/0!</v>
      </c>
      <c r="SYN148" s="367" t="s">
        <v>206</v>
      </c>
      <c r="SYO148" s="367"/>
      <c r="SYP148" s="367"/>
      <c r="SYQ148" s="368" t="s">
        <v>168</v>
      </c>
      <c r="SYR148" s="369">
        <v>0.5</v>
      </c>
      <c r="SYS148" s="370" t="e">
        <f>10/SYO146</f>
        <v>#DIV/0!</v>
      </c>
      <c r="SYT148" s="371">
        <v>15.38</v>
      </c>
      <c r="SYU148" s="371" t="e">
        <f>SYR148*SYS148*SYT148</f>
        <v>#DIV/0!</v>
      </c>
      <c r="SYV148" s="367" t="s">
        <v>206</v>
      </c>
      <c r="SYW148" s="367"/>
      <c r="SYX148" s="367"/>
      <c r="SYY148" s="368" t="s">
        <v>168</v>
      </c>
      <c r="SYZ148" s="369">
        <v>0.5</v>
      </c>
      <c r="SZA148" s="370" t="e">
        <f>10/SYW146</f>
        <v>#DIV/0!</v>
      </c>
      <c r="SZB148" s="371">
        <v>15.38</v>
      </c>
      <c r="SZC148" s="371" t="e">
        <f>SYZ148*SZA148*SZB148</f>
        <v>#DIV/0!</v>
      </c>
      <c r="SZD148" s="367" t="s">
        <v>206</v>
      </c>
      <c r="SZE148" s="367"/>
      <c r="SZF148" s="367"/>
      <c r="SZG148" s="368" t="s">
        <v>168</v>
      </c>
      <c r="SZH148" s="369">
        <v>0.5</v>
      </c>
      <c r="SZI148" s="370" t="e">
        <f>10/SZE146</f>
        <v>#DIV/0!</v>
      </c>
      <c r="SZJ148" s="371">
        <v>15.38</v>
      </c>
      <c r="SZK148" s="371" t="e">
        <f>SZH148*SZI148*SZJ148</f>
        <v>#DIV/0!</v>
      </c>
      <c r="SZL148" s="367" t="s">
        <v>206</v>
      </c>
      <c r="SZM148" s="367"/>
      <c r="SZN148" s="367"/>
      <c r="SZO148" s="368" t="s">
        <v>168</v>
      </c>
      <c r="SZP148" s="369">
        <v>0.5</v>
      </c>
      <c r="SZQ148" s="370" t="e">
        <f>10/SZM146</f>
        <v>#DIV/0!</v>
      </c>
      <c r="SZR148" s="371">
        <v>15.38</v>
      </c>
      <c r="SZS148" s="371" t="e">
        <f>SZP148*SZQ148*SZR148</f>
        <v>#DIV/0!</v>
      </c>
      <c r="SZT148" s="367" t="s">
        <v>206</v>
      </c>
      <c r="SZU148" s="367"/>
      <c r="SZV148" s="367"/>
      <c r="SZW148" s="368" t="s">
        <v>168</v>
      </c>
      <c r="SZX148" s="369">
        <v>0.5</v>
      </c>
      <c r="SZY148" s="370" t="e">
        <f>10/SZU146</f>
        <v>#DIV/0!</v>
      </c>
      <c r="SZZ148" s="371">
        <v>15.38</v>
      </c>
      <c r="TAA148" s="371" t="e">
        <f>SZX148*SZY148*SZZ148</f>
        <v>#DIV/0!</v>
      </c>
      <c r="TAB148" s="367" t="s">
        <v>206</v>
      </c>
      <c r="TAC148" s="367"/>
      <c r="TAD148" s="367"/>
      <c r="TAE148" s="368" t="s">
        <v>168</v>
      </c>
      <c r="TAF148" s="369">
        <v>0.5</v>
      </c>
      <c r="TAG148" s="370" t="e">
        <f>10/TAC146</f>
        <v>#DIV/0!</v>
      </c>
      <c r="TAH148" s="371">
        <v>15.38</v>
      </c>
      <c r="TAI148" s="371" t="e">
        <f>TAF148*TAG148*TAH148</f>
        <v>#DIV/0!</v>
      </c>
      <c r="TAJ148" s="367" t="s">
        <v>206</v>
      </c>
      <c r="TAK148" s="367"/>
      <c r="TAL148" s="367"/>
      <c r="TAM148" s="368" t="s">
        <v>168</v>
      </c>
      <c r="TAN148" s="369">
        <v>0.5</v>
      </c>
      <c r="TAO148" s="370" t="e">
        <f>10/TAK146</f>
        <v>#DIV/0!</v>
      </c>
      <c r="TAP148" s="371">
        <v>15.38</v>
      </c>
      <c r="TAQ148" s="371" t="e">
        <f>TAN148*TAO148*TAP148</f>
        <v>#DIV/0!</v>
      </c>
      <c r="TAR148" s="367" t="s">
        <v>206</v>
      </c>
      <c r="TAS148" s="367"/>
      <c r="TAT148" s="367"/>
      <c r="TAU148" s="368" t="s">
        <v>168</v>
      </c>
      <c r="TAV148" s="369">
        <v>0.5</v>
      </c>
      <c r="TAW148" s="370" t="e">
        <f>10/TAS146</f>
        <v>#DIV/0!</v>
      </c>
      <c r="TAX148" s="371">
        <v>15.38</v>
      </c>
      <c r="TAY148" s="371" t="e">
        <f>TAV148*TAW148*TAX148</f>
        <v>#DIV/0!</v>
      </c>
      <c r="TAZ148" s="367" t="s">
        <v>206</v>
      </c>
      <c r="TBA148" s="367"/>
      <c r="TBB148" s="367"/>
      <c r="TBC148" s="368" t="s">
        <v>168</v>
      </c>
      <c r="TBD148" s="369">
        <v>0.5</v>
      </c>
      <c r="TBE148" s="370" t="e">
        <f>10/TBA146</f>
        <v>#DIV/0!</v>
      </c>
      <c r="TBF148" s="371">
        <v>15.38</v>
      </c>
      <c r="TBG148" s="371" t="e">
        <f>TBD148*TBE148*TBF148</f>
        <v>#DIV/0!</v>
      </c>
      <c r="TBH148" s="367" t="s">
        <v>206</v>
      </c>
      <c r="TBI148" s="367"/>
      <c r="TBJ148" s="367"/>
      <c r="TBK148" s="368" t="s">
        <v>168</v>
      </c>
      <c r="TBL148" s="369">
        <v>0.5</v>
      </c>
      <c r="TBM148" s="370" t="e">
        <f>10/TBI146</f>
        <v>#DIV/0!</v>
      </c>
      <c r="TBN148" s="371">
        <v>15.38</v>
      </c>
      <c r="TBO148" s="371" t="e">
        <f>TBL148*TBM148*TBN148</f>
        <v>#DIV/0!</v>
      </c>
      <c r="TBP148" s="367" t="s">
        <v>206</v>
      </c>
      <c r="TBQ148" s="367"/>
      <c r="TBR148" s="367"/>
      <c r="TBS148" s="368" t="s">
        <v>168</v>
      </c>
      <c r="TBT148" s="369">
        <v>0.5</v>
      </c>
      <c r="TBU148" s="370" t="e">
        <f>10/TBQ146</f>
        <v>#DIV/0!</v>
      </c>
      <c r="TBV148" s="371">
        <v>15.38</v>
      </c>
      <c r="TBW148" s="371" t="e">
        <f>TBT148*TBU148*TBV148</f>
        <v>#DIV/0!</v>
      </c>
      <c r="TBX148" s="367" t="s">
        <v>206</v>
      </c>
      <c r="TBY148" s="367"/>
      <c r="TBZ148" s="367"/>
      <c r="TCA148" s="368" t="s">
        <v>168</v>
      </c>
      <c r="TCB148" s="369">
        <v>0.5</v>
      </c>
      <c r="TCC148" s="370" t="e">
        <f>10/TBY146</f>
        <v>#DIV/0!</v>
      </c>
      <c r="TCD148" s="371">
        <v>15.38</v>
      </c>
      <c r="TCE148" s="371" t="e">
        <f>TCB148*TCC148*TCD148</f>
        <v>#DIV/0!</v>
      </c>
      <c r="TCF148" s="367" t="s">
        <v>206</v>
      </c>
      <c r="TCG148" s="367"/>
      <c r="TCH148" s="367"/>
      <c r="TCI148" s="368" t="s">
        <v>168</v>
      </c>
      <c r="TCJ148" s="369">
        <v>0.5</v>
      </c>
      <c r="TCK148" s="370" t="e">
        <f>10/TCG146</f>
        <v>#DIV/0!</v>
      </c>
      <c r="TCL148" s="371">
        <v>15.38</v>
      </c>
      <c r="TCM148" s="371" t="e">
        <f>TCJ148*TCK148*TCL148</f>
        <v>#DIV/0!</v>
      </c>
      <c r="TCN148" s="367" t="s">
        <v>206</v>
      </c>
      <c r="TCO148" s="367"/>
      <c r="TCP148" s="367"/>
      <c r="TCQ148" s="368" t="s">
        <v>168</v>
      </c>
      <c r="TCR148" s="369">
        <v>0.5</v>
      </c>
      <c r="TCS148" s="370" t="e">
        <f>10/TCO146</f>
        <v>#DIV/0!</v>
      </c>
      <c r="TCT148" s="371">
        <v>15.38</v>
      </c>
      <c r="TCU148" s="371" t="e">
        <f>TCR148*TCS148*TCT148</f>
        <v>#DIV/0!</v>
      </c>
      <c r="TCV148" s="367" t="s">
        <v>206</v>
      </c>
      <c r="TCW148" s="367"/>
      <c r="TCX148" s="367"/>
      <c r="TCY148" s="368" t="s">
        <v>168</v>
      </c>
      <c r="TCZ148" s="369">
        <v>0.5</v>
      </c>
      <c r="TDA148" s="370" t="e">
        <f>10/TCW146</f>
        <v>#DIV/0!</v>
      </c>
      <c r="TDB148" s="371">
        <v>15.38</v>
      </c>
      <c r="TDC148" s="371" t="e">
        <f>TCZ148*TDA148*TDB148</f>
        <v>#DIV/0!</v>
      </c>
      <c r="TDD148" s="367" t="s">
        <v>206</v>
      </c>
      <c r="TDE148" s="367"/>
      <c r="TDF148" s="367"/>
      <c r="TDG148" s="368" t="s">
        <v>168</v>
      </c>
      <c r="TDH148" s="369">
        <v>0.5</v>
      </c>
      <c r="TDI148" s="370" t="e">
        <f>10/TDE146</f>
        <v>#DIV/0!</v>
      </c>
      <c r="TDJ148" s="371">
        <v>15.38</v>
      </c>
      <c r="TDK148" s="371" t="e">
        <f>TDH148*TDI148*TDJ148</f>
        <v>#DIV/0!</v>
      </c>
      <c r="TDL148" s="367" t="s">
        <v>206</v>
      </c>
      <c r="TDM148" s="367"/>
      <c r="TDN148" s="367"/>
      <c r="TDO148" s="368" t="s">
        <v>168</v>
      </c>
      <c r="TDP148" s="369">
        <v>0.5</v>
      </c>
      <c r="TDQ148" s="370" t="e">
        <f>10/TDM146</f>
        <v>#DIV/0!</v>
      </c>
      <c r="TDR148" s="371">
        <v>15.38</v>
      </c>
      <c r="TDS148" s="371" t="e">
        <f>TDP148*TDQ148*TDR148</f>
        <v>#DIV/0!</v>
      </c>
      <c r="TDT148" s="367" t="s">
        <v>206</v>
      </c>
      <c r="TDU148" s="367"/>
      <c r="TDV148" s="367"/>
      <c r="TDW148" s="368" t="s">
        <v>168</v>
      </c>
      <c r="TDX148" s="369">
        <v>0.5</v>
      </c>
      <c r="TDY148" s="370" t="e">
        <f>10/TDU146</f>
        <v>#DIV/0!</v>
      </c>
      <c r="TDZ148" s="371">
        <v>15.38</v>
      </c>
      <c r="TEA148" s="371" t="e">
        <f>TDX148*TDY148*TDZ148</f>
        <v>#DIV/0!</v>
      </c>
      <c r="TEB148" s="367" t="s">
        <v>206</v>
      </c>
      <c r="TEC148" s="367"/>
      <c r="TED148" s="367"/>
      <c r="TEE148" s="368" t="s">
        <v>168</v>
      </c>
      <c r="TEF148" s="369">
        <v>0.5</v>
      </c>
      <c r="TEG148" s="370" t="e">
        <f>10/TEC146</f>
        <v>#DIV/0!</v>
      </c>
      <c r="TEH148" s="371">
        <v>15.38</v>
      </c>
      <c r="TEI148" s="371" t="e">
        <f>TEF148*TEG148*TEH148</f>
        <v>#DIV/0!</v>
      </c>
      <c r="TEJ148" s="367" t="s">
        <v>206</v>
      </c>
      <c r="TEK148" s="367"/>
      <c r="TEL148" s="367"/>
      <c r="TEM148" s="368" t="s">
        <v>168</v>
      </c>
      <c r="TEN148" s="369">
        <v>0.5</v>
      </c>
      <c r="TEO148" s="370" t="e">
        <f>10/TEK146</f>
        <v>#DIV/0!</v>
      </c>
      <c r="TEP148" s="371">
        <v>15.38</v>
      </c>
      <c r="TEQ148" s="371" t="e">
        <f>TEN148*TEO148*TEP148</f>
        <v>#DIV/0!</v>
      </c>
      <c r="TER148" s="367" t="s">
        <v>206</v>
      </c>
      <c r="TES148" s="367"/>
      <c r="TET148" s="367"/>
      <c r="TEU148" s="368" t="s">
        <v>168</v>
      </c>
      <c r="TEV148" s="369">
        <v>0.5</v>
      </c>
      <c r="TEW148" s="370" t="e">
        <f>10/TES146</f>
        <v>#DIV/0!</v>
      </c>
      <c r="TEX148" s="371">
        <v>15.38</v>
      </c>
      <c r="TEY148" s="371" t="e">
        <f>TEV148*TEW148*TEX148</f>
        <v>#DIV/0!</v>
      </c>
      <c r="TEZ148" s="367" t="s">
        <v>206</v>
      </c>
      <c r="TFA148" s="367"/>
      <c r="TFB148" s="367"/>
      <c r="TFC148" s="368" t="s">
        <v>168</v>
      </c>
      <c r="TFD148" s="369">
        <v>0.5</v>
      </c>
      <c r="TFE148" s="370" t="e">
        <f>10/TFA146</f>
        <v>#DIV/0!</v>
      </c>
      <c r="TFF148" s="371">
        <v>15.38</v>
      </c>
      <c r="TFG148" s="371" t="e">
        <f>TFD148*TFE148*TFF148</f>
        <v>#DIV/0!</v>
      </c>
      <c r="TFH148" s="367" t="s">
        <v>206</v>
      </c>
      <c r="TFI148" s="367"/>
      <c r="TFJ148" s="367"/>
      <c r="TFK148" s="368" t="s">
        <v>168</v>
      </c>
      <c r="TFL148" s="369">
        <v>0.5</v>
      </c>
      <c r="TFM148" s="370" t="e">
        <f>10/TFI146</f>
        <v>#DIV/0!</v>
      </c>
      <c r="TFN148" s="371">
        <v>15.38</v>
      </c>
      <c r="TFO148" s="371" t="e">
        <f>TFL148*TFM148*TFN148</f>
        <v>#DIV/0!</v>
      </c>
      <c r="TFP148" s="367" t="s">
        <v>206</v>
      </c>
      <c r="TFQ148" s="367"/>
      <c r="TFR148" s="367"/>
      <c r="TFS148" s="368" t="s">
        <v>168</v>
      </c>
      <c r="TFT148" s="369">
        <v>0.5</v>
      </c>
      <c r="TFU148" s="370" t="e">
        <f>10/TFQ146</f>
        <v>#DIV/0!</v>
      </c>
      <c r="TFV148" s="371">
        <v>15.38</v>
      </c>
      <c r="TFW148" s="371" t="e">
        <f>TFT148*TFU148*TFV148</f>
        <v>#DIV/0!</v>
      </c>
      <c r="TFX148" s="367" t="s">
        <v>206</v>
      </c>
      <c r="TFY148" s="367"/>
      <c r="TFZ148" s="367"/>
      <c r="TGA148" s="368" t="s">
        <v>168</v>
      </c>
      <c r="TGB148" s="369">
        <v>0.5</v>
      </c>
      <c r="TGC148" s="370" t="e">
        <f>10/TFY146</f>
        <v>#DIV/0!</v>
      </c>
      <c r="TGD148" s="371">
        <v>15.38</v>
      </c>
      <c r="TGE148" s="371" t="e">
        <f>TGB148*TGC148*TGD148</f>
        <v>#DIV/0!</v>
      </c>
      <c r="TGF148" s="367" t="s">
        <v>206</v>
      </c>
      <c r="TGG148" s="367"/>
      <c r="TGH148" s="367"/>
      <c r="TGI148" s="368" t="s">
        <v>168</v>
      </c>
      <c r="TGJ148" s="369">
        <v>0.5</v>
      </c>
      <c r="TGK148" s="370" t="e">
        <f>10/TGG146</f>
        <v>#DIV/0!</v>
      </c>
      <c r="TGL148" s="371">
        <v>15.38</v>
      </c>
      <c r="TGM148" s="371" t="e">
        <f>TGJ148*TGK148*TGL148</f>
        <v>#DIV/0!</v>
      </c>
      <c r="TGN148" s="367" t="s">
        <v>206</v>
      </c>
      <c r="TGO148" s="367"/>
      <c r="TGP148" s="367"/>
      <c r="TGQ148" s="368" t="s">
        <v>168</v>
      </c>
      <c r="TGR148" s="369">
        <v>0.5</v>
      </c>
      <c r="TGS148" s="370" t="e">
        <f>10/TGO146</f>
        <v>#DIV/0!</v>
      </c>
      <c r="TGT148" s="371">
        <v>15.38</v>
      </c>
      <c r="TGU148" s="371" t="e">
        <f>TGR148*TGS148*TGT148</f>
        <v>#DIV/0!</v>
      </c>
      <c r="TGV148" s="367" t="s">
        <v>206</v>
      </c>
      <c r="TGW148" s="367"/>
      <c r="TGX148" s="367"/>
      <c r="TGY148" s="368" t="s">
        <v>168</v>
      </c>
      <c r="TGZ148" s="369">
        <v>0.5</v>
      </c>
      <c r="THA148" s="370" t="e">
        <f>10/TGW146</f>
        <v>#DIV/0!</v>
      </c>
      <c r="THB148" s="371">
        <v>15.38</v>
      </c>
      <c r="THC148" s="371" t="e">
        <f>TGZ148*THA148*THB148</f>
        <v>#DIV/0!</v>
      </c>
      <c r="THD148" s="367" t="s">
        <v>206</v>
      </c>
      <c r="THE148" s="367"/>
      <c r="THF148" s="367"/>
      <c r="THG148" s="368" t="s">
        <v>168</v>
      </c>
      <c r="THH148" s="369">
        <v>0.5</v>
      </c>
      <c r="THI148" s="370" t="e">
        <f>10/THE146</f>
        <v>#DIV/0!</v>
      </c>
      <c r="THJ148" s="371">
        <v>15.38</v>
      </c>
      <c r="THK148" s="371" t="e">
        <f>THH148*THI148*THJ148</f>
        <v>#DIV/0!</v>
      </c>
      <c r="THL148" s="367" t="s">
        <v>206</v>
      </c>
      <c r="THM148" s="367"/>
      <c r="THN148" s="367"/>
      <c r="THO148" s="368" t="s">
        <v>168</v>
      </c>
      <c r="THP148" s="369">
        <v>0.5</v>
      </c>
      <c r="THQ148" s="370" t="e">
        <f>10/THM146</f>
        <v>#DIV/0!</v>
      </c>
      <c r="THR148" s="371">
        <v>15.38</v>
      </c>
      <c r="THS148" s="371" t="e">
        <f>THP148*THQ148*THR148</f>
        <v>#DIV/0!</v>
      </c>
      <c r="THT148" s="367" t="s">
        <v>206</v>
      </c>
      <c r="THU148" s="367"/>
      <c r="THV148" s="367"/>
      <c r="THW148" s="368" t="s">
        <v>168</v>
      </c>
      <c r="THX148" s="369">
        <v>0.5</v>
      </c>
      <c r="THY148" s="370" t="e">
        <f>10/THU146</f>
        <v>#DIV/0!</v>
      </c>
      <c r="THZ148" s="371">
        <v>15.38</v>
      </c>
      <c r="TIA148" s="371" t="e">
        <f>THX148*THY148*THZ148</f>
        <v>#DIV/0!</v>
      </c>
      <c r="TIB148" s="367" t="s">
        <v>206</v>
      </c>
      <c r="TIC148" s="367"/>
      <c r="TID148" s="367"/>
      <c r="TIE148" s="368" t="s">
        <v>168</v>
      </c>
      <c r="TIF148" s="369">
        <v>0.5</v>
      </c>
      <c r="TIG148" s="370" t="e">
        <f>10/TIC146</f>
        <v>#DIV/0!</v>
      </c>
      <c r="TIH148" s="371">
        <v>15.38</v>
      </c>
      <c r="TII148" s="371" t="e">
        <f>TIF148*TIG148*TIH148</f>
        <v>#DIV/0!</v>
      </c>
      <c r="TIJ148" s="367" t="s">
        <v>206</v>
      </c>
      <c r="TIK148" s="367"/>
      <c r="TIL148" s="367"/>
      <c r="TIM148" s="368" t="s">
        <v>168</v>
      </c>
      <c r="TIN148" s="369">
        <v>0.5</v>
      </c>
      <c r="TIO148" s="370" t="e">
        <f>10/TIK146</f>
        <v>#DIV/0!</v>
      </c>
      <c r="TIP148" s="371">
        <v>15.38</v>
      </c>
      <c r="TIQ148" s="371" t="e">
        <f>TIN148*TIO148*TIP148</f>
        <v>#DIV/0!</v>
      </c>
      <c r="TIR148" s="367" t="s">
        <v>206</v>
      </c>
      <c r="TIS148" s="367"/>
      <c r="TIT148" s="367"/>
      <c r="TIU148" s="368" t="s">
        <v>168</v>
      </c>
      <c r="TIV148" s="369">
        <v>0.5</v>
      </c>
      <c r="TIW148" s="370" t="e">
        <f>10/TIS146</f>
        <v>#DIV/0!</v>
      </c>
      <c r="TIX148" s="371">
        <v>15.38</v>
      </c>
      <c r="TIY148" s="371" t="e">
        <f>TIV148*TIW148*TIX148</f>
        <v>#DIV/0!</v>
      </c>
      <c r="TIZ148" s="367" t="s">
        <v>206</v>
      </c>
      <c r="TJA148" s="367"/>
      <c r="TJB148" s="367"/>
      <c r="TJC148" s="368" t="s">
        <v>168</v>
      </c>
      <c r="TJD148" s="369">
        <v>0.5</v>
      </c>
      <c r="TJE148" s="370" t="e">
        <f>10/TJA146</f>
        <v>#DIV/0!</v>
      </c>
      <c r="TJF148" s="371">
        <v>15.38</v>
      </c>
      <c r="TJG148" s="371" t="e">
        <f>TJD148*TJE148*TJF148</f>
        <v>#DIV/0!</v>
      </c>
      <c r="TJH148" s="367" t="s">
        <v>206</v>
      </c>
      <c r="TJI148" s="367"/>
      <c r="TJJ148" s="367"/>
      <c r="TJK148" s="368" t="s">
        <v>168</v>
      </c>
      <c r="TJL148" s="369">
        <v>0.5</v>
      </c>
      <c r="TJM148" s="370" t="e">
        <f>10/TJI146</f>
        <v>#DIV/0!</v>
      </c>
      <c r="TJN148" s="371">
        <v>15.38</v>
      </c>
      <c r="TJO148" s="371" t="e">
        <f>TJL148*TJM148*TJN148</f>
        <v>#DIV/0!</v>
      </c>
      <c r="TJP148" s="367" t="s">
        <v>206</v>
      </c>
      <c r="TJQ148" s="367"/>
      <c r="TJR148" s="367"/>
      <c r="TJS148" s="368" t="s">
        <v>168</v>
      </c>
      <c r="TJT148" s="369">
        <v>0.5</v>
      </c>
      <c r="TJU148" s="370" t="e">
        <f>10/TJQ146</f>
        <v>#DIV/0!</v>
      </c>
      <c r="TJV148" s="371">
        <v>15.38</v>
      </c>
      <c r="TJW148" s="371" t="e">
        <f>TJT148*TJU148*TJV148</f>
        <v>#DIV/0!</v>
      </c>
      <c r="TJX148" s="367" t="s">
        <v>206</v>
      </c>
      <c r="TJY148" s="367"/>
      <c r="TJZ148" s="367"/>
      <c r="TKA148" s="368" t="s">
        <v>168</v>
      </c>
      <c r="TKB148" s="369">
        <v>0.5</v>
      </c>
      <c r="TKC148" s="370" t="e">
        <f>10/TJY146</f>
        <v>#DIV/0!</v>
      </c>
      <c r="TKD148" s="371">
        <v>15.38</v>
      </c>
      <c r="TKE148" s="371" t="e">
        <f>TKB148*TKC148*TKD148</f>
        <v>#DIV/0!</v>
      </c>
      <c r="TKF148" s="367" t="s">
        <v>206</v>
      </c>
      <c r="TKG148" s="367"/>
      <c r="TKH148" s="367"/>
      <c r="TKI148" s="368" t="s">
        <v>168</v>
      </c>
      <c r="TKJ148" s="369">
        <v>0.5</v>
      </c>
      <c r="TKK148" s="370" t="e">
        <f>10/TKG146</f>
        <v>#DIV/0!</v>
      </c>
      <c r="TKL148" s="371">
        <v>15.38</v>
      </c>
      <c r="TKM148" s="371" t="e">
        <f>TKJ148*TKK148*TKL148</f>
        <v>#DIV/0!</v>
      </c>
      <c r="TKN148" s="367" t="s">
        <v>206</v>
      </c>
      <c r="TKO148" s="367"/>
      <c r="TKP148" s="367"/>
      <c r="TKQ148" s="368" t="s">
        <v>168</v>
      </c>
      <c r="TKR148" s="369">
        <v>0.5</v>
      </c>
      <c r="TKS148" s="370" t="e">
        <f>10/TKO146</f>
        <v>#DIV/0!</v>
      </c>
      <c r="TKT148" s="371">
        <v>15.38</v>
      </c>
      <c r="TKU148" s="371" t="e">
        <f>TKR148*TKS148*TKT148</f>
        <v>#DIV/0!</v>
      </c>
      <c r="TKV148" s="367" t="s">
        <v>206</v>
      </c>
      <c r="TKW148" s="367"/>
      <c r="TKX148" s="367"/>
      <c r="TKY148" s="368" t="s">
        <v>168</v>
      </c>
      <c r="TKZ148" s="369">
        <v>0.5</v>
      </c>
      <c r="TLA148" s="370" t="e">
        <f>10/TKW146</f>
        <v>#DIV/0!</v>
      </c>
      <c r="TLB148" s="371">
        <v>15.38</v>
      </c>
      <c r="TLC148" s="371" t="e">
        <f>TKZ148*TLA148*TLB148</f>
        <v>#DIV/0!</v>
      </c>
      <c r="TLD148" s="367" t="s">
        <v>206</v>
      </c>
      <c r="TLE148" s="367"/>
      <c r="TLF148" s="367"/>
      <c r="TLG148" s="368" t="s">
        <v>168</v>
      </c>
      <c r="TLH148" s="369">
        <v>0.5</v>
      </c>
      <c r="TLI148" s="370" t="e">
        <f>10/TLE146</f>
        <v>#DIV/0!</v>
      </c>
      <c r="TLJ148" s="371">
        <v>15.38</v>
      </c>
      <c r="TLK148" s="371" t="e">
        <f>TLH148*TLI148*TLJ148</f>
        <v>#DIV/0!</v>
      </c>
      <c r="TLL148" s="367" t="s">
        <v>206</v>
      </c>
      <c r="TLM148" s="367"/>
      <c r="TLN148" s="367"/>
      <c r="TLO148" s="368" t="s">
        <v>168</v>
      </c>
      <c r="TLP148" s="369">
        <v>0.5</v>
      </c>
      <c r="TLQ148" s="370" t="e">
        <f>10/TLM146</f>
        <v>#DIV/0!</v>
      </c>
      <c r="TLR148" s="371">
        <v>15.38</v>
      </c>
      <c r="TLS148" s="371" t="e">
        <f>TLP148*TLQ148*TLR148</f>
        <v>#DIV/0!</v>
      </c>
      <c r="TLT148" s="367" t="s">
        <v>206</v>
      </c>
      <c r="TLU148" s="367"/>
      <c r="TLV148" s="367"/>
      <c r="TLW148" s="368" t="s">
        <v>168</v>
      </c>
      <c r="TLX148" s="369">
        <v>0.5</v>
      </c>
      <c r="TLY148" s="370" t="e">
        <f>10/TLU146</f>
        <v>#DIV/0!</v>
      </c>
      <c r="TLZ148" s="371">
        <v>15.38</v>
      </c>
      <c r="TMA148" s="371" t="e">
        <f>TLX148*TLY148*TLZ148</f>
        <v>#DIV/0!</v>
      </c>
      <c r="TMB148" s="367" t="s">
        <v>206</v>
      </c>
      <c r="TMC148" s="367"/>
      <c r="TMD148" s="367"/>
      <c r="TME148" s="368" t="s">
        <v>168</v>
      </c>
      <c r="TMF148" s="369">
        <v>0.5</v>
      </c>
      <c r="TMG148" s="370" t="e">
        <f>10/TMC146</f>
        <v>#DIV/0!</v>
      </c>
      <c r="TMH148" s="371">
        <v>15.38</v>
      </c>
      <c r="TMI148" s="371" t="e">
        <f>TMF148*TMG148*TMH148</f>
        <v>#DIV/0!</v>
      </c>
      <c r="TMJ148" s="367" t="s">
        <v>206</v>
      </c>
      <c r="TMK148" s="367"/>
      <c r="TML148" s="367"/>
      <c r="TMM148" s="368" t="s">
        <v>168</v>
      </c>
      <c r="TMN148" s="369">
        <v>0.5</v>
      </c>
      <c r="TMO148" s="370" t="e">
        <f>10/TMK146</f>
        <v>#DIV/0!</v>
      </c>
      <c r="TMP148" s="371">
        <v>15.38</v>
      </c>
      <c r="TMQ148" s="371" t="e">
        <f>TMN148*TMO148*TMP148</f>
        <v>#DIV/0!</v>
      </c>
      <c r="TMR148" s="367" t="s">
        <v>206</v>
      </c>
      <c r="TMS148" s="367"/>
      <c r="TMT148" s="367"/>
      <c r="TMU148" s="368" t="s">
        <v>168</v>
      </c>
      <c r="TMV148" s="369">
        <v>0.5</v>
      </c>
      <c r="TMW148" s="370" t="e">
        <f>10/TMS146</f>
        <v>#DIV/0!</v>
      </c>
      <c r="TMX148" s="371">
        <v>15.38</v>
      </c>
      <c r="TMY148" s="371" t="e">
        <f>TMV148*TMW148*TMX148</f>
        <v>#DIV/0!</v>
      </c>
      <c r="TMZ148" s="367" t="s">
        <v>206</v>
      </c>
      <c r="TNA148" s="367"/>
      <c r="TNB148" s="367"/>
      <c r="TNC148" s="368" t="s">
        <v>168</v>
      </c>
      <c r="TND148" s="369">
        <v>0.5</v>
      </c>
      <c r="TNE148" s="370" t="e">
        <f>10/TNA146</f>
        <v>#DIV/0!</v>
      </c>
      <c r="TNF148" s="371">
        <v>15.38</v>
      </c>
      <c r="TNG148" s="371" t="e">
        <f>TND148*TNE148*TNF148</f>
        <v>#DIV/0!</v>
      </c>
      <c r="TNH148" s="367" t="s">
        <v>206</v>
      </c>
      <c r="TNI148" s="367"/>
      <c r="TNJ148" s="367"/>
      <c r="TNK148" s="368" t="s">
        <v>168</v>
      </c>
      <c r="TNL148" s="369">
        <v>0.5</v>
      </c>
      <c r="TNM148" s="370" t="e">
        <f>10/TNI146</f>
        <v>#DIV/0!</v>
      </c>
      <c r="TNN148" s="371">
        <v>15.38</v>
      </c>
      <c r="TNO148" s="371" t="e">
        <f>TNL148*TNM148*TNN148</f>
        <v>#DIV/0!</v>
      </c>
      <c r="TNP148" s="367" t="s">
        <v>206</v>
      </c>
      <c r="TNQ148" s="367"/>
      <c r="TNR148" s="367"/>
      <c r="TNS148" s="368" t="s">
        <v>168</v>
      </c>
      <c r="TNT148" s="369">
        <v>0.5</v>
      </c>
      <c r="TNU148" s="370" t="e">
        <f>10/TNQ146</f>
        <v>#DIV/0!</v>
      </c>
      <c r="TNV148" s="371">
        <v>15.38</v>
      </c>
      <c r="TNW148" s="371" t="e">
        <f>TNT148*TNU148*TNV148</f>
        <v>#DIV/0!</v>
      </c>
      <c r="TNX148" s="367" t="s">
        <v>206</v>
      </c>
      <c r="TNY148" s="367"/>
      <c r="TNZ148" s="367"/>
      <c r="TOA148" s="368" t="s">
        <v>168</v>
      </c>
      <c r="TOB148" s="369">
        <v>0.5</v>
      </c>
      <c r="TOC148" s="370" t="e">
        <f>10/TNY146</f>
        <v>#DIV/0!</v>
      </c>
      <c r="TOD148" s="371">
        <v>15.38</v>
      </c>
      <c r="TOE148" s="371" t="e">
        <f>TOB148*TOC148*TOD148</f>
        <v>#DIV/0!</v>
      </c>
      <c r="TOF148" s="367" t="s">
        <v>206</v>
      </c>
      <c r="TOG148" s="367"/>
      <c r="TOH148" s="367"/>
      <c r="TOI148" s="368" t="s">
        <v>168</v>
      </c>
      <c r="TOJ148" s="369">
        <v>0.5</v>
      </c>
      <c r="TOK148" s="370" t="e">
        <f>10/TOG146</f>
        <v>#DIV/0!</v>
      </c>
      <c r="TOL148" s="371">
        <v>15.38</v>
      </c>
      <c r="TOM148" s="371" t="e">
        <f>TOJ148*TOK148*TOL148</f>
        <v>#DIV/0!</v>
      </c>
      <c r="TON148" s="367" t="s">
        <v>206</v>
      </c>
      <c r="TOO148" s="367"/>
      <c r="TOP148" s="367"/>
      <c r="TOQ148" s="368" t="s">
        <v>168</v>
      </c>
      <c r="TOR148" s="369">
        <v>0.5</v>
      </c>
      <c r="TOS148" s="370" t="e">
        <f>10/TOO146</f>
        <v>#DIV/0!</v>
      </c>
      <c r="TOT148" s="371">
        <v>15.38</v>
      </c>
      <c r="TOU148" s="371" t="e">
        <f>TOR148*TOS148*TOT148</f>
        <v>#DIV/0!</v>
      </c>
      <c r="TOV148" s="367" t="s">
        <v>206</v>
      </c>
      <c r="TOW148" s="367"/>
      <c r="TOX148" s="367"/>
      <c r="TOY148" s="368" t="s">
        <v>168</v>
      </c>
      <c r="TOZ148" s="369">
        <v>0.5</v>
      </c>
      <c r="TPA148" s="370" t="e">
        <f>10/TOW146</f>
        <v>#DIV/0!</v>
      </c>
      <c r="TPB148" s="371">
        <v>15.38</v>
      </c>
      <c r="TPC148" s="371" t="e">
        <f>TOZ148*TPA148*TPB148</f>
        <v>#DIV/0!</v>
      </c>
      <c r="TPD148" s="367" t="s">
        <v>206</v>
      </c>
      <c r="TPE148" s="367"/>
      <c r="TPF148" s="367"/>
      <c r="TPG148" s="368" t="s">
        <v>168</v>
      </c>
      <c r="TPH148" s="369">
        <v>0.5</v>
      </c>
      <c r="TPI148" s="370" t="e">
        <f>10/TPE146</f>
        <v>#DIV/0!</v>
      </c>
      <c r="TPJ148" s="371">
        <v>15.38</v>
      </c>
      <c r="TPK148" s="371" t="e">
        <f>TPH148*TPI148*TPJ148</f>
        <v>#DIV/0!</v>
      </c>
      <c r="TPL148" s="367" t="s">
        <v>206</v>
      </c>
      <c r="TPM148" s="367"/>
      <c r="TPN148" s="367"/>
      <c r="TPO148" s="368" t="s">
        <v>168</v>
      </c>
      <c r="TPP148" s="369">
        <v>0.5</v>
      </c>
      <c r="TPQ148" s="370" t="e">
        <f>10/TPM146</f>
        <v>#DIV/0!</v>
      </c>
      <c r="TPR148" s="371">
        <v>15.38</v>
      </c>
      <c r="TPS148" s="371" t="e">
        <f>TPP148*TPQ148*TPR148</f>
        <v>#DIV/0!</v>
      </c>
      <c r="TPT148" s="367" t="s">
        <v>206</v>
      </c>
      <c r="TPU148" s="367"/>
      <c r="TPV148" s="367"/>
      <c r="TPW148" s="368" t="s">
        <v>168</v>
      </c>
      <c r="TPX148" s="369">
        <v>0.5</v>
      </c>
      <c r="TPY148" s="370" t="e">
        <f>10/TPU146</f>
        <v>#DIV/0!</v>
      </c>
      <c r="TPZ148" s="371">
        <v>15.38</v>
      </c>
      <c r="TQA148" s="371" t="e">
        <f>TPX148*TPY148*TPZ148</f>
        <v>#DIV/0!</v>
      </c>
      <c r="TQB148" s="367" t="s">
        <v>206</v>
      </c>
      <c r="TQC148" s="367"/>
      <c r="TQD148" s="367"/>
      <c r="TQE148" s="368" t="s">
        <v>168</v>
      </c>
      <c r="TQF148" s="369">
        <v>0.5</v>
      </c>
      <c r="TQG148" s="370" t="e">
        <f>10/TQC146</f>
        <v>#DIV/0!</v>
      </c>
      <c r="TQH148" s="371">
        <v>15.38</v>
      </c>
      <c r="TQI148" s="371" t="e">
        <f>TQF148*TQG148*TQH148</f>
        <v>#DIV/0!</v>
      </c>
      <c r="TQJ148" s="367" t="s">
        <v>206</v>
      </c>
      <c r="TQK148" s="367"/>
      <c r="TQL148" s="367"/>
      <c r="TQM148" s="368" t="s">
        <v>168</v>
      </c>
      <c r="TQN148" s="369">
        <v>0.5</v>
      </c>
      <c r="TQO148" s="370" t="e">
        <f>10/TQK146</f>
        <v>#DIV/0!</v>
      </c>
      <c r="TQP148" s="371">
        <v>15.38</v>
      </c>
      <c r="TQQ148" s="371" t="e">
        <f>TQN148*TQO148*TQP148</f>
        <v>#DIV/0!</v>
      </c>
      <c r="TQR148" s="367" t="s">
        <v>206</v>
      </c>
      <c r="TQS148" s="367"/>
      <c r="TQT148" s="367"/>
      <c r="TQU148" s="368" t="s">
        <v>168</v>
      </c>
      <c r="TQV148" s="369">
        <v>0.5</v>
      </c>
      <c r="TQW148" s="370" t="e">
        <f>10/TQS146</f>
        <v>#DIV/0!</v>
      </c>
      <c r="TQX148" s="371">
        <v>15.38</v>
      </c>
      <c r="TQY148" s="371" t="e">
        <f>TQV148*TQW148*TQX148</f>
        <v>#DIV/0!</v>
      </c>
      <c r="TQZ148" s="367" t="s">
        <v>206</v>
      </c>
      <c r="TRA148" s="367"/>
      <c r="TRB148" s="367"/>
      <c r="TRC148" s="368" t="s">
        <v>168</v>
      </c>
      <c r="TRD148" s="369">
        <v>0.5</v>
      </c>
      <c r="TRE148" s="370" t="e">
        <f>10/TRA146</f>
        <v>#DIV/0!</v>
      </c>
      <c r="TRF148" s="371">
        <v>15.38</v>
      </c>
      <c r="TRG148" s="371" t="e">
        <f>TRD148*TRE148*TRF148</f>
        <v>#DIV/0!</v>
      </c>
      <c r="TRH148" s="367" t="s">
        <v>206</v>
      </c>
      <c r="TRI148" s="367"/>
      <c r="TRJ148" s="367"/>
      <c r="TRK148" s="368" t="s">
        <v>168</v>
      </c>
      <c r="TRL148" s="369">
        <v>0.5</v>
      </c>
      <c r="TRM148" s="370" t="e">
        <f>10/TRI146</f>
        <v>#DIV/0!</v>
      </c>
      <c r="TRN148" s="371">
        <v>15.38</v>
      </c>
      <c r="TRO148" s="371" t="e">
        <f>TRL148*TRM148*TRN148</f>
        <v>#DIV/0!</v>
      </c>
      <c r="TRP148" s="367" t="s">
        <v>206</v>
      </c>
      <c r="TRQ148" s="367"/>
      <c r="TRR148" s="367"/>
      <c r="TRS148" s="368" t="s">
        <v>168</v>
      </c>
      <c r="TRT148" s="369">
        <v>0.5</v>
      </c>
      <c r="TRU148" s="370" t="e">
        <f>10/TRQ146</f>
        <v>#DIV/0!</v>
      </c>
      <c r="TRV148" s="371">
        <v>15.38</v>
      </c>
      <c r="TRW148" s="371" t="e">
        <f>TRT148*TRU148*TRV148</f>
        <v>#DIV/0!</v>
      </c>
      <c r="TRX148" s="367" t="s">
        <v>206</v>
      </c>
      <c r="TRY148" s="367"/>
      <c r="TRZ148" s="367"/>
      <c r="TSA148" s="368" t="s">
        <v>168</v>
      </c>
      <c r="TSB148" s="369">
        <v>0.5</v>
      </c>
      <c r="TSC148" s="370" t="e">
        <f>10/TRY146</f>
        <v>#DIV/0!</v>
      </c>
      <c r="TSD148" s="371">
        <v>15.38</v>
      </c>
      <c r="TSE148" s="371" t="e">
        <f>TSB148*TSC148*TSD148</f>
        <v>#DIV/0!</v>
      </c>
      <c r="TSF148" s="367" t="s">
        <v>206</v>
      </c>
      <c r="TSG148" s="367"/>
      <c r="TSH148" s="367"/>
      <c r="TSI148" s="368" t="s">
        <v>168</v>
      </c>
      <c r="TSJ148" s="369">
        <v>0.5</v>
      </c>
      <c r="TSK148" s="370" t="e">
        <f>10/TSG146</f>
        <v>#DIV/0!</v>
      </c>
      <c r="TSL148" s="371">
        <v>15.38</v>
      </c>
      <c r="TSM148" s="371" t="e">
        <f>TSJ148*TSK148*TSL148</f>
        <v>#DIV/0!</v>
      </c>
      <c r="TSN148" s="367" t="s">
        <v>206</v>
      </c>
      <c r="TSO148" s="367"/>
      <c r="TSP148" s="367"/>
      <c r="TSQ148" s="368" t="s">
        <v>168</v>
      </c>
      <c r="TSR148" s="369">
        <v>0.5</v>
      </c>
      <c r="TSS148" s="370" t="e">
        <f>10/TSO146</f>
        <v>#DIV/0!</v>
      </c>
      <c r="TST148" s="371">
        <v>15.38</v>
      </c>
      <c r="TSU148" s="371" t="e">
        <f>TSR148*TSS148*TST148</f>
        <v>#DIV/0!</v>
      </c>
      <c r="TSV148" s="367" t="s">
        <v>206</v>
      </c>
      <c r="TSW148" s="367"/>
      <c r="TSX148" s="367"/>
      <c r="TSY148" s="368" t="s">
        <v>168</v>
      </c>
      <c r="TSZ148" s="369">
        <v>0.5</v>
      </c>
      <c r="TTA148" s="370" t="e">
        <f>10/TSW146</f>
        <v>#DIV/0!</v>
      </c>
      <c r="TTB148" s="371">
        <v>15.38</v>
      </c>
      <c r="TTC148" s="371" t="e">
        <f>TSZ148*TTA148*TTB148</f>
        <v>#DIV/0!</v>
      </c>
      <c r="TTD148" s="367" t="s">
        <v>206</v>
      </c>
      <c r="TTE148" s="367"/>
      <c r="TTF148" s="367"/>
      <c r="TTG148" s="368" t="s">
        <v>168</v>
      </c>
      <c r="TTH148" s="369">
        <v>0.5</v>
      </c>
      <c r="TTI148" s="370" t="e">
        <f>10/TTE146</f>
        <v>#DIV/0!</v>
      </c>
      <c r="TTJ148" s="371">
        <v>15.38</v>
      </c>
      <c r="TTK148" s="371" t="e">
        <f>TTH148*TTI148*TTJ148</f>
        <v>#DIV/0!</v>
      </c>
      <c r="TTL148" s="367" t="s">
        <v>206</v>
      </c>
      <c r="TTM148" s="367"/>
      <c r="TTN148" s="367"/>
      <c r="TTO148" s="368" t="s">
        <v>168</v>
      </c>
      <c r="TTP148" s="369">
        <v>0.5</v>
      </c>
      <c r="TTQ148" s="370" t="e">
        <f>10/TTM146</f>
        <v>#DIV/0!</v>
      </c>
      <c r="TTR148" s="371">
        <v>15.38</v>
      </c>
      <c r="TTS148" s="371" t="e">
        <f>TTP148*TTQ148*TTR148</f>
        <v>#DIV/0!</v>
      </c>
      <c r="TTT148" s="367" t="s">
        <v>206</v>
      </c>
      <c r="TTU148" s="367"/>
      <c r="TTV148" s="367"/>
      <c r="TTW148" s="368" t="s">
        <v>168</v>
      </c>
      <c r="TTX148" s="369">
        <v>0.5</v>
      </c>
      <c r="TTY148" s="370" t="e">
        <f>10/TTU146</f>
        <v>#DIV/0!</v>
      </c>
      <c r="TTZ148" s="371">
        <v>15.38</v>
      </c>
      <c r="TUA148" s="371" t="e">
        <f>TTX148*TTY148*TTZ148</f>
        <v>#DIV/0!</v>
      </c>
      <c r="TUB148" s="367" t="s">
        <v>206</v>
      </c>
      <c r="TUC148" s="367"/>
      <c r="TUD148" s="367"/>
      <c r="TUE148" s="368" t="s">
        <v>168</v>
      </c>
      <c r="TUF148" s="369">
        <v>0.5</v>
      </c>
      <c r="TUG148" s="370" t="e">
        <f>10/TUC146</f>
        <v>#DIV/0!</v>
      </c>
      <c r="TUH148" s="371">
        <v>15.38</v>
      </c>
      <c r="TUI148" s="371" t="e">
        <f>TUF148*TUG148*TUH148</f>
        <v>#DIV/0!</v>
      </c>
      <c r="TUJ148" s="367" t="s">
        <v>206</v>
      </c>
      <c r="TUK148" s="367"/>
      <c r="TUL148" s="367"/>
      <c r="TUM148" s="368" t="s">
        <v>168</v>
      </c>
      <c r="TUN148" s="369">
        <v>0.5</v>
      </c>
      <c r="TUO148" s="370" t="e">
        <f>10/TUK146</f>
        <v>#DIV/0!</v>
      </c>
      <c r="TUP148" s="371">
        <v>15.38</v>
      </c>
      <c r="TUQ148" s="371" t="e">
        <f>TUN148*TUO148*TUP148</f>
        <v>#DIV/0!</v>
      </c>
      <c r="TUR148" s="367" t="s">
        <v>206</v>
      </c>
      <c r="TUS148" s="367"/>
      <c r="TUT148" s="367"/>
      <c r="TUU148" s="368" t="s">
        <v>168</v>
      </c>
      <c r="TUV148" s="369">
        <v>0.5</v>
      </c>
      <c r="TUW148" s="370" t="e">
        <f>10/TUS146</f>
        <v>#DIV/0!</v>
      </c>
      <c r="TUX148" s="371">
        <v>15.38</v>
      </c>
      <c r="TUY148" s="371" t="e">
        <f>TUV148*TUW148*TUX148</f>
        <v>#DIV/0!</v>
      </c>
      <c r="TUZ148" s="367" t="s">
        <v>206</v>
      </c>
      <c r="TVA148" s="367"/>
      <c r="TVB148" s="367"/>
      <c r="TVC148" s="368" t="s">
        <v>168</v>
      </c>
      <c r="TVD148" s="369">
        <v>0.5</v>
      </c>
      <c r="TVE148" s="370" t="e">
        <f>10/TVA146</f>
        <v>#DIV/0!</v>
      </c>
      <c r="TVF148" s="371">
        <v>15.38</v>
      </c>
      <c r="TVG148" s="371" t="e">
        <f>TVD148*TVE148*TVF148</f>
        <v>#DIV/0!</v>
      </c>
      <c r="TVH148" s="367" t="s">
        <v>206</v>
      </c>
      <c r="TVI148" s="367"/>
      <c r="TVJ148" s="367"/>
      <c r="TVK148" s="368" t="s">
        <v>168</v>
      </c>
      <c r="TVL148" s="369">
        <v>0.5</v>
      </c>
      <c r="TVM148" s="370" t="e">
        <f>10/TVI146</f>
        <v>#DIV/0!</v>
      </c>
      <c r="TVN148" s="371">
        <v>15.38</v>
      </c>
      <c r="TVO148" s="371" t="e">
        <f>TVL148*TVM148*TVN148</f>
        <v>#DIV/0!</v>
      </c>
      <c r="TVP148" s="367" t="s">
        <v>206</v>
      </c>
      <c r="TVQ148" s="367"/>
      <c r="TVR148" s="367"/>
      <c r="TVS148" s="368" t="s">
        <v>168</v>
      </c>
      <c r="TVT148" s="369">
        <v>0.5</v>
      </c>
      <c r="TVU148" s="370" t="e">
        <f>10/TVQ146</f>
        <v>#DIV/0!</v>
      </c>
      <c r="TVV148" s="371">
        <v>15.38</v>
      </c>
      <c r="TVW148" s="371" t="e">
        <f>TVT148*TVU148*TVV148</f>
        <v>#DIV/0!</v>
      </c>
      <c r="TVX148" s="367" t="s">
        <v>206</v>
      </c>
      <c r="TVY148" s="367"/>
      <c r="TVZ148" s="367"/>
      <c r="TWA148" s="368" t="s">
        <v>168</v>
      </c>
      <c r="TWB148" s="369">
        <v>0.5</v>
      </c>
      <c r="TWC148" s="370" t="e">
        <f>10/TVY146</f>
        <v>#DIV/0!</v>
      </c>
      <c r="TWD148" s="371">
        <v>15.38</v>
      </c>
      <c r="TWE148" s="371" t="e">
        <f>TWB148*TWC148*TWD148</f>
        <v>#DIV/0!</v>
      </c>
      <c r="TWF148" s="367" t="s">
        <v>206</v>
      </c>
      <c r="TWG148" s="367"/>
      <c r="TWH148" s="367"/>
      <c r="TWI148" s="368" t="s">
        <v>168</v>
      </c>
      <c r="TWJ148" s="369">
        <v>0.5</v>
      </c>
      <c r="TWK148" s="370" t="e">
        <f>10/TWG146</f>
        <v>#DIV/0!</v>
      </c>
      <c r="TWL148" s="371">
        <v>15.38</v>
      </c>
      <c r="TWM148" s="371" t="e">
        <f>TWJ148*TWK148*TWL148</f>
        <v>#DIV/0!</v>
      </c>
      <c r="TWN148" s="367" t="s">
        <v>206</v>
      </c>
      <c r="TWO148" s="367"/>
      <c r="TWP148" s="367"/>
      <c r="TWQ148" s="368" t="s">
        <v>168</v>
      </c>
      <c r="TWR148" s="369">
        <v>0.5</v>
      </c>
      <c r="TWS148" s="370" t="e">
        <f>10/TWO146</f>
        <v>#DIV/0!</v>
      </c>
      <c r="TWT148" s="371">
        <v>15.38</v>
      </c>
      <c r="TWU148" s="371" t="e">
        <f>TWR148*TWS148*TWT148</f>
        <v>#DIV/0!</v>
      </c>
      <c r="TWV148" s="367" t="s">
        <v>206</v>
      </c>
      <c r="TWW148" s="367"/>
      <c r="TWX148" s="367"/>
      <c r="TWY148" s="368" t="s">
        <v>168</v>
      </c>
      <c r="TWZ148" s="369">
        <v>0.5</v>
      </c>
      <c r="TXA148" s="370" t="e">
        <f>10/TWW146</f>
        <v>#DIV/0!</v>
      </c>
      <c r="TXB148" s="371">
        <v>15.38</v>
      </c>
      <c r="TXC148" s="371" t="e">
        <f>TWZ148*TXA148*TXB148</f>
        <v>#DIV/0!</v>
      </c>
      <c r="TXD148" s="367" t="s">
        <v>206</v>
      </c>
      <c r="TXE148" s="367"/>
      <c r="TXF148" s="367"/>
      <c r="TXG148" s="368" t="s">
        <v>168</v>
      </c>
      <c r="TXH148" s="369">
        <v>0.5</v>
      </c>
      <c r="TXI148" s="370" t="e">
        <f>10/TXE146</f>
        <v>#DIV/0!</v>
      </c>
      <c r="TXJ148" s="371">
        <v>15.38</v>
      </c>
      <c r="TXK148" s="371" t="e">
        <f>TXH148*TXI148*TXJ148</f>
        <v>#DIV/0!</v>
      </c>
      <c r="TXL148" s="367" t="s">
        <v>206</v>
      </c>
      <c r="TXM148" s="367"/>
      <c r="TXN148" s="367"/>
      <c r="TXO148" s="368" t="s">
        <v>168</v>
      </c>
      <c r="TXP148" s="369">
        <v>0.5</v>
      </c>
      <c r="TXQ148" s="370" t="e">
        <f>10/TXM146</f>
        <v>#DIV/0!</v>
      </c>
      <c r="TXR148" s="371">
        <v>15.38</v>
      </c>
      <c r="TXS148" s="371" t="e">
        <f>TXP148*TXQ148*TXR148</f>
        <v>#DIV/0!</v>
      </c>
      <c r="TXT148" s="367" t="s">
        <v>206</v>
      </c>
      <c r="TXU148" s="367"/>
      <c r="TXV148" s="367"/>
      <c r="TXW148" s="368" t="s">
        <v>168</v>
      </c>
      <c r="TXX148" s="369">
        <v>0.5</v>
      </c>
      <c r="TXY148" s="370" t="e">
        <f>10/TXU146</f>
        <v>#DIV/0!</v>
      </c>
      <c r="TXZ148" s="371">
        <v>15.38</v>
      </c>
      <c r="TYA148" s="371" t="e">
        <f>TXX148*TXY148*TXZ148</f>
        <v>#DIV/0!</v>
      </c>
      <c r="TYB148" s="367" t="s">
        <v>206</v>
      </c>
      <c r="TYC148" s="367"/>
      <c r="TYD148" s="367"/>
      <c r="TYE148" s="368" t="s">
        <v>168</v>
      </c>
      <c r="TYF148" s="369">
        <v>0.5</v>
      </c>
      <c r="TYG148" s="370" t="e">
        <f>10/TYC146</f>
        <v>#DIV/0!</v>
      </c>
      <c r="TYH148" s="371">
        <v>15.38</v>
      </c>
      <c r="TYI148" s="371" t="e">
        <f>TYF148*TYG148*TYH148</f>
        <v>#DIV/0!</v>
      </c>
      <c r="TYJ148" s="367" t="s">
        <v>206</v>
      </c>
      <c r="TYK148" s="367"/>
      <c r="TYL148" s="367"/>
      <c r="TYM148" s="368" t="s">
        <v>168</v>
      </c>
      <c r="TYN148" s="369">
        <v>0.5</v>
      </c>
      <c r="TYO148" s="370" t="e">
        <f>10/TYK146</f>
        <v>#DIV/0!</v>
      </c>
      <c r="TYP148" s="371">
        <v>15.38</v>
      </c>
      <c r="TYQ148" s="371" t="e">
        <f>TYN148*TYO148*TYP148</f>
        <v>#DIV/0!</v>
      </c>
      <c r="TYR148" s="367" t="s">
        <v>206</v>
      </c>
      <c r="TYS148" s="367"/>
      <c r="TYT148" s="367"/>
      <c r="TYU148" s="368" t="s">
        <v>168</v>
      </c>
      <c r="TYV148" s="369">
        <v>0.5</v>
      </c>
      <c r="TYW148" s="370" t="e">
        <f>10/TYS146</f>
        <v>#DIV/0!</v>
      </c>
      <c r="TYX148" s="371">
        <v>15.38</v>
      </c>
      <c r="TYY148" s="371" t="e">
        <f>TYV148*TYW148*TYX148</f>
        <v>#DIV/0!</v>
      </c>
      <c r="TYZ148" s="367" t="s">
        <v>206</v>
      </c>
      <c r="TZA148" s="367"/>
      <c r="TZB148" s="367"/>
      <c r="TZC148" s="368" t="s">
        <v>168</v>
      </c>
      <c r="TZD148" s="369">
        <v>0.5</v>
      </c>
      <c r="TZE148" s="370" t="e">
        <f>10/TZA146</f>
        <v>#DIV/0!</v>
      </c>
      <c r="TZF148" s="371">
        <v>15.38</v>
      </c>
      <c r="TZG148" s="371" t="e">
        <f>TZD148*TZE148*TZF148</f>
        <v>#DIV/0!</v>
      </c>
      <c r="TZH148" s="367" t="s">
        <v>206</v>
      </c>
      <c r="TZI148" s="367"/>
      <c r="TZJ148" s="367"/>
      <c r="TZK148" s="368" t="s">
        <v>168</v>
      </c>
      <c r="TZL148" s="369">
        <v>0.5</v>
      </c>
      <c r="TZM148" s="370" t="e">
        <f>10/TZI146</f>
        <v>#DIV/0!</v>
      </c>
      <c r="TZN148" s="371">
        <v>15.38</v>
      </c>
      <c r="TZO148" s="371" t="e">
        <f>TZL148*TZM148*TZN148</f>
        <v>#DIV/0!</v>
      </c>
      <c r="TZP148" s="367" t="s">
        <v>206</v>
      </c>
      <c r="TZQ148" s="367"/>
      <c r="TZR148" s="367"/>
      <c r="TZS148" s="368" t="s">
        <v>168</v>
      </c>
      <c r="TZT148" s="369">
        <v>0.5</v>
      </c>
      <c r="TZU148" s="370" t="e">
        <f>10/TZQ146</f>
        <v>#DIV/0!</v>
      </c>
      <c r="TZV148" s="371">
        <v>15.38</v>
      </c>
      <c r="TZW148" s="371" t="e">
        <f>TZT148*TZU148*TZV148</f>
        <v>#DIV/0!</v>
      </c>
      <c r="TZX148" s="367" t="s">
        <v>206</v>
      </c>
      <c r="TZY148" s="367"/>
      <c r="TZZ148" s="367"/>
      <c r="UAA148" s="368" t="s">
        <v>168</v>
      </c>
      <c r="UAB148" s="369">
        <v>0.5</v>
      </c>
      <c r="UAC148" s="370" t="e">
        <f>10/TZY146</f>
        <v>#DIV/0!</v>
      </c>
      <c r="UAD148" s="371">
        <v>15.38</v>
      </c>
      <c r="UAE148" s="371" t="e">
        <f>UAB148*UAC148*UAD148</f>
        <v>#DIV/0!</v>
      </c>
      <c r="UAF148" s="367" t="s">
        <v>206</v>
      </c>
      <c r="UAG148" s="367"/>
      <c r="UAH148" s="367"/>
      <c r="UAI148" s="368" t="s">
        <v>168</v>
      </c>
      <c r="UAJ148" s="369">
        <v>0.5</v>
      </c>
      <c r="UAK148" s="370" t="e">
        <f>10/UAG146</f>
        <v>#DIV/0!</v>
      </c>
      <c r="UAL148" s="371">
        <v>15.38</v>
      </c>
      <c r="UAM148" s="371" t="e">
        <f>UAJ148*UAK148*UAL148</f>
        <v>#DIV/0!</v>
      </c>
      <c r="UAN148" s="367" t="s">
        <v>206</v>
      </c>
      <c r="UAO148" s="367"/>
      <c r="UAP148" s="367"/>
      <c r="UAQ148" s="368" t="s">
        <v>168</v>
      </c>
      <c r="UAR148" s="369">
        <v>0.5</v>
      </c>
      <c r="UAS148" s="370" t="e">
        <f>10/UAO146</f>
        <v>#DIV/0!</v>
      </c>
      <c r="UAT148" s="371">
        <v>15.38</v>
      </c>
      <c r="UAU148" s="371" t="e">
        <f>UAR148*UAS148*UAT148</f>
        <v>#DIV/0!</v>
      </c>
      <c r="UAV148" s="367" t="s">
        <v>206</v>
      </c>
      <c r="UAW148" s="367"/>
      <c r="UAX148" s="367"/>
      <c r="UAY148" s="368" t="s">
        <v>168</v>
      </c>
      <c r="UAZ148" s="369">
        <v>0.5</v>
      </c>
      <c r="UBA148" s="370" t="e">
        <f>10/UAW146</f>
        <v>#DIV/0!</v>
      </c>
      <c r="UBB148" s="371">
        <v>15.38</v>
      </c>
      <c r="UBC148" s="371" t="e">
        <f>UAZ148*UBA148*UBB148</f>
        <v>#DIV/0!</v>
      </c>
      <c r="UBD148" s="367" t="s">
        <v>206</v>
      </c>
      <c r="UBE148" s="367"/>
      <c r="UBF148" s="367"/>
      <c r="UBG148" s="368" t="s">
        <v>168</v>
      </c>
      <c r="UBH148" s="369">
        <v>0.5</v>
      </c>
      <c r="UBI148" s="370" t="e">
        <f>10/UBE146</f>
        <v>#DIV/0!</v>
      </c>
      <c r="UBJ148" s="371">
        <v>15.38</v>
      </c>
      <c r="UBK148" s="371" t="e">
        <f>UBH148*UBI148*UBJ148</f>
        <v>#DIV/0!</v>
      </c>
      <c r="UBL148" s="367" t="s">
        <v>206</v>
      </c>
      <c r="UBM148" s="367"/>
      <c r="UBN148" s="367"/>
      <c r="UBO148" s="368" t="s">
        <v>168</v>
      </c>
      <c r="UBP148" s="369">
        <v>0.5</v>
      </c>
      <c r="UBQ148" s="370" t="e">
        <f>10/UBM146</f>
        <v>#DIV/0!</v>
      </c>
      <c r="UBR148" s="371">
        <v>15.38</v>
      </c>
      <c r="UBS148" s="371" t="e">
        <f>UBP148*UBQ148*UBR148</f>
        <v>#DIV/0!</v>
      </c>
      <c r="UBT148" s="367" t="s">
        <v>206</v>
      </c>
      <c r="UBU148" s="367"/>
      <c r="UBV148" s="367"/>
      <c r="UBW148" s="368" t="s">
        <v>168</v>
      </c>
      <c r="UBX148" s="369">
        <v>0.5</v>
      </c>
      <c r="UBY148" s="370" t="e">
        <f>10/UBU146</f>
        <v>#DIV/0!</v>
      </c>
      <c r="UBZ148" s="371">
        <v>15.38</v>
      </c>
      <c r="UCA148" s="371" t="e">
        <f>UBX148*UBY148*UBZ148</f>
        <v>#DIV/0!</v>
      </c>
      <c r="UCB148" s="367" t="s">
        <v>206</v>
      </c>
      <c r="UCC148" s="367"/>
      <c r="UCD148" s="367"/>
      <c r="UCE148" s="368" t="s">
        <v>168</v>
      </c>
      <c r="UCF148" s="369">
        <v>0.5</v>
      </c>
      <c r="UCG148" s="370" t="e">
        <f>10/UCC146</f>
        <v>#DIV/0!</v>
      </c>
      <c r="UCH148" s="371">
        <v>15.38</v>
      </c>
      <c r="UCI148" s="371" t="e">
        <f>UCF148*UCG148*UCH148</f>
        <v>#DIV/0!</v>
      </c>
      <c r="UCJ148" s="367" t="s">
        <v>206</v>
      </c>
      <c r="UCK148" s="367"/>
      <c r="UCL148" s="367"/>
      <c r="UCM148" s="368" t="s">
        <v>168</v>
      </c>
      <c r="UCN148" s="369">
        <v>0.5</v>
      </c>
      <c r="UCO148" s="370" t="e">
        <f>10/UCK146</f>
        <v>#DIV/0!</v>
      </c>
      <c r="UCP148" s="371">
        <v>15.38</v>
      </c>
      <c r="UCQ148" s="371" t="e">
        <f>UCN148*UCO148*UCP148</f>
        <v>#DIV/0!</v>
      </c>
      <c r="UCR148" s="367" t="s">
        <v>206</v>
      </c>
      <c r="UCS148" s="367"/>
      <c r="UCT148" s="367"/>
      <c r="UCU148" s="368" t="s">
        <v>168</v>
      </c>
      <c r="UCV148" s="369">
        <v>0.5</v>
      </c>
      <c r="UCW148" s="370" t="e">
        <f>10/UCS146</f>
        <v>#DIV/0!</v>
      </c>
      <c r="UCX148" s="371">
        <v>15.38</v>
      </c>
      <c r="UCY148" s="371" t="e">
        <f>UCV148*UCW148*UCX148</f>
        <v>#DIV/0!</v>
      </c>
      <c r="UCZ148" s="367" t="s">
        <v>206</v>
      </c>
      <c r="UDA148" s="367"/>
      <c r="UDB148" s="367"/>
      <c r="UDC148" s="368" t="s">
        <v>168</v>
      </c>
      <c r="UDD148" s="369">
        <v>0.5</v>
      </c>
      <c r="UDE148" s="370" t="e">
        <f>10/UDA146</f>
        <v>#DIV/0!</v>
      </c>
      <c r="UDF148" s="371">
        <v>15.38</v>
      </c>
      <c r="UDG148" s="371" t="e">
        <f>UDD148*UDE148*UDF148</f>
        <v>#DIV/0!</v>
      </c>
      <c r="UDH148" s="367" t="s">
        <v>206</v>
      </c>
      <c r="UDI148" s="367"/>
      <c r="UDJ148" s="367"/>
      <c r="UDK148" s="368" t="s">
        <v>168</v>
      </c>
      <c r="UDL148" s="369">
        <v>0.5</v>
      </c>
      <c r="UDM148" s="370" t="e">
        <f>10/UDI146</f>
        <v>#DIV/0!</v>
      </c>
      <c r="UDN148" s="371">
        <v>15.38</v>
      </c>
      <c r="UDO148" s="371" t="e">
        <f>UDL148*UDM148*UDN148</f>
        <v>#DIV/0!</v>
      </c>
      <c r="UDP148" s="367" t="s">
        <v>206</v>
      </c>
      <c r="UDQ148" s="367"/>
      <c r="UDR148" s="367"/>
      <c r="UDS148" s="368" t="s">
        <v>168</v>
      </c>
      <c r="UDT148" s="369">
        <v>0.5</v>
      </c>
      <c r="UDU148" s="370" t="e">
        <f>10/UDQ146</f>
        <v>#DIV/0!</v>
      </c>
      <c r="UDV148" s="371">
        <v>15.38</v>
      </c>
      <c r="UDW148" s="371" t="e">
        <f>UDT148*UDU148*UDV148</f>
        <v>#DIV/0!</v>
      </c>
      <c r="UDX148" s="367" t="s">
        <v>206</v>
      </c>
      <c r="UDY148" s="367"/>
      <c r="UDZ148" s="367"/>
      <c r="UEA148" s="368" t="s">
        <v>168</v>
      </c>
      <c r="UEB148" s="369">
        <v>0.5</v>
      </c>
      <c r="UEC148" s="370" t="e">
        <f>10/UDY146</f>
        <v>#DIV/0!</v>
      </c>
      <c r="UED148" s="371">
        <v>15.38</v>
      </c>
      <c r="UEE148" s="371" t="e">
        <f>UEB148*UEC148*UED148</f>
        <v>#DIV/0!</v>
      </c>
      <c r="UEF148" s="367" t="s">
        <v>206</v>
      </c>
      <c r="UEG148" s="367"/>
      <c r="UEH148" s="367"/>
      <c r="UEI148" s="368" t="s">
        <v>168</v>
      </c>
      <c r="UEJ148" s="369">
        <v>0.5</v>
      </c>
      <c r="UEK148" s="370" t="e">
        <f>10/UEG146</f>
        <v>#DIV/0!</v>
      </c>
      <c r="UEL148" s="371">
        <v>15.38</v>
      </c>
      <c r="UEM148" s="371" t="e">
        <f>UEJ148*UEK148*UEL148</f>
        <v>#DIV/0!</v>
      </c>
      <c r="UEN148" s="367" t="s">
        <v>206</v>
      </c>
      <c r="UEO148" s="367"/>
      <c r="UEP148" s="367"/>
      <c r="UEQ148" s="368" t="s">
        <v>168</v>
      </c>
      <c r="UER148" s="369">
        <v>0.5</v>
      </c>
      <c r="UES148" s="370" t="e">
        <f>10/UEO146</f>
        <v>#DIV/0!</v>
      </c>
      <c r="UET148" s="371">
        <v>15.38</v>
      </c>
      <c r="UEU148" s="371" t="e">
        <f>UER148*UES148*UET148</f>
        <v>#DIV/0!</v>
      </c>
      <c r="UEV148" s="367" t="s">
        <v>206</v>
      </c>
      <c r="UEW148" s="367"/>
      <c r="UEX148" s="367"/>
      <c r="UEY148" s="368" t="s">
        <v>168</v>
      </c>
      <c r="UEZ148" s="369">
        <v>0.5</v>
      </c>
      <c r="UFA148" s="370" t="e">
        <f>10/UEW146</f>
        <v>#DIV/0!</v>
      </c>
      <c r="UFB148" s="371">
        <v>15.38</v>
      </c>
      <c r="UFC148" s="371" t="e">
        <f>UEZ148*UFA148*UFB148</f>
        <v>#DIV/0!</v>
      </c>
      <c r="UFD148" s="367" t="s">
        <v>206</v>
      </c>
      <c r="UFE148" s="367"/>
      <c r="UFF148" s="367"/>
      <c r="UFG148" s="368" t="s">
        <v>168</v>
      </c>
      <c r="UFH148" s="369">
        <v>0.5</v>
      </c>
      <c r="UFI148" s="370" t="e">
        <f>10/UFE146</f>
        <v>#DIV/0!</v>
      </c>
      <c r="UFJ148" s="371">
        <v>15.38</v>
      </c>
      <c r="UFK148" s="371" t="e">
        <f>UFH148*UFI148*UFJ148</f>
        <v>#DIV/0!</v>
      </c>
      <c r="UFL148" s="367" t="s">
        <v>206</v>
      </c>
      <c r="UFM148" s="367"/>
      <c r="UFN148" s="367"/>
      <c r="UFO148" s="368" t="s">
        <v>168</v>
      </c>
      <c r="UFP148" s="369">
        <v>0.5</v>
      </c>
      <c r="UFQ148" s="370" t="e">
        <f>10/UFM146</f>
        <v>#DIV/0!</v>
      </c>
      <c r="UFR148" s="371">
        <v>15.38</v>
      </c>
      <c r="UFS148" s="371" t="e">
        <f>UFP148*UFQ148*UFR148</f>
        <v>#DIV/0!</v>
      </c>
      <c r="UFT148" s="367" t="s">
        <v>206</v>
      </c>
      <c r="UFU148" s="367"/>
      <c r="UFV148" s="367"/>
      <c r="UFW148" s="368" t="s">
        <v>168</v>
      </c>
      <c r="UFX148" s="369">
        <v>0.5</v>
      </c>
      <c r="UFY148" s="370" t="e">
        <f>10/UFU146</f>
        <v>#DIV/0!</v>
      </c>
      <c r="UFZ148" s="371">
        <v>15.38</v>
      </c>
      <c r="UGA148" s="371" t="e">
        <f>UFX148*UFY148*UFZ148</f>
        <v>#DIV/0!</v>
      </c>
      <c r="UGB148" s="367" t="s">
        <v>206</v>
      </c>
      <c r="UGC148" s="367"/>
      <c r="UGD148" s="367"/>
      <c r="UGE148" s="368" t="s">
        <v>168</v>
      </c>
      <c r="UGF148" s="369">
        <v>0.5</v>
      </c>
      <c r="UGG148" s="370" t="e">
        <f>10/UGC146</f>
        <v>#DIV/0!</v>
      </c>
      <c r="UGH148" s="371">
        <v>15.38</v>
      </c>
      <c r="UGI148" s="371" t="e">
        <f>UGF148*UGG148*UGH148</f>
        <v>#DIV/0!</v>
      </c>
      <c r="UGJ148" s="367" t="s">
        <v>206</v>
      </c>
      <c r="UGK148" s="367"/>
      <c r="UGL148" s="367"/>
      <c r="UGM148" s="368" t="s">
        <v>168</v>
      </c>
      <c r="UGN148" s="369">
        <v>0.5</v>
      </c>
      <c r="UGO148" s="370" t="e">
        <f>10/UGK146</f>
        <v>#DIV/0!</v>
      </c>
      <c r="UGP148" s="371">
        <v>15.38</v>
      </c>
      <c r="UGQ148" s="371" t="e">
        <f>UGN148*UGO148*UGP148</f>
        <v>#DIV/0!</v>
      </c>
      <c r="UGR148" s="367" t="s">
        <v>206</v>
      </c>
      <c r="UGS148" s="367"/>
      <c r="UGT148" s="367"/>
      <c r="UGU148" s="368" t="s">
        <v>168</v>
      </c>
      <c r="UGV148" s="369">
        <v>0.5</v>
      </c>
      <c r="UGW148" s="370" t="e">
        <f>10/UGS146</f>
        <v>#DIV/0!</v>
      </c>
      <c r="UGX148" s="371">
        <v>15.38</v>
      </c>
      <c r="UGY148" s="371" t="e">
        <f>UGV148*UGW148*UGX148</f>
        <v>#DIV/0!</v>
      </c>
      <c r="UGZ148" s="367" t="s">
        <v>206</v>
      </c>
      <c r="UHA148" s="367"/>
      <c r="UHB148" s="367"/>
      <c r="UHC148" s="368" t="s">
        <v>168</v>
      </c>
      <c r="UHD148" s="369">
        <v>0.5</v>
      </c>
      <c r="UHE148" s="370" t="e">
        <f>10/UHA146</f>
        <v>#DIV/0!</v>
      </c>
      <c r="UHF148" s="371">
        <v>15.38</v>
      </c>
      <c r="UHG148" s="371" t="e">
        <f>UHD148*UHE148*UHF148</f>
        <v>#DIV/0!</v>
      </c>
      <c r="UHH148" s="367" t="s">
        <v>206</v>
      </c>
      <c r="UHI148" s="367"/>
      <c r="UHJ148" s="367"/>
      <c r="UHK148" s="368" t="s">
        <v>168</v>
      </c>
      <c r="UHL148" s="369">
        <v>0.5</v>
      </c>
      <c r="UHM148" s="370" t="e">
        <f>10/UHI146</f>
        <v>#DIV/0!</v>
      </c>
      <c r="UHN148" s="371">
        <v>15.38</v>
      </c>
      <c r="UHO148" s="371" t="e">
        <f>UHL148*UHM148*UHN148</f>
        <v>#DIV/0!</v>
      </c>
      <c r="UHP148" s="367" t="s">
        <v>206</v>
      </c>
      <c r="UHQ148" s="367"/>
      <c r="UHR148" s="367"/>
      <c r="UHS148" s="368" t="s">
        <v>168</v>
      </c>
      <c r="UHT148" s="369">
        <v>0.5</v>
      </c>
      <c r="UHU148" s="370" t="e">
        <f>10/UHQ146</f>
        <v>#DIV/0!</v>
      </c>
      <c r="UHV148" s="371">
        <v>15.38</v>
      </c>
      <c r="UHW148" s="371" t="e">
        <f>UHT148*UHU148*UHV148</f>
        <v>#DIV/0!</v>
      </c>
      <c r="UHX148" s="367" t="s">
        <v>206</v>
      </c>
      <c r="UHY148" s="367"/>
      <c r="UHZ148" s="367"/>
      <c r="UIA148" s="368" t="s">
        <v>168</v>
      </c>
      <c r="UIB148" s="369">
        <v>0.5</v>
      </c>
      <c r="UIC148" s="370" t="e">
        <f>10/UHY146</f>
        <v>#DIV/0!</v>
      </c>
      <c r="UID148" s="371">
        <v>15.38</v>
      </c>
      <c r="UIE148" s="371" t="e">
        <f>UIB148*UIC148*UID148</f>
        <v>#DIV/0!</v>
      </c>
      <c r="UIF148" s="367" t="s">
        <v>206</v>
      </c>
      <c r="UIG148" s="367"/>
      <c r="UIH148" s="367"/>
      <c r="UII148" s="368" t="s">
        <v>168</v>
      </c>
      <c r="UIJ148" s="369">
        <v>0.5</v>
      </c>
      <c r="UIK148" s="370" t="e">
        <f>10/UIG146</f>
        <v>#DIV/0!</v>
      </c>
      <c r="UIL148" s="371">
        <v>15.38</v>
      </c>
      <c r="UIM148" s="371" t="e">
        <f>UIJ148*UIK148*UIL148</f>
        <v>#DIV/0!</v>
      </c>
      <c r="UIN148" s="367" t="s">
        <v>206</v>
      </c>
      <c r="UIO148" s="367"/>
      <c r="UIP148" s="367"/>
      <c r="UIQ148" s="368" t="s">
        <v>168</v>
      </c>
      <c r="UIR148" s="369">
        <v>0.5</v>
      </c>
      <c r="UIS148" s="370" t="e">
        <f>10/UIO146</f>
        <v>#DIV/0!</v>
      </c>
      <c r="UIT148" s="371">
        <v>15.38</v>
      </c>
      <c r="UIU148" s="371" t="e">
        <f>UIR148*UIS148*UIT148</f>
        <v>#DIV/0!</v>
      </c>
      <c r="UIV148" s="367" t="s">
        <v>206</v>
      </c>
      <c r="UIW148" s="367"/>
      <c r="UIX148" s="367"/>
      <c r="UIY148" s="368" t="s">
        <v>168</v>
      </c>
      <c r="UIZ148" s="369">
        <v>0.5</v>
      </c>
      <c r="UJA148" s="370" t="e">
        <f>10/UIW146</f>
        <v>#DIV/0!</v>
      </c>
      <c r="UJB148" s="371">
        <v>15.38</v>
      </c>
      <c r="UJC148" s="371" t="e">
        <f>UIZ148*UJA148*UJB148</f>
        <v>#DIV/0!</v>
      </c>
      <c r="UJD148" s="367" t="s">
        <v>206</v>
      </c>
      <c r="UJE148" s="367"/>
      <c r="UJF148" s="367"/>
      <c r="UJG148" s="368" t="s">
        <v>168</v>
      </c>
      <c r="UJH148" s="369">
        <v>0.5</v>
      </c>
      <c r="UJI148" s="370" t="e">
        <f>10/UJE146</f>
        <v>#DIV/0!</v>
      </c>
      <c r="UJJ148" s="371">
        <v>15.38</v>
      </c>
      <c r="UJK148" s="371" t="e">
        <f>UJH148*UJI148*UJJ148</f>
        <v>#DIV/0!</v>
      </c>
      <c r="UJL148" s="367" t="s">
        <v>206</v>
      </c>
      <c r="UJM148" s="367"/>
      <c r="UJN148" s="367"/>
      <c r="UJO148" s="368" t="s">
        <v>168</v>
      </c>
      <c r="UJP148" s="369">
        <v>0.5</v>
      </c>
      <c r="UJQ148" s="370" t="e">
        <f>10/UJM146</f>
        <v>#DIV/0!</v>
      </c>
      <c r="UJR148" s="371">
        <v>15.38</v>
      </c>
      <c r="UJS148" s="371" t="e">
        <f>UJP148*UJQ148*UJR148</f>
        <v>#DIV/0!</v>
      </c>
      <c r="UJT148" s="367" t="s">
        <v>206</v>
      </c>
      <c r="UJU148" s="367"/>
      <c r="UJV148" s="367"/>
      <c r="UJW148" s="368" t="s">
        <v>168</v>
      </c>
      <c r="UJX148" s="369">
        <v>0.5</v>
      </c>
      <c r="UJY148" s="370" t="e">
        <f>10/UJU146</f>
        <v>#DIV/0!</v>
      </c>
      <c r="UJZ148" s="371">
        <v>15.38</v>
      </c>
      <c r="UKA148" s="371" t="e">
        <f>UJX148*UJY148*UJZ148</f>
        <v>#DIV/0!</v>
      </c>
      <c r="UKB148" s="367" t="s">
        <v>206</v>
      </c>
      <c r="UKC148" s="367"/>
      <c r="UKD148" s="367"/>
      <c r="UKE148" s="368" t="s">
        <v>168</v>
      </c>
      <c r="UKF148" s="369">
        <v>0.5</v>
      </c>
      <c r="UKG148" s="370" t="e">
        <f>10/UKC146</f>
        <v>#DIV/0!</v>
      </c>
      <c r="UKH148" s="371">
        <v>15.38</v>
      </c>
      <c r="UKI148" s="371" t="e">
        <f>UKF148*UKG148*UKH148</f>
        <v>#DIV/0!</v>
      </c>
      <c r="UKJ148" s="367" t="s">
        <v>206</v>
      </c>
      <c r="UKK148" s="367"/>
      <c r="UKL148" s="367"/>
      <c r="UKM148" s="368" t="s">
        <v>168</v>
      </c>
      <c r="UKN148" s="369">
        <v>0.5</v>
      </c>
      <c r="UKO148" s="370" t="e">
        <f>10/UKK146</f>
        <v>#DIV/0!</v>
      </c>
      <c r="UKP148" s="371">
        <v>15.38</v>
      </c>
      <c r="UKQ148" s="371" t="e">
        <f>UKN148*UKO148*UKP148</f>
        <v>#DIV/0!</v>
      </c>
      <c r="UKR148" s="367" t="s">
        <v>206</v>
      </c>
      <c r="UKS148" s="367"/>
      <c r="UKT148" s="367"/>
      <c r="UKU148" s="368" t="s">
        <v>168</v>
      </c>
      <c r="UKV148" s="369">
        <v>0.5</v>
      </c>
      <c r="UKW148" s="370" t="e">
        <f>10/UKS146</f>
        <v>#DIV/0!</v>
      </c>
      <c r="UKX148" s="371">
        <v>15.38</v>
      </c>
      <c r="UKY148" s="371" t="e">
        <f>UKV148*UKW148*UKX148</f>
        <v>#DIV/0!</v>
      </c>
      <c r="UKZ148" s="367" t="s">
        <v>206</v>
      </c>
      <c r="ULA148" s="367"/>
      <c r="ULB148" s="367"/>
      <c r="ULC148" s="368" t="s">
        <v>168</v>
      </c>
      <c r="ULD148" s="369">
        <v>0.5</v>
      </c>
      <c r="ULE148" s="370" t="e">
        <f>10/ULA146</f>
        <v>#DIV/0!</v>
      </c>
      <c r="ULF148" s="371">
        <v>15.38</v>
      </c>
      <c r="ULG148" s="371" t="e">
        <f>ULD148*ULE148*ULF148</f>
        <v>#DIV/0!</v>
      </c>
      <c r="ULH148" s="367" t="s">
        <v>206</v>
      </c>
      <c r="ULI148" s="367"/>
      <c r="ULJ148" s="367"/>
      <c r="ULK148" s="368" t="s">
        <v>168</v>
      </c>
      <c r="ULL148" s="369">
        <v>0.5</v>
      </c>
      <c r="ULM148" s="370" t="e">
        <f>10/ULI146</f>
        <v>#DIV/0!</v>
      </c>
      <c r="ULN148" s="371">
        <v>15.38</v>
      </c>
      <c r="ULO148" s="371" t="e">
        <f>ULL148*ULM148*ULN148</f>
        <v>#DIV/0!</v>
      </c>
      <c r="ULP148" s="367" t="s">
        <v>206</v>
      </c>
      <c r="ULQ148" s="367"/>
      <c r="ULR148" s="367"/>
      <c r="ULS148" s="368" t="s">
        <v>168</v>
      </c>
      <c r="ULT148" s="369">
        <v>0.5</v>
      </c>
      <c r="ULU148" s="370" t="e">
        <f>10/ULQ146</f>
        <v>#DIV/0!</v>
      </c>
      <c r="ULV148" s="371">
        <v>15.38</v>
      </c>
      <c r="ULW148" s="371" t="e">
        <f>ULT148*ULU148*ULV148</f>
        <v>#DIV/0!</v>
      </c>
      <c r="ULX148" s="367" t="s">
        <v>206</v>
      </c>
      <c r="ULY148" s="367"/>
      <c r="ULZ148" s="367"/>
      <c r="UMA148" s="368" t="s">
        <v>168</v>
      </c>
      <c r="UMB148" s="369">
        <v>0.5</v>
      </c>
      <c r="UMC148" s="370" t="e">
        <f>10/ULY146</f>
        <v>#DIV/0!</v>
      </c>
      <c r="UMD148" s="371">
        <v>15.38</v>
      </c>
      <c r="UME148" s="371" t="e">
        <f>UMB148*UMC148*UMD148</f>
        <v>#DIV/0!</v>
      </c>
      <c r="UMF148" s="367" t="s">
        <v>206</v>
      </c>
      <c r="UMG148" s="367"/>
      <c r="UMH148" s="367"/>
      <c r="UMI148" s="368" t="s">
        <v>168</v>
      </c>
      <c r="UMJ148" s="369">
        <v>0.5</v>
      </c>
      <c r="UMK148" s="370" t="e">
        <f>10/UMG146</f>
        <v>#DIV/0!</v>
      </c>
      <c r="UML148" s="371">
        <v>15.38</v>
      </c>
      <c r="UMM148" s="371" t="e">
        <f>UMJ148*UMK148*UML148</f>
        <v>#DIV/0!</v>
      </c>
      <c r="UMN148" s="367" t="s">
        <v>206</v>
      </c>
      <c r="UMO148" s="367"/>
      <c r="UMP148" s="367"/>
      <c r="UMQ148" s="368" t="s">
        <v>168</v>
      </c>
      <c r="UMR148" s="369">
        <v>0.5</v>
      </c>
      <c r="UMS148" s="370" t="e">
        <f>10/UMO146</f>
        <v>#DIV/0!</v>
      </c>
      <c r="UMT148" s="371">
        <v>15.38</v>
      </c>
      <c r="UMU148" s="371" t="e">
        <f>UMR148*UMS148*UMT148</f>
        <v>#DIV/0!</v>
      </c>
      <c r="UMV148" s="367" t="s">
        <v>206</v>
      </c>
      <c r="UMW148" s="367"/>
      <c r="UMX148" s="367"/>
      <c r="UMY148" s="368" t="s">
        <v>168</v>
      </c>
      <c r="UMZ148" s="369">
        <v>0.5</v>
      </c>
      <c r="UNA148" s="370" t="e">
        <f>10/UMW146</f>
        <v>#DIV/0!</v>
      </c>
      <c r="UNB148" s="371">
        <v>15.38</v>
      </c>
      <c r="UNC148" s="371" t="e">
        <f>UMZ148*UNA148*UNB148</f>
        <v>#DIV/0!</v>
      </c>
      <c r="UND148" s="367" t="s">
        <v>206</v>
      </c>
      <c r="UNE148" s="367"/>
      <c r="UNF148" s="367"/>
      <c r="UNG148" s="368" t="s">
        <v>168</v>
      </c>
      <c r="UNH148" s="369">
        <v>0.5</v>
      </c>
      <c r="UNI148" s="370" t="e">
        <f>10/UNE146</f>
        <v>#DIV/0!</v>
      </c>
      <c r="UNJ148" s="371">
        <v>15.38</v>
      </c>
      <c r="UNK148" s="371" t="e">
        <f>UNH148*UNI148*UNJ148</f>
        <v>#DIV/0!</v>
      </c>
      <c r="UNL148" s="367" t="s">
        <v>206</v>
      </c>
      <c r="UNM148" s="367"/>
      <c r="UNN148" s="367"/>
      <c r="UNO148" s="368" t="s">
        <v>168</v>
      </c>
      <c r="UNP148" s="369">
        <v>0.5</v>
      </c>
      <c r="UNQ148" s="370" t="e">
        <f>10/UNM146</f>
        <v>#DIV/0!</v>
      </c>
      <c r="UNR148" s="371">
        <v>15.38</v>
      </c>
      <c r="UNS148" s="371" t="e">
        <f>UNP148*UNQ148*UNR148</f>
        <v>#DIV/0!</v>
      </c>
      <c r="UNT148" s="367" t="s">
        <v>206</v>
      </c>
      <c r="UNU148" s="367"/>
      <c r="UNV148" s="367"/>
      <c r="UNW148" s="368" t="s">
        <v>168</v>
      </c>
      <c r="UNX148" s="369">
        <v>0.5</v>
      </c>
      <c r="UNY148" s="370" t="e">
        <f>10/UNU146</f>
        <v>#DIV/0!</v>
      </c>
      <c r="UNZ148" s="371">
        <v>15.38</v>
      </c>
      <c r="UOA148" s="371" t="e">
        <f>UNX148*UNY148*UNZ148</f>
        <v>#DIV/0!</v>
      </c>
      <c r="UOB148" s="367" t="s">
        <v>206</v>
      </c>
      <c r="UOC148" s="367"/>
      <c r="UOD148" s="367"/>
      <c r="UOE148" s="368" t="s">
        <v>168</v>
      </c>
      <c r="UOF148" s="369">
        <v>0.5</v>
      </c>
      <c r="UOG148" s="370" t="e">
        <f>10/UOC146</f>
        <v>#DIV/0!</v>
      </c>
      <c r="UOH148" s="371">
        <v>15.38</v>
      </c>
      <c r="UOI148" s="371" t="e">
        <f>UOF148*UOG148*UOH148</f>
        <v>#DIV/0!</v>
      </c>
      <c r="UOJ148" s="367" t="s">
        <v>206</v>
      </c>
      <c r="UOK148" s="367"/>
      <c r="UOL148" s="367"/>
      <c r="UOM148" s="368" t="s">
        <v>168</v>
      </c>
      <c r="UON148" s="369">
        <v>0.5</v>
      </c>
      <c r="UOO148" s="370" t="e">
        <f>10/UOK146</f>
        <v>#DIV/0!</v>
      </c>
      <c r="UOP148" s="371">
        <v>15.38</v>
      </c>
      <c r="UOQ148" s="371" t="e">
        <f>UON148*UOO148*UOP148</f>
        <v>#DIV/0!</v>
      </c>
      <c r="UOR148" s="367" t="s">
        <v>206</v>
      </c>
      <c r="UOS148" s="367"/>
      <c r="UOT148" s="367"/>
      <c r="UOU148" s="368" t="s">
        <v>168</v>
      </c>
      <c r="UOV148" s="369">
        <v>0.5</v>
      </c>
      <c r="UOW148" s="370" t="e">
        <f>10/UOS146</f>
        <v>#DIV/0!</v>
      </c>
      <c r="UOX148" s="371">
        <v>15.38</v>
      </c>
      <c r="UOY148" s="371" t="e">
        <f>UOV148*UOW148*UOX148</f>
        <v>#DIV/0!</v>
      </c>
      <c r="UOZ148" s="367" t="s">
        <v>206</v>
      </c>
      <c r="UPA148" s="367"/>
      <c r="UPB148" s="367"/>
      <c r="UPC148" s="368" t="s">
        <v>168</v>
      </c>
      <c r="UPD148" s="369">
        <v>0.5</v>
      </c>
      <c r="UPE148" s="370" t="e">
        <f>10/UPA146</f>
        <v>#DIV/0!</v>
      </c>
      <c r="UPF148" s="371">
        <v>15.38</v>
      </c>
      <c r="UPG148" s="371" t="e">
        <f>UPD148*UPE148*UPF148</f>
        <v>#DIV/0!</v>
      </c>
      <c r="UPH148" s="367" t="s">
        <v>206</v>
      </c>
      <c r="UPI148" s="367"/>
      <c r="UPJ148" s="367"/>
      <c r="UPK148" s="368" t="s">
        <v>168</v>
      </c>
      <c r="UPL148" s="369">
        <v>0.5</v>
      </c>
      <c r="UPM148" s="370" t="e">
        <f>10/UPI146</f>
        <v>#DIV/0!</v>
      </c>
      <c r="UPN148" s="371">
        <v>15.38</v>
      </c>
      <c r="UPO148" s="371" t="e">
        <f>UPL148*UPM148*UPN148</f>
        <v>#DIV/0!</v>
      </c>
      <c r="UPP148" s="367" t="s">
        <v>206</v>
      </c>
      <c r="UPQ148" s="367"/>
      <c r="UPR148" s="367"/>
      <c r="UPS148" s="368" t="s">
        <v>168</v>
      </c>
      <c r="UPT148" s="369">
        <v>0.5</v>
      </c>
      <c r="UPU148" s="370" t="e">
        <f>10/UPQ146</f>
        <v>#DIV/0!</v>
      </c>
      <c r="UPV148" s="371">
        <v>15.38</v>
      </c>
      <c r="UPW148" s="371" t="e">
        <f>UPT148*UPU148*UPV148</f>
        <v>#DIV/0!</v>
      </c>
      <c r="UPX148" s="367" t="s">
        <v>206</v>
      </c>
      <c r="UPY148" s="367"/>
      <c r="UPZ148" s="367"/>
      <c r="UQA148" s="368" t="s">
        <v>168</v>
      </c>
      <c r="UQB148" s="369">
        <v>0.5</v>
      </c>
      <c r="UQC148" s="370" t="e">
        <f>10/UPY146</f>
        <v>#DIV/0!</v>
      </c>
      <c r="UQD148" s="371">
        <v>15.38</v>
      </c>
      <c r="UQE148" s="371" t="e">
        <f>UQB148*UQC148*UQD148</f>
        <v>#DIV/0!</v>
      </c>
      <c r="UQF148" s="367" t="s">
        <v>206</v>
      </c>
      <c r="UQG148" s="367"/>
      <c r="UQH148" s="367"/>
      <c r="UQI148" s="368" t="s">
        <v>168</v>
      </c>
      <c r="UQJ148" s="369">
        <v>0.5</v>
      </c>
      <c r="UQK148" s="370" t="e">
        <f>10/UQG146</f>
        <v>#DIV/0!</v>
      </c>
      <c r="UQL148" s="371">
        <v>15.38</v>
      </c>
      <c r="UQM148" s="371" t="e">
        <f>UQJ148*UQK148*UQL148</f>
        <v>#DIV/0!</v>
      </c>
      <c r="UQN148" s="367" t="s">
        <v>206</v>
      </c>
      <c r="UQO148" s="367"/>
      <c r="UQP148" s="367"/>
      <c r="UQQ148" s="368" t="s">
        <v>168</v>
      </c>
      <c r="UQR148" s="369">
        <v>0.5</v>
      </c>
      <c r="UQS148" s="370" t="e">
        <f>10/UQO146</f>
        <v>#DIV/0!</v>
      </c>
      <c r="UQT148" s="371">
        <v>15.38</v>
      </c>
      <c r="UQU148" s="371" t="e">
        <f>UQR148*UQS148*UQT148</f>
        <v>#DIV/0!</v>
      </c>
      <c r="UQV148" s="367" t="s">
        <v>206</v>
      </c>
      <c r="UQW148" s="367"/>
      <c r="UQX148" s="367"/>
      <c r="UQY148" s="368" t="s">
        <v>168</v>
      </c>
      <c r="UQZ148" s="369">
        <v>0.5</v>
      </c>
      <c r="URA148" s="370" t="e">
        <f>10/UQW146</f>
        <v>#DIV/0!</v>
      </c>
      <c r="URB148" s="371">
        <v>15.38</v>
      </c>
      <c r="URC148" s="371" t="e">
        <f>UQZ148*URA148*URB148</f>
        <v>#DIV/0!</v>
      </c>
      <c r="URD148" s="367" t="s">
        <v>206</v>
      </c>
      <c r="URE148" s="367"/>
      <c r="URF148" s="367"/>
      <c r="URG148" s="368" t="s">
        <v>168</v>
      </c>
      <c r="URH148" s="369">
        <v>0.5</v>
      </c>
      <c r="URI148" s="370" t="e">
        <f>10/URE146</f>
        <v>#DIV/0!</v>
      </c>
      <c r="URJ148" s="371">
        <v>15.38</v>
      </c>
      <c r="URK148" s="371" t="e">
        <f>URH148*URI148*URJ148</f>
        <v>#DIV/0!</v>
      </c>
      <c r="URL148" s="367" t="s">
        <v>206</v>
      </c>
      <c r="URM148" s="367"/>
      <c r="URN148" s="367"/>
      <c r="URO148" s="368" t="s">
        <v>168</v>
      </c>
      <c r="URP148" s="369">
        <v>0.5</v>
      </c>
      <c r="URQ148" s="370" t="e">
        <f>10/URM146</f>
        <v>#DIV/0!</v>
      </c>
      <c r="URR148" s="371">
        <v>15.38</v>
      </c>
      <c r="URS148" s="371" t="e">
        <f>URP148*URQ148*URR148</f>
        <v>#DIV/0!</v>
      </c>
      <c r="URT148" s="367" t="s">
        <v>206</v>
      </c>
      <c r="URU148" s="367"/>
      <c r="URV148" s="367"/>
      <c r="URW148" s="368" t="s">
        <v>168</v>
      </c>
      <c r="URX148" s="369">
        <v>0.5</v>
      </c>
      <c r="URY148" s="370" t="e">
        <f>10/URU146</f>
        <v>#DIV/0!</v>
      </c>
      <c r="URZ148" s="371">
        <v>15.38</v>
      </c>
      <c r="USA148" s="371" t="e">
        <f>URX148*URY148*URZ148</f>
        <v>#DIV/0!</v>
      </c>
      <c r="USB148" s="367" t="s">
        <v>206</v>
      </c>
      <c r="USC148" s="367"/>
      <c r="USD148" s="367"/>
      <c r="USE148" s="368" t="s">
        <v>168</v>
      </c>
      <c r="USF148" s="369">
        <v>0.5</v>
      </c>
      <c r="USG148" s="370" t="e">
        <f>10/USC146</f>
        <v>#DIV/0!</v>
      </c>
      <c r="USH148" s="371">
        <v>15.38</v>
      </c>
      <c r="USI148" s="371" t="e">
        <f>USF148*USG148*USH148</f>
        <v>#DIV/0!</v>
      </c>
      <c r="USJ148" s="367" t="s">
        <v>206</v>
      </c>
      <c r="USK148" s="367"/>
      <c r="USL148" s="367"/>
      <c r="USM148" s="368" t="s">
        <v>168</v>
      </c>
      <c r="USN148" s="369">
        <v>0.5</v>
      </c>
      <c r="USO148" s="370" t="e">
        <f>10/USK146</f>
        <v>#DIV/0!</v>
      </c>
      <c r="USP148" s="371">
        <v>15.38</v>
      </c>
      <c r="USQ148" s="371" t="e">
        <f>USN148*USO148*USP148</f>
        <v>#DIV/0!</v>
      </c>
      <c r="USR148" s="367" t="s">
        <v>206</v>
      </c>
      <c r="USS148" s="367"/>
      <c r="UST148" s="367"/>
      <c r="USU148" s="368" t="s">
        <v>168</v>
      </c>
      <c r="USV148" s="369">
        <v>0.5</v>
      </c>
      <c r="USW148" s="370" t="e">
        <f>10/USS146</f>
        <v>#DIV/0!</v>
      </c>
      <c r="USX148" s="371">
        <v>15.38</v>
      </c>
      <c r="USY148" s="371" t="e">
        <f>USV148*USW148*USX148</f>
        <v>#DIV/0!</v>
      </c>
      <c r="USZ148" s="367" t="s">
        <v>206</v>
      </c>
      <c r="UTA148" s="367"/>
      <c r="UTB148" s="367"/>
      <c r="UTC148" s="368" t="s">
        <v>168</v>
      </c>
      <c r="UTD148" s="369">
        <v>0.5</v>
      </c>
      <c r="UTE148" s="370" t="e">
        <f>10/UTA146</f>
        <v>#DIV/0!</v>
      </c>
      <c r="UTF148" s="371">
        <v>15.38</v>
      </c>
      <c r="UTG148" s="371" t="e">
        <f>UTD148*UTE148*UTF148</f>
        <v>#DIV/0!</v>
      </c>
      <c r="UTH148" s="367" t="s">
        <v>206</v>
      </c>
      <c r="UTI148" s="367"/>
      <c r="UTJ148" s="367"/>
      <c r="UTK148" s="368" t="s">
        <v>168</v>
      </c>
      <c r="UTL148" s="369">
        <v>0.5</v>
      </c>
      <c r="UTM148" s="370" t="e">
        <f>10/UTI146</f>
        <v>#DIV/0!</v>
      </c>
      <c r="UTN148" s="371">
        <v>15.38</v>
      </c>
      <c r="UTO148" s="371" t="e">
        <f>UTL148*UTM148*UTN148</f>
        <v>#DIV/0!</v>
      </c>
      <c r="UTP148" s="367" t="s">
        <v>206</v>
      </c>
      <c r="UTQ148" s="367"/>
      <c r="UTR148" s="367"/>
      <c r="UTS148" s="368" t="s">
        <v>168</v>
      </c>
      <c r="UTT148" s="369">
        <v>0.5</v>
      </c>
      <c r="UTU148" s="370" t="e">
        <f>10/UTQ146</f>
        <v>#DIV/0!</v>
      </c>
      <c r="UTV148" s="371">
        <v>15.38</v>
      </c>
      <c r="UTW148" s="371" t="e">
        <f>UTT148*UTU148*UTV148</f>
        <v>#DIV/0!</v>
      </c>
      <c r="UTX148" s="367" t="s">
        <v>206</v>
      </c>
      <c r="UTY148" s="367"/>
      <c r="UTZ148" s="367"/>
      <c r="UUA148" s="368" t="s">
        <v>168</v>
      </c>
      <c r="UUB148" s="369">
        <v>0.5</v>
      </c>
      <c r="UUC148" s="370" t="e">
        <f>10/UTY146</f>
        <v>#DIV/0!</v>
      </c>
      <c r="UUD148" s="371">
        <v>15.38</v>
      </c>
      <c r="UUE148" s="371" t="e">
        <f>UUB148*UUC148*UUD148</f>
        <v>#DIV/0!</v>
      </c>
      <c r="UUF148" s="367" t="s">
        <v>206</v>
      </c>
      <c r="UUG148" s="367"/>
      <c r="UUH148" s="367"/>
      <c r="UUI148" s="368" t="s">
        <v>168</v>
      </c>
      <c r="UUJ148" s="369">
        <v>0.5</v>
      </c>
      <c r="UUK148" s="370" t="e">
        <f>10/UUG146</f>
        <v>#DIV/0!</v>
      </c>
      <c r="UUL148" s="371">
        <v>15.38</v>
      </c>
      <c r="UUM148" s="371" t="e">
        <f>UUJ148*UUK148*UUL148</f>
        <v>#DIV/0!</v>
      </c>
      <c r="UUN148" s="367" t="s">
        <v>206</v>
      </c>
      <c r="UUO148" s="367"/>
      <c r="UUP148" s="367"/>
      <c r="UUQ148" s="368" t="s">
        <v>168</v>
      </c>
      <c r="UUR148" s="369">
        <v>0.5</v>
      </c>
      <c r="UUS148" s="370" t="e">
        <f>10/UUO146</f>
        <v>#DIV/0!</v>
      </c>
      <c r="UUT148" s="371">
        <v>15.38</v>
      </c>
      <c r="UUU148" s="371" t="e">
        <f>UUR148*UUS148*UUT148</f>
        <v>#DIV/0!</v>
      </c>
      <c r="UUV148" s="367" t="s">
        <v>206</v>
      </c>
      <c r="UUW148" s="367"/>
      <c r="UUX148" s="367"/>
      <c r="UUY148" s="368" t="s">
        <v>168</v>
      </c>
      <c r="UUZ148" s="369">
        <v>0.5</v>
      </c>
      <c r="UVA148" s="370" t="e">
        <f>10/UUW146</f>
        <v>#DIV/0!</v>
      </c>
      <c r="UVB148" s="371">
        <v>15.38</v>
      </c>
      <c r="UVC148" s="371" t="e">
        <f>UUZ148*UVA148*UVB148</f>
        <v>#DIV/0!</v>
      </c>
      <c r="UVD148" s="367" t="s">
        <v>206</v>
      </c>
      <c r="UVE148" s="367"/>
      <c r="UVF148" s="367"/>
      <c r="UVG148" s="368" t="s">
        <v>168</v>
      </c>
      <c r="UVH148" s="369">
        <v>0.5</v>
      </c>
      <c r="UVI148" s="370" t="e">
        <f>10/UVE146</f>
        <v>#DIV/0!</v>
      </c>
      <c r="UVJ148" s="371">
        <v>15.38</v>
      </c>
      <c r="UVK148" s="371" t="e">
        <f>UVH148*UVI148*UVJ148</f>
        <v>#DIV/0!</v>
      </c>
      <c r="UVL148" s="367" t="s">
        <v>206</v>
      </c>
      <c r="UVM148" s="367"/>
      <c r="UVN148" s="367"/>
      <c r="UVO148" s="368" t="s">
        <v>168</v>
      </c>
      <c r="UVP148" s="369">
        <v>0.5</v>
      </c>
      <c r="UVQ148" s="370" t="e">
        <f>10/UVM146</f>
        <v>#DIV/0!</v>
      </c>
      <c r="UVR148" s="371">
        <v>15.38</v>
      </c>
      <c r="UVS148" s="371" t="e">
        <f>UVP148*UVQ148*UVR148</f>
        <v>#DIV/0!</v>
      </c>
      <c r="UVT148" s="367" t="s">
        <v>206</v>
      </c>
      <c r="UVU148" s="367"/>
      <c r="UVV148" s="367"/>
      <c r="UVW148" s="368" t="s">
        <v>168</v>
      </c>
      <c r="UVX148" s="369">
        <v>0.5</v>
      </c>
      <c r="UVY148" s="370" t="e">
        <f>10/UVU146</f>
        <v>#DIV/0!</v>
      </c>
      <c r="UVZ148" s="371">
        <v>15.38</v>
      </c>
      <c r="UWA148" s="371" t="e">
        <f>UVX148*UVY148*UVZ148</f>
        <v>#DIV/0!</v>
      </c>
      <c r="UWB148" s="367" t="s">
        <v>206</v>
      </c>
      <c r="UWC148" s="367"/>
      <c r="UWD148" s="367"/>
      <c r="UWE148" s="368" t="s">
        <v>168</v>
      </c>
      <c r="UWF148" s="369">
        <v>0.5</v>
      </c>
      <c r="UWG148" s="370" t="e">
        <f>10/UWC146</f>
        <v>#DIV/0!</v>
      </c>
      <c r="UWH148" s="371">
        <v>15.38</v>
      </c>
      <c r="UWI148" s="371" t="e">
        <f>UWF148*UWG148*UWH148</f>
        <v>#DIV/0!</v>
      </c>
      <c r="UWJ148" s="367" t="s">
        <v>206</v>
      </c>
      <c r="UWK148" s="367"/>
      <c r="UWL148" s="367"/>
      <c r="UWM148" s="368" t="s">
        <v>168</v>
      </c>
      <c r="UWN148" s="369">
        <v>0.5</v>
      </c>
      <c r="UWO148" s="370" t="e">
        <f>10/UWK146</f>
        <v>#DIV/0!</v>
      </c>
      <c r="UWP148" s="371">
        <v>15.38</v>
      </c>
      <c r="UWQ148" s="371" t="e">
        <f>UWN148*UWO148*UWP148</f>
        <v>#DIV/0!</v>
      </c>
      <c r="UWR148" s="367" t="s">
        <v>206</v>
      </c>
      <c r="UWS148" s="367"/>
      <c r="UWT148" s="367"/>
      <c r="UWU148" s="368" t="s">
        <v>168</v>
      </c>
      <c r="UWV148" s="369">
        <v>0.5</v>
      </c>
      <c r="UWW148" s="370" t="e">
        <f>10/UWS146</f>
        <v>#DIV/0!</v>
      </c>
      <c r="UWX148" s="371">
        <v>15.38</v>
      </c>
      <c r="UWY148" s="371" t="e">
        <f>UWV148*UWW148*UWX148</f>
        <v>#DIV/0!</v>
      </c>
      <c r="UWZ148" s="367" t="s">
        <v>206</v>
      </c>
      <c r="UXA148" s="367"/>
      <c r="UXB148" s="367"/>
      <c r="UXC148" s="368" t="s">
        <v>168</v>
      </c>
      <c r="UXD148" s="369">
        <v>0.5</v>
      </c>
      <c r="UXE148" s="370" t="e">
        <f>10/UXA146</f>
        <v>#DIV/0!</v>
      </c>
      <c r="UXF148" s="371">
        <v>15.38</v>
      </c>
      <c r="UXG148" s="371" t="e">
        <f>UXD148*UXE148*UXF148</f>
        <v>#DIV/0!</v>
      </c>
      <c r="UXH148" s="367" t="s">
        <v>206</v>
      </c>
      <c r="UXI148" s="367"/>
      <c r="UXJ148" s="367"/>
      <c r="UXK148" s="368" t="s">
        <v>168</v>
      </c>
      <c r="UXL148" s="369">
        <v>0.5</v>
      </c>
      <c r="UXM148" s="370" t="e">
        <f>10/UXI146</f>
        <v>#DIV/0!</v>
      </c>
      <c r="UXN148" s="371">
        <v>15.38</v>
      </c>
      <c r="UXO148" s="371" t="e">
        <f>UXL148*UXM148*UXN148</f>
        <v>#DIV/0!</v>
      </c>
      <c r="UXP148" s="367" t="s">
        <v>206</v>
      </c>
      <c r="UXQ148" s="367"/>
      <c r="UXR148" s="367"/>
      <c r="UXS148" s="368" t="s">
        <v>168</v>
      </c>
      <c r="UXT148" s="369">
        <v>0.5</v>
      </c>
      <c r="UXU148" s="370" t="e">
        <f>10/UXQ146</f>
        <v>#DIV/0!</v>
      </c>
      <c r="UXV148" s="371">
        <v>15.38</v>
      </c>
      <c r="UXW148" s="371" t="e">
        <f>UXT148*UXU148*UXV148</f>
        <v>#DIV/0!</v>
      </c>
      <c r="UXX148" s="367" t="s">
        <v>206</v>
      </c>
      <c r="UXY148" s="367"/>
      <c r="UXZ148" s="367"/>
      <c r="UYA148" s="368" t="s">
        <v>168</v>
      </c>
      <c r="UYB148" s="369">
        <v>0.5</v>
      </c>
      <c r="UYC148" s="370" t="e">
        <f>10/UXY146</f>
        <v>#DIV/0!</v>
      </c>
      <c r="UYD148" s="371">
        <v>15.38</v>
      </c>
      <c r="UYE148" s="371" t="e">
        <f>UYB148*UYC148*UYD148</f>
        <v>#DIV/0!</v>
      </c>
      <c r="UYF148" s="367" t="s">
        <v>206</v>
      </c>
      <c r="UYG148" s="367"/>
      <c r="UYH148" s="367"/>
      <c r="UYI148" s="368" t="s">
        <v>168</v>
      </c>
      <c r="UYJ148" s="369">
        <v>0.5</v>
      </c>
      <c r="UYK148" s="370" t="e">
        <f>10/UYG146</f>
        <v>#DIV/0!</v>
      </c>
      <c r="UYL148" s="371">
        <v>15.38</v>
      </c>
      <c r="UYM148" s="371" t="e">
        <f>UYJ148*UYK148*UYL148</f>
        <v>#DIV/0!</v>
      </c>
      <c r="UYN148" s="367" t="s">
        <v>206</v>
      </c>
      <c r="UYO148" s="367"/>
      <c r="UYP148" s="367"/>
      <c r="UYQ148" s="368" t="s">
        <v>168</v>
      </c>
      <c r="UYR148" s="369">
        <v>0.5</v>
      </c>
      <c r="UYS148" s="370" t="e">
        <f>10/UYO146</f>
        <v>#DIV/0!</v>
      </c>
      <c r="UYT148" s="371">
        <v>15.38</v>
      </c>
      <c r="UYU148" s="371" t="e">
        <f>UYR148*UYS148*UYT148</f>
        <v>#DIV/0!</v>
      </c>
      <c r="UYV148" s="367" t="s">
        <v>206</v>
      </c>
      <c r="UYW148" s="367"/>
      <c r="UYX148" s="367"/>
      <c r="UYY148" s="368" t="s">
        <v>168</v>
      </c>
      <c r="UYZ148" s="369">
        <v>0.5</v>
      </c>
      <c r="UZA148" s="370" t="e">
        <f>10/UYW146</f>
        <v>#DIV/0!</v>
      </c>
      <c r="UZB148" s="371">
        <v>15.38</v>
      </c>
      <c r="UZC148" s="371" t="e">
        <f>UYZ148*UZA148*UZB148</f>
        <v>#DIV/0!</v>
      </c>
      <c r="UZD148" s="367" t="s">
        <v>206</v>
      </c>
      <c r="UZE148" s="367"/>
      <c r="UZF148" s="367"/>
      <c r="UZG148" s="368" t="s">
        <v>168</v>
      </c>
      <c r="UZH148" s="369">
        <v>0.5</v>
      </c>
      <c r="UZI148" s="370" t="e">
        <f>10/UZE146</f>
        <v>#DIV/0!</v>
      </c>
      <c r="UZJ148" s="371">
        <v>15.38</v>
      </c>
      <c r="UZK148" s="371" t="e">
        <f>UZH148*UZI148*UZJ148</f>
        <v>#DIV/0!</v>
      </c>
      <c r="UZL148" s="367" t="s">
        <v>206</v>
      </c>
      <c r="UZM148" s="367"/>
      <c r="UZN148" s="367"/>
      <c r="UZO148" s="368" t="s">
        <v>168</v>
      </c>
      <c r="UZP148" s="369">
        <v>0.5</v>
      </c>
      <c r="UZQ148" s="370" t="e">
        <f>10/UZM146</f>
        <v>#DIV/0!</v>
      </c>
      <c r="UZR148" s="371">
        <v>15.38</v>
      </c>
      <c r="UZS148" s="371" t="e">
        <f>UZP148*UZQ148*UZR148</f>
        <v>#DIV/0!</v>
      </c>
      <c r="UZT148" s="367" t="s">
        <v>206</v>
      </c>
      <c r="UZU148" s="367"/>
      <c r="UZV148" s="367"/>
      <c r="UZW148" s="368" t="s">
        <v>168</v>
      </c>
      <c r="UZX148" s="369">
        <v>0.5</v>
      </c>
      <c r="UZY148" s="370" t="e">
        <f>10/UZU146</f>
        <v>#DIV/0!</v>
      </c>
      <c r="UZZ148" s="371">
        <v>15.38</v>
      </c>
      <c r="VAA148" s="371" t="e">
        <f>UZX148*UZY148*UZZ148</f>
        <v>#DIV/0!</v>
      </c>
      <c r="VAB148" s="367" t="s">
        <v>206</v>
      </c>
      <c r="VAC148" s="367"/>
      <c r="VAD148" s="367"/>
      <c r="VAE148" s="368" t="s">
        <v>168</v>
      </c>
      <c r="VAF148" s="369">
        <v>0.5</v>
      </c>
      <c r="VAG148" s="370" t="e">
        <f>10/VAC146</f>
        <v>#DIV/0!</v>
      </c>
      <c r="VAH148" s="371">
        <v>15.38</v>
      </c>
      <c r="VAI148" s="371" t="e">
        <f>VAF148*VAG148*VAH148</f>
        <v>#DIV/0!</v>
      </c>
      <c r="VAJ148" s="367" t="s">
        <v>206</v>
      </c>
      <c r="VAK148" s="367"/>
      <c r="VAL148" s="367"/>
      <c r="VAM148" s="368" t="s">
        <v>168</v>
      </c>
      <c r="VAN148" s="369">
        <v>0.5</v>
      </c>
      <c r="VAO148" s="370" t="e">
        <f>10/VAK146</f>
        <v>#DIV/0!</v>
      </c>
      <c r="VAP148" s="371">
        <v>15.38</v>
      </c>
      <c r="VAQ148" s="371" t="e">
        <f>VAN148*VAO148*VAP148</f>
        <v>#DIV/0!</v>
      </c>
      <c r="VAR148" s="367" t="s">
        <v>206</v>
      </c>
      <c r="VAS148" s="367"/>
      <c r="VAT148" s="367"/>
      <c r="VAU148" s="368" t="s">
        <v>168</v>
      </c>
      <c r="VAV148" s="369">
        <v>0.5</v>
      </c>
      <c r="VAW148" s="370" t="e">
        <f>10/VAS146</f>
        <v>#DIV/0!</v>
      </c>
      <c r="VAX148" s="371">
        <v>15.38</v>
      </c>
      <c r="VAY148" s="371" t="e">
        <f>VAV148*VAW148*VAX148</f>
        <v>#DIV/0!</v>
      </c>
      <c r="VAZ148" s="367" t="s">
        <v>206</v>
      </c>
      <c r="VBA148" s="367"/>
      <c r="VBB148" s="367"/>
      <c r="VBC148" s="368" t="s">
        <v>168</v>
      </c>
      <c r="VBD148" s="369">
        <v>0.5</v>
      </c>
      <c r="VBE148" s="370" t="e">
        <f>10/VBA146</f>
        <v>#DIV/0!</v>
      </c>
      <c r="VBF148" s="371">
        <v>15.38</v>
      </c>
      <c r="VBG148" s="371" t="e">
        <f>VBD148*VBE148*VBF148</f>
        <v>#DIV/0!</v>
      </c>
      <c r="VBH148" s="367" t="s">
        <v>206</v>
      </c>
      <c r="VBI148" s="367"/>
      <c r="VBJ148" s="367"/>
      <c r="VBK148" s="368" t="s">
        <v>168</v>
      </c>
      <c r="VBL148" s="369">
        <v>0.5</v>
      </c>
      <c r="VBM148" s="370" t="e">
        <f>10/VBI146</f>
        <v>#DIV/0!</v>
      </c>
      <c r="VBN148" s="371">
        <v>15.38</v>
      </c>
      <c r="VBO148" s="371" t="e">
        <f>VBL148*VBM148*VBN148</f>
        <v>#DIV/0!</v>
      </c>
      <c r="VBP148" s="367" t="s">
        <v>206</v>
      </c>
      <c r="VBQ148" s="367"/>
      <c r="VBR148" s="367"/>
      <c r="VBS148" s="368" t="s">
        <v>168</v>
      </c>
      <c r="VBT148" s="369">
        <v>0.5</v>
      </c>
      <c r="VBU148" s="370" t="e">
        <f>10/VBQ146</f>
        <v>#DIV/0!</v>
      </c>
      <c r="VBV148" s="371">
        <v>15.38</v>
      </c>
      <c r="VBW148" s="371" t="e">
        <f>VBT148*VBU148*VBV148</f>
        <v>#DIV/0!</v>
      </c>
      <c r="VBX148" s="367" t="s">
        <v>206</v>
      </c>
      <c r="VBY148" s="367"/>
      <c r="VBZ148" s="367"/>
      <c r="VCA148" s="368" t="s">
        <v>168</v>
      </c>
      <c r="VCB148" s="369">
        <v>0.5</v>
      </c>
      <c r="VCC148" s="370" t="e">
        <f>10/VBY146</f>
        <v>#DIV/0!</v>
      </c>
      <c r="VCD148" s="371">
        <v>15.38</v>
      </c>
      <c r="VCE148" s="371" t="e">
        <f>VCB148*VCC148*VCD148</f>
        <v>#DIV/0!</v>
      </c>
      <c r="VCF148" s="367" t="s">
        <v>206</v>
      </c>
      <c r="VCG148" s="367"/>
      <c r="VCH148" s="367"/>
      <c r="VCI148" s="368" t="s">
        <v>168</v>
      </c>
      <c r="VCJ148" s="369">
        <v>0.5</v>
      </c>
      <c r="VCK148" s="370" t="e">
        <f>10/VCG146</f>
        <v>#DIV/0!</v>
      </c>
      <c r="VCL148" s="371">
        <v>15.38</v>
      </c>
      <c r="VCM148" s="371" t="e">
        <f>VCJ148*VCK148*VCL148</f>
        <v>#DIV/0!</v>
      </c>
      <c r="VCN148" s="367" t="s">
        <v>206</v>
      </c>
      <c r="VCO148" s="367"/>
      <c r="VCP148" s="367"/>
      <c r="VCQ148" s="368" t="s">
        <v>168</v>
      </c>
      <c r="VCR148" s="369">
        <v>0.5</v>
      </c>
      <c r="VCS148" s="370" t="e">
        <f>10/VCO146</f>
        <v>#DIV/0!</v>
      </c>
      <c r="VCT148" s="371">
        <v>15.38</v>
      </c>
      <c r="VCU148" s="371" t="e">
        <f>VCR148*VCS148*VCT148</f>
        <v>#DIV/0!</v>
      </c>
      <c r="VCV148" s="367" t="s">
        <v>206</v>
      </c>
      <c r="VCW148" s="367"/>
      <c r="VCX148" s="367"/>
      <c r="VCY148" s="368" t="s">
        <v>168</v>
      </c>
      <c r="VCZ148" s="369">
        <v>0.5</v>
      </c>
      <c r="VDA148" s="370" t="e">
        <f>10/VCW146</f>
        <v>#DIV/0!</v>
      </c>
      <c r="VDB148" s="371">
        <v>15.38</v>
      </c>
      <c r="VDC148" s="371" t="e">
        <f>VCZ148*VDA148*VDB148</f>
        <v>#DIV/0!</v>
      </c>
      <c r="VDD148" s="367" t="s">
        <v>206</v>
      </c>
      <c r="VDE148" s="367"/>
      <c r="VDF148" s="367"/>
      <c r="VDG148" s="368" t="s">
        <v>168</v>
      </c>
      <c r="VDH148" s="369">
        <v>0.5</v>
      </c>
      <c r="VDI148" s="370" t="e">
        <f>10/VDE146</f>
        <v>#DIV/0!</v>
      </c>
      <c r="VDJ148" s="371">
        <v>15.38</v>
      </c>
      <c r="VDK148" s="371" t="e">
        <f>VDH148*VDI148*VDJ148</f>
        <v>#DIV/0!</v>
      </c>
      <c r="VDL148" s="367" t="s">
        <v>206</v>
      </c>
      <c r="VDM148" s="367"/>
      <c r="VDN148" s="367"/>
      <c r="VDO148" s="368" t="s">
        <v>168</v>
      </c>
      <c r="VDP148" s="369">
        <v>0.5</v>
      </c>
      <c r="VDQ148" s="370" t="e">
        <f>10/VDM146</f>
        <v>#DIV/0!</v>
      </c>
      <c r="VDR148" s="371">
        <v>15.38</v>
      </c>
      <c r="VDS148" s="371" t="e">
        <f>VDP148*VDQ148*VDR148</f>
        <v>#DIV/0!</v>
      </c>
      <c r="VDT148" s="367" t="s">
        <v>206</v>
      </c>
      <c r="VDU148" s="367"/>
      <c r="VDV148" s="367"/>
      <c r="VDW148" s="368" t="s">
        <v>168</v>
      </c>
      <c r="VDX148" s="369">
        <v>0.5</v>
      </c>
      <c r="VDY148" s="370" t="e">
        <f>10/VDU146</f>
        <v>#DIV/0!</v>
      </c>
      <c r="VDZ148" s="371">
        <v>15.38</v>
      </c>
      <c r="VEA148" s="371" t="e">
        <f>VDX148*VDY148*VDZ148</f>
        <v>#DIV/0!</v>
      </c>
      <c r="VEB148" s="367" t="s">
        <v>206</v>
      </c>
      <c r="VEC148" s="367"/>
      <c r="VED148" s="367"/>
      <c r="VEE148" s="368" t="s">
        <v>168</v>
      </c>
      <c r="VEF148" s="369">
        <v>0.5</v>
      </c>
      <c r="VEG148" s="370" t="e">
        <f>10/VEC146</f>
        <v>#DIV/0!</v>
      </c>
      <c r="VEH148" s="371">
        <v>15.38</v>
      </c>
      <c r="VEI148" s="371" t="e">
        <f>VEF148*VEG148*VEH148</f>
        <v>#DIV/0!</v>
      </c>
      <c r="VEJ148" s="367" t="s">
        <v>206</v>
      </c>
      <c r="VEK148" s="367"/>
      <c r="VEL148" s="367"/>
      <c r="VEM148" s="368" t="s">
        <v>168</v>
      </c>
      <c r="VEN148" s="369">
        <v>0.5</v>
      </c>
      <c r="VEO148" s="370" t="e">
        <f>10/VEK146</f>
        <v>#DIV/0!</v>
      </c>
      <c r="VEP148" s="371">
        <v>15.38</v>
      </c>
      <c r="VEQ148" s="371" t="e">
        <f>VEN148*VEO148*VEP148</f>
        <v>#DIV/0!</v>
      </c>
      <c r="VER148" s="367" t="s">
        <v>206</v>
      </c>
      <c r="VES148" s="367"/>
      <c r="VET148" s="367"/>
      <c r="VEU148" s="368" t="s">
        <v>168</v>
      </c>
      <c r="VEV148" s="369">
        <v>0.5</v>
      </c>
      <c r="VEW148" s="370" t="e">
        <f>10/VES146</f>
        <v>#DIV/0!</v>
      </c>
      <c r="VEX148" s="371">
        <v>15.38</v>
      </c>
      <c r="VEY148" s="371" t="e">
        <f>VEV148*VEW148*VEX148</f>
        <v>#DIV/0!</v>
      </c>
      <c r="VEZ148" s="367" t="s">
        <v>206</v>
      </c>
      <c r="VFA148" s="367"/>
      <c r="VFB148" s="367"/>
      <c r="VFC148" s="368" t="s">
        <v>168</v>
      </c>
      <c r="VFD148" s="369">
        <v>0.5</v>
      </c>
      <c r="VFE148" s="370" t="e">
        <f>10/VFA146</f>
        <v>#DIV/0!</v>
      </c>
      <c r="VFF148" s="371">
        <v>15.38</v>
      </c>
      <c r="VFG148" s="371" t="e">
        <f>VFD148*VFE148*VFF148</f>
        <v>#DIV/0!</v>
      </c>
      <c r="VFH148" s="367" t="s">
        <v>206</v>
      </c>
      <c r="VFI148" s="367"/>
      <c r="VFJ148" s="367"/>
      <c r="VFK148" s="368" t="s">
        <v>168</v>
      </c>
      <c r="VFL148" s="369">
        <v>0.5</v>
      </c>
      <c r="VFM148" s="370" t="e">
        <f>10/VFI146</f>
        <v>#DIV/0!</v>
      </c>
      <c r="VFN148" s="371">
        <v>15.38</v>
      </c>
      <c r="VFO148" s="371" t="e">
        <f>VFL148*VFM148*VFN148</f>
        <v>#DIV/0!</v>
      </c>
      <c r="VFP148" s="367" t="s">
        <v>206</v>
      </c>
      <c r="VFQ148" s="367"/>
      <c r="VFR148" s="367"/>
      <c r="VFS148" s="368" t="s">
        <v>168</v>
      </c>
      <c r="VFT148" s="369">
        <v>0.5</v>
      </c>
      <c r="VFU148" s="370" t="e">
        <f>10/VFQ146</f>
        <v>#DIV/0!</v>
      </c>
      <c r="VFV148" s="371">
        <v>15.38</v>
      </c>
      <c r="VFW148" s="371" t="e">
        <f>VFT148*VFU148*VFV148</f>
        <v>#DIV/0!</v>
      </c>
      <c r="VFX148" s="367" t="s">
        <v>206</v>
      </c>
      <c r="VFY148" s="367"/>
      <c r="VFZ148" s="367"/>
      <c r="VGA148" s="368" t="s">
        <v>168</v>
      </c>
      <c r="VGB148" s="369">
        <v>0.5</v>
      </c>
      <c r="VGC148" s="370" t="e">
        <f>10/VFY146</f>
        <v>#DIV/0!</v>
      </c>
      <c r="VGD148" s="371">
        <v>15.38</v>
      </c>
      <c r="VGE148" s="371" t="e">
        <f>VGB148*VGC148*VGD148</f>
        <v>#DIV/0!</v>
      </c>
      <c r="VGF148" s="367" t="s">
        <v>206</v>
      </c>
      <c r="VGG148" s="367"/>
      <c r="VGH148" s="367"/>
      <c r="VGI148" s="368" t="s">
        <v>168</v>
      </c>
      <c r="VGJ148" s="369">
        <v>0.5</v>
      </c>
      <c r="VGK148" s="370" t="e">
        <f>10/VGG146</f>
        <v>#DIV/0!</v>
      </c>
      <c r="VGL148" s="371">
        <v>15.38</v>
      </c>
      <c r="VGM148" s="371" t="e">
        <f>VGJ148*VGK148*VGL148</f>
        <v>#DIV/0!</v>
      </c>
      <c r="VGN148" s="367" t="s">
        <v>206</v>
      </c>
      <c r="VGO148" s="367"/>
      <c r="VGP148" s="367"/>
      <c r="VGQ148" s="368" t="s">
        <v>168</v>
      </c>
      <c r="VGR148" s="369">
        <v>0.5</v>
      </c>
      <c r="VGS148" s="370" t="e">
        <f>10/VGO146</f>
        <v>#DIV/0!</v>
      </c>
      <c r="VGT148" s="371">
        <v>15.38</v>
      </c>
      <c r="VGU148" s="371" t="e">
        <f>VGR148*VGS148*VGT148</f>
        <v>#DIV/0!</v>
      </c>
      <c r="VGV148" s="367" t="s">
        <v>206</v>
      </c>
      <c r="VGW148" s="367"/>
      <c r="VGX148" s="367"/>
      <c r="VGY148" s="368" t="s">
        <v>168</v>
      </c>
      <c r="VGZ148" s="369">
        <v>0.5</v>
      </c>
      <c r="VHA148" s="370" t="e">
        <f>10/VGW146</f>
        <v>#DIV/0!</v>
      </c>
      <c r="VHB148" s="371">
        <v>15.38</v>
      </c>
      <c r="VHC148" s="371" t="e">
        <f>VGZ148*VHA148*VHB148</f>
        <v>#DIV/0!</v>
      </c>
      <c r="VHD148" s="367" t="s">
        <v>206</v>
      </c>
      <c r="VHE148" s="367"/>
      <c r="VHF148" s="367"/>
      <c r="VHG148" s="368" t="s">
        <v>168</v>
      </c>
      <c r="VHH148" s="369">
        <v>0.5</v>
      </c>
      <c r="VHI148" s="370" t="e">
        <f>10/VHE146</f>
        <v>#DIV/0!</v>
      </c>
      <c r="VHJ148" s="371">
        <v>15.38</v>
      </c>
      <c r="VHK148" s="371" t="e">
        <f>VHH148*VHI148*VHJ148</f>
        <v>#DIV/0!</v>
      </c>
      <c r="VHL148" s="367" t="s">
        <v>206</v>
      </c>
      <c r="VHM148" s="367"/>
      <c r="VHN148" s="367"/>
      <c r="VHO148" s="368" t="s">
        <v>168</v>
      </c>
      <c r="VHP148" s="369">
        <v>0.5</v>
      </c>
      <c r="VHQ148" s="370" t="e">
        <f>10/VHM146</f>
        <v>#DIV/0!</v>
      </c>
      <c r="VHR148" s="371">
        <v>15.38</v>
      </c>
      <c r="VHS148" s="371" t="e">
        <f>VHP148*VHQ148*VHR148</f>
        <v>#DIV/0!</v>
      </c>
      <c r="VHT148" s="367" t="s">
        <v>206</v>
      </c>
      <c r="VHU148" s="367"/>
      <c r="VHV148" s="367"/>
      <c r="VHW148" s="368" t="s">
        <v>168</v>
      </c>
      <c r="VHX148" s="369">
        <v>0.5</v>
      </c>
      <c r="VHY148" s="370" t="e">
        <f>10/VHU146</f>
        <v>#DIV/0!</v>
      </c>
      <c r="VHZ148" s="371">
        <v>15.38</v>
      </c>
      <c r="VIA148" s="371" t="e">
        <f>VHX148*VHY148*VHZ148</f>
        <v>#DIV/0!</v>
      </c>
      <c r="VIB148" s="367" t="s">
        <v>206</v>
      </c>
      <c r="VIC148" s="367"/>
      <c r="VID148" s="367"/>
      <c r="VIE148" s="368" t="s">
        <v>168</v>
      </c>
      <c r="VIF148" s="369">
        <v>0.5</v>
      </c>
      <c r="VIG148" s="370" t="e">
        <f>10/VIC146</f>
        <v>#DIV/0!</v>
      </c>
      <c r="VIH148" s="371">
        <v>15.38</v>
      </c>
      <c r="VII148" s="371" t="e">
        <f>VIF148*VIG148*VIH148</f>
        <v>#DIV/0!</v>
      </c>
      <c r="VIJ148" s="367" t="s">
        <v>206</v>
      </c>
      <c r="VIK148" s="367"/>
      <c r="VIL148" s="367"/>
      <c r="VIM148" s="368" t="s">
        <v>168</v>
      </c>
      <c r="VIN148" s="369">
        <v>0.5</v>
      </c>
      <c r="VIO148" s="370" t="e">
        <f>10/VIK146</f>
        <v>#DIV/0!</v>
      </c>
      <c r="VIP148" s="371">
        <v>15.38</v>
      </c>
      <c r="VIQ148" s="371" t="e">
        <f>VIN148*VIO148*VIP148</f>
        <v>#DIV/0!</v>
      </c>
      <c r="VIR148" s="367" t="s">
        <v>206</v>
      </c>
      <c r="VIS148" s="367"/>
      <c r="VIT148" s="367"/>
      <c r="VIU148" s="368" t="s">
        <v>168</v>
      </c>
      <c r="VIV148" s="369">
        <v>0.5</v>
      </c>
      <c r="VIW148" s="370" t="e">
        <f>10/VIS146</f>
        <v>#DIV/0!</v>
      </c>
      <c r="VIX148" s="371">
        <v>15.38</v>
      </c>
      <c r="VIY148" s="371" t="e">
        <f>VIV148*VIW148*VIX148</f>
        <v>#DIV/0!</v>
      </c>
      <c r="VIZ148" s="367" t="s">
        <v>206</v>
      </c>
      <c r="VJA148" s="367"/>
      <c r="VJB148" s="367"/>
      <c r="VJC148" s="368" t="s">
        <v>168</v>
      </c>
      <c r="VJD148" s="369">
        <v>0.5</v>
      </c>
      <c r="VJE148" s="370" t="e">
        <f>10/VJA146</f>
        <v>#DIV/0!</v>
      </c>
      <c r="VJF148" s="371">
        <v>15.38</v>
      </c>
      <c r="VJG148" s="371" t="e">
        <f>VJD148*VJE148*VJF148</f>
        <v>#DIV/0!</v>
      </c>
      <c r="VJH148" s="367" t="s">
        <v>206</v>
      </c>
      <c r="VJI148" s="367"/>
      <c r="VJJ148" s="367"/>
      <c r="VJK148" s="368" t="s">
        <v>168</v>
      </c>
      <c r="VJL148" s="369">
        <v>0.5</v>
      </c>
      <c r="VJM148" s="370" t="e">
        <f>10/VJI146</f>
        <v>#DIV/0!</v>
      </c>
      <c r="VJN148" s="371">
        <v>15.38</v>
      </c>
      <c r="VJO148" s="371" t="e">
        <f>VJL148*VJM148*VJN148</f>
        <v>#DIV/0!</v>
      </c>
      <c r="VJP148" s="367" t="s">
        <v>206</v>
      </c>
      <c r="VJQ148" s="367"/>
      <c r="VJR148" s="367"/>
      <c r="VJS148" s="368" t="s">
        <v>168</v>
      </c>
      <c r="VJT148" s="369">
        <v>0.5</v>
      </c>
      <c r="VJU148" s="370" t="e">
        <f>10/VJQ146</f>
        <v>#DIV/0!</v>
      </c>
      <c r="VJV148" s="371">
        <v>15.38</v>
      </c>
      <c r="VJW148" s="371" t="e">
        <f>VJT148*VJU148*VJV148</f>
        <v>#DIV/0!</v>
      </c>
      <c r="VJX148" s="367" t="s">
        <v>206</v>
      </c>
      <c r="VJY148" s="367"/>
      <c r="VJZ148" s="367"/>
      <c r="VKA148" s="368" t="s">
        <v>168</v>
      </c>
      <c r="VKB148" s="369">
        <v>0.5</v>
      </c>
      <c r="VKC148" s="370" t="e">
        <f>10/VJY146</f>
        <v>#DIV/0!</v>
      </c>
      <c r="VKD148" s="371">
        <v>15.38</v>
      </c>
      <c r="VKE148" s="371" t="e">
        <f>VKB148*VKC148*VKD148</f>
        <v>#DIV/0!</v>
      </c>
      <c r="VKF148" s="367" t="s">
        <v>206</v>
      </c>
      <c r="VKG148" s="367"/>
      <c r="VKH148" s="367"/>
      <c r="VKI148" s="368" t="s">
        <v>168</v>
      </c>
      <c r="VKJ148" s="369">
        <v>0.5</v>
      </c>
      <c r="VKK148" s="370" t="e">
        <f>10/VKG146</f>
        <v>#DIV/0!</v>
      </c>
      <c r="VKL148" s="371">
        <v>15.38</v>
      </c>
      <c r="VKM148" s="371" t="e">
        <f>VKJ148*VKK148*VKL148</f>
        <v>#DIV/0!</v>
      </c>
      <c r="VKN148" s="367" t="s">
        <v>206</v>
      </c>
      <c r="VKO148" s="367"/>
      <c r="VKP148" s="367"/>
      <c r="VKQ148" s="368" t="s">
        <v>168</v>
      </c>
      <c r="VKR148" s="369">
        <v>0.5</v>
      </c>
      <c r="VKS148" s="370" t="e">
        <f>10/VKO146</f>
        <v>#DIV/0!</v>
      </c>
      <c r="VKT148" s="371">
        <v>15.38</v>
      </c>
      <c r="VKU148" s="371" t="e">
        <f>VKR148*VKS148*VKT148</f>
        <v>#DIV/0!</v>
      </c>
      <c r="VKV148" s="367" t="s">
        <v>206</v>
      </c>
      <c r="VKW148" s="367"/>
      <c r="VKX148" s="367"/>
      <c r="VKY148" s="368" t="s">
        <v>168</v>
      </c>
      <c r="VKZ148" s="369">
        <v>0.5</v>
      </c>
      <c r="VLA148" s="370" t="e">
        <f>10/VKW146</f>
        <v>#DIV/0!</v>
      </c>
      <c r="VLB148" s="371">
        <v>15.38</v>
      </c>
      <c r="VLC148" s="371" t="e">
        <f>VKZ148*VLA148*VLB148</f>
        <v>#DIV/0!</v>
      </c>
      <c r="VLD148" s="367" t="s">
        <v>206</v>
      </c>
      <c r="VLE148" s="367"/>
      <c r="VLF148" s="367"/>
      <c r="VLG148" s="368" t="s">
        <v>168</v>
      </c>
      <c r="VLH148" s="369">
        <v>0.5</v>
      </c>
      <c r="VLI148" s="370" t="e">
        <f>10/VLE146</f>
        <v>#DIV/0!</v>
      </c>
      <c r="VLJ148" s="371">
        <v>15.38</v>
      </c>
      <c r="VLK148" s="371" t="e">
        <f>VLH148*VLI148*VLJ148</f>
        <v>#DIV/0!</v>
      </c>
      <c r="VLL148" s="367" t="s">
        <v>206</v>
      </c>
      <c r="VLM148" s="367"/>
      <c r="VLN148" s="367"/>
      <c r="VLO148" s="368" t="s">
        <v>168</v>
      </c>
      <c r="VLP148" s="369">
        <v>0.5</v>
      </c>
      <c r="VLQ148" s="370" t="e">
        <f>10/VLM146</f>
        <v>#DIV/0!</v>
      </c>
      <c r="VLR148" s="371">
        <v>15.38</v>
      </c>
      <c r="VLS148" s="371" t="e">
        <f>VLP148*VLQ148*VLR148</f>
        <v>#DIV/0!</v>
      </c>
      <c r="VLT148" s="367" t="s">
        <v>206</v>
      </c>
      <c r="VLU148" s="367"/>
      <c r="VLV148" s="367"/>
      <c r="VLW148" s="368" t="s">
        <v>168</v>
      </c>
      <c r="VLX148" s="369">
        <v>0.5</v>
      </c>
      <c r="VLY148" s="370" t="e">
        <f>10/VLU146</f>
        <v>#DIV/0!</v>
      </c>
      <c r="VLZ148" s="371">
        <v>15.38</v>
      </c>
      <c r="VMA148" s="371" t="e">
        <f>VLX148*VLY148*VLZ148</f>
        <v>#DIV/0!</v>
      </c>
      <c r="VMB148" s="367" t="s">
        <v>206</v>
      </c>
      <c r="VMC148" s="367"/>
      <c r="VMD148" s="367"/>
      <c r="VME148" s="368" t="s">
        <v>168</v>
      </c>
      <c r="VMF148" s="369">
        <v>0.5</v>
      </c>
      <c r="VMG148" s="370" t="e">
        <f>10/VMC146</f>
        <v>#DIV/0!</v>
      </c>
      <c r="VMH148" s="371">
        <v>15.38</v>
      </c>
      <c r="VMI148" s="371" t="e">
        <f>VMF148*VMG148*VMH148</f>
        <v>#DIV/0!</v>
      </c>
      <c r="VMJ148" s="367" t="s">
        <v>206</v>
      </c>
      <c r="VMK148" s="367"/>
      <c r="VML148" s="367"/>
      <c r="VMM148" s="368" t="s">
        <v>168</v>
      </c>
      <c r="VMN148" s="369">
        <v>0.5</v>
      </c>
      <c r="VMO148" s="370" t="e">
        <f>10/VMK146</f>
        <v>#DIV/0!</v>
      </c>
      <c r="VMP148" s="371">
        <v>15.38</v>
      </c>
      <c r="VMQ148" s="371" t="e">
        <f>VMN148*VMO148*VMP148</f>
        <v>#DIV/0!</v>
      </c>
      <c r="VMR148" s="367" t="s">
        <v>206</v>
      </c>
      <c r="VMS148" s="367"/>
      <c r="VMT148" s="367"/>
      <c r="VMU148" s="368" t="s">
        <v>168</v>
      </c>
      <c r="VMV148" s="369">
        <v>0.5</v>
      </c>
      <c r="VMW148" s="370" t="e">
        <f>10/VMS146</f>
        <v>#DIV/0!</v>
      </c>
      <c r="VMX148" s="371">
        <v>15.38</v>
      </c>
      <c r="VMY148" s="371" t="e">
        <f>VMV148*VMW148*VMX148</f>
        <v>#DIV/0!</v>
      </c>
      <c r="VMZ148" s="367" t="s">
        <v>206</v>
      </c>
      <c r="VNA148" s="367"/>
      <c r="VNB148" s="367"/>
      <c r="VNC148" s="368" t="s">
        <v>168</v>
      </c>
      <c r="VND148" s="369">
        <v>0.5</v>
      </c>
      <c r="VNE148" s="370" t="e">
        <f>10/VNA146</f>
        <v>#DIV/0!</v>
      </c>
      <c r="VNF148" s="371">
        <v>15.38</v>
      </c>
      <c r="VNG148" s="371" t="e">
        <f>VND148*VNE148*VNF148</f>
        <v>#DIV/0!</v>
      </c>
      <c r="VNH148" s="367" t="s">
        <v>206</v>
      </c>
      <c r="VNI148" s="367"/>
      <c r="VNJ148" s="367"/>
      <c r="VNK148" s="368" t="s">
        <v>168</v>
      </c>
      <c r="VNL148" s="369">
        <v>0.5</v>
      </c>
      <c r="VNM148" s="370" t="e">
        <f>10/VNI146</f>
        <v>#DIV/0!</v>
      </c>
      <c r="VNN148" s="371">
        <v>15.38</v>
      </c>
      <c r="VNO148" s="371" t="e">
        <f>VNL148*VNM148*VNN148</f>
        <v>#DIV/0!</v>
      </c>
      <c r="VNP148" s="367" t="s">
        <v>206</v>
      </c>
      <c r="VNQ148" s="367"/>
      <c r="VNR148" s="367"/>
      <c r="VNS148" s="368" t="s">
        <v>168</v>
      </c>
      <c r="VNT148" s="369">
        <v>0.5</v>
      </c>
      <c r="VNU148" s="370" t="e">
        <f>10/VNQ146</f>
        <v>#DIV/0!</v>
      </c>
      <c r="VNV148" s="371">
        <v>15.38</v>
      </c>
      <c r="VNW148" s="371" t="e">
        <f>VNT148*VNU148*VNV148</f>
        <v>#DIV/0!</v>
      </c>
      <c r="VNX148" s="367" t="s">
        <v>206</v>
      </c>
      <c r="VNY148" s="367"/>
      <c r="VNZ148" s="367"/>
      <c r="VOA148" s="368" t="s">
        <v>168</v>
      </c>
      <c r="VOB148" s="369">
        <v>0.5</v>
      </c>
      <c r="VOC148" s="370" t="e">
        <f>10/VNY146</f>
        <v>#DIV/0!</v>
      </c>
      <c r="VOD148" s="371">
        <v>15.38</v>
      </c>
      <c r="VOE148" s="371" t="e">
        <f>VOB148*VOC148*VOD148</f>
        <v>#DIV/0!</v>
      </c>
      <c r="VOF148" s="367" t="s">
        <v>206</v>
      </c>
      <c r="VOG148" s="367"/>
      <c r="VOH148" s="367"/>
      <c r="VOI148" s="368" t="s">
        <v>168</v>
      </c>
      <c r="VOJ148" s="369">
        <v>0.5</v>
      </c>
      <c r="VOK148" s="370" t="e">
        <f>10/VOG146</f>
        <v>#DIV/0!</v>
      </c>
      <c r="VOL148" s="371">
        <v>15.38</v>
      </c>
      <c r="VOM148" s="371" t="e">
        <f>VOJ148*VOK148*VOL148</f>
        <v>#DIV/0!</v>
      </c>
      <c r="VON148" s="367" t="s">
        <v>206</v>
      </c>
      <c r="VOO148" s="367"/>
      <c r="VOP148" s="367"/>
      <c r="VOQ148" s="368" t="s">
        <v>168</v>
      </c>
      <c r="VOR148" s="369">
        <v>0.5</v>
      </c>
      <c r="VOS148" s="370" t="e">
        <f>10/VOO146</f>
        <v>#DIV/0!</v>
      </c>
      <c r="VOT148" s="371">
        <v>15.38</v>
      </c>
      <c r="VOU148" s="371" t="e">
        <f>VOR148*VOS148*VOT148</f>
        <v>#DIV/0!</v>
      </c>
      <c r="VOV148" s="367" t="s">
        <v>206</v>
      </c>
      <c r="VOW148" s="367"/>
      <c r="VOX148" s="367"/>
      <c r="VOY148" s="368" t="s">
        <v>168</v>
      </c>
      <c r="VOZ148" s="369">
        <v>0.5</v>
      </c>
      <c r="VPA148" s="370" t="e">
        <f>10/VOW146</f>
        <v>#DIV/0!</v>
      </c>
      <c r="VPB148" s="371">
        <v>15.38</v>
      </c>
      <c r="VPC148" s="371" t="e">
        <f>VOZ148*VPA148*VPB148</f>
        <v>#DIV/0!</v>
      </c>
      <c r="VPD148" s="367" t="s">
        <v>206</v>
      </c>
      <c r="VPE148" s="367"/>
      <c r="VPF148" s="367"/>
      <c r="VPG148" s="368" t="s">
        <v>168</v>
      </c>
      <c r="VPH148" s="369">
        <v>0.5</v>
      </c>
      <c r="VPI148" s="370" t="e">
        <f>10/VPE146</f>
        <v>#DIV/0!</v>
      </c>
      <c r="VPJ148" s="371">
        <v>15.38</v>
      </c>
      <c r="VPK148" s="371" t="e">
        <f>VPH148*VPI148*VPJ148</f>
        <v>#DIV/0!</v>
      </c>
      <c r="VPL148" s="367" t="s">
        <v>206</v>
      </c>
      <c r="VPM148" s="367"/>
      <c r="VPN148" s="367"/>
      <c r="VPO148" s="368" t="s">
        <v>168</v>
      </c>
      <c r="VPP148" s="369">
        <v>0.5</v>
      </c>
      <c r="VPQ148" s="370" t="e">
        <f>10/VPM146</f>
        <v>#DIV/0!</v>
      </c>
      <c r="VPR148" s="371">
        <v>15.38</v>
      </c>
      <c r="VPS148" s="371" t="e">
        <f>VPP148*VPQ148*VPR148</f>
        <v>#DIV/0!</v>
      </c>
      <c r="VPT148" s="367" t="s">
        <v>206</v>
      </c>
      <c r="VPU148" s="367"/>
      <c r="VPV148" s="367"/>
      <c r="VPW148" s="368" t="s">
        <v>168</v>
      </c>
      <c r="VPX148" s="369">
        <v>0.5</v>
      </c>
      <c r="VPY148" s="370" t="e">
        <f>10/VPU146</f>
        <v>#DIV/0!</v>
      </c>
      <c r="VPZ148" s="371">
        <v>15.38</v>
      </c>
      <c r="VQA148" s="371" t="e">
        <f>VPX148*VPY148*VPZ148</f>
        <v>#DIV/0!</v>
      </c>
      <c r="VQB148" s="367" t="s">
        <v>206</v>
      </c>
      <c r="VQC148" s="367"/>
      <c r="VQD148" s="367"/>
      <c r="VQE148" s="368" t="s">
        <v>168</v>
      </c>
      <c r="VQF148" s="369">
        <v>0.5</v>
      </c>
      <c r="VQG148" s="370" t="e">
        <f>10/VQC146</f>
        <v>#DIV/0!</v>
      </c>
      <c r="VQH148" s="371">
        <v>15.38</v>
      </c>
      <c r="VQI148" s="371" t="e">
        <f>VQF148*VQG148*VQH148</f>
        <v>#DIV/0!</v>
      </c>
      <c r="VQJ148" s="367" t="s">
        <v>206</v>
      </c>
      <c r="VQK148" s="367"/>
      <c r="VQL148" s="367"/>
      <c r="VQM148" s="368" t="s">
        <v>168</v>
      </c>
      <c r="VQN148" s="369">
        <v>0.5</v>
      </c>
      <c r="VQO148" s="370" t="e">
        <f>10/VQK146</f>
        <v>#DIV/0!</v>
      </c>
      <c r="VQP148" s="371">
        <v>15.38</v>
      </c>
      <c r="VQQ148" s="371" t="e">
        <f>VQN148*VQO148*VQP148</f>
        <v>#DIV/0!</v>
      </c>
      <c r="VQR148" s="367" t="s">
        <v>206</v>
      </c>
      <c r="VQS148" s="367"/>
      <c r="VQT148" s="367"/>
      <c r="VQU148" s="368" t="s">
        <v>168</v>
      </c>
      <c r="VQV148" s="369">
        <v>0.5</v>
      </c>
      <c r="VQW148" s="370" t="e">
        <f>10/VQS146</f>
        <v>#DIV/0!</v>
      </c>
      <c r="VQX148" s="371">
        <v>15.38</v>
      </c>
      <c r="VQY148" s="371" t="e">
        <f>VQV148*VQW148*VQX148</f>
        <v>#DIV/0!</v>
      </c>
      <c r="VQZ148" s="367" t="s">
        <v>206</v>
      </c>
      <c r="VRA148" s="367"/>
      <c r="VRB148" s="367"/>
      <c r="VRC148" s="368" t="s">
        <v>168</v>
      </c>
      <c r="VRD148" s="369">
        <v>0.5</v>
      </c>
      <c r="VRE148" s="370" t="e">
        <f>10/VRA146</f>
        <v>#DIV/0!</v>
      </c>
      <c r="VRF148" s="371">
        <v>15.38</v>
      </c>
      <c r="VRG148" s="371" t="e">
        <f>VRD148*VRE148*VRF148</f>
        <v>#DIV/0!</v>
      </c>
      <c r="VRH148" s="367" t="s">
        <v>206</v>
      </c>
      <c r="VRI148" s="367"/>
      <c r="VRJ148" s="367"/>
      <c r="VRK148" s="368" t="s">
        <v>168</v>
      </c>
      <c r="VRL148" s="369">
        <v>0.5</v>
      </c>
      <c r="VRM148" s="370" t="e">
        <f>10/VRI146</f>
        <v>#DIV/0!</v>
      </c>
      <c r="VRN148" s="371">
        <v>15.38</v>
      </c>
      <c r="VRO148" s="371" t="e">
        <f>VRL148*VRM148*VRN148</f>
        <v>#DIV/0!</v>
      </c>
      <c r="VRP148" s="367" t="s">
        <v>206</v>
      </c>
      <c r="VRQ148" s="367"/>
      <c r="VRR148" s="367"/>
      <c r="VRS148" s="368" t="s">
        <v>168</v>
      </c>
      <c r="VRT148" s="369">
        <v>0.5</v>
      </c>
      <c r="VRU148" s="370" t="e">
        <f>10/VRQ146</f>
        <v>#DIV/0!</v>
      </c>
      <c r="VRV148" s="371">
        <v>15.38</v>
      </c>
      <c r="VRW148" s="371" t="e">
        <f>VRT148*VRU148*VRV148</f>
        <v>#DIV/0!</v>
      </c>
      <c r="VRX148" s="367" t="s">
        <v>206</v>
      </c>
      <c r="VRY148" s="367"/>
      <c r="VRZ148" s="367"/>
      <c r="VSA148" s="368" t="s">
        <v>168</v>
      </c>
      <c r="VSB148" s="369">
        <v>0.5</v>
      </c>
      <c r="VSC148" s="370" t="e">
        <f>10/VRY146</f>
        <v>#DIV/0!</v>
      </c>
      <c r="VSD148" s="371">
        <v>15.38</v>
      </c>
      <c r="VSE148" s="371" t="e">
        <f>VSB148*VSC148*VSD148</f>
        <v>#DIV/0!</v>
      </c>
      <c r="VSF148" s="367" t="s">
        <v>206</v>
      </c>
      <c r="VSG148" s="367"/>
      <c r="VSH148" s="367"/>
      <c r="VSI148" s="368" t="s">
        <v>168</v>
      </c>
      <c r="VSJ148" s="369">
        <v>0.5</v>
      </c>
      <c r="VSK148" s="370" t="e">
        <f>10/VSG146</f>
        <v>#DIV/0!</v>
      </c>
      <c r="VSL148" s="371">
        <v>15.38</v>
      </c>
      <c r="VSM148" s="371" t="e">
        <f>VSJ148*VSK148*VSL148</f>
        <v>#DIV/0!</v>
      </c>
      <c r="VSN148" s="367" t="s">
        <v>206</v>
      </c>
      <c r="VSO148" s="367"/>
      <c r="VSP148" s="367"/>
      <c r="VSQ148" s="368" t="s">
        <v>168</v>
      </c>
      <c r="VSR148" s="369">
        <v>0.5</v>
      </c>
      <c r="VSS148" s="370" t="e">
        <f>10/VSO146</f>
        <v>#DIV/0!</v>
      </c>
      <c r="VST148" s="371">
        <v>15.38</v>
      </c>
      <c r="VSU148" s="371" t="e">
        <f>VSR148*VSS148*VST148</f>
        <v>#DIV/0!</v>
      </c>
      <c r="VSV148" s="367" t="s">
        <v>206</v>
      </c>
      <c r="VSW148" s="367"/>
      <c r="VSX148" s="367"/>
      <c r="VSY148" s="368" t="s">
        <v>168</v>
      </c>
      <c r="VSZ148" s="369">
        <v>0.5</v>
      </c>
      <c r="VTA148" s="370" t="e">
        <f>10/VSW146</f>
        <v>#DIV/0!</v>
      </c>
      <c r="VTB148" s="371">
        <v>15.38</v>
      </c>
      <c r="VTC148" s="371" t="e">
        <f>VSZ148*VTA148*VTB148</f>
        <v>#DIV/0!</v>
      </c>
      <c r="VTD148" s="367" t="s">
        <v>206</v>
      </c>
      <c r="VTE148" s="367"/>
      <c r="VTF148" s="367"/>
      <c r="VTG148" s="368" t="s">
        <v>168</v>
      </c>
      <c r="VTH148" s="369">
        <v>0.5</v>
      </c>
      <c r="VTI148" s="370" t="e">
        <f>10/VTE146</f>
        <v>#DIV/0!</v>
      </c>
      <c r="VTJ148" s="371">
        <v>15.38</v>
      </c>
      <c r="VTK148" s="371" t="e">
        <f>VTH148*VTI148*VTJ148</f>
        <v>#DIV/0!</v>
      </c>
      <c r="VTL148" s="367" t="s">
        <v>206</v>
      </c>
      <c r="VTM148" s="367"/>
      <c r="VTN148" s="367"/>
      <c r="VTO148" s="368" t="s">
        <v>168</v>
      </c>
      <c r="VTP148" s="369">
        <v>0.5</v>
      </c>
      <c r="VTQ148" s="370" t="e">
        <f>10/VTM146</f>
        <v>#DIV/0!</v>
      </c>
      <c r="VTR148" s="371">
        <v>15.38</v>
      </c>
      <c r="VTS148" s="371" t="e">
        <f>VTP148*VTQ148*VTR148</f>
        <v>#DIV/0!</v>
      </c>
      <c r="VTT148" s="367" t="s">
        <v>206</v>
      </c>
      <c r="VTU148" s="367"/>
      <c r="VTV148" s="367"/>
      <c r="VTW148" s="368" t="s">
        <v>168</v>
      </c>
      <c r="VTX148" s="369">
        <v>0.5</v>
      </c>
      <c r="VTY148" s="370" t="e">
        <f>10/VTU146</f>
        <v>#DIV/0!</v>
      </c>
      <c r="VTZ148" s="371">
        <v>15.38</v>
      </c>
      <c r="VUA148" s="371" t="e">
        <f>VTX148*VTY148*VTZ148</f>
        <v>#DIV/0!</v>
      </c>
      <c r="VUB148" s="367" t="s">
        <v>206</v>
      </c>
      <c r="VUC148" s="367"/>
      <c r="VUD148" s="367"/>
      <c r="VUE148" s="368" t="s">
        <v>168</v>
      </c>
      <c r="VUF148" s="369">
        <v>0.5</v>
      </c>
      <c r="VUG148" s="370" t="e">
        <f>10/VUC146</f>
        <v>#DIV/0!</v>
      </c>
      <c r="VUH148" s="371">
        <v>15.38</v>
      </c>
      <c r="VUI148" s="371" t="e">
        <f>VUF148*VUG148*VUH148</f>
        <v>#DIV/0!</v>
      </c>
      <c r="VUJ148" s="367" t="s">
        <v>206</v>
      </c>
      <c r="VUK148" s="367"/>
      <c r="VUL148" s="367"/>
      <c r="VUM148" s="368" t="s">
        <v>168</v>
      </c>
      <c r="VUN148" s="369">
        <v>0.5</v>
      </c>
      <c r="VUO148" s="370" t="e">
        <f>10/VUK146</f>
        <v>#DIV/0!</v>
      </c>
      <c r="VUP148" s="371">
        <v>15.38</v>
      </c>
      <c r="VUQ148" s="371" t="e">
        <f>VUN148*VUO148*VUP148</f>
        <v>#DIV/0!</v>
      </c>
      <c r="VUR148" s="367" t="s">
        <v>206</v>
      </c>
      <c r="VUS148" s="367"/>
      <c r="VUT148" s="367"/>
      <c r="VUU148" s="368" t="s">
        <v>168</v>
      </c>
      <c r="VUV148" s="369">
        <v>0.5</v>
      </c>
      <c r="VUW148" s="370" t="e">
        <f>10/VUS146</f>
        <v>#DIV/0!</v>
      </c>
      <c r="VUX148" s="371">
        <v>15.38</v>
      </c>
      <c r="VUY148" s="371" t="e">
        <f>VUV148*VUW148*VUX148</f>
        <v>#DIV/0!</v>
      </c>
      <c r="VUZ148" s="367" t="s">
        <v>206</v>
      </c>
      <c r="VVA148" s="367"/>
      <c r="VVB148" s="367"/>
      <c r="VVC148" s="368" t="s">
        <v>168</v>
      </c>
      <c r="VVD148" s="369">
        <v>0.5</v>
      </c>
      <c r="VVE148" s="370" t="e">
        <f>10/VVA146</f>
        <v>#DIV/0!</v>
      </c>
      <c r="VVF148" s="371">
        <v>15.38</v>
      </c>
      <c r="VVG148" s="371" t="e">
        <f>VVD148*VVE148*VVF148</f>
        <v>#DIV/0!</v>
      </c>
      <c r="VVH148" s="367" t="s">
        <v>206</v>
      </c>
      <c r="VVI148" s="367"/>
      <c r="VVJ148" s="367"/>
      <c r="VVK148" s="368" t="s">
        <v>168</v>
      </c>
      <c r="VVL148" s="369">
        <v>0.5</v>
      </c>
      <c r="VVM148" s="370" t="e">
        <f>10/VVI146</f>
        <v>#DIV/0!</v>
      </c>
      <c r="VVN148" s="371">
        <v>15.38</v>
      </c>
      <c r="VVO148" s="371" t="e">
        <f>VVL148*VVM148*VVN148</f>
        <v>#DIV/0!</v>
      </c>
      <c r="VVP148" s="367" t="s">
        <v>206</v>
      </c>
      <c r="VVQ148" s="367"/>
      <c r="VVR148" s="367"/>
      <c r="VVS148" s="368" t="s">
        <v>168</v>
      </c>
      <c r="VVT148" s="369">
        <v>0.5</v>
      </c>
      <c r="VVU148" s="370" t="e">
        <f>10/VVQ146</f>
        <v>#DIV/0!</v>
      </c>
      <c r="VVV148" s="371">
        <v>15.38</v>
      </c>
      <c r="VVW148" s="371" t="e">
        <f>VVT148*VVU148*VVV148</f>
        <v>#DIV/0!</v>
      </c>
      <c r="VVX148" s="367" t="s">
        <v>206</v>
      </c>
      <c r="VVY148" s="367"/>
      <c r="VVZ148" s="367"/>
      <c r="VWA148" s="368" t="s">
        <v>168</v>
      </c>
      <c r="VWB148" s="369">
        <v>0.5</v>
      </c>
      <c r="VWC148" s="370" t="e">
        <f>10/VVY146</f>
        <v>#DIV/0!</v>
      </c>
      <c r="VWD148" s="371">
        <v>15.38</v>
      </c>
      <c r="VWE148" s="371" t="e">
        <f>VWB148*VWC148*VWD148</f>
        <v>#DIV/0!</v>
      </c>
      <c r="VWF148" s="367" t="s">
        <v>206</v>
      </c>
      <c r="VWG148" s="367"/>
      <c r="VWH148" s="367"/>
      <c r="VWI148" s="368" t="s">
        <v>168</v>
      </c>
      <c r="VWJ148" s="369">
        <v>0.5</v>
      </c>
      <c r="VWK148" s="370" t="e">
        <f>10/VWG146</f>
        <v>#DIV/0!</v>
      </c>
      <c r="VWL148" s="371">
        <v>15.38</v>
      </c>
      <c r="VWM148" s="371" t="e">
        <f>VWJ148*VWK148*VWL148</f>
        <v>#DIV/0!</v>
      </c>
      <c r="VWN148" s="367" t="s">
        <v>206</v>
      </c>
      <c r="VWO148" s="367"/>
      <c r="VWP148" s="367"/>
      <c r="VWQ148" s="368" t="s">
        <v>168</v>
      </c>
      <c r="VWR148" s="369">
        <v>0.5</v>
      </c>
      <c r="VWS148" s="370" t="e">
        <f>10/VWO146</f>
        <v>#DIV/0!</v>
      </c>
      <c r="VWT148" s="371">
        <v>15.38</v>
      </c>
      <c r="VWU148" s="371" t="e">
        <f>VWR148*VWS148*VWT148</f>
        <v>#DIV/0!</v>
      </c>
      <c r="VWV148" s="367" t="s">
        <v>206</v>
      </c>
      <c r="VWW148" s="367"/>
      <c r="VWX148" s="367"/>
      <c r="VWY148" s="368" t="s">
        <v>168</v>
      </c>
      <c r="VWZ148" s="369">
        <v>0.5</v>
      </c>
      <c r="VXA148" s="370" t="e">
        <f>10/VWW146</f>
        <v>#DIV/0!</v>
      </c>
      <c r="VXB148" s="371">
        <v>15.38</v>
      </c>
      <c r="VXC148" s="371" t="e">
        <f>VWZ148*VXA148*VXB148</f>
        <v>#DIV/0!</v>
      </c>
      <c r="VXD148" s="367" t="s">
        <v>206</v>
      </c>
      <c r="VXE148" s="367"/>
      <c r="VXF148" s="367"/>
      <c r="VXG148" s="368" t="s">
        <v>168</v>
      </c>
      <c r="VXH148" s="369">
        <v>0.5</v>
      </c>
      <c r="VXI148" s="370" t="e">
        <f>10/VXE146</f>
        <v>#DIV/0!</v>
      </c>
      <c r="VXJ148" s="371">
        <v>15.38</v>
      </c>
      <c r="VXK148" s="371" t="e">
        <f>VXH148*VXI148*VXJ148</f>
        <v>#DIV/0!</v>
      </c>
      <c r="VXL148" s="367" t="s">
        <v>206</v>
      </c>
      <c r="VXM148" s="367"/>
      <c r="VXN148" s="367"/>
      <c r="VXO148" s="368" t="s">
        <v>168</v>
      </c>
      <c r="VXP148" s="369">
        <v>0.5</v>
      </c>
      <c r="VXQ148" s="370" t="e">
        <f>10/VXM146</f>
        <v>#DIV/0!</v>
      </c>
      <c r="VXR148" s="371">
        <v>15.38</v>
      </c>
      <c r="VXS148" s="371" t="e">
        <f>VXP148*VXQ148*VXR148</f>
        <v>#DIV/0!</v>
      </c>
      <c r="VXT148" s="367" t="s">
        <v>206</v>
      </c>
      <c r="VXU148" s="367"/>
      <c r="VXV148" s="367"/>
      <c r="VXW148" s="368" t="s">
        <v>168</v>
      </c>
      <c r="VXX148" s="369">
        <v>0.5</v>
      </c>
      <c r="VXY148" s="370" t="e">
        <f>10/VXU146</f>
        <v>#DIV/0!</v>
      </c>
      <c r="VXZ148" s="371">
        <v>15.38</v>
      </c>
      <c r="VYA148" s="371" t="e">
        <f>VXX148*VXY148*VXZ148</f>
        <v>#DIV/0!</v>
      </c>
      <c r="VYB148" s="367" t="s">
        <v>206</v>
      </c>
      <c r="VYC148" s="367"/>
      <c r="VYD148" s="367"/>
      <c r="VYE148" s="368" t="s">
        <v>168</v>
      </c>
      <c r="VYF148" s="369">
        <v>0.5</v>
      </c>
      <c r="VYG148" s="370" t="e">
        <f>10/VYC146</f>
        <v>#DIV/0!</v>
      </c>
      <c r="VYH148" s="371">
        <v>15.38</v>
      </c>
      <c r="VYI148" s="371" t="e">
        <f>VYF148*VYG148*VYH148</f>
        <v>#DIV/0!</v>
      </c>
      <c r="VYJ148" s="367" t="s">
        <v>206</v>
      </c>
      <c r="VYK148" s="367"/>
      <c r="VYL148" s="367"/>
      <c r="VYM148" s="368" t="s">
        <v>168</v>
      </c>
      <c r="VYN148" s="369">
        <v>0.5</v>
      </c>
      <c r="VYO148" s="370" t="e">
        <f>10/VYK146</f>
        <v>#DIV/0!</v>
      </c>
      <c r="VYP148" s="371">
        <v>15.38</v>
      </c>
      <c r="VYQ148" s="371" t="e">
        <f>VYN148*VYO148*VYP148</f>
        <v>#DIV/0!</v>
      </c>
      <c r="VYR148" s="367" t="s">
        <v>206</v>
      </c>
      <c r="VYS148" s="367"/>
      <c r="VYT148" s="367"/>
      <c r="VYU148" s="368" t="s">
        <v>168</v>
      </c>
      <c r="VYV148" s="369">
        <v>0.5</v>
      </c>
      <c r="VYW148" s="370" t="e">
        <f>10/VYS146</f>
        <v>#DIV/0!</v>
      </c>
      <c r="VYX148" s="371">
        <v>15.38</v>
      </c>
      <c r="VYY148" s="371" t="e">
        <f>VYV148*VYW148*VYX148</f>
        <v>#DIV/0!</v>
      </c>
      <c r="VYZ148" s="367" t="s">
        <v>206</v>
      </c>
      <c r="VZA148" s="367"/>
      <c r="VZB148" s="367"/>
      <c r="VZC148" s="368" t="s">
        <v>168</v>
      </c>
      <c r="VZD148" s="369">
        <v>0.5</v>
      </c>
      <c r="VZE148" s="370" t="e">
        <f>10/VZA146</f>
        <v>#DIV/0!</v>
      </c>
      <c r="VZF148" s="371">
        <v>15.38</v>
      </c>
      <c r="VZG148" s="371" t="e">
        <f>VZD148*VZE148*VZF148</f>
        <v>#DIV/0!</v>
      </c>
      <c r="VZH148" s="367" t="s">
        <v>206</v>
      </c>
      <c r="VZI148" s="367"/>
      <c r="VZJ148" s="367"/>
      <c r="VZK148" s="368" t="s">
        <v>168</v>
      </c>
      <c r="VZL148" s="369">
        <v>0.5</v>
      </c>
      <c r="VZM148" s="370" t="e">
        <f>10/VZI146</f>
        <v>#DIV/0!</v>
      </c>
      <c r="VZN148" s="371">
        <v>15.38</v>
      </c>
      <c r="VZO148" s="371" t="e">
        <f>VZL148*VZM148*VZN148</f>
        <v>#DIV/0!</v>
      </c>
      <c r="VZP148" s="367" t="s">
        <v>206</v>
      </c>
      <c r="VZQ148" s="367"/>
      <c r="VZR148" s="367"/>
      <c r="VZS148" s="368" t="s">
        <v>168</v>
      </c>
      <c r="VZT148" s="369">
        <v>0.5</v>
      </c>
      <c r="VZU148" s="370" t="e">
        <f>10/VZQ146</f>
        <v>#DIV/0!</v>
      </c>
      <c r="VZV148" s="371">
        <v>15.38</v>
      </c>
      <c r="VZW148" s="371" t="e">
        <f>VZT148*VZU148*VZV148</f>
        <v>#DIV/0!</v>
      </c>
      <c r="VZX148" s="367" t="s">
        <v>206</v>
      </c>
      <c r="VZY148" s="367"/>
      <c r="VZZ148" s="367"/>
      <c r="WAA148" s="368" t="s">
        <v>168</v>
      </c>
      <c r="WAB148" s="369">
        <v>0.5</v>
      </c>
      <c r="WAC148" s="370" t="e">
        <f>10/VZY146</f>
        <v>#DIV/0!</v>
      </c>
      <c r="WAD148" s="371">
        <v>15.38</v>
      </c>
      <c r="WAE148" s="371" t="e">
        <f>WAB148*WAC148*WAD148</f>
        <v>#DIV/0!</v>
      </c>
      <c r="WAF148" s="367" t="s">
        <v>206</v>
      </c>
      <c r="WAG148" s="367"/>
      <c r="WAH148" s="367"/>
      <c r="WAI148" s="368" t="s">
        <v>168</v>
      </c>
      <c r="WAJ148" s="369">
        <v>0.5</v>
      </c>
      <c r="WAK148" s="370" t="e">
        <f>10/WAG146</f>
        <v>#DIV/0!</v>
      </c>
      <c r="WAL148" s="371">
        <v>15.38</v>
      </c>
      <c r="WAM148" s="371" t="e">
        <f>WAJ148*WAK148*WAL148</f>
        <v>#DIV/0!</v>
      </c>
      <c r="WAN148" s="367" t="s">
        <v>206</v>
      </c>
      <c r="WAO148" s="367"/>
      <c r="WAP148" s="367"/>
      <c r="WAQ148" s="368" t="s">
        <v>168</v>
      </c>
      <c r="WAR148" s="369">
        <v>0.5</v>
      </c>
      <c r="WAS148" s="370" t="e">
        <f>10/WAO146</f>
        <v>#DIV/0!</v>
      </c>
      <c r="WAT148" s="371">
        <v>15.38</v>
      </c>
      <c r="WAU148" s="371" t="e">
        <f>WAR148*WAS148*WAT148</f>
        <v>#DIV/0!</v>
      </c>
      <c r="WAV148" s="367" t="s">
        <v>206</v>
      </c>
      <c r="WAW148" s="367"/>
      <c r="WAX148" s="367"/>
      <c r="WAY148" s="368" t="s">
        <v>168</v>
      </c>
      <c r="WAZ148" s="369">
        <v>0.5</v>
      </c>
      <c r="WBA148" s="370" t="e">
        <f>10/WAW146</f>
        <v>#DIV/0!</v>
      </c>
      <c r="WBB148" s="371">
        <v>15.38</v>
      </c>
      <c r="WBC148" s="371" t="e">
        <f>WAZ148*WBA148*WBB148</f>
        <v>#DIV/0!</v>
      </c>
      <c r="WBD148" s="367" t="s">
        <v>206</v>
      </c>
      <c r="WBE148" s="367"/>
      <c r="WBF148" s="367"/>
      <c r="WBG148" s="368" t="s">
        <v>168</v>
      </c>
      <c r="WBH148" s="369">
        <v>0.5</v>
      </c>
      <c r="WBI148" s="370" t="e">
        <f>10/WBE146</f>
        <v>#DIV/0!</v>
      </c>
      <c r="WBJ148" s="371">
        <v>15.38</v>
      </c>
      <c r="WBK148" s="371" t="e">
        <f>WBH148*WBI148*WBJ148</f>
        <v>#DIV/0!</v>
      </c>
      <c r="WBL148" s="367" t="s">
        <v>206</v>
      </c>
      <c r="WBM148" s="367"/>
      <c r="WBN148" s="367"/>
      <c r="WBO148" s="368" t="s">
        <v>168</v>
      </c>
      <c r="WBP148" s="369">
        <v>0.5</v>
      </c>
      <c r="WBQ148" s="370" t="e">
        <f>10/WBM146</f>
        <v>#DIV/0!</v>
      </c>
      <c r="WBR148" s="371">
        <v>15.38</v>
      </c>
      <c r="WBS148" s="371" t="e">
        <f>WBP148*WBQ148*WBR148</f>
        <v>#DIV/0!</v>
      </c>
      <c r="WBT148" s="367" t="s">
        <v>206</v>
      </c>
      <c r="WBU148" s="367"/>
      <c r="WBV148" s="367"/>
      <c r="WBW148" s="368" t="s">
        <v>168</v>
      </c>
      <c r="WBX148" s="369">
        <v>0.5</v>
      </c>
      <c r="WBY148" s="370" t="e">
        <f>10/WBU146</f>
        <v>#DIV/0!</v>
      </c>
      <c r="WBZ148" s="371">
        <v>15.38</v>
      </c>
      <c r="WCA148" s="371" t="e">
        <f>WBX148*WBY148*WBZ148</f>
        <v>#DIV/0!</v>
      </c>
      <c r="WCB148" s="367" t="s">
        <v>206</v>
      </c>
      <c r="WCC148" s="367"/>
      <c r="WCD148" s="367"/>
      <c r="WCE148" s="368" t="s">
        <v>168</v>
      </c>
      <c r="WCF148" s="369">
        <v>0.5</v>
      </c>
      <c r="WCG148" s="370" t="e">
        <f>10/WCC146</f>
        <v>#DIV/0!</v>
      </c>
      <c r="WCH148" s="371">
        <v>15.38</v>
      </c>
      <c r="WCI148" s="371" t="e">
        <f>WCF148*WCG148*WCH148</f>
        <v>#DIV/0!</v>
      </c>
      <c r="WCJ148" s="367" t="s">
        <v>206</v>
      </c>
      <c r="WCK148" s="367"/>
      <c r="WCL148" s="367"/>
      <c r="WCM148" s="368" t="s">
        <v>168</v>
      </c>
      <c r="WCN148" s="369">
        <v>0.5</v>
      </c>
      <c r="WCO148" s="370" t="e">
        <f>10/WCK146</f>
        <v>#DIV/0!</v>
      </c>
      <c r="WCP148" s="371">
        <v>15.38</v>
      </c>
      <c r="WCQ148" s="371" t="e">
        <f>WCN148*WCO148*WCP148</f>
        <v>#DIV/0!</v>
      </c>
      <c r="WCR148" s="367" t="s">
        <v>206</v>
      </c>
      <c r="WCS148" s="367"/>
      <c r="WCT148" s="367"/>
      <c r="WCU148" s="368" t="s">
        <v>168</v>
      </c>
      <c r="WCV148" s="369">
        <v>0.5</v>
      </c>
      <c r="WCW148" s="370" t="e">
        <f>10/WCS146</f>
        <v>#DIV/0!</v>
      </c>
      <c r="WCX148" s="371">
        <v>15.38</v>
      </c>
      <c r="WCY148" s="371" t="e">
        <f>WCV148*WCW148*WCX148</f>
        <v>#DIV/0!</v>
      </c>
      <c r="WCZ148" s="367" t="s">
        <v>206</v>
      </c>
      <c r="WDA148" s="367"/>
      <c r="WDB148" s="367"/>
      <c r="WDC148" s="368" t="s">
        <v>168</v>
      </c>
      <c r="WDD148" s="369">
        <v>0.5</v>
      </c>
      <c r="WDE148" s="370" t="e">
        <f>10/WDA146</f>
        <v>#DIV/0!</v>
      </c>
      <c r="WDF148" s="371">
        <v>15.38</v>
      </c>
      <c r="WDG148" s="371" t="e">
        <f>WDD148*WDE148*WDF148</f>
        <v>#DIV/0!</v>
      </c>
      <c r="WDH148" s="367" t="s">
        <v>206</v>
      </c>
      <c r="WDI148" s="367"/>
      <c r="WDJ148" s="367"/>
      <c r="WDK148" s="368" t="s">
        <v>168</v>
      </c>
      <c r="WDL148" s="369">
        <v>0.5</v>
      </c>
      <c r="WDM148" s="370" t="e">
        <f>10/WDI146</f>
        <v>#DIV/0!</v>
      </c>
      <c r="WDN148" s="371">
        <v>15.38</v>
      </c>
      <c r="WDO148" s="371" t="e">
        <f>WDL148*WDM148*WDN148</f>
        <v>#DIV/0!</v>
      </c>
      <c r="WDP148" s="367" t="s">
        <v>206</v>
      </c>
      <c r="WDQ148" s="367"/>
      <c r="WDR148" s="367"/>
      <c r="WDS148" s="368" t="s">
        <v>168</v>
      </c>
      <c r="WDT148" s="369">
        <v>0.5</v>
      </c>
      <c r="WDU148" s="370" t="e">
        <f>10/WDQ146</f>
        <v>#DIV/0!</v>
      </c>
      <c r="WDV148" s="371">
        <v>15.38</v>
      </c>
      <c r="WDW148" s="371" t="e">
        <f>WDT148*WDU148*WDV148</f>
        <v>#DIV/0!</v>
      </c>
      <c r="WDX148" s="367" t="s">
        <v>206</v>
      </c>
      <c r="WDY148" s="367"/>
      <c r="WDZ148" s="367"/>
      <c r="WEA148" s="368" t="s">
        <v>168</v>
      </c>
      <c r="WEB148" s="369">
        <v>0.5</v>
      </c>
      <c r="WEC148" s="370" t="e">
        <f>10/WDY146</f>
        <v>#DIV/0!</v>
      </c>
      <c r="WED148" s="371">
        <v>15.38</v>
      </c>
      <c r="WEE148" s="371" t="e">
        <f>WEB148*WEC148*WED148</f>
        <v>#DIV/0!</v>
      </c>
      <c r="WEF148" s="367" t="s">
        <v>206</v>
      </c>
      <c r="WEG148" s="367"/>
      <c r="WEH148" s="367"/>
      <c r="WEI148" s="368" t="s">
        <v>168</v>
      </c>
      <c r="WEJ148" s="369">
        <v>0.5</v>
      </c>
      <c r="WEK148" s="370" t="e">
        <f>10/WEG146</f>
        <v>#DIV/0!</v>
      </c>
      <c r="WEL148" s="371">
        <v>15.38</v>
      </c>
      <c r="WEM148" s="371" t="e">
        <f>WEJ148*WEK148*WEL148</f>
        <v>#DIV/0!</v>
      </c>
      <c r="WEN148" s="367" t="s">
        <v>206</v>
      </c>
      <c r="WEO148" s="367"/>
      <c r="WEP148" s="367"/>
      <c r="WEQ148" s="368" t="s">
        <v>168</v>
      </c>
      <c r="WER148" s="369">
        <v>0.5</v>
      </c>
      <c r="WES148" s="370" t="e">
        <f>10/WEO146</f>
        <v>#DIV/0!</v>
      </c>
      <c r="WET148" s="371">
        <v>15.38</v>
      </c>
      <c r="WEU148" s="371" t="e">
        <f>WER148*WES148*WET148</f>
        <v>#DIV/0!</v>
      </c>
      <c r="WEV148" s="367" t="s">
        <v>206</v>
      </c>
      <c r="WEW148" s="367"/>
      <c r="WEX148" s="367"/>
      <c r="WEY148" s="368" t="s">
        <v>168</v>
      </c>
      <c r="WEZ148" s="369">
        <v>0.5</v>
      </c>
      <c r="WFA148" s="370" t="e">
        <f>10/WEW146</f>
        <v>#DIV/0!</v>
      </c>
      <c r="WFB148" s="371">
        <v>15.38</v>
      </c>
      <c r="WFC148" s="371" t="e">
        <f>WEZ148*WFA148*WFB148</f>
        <v>#DIV/0!</v>
      </c>
      <c r="WFD148" s="367" t="s">
        <v>206</v>
      </c>
      <c r="WFE148" s="367"/>
      <c r="WFF148" s="367"/>
      <c r="WFG148" s="368" t="s">
        <v>168</v>
      </c>
      <c r="WFH148" s="369">
        <v>0.5</v>
      </c>
      <c r="WFI148" s="370" t="e">
        <f>10/WFE146</f>
        <v>#DIV/0!</v>
      </c>
      <c r="WFJ148" s="371">
        <v>15.38</v>
      </c>
      <c r="WFK148" s="371" t="e">
        <f>WFH148*WFI148*WFJ148</f>
        <v>#DIV/0!</v>
      </c>
      <c r="WFL148" s="367" t="s">
        <v>206</v>
      </c>
      <c r="WFM148" s="367"/>
      <c r="WFN148" s="367"/>
      <c r="WFO148" s="368" t="s">
        <v>168</v>
      </c>
      <c r="WFP148" s="369">
        <v>0.5</v>
      </c>
      <c r="WFQ148" s="370" t="e">
        <f>10/WFM146</f>
        <v>#DIV/0!</v>
      </c>
      <c r="WFR148" s="371">
        <v>15.38</v>
      </c>
      <c r="WFS148" s="371" t="e">
        <f>WFP148*WFQ148*WFR148</f>
        <v>#DIV/0!</v>
      </c>
      <c r="WFT148" s="367" t="s">
        <v>206</v>
      </c>
      <c r="WFU148" s="367"/>
      <c r="WFV148" s="367"/>
      <c r="WFW148" s="368" t="s">
        <v>168</v>
      </c>
      <c r="WFX148" s="369">
        <v>0.5</v>
      </c>
      <c r="WFY148" s="370" t="e">
        <f>10/WFU146</f>
        <v>#DIV/0!</v>
      </c>
      <c r="WFZ148" s="371">
        <v>15.38</v>
      </c>
      <c r="WGA148" s="371" t="e">
        <f>WFX148*WFY148*WFZ148</f>
        <v>#DIV/0!</v>
      </c>
      <c r="WGB148" s="367" t="s">
        <v>206</v>
      </c>
      <c r="WGC148" s="367"/>
      <c r="WGD148" s="367"/>
      <c r="WGE148" s="368" t="s">
        <v>168</v>
      </c>
      <c r="WGF148" s="369">
        <v>0.5</v>
      </c>
      <c r="WGG148" s="370" t="e">
        <f>10/WGC146</f>
        <v>#DIV/0!</v>
      </c>
      <c r="WGH148" s="371">
        <v>15.38</v>
      </c>
      <c r="WGI148" s="371" t="e">
        <f>WGF148*WGG148*WGH148</f>
        <v>#DIV/0!</v>
      </c>
      <c r="WGJ148" s="367" t="s">
        <v>206</v>
      </c>
      <c r="WGK148" s="367"/>
      <c r="WGL148" s="367"/>
      <c r="WGM148" s="368" t="s">
        <v>168</v>
      </c>
      <c r="WGN148" s="369">
        <v>0.5</v>
      </c>
      <c r="WGO148" s="370" t="e">
        <f>10/WGK146</f>
        <v>#DIV/0!</v>
      </c>
      <c r="WGP148" s="371">
        <v>15.38</v>
      </c>
      <c r="WGQ148" s="371" t="e">
        <f>WGN148*WGO148*WGP148</f>
        <v>#DIV/0!</v>
      </c>
      <c r="WGR148" s="367" t="s">
        <v>206</v>
      </c>
      <c r="WGS148" s="367"/>
      <c r="WGT148" s="367"/>
      <c r="WGU148" s="368" t="s">
        <v>168</v>
      </c>
      <c r="WGV148" s="369">
        <v>0.5</v>
      </c>
      <c r="WGW148" s="370" t="e">
        <f>10/WGS146</f>
        <v>#DIV/0!</v>
      </c>
      <c r="WGX148" s="371">
        <v>15.38</v>
      </c>
      <c r="WGY148" s="371" t="e">
        <f>WGV148*WGW148*WGX148</f>
        <v>#DIV/0!</v>
      </c>
      <c r="WGZ148" s="367" t="s">
        <v>206</v>
      </c>
      <c r="WHA148" s="367"/>
      <c r="WHB148" s="367"/>
      <c r="WHC148" s="368" t="s">
        <v>168</v>
      </c>
      <c r="WHD148" s="369">
        <v>0.5</v>
      </c>
      <c r="WHE148" s="370" t="e">
        <f>10/WHA146</f>
        <v>#DIV/0!</v>
      </c>
      <c r="WHF148" s="371">
        <v>15.38</v>
      </c>
      <c r="WHG148" s="371" t="e">
        <f>WHD148*WHE148*WHF148</f>
        <v>#DIV/0!</v>
      </c>
      <c r="WHH148" s="367" t="s">
        <v>206</v>
      </c>
      <c r="WHI148" s="367"/>
      <c r="WHJ148" s="367"/>
      <c r="WHK148" s="368" t="s">
        <v>168</v>
      </c>
      <c r="WHL148" s="369">
        <v>0.5</v>
      </c>
      <c r="WHM148" s="370" t="e">
        <f>10/WHI146</f>
        <v>#DIV/0!</v>
      </c>
      <c r="WHN148" s="371">
        <v>15.38</v>
      </c>
      <c r="WHO148" s="371" t="e">
        <f>WHL148*WHM148*WHN148</f>
        <v>#DIV/0!</v>
      </c>
      <c r="WHP148" s="367" t="s">
        <v>206</v>
      </c>
      <c r="WHQ148" s="367"/>
      <c r="WHR148" s="367"/>
      <c r="WHS148" s="368" t="s">
        <v>168</v>
      </c>
      <c r="WHT148" s="369">
        <v>0.5</v>
      </c>
      <c r="WHU148" s="370" t="e">
        <f>10/WHQ146</f>
        <v>#DIV/0!</v>
      </c>
      <c r="WHV148" s="371">
        <v>15.38</v>
      </c>
      <c r="WHW148" s="371" t="e">
        <f>WHT148*WHU148*WHV148</f>
        <v>#DIV/0!</v>
      </c>
      <c r="WHX148" s="367" t="s">
        <v>206</v>
      </c>
      <c r="WHY148" s="367"/>
      <c r="WHZ148" s="367"/>
      <c r="WIA148" s="368" t="s">
        <v>168</v>
      </c>
      <c r="WIB148" s="369">
        <v>0.5</v>
      </c>
      <c r="WIC148" s="370" t="e">
        <f>10/WHY146</f>
        <v>#DIV/0!</v>
      </c>
      <c r="WID148" s="371">
        <v>15.38</v>
      </c>
      <c r="WIE148" s="371" t="e">
        <f>WIB148*WIC148*WID148</f>
        <v>#DIV/0!</v>
      </c>
      <c r="WIF148" s="367" t="s">
        <v>206</v>
      </c>
      <c r="WIG148" s="367"/>
      <c r="WIH148" s="367"/>
      <c r="WII148" s="368" t="s">
        <v>168</v>
      </c>
      <c r="WIJ148" s="369">
        <v>0.5</v>
      </c>
      <c r="WIK148" s="370" t="e">
        <f>10/WIG146</f>
        <v>#DIV/0!</v>
      </c>
      <c r="WIL148" s="371">
        <v>15.38</v>
      </c>
      <c r="WIM148" s="371" t="e">
        <f>WIJ148*WIK148*WIL148</f>
        <v>#DIV/0!</v>
      </c>
      <c r="WIN148" s="367" t="s">
        <v>206</v>
      </c>
      <c r="WIO148" s="367"/>
      <c r="WIP148" s="367"/>
      <c r="WIQ148" s="368" t="s">
        <v>168</v>
      </c>
      <c r="WIR148" s="369">
        <v>0.5</v>
      </c>
      <c r="WIS148" s="370" t="e">
        <f>10/WIO146</f>
        <v>#DIV/0!</v>
      </c>
      <c r="WIT148" s="371">
        <v>15.38</v>
      </c>
      <c r="WIU148" s="371" t="e">
        <f>WIR148*WIS148*WIT148</f>
        <v>#DIV/0!</v>
      </c>
      <c r="WIV148" s="367" t="s">
        <v>206</v>
      </c>
      <c r="WIW148" s="367"/>
      <c r="WIX148" s="367"/>
      <c r="WIY148" s="368" t="s">
        <v>168</v>
      </c>
      <c r="WIZ148" s="369">
        <v>0.5</v>
      </c>
      <c r="WJA148" s="370" t="e">
        <f>10/WIW146</f>
        <v>#DIV/0!</v>
      </c>
      <c r="WJB148" s="371">
        <v>15.38</v>
      </c>
      <c r="WJC148" s="371" t="e">
        <f>WIZ148*WJA148*WJB148</f>
        <v>#DIV/0!</v>
      </c>
      <c r="WJD148" s="367" t="s">
        <v>206</v>
      </c>
      <c r="WJE148" s="367"/>
      <c r="WJF148" s="367"/>
      <c r="WJG148" s="368" t="s">
        <v>168</v>
      </c>
      <c r="WJH148" s="369">
        <v>0.5</v>
      </c>
      <c r="WJI148" s="370" t="e">
        <f>10/WJE146</f>
        <v>#DIV/0!</v>
      </c>
      <c r="WJJ148" s="371">
        <v>15.38</v>
      </c>
      <c r="WJK148" s="371" t="e">
        <f>WJH148*WJI148*WJJ148</f>
        <v>#DIV/0!</v>
      </c>
      <c r="WJL148" s="367" t="s">
        <v>206</v>
      </c>
      <c r="WJM148" s="367"/>
      <c r="WJN148" s="367"/>
      <c r="WJO148" s="368" t="s">
        <v>168</v>
      </c>
      <c r="WJP148" s="369">
        <v>0.5</v>
      </c>
      <c r="WJQ148" s="370" t="e">
        <f>10/WJM146</f>
        <v>#DIV/0!</v>
      </c>
      <c r="WJR148" s="371">
        <v>15.38</v>
      </c>
      <c r="WJS148" s="371" t="e">
        <f>WJP148*WJQ148*WJR148</f>
        <v>#DIV/0!</v>
      </c>
      <c r="WJT148" s="367" t="s">
        <v>206</v>
      </c>
      <c r="WJU148" s="367"/>
      <c r="WJV148" s="367"/>
      <c r="WJW148" s="368" t="s">
        <v>168</v>
      </c>
      <c r="WJX148" s="369">
        <v>0.5</v>
      </c>
      <c r="WJY148" s="370" t="e">
        <f>10/WJU146</f>
        <v>#DIV/0!</v>
      </c>
      <c r="WJZ148" s="371">
        <v>15.38</v>
      </c>
      <c r="WKA148" s="371" t="e">
        <f>WJX148*WJY148*WJZ148</f>
        <v>#DIV/0!</v>
      </c>
      <c r="WKB148" s="367" t="s">
        <v>206</v>
      </c>
      <c r="WKC148" s="367"/>
      <c r="WKD148" s="367"/>
      <c r="WKE148" s="368" t="s">
        <v>168</v>
      </c>
      <c r="WKF148" s="369">
        <v>0.5</v>
      </c>
      <c r="WKG148" s="370" t="e">
        <f>10/WKC146</f>
        <v>#DIV/0!</v>
      </c>
      <c r="WKH148" s="371">
        <v>15.38</v>
      </c>
      <c r="WKI148" s="371" t="e">
        <f>WKF148*WKG148*WKH148</f>
        <v>#DIV/0!</v>
      </c>
      <c r="WKJ148" s="367" t="s">
        <v>206</v>
      </c>
      <c r="WKK148" s="367"/>
      <c r="WKL148" s="367"/>
      <c r="WKM148" s="368" t="s">
        <v>168</v>
      </c>
      <c r="WKN148" s="369">
        <v>0.5</v>
      </c>
      <c r="WKO148" s="370" t="e">
        <f>10/WKK146</f>
        <v>#DIV/0!</v>
      </c>
      <c r="WKP148" s="371">
        <v>15.38</v>
      </c>
      <c r="WKQ148" s="371" t="e">
        <f>WKN148*WKO148*WKP148</f>
        <v>#DIV/0!</v>
      </c>
      <c r="WKR148" s="367" t="s">
        <v>206</v>
      </c>
      <c r="WKS148" s="367"/>
      <c r="WKT148" s="367"/>
      <c r="WKU148" s="368" t="s">
        <v>168</v>
      </c>
      <c r="WKV148" s="369">
        <v>0.5</v>
      </c>
      <c r="WKW148" s="370" t="e">
        <f>10/WKS146</f>
        <v>#DIV/0!</v>
      </c>
      <c r="WKX148" s="371">
        <v>15.38</v>
      </c>
      <c r="WKY148" s="371" t="e">
        <f>WKV148*WKW148*WKX148</f>
        <v>#DIV/0!</v>
      </c>
      <c r="WKZ148" s="367" t="s">
        <v>206</v>
      </c>
      <c r="WLA148" s="367"/>
      <c r="WLB148" s="367"/>
      <c r="WLC148" s="368" t="s">
        <v>168</v>
      </c>
      <c r="WLD148" s="369">
        <v>0.5</v>
      </c>
      <c r="WLE148" s="370" t="e">
        <f>10/WLA146</f>
        <v>#DIV/0!</v>
      </c>
      <c r="WLF148" s="371">
        <v>15.38</v>
      </c>
      <c r="WLG148" s="371" t="e">
        <f>WLD148*WLE148*WLF148</f>
        <v>#DIV/0!</v>
      </c>
      <c r="WLH148" s="367" t="s">
        <v>206</v>
      </c>
      <c r="WLI148" s="367"/>
      <c r="WLJ148" s="367"/>
      <c r="WLK148" s="368" t="s">
        <v>168</v>
      </c>
      <c r="WLL148" s="369">
        <v>0.5</v>
      </c>
      <c r="WLM148" s="370" t="e">
        <f>10/WLI146</f>
        <v>#DIV/0!</v>
      </c>
      <c r="WLN148" s="371">
        <v>15.38</v>
      </c>
      <c r="WLO148" s="371" t="e">
        <f>WLL148*WLM148*WLN148</f>
        <v>#DIV/0!</v>
      </c>
      <c r="WLP148" s="367" t="s">
        <v>206</v>
      </c>
      <c r="WLQ148" s="367"/>
      <c r="WLR148" s="367"/>
      <c r="WLS148" s="368" t="s">
        <v>168</v>
      </c>
      <c r="WLT148" s="369">
        <v>0.5</v>
      </c>
      <c r="WLU148" s="370" t="e">
        <f>10/WLQ146</f>
        <v>#DIV/0!</v>
      </c>
      <c r="WLV148" s="371">
        <v>15.38</v>
      </c>
      <c r="WLW148" s="371" t="e">
        <f>WLT148*WLU148*WLV148</f>
        <v>#DIV/0!</v>
      </c>
      <c r="WLX148" s="367" t="s">
        <v>206</v>
      </c>
      <c r="WLY148" s="367"/>
      <c r="WLZ148" s="367"/>
      <c r="WMA148" s="368" t="s">
        <v>168</v>
      </c>
      <c r="WMB148" s="369">
        <v>0.5</v>
      </c>
      <c r="WMC148" s="370" t="e">
        <f>10/WLY146</f>
        <v>#DIV/0!</v>
      </c>
      <c r="WMD148" s="371">
        <v>15.38</v>
      </c>
      <c r="WME148" s="371" t="e">
        <f>WMB148*WMC148*WMD148</f>
        <v>#DIV/0!</v>
      </c>
      <c r="WMF148" s="367" t="s">
        <v>206</v>
      </c>
      <c r="WMG148" s="367"/>
      <c r="WMH148" s="367"/>
      <c r="WMI148" s="368" t="s">
        <v>168</v>
      </c>
      <c r="WMJ148" s="369">
        <v>0.5</v>
      </c>
      <c r="WMK148" s="370" t="e">
        <f>10/WMG146</f>
        <v>#DIV/0!</v>
      </c>
      <c r="WML148" s="371">
        <v>15.38</v>
      </c>
      <c r="WMM148" s="371" t="e">
        <f>WMJ148*WMK148*WML148</f>
        <v>#DIV/0!</v>
      </c>
      <c r="WMN148" s="367" t="s">
        <v>206</v>
      </c>
      <c r="WMO148" s="367"/>
      <c r="WMP148" s="367"/>
      <c r="WMQ148" s="368" t="s">
        <v>168</v>
      </c>
      <c r="WMR148" s="369">
        <v>0.5</v>
      </c>
      <c r="WMS148" s="370" t="e">
        <f>10/WMO146</f>
        <v>#DIV/0!</v>
      </c>
      <c r="WMT148" s="371">
        <v>15.38</v>
      </c>
      <c r="WMU148" s="371" t="e">
        <f>WMR148*WMS148*WMT148</f>
        <v>#DIV/0!</v>
      </c>
      <c r="WMV148" s="367" t="s">
        <v>206</v>
      </c>
      <c r="WMW148" s="367"/>
      <c r="WMX148" s="367"/>
      <c r="WMY148" s="368" t="s">
        <v>168</v>
      </c>
      <c r="WMZ148" s="369">
        <v>0.5</v>
      </c>
      <c r="WNA148" s="370" t="e">
        <f>10/WMW146</f>
        <v>#DIV/0!</v>
      </c>
      <c r="WNB148" s="371">
        <v>15.38</v>
      </c>
      <c r="WNC148" s="371" t="e">
        <f>WMZ148*WNA148*WNB148</f>
        <v>#DIV/0!</v>
      </c>
      <c r="WND148" s="367" t="s">
        <v>206</v>
      </c>
      <c r="WNE148" s="367"/>
      <c r="WNF148" s="367"/>
      <c r="WNG148" s="368" t="s">
        <v>168</v>
      </c>
      <c r="WNH148" s="369">
        <v>0.5</v>
      </c>
      <c r="WNI148" s="370" t="e">
        <f>10/WNE146</f>
        <v>#DIV/0!</v>
      </c>
      <c r="WNJ148" s="371">
        <v>15.38</v>
      </c>
      <c r="WNK148" s="371" t="e">
        <f>WNH148*WNI148*WNJ148</f>
        <v>#DIV/0!</v>
      </c>
      <c r="WNL148" s="367" t="s">
        <v>206</v>
      </c>
      <c r="WNM148" s="367"/>
      <c r="WNN148" s="367"/>
      <c r="WNO148" s="368" t="s">
        <v>168</v>
      </c>
      <c r="WNP148" s="369">
        <v>0.5</v>
      </c>
      <c r="WNQ148" s="370" t="e">
        <f>10/WNM146</f>
        <v>#DIV/0!</v>
      </c>
      <c r="WNR148" s="371">
        <v>15.38</v>
      </c>
      <c r="WNS148" s="371" t="e">
        <f>WNP148*WNQ148*WNR148</f>
        <v>#DIV/0!</v>
      </c>
      <c r="WNT148" s="367" t="s">
        <v>206</v>
      </c>
      <c r="WNU148" s="367"/>
      <c r="WNV148" s="367"/>
      <c r="WNW148" s="368" t="s">
        <v>168</v>
      </c>
      <c r="WNX148" s="369">
        <v>0.5</v>
      </c>
      <c r="WNY148" s="370" t="e">
        <f>10/WNU146</f>
        <v>#DIV/0!</v>
      </c>
      <c r="WNZ148" s="371">
        <v>15.38</v>
      </c>
      <c r="WOA148" s="371" t="e">
        <f>WNX148*WNY148*WNZ148</f>
        <v>#DIV/0!</v>
      </c>
      <c r="WOB148" s="367" t="s">
        <v>206</v>
      </c>
      <c r="WOC148" s="367"/>
      <c r="WOD148" s="367"/>
      <c r="WOE148" s="368" t="s">
        <v>168</v>
      </c>
      <c r="WOF148" s="369">
        <v>0.5</v>
      </c>
      <c r="WOG148" s="370" t="e">
        <f>10/WOC146</f>
        <v>#DIV/0!</v>
      </c>
      <c r="WOH148" s="371">
        <v>15.38</v>
      </c>
      <c r="WOI148" s="371" t="e">
        <f>WOF148*WOG148*WOH148</f>
        <v>#DIV/0!</v>
      </c>
      <c r="WOJ148" s="367" t="s">
        <v>206</v>
      </c>
      <c r="WOK148" s="367"/>
      <c r="WOL148" s="367"/>
      <c r="WOM148" s="368" t="s">
        <v>168</v>
      </c>
      <c r="WON148" s="369">
        <v>0.5</v>
      </c>
      <c r="WOO148" s="370" t="e">
        <f>10/WOK146</f>
        <v>#DIV/0!</v>
      </c>
      <c r="WOP148" s="371">
        <v>15.38</v>
      </c>
      <c r="WOQ148" s="371" t="e">
        <f>WON148*WOO148*WOP148</f>
        <v>#DIV/0!</v>
      </c>
      <c r="WOR148" s="367" t="s">
        <v>206</v>
      </c>
      <c r="WOS148" s="367"/>
      <c r="WOT148" s="367"/>
      <c r="WOU148" s="368" t="s">
        <v>168</v>
      </c>
      <c r="WOV148" s="369">
        <v>0.5</v>
      </c>
      <c r="WOW148" s="370" t="e">
        <f>10/WOS146</f>
        <v>#DIV/0!</v>
      </c>
      <c r="WOX148" s="371">
        <v>15.38</v>
      </c>
      <c r="WOY148" s="371" t="e">
        <f>WOV148*WOW148*WOX148</f>
        <v>#DIV/0!</v>
      </c>
      <c r="WOZ148" s="367" t="s">
        <v>206</v>
      </c>
      <c r="WPA148" s="367"/>
      <c r="WPB148" s="367"/>
      <c r="WPC148" s="368" t="s">
        <v>168</v>
      </c>
      <c r="WPD148" s="369">
        <v>0.5</v>
      </c>
      <c r="WPE148" s="370" t="e">
        <f>10/WPA146</f>
        <v>#DIV/0!</v>
      </c>
      <c r="WPF148" s="371">
        <v>15.38</v>
      </c>
      <c r="WPG148" s="371" t="e">
        <f>WPD148*WPE148*WPF148</f>
        <v>#DIV/0!</v>
      </c>
      <c r="WPH148" s="367" t="s">
        <v>206</v>
      </c>
      <c r="WPI148" s="367"/>
      <c r="WPJ148" s="367"/>
      <c r="WPK148" s="368" t="s">
        <v>168</v>
      </c>
      <c r="WPL148" s="369">
        <v>0.5</v>
      </c>
      <c r="WPM148" s="370" t="e">
        <f>10/WPI146</f>
        <v>#DIV/0!</v>
      </c>
      <c r="WPN148" s="371">
        <v>15.38</v>
      </c>
      <c r="WPO148" s="371" t="e">
        <f>WPL148*WPM148*WPN148</f>
        <v>#DIV/0!</v>
      </c>
      <c r="WPP148" s="367" t="s">
        <v>206</v>
      </c>
      <c r="WPQ148" s="367"/>
      <c r="WPR148" s="367"/>
      <c r="WPS148" s="368" t="s">
        <v>168</v>
      </c>
      <c r="WPT148" s="369">
        <v>0.5</v>
      </c>
      <c r="WPU148" s="370" t="e">
        <f>10/WPQ146</f>
        <v>#DIV/0!</v>
      </c>
      <c r="WPV148" s="371">
        <v>15.38</v>
      </c>
      <c r="WPW148" s="371" t="e">
        <f>WPT148*WPU148*WPV148</f>
        <v>#DIV/0!</v>
      </c>
      <c r="WPX148" s="367" t="s">
        <v>206</v>
      </c>
      <c r="WPY148" s="367"/>
      <c r="WPZ148" s="367"/>
      <c r="WQA148" s="368" t="s">
        <v>168</v>
      </c>
      <c r="WQB148" s="369">
        <v>0.5</v>
      </c>
      <c r="WQC148" s="370" t="e">
        <f>10/WPY146</f>
        <v>#DIV/0!</v>
      </c>
      <c r="WQD148" s="371">
        <v>15.38</v>
      </c>
      <c r="WQE148" s="371" t="e">
        <f>WQB148*WQC148*WQD148</f>
        <v>#DIV/0!</v>
      </c>
      <c r="WQF148" s="367" t="s">
        <v>206</v>
      </c>
      <c r="WQG148" s="367"/>
      <c r="WQH148" s="367"/>
      <c r="WQI148" s="368" t="s">
        <v>168</v>
      </c>
      <c r="WQJ148" s="369">
        <v>0.5</v>
      </c>
      <c r="WQK148" s="370" t="e">
        <f>10/WQG146</f>
        <v>#DIV/0!</v>
      </c>
      <c r="WQL148" s="371">
        <v>15.38</v>
      </c>
      <c r="WQM148" s="371" t="e">
        <f>WQJ148*WQK148*WQL148</f>
        <v>#DIV/0!</v>
      </c>
      <c r="WQN148" s="367" t="s">
        <v>206</v>
      </c>
      <c r="WQO148" s="367"/>
      <c r="WQP148" s="367"/>
      <c r="WQQ148" s="368" t="s">
        <v>168</v>
      </c>
      <c r="WQR148" s="369">
        <v>0.5</v>
      </c>
      <c r="WQS148" s="370" t="e">
        <f>10/WQO146</f>
        <v>#DIV/0!</v>
      </c>
      <c r="WQT148" s="371">
        <v>15.38</v>
      </c>
      <c r="WQU148" s="371" t="e">
        <f>WQR148*WQS148*WQT148</f>
        <v>#DIV/0!</v>
      </c>
      <c r="WQV148" s="367" t="s">
        <v>206</v>
      </c>
      <c r="WQW148" s="367"/>
      <c r="WQX148" s="367"/>
      <c r="WQY148" s="368" t="s">
        <v>168</v>
      </c>
      <c r="WQZ148" s="369">
        <v>0.5</v>
      </c>
      <c r="WRA148" s="370" t="e">
        <f>10/WQW146</f>
        <v>#DIV/0!</v>
      </c>
      <c r="WRB148" s="371">
        <v>15.38</v>
      </c>
      <c r="WRC148" s="371" t="e">
        <f>WQZ148*WRA148*WRB148</f>
        <v>#DIV/0!</v>
      </c>
      <c r="WRD148" s="367" t="s">
        <v>206</v>
      </c>
      <c r="WRE148" s="367"/>
      <c r="WRF148" s="367"/>
      <c r="WRG148" s="368" t="s">
        <v>168</v>
      </c>
      <c r="WRH148" s="369">
        <v>0.5</v>
      </c>
      <c r="WRI148" s="370" t="e">
        <f>10/WRE146</f>
        <v>#DIV/0!</v>
      </c>
      <c r="WRJ148" s="371">
        <v>15.38</v>
      </c>
      <c r="WRK148" s="371" t="e">
        <f>WRH148*WRI148*WRJ148</f>
        <v>#DIV/0!</v>
      </c>
      <c r="WRL148" s="367" t="s">
        <v>206</v>
      </c>
      <c r="WRM148" s="367"/>
      <c r="WRN148" s="367"/>
      <c r="WRO148" s="368" t="s">
        <v>168</v>
      </c>
      <c r="WRP148" s="369">
        <v>0.5</v>
      </c>
      <c r="WRQ148" s="370" t="e">
        <f>10/WRM146</f>
        <v>#DIV/0!</v>
      </c>
      <c r="WRR148" s="371">
        <v>15.38</v>
      </c>
      <c r="WRS148" s="371" t="e">
        <f>WRP148*WRQ148*WRR148</f>
        <v>#DIV/0!</v>
      </c>
      <c r="WRT148" s="367" t="s">
        <v>206</v>
      </c>
      <c r="WRU148" s="367"/>
      <c r="WRV148" s="367"/>
      <c r="WRW148" s="368" t="s">
        <v>168</v>
      </c>
      <c r="WRX148" s="369">
        <v>0.5</v>
      </c>
      <c r="WRY148" s="370" t="e">
        <f>10/WRU146</f>
        <v>#DIV/0!</v>
      </c>
      <c r="WRZ148" s="371">
        <v>15.38</v>
      </c>
      <c r="WSA148" s="371" t="e">
        <f>WRX148*WRY148*WRZ148</f>
        <v>#DIV/0!</v>
      </c>
      <c r="WSB148" s="367" t="s">
        <v>206</v>
      </c>
      <c r="WSC148" s="367"/>
      <c r="WSD148" s="367"/>
      <c r="WSE148" s="368" t="s">
        <v>168</v>
      </c>
      <c r="WSF148" s="369">
        <v>0.5</v>
      </c>
      <c r="WSG148" s="370" t="e">
        <f>10/WSC146</f>
        <v>#DIV/0!</v>
      </c>
      <c r="WSH148" s="371">
        <v>15.38</v>
      </c>
      <c r="WSI148" s="371" t="e">
        <f>WSF148*WSG148*WSH148</f>
        <v>#DIV/0!</v>
      </c>
      <c r="WSJ148" s="367" t="s">
        <v>206</v>
      </c>
      <c r="WSK148" s="367"/>
      <c r="WSL148" s="367"/>
      <c r="WSM148" s="368" t="s">
        <v>168</v>
      </c>
      <c r="WSN148" s="369">
        <v>0.5</v>
      </c>
      <c r="WSO148" s="370" t="e">
        <f>10/WSK146</f>
        <v>#DIV/0!</v>
      </c>
      <c r="WSP148" s="371">
        <v>15.38</v>
      </c>
      <c r="WSQ148" s="371" t="e">
        <f>WSN148*WSO148*WSP148</f>
        <v>#DIV/0!</v>
      </c>
      <c r="WSR148" s="367" t="s">
        <v>206</v>
      </c>
      <c r="WSS148" s="367"/>
      <c r="WST148" s="367"/>
      <c r="WSU148" s="368" t="s">
        <v>168</v>
      </c>
      <c r="WSV148" s="369">
        <v>0.5</v>
      </c>
      <c r="WSW148" s="370" t="e">
        <f>10/WSS146</f>
        <v>#DIV/0!</v>
      </c>
      <c r="WSX148" s="371">
        <v>15.38</v>
      </c>
      <c r="WSY148" s="371" t="e">
        <f>WSV148*WSW148*WSX148</f>
        <v>#DIV/0!</v>
      </c>
      <c r="WSZ148" s="367" t="s">
        <v>206</v>
      </c>
      <c r="WTA148" s="367"/>
      <c r="WTB148" s="367"/>
      <c r="WTC148" s="368" t="s">
        <v>168</v>
      </c>
      <c r="WTD148" s="369">
        <v>0.5</v>
      </c>
      <c r="WTE148" s="370" t="e">
        <f>10/WTA146</f>
        <v>#DIV/0!</v>
      </c>
      <c r="WTF148" s="371">
        <v>15.38</v>
      </c>
      <c r="WTG148" s="371" t="e">
        <f>WTD148*WTE148*WTF148</f>
        <v>#DIV/0!</v>
      </c>
      <c r="WTH148" s="367" t="s">
        <v>206</v>
      </c>
      <c r="WTI148" s="367"/>
      <c r="WTJ148" s="367"/>
      <c r="WTK148" s="368" t="s">
        <v>168</v>
      </c>
      <c r="WTL148" s="369">
        <v>0.5</v>
      </c>
      <c r="WTM148" s="370" t="e">
        <f>10/WTI146</f>
        <v>#DIV/0!</v>
      </c>
      <c r="WTN148" s="371">
        <v>15.38</v>
      </c>
      <c r="WTO148" s="371" t="e">
        <f>WTL148*WTM148*WTN148</f>
        <v>#DIV/0!</v>
      </c>
      <c r="WTP148" s="367" t="s">
        <v>206</v>
      </c>
      <c r="WTQ148" s="367"/>
      <c r="WTR148" s="367"/>
      <c r="WTS148" s="368" t="s">
        <v>168</v>
      </c>
      <c r="WTT148" s="369">
        <v>0.5</v>
      </c>
      <c r="WTU148" s="370" t="e">
        <f>10/WTQ146</f>
        <v>#DIV/0!</v>
      </c>
      <c r="WTV148" s="371">
        <v>15.38</v>
      </c>
      <c r="WTW148" s="371" t="e">
        <f>WTT148*WTU148*WTV148</f>
        <v>#DIV/0!</v>
      </c>
      <c r="WTX148" s="367" t="s">
        <v>206</v>
      </c>
      <c r="WTY148" s="367"/>
      <c r="WTZ148" s="367"/>
      <c r="WUA148" s="368" t="s">
        <v>168</v>
      </c>
      <c r="WUB148" s="369">
        <v>0.5</v>
      </c>
      <c r="WUC148" s="370" t="e">
        <f>10/WTY146</f>
        <v>#DIV/0!</v>
      </c>
      <c r="WUD148" s="371">
        <v>15.38</v>
      </c>
      <c r="WUE148" s="371" t="e">
        <f>WUB148*WUC148*WUD148</f>
        <v>#DIV/0!</v>
      </c>
      <c r="WUF148" s="367" t="s">
        <v>206</v>
      </c>
      <c r="WUG148" s="367"/>
      <c r="WUH148" s="367"/>
      <c r="WUI148" s="368" t="s">
        <v>168</v>
      </c>
      <c r="WUJ148" s="369">
        <v>0.5</v>
      </c>
      <c r="WUK148" s="370" t="e">
        <f>10/WUG146</f>
        <v>#DIV/0!</v>
      </c>
      <c r="WUL148" s="371">
        <v>15.38</v>
      </c>
      <c r="WUM148" s="371" t="e">
        <f>WUJ148*WUK148*WUL148</f>
        <v>#DIV/0!</v>
      </c>
      <c r="WUN148" s="367" t="s">
        <v>206</v>
      </c>
      <c r="WUO148" s="367"/>
      <c r="WUP148" s="367"/>
      <c r="WUQ148" s="368" t="s">
        <v>168</v>
      </c>
      <c r="WUR148" s="369">
        <v>0.5</v>
      </c>
      <c r="WUS148" s="370" t="e">
        <f>10/WUO146</f>
        <v>#DIV/0!</v>
      </c>
      <c r="WUT148" s="371">
        <v>15.38</v>
      </c>
      <c r="WUU148" s="371" t="e">
        <f>WUR148*WUS148*WUT148</f>
        <v>#DIV/0!</v>
      </c>
      <c r="WUV148" s="367" t="s">
        <v>206</v>
      </c>
      <c r="WUW148" s="367"/>
      <c r="WUX148" s="367"/>
      <c r="WUY148" s="368" t="s">
        <v>168</v>
      </c>
      <c r="WUZ148" s="369">
        <v>0.5</v>
      </c>
      <c r="WVA148" s="370" t="e">
        <f>10/WUW146</f>
        <v>#DIV/0!</v>
      </c>
      <c r="WVB148" s="371">
        <v>15.38</v>
      </c>
      <c r="WVC148" s="371" t="e">
        <f>WUZ148*WVA148*WVB148</f>
        <v>#DIV/0!</v>
      </c>
      <c r="WVD148" s="367" t="s">
        <v>206</v>
      </c>
      <c r="WVE148" s="367"/>
      <c r="WVF148" s="367"/>
      <c r="WVG148" s="368" t="s">
        <v>168</v>
      </c>
      <c r="WVH148" s="369">
        <v>0.5</v>
      </c>
      <c r="WVI148" s="370" t="e">
        <f>10/WVE146</f>
        <v>#DIV/0!</v>
      </c>
      <c r="WVJ148" s="371">
        <v>15.38</v>
      </c>
      <c r="WVK148" s="371" t="e">
        <f>WVH148*WVI148*WVJ148</f>
        <v>#DIV/0!</v>
      </c>
      <c r="WVL148" s="367" t="s">
        <v>206</v>
      </c>
      <c r="WVM148" s="367"/>
      <c r="WVN148" s="367"/>
      <c r="WVO148" s="368" t="s">
        <v>168</v>
      </c>
      <c r="WVP148" s="369">
        <v>0.5</v>
      </c>
      <c r="WVQ148" s="370" t="e">
        <f>10/WVM146</f>
        <v>#DIV/0!</v>
      </c>
      <c r="WVR148" s="371">
        <v>15.38</v>
      </c>
      <c r="WVS148" s="371" t="e">
        <f>WVP148*WVQ148*WVR148</f>
        <v>#DIV/0!</v>
      </c>
      <c r="WVT148" s="367" t="s">
        <v>206</v>
      </c>
      <c r="WVU148" s="367"/>
      <c r="WVV148" s="367"/>
      <c r="WVW148" s="368" t="s">
        <v>168</v>
      </c>
      <c r="WVX148" s="369">
        <v>0.5</v>
      </c>
      <c r="WVY148" s="370" t="e">
        <f>10/WVU146</f>
        <v>#DIV/0!</v>
      </c>
      <c r="WVZ148" s="371">
        <v>15.38</v>
      </c>
      <c r="WWA148" s="371" t="e">
        <f>WVX148*WVY148*WVZ148</f>
        <v>#DIV/0!</v>
      </c>
      <c r="WWB148" s="367" t="s">
        <v>206</v>
      </c>
      <c r="WWC148" s="367"/>
      <c r="WWD148" s="367"/>
      <c r="WWE148" s="368" t="s">
        <v>168</v>
      </c>
      <c r="WWF148" s="369">
        <v>0.5</v>
      </c>
      <c r="WWG148" s="370" t="e">
        <f>10/WWC146</f>
        <v>#DIV/0!</v>
      </c>
      <c r="WWH148" s="371">
        <v>15.38</v>
      </c>
      <c r="WWI148" s="371" t="e">
        <f>WWF148*WWG148*WWH148</f>
        <v>#DIV/0!</v>
      </c>
      <c r="WWJ148" s="367" t="s">
        <v>206</v>
      </c>
      <c r="WWK148" s="367"/>
      <c r="WWL148" s="367"/>
      <c r="WWM148" s="368" t="s">
        <v>168</v>
      </c>
      <c r="WWN148" s="369">
        <v>0.5</v>
      </c>
      <c r="WWO148" s="370" t="e">
        <f>10/WWK146</f>
        <v>#DIV/0!</v>
      </c>
      <c r="WWP148" s="371">
        <v>15.38</v>
      </c>
      <c r="WWQ148" s="371" t="e">
        <f>WWN148*WWO148*WWP148</f>
        <v>#DIV/0!</v>
      </c>
      <c r="WWR148" s="367" t="s">
        <v>206</v>
      </c>
      <c r="WWS148" s="367"/>
      <c r="WWT148" s="367"/>
      <c r="WWU148" s="368" t="s">
        <v>168</v>
      </c>
      <c r="WWV148" s="369">
        <v>0.5</v>
      </c>
      <c r="WWW148" s="370" t="e">
        <f>10/WWS146</f>
        <v>#DIV/0!</v>
      </c>
      <c r="WWX148" s="371">
        <v>15.38</v>
      </c>
      <c r="WWY148" s="371" t="e">
        <f>WWV148*WWW148*WWX148</f>
        <v>#DIV/0!</v>
      </c>
      <c r="WWZ148" s="367" t="s">
        <v>206</v>
      </c>
      <c r="WXA148" s="367"/>
      <c r="WXB148" s="367"/>
      <c r="WXC148" s="368" t="s">
        <v>168</v>
      </c>
      <c r="WXD148" s="369">
        <v>0.5</v>
      </c>
      <c r="WXE148" s="370" t="e">
        <f>10/WXA146</f>
        <v>#DIV/0!</v>
      </c>
      <c r="WXF148" s="371">
        <v>15.38</v>
      </c>
      <c r="WXG148" s="371" t="e">
        <f>WXD148*WXE148*WXF148</f>
        <v>#DIV/0!</v>
      </c>
      <c r="WXH148" s="367" t="s">
        <v>206</v>
      </c>
      <c r="WXI148" s="367"/>
      <c r="WXJ148" s="367"/>
      <c r="WXK148" s="368" t="s">
        <v>168</v>
      </c>
      <c r="WXL148" s="369">
        <v>0.5</v>
      </c>
      <c r="WXM148" s="370" t="e">
        <f>10/WXI146</f>
        <v>#DIV/0!</v>
      </c>
      <c r="WXN148" s="371">
        <v>15.38</v>
      </c>
      <c r="WXO148" s="371" t="e">
        <f>WXL148*WXM148*WXN148</f>
        <v>#DIV/0!</v>
      </c>
      <c r="WXP148" s="367" t="s">
        <v>206</v>
      </c>
      <c r="WXQ148" s="367"/>
      <c r="WXR148" s="367"/>
      <c r="WXS148" s="368" t="s">
        <v>168</v>
      </c>
      <c r="WXT148" s="369">
        <v>0.5</v>
      </c>
      <c r="WXU148" s="370" t="e">
        <f>10/WXQ146</f>
        <v>#DIV/0!</v>
      </c>
      <c r="WXV148" s="371">
        <v>15.38</v>
      </c>
      <c r="WXW148" s="371" t="e">
        <f>WXT148*WXU148*WXV148</f>
        <v>#DIV/0!</v>
      </c>
      <c r="WXX148" s="367" t="s">
        <v>206</v>
      </c>
      <c r="WXY148" s="367"/>
      <c r="WXZ148" s="367"/>
      <c r="WYA148" s="368" t="s">
        <v>168</v>
      </c>
      <c r="WYB148" s="369">
        <v>0.5</v>
      </c>
      <c r="WYC148" s="370" t="e">
        <f>10/WXY146</f>
        <v>#DIV/0!</v>
      </c>
      <c r="WYD148" s="371">
        <v>15.38</v>
      </c>
      <c r="WYE148" s="371" t="e">
        <f>WYB148*WYC148*WYD148</f>
        <v>#DIV/0!</v>
      </c>
      <c r="WYF148" s="367" t="s">
        <v>206</v>
      </c>
      <c r="WYG148" s="367"/>
      <c r="WYH148" s="367"/>
      <c r="WYI148" s="368" t="s">
        <v>168</v>
      </c>
      <c r="WYJ148" s="369">
        <v>0.5</v>
      </c>
      <c r="WYK148" s="370" t="e">
        <f>10/WYG146</f>
        <v>#DIV/0!</v>
      </c>
      <c r="WYL148" s="371">
        <v>15.38</v>
      </c>
      <c r="WYM148" s="371" t="e">
        <f>WYJ148*WYK148*WYL148</f>
        <v>#DIV/0!</v>
      </c>
      <c r="WYN148" s="367" t="s">
        <v>206</v>
      </c>
      <c r="WYO148" s="367"/>
      <c r="WYP148" s="367"/>
      <c r="WYQ148" s="368" t="s">
        <v>168</v>
      </c>
      <c r="WYR148" s="369">
        <v>0.5</v>
      </c>
      <c r="WYS148" s="370" t="e">
        <f>10/WYO146</f>
        <v>#DIV/0!</v>
      </c>
      <c r="WYT148" s="371">
        <v>15.38</v>
      </c>
      <c r="WYU148" s="371" t="e">
        <f>WYR148*WYS148*WYT148</f>
        <v>#DIV/0!</v>
      </c>
      <c r="WYV148" s="367" t="s">
        <v>206</v>
      </c>
      <c r="WYW148" s="367"/>
      <c r="WYX148" s="367"/>
      <c r="WYY148" s="368" t="s">
        <v>168</v>
      </c>
      <c r="WYZ148" s="369">
        <v>0.5</v>
      </c>
      <c r="WZA148" s="370" t="e">
        <f>10/WYW146</f>
        <v>#DIV/0!</v>
      </c>
      <c r="WZB148" s="371">
        <v>15.38</v>
      </c>
      <c r="WZC148" s="371" t="e">
        <f>WYZ148*WZA148*WZB148</f>
        <v>#DIV/0!</v>
      </c>
      <c r="WZD148" s="367" t="s">
        <v>206</v>
      </c>
      <c r="WZE148" s="367"/>
      <c r="WZF148" s="367"/>
      <c r="WZG148" s="368" t="s">
        <v>168</v>
      </c>
      <c r="WZH148" s="369">
        <v>0.5</v>
      </c>
      <c r="WZI148" s="370" t="e">
        <f>10/WZE146</f>
        <v>#DIV/0!</v>
      </c>
      <c r="WZJ148" s="371">
        <v>15.38</v>
      </c>
      <c r="WZK148" s="371" t="e">
        <f>WZH148*WZI148*WZJ148</f>
        <v>#DIV/0!</v>
      </c>
      <c r="WZL148" s="367" t="s">
        <v>206</v>
      </c>
      <c r="WZM148" s="367"/>
      <c r="WZN148" s="367"/>
      <c r="WZO148" s="368" t="s">
        <v>168</v>
      </c>
      <c r="WZP148" s="369">
        <v>0.5</v>
      </c>
      <c r="WZQ148" s="370" t="e">
        <f>10/WZM146</f>
        <v>#DIV/0!</v>
      </c>
      <c r="WZR148" s="371">
        <v>15.38</v>
      </c>
      <c r="WZS148" s="371" t="e">
        <f>WZP148*WZQ148*WZR148</f>
        <v>#DIV/0!</v>
      </c>
      <c r="WZT148" s="367" t="s">
        <v>206</v>
      </c>
      <c r="WZU148" s="367"/>
      <c r="WZV148" s="367"/>
      <c r="WZW148" s="368" t="s">
        <v>168</v>
      </c>
      <c r="WZX148" s="369">
        <v>0.5</v>
      </c>
      <c r="WZY148" s="370" t="e">
        <f>10/WZU146</f>
        <v>#DIV/0!</v>
      </c>
      <c r="WZZ148" s="371">
        <v>15.38</v>
      </c>
      <c r="XAA148" s="371" t="e">
        <f>WZX148*WZY148*WZZ148</f>
        <v>#DIV/0!</v>
      </c>
      <c r="XAB148" s="367" t="s">
        <v>206</v>
      </c>
      <c r="XAC148" s="367"/>
      <c r="XAD148" s="367"/>
      <c r="XAE148" s="368" t="s">
        <v>168</v>
      </c>
      <c r="XAF148" s="369">
        <v>0.5</v>
      </c>
      <c r="XAG148" s="370" t="e">
        <f>10/XAC146</f>
        <v>#DIV/0!</v>
      </c>
      <c r="XAH148" s="371">
        <v>15.38</v>
      </c>
      <c r="XAI148" s="371" t="e">
        <f>XAF148*XAG148*XAH148</f>
        <v>#DIV/0!</v>
      </c>
      <c r="XAJ148" s="367" t="s">
        <v>206</v>
      </c>
      <c r="XAK148" s="367"/>
      <c r="XAL148" s="367"/>
      <c r="XAM148" s="368" t="s">
        <v>168</v>
      </c>
      <c r="XAN148" s="369">
        <v>0.5</v>
      </c>
      <c r="XAO148" s="370" t="e">
        <f>10/XAK146</f>
        <v>#DIV/0!</v>
      </c>
      <c r="XAP148" s="371">
        <v>15.38</v>
      </c>
      <c r="XAQ148" s="371" t="e">
        <f>XAN148*XAO148*XAP148</f>
        <v>#DIV/0!</v>
      </c>
      <c r="XAR148" s="367" t="s">
        <v>206</v>
      </c>
      <c r="XAS148" s="367"/>
      <c r="XAT148" s="367"/>
      <c r="XAU148" s="368" t="s">
        <v>168</v>
      </c>
      <c r="XAV148" s="369">
        <v>0.5</v>
      </c>
      <c r="XAW148" s="370" t="e">
        <f>10/XAS146</f>
        <v>#DIV/0!</v>
      </c>
      <c r="XAX148" s="371">
        <v>15.38</v>
      </c>
      <c r="XAY148" s="371" t="e">
        <f>XAV148*XAW148*XAX148</f>
        <v>#DIV/0!</v>
      </c>
      <c r="XAZ148" s="367" t="s">
        <v>206</v>
      </c>
      <c r="XBA148" s="367"/>
      <c r="XBB148" s="367"/>
      <c r="XBC148" s="368" t="s">
        <v>168</v>
      </c>
      <c r="XBD148" s="369">
        <v>0.5</v>
      </c>
      <c r="XBE148" s="370" t="e">
        <f>10/XBA146</f>
        <v>#DIV/0!</v>
      </c>
      <c r="XBF148" s="371">
        <v>15.38</v>
      </c>
      <c r="XBG148" s="371" t="e">
        <f>XBD148*XBE148*XBF148</f>
        <v>#DIV/0!</v>
      </c>
      <c r="XBH148" s="367" t="s">
        <v>206</v>
      </c>
      <c r="XBI148" s="367"/>
      <c r="XBJ148" s="367"/>
      <c r="XBK148" s="368" t="s">
        <v>168</v>
      </c>
      <c r="XBL148" s="369">
        <v>0.5</v>
      </c>
      <c r="XBM148" s="370" t="e">
        <f>10/XBI146</f>
        <v>#DIV/0!</v>
      </c>
      <c r="XBN148" s="371">
        <v>15.38</v>
      </c>
      <c r="XBO148" s="371" t="e">
        <f>XBL148*XBM148*XBN148</f>
        <v>#DIV/0!</v>
      </c>
      <c r="XBP148" s="367" t="s">
        <v>206</v>
      </c>
      <c r="XBQ148" s="367"/>
      <c r="XBR148" s="367"/>
      <c r="XBS148" s="368" t="s">
        <v>168</v>
      </c>
      <c r="XBT148" s="369">
        <v>0.5</v>
      </c>
      <c r="XBU148" s="370" t="e">
        <f>10/XBQ146</f>
        <v>#DIV/0!</v>
      </c>
      <c r="XBV148" s="371">
        <v>15.38</v>
      </c>
      <c r="XBW148" s="371" t="e">
        <f>XBT148*XBU148*XBV148</f>
        <v>#DIV/0!</v>
      </c>
    </row>
    <row r="149" spans="1:16299" x14ac:dyDescent="0.25">
      <c r="A149" s="367" t="s">
        <v>216</v>
      </c>
      <c r="D149" s="368" t="s">
        <v>168</v>
      </c>
      <c r="E149" s="369">
        <v>1</v>
      </c>
      <c r="F149" s="370">
        <f>10/B146</f>
        <v>1.25</v>
      </c>
      <c r="G149" s="320">
        <v>13.94</v>
      </c>
      <c r="H149" s="371">
        <f>E149*F149*G149</f>
        <v>17.425000000000001</v>
      </c>
    </row>
    <row r="150" spans="1:16299" x14ac:dyDescent="0.25">
      <c r="A150" s="367" t="s">
        <v>169</v>
      </c>
      <c r="D150" s="368" t="s">
        <v>168</v>
      </c>
      <c r="E150" s="369">
        <v>2</v>
      </c>
      <c r="F150" s="370">
        <f>10/B146</f>
        <v>1.25</v>
      </c>
      <c r="G150" s="320">
        <v>13</v>
      </c>
      <c r="H150" s="371">
        <f>E150*F150*G150</f>
        <v>32.5</v>
      </c>
    </row>
    <row r="151" spans="1:16299" ht="15" customHeight="1" x14ac:dyDescent="0.25">
      <c r="A151" s="299"/>
      <c r="B151" s="299"/>
      <c r="C151" s="299"/>
      <c r="D151" s="300"/>
      <c r="E151" s="330"/>
      <c r="F151" s="331"/>
      <c r="G151" s="301" t="s">
        <v>170</v>
      </c>
      <c r="H151" s="301">
        <f>SUM(H148:H150)</f>
        <v>59.537500000000001</v>
      </c>
    </row>
    <row r="153" spans="1:16299" x14ac:dyDescent="0.25">
      <c r="A153" s="367" t="s">
        <v>208</v>
      </c>
      <c r="D153" s="374" t="s">
        <v>172</v>
      </c>
      <c r="F153" s="370">
        <f>10/B146</f>
        <v>1.25</v>
      </c>
      <c r="G153" s="371">
        <v>30</v>
      </c>
      <c r="H153" s="371">
        <f>F153*G153</f>
        <v>37.5</v>
      </c>
    </row>
    <row r="154" spans="1:16299" x14ac:dyDescent="0.25">
      <c r="A154" s="367" t="s">
        <v>217</v>
      </c>
      <c r="D154" s="368" t="s">
        <v>172</v>
      </c>
      <c r="F154" s="370">
        <f>10/B146</f>
        <v>1.25</v>
      </c>
      <c r="G154" s="371">
        <v>1.2</v>
      </c>
      <c r="H154" s="371">
        <f>F154*G154</f>
        <v>1.5</v>
      </c>
    </row>
    <row r="155" spans="1:16299" x14ac:dyDescent="0.25">
      <c r="A155" s="367" t="s">
        <v>209</v>
      </c>
      <c r="D155" s="368" t="s">
        <v>210</v>
      </c>
      <c r="F155" s="370">
        <v>3</v>
      </c>
      <c r="G155" s="371">
        <f>H151</f>
        <v>59.537500000000001</v>
      </c>
      <c r="H155" s="371">
        <f>G155*F155/100</f>
        <v>1.7861250000000002</v>
      </c>
    </row>
    <row r="156" spans="1:16299" ht="15" customHeight="1" x14ac:dyDescent="0.25">
      <c r="A156" s="299"/>
      <c r="B156" s="299"/>
      <c r="C156" s="299"/>
      <c r="D156" s="300"/>
      <c r="E156" s="330"/>
      <c r="F156" s="331"/>
      <c r="G156" s="301" t="s">
        <v>173</v>
      </c>
      <c r="H156" s="301">
        <f>SUM(H153:H155)</f>
        <v>40.786124999999998</v>
      </c>
    </row>
    <row r="159" spans="1:16299" ht="15" customHeight="1" x14ac:dyDescent="0.3">
      <c r="A159" s="295" t="s">
        <v>218</v>
      </c>
      <c r="B159" s="295"/>
      <c r="C159" s="295"/>
      <c r="D159" s="295"/>
      <c r="E159" s="295"/>
      <c r="F159" s="295"/>
      <c r="G159" s="295"/>
      <c r="H159" s="295"/>
    </row>
    <row r="160" spans="1:16299" ht="15" customHeight="1" x14ac:dyDescent="0.25">
      <c r="A160" s="285" t="s">
        <v>204</v>
      </c>
      <c r="B160" s="377">
        <v>2</v>
      </c>
      <c r="C160" s="285" t="s">
        <v>205</v>
      </c>
      <c r="D160" s="296"/>
      <c r="E160" s="327" t="s">
        <v>201</v>
      </c>
      <c r="F160" s="328"/>
      <c r="G160" s="297" t="s">
        <v>161</v>
      </c>
      <c r="H160" s="297">
        <f>H166+H169+H175</f>
        <v>343.63550000000004</v>
      </c>
    </row>
    <row r="161" spans="1:16299" ht="15" customHeight="1" x14ac:dyDescent="0.25">
      <c r="A161" s="296" t="s">
        <v>162</v>
      </c>
      <c r="B161" s="296"/>
      <c r="C161" s="296"/>
      <c r="D161" s="296" t="s">
        <v>163</v>
      </c>
      <c r="E161" s="329" t="s">
        <v>164</v>
      </c>
      <c r="F161" s="329" t="s">
        <v>24</v>
      </c>
      <c r="G161" s="298" t="s">
        <v>165</v>
      </c>
      <c r="H161" s="298" t="s">
        <v>166</v>
      </c>
    </row>
    <row r="162" spans="1:16299" ht="15" customHeight="1" x14ac:dyDescent="0.25">
      <c r="A162" s="367" t="s">
        <v>206</v>
      </c>
      <c r="D162" s="368" t="s">
        <v>168</v>
      </c>
      <c r="E162" s="369">
        <v>0.5</v>
      </c>
      <c r="F162" s="370">
        <f>10/B160</f>
        <v>5</v>
      </c>
      <c r="G162" s="371">
        <v>15.38</v>
      </c>
      <c r="H162" s="371">
        <f>E162*F162*G162</f>
        <v>38.450000000000003</v>
      </c>
      <c r="I162" s="367"/>
      <c r="J162" s="371"/>
      <c r="K162" s="371"/>
      <c r="L162" s="367"/>
      <c r="M162" s="367"/>
      <c r="N162" s="367"/>
      <c r="O162" s="368"/>
      <c r="P162" s="369"/>
      <c r="Q162" s="370"/>
      <c r="R162" s="371"/>
      <c r="S162" s="371"/>
      <c r="T162" s="367"/>
      <c r="U162" s="367"/>
      <c r="V162" s="367"/>
      <c r="W162" s="368"/>
      <c r="X162" s="369"/>
      <c r="Y162" s="370"/>
      <c r="Z162" s="371"/>
      <c r="AA162" s="371">
        <f>X162*Y162*Z162</f>
        <v>0</v>
      </c>
      <c r="AB162" s="367" t="s">
        <v>206</v>
      </c>
      <c r="AC162" s="367"/>
      <c r="AD162" s="367"/>
      <c r="AE162" s="368" t="s">
        <v>168</v>
      </c>
      <c r="AF162" s="369">
        <v>0.5</v>
      </c>
      <c r="AG162" s="370" t="e">
        <f>10/AC160</f>
        <v>#DIV/0!</v>
      </c>
      <c r="AH162" s="371">
        <v>15.38</v>
      </c>
      <c r="AI162" s="371" t="e">
        <f>AF162*AG162*AH162</f>
        <v>#DIV/0!</v>
      </c>
      <c r="AJ162" s="367" t="s">
        <v>206</v>
      </c>
      <c r="AK162" s="367"/>
      <c r="AL162" s="367"/>
      <c r="AM162" s="368" t="s">
        <v>168</v>
      </c>
      <c r="AN162" s="369">
        <v>0.5</v>
      </c>
      <c r="AO162" s="370" t="e">
        <f>10/AK160</f>
        <v>#DIV/0!</v>
      </c>
      <c r="AP162" s="371">
        <v>15.38</v>
      </c>
      <c r="AQ162" s="371" t="e">
        <f>AN162*AO162*AP162</f>
        <v>#DIV/0!</v>
      </c>
      <c r="AR162" s="367" t="s">
        <v>206</v>
      </c>
      <c r="AS162" s="367"/>
      <c r="AT162" s="367"/>
      <c r="AU162" s="368" t="s">
        <v>168</v>
      </c>
      <c r="AV162" s="369">
        <v>0.5</v>
      </c>
      <c r="AW162" s="370" t="e">
        <f>10/AS160</f>
        <v>#DIV/0!</v>
      </c>
      <c r="AX162" s="371">
        <v>15.38</v>
      </c>
      <c r="AY162" s="371" t="e">
        <f>AV162*AW162*AX162</f>
        <v>#DIV/0!</v>
      </c>
      <c r="AZ162" s="367" t="s">
        <v>206</v>
      </c>
      <c r="BA162" s="367"/>
      <c r="BB162" s="367"/>
      <c r="BC162" s="368" t="s">
        <v>168</v>
      </c>
      <c r="BD162" s="369">
        <v>0.5</v>
      </c>
      <c r="BE162" s="370" t="e">
        <f>10/BA160</f>
        <v>#DIV/0!</v>
      </c>
      <c r="BF162" s="371">
        <v>15.38</v>
      </c>
      <c r="BG162" s="371" t="e">
        <f>BD162*BE162*BF162</f>
        <v>#DIV/0!</v>
      </c>
      <c r="BH162" s="367" t="s">
        <v>206</v>
      </c>
      <c r="BI162" s="367"/>
      <c r="BJ162" s="367"/>
      <c r="BK162" s="368" t="s">
        <v>168</v>
      </c>
      <c r="BL162" s="369">
        <v>0.5</v>
      </c>
      <c r="BM162" s="370" t="e">
        <f>10/BI160</f>
        <v>#DIV/0!</v>
      </c>
      <c r="BN162" s="371">
        <v>15.38</v>
      </c>
      <c r="BO162" s="371" t="e">
        <f>BL162*BM162*BN162</f>
        <v>#DIV/0!</v>
      </c>
      <c r="BP162" s="367" t="s">
        <v>206</v>
      </c>
      <c r="BQ162" s="367"/>
      <c r="BR162" s="367"/>
      <c r="BS162" s="368" t="s">
        <v>168</v>
      </c>
      <c r="BT162" s="369">
        <v>0.5</v>
      </c>
      <c r="BU162" s="370" t="e">
        <f>10/BQ160</f>
        <v>#DIV/0!</v>
      </c>
      <c r="BV162" s="371">
        <v>15.38</v>
      </c>
      <c r="BW162" s="371" t="e">
        <f>BT162*BU162*BV162</f>
        <v>#DIV/0!</v>
      </c>
      <c r="BX162" s="367" t="s">
        <v>206</v>
      </c>
      <c r="BY162" s="367"/>
      <c r="BZ162" s="367"/>
      <c r="CA162" s="368" t="s">
        <v>168</v>
      </c>
      <c r="CB162" s="369">
        <v>0.5</v>
      </c>
      <c r="CC162" s="370" t="e">
        <f>10/BY160</f>
        <v>#DIV/0!</v>
      </c>
      <c r="CD162" s="371">
        <v>15.38</v>
      </c>
      <c r="CE162" s="371" t="e">
        <f>CB162*CC162*CD162</f>
        <v>#DIV/0!</v>
      </c>
      <c r="CF162" s="367" t="s">
        <v>206</v>
      </c>
      <c r="CG162" s="367"/>
      <c r="CH162" s="367"/>
      <c r="CI162" s="368" t="s">
        <v>168</v>
      </c>
      <c r="CJ162" s="369">
        <v>0.5</v>
      </c>
      <c r="CK162" s="370" t="e">
        <f>10/CG160</f>
        <v>#DIV/0!</v>
      </c>
      <c r="CL162" s="371">
        <v>15.38</v>
      </c>
      <c r="CM162" s="371" t="e">
        <f>CJ162*CK162*CL162</f>
        <v>#DIV/0!</v>
      </c>
      <c r="CN162" s="367" t="s">
        <v>206</v>
      </c>
      <c r="CO162" s="367"/>
      <c r="CP162" s="367"/>
      <c r="CQ162" s="368" t="s">
        <v>168</v>
      </c>
      <c r="CR162" s="369">
        <v>0.5</v>
      </c>
      <c r="CS162" s="370" t="e">
        <f>10/CO160</f>
        <v>#DIV/0!</v>
      </c>
      <c r="CT162" s="371">
        <v>15.38</v>
      </c>
      <c r="CU162" s="371" t="e">
        <f>CR162*CS162*CT162</f>
        <v>#DIV/0!</v>
      </c>
      <c r="CV162" s="367" t="s">
        <v>206</v>
      </c>
      <c r="CW162" s="367"/>
      <c r="CX162" s="367"/>
      <c r="CY162" s="368" t="s">
        <v>168</v>
      </c>
      <c r="CZ162" s="369">
        <v>0.5</v>
      </c>
      <c r="DA162" s="370" t="e">
        <f>10/CW160</f>
        <v>#DIV/0!</v>
      </c>
      <c r="DB162" s="371">
        <v>15.38</v>
      </c>
      <c r="DC162" s="371" t="e">
        <f>CZ162*DA162*DB162</f>
        <v>#DIV/0!</v>
      </c>
      <c r="DD162" s="367" t="s">
        <v>206</v>
      </c>
      <c r="DE162" s="367"/>
      <c r="DF162" s="367"/>
      <c r="DG162" s="368" t="s">
        <v>168</v>
      </c>
      <c r="DH162" s="369">
        <v>0.5</v>
      </c>
      <c r="DI162" s="370" t="e">
        <f>10/DE160</f>
        <v>#DIV/0!</v>
      </c>
      <c r="DJ162" s="371">
        <v>15.38</v>
      </c>
      <c r="DK162" s="371" t="e">
        <f>DH162*DI162*DJ162</f>
        <v>#DIV/0!</v>
      </c>
      <c r="DL162" s="367" t="s">
        <v>206</v>
      </c>
      <c r="DM162" s="367"/>
      <c r="DN162" s="367"/>
      <c r="DO162" s="368" t="s">
        <v>168</v>
      </c>
      <c r="DP162" s="369">
        <v>0.5</v>
      </c>
      <c r="DQ162" s="370" t="e">
        <f>10/DM160</f>
        <v>#DIV/0!</v>
      </c>
      <c r="DR162" s="371">
        <v>15.38</v>
      </c>
      <c r="DS162" s="371" t="e">
        <f>DP162*DQ162*DR162</f>
        <v>#DIV/0!</v>
      </c>
      <c r="DT162" s="367" t="s">
        <v>206</v>
      </c>
      <c r="DU162" s="367"/>
      <c r="DV162" s="367"/>
      <c r="DW162" s="368" t="s">
        <v>168</v>
      </c>
      <c r="DX162" s="369">
        <v>0.5</v>
      </c>
      <c r="DY162" s="370" t="e">
        <f>10/DU160</f>
        <v>#DIV/0!</v>
      </c>
      <c r="DZ162" s="371">
        <v>15.38</v>
      </c>
      <c r="EA162" s="371" t="e">
        <f>DX162*DY162*DZ162</f>
        <v>#DIV/0!</v>
      </c>
      <c r="EB162" s="367" t="s">
        <v>206</v>
      </c>
      <c r="EC162" s="367"/>
      <c r="ED162" s="367"/>
      <c r="EE162" s="368" t="s">
        <v>168</v>
      </c>
      <c r="EF162" s="369">
        <v>0.5</v>
      </c>
      <c r="EG162" s="370" t="e">
        <f>10/EC160</f>
        <v>#DIV/0!</v>
      </c>
      <c r="EH162" s="371">
        <v>15.38</v>
      </c>
      <c r="EI162" s="371" t="e">
        <f>EF162*EG162*EH162</f>
        <v>#DIV/0!</v>
      </c>
      <c r="EJ162" s="367" t="s">
        <v>206</v>
      </c>
      <c r="EK162" s="367"/>
      <c r="EL162" s="367"/>
      <c r="EM162" s="368" t="s">
        <v>168</v>
      </c>
      <c r="EN162" s="369">
        <v>0.5</v>
      </c>
      <c r="EO162" s="370" t="e">
        <f>10/EK160</f>
        <v>#DIV/0!</v>
      </c>
      <c r="EP162" s="371">
        <v>15.38</v>
      </c>
      <c r="EQ162" s="371" t="e">
        <f>EN162*EO162*EP162</f>
        <v>#DIV/0!</v>
      </c>
      <c r="ER162" s="367" t="s">
        <v>206</v>
      </c>
      <c r="ES162" s="367"/>
      <c r="ET162" s="367"/>
      <c r="EU162" s="368" t="s">
        <v>168</v>
      </c>
      <c r="EV162" s="369">
        <v>0.5</v>
      </c>
      <c r="EW162" s="370" t="e">
        <f>10/ES160</f>
        <v>#DIV/0!</v>
      </c>
      <c r="EX162" s="371">
        <v>15.38</v>
      </c>
      <c r="EY162" s="371" t="e">
        <f>EV162*EW162*EX162</f>
        <v>#DIV/0!</v>
      </c>
      <c r="EZ162" s="367" t="s">
        <v>206</v>
      </c>
      <c r="FA162" s="367"/>
      <c r="FB162" s="367"/>
      <c r="FC162" s="368" t="s">
        <v>168</v>
      </c>
      <c r="FD162" s="369">
        <v>0.5</v>
      </c>
      <c r="FE162" s="370" t="e">
        <f>10/FA160</f>
        <v>#DIV/0!</v>
      </c>
      <c r="FF162" s="371">
        <v>15.38</v>
      </c>
      <c r="FG162" s="371" t="e">
        <f>FD162*FE162*FF162</f>
        <v>#DIV/0!</v>
      </c>
      <c r="FH162" s="367" t="s">
        <v>206</v>
      </c>
      <c r="FI162" s="367"/>
      <c r="FJ162" s="367"/>
      <c r="FK162" s="368" t="s">
        <v>168</v>
      </c>
      <c r="FL162" s="369">
        <v>0.5</v>
      </c>
      <c r="FM162" s="370" t="e">
        <f>10/FI160</f>
        <v>#DIV/0!</v>
      </c>
      <c r="FN162" s="371">
        <v>15.38</v>
      </c>
      <c r="FO162" s="371" t="e">
        <f>FL162*FM162*FN162</f>
        <v>#DIV/0!</v>
      </c>
      <c r="FP162" s="367" t="s">
        <v>206</v>
      </c>
      <c r="FQ162" s="367"/>
      <c r="FR162" s="367"/>
      <c r="FS162" s="368" t="s">
        <v>168</v>
      </c>
      <c r="FT162" s="369">
        <v>0.5</v>
      </c>
      <c r="FU162" s="370" t="e">
        <f>10/FQ160</f>
        <v>#DIV/0!</v>
      </c>
      <c r="FV162" s="371">
        <v>15.38</v>
      </c>
      <c r="FW162" s="371" t="e">
        <f>FT162*FU162*FV162</f>
        <v>#DIV/0!</v>
      </c>
      <c r="FX162" s="367" t="s">
        <v>206</v>
      </c>
      <c r="FY162" s="367"/>
      <c r="FZ162" s="367"/>
      <c r="GA162" s="368" t="s">
        <v>168</v>
      </c>
      <c r="GB162" s="369">
        <v>0.5</v>
      </c>
      <c r="GC162" s="370" t="e">
        <f>10/FY160</f>
        <v>#DIV/0!</v>
      </c>
      <c r="GD162" s="371">
        <v>15.38</v>
      </c>
      <c r="GE162" s="371" t="e">
        <f>GB162*GC162*GD162</f>
        <v>#DIV/0!</v>
      </c>
      <c r="GF162" s="367" t="s">
        <v>206</v>
      </c>
      <c r="GG162" s="367"/>
      <c r="GH162" s="367"/>
      <c r="GI162" s="368" t="s">
        <v>168</v>
      </c>
      <c r="GJ162" s="369">
        <v>0.5</v>
      </c>
      <c r="GK162" s="370" t="e">
        <f>10/GG160</f>
        <v>#DIV/0!</v>
      </c>
      <c r="GL162" s="371">
        <v>15.38</v>
      </c>
      <c r="GM162" s="371" t="e">
        <f>GJ162*GK162*GL162</f>
        <v>#DIV/0!</v>
      </c>
      <c r="GN162" s="367" t="s">
        <v>206</v>
      </c>
      <c r="GO162" s="367"/>
      <c r="GP162" s="367"/>
      <c r="GQ162" s="368" t="s">
        <v>168</v>
      </c>
      <c r="GR162" s="369">
        <v>0.5</v>
      </c>
      <c r="GS162" s="370" t="e">
        <f>10/GO160</f>
        <v>#DIV/0!</v>
      </c>
      <c r="GT162" s="371">
        <v>15.38</v>
      </c>
      <c r="GU162" s="371" t="e">
        <f>GR162*GS162*GT162</f>
        <v>#DIV/0!</v>
      </c>
      <c r="GV162" s="367" t="s">
        <v>206</v>
      </c>
      <c r="GW162" s="367"/>
      <c r="GX162" s="367"/>
      <c r="GY162" s="368" t="s">
        <v>168</v>
      </c>
      <c r="GZ162" s="369">
        <v>0.5</v>
      </c>
      <c r="HA162" s="370" t="e">
        <f>10/GW160</f>
        <v>#DIV/0!</v>
      </c>
      <c r="HB162" s="371">
        <v>15.38</v>
      </c>
      <c r="HC162" s="371" t="e">
        <f>GZ162*HA162*HB162</f>
        <v>#DIV/0!</v>
      </c>
      <c r="HD162" s="367" t="s">
        <v>206</v>
      </c>
      <c r="HE162" s="367"/>
      <c r="HF162" s="367"/>
      <c r="HG162" s="368" t="s">
        <v>168</v>
      </c>
      <c r="HH162" s="369">
        <v>0.5</v>
      </c>
      <c r="HI162" s="370" t="e">
        <f>10/HE160</f>
        <v>#DIV/0!</v>
      </c>
      <c r="HJ162" s="371">
        <v>15.38</v>
      </c>
      <c r="HK162" s="371" t="e">
        <f>HH162*HI162*HJ162</f>
        <v>#DIV/0!</v>
      </c>
      <c r="HL162" s="367" t="s">
        <v>206</v>
      </c>
      <c r="HM162" s="367"/>
      <c r="HN162" s="367"/>
      <c r="HO162" s="368" t="s">
        <v>168</v>
      </c>
      <c r="HP162" s="369">
        <v>0.5</v>
      </c>
      <c r="HQ162" s="370" t="e">
        <f>10/HM160</f>
        <v>#DIV/0!</v>
      </c>
      <c r="HR162" s="371">
        <v>15.38</v>
      </c>
      <c r="HS162" s="371" t="e">
        <f>HP162*HQ162*HR162</f>
        <v>#DIV/0!</v>
      </c>
      <c r="HT162" s="367" t="s">
        <v>206</v>
      </c>
      <c r="HU162" s="367"/>
      <c r="HV162" s="367"/>
      <c r="HW162" s="368" t="s">
        <v>168</v>
      </c>
      <c r="HX162" s="369">
        <v>0.5</v>
      </c>
      <c r="HY162" s="370" t="e">
        <f>10/HU160</f>
        <v>#DIV/0!</v>
      </c>
      <c r="HZ162" s="371">
        <v>15.38</v>
      </c>
      <c r="IA162" s="371" t="e">
        <f>HX162*HY162*HZ162</f>
        <v>#DIV/0!</v>
      </c>
      <c r="IB162" s="367" t="s">
        <v>206</v>
      </c>
      <c r="IC162" s="367"/>
      <c r="ID162" s="367"/>
      <c r="IE162" s="368" t="s">
        <v>168</v>
      </c>
      <c r="IF162" s="369">
        <v>0.5</v>
      </c>
      <c r="IG162" s="370" t="e">
        <f>10/IC160</f>
        <v>#DIV/0!</v>
      </c>
      <c r="IH162" s="371">
        <v>15.38</v>
      </c>
      <c r="II162" s="371" t="e">
        <f>IF162*IG162*IH162</f>
        <v>#DIV/0!</v>
      </c>
      <c r="IJ162" s="367" t="s">
        <v>206</v>
      </c>
      <c r="IK162" s="367"/>
      <c r="IL162" s="367"/>
      <c r="IM162" s="368" t="s">
        <v>168</v>
      </c>
      <c r="IN162" s="369">
        <v>0.5</v>
      </c>
      <c r="IO162" s="370" t="e">
        <f>10/IK160</f>
        <v>#DIV/0!</v>
      </c>
      <c r="IP162" s="371">
        <v>15.38</v>
      </c>
      <c r="IQ162" s="371" t="e">
        <f>IN162*IO162*IP162</f>
        <v>#DIV/0!</v>
      </c>
      <c r="IR162" s="367" t="s">
        <v>206</v>
      </c>
      <c r="IS162" s="367"/>
      <c r="IT162" s="367"/>
      <c r="IU162" s="368" t="s">
        <v>168</v>
      </c>
      <c r="IV162" s="369">
        <v>0.5</v>
      </c>
      <c r="IW162" s="370" t="e">
        <f>10/IS160</f>
        <v>#DIV/0!</v>
      </c>
      <c r="IX162" s="371">
        <v>15.38</v>
      </c>
      <c r="IY162" s="371" t="e">
        <f>IV162*IW162*IX162</f>
        <v>#DIV/0!</v>
      </c>
      <c r="IZ162" s="367" t="s">
        <v>206</v>
      </c>
      <c r="JA162" s="367"/>
      <c r="JB162" s="367"/>
      <c r="JC162" s="368" t="s">
        <v>168</v>
      </c>
      <c r="JD162" s="369">
        <v>0.5</v>
      </c>
      <c r="JE162" s="370" t="e">
        <f>10/JA160</f>
        <v>#DIV/0!</v>
      </c>
      <c r="JF162" s="371">
        <v>15.38</v>
      </c>
      <c r="JG162" s="371" t="e">
        <f>JD162*JE162*JF162</f>
        <v>#DIV/0!</v>
      </c>
      <c r="JH162" s="367" t="s">
        <v>206</v>
      </c>
      <c r="JI162" s="367"/>
      <c r="JJ162" s="367"/>
      <c r="JK162" s="368" t="s">
        <v>168</v>
      </c>
      <c r="JL162" s="369">
        <v>0.5</v>
      </c>
      <c r="JM162" s="370" t="e">
        <f>10/JI160</f>
        <v>#DIV/0!</v>
      </c>
      <c r="JN162" s="371">
        <v>15.38</v>
      </c>
      <c r="JO162" s="371" t="e">
        <f>JL162*JM162*JN162</f>
        <v>#DIV/0!</v>
      </c>
      <c r="JP162" s="367" t="s">
        <v>206</v>
      </c>
      <c r="JQ162" s="367"/>
      <c r="JR162" s="367"/>
      <c r="JS162" s="368" t="s">
        <v>168</v>
      </c>
      <c r="JT162" s="369">
        <v>0.5</v>
      </c>
      <c r="JU162" s="370" t="e">
        <f>10/JQ160</f>
        <v>#DIV/0!</v>
      </c>
      <c r="JV162" s="371">
        <v>15.38</v>
      </c>
      <c r="JW162" s="371" t="e">
        <f>JT162*JU162*JV162</f>
        <v>#DIV/0!</v>
      </c>
      <c r="JX162" s="367" t="s">
        <v>206</v>
      </c>
      <c r="JY162" s="367"/>
      <c r="JZ162" s="367"/>
      <c r="KA162" s="368" t="s">
        <v>168</v>
      </c>
      <c r="KB162" s="369">
        <v>0.5</v>
      </c>
      <c r="KC162" s="370" t="e">
        <f>10/JY160</f>
        <v>#DIV/0!</v>
      </c>
      <c r="KD162" s="371">
        <v>15.38</v>
      </c>
      <c r="KE162" s="371" t="e">
        <f>KB162*KC162*KD162</f>
        <v>#DIV/0!</v>
      </c>
      <c r="KF162" s="367" t="s">
        <v>206</v>
      </c>
      <c r="KG162" s="367"/>
      <c r="KH162" s="367"/>
      <c r="KI162" s="368" t="s">
        <v>168</v>
      </c>
      <c r="KJ162" s="369">
        <v>0.5</v>
      </c>
      <c r="KK162" s="370" t="e">
        <f>10/KG160</f>
        <v>#DIV/0!</v>
      </c>
      <c r="KL162" s="371">
        <v>15.38</v>
      </c>
      <c r="KM162" s="371" t="e">
        <f>KJ162*KK162*KL162</f>
        <v>#DIV/0!</v>
      </c>
      <c r="KN162" s="367" t="s">
        <v>206</v>
      </c>
      <c r="KO162" s="367"/>
      <c r="KP162" s="367"/>
      <c r="KQ162" s="368" t="s">
        <v>168</v>
      </c>
      <c r="KR162" s="369">
        <v>0.5</v>
      </c>
      <c r="KS162" s="370" t="e">
        <f>10/KO160</f>
        <v>#DIV/0!</v>
      </c>
      <c r="KT162" s="371">
        <v>15.38</v>
      </c>
      <c r="KU162" s="371" t="e">
        <f>KR162*KS162*KT162</f>
        <v>#DIV/0!</v>
      </c>
      <c r="KV162" s="367" t="s">
        <v>206</v>
      </c>
      <c r="KW162" s="367"/>
      <c r="KX162" s="367"/>
      <c r="KY162" s="368" t="s">
        <v>168</v>
      </c>
      <c r="KZ162" s="369">
        <v>0.5</v>
      </c>
      <c r="LA162" s="370" t="e">
        <f>10/KW160</f>
        <v>#DIV/0!</v>
      </c>
      <c r="LB162" s="371">
        <v>15.38</v>
      </c>
      <c r="LC162" s="371" t="e">
        <f>KZ162*LA162*LB162</f>
        <v>#DIV/0!</v>
      </c>
      <c r="LD162" s="367" t="s">
        <v>206</v>
      </c>
      <c r="LE162" s="367"/>
      <c r="LF162" s="367"/>
      <c r="LG162" s="368" t="s">
        <v>168</v>
      </c>
      <c r="LH162" s="369">
        <v>0.5</v>
      </c>
      <c r="LI162" s="370" t="e">
        <f>10/LE160</f>
        <v>#DIV/0!</v>
      </c>
      <c r="LJ162" s="371">
        <v>15.38</v>
      </c>
      <c r="LK162" s="371" t="e">
        <f>LH162*LI162*LJ162</f>
        <v>#DIV/0!</v>
      </c>
      <c r="LL162" s="367" t="s">
        <v>206</v>
      </c>
      <c r="LM162" s="367"/>
      <c r="LN162" s="367"/>
      <c r="LO162" s="368" t="s">
        <v>168</v>
      </c>
      <c r="LP162" s="369">
        <v>0.5</v>
      </c>
      <c r="LQ162" s="370" t="e">
        <f>10/LM160</f>
        <v>#DIV/0!</v>
      </c>
      <c r="LR162" s="371">
        <v>15.38</v>
      </c>
      <c r="LS162" s="371" t="e">
        <f>LP162*LQ162*LR162</f>
        <v>#DIV/0!</v>
      </c>
      <c r="LT162" s="367" t="s">
        <v>206</v>
      </c>
      <c r="LU162" s="367"/>
      <c r="LV162" s="367"/>
      <c r="LW162" s="368" t="s">
        <v>168</v>
      </c>
      <c r="LX162" s="369">
        <v>0.5</v>
      </c>
      <c r="LY162" s="370" t="e">
        <f>10/LU160</f>
        <v>#DIV/0!</v>
      </c>
      <c r="LZ162" s="371">
        <v>15.38</v>
      </c>
      <c r="MA162" s="371" t="e">
        <f>LX162*LY162*LZ162</f>
        <v>#DIV/0!</v>
      </c>
      <c r="MB162" s="367" t="s">
        <v>206</v>
      </c>
      <c r="MC162" s="367"/>
      <c r="MD162" s="367"/>
      <c r="ME162" s="368" t="s">
        <v>168</v>
      </c>
      <c r="MF162" s="369">
        <v>0.5</v>
      </c>
      <c r="MG162" s="370" t="e">
        <f>10/MC160</f>
        <v>#DIV/0!</v>
      </c>
      <c r="MH162" s="371">
        <v>15.38</v>
      </c>
      <c r="MI162" s="371" t="e">
        <f>MF162*MG162*MH162</f>
        <v>#DIV/0!</v>
      </c>
      <c r="MJ162" s="367" t="s">
        <v>206</v>
      </c>
      <c r="MK162" s="367"/>
      <c r="ML162" s="367"/>
      <c r="MM162" s="368" t="s">
        <v>168</v>
      </c>
      <c r="MN162" s="369">
        <v>0.5</v>
      </c>
      <c r="MO162" s="370" t="e">
        <f>10/MK160</f>
        <v>#DIV/0!</v>
      </c>
      <c r="MP162" s="371">
        <v>15.38</v>
      </c>
      <c r="MQ162" s="371" t="e">
        <f>MN162*MO162*MP162</f>
        <v>#DIV/0!</v>
      </c>
      <c r="MR162" s="367" t="s">
        <v>206</v>
      </c>
      <c r="MS162" s="367"/>
      <c r="MT162" s="367"/>
      <c r="MU162" s="368" t="s">
        <v>168</v>
      </c>
      <c r="MV162" s="369">
        <v>0.5</v>
      </c>
      <c r="MW162" s="370" t="e">
        <f>10/MS160</f>
        <v>#DIV/0!</v>
      </c>
      <c r="MX162" s="371">
        <v>15.38</v>
      </c>
      <c r="MY162" s="371" t="e">
        <f>MV162*MW162*MX162</f>
        <v>#DIV/0!</v>
      </c>
      <c r="MZ162" s="367" t="s">
        <v>206</v>
      </c>
      <c r="NA162" s="367"/>
      <c r="NB162" s="367"/>
      <c r="NC162" s="368" t="s">
        <v>168</v>
      </c>
      <c r="ND162" s="369">
        <v>0.5</v>
      </c>
      <c r="NE162" s="370" t="e">
        <f>10/NA160</f>
        <v>#DIV/0!</v>
      </c>
      <c r="NF162" s="371">
        <v>15.38</v>
      </c>
      <c r="NG162" s="371" t="e">
        <f>ND162*NE162*NF162</f>
        <v>#DIV/0!</v>
      </c>
      <c r="NH162" s="367" t="s">
        <v>206</v>
      </c>
      <c r="NI162" s="367"/>
      <c r="NJ162" s="367"/>
      <c r="NK162" s="368" t="s">
        <v>168</v>
      </c>
      <c r="NL162" s="369">
        <v>0.5</v>
      </c>
      <c r="NM162" s="370" t="e">
        <f>10/NI160</f>
        <v>#DIV/0!</v>
      </c>
      <c r="NN162" s="371">
        <v>15.38</v>
      </c>
      <c r="NO162" s="371" t="e">
        <f>NL162*NM162*NN162</f>
        <v>#DIV/0!</v>
      </c>
      <c r="NP162" s="367" t="s">
        <v>206</v>
      </c>
      <c r="NQ162" s="367"/>
      <c r="NR162" s="367"/>
      <c r="NS162" s="368" t="s">
        <v>168</v>
      </c>
      <c r="NT162" s="369">
        <v>0.5</v>
      </c>
      <c r="NU162" s="370" t="e">
        <f>10/NQ160</f>
        <v>#DIV/0!</v>
      </c>
      <c r="NV162" s="371">
        <v>15.38</v>
      </c>
      <c r="NW162" s="371" t="e">
        <f>NT162*NU162*NV162</f>
        <v>#DIV/0!</v>
      </c>
      <c r="NX162" s="367" t="s">
        <v>206</v>
      </c>
      <c r="NY162" s="367"/>
      <c r="NZ162" s="367"/>
      <c r="OA162" s="368" t="s">
        <v>168</v>
      </c>
      <c r="OB162" s="369">
        <v>0.5</v>
      </c>
      <c r="OC162" s="370" t="e">
        <f>10/NY160</f>
        <v>#DIV/0!</v>
      </c>
      <c r="OD162" s="371">
        <v>15.38</v>
      </c>
      <c r="OE162" s="371" t="e">
        <f>OB162*OC162*OD162</f>
        <v>#DIV/0!</v>
      </c>
      <c r="OF162" s="367" t="s">
        <v>206</v>
      </c>
      <c r="OG162" s="367"/>
      <c r="OH162" s="367"/>
      <c r="OI162" s="368" t="s">
        <v>168</v>
      </c>
      <c r="OJ162" s="369">
        <v>0.5</v>
      </c>
      <c r="OK162" s="370" t="e">
        <f>10/OG160</f>
        <v>#DIV/0!</v>
      </c>
      <c r="OL162" s="371">
        <v>15.38</v>
      </c>
      <c r="OM162" s="371" t="e">
        <f>OJ162*OK162*OL162</f>
        <v>#DIV/0!</v>
      </c>
      <c r="ON162" s="367" t="s">
        <v>206</v>
      </c>
      <c r="OO162" s="367"/>
      <c r="OP162" s="367"/>
      <c r="OQ162" s="368" t="s">
        <v>168</v>
      </c>
      <c r="OR162" s="369">
        <v>0.5</v>
      </c>
      <c r="OS162" s="370" t="e">
        <f>10/OO160</f>
        <v>#DIV/0!</v>
      </c>
      <c r="OT162" s="371">
        <v>15.38</v>
      </c>
      <c r="OU162" s="371" t="e">
        <f>OR162*OS162*OT162</f>
        <v>#DIV/0!</v>
      </c>
      <c r="OV162" s="367" t="s">
        <v>206</v>
      </c>
      <c r="OW162" s="367"/>
      <c r="OX162" s="367"/>
      <c r="OY162" s="368" t="s">
        <v>168</v>
      </c>
      <c r="OZ162" s="369">
        <v>0.5</v>
      </c>
      <c r="PA162" s="370" t="e">
        <f>10/OW160</f>
        <v>#DIV/0!</v>
      </c>
      <c r="PB162" s="371">
        <v>15.38</v>
      </c>
      <c r="PC162" s="371" t="e">
        <f>OZ162*PA162*PB162</f>
        <v>#DIV/0!</v>
      </c>
      <c r="PD162" s="367" t="s">
        <v>206</v>
      </c>
      <c r="PE162" s="367"/>
      <c r="PF162" s="367"/>
      <c r="PG162" s="368" t="s">
        <v>168</v>
      </c>
      <c r="PH162" s="369">
        <v>0.5</v>
      </c>
      <c r="PI162" s="370" t="e">
        <f>10/PE160</f>
        <v>#DIV/0!</v>
      </c>
      <c r="PJ162" s="371">
        <v>15.38</v>
      </c>
      <c r="PK162" s="371" t="e">
        <f>PH162*PI162*PJ162</f>
        <v>#DIV/0!</v>
      </c>
      <c r="PL162" s="367" t="s">
        <v>206</v>
      </c>
      <c r="PM162" s="367"/>
      <c r="PN162" s="367"/>
      <c r="PO162" s="368" t="s">
        <v>168</v>
      </c>
      <c r="PP162" s="369">
        <v>0.5</v>
      </c>
      <c r="PQ162" s="370" t="e">
        <f>10/PM160</f>
        <v>#DIV/0!</v>
      </c>
      <c r="PR162" s="371">
        <v>15.38</v>
      </c>
      <c r="PS162" s="371" t="e">
        <f>PP162*PQ162*PR162</f>
        <v>#DIV/0!</v>
      </c>
      <c r="PT162" s="367" t="s">
        <v>206</v>
      </c>
      <c r="PU162" s="367"/>
      <c r="PV162" s="367"/>
      <c r="PW162" s="368" t="s">
        <v>168</v>
      </c>
      <c r="PX162" s="369">
        <v>0.5</v>
      </c>
      <c r="PY162" s="370" t="e">
        <f>10/PU160</f>
        <v>#DIV/0!</v>
      </c>
      <c r="PZ162" s="371">
        <v>15.38</v>
      </c>
      <c r="QA162" s="371" t="e">
        <f>PX162*PY162*PZ162</f>
        <v>#DIV/0!</v>
      </c>
      <c r="QB162" s="367" t="s">
        <v>206</v>
      </c>
      <c r="QC162" s="367"/>
      <c r="QD162" s="367"/>
      <c r="QE162" s="368" t="s">
        <v>168</v>
      </c>
      <c r="QF162" s="369">
        <v>0.5</v>
      </c>
      <c r="QG162" s="370" t="e">
        <f>10/QC160</f>
        <v>#DIV/0!</v>
      </c>
      <c r="QH162" s="371">
        <v>15.38</v>
      </c>
      <c r="QI162" s="371" t="e">
        <f>QF162*QG162*QH162</f>
        <v>#DIV/0!</v>
      </c>
      <c r="QJ162" s="367" t="s">
        <v>206</v>
      </c>
      <c r="QK162" s="367"/>
      <c r="QL162" s="367"/>
      <c r="QM162" s="368" t="s">
        <v>168</v>
      </c>
      <c r="QN162" s="369">
        <v>0.5</v>
      </c>
      <c r="QO162" s="370" t="e">
        <f>10/QK160</f>
        <v>#DIV/0!</v>
      </c>
      <c r="QP162" s="371">
        <v>15.38</v>
      </c>
      <c r="QQ162" s="371" t="e">
        <f>QN162*QO162*QP162</f>
        <v>#DIV/0!</v>
      </c>
      <c r="QR162" s="367" t="s">
        <v>206</v>
      </c>
      <c r="QS162" s="367"/>
      <c r="QT162" s="367"/>
      <c r="QU162" s="368" t="s">
        <v>168</v>
      </c>
      <c r="QV162" s="369">
        <v>0.5</v>
      </c>
      <c r="QW162" s="370" t="e">
        <f>10/QS160</f>
        <v>#DIV/0!</v>
      </c>
      <c r="QX162" s="371">
        <v>15.38</v>
      </c>
      <c r="QY162" s="371" t="e">
        <f>QV162*QW162*QX162</f>
        <v>#DIV/0!</v>
      </c>
      <c r="QZ162" s="367" t="s">
        <v>206</v>
      </c>
      <c r="RA162" s="367"/>
      <c r="RB162" s="367"/>
      <c r="RC162" s="368" t="s">
        <v>168</v>
      </c>
      <c r="RD162" s="369">
        <v>0.5</v>
      </c>
      <c r="RE162" s="370" t="e">
        <f>10/RA160</f>
        <v>#DIV/0!</v>
      </c>
      <c r="RF162" s="371">
        <v>15.38</v>
      </c>
      <c r="RG162" s="371" t="e">
        <f>RD162*RE162*RF162</f>
        <v>#DIV/0!</v>
      </c>
      <c r="RH162" s="367" t="s">
        <v>206</v>
      </c>
      <c r="RI162" s="367"/>
      <c r="RJ162" s="367"/>
      <c r="RK162" s="368" t="s">
        <v>168</v>
      </c>
      <c r="RL162" s="369">
        <v>0.5</v>
      </c>
      <c r="RM162" s="370" t="e">
        <f>10/RI160</f>
        <v>#DIV/0!</v>
      </c>
      <c r="RN162" s="371">
        <v>15.38</v>
      </c>
      <c r="RO162" s="371" t="e">
        <f>RL162*RM162*RN162</f>
        <v>#DIV/0!</v>
      </c>
      <c r="RP162" s="367" t="s">
        <v>206</v>
      </c>
      <c r="RQ162" s="367"/>
      <c r="RR162" s="367"/>
      <c r="RS162" s="368" t="s">
        <v>168</v>
      </c>
      <c r="RT162" s="369">
        <v>0.5</v>
      </c>
      <c r="RU162" s="370" t="e">
        <f>10/RQ160</f>
        <v>#DIV/0!</v>
      </c>
      <c r="RV162" s="371">
        <v>15.38</v>
      </c>
      <c r="RW162" s="371" t="e">
        <f>RT162*RU162*RV162</f>
        <v>#DIV/0!</v>
      </c>
      <c r="RX162" s="367" t="s">
        <v>206</v>
      </c>
      <c r="RY162" s="367"/>
      <c r="RZ162" s="367"/>
      <c r="SA162" s="368" t="s">
        <v>168</v>
      </c>
      <c r="SB162" s="369">
        <v>0.5</v>
      </c>
      <c r="SC162" s="370" t="e">
        <f>10/RY160</f>
        <v>#DIV/0!</v>
      </c>
      <c r="SD162" s="371">
        <v>15.38</v>
      </c>
      <c r="SE162" s="371" t="e">
        <f>SB162*SC162*SD162</f>
        <v>#DIV/0!</v>
      </c>
      <c r="SF162" s="367" t="s">
        <v>206</v>
      </c>
      <c r="SG162" s="367"/>
      <c r="SH162" s="367"/>
      <c r="SI162" s="368" t="s">
        <v>168</v>
      </c>
      <c r="SJ162" s="369">
        <v>0.5</v>
      </c>
      <c r="SK162" s="370" t="e">
        <f>10/SG160</f>
        <v>#DIV/0!</v>
      </c>
      <c r="SL162" s="371">
        <v>15.38</v>
      </c>
      <c r="SM162" s="371" t="e">
        <f>SJ162*SK162*SL162</f>
        <v>#DIV/0!</v>
      </c>
      <c r="SN162" s="367" t="s">
        <v>206</v>
      </c>
      <c r="SO162" s="367"/>
      <c r="SP162" s="367"/>
      <c r="SQ162" s="368" t="s">
        <v>168</v>
      </c>
      <c r="SR162" s="369">
        <v>0.5</v>
      </c>
      <c r="SS162" s="370" t="e">
        <f>10/SO160</f>
        <v>#DIV/0!</v>
      </c>
      <c r="ST162" s="371">
        <v>15.38</v>
      </c>
      <c r="SU162" s="371" t="e">
        <f>SR162*SS162*ST162</f>
        <v>#DIV/0!</v>
      </c>
      <c r="SV162" s="367" t="s">
        <v>206</v>
      </c>
      <c r="SW162" s="367"/>
      <c r="SX162" s="367"/>
      <c r="SY162" s="368" t="s">
        <v>168</v>
      </c>
      <c r="SZ162" s="369">
        <v>0.5</v>
      </c>
      <c r="TA162" s="370" t="e">
        <f>10/SW160</f>
        <v>#DIV/0!</v>
      </c>
      <c r="TB162" s="371">
        <v>15.38</v>
      </c>
      <c r="TC162" s="371" t="e">
        <f>SZ162*TA162*TB162</f>
        <v>#DIV/0!</v>
      </c>
      <c r="TD162" s="367" t="s">
        <v>206</v>
      </c>
      <c r="TE162" s="367"/>
      <c r="TF162" s="367"/>
      <c r="TG162" s="368" t="s">
        <v>168</v>
      </c>
      <c r="TH162" s="369">
        <v>0.5</v>
      </c>
      <c r="TI162" s="370" t="e">
        <f>10/TE160</f>
        <v>#DIV/0!</v>
      </c>
      <c r="TJ162" s="371">
        <v>15.38</v>
      </c>
      <c r="TK162" s="371" t="e">
        <f>TH162*TI162*TJ162</f>
        <v>#DIV/0!</v>
      </c>
      <c r="TL162" s="367" t="s">
        <v>206</v>
      </c>
      <c r="TM162" s="367"/>
      <c r="TN162" s="367"/>
      <c r="TO162" s="368" t="s">
        <v>168</v>
      </c>
      <c r="TP162" s="369">
        <v>0.5</v>
      </c>
      <c r="TQ162" s="370" t="e">
        <f>10/TM160</f>
        <v>#DIV/0!</v>
      </c>
      <c r="TR162" s="371">
        <v>15.38</v>
      </c>
      <c r="TS162" s="371" t="e">
        <f>TP162*TQ162*TR162</f>
        <v>#DIV/0!</v>
      </c>
      <c r="TT162" s="367" t="s">
        <v>206</v>
      </c>
      <c r="TU162" s="367"/>
      <c r="TV162" s="367"/>
      <c r="TW162" s="368" t="s">
        <v>168</v>
      </c>
      <c r="TX162" s="369">
        <v>0.5</v>
      </c>
      <c r="TY162" s="370" t="e">
        <f>10/TU160</f>
        <v>#DIV/0!</v>
      </c>
      <c r="TZ162" s="371">
        <v>15.38</v>
      </c>
      <c r="UA162" s="371" t="e">
        <f>TX162*TY162*TZ162</f>
        <v>#DIV/0!</v>
      </c>
      <c r="UB162" s="367" t="s">
        <v>206</v>
      </c>
      <c r="UC162" s="367"/>
      <c r="UD162" s="367"/>
      <c r="UE162" s="368" t="s">
        <v>168</v>
      </c>
      <c r="UF162" s="369">
        <v>0.5</v>
      </c>
      <c r="UG162" s="370" t="e">
        <f>10/UC160</f>
        <v>#DIV/0!</v>
      </c>
      <c r="UH162" s="371">
        <v>15.38</v>
      </c>
      <c r="UI162" s="371" t="e">
        <f>UF162*UG162*UH162</f>
        <v>#DIV/0!</v>
      </c>
      <c r="UJ162" s="367" t="s">
        <v>206</v>
      </c>
      <c r="UK162" s="367"/>
      <c r="UL162" s="367"/>
      <c r="UM162" s="368" t="s">
        <v>168</v>
      </c>
      <c r="UN162" s="369">
        <v>0.5</v>
      </c>
      <c r="UO162" s="370" t="e">
        <f>10/UK160</f>
        <v>#DIV/0!</v>
      </c>
      <c r="UP162" s="371">
        <v>15.38</v>
      </c>
      <c r="UQ162" s="371" t="e">
        <f>UN162*UO162*UP162</f>
        <v>#DIV/0!</v>
      </c>
      <c r="UR162" s="367" t="s">
        <v>206</v>
      </c>
      <c r="US162" s="367"/>
      <c r="UT162" s="367"/>
      <c r="UU162" s="368" t="s">
        <v>168</v>
      </c>
      <c r="UV162" s="369">
        <v>0.5</v>
      </c>
      <c r="UW162" s="370" t="e">
        <f>10/US160</f>
        <v>#DIV/0!</v>
      </c>
      <c r="UX162" s="371">
        <v>15.38</v>
      </c>
      <c r="UY162" s="371" t="e">
        <f>UV162*UW162*UX162</f>
        <v>#DIV/0!</v>
      </c>
      <c r="UZ162" s="367" t="s">
        <v>206</v>
      </c>
      <c r="VA162" s="367"/>
      <c r="VB162" s="367"/>
      <c r="VC162" s="368" t="s">
        <v>168</v>
      </c>
      <c r="VD162" s="369">
        <v>0.5</v>
      </c>
      <c r="VE162" s="370" t="e">
        <f>10/VA160</f>
        <v>#DIV/0!</v>
      </c>
      <c r="VF162" s="371">
        <v>15.38</v>
      </c>
      <c r="VG162" s="371" t="e">
        <f>VD162*VE162*VF162</f>
        <v>#DIV/0!</v>
      </c>
      <c r="VH162" s="367" t="s">
        <v>206</v>
      </c>
      <c r="VI162" s="367"/>
      <c r="VJ162" s="367"/>
      <c r="VK162" s="368" t="s">
        <v>168</v>
      </c>
      <c r="VL162" s="369">
        <v>0.5</v>
      </c>
      <c r="VM162" s="370" t="e">
        <f>10/VI160</f>
        <v>#DIV/0!</v>
      </c>
      <c r="VN162" s="371">
        <v>15.38</v>
      </c>
      <c r="VO162" s="371" t="e">
        <f>VL162*VM162*VN162</f>
        <v>#DIV/0!</v>
      </c>
      <c r="VP162" s="367" t="s">
        <v>206</v>
      </c>
      <c r="VQ162" s="367"/>
      <c r="VR162" s="367"/>
      <c r="VS162" s="368" t="s">
        <v>168</v>
      </c>
      <c r="VT162" s="369">
        <v>0.5</v>
      </c>
      <c r="VU162" s="370" t="e">
        <f>10/VQ160</f>
        <v>#DIV/0!</v>
      </c>
      <c r="VV162" s="371">
        <v>15.38</v>
      </c>
      <c r="VW162" s="371" t="e">
        <f>VT162*VU162*VV162</f>
        <v>#DIV/0!</v>
      </c>
      <c r="VX162" s="367" t="s">
        <v>206</v>
      </c>
      <c r="VY162" s="367"/>
      <c r="VZ162" s="367"/>
      <c r="WA162" s="368" t="s">
        <v>168</v>
      </c>
      <c r="WB162" s="369">
        <v>0.5</v>
      </c>
      <c r="WC162" s="370" t="e">
        <f>10/VY160</f>
        <v>#DIV/0!</v>
      </c>
      <c r="WD162" s="371">
        <v>15.38</v>
      </c>
      <c r="WE162" s="371" t="e">
        <f>WB162*WC162*WD162</f>
        <v>#DIV/0!</v>
      </c>
      <c r="WF162" s="367" t="s">
        <v>206</v>
      </c>
      <c r="WG162" s="367"/>
      <c r="WH162" s="367"/>
      <c r="WI162" s="368" t="s">
        <v>168</v>
      </c>
      <c r="WJ162" s="369">
        <v>0.5</v>
      </c>
      <c r="WK162" s="370" t="e">
        <f>10/WG160</f>
        <v>#DIV/0!</v>
      </c>
      <c r="WL162" s="371">
        <v>15.38</v>
      </c>
      <c r="WM162" s="371" t="e">
        <f>WJ162*WK162*WL162</f>
        <v>#DIV/0!</v>
      </c>
      <c r="WN162" s="367" t="s">
        <v>206</v>
      </c>
      <c r="WO162" s="367"/>
      <c r="WP162" s="367"/>
      <c r="WQ162" s="368" t="s">
        <v>168</v>
      </c>
      <c r="WR162" s="369">
        <v>0.5</v>
      </c>
      <c r="WS162" s="370" t="e">
        <f>10/WO160</f>
        <v>#DIV/0!</v>
      </c>
      <c r="WT162" s="371">
        <v>15.38</v>
      </c>
      <c r="WU162" s="371" t="e">
        <f>WR162*WS162*WT162</f>
        <v>#DIV/0!</v>
      </c>
      <c r="WV162" s="367" t="s">
        <v>206</v>
      </c>
      <c r="WW162" s="367"/>
      <c r="WX162" s="367"/>
      <c r="WY162" s="368" t="s">
        <v>168</v>
      </c>
      <c r="WZ162" s="369">
        <v>0.5</v>
      </c>
      <c r="XA162" s="370" t="e">
        <f>10/WW160</f>
        <v>#DIV/0!</v>
      </c>
      <c r="XB162" s="371">
        <v>15.38</v>
      </c>
      <c r="XC162" s="371" t="e">
        <f>WZ162*XA162*XB162</f>
        <v>#DIV/0!</v>
      </c>
      <c r="XD162" s="367" t="s">
        <v>206</v>
      </c>
      <c r="XE162" s="367"/>
      <c r="XF162" s="367"/>
      <c r="XG162" s="368" t="s">
        <v>168</v>
      </c>
      <c r="XH162" s="369">
        <v>0.5</v>
      </c>
      <c r="XI162" s="370" t="e">
        <f>10/XE160</f>
        <v>#DIV/0!</v>
      </c>
      <c r="XJ162" s="371">
        <v>15.38</v>
      </c>
      <c r="XK162" s="371" t="e">
        <f>XH162*XI162*XJ162</f>
        <v>#DIV/0!</v>
      </c>
      <c r="XL162" s="367" t="s">
        <v>206</v>
      </c>
      <c r="XM162" s="367"/>
      <c r="XN162" s="367"/>
      <c r="XO162" s="368" t="s">
        <v>168</v>
      </c>
      <c r="XP162" s="369">
        <v>0.5</v>
      </c>
      <c r="XQ162" s="370" t="e">
        <f>10/XM160</f>
        <v>#DIV/0!</v>
      </c>
      <c r="XR162" s="371">
        <v>15.38</v>
      </c>
      <c r="XS162" s="371" t="e">
        <f>XP162*XQ162*XR162</f>
        <v>#DIV/0!</v>
      </c>
      <c r="XT162" s="367" t="s">
        <v>206</v>
      </c>
      <c r="XU162" s="367"/>
      <c r="XV162" s="367"/>
      <c r="XW162" s="368" t="s">
        <v>168</v>
      </c>
      <c r="XX162" s="369">
        <v>0.5</v>
      </c>
      <c r="XY162" s="370" t="e">
        <f>10/XU160</f>
        <v>#DIV/0!</v>
      </c>
      <c r="XZ162" s="371">
        <v>15.38</v>
      </c>
      <c r="YA162" s="371" t="e">
        <f>XX162*XY162*XZ162</f>
        <v>#DIV/0!</v>
      </c>
      <c r="YB162" s="367" t="s">
        <v>206</v>
      </c>
      <c r="YC162" s="367"/>
      <c r="YD162" s="367"/>
      <c r="YE162" s="368" t="s">
        <v>168</v>
      </c>
      <c r="YF162" s="369">
        <v>0.5</v>
      </c>
      <c r="YG162" s="370" t="e">
        <f>10/YC160</f>
        <v>#DIV/0!</v>
      </c>
      <c r="YH162" s="371">
        <v>15.38</v>
      </c>
      <c r="YI162" s="371" t="e">
        <f>YF162*YG162*YH162</f>
        <v>#DIV/0!</v>
      </c>
      <c r="YJ162" s="367" t="s">
        <v>206</v>
      </c>
      <c r="YK162" s="367"/>
      <c r="YL162" s="367"/>
      <c r="YM162" s="368" t="s">
        <v>168</v>
      </c>
      <c r="YN162" s="369">
        <v>0.5</v>
      </c>
      <c r="YO162" s="370" t="e">
        <f>10/YK160</f>
        <v>#DIV/0!</v>
      </c>
      <c r="YP162" s="371">
        <v>15.38</v>
      </c>
      <c r="YQ162" s="371" t="e">
        <f>YN162*YO162*YP162</f>
        <v>#DIV/0!</v>
      </c>
      <c r="YR162" s="367" t="s">
        <v>206</v>
      </c>
      <c r="YS162" s="367"/>
      <c r="YT162" s="367"/>
      <c r="YU162" s="368" t="s">
        <v>168</v>
      </c>
      <c r="YV162" s="369">
        <v>0.5</v>
      </c>
      <c r="YW162" s="370" t="e">
        <f>10/YS160</f>
        <v>#DIV/0!</v>
      </c>
      <c r="YX162" s="371">
        <v>15.38</v>
      </c>
      <c r="YY162" s="371" t="e">
        <f>YV162*YW162*YX162</f>
        <v>#DIV/0!</v>
      </c>
      <c r="YZ162" s="367" t="s">
        <v>206</v>
      </c>
      <c r="ZA162" s="367"/>
      <c r="ZB162" s="367"/>
      <c r="ZC162" s="368" t="s">
        <v>168</v>
      </c>
      <c r="ZD162" s="369">
        <v>0.5</v>
      </c>
      <c r="ZE162" s="370" t="e">
        <f>10/ZA160</f>
        <v>#DIV/0!</v>
      </c>
      <c r="ZF162" s="371">
        <v>15.38</v>
      </c>
      <c r="ZG162" s="371" t="e">
        <f>ZD162*ZE162*ZF162</f>
        <v>#DIV/0!</v>
      </c>
      <c r="ZH162" s="367" t="s">
        <v>206</v>
      </c>
      <c r="ZI162" s="367"/>
      <c r="ZJ162" s="367"/>
      <c r="ZK162" s="368" t="s">
        <v>168</v>
      </c>
      <c r="ZL162" s="369">
        <v>0.5</v>
      </c>
      <c r="ZM162" s="370" t="e">
        <f>10/ZI160</f>
        <v>#DIV/0!</v>
      </c>
      <c r="ZN162" s="371">
        <v>15.38</v>
      </c>
      <c r="ZO162" s="371" t="e">
        <f>ZL162*ZM162*ZN162</f>
        <v>#DIV/0!</v>
      </c>
      <c r="ZP162" s="367" t="s">
        <v>206</v>
      </c>
      <c r="ZQ162" s="367"/>
      <c r="ZR162" s="367"/>
      <c r="ZS162" s="368" t="s">
        <v>168</v>
      </c>
      <c r="ZT162" s="369">
        <v>0.5</v>
      </c>
      <c r="ZU162" s="370" t="e">
        <f>10/ZQ160</f>
        <v>#DIV/0!</v>
      </c>
      <c r="ZV162" s="371">
        <v>15.38</v>
      </c>
      <c r="ZW162" s="371" t="e">
        <f>ZT162*ZU162*ZV162</f>
        <v>#DIV/0!</v>
      </c>
      <c r="ZX162" s="367" t="s">
        <v>206</v>
      </c>
      <c r="ZY162" s="367"/>
      <c r="ZZ162" s="367"/>
      <c r="AAA162" s="368" t="s">
        <v>168</v>
      </c>
      <c r="AAB162" s="369">
        <v>0.5</v>
      </c>
      <c r="AAC162" s="370" t="e">
        <f>10/ZY160</f>
        <v>#DIV/0!</v>
      </c>
      <c r="AAD162" s="371">
        <v>15.38</v>
      </c>
      <c r="AAE162" s="371" t="e">
        <f>AAB162*AAC162*AAD162</f>
        <v>#DIV/0!</v>
      </c>
      <c r="AAF162" s="367" t="s">
        <v>206</v>
      </c>
      <c r="AAG162" s="367"/>
      <c r="AAH162" s="367"/>
      <c r="AAI162" s="368" t="s">
        <v>168</v>
      </c>
      <c r="AAJ162" s="369">
        <v>0.5</v>
      </c>
      <c r="AAK162" s="370" t="e">
        <f>10/AAG160</f>
        <v>#DIV/0!</v>
      </c>
      <c r="AAL162" s="371">
        <v>15.38</v>
      </c>
      <c r="AAM162" s="371" t="e">
        <f>AAJ162*AAK162*AAL162</f>
        <v>#DIV/0!</v>
      </c>
      <c r="AAN162" s="367" t="s">
        <v>206</v>
      </c>
      <c r="AAO162" s="367"/>
      <c r="AAP162" s="367"/>
      <c r="AAQ162" s="368" t="s">
        <v>168</v>
      </c>
      <c r="AAR162" s="369">
        <v>0.5</v>
      </c>
      <c r="AAS162" s="370" t="e">
        <f>10/AAO160</f>
        <v>#DIV/0!</v>
      </c>
      <c r="AAT162" s="371">
        <v>15.38</v>
      </c>
      <c r="AAU162" s="371" t="e">
        <f>AAR162*AAS162*AAT162</f>
        <v>#DIV/0!</v>
      </c>
      <c r="AAV162" s="367" t="s">
        <v>206</v>
      </c>
      <c r="AAW162" s="367"/>
      <c r="AAX162" s="367"/>
      <c r="AAY162" s="368" t="s">
        <v>168</v>
      </c>
      <c r="AAZ162" s="369">
        <v>0.5</v>
      </c>
      <c r="ABA162" s="370" t="e">
        <f>10/AAW160</f>
        <v>#DIV/0!</v>
      </c>
      <c r="ABB162" s="371">
        <v>15.38</v>
      </c>
      <c r="ABC162" s="371" t="e">
        <f>AAZ162*ABA162*ABB162</f>
        <v>#DIV/0!</v>
      </c>
      <c r="ABD162" s="367" t="s">
        <v>206</v>
      </c>
      <c r="ABE162" s="367"/>
      <c r="ABF162" s="367"/>
      <c r="ABG162" s="368" t="s">
        <v>168</v>
      </c>
      <c r="ABH162" s="369">
        <v>0.5</v>
      </c>
      <c r="ABI162" s="370" t="e">
        <f>10/ABE160</f>
        <v>#DIV/0!</v>
      </c>
      <c r="ABJ162" s="371">
        <v>15.38</v>
      </c>
      <c r="ABK162" s="371" t="e">
        <f>ABH162*ABI162*ABJ162</f>
        <v>#DIV/0!</v>
      </c>
      <c r="ABL162" s="367" t="s">
        <v>206</v>
      </c>
      <c r="ABM162" s="367"/>
      <c r="ABN162" s="367"/>
      <c r="ABO162" s="368" t="s">
        <v>168</v>
      </c>
      <c r="ABP162" s="369">
        <v>0.5</v>
      </c>
      <c r="ABQ162" s="370" t="e">
        <f>10/ABM160</f>
        <v>#DIV/0!</v>
      </c>
      <c r="ABR162" s="371">
        <v>15.38</v>
      </c>
      <c r="ABS162" s="371" t="e">
        <f>ABP162*ABQ162*ABR162</f>
        <v>#DIV/0!</v>
      </c>
      <c r="ABT162" s="367" t="s">
        <v>206</v>
      </c>
      <c r="ABU162" s="367"/>
      <c r="ABV162" s="367"/>
      <c r="ABW162" s="368" t="s">
        <v>168</v>
      </c>
      <c r="ABX162" s="369">
        <v>0.5</v>
      </c>
      <c r="ABY162" s="370" t="e">
        <f>10/ABU160</f>
        <v>#DIV/0!</v>
      </c>
      <c r="ABZ162" s="371">
        <v>15.38</v>
      </c>
      <c r="ACA162" s="371" t="e">
        <f>ABX162*ABY162*ABZ162</f>
        <v>#DIV/0!</v>
      </c>
      <c r="ACB162" s="367" t="s">
        <v>206</v>
      </c>
      <c r="ACC162" s="367"/>
      <c r="ACD162" s="367"/>
      <c r="ACE162" s="368" t="s">
        <v>168</v>
      </c>
      <c r="ACF162" s="369">
        <v>0.5</v>
      </c>
      <c r="ACG162" s="370" t="e">
        <f>10/ACC160</f>
        <v>#DIV/0!</v>
      </c>
      <c r="ACH162" s="371">
        <v>15.38</v>
      </c>
      <c r="ACI162" s="371" t="e">
        <f>ACF162*ACG162*ACH162</f>
        <v>#DIV/0!</v>
      </c>
      <c r="ACJ162" s="367" t="s">
        <v>206</v>
      </c>
      <c r="ACK162" s="367"/>
      <c r="ACL162" s="367"/>
      <c r="ACM162" s="368" t="s">
        <v>168</v>
      </c>
      <c r="ACN162" s="369">
        <v>0.5</v>
      </c>
      <c r="ACO162" s="370" t="e">
        <f>10/ACK160</f>
        <v>#DIV/0!</v>
      </c>
      <c r="ACP162" s="371">
        <v>15.38</v>
      </c>
      <c r="ACQ162" s="371" t="e">
        <f>ACN162*ACO162*ACP162</f>
        <v>#DIV/0!</v>
      </c>
      <c r="ACR162" s="367" t="s">
        <v>206</v>
      </c>
      <c r="ACS162" s="367"/>
      <c r="ACT162" s="367"/>
      <c r="ACU162" s="368" t="s">
        <v>168</v>
      </c>
      <c r="ACV162" s="369">
        <v>0.5</v>
      </c>
      <c r="ACW162" s="370" t="e">
        <f>10/ACS160</f>
        <v>#DIV/0!</v>
      </c>
      <c r="ACX162" s="371">
        <v>15.38</v>
      </c>
      <c r="ACY162" s="371" t="e">
        <f>ACV162*ACW162*ACX162</f>
        <v>#DIV/0!</v>
      </c>
      <c r="ACZ162" s="367" t="s">
        <v>206</v>
      </c>
      <c r="ADA162" s="367"/>
      <c r="ADB162" s="367"/>
      <c r="ADC162" s="368" t="s">
        <v>168</v>
      </c>
      <c r="ADD162" s="369">
        <v>0.5</v>
      </c>
      <c r="ADE162" s="370" t="e">
        <f>10/ADA160</f>
        <v>#DIV/0!</v>
      </c>
      <c r="ADF162" s="371">
        <v>15.38</v>
      </c>
      <c r="ADG162" s="371" t="e">
        <f>ADD162*ADE162*ADF162</f>
        <v>#DIV/0!</v>
      </c>
      <c r="ADH162" s="367" t="s">
        <v>206</v>
      </c>
      <c r="ADI162" s="367"/>
      <c r="ADJ162" s="367"/>
      <c r="ADK162" s="368" t="s">
        <v>168</v>
      </c>
      <c r="ADL162" s="369">
        <v>0.5</v>
      </c>
      <c r="ADM162" s="370" t="e">
        <f>10/ADI160</f>
        <v>#DIV/0!</v>
      </c>
      <c r="ADN162" s="371">
        <v>15.38</v>
      </c>
      <c r="ADO162" s="371" t="e">
        <f>ADL162*ADM162*ADN162</f>
        <v>#DIV/0!</v>
      </c>
      <c r="ADP162" s="367" t="s">
        <v>206</v>
      </c>
      <c r="ADQ162" s="367"/>
      <c r="ADR162" s="367"/>
      <c r="ADS162" s="368" t="s">
        <v>168</v>
      </c>
      <c r="ADT162" s="369">
        <v>0.5</v>
      </c>
      <c r="ADU162" s="370" t="e">
        <f>10/ADQ160</f>
        <v>#DIV/0!</v>
      </c>
      <c r="ADV162" s="371">
        <v>15.38</v>
      </c>
      <c r="ADW162" s="371" t="e">
        <f>ADT162*ADU162*ADV162</f>
        <v>#DIV/0!</v>
      </c>
      <c r="ADX162" s="367" t="s">
        <v>206</v>
      </c>
      <c r="ADY162" s="367"/>
      <c r="ADZ162" s="367"/>
      <c r="AEA162" s="368" t="s">
        <v>168</v>
      </c>
      <c r="AEB162" s="369">
        <v>0.5</v>
      </c>
      <c r="AEC162" s="370" t="e">
        <f>10/ADY160</f>
        <v>#DIV/0!</v>
      </c>
      <c r="AED162" s="371">
        <v>15.38</v>
      </c>
      <c r="AEE162" s="371" t="e">
        <f>AEB162*AEC162*AED162</f>
        <v>#DIV/0!</v>
      </c>
      <c r="AEF162" s="367" t="s">
        <v>206</v>
      </c>
      <c r="AEG162" s="367"/>
      <c r="AEH162" s="367"/>
      <c r="AEI162" s="368" t="s">
        <v>168</v>
      </c>
      <c r="AEJ162" s="369">
        <v>0.5</v>
      </c>
      <c r="AEK162" s="370" t="e">
        <f>10/AEG160</f>
        <v>#DIV/0!</v>
      </c>
      <c r="AEL162" s="371">
        <v>15.38</v>
      </c>
      <c r="AEM162" s="371" t="e">
        <f>AEJ162*AEK162*AEL162</f>
        <v>#DIV/0!</v>
      </c>
      <c r="AEN162" s="367" t="s">
        <v>206</v>
      </c>
      <c r="AEO162" s="367"/>
      <c r="AEP162" s="367"/>
      <c r="AEQ162" s="368" t="s">
        <v>168</v>
      </c>
      <c r="AER162" s="369">
        <v>0.5</v>
      </c>
      <c r="AES162" s="370" t="e">
        <f>10/AEO160</f>
        <v>#DIV/0!</v>
      </c>
      <c r="AET162" s="371">
        <v>15.38</v>
      </c>
      <c r="AEU162" s="371" t="e">
        <f>AER162*AES162*AET162</f>
        <v>#DIV/0!</v>
      </c>
      <c r="AEV162" s="367" t="s">
        <v>206</v>
      </c>
      <c r="AEW162" s="367"/>
      <c r="AEX162" s="367"/>
      <c r="AEY162" s="368" t="s">
        <v>168</v>
      </c>
      <c r="AEZ162" s="369">
        <v>0.5</v>
      </c>
      <c r="AFA162" s="370" t="e">
        <f>10/AEW160</f>
        <v>#DIV/0!</v>
      </c>
      <c r="AFB162" s="371">
        <v>15.38</v>
      </c>
      <c r="AFC162" s="371" t="e">
        <f>AEZ162*AFA162*AFB162</f>
        <v>#DIV/0!</v>
      </c>
      <c r="AFD162" s="367" t="s">
        <v>206</v>
      </c>
      <c r="AFE162" s="367"/>
      <c r="AFF162" s="367"/>
      <c r="AFG162" s="368" t="s">
        <v>168</v>
      </c>
      <c r="AFH162" s="369">
        <v>0.5</v>
      </c>
      <c r="AFI162" s="370" t="e">
        <f>10/AFE160</f>
        <v>#DIV/0!</v>
      </c>
      <c r="AFJ162" s="371">
        <v>15.38</v>
      </c>
      <c r="AFK162" s="371" t="e">
        <f>AFH162*AFI162*AFJ162</f>
        <v>#DIV/0!</v>
      </c>
      <c r="AFL162" s="367" t="s">
        <v>206</v>
      </c>
      <c r="AFM162" s="367"/>
      <c r="AFN162" s="367"/>
      <c r="AFO162" s="368" t="s">
        <v>168</v>
      </c>
      <c r="AFP162" s="369">
        <v>0.5</v>
      </c>
      <c r="AFQ162" s="370" t="e">
        <f>10/AFM160</f>
        <v>#DIV/0!</v>
      </c>
      <c r="AFR162" s="371">
        <v>15.38</v>
      </c>
      <c r="AFS162" s="371" t="e">
        <f>AFP162*AFQ162*AFR162</f>
        <v>#DIV/0!</v>
      </c>
      <c r="AFT162" s="367" t="s">
        <v>206</v>
      </c>
      <c r="AFU162" s="367"/>
      <c r="AFV162" s="367"/>
      <c r="AFW162" s="368" t="s">
        <v>168</v>
      </c>
      <c r="AFX162" s="369">
        <v>0.5</v>
      </c>
      <c r="AFY162" s="370" t="e">
        <f>10/AFU160</f>
        <v>#DIV/0!</v>
      </c>
      <c r="AFZ162" s="371">
        <v>15.38</v>
      </c>
      <c r="AGA162" s="371" t="e">
        <f>AFX162*AFY162*AFZ162</f>
        <v>#DIV/0!</v>
      </c>
      <c r="AGB162" s="367" t="s">
        <v>206</v>
      </c>
      <c r="AGC162" s="367"/>
      <c r="AGD162" s="367"/>
      <c r="AGE162" s="368" t="s">
        <v>168</v>
      </c>
      <c r="AGF162" s="369">
        <v>0.5</v>
      </c>
      <c r="AGG162" s="370" t="e">
        <f>10/AGC160</f>
        <v>#DIV/0!</v>
      </c>
      <c r="AGH162" s="371">
        <v>15.38</v>
      </c>
      <c r="AGI162" s="371" t="e">
        <f>AGF162*AGG162*AGH162</f>
        <v>#DIV/0!</v>
      </c>
      <c r="AGJ162" s="367" t="s">
        <v>206</v>
      </c>
      <c r="AGK162" s="367"/>
      <c r="AGL162" s="367"/>
      <c r="AGM162" s="368" t="s">
        <v>168</v>
      </c>
      <c r="AGN162" s="369">
        <v>0.5</v>
      </c>
      <c r="AGO162" s="370" t="e">
        <f>10/AGK160</f>
        <v>#DIV/0!</v>
      </c>
      <c r="AGP162" s="371">
        <v>15.38</v>
      </c>
      <c r="AGQ162" s="371" t="e">
        <f>AGN162*AGO162*AGP162</f>
        <v>#DIV/0!</v>
      </c>
      <c r="AGR162" s="367" t="s">
        <v>206</v>
      </c>
      <c r="AGS162" s="367"/>
      <c r="AGT162" s="367"/>
      <c r="AGU162" s="368" t="s">
        <v>168</v>
      </c>
      <c r="AGV162" s="369">
        <v>0.5</v>
      </c>
      <c r="AGW162" s="370" t="e">
        <f>10/AGS160</f>
        <v>#DIV/0!</v>
      </c>
      <c r="AGX162" s="371">
        <v>15.38</v>
      </c>
      <c r="AGY162" s="371" t="e">
        <f>AGV162*AGW162*AGX162</f>
        <v>#DIV/0!</v>
      </c>
      <c r="AGZ162" s="367" t="s">
        <v>206</v>
      </c>
      <c r="AHA162" s="367"/>
      <c r="AHB162" s="367"/>
      <c r="AHC162" s="368" t="s">
        <v>168</v>
      </c>
      <c r="AHD162" s="369">
        <v>0.5</v>
      </c>
      <c r="AHE162" s="370" t="e">
        <f>10/AHA160</f>
        <v>#DIV/0!</v>
      </c>
      <c r="AHF162" s="371">
        <v>15.38</v>
      </c>
      <c r="AHG162" s="371" t="e">
        <f>AHD162*AHE162*AHF162</f>
        <v>#DIV/0!</v>
      </c>
      <c r="AHH162" s="367" t="s">
        <v>206</v>
      </c>
      <c r="AHI162" s="367"/>
      <c r="AHJ162" s="367"/>
      <c r="AHK162" s="368" t="s">
        <v>168</v>
      </c>
      <c r="AHL162" s="369">
        <v>0.5</v>
      </c>
      <c r="AHM162" s="370" t="e">
        <f>10/AHI160</f>
        <v>#DIV/0!</v>
      </c>
      <c r="AHN162" s="371">
        <v>15.38</v>
      </c>
      <c r="AHO162" s="371" t="e">
        <f>AHL162*AHM162*AHN162</f>
        <v>#DIV/0!</v>
      </c>
      <c r="AHP162" s="367" t="s">
        <v>206</v>
      </c>
      <c r="AHQ162" s="367"/>
      <c r="AHR162" s="367"/>
      <c r="AHS162" s="368" t="s">
        <v>168</v>
      </c>
      <c r="AHT162" s="369">
        <v>0.5</v>
      </c>
      <c r="AHU162" s="370" t="e">
        <f>10/AHQ160</f>
        <v>#DIV/0!</v>
      </c>
      <c r="AHV162" s="371">
        <v>15.38</v>
      </c>
      <c r="AHW162" s="371" t="e">
        <f>AHT162*AHU162*AHV162</f>
        <v>#DIV/0!</v>
      </c>
      <c r="AHX162" s="367" t="s">
        <v>206</v>
      </c>
      <c r="AHY162" s="367"/>
      <c r="AHZ162" s="367"/>
      <c r="AIA162" s="368" t="s">
        <v>168</v>
      </c>
      <c r="AIB162" s="369">
        <v>0.5</v>
      </c>
      <c r="AIC162" s="370" t="e">
        <f>10/AHY160</f>
        <v>#DIV/0!</v>
      </c>
      <c r="AID162" s="371">
        <v>15.38</v>
      </c>
      <c r="AIE162" s="371" t="e">
        <f>AIB162*AIC162*AID162</f>
        <v>#DIV/0!</v>
      </c>
      <c r="AIF162" s="367" t="s">
        <v>206</v>
      </c>
      <c r="AIG162" s="367"/>
      <c r="AIH162" s="367"/>
      <c r="AII162" s="368" t="s">
        <v>168</v>
      </c>
      <c r="AIJ162" s="369">
        <v>0.5</v>
      </c>
      <c r="AIK162" s="370" t="e">
        <f>10/AIG160</f>
        <v>#DIV/0!</v>
      </c>
      <c r="AIL162" s="371">
        <v>15.38</v>
      </c>
      <c r="AIM162" s="371" t="e">
        <f>AIJ162*AIK162*AIL162</f>
        <v>#DIV/0!</v>
      </c>
      <c r="AIN162" s="367" t="s">
        <v>206</v>
      </c>
      <c r="AIO162" s="367"/>
      <c r="AIP162" s="367"/>
      <c r="AIQ162" s="368" t="s">
        <v>168</v>
      </c>
      <c r="AIR162" s="369">
        <v>0.5</v>
      </c>
      <c r="AIS162" s="370" t="e">
        <f>10/AIO160</f>
        <v>#DIV/0!</v>
      </c>
      <c r="AIT162" s="371">
        <v>15.38</v>
      </c>
      <c r="AIU162" s="371" t="e">
        <f>AIR162*AIS162*AIT162</f>
        <v>#DIV/0!</v>
      </c>
      <c r="AIV162" s="367" t="s">
        <v>206</v>
      </c>
      <c r="AIW162" s="367"/>
      <c r="AIX162" s="367"/>
      <c r="AIY162" s="368" t="s">
        <v>168</v>
      </c>
      <c r="AIZ162" s="369">
        <v>0.5</v>
      </c>
      <c r="AJA162" s="370" t="e">
        <f>10/AIW160</f>
        <v>#DIV/0!</v>
      </c>
      <c r="AJB162" s="371">
        <v>15.38</v>
      </c>
      <c r="AJC162" s="371" t="e">
        <f>AIZ162*AJA162*AJB162</f>
        <v>#DIV/0!</v>
      </c>
      <c r="AJD162" s="367" t="s">
        <v>206</v>
      </c>
      <c r="AJE162" s="367"/>
      <c r="AJF162" s="367"/>
      <c r="AJG162" s="368" t="s">
        <v>168</v>
      </c>
      <c r="AJH162" s="369">
        <v>0.5</v>
      </c>
      <c r="AJI162" s="370" t="e">
        <f>10/AJE160</f>
        <v>#DIV/0!</v>
      </c>
      <c r="AJJ162" s="371">
        <v>15.38</v>
      </c>
      <c r="AJK162" s="371" t="e">
        <f>AJH162*AJI162*AJJ162</f>
        <v>#DIV/0!</v>
      </c>
      <c r="AJL162" s="367" t="s">
        <v>206</v>
      </c>
      <c r="AJM162" s="367"/>
      <c r="AJN162" s="367"/>
      <c r="AJO162" s="368" t="s">
        <v>168</v>
      </c>
      <c r="AJP162" s="369">
        <v>0.5</v>
      </c>
      <c r="AJQ162" s="370" t="e">
        <f>10/AJM160</f>
        <v>#DIV/0!</v>
      </c>
      <c r="AJR162" s="371">
        <v>15.38</v>
      </c>
      <c r="AJS162" s="371" t="e">
        <f>AJP162*AJQ162*AJR162</f>
        <v>#DIV/0!</v>
      </c>
      <c r="AJT162" s="367" t="s">
        <v>206</v>
      </c>
      <c r="AJU162" s="367"/>
      <c r="AJV162" s="367"/>
      <c r="AJW162" s="368" t="s">
        <v>168</v>
      </c>
      <c r="AJX162" s="369">
        <v>0.5</v>
      </c>
      <c r="AJY162" s="370" t="e">
        <f>10/AJU160</f>
        <v>#DIV/0!</v>
      </c>
      <c r="AJZ162" s="371">
        <v>15.38</v>
      </c>
      <c r="AKA162" s="371" t="e">
        <f>AJX162*AJY162*AJZ162</f>
        <v>#DIV/0!</v>
      </c>
      <c r="AKB162" s="367" t="s">
        <v>206</v>
      </c>
      <c r="AKC162" s="367"/>
      <c r="AKD162" s="367"/>
      <c r="AKE162" s="368" t="s">
        <v>168</v>
      </c>
      <c r="AKF162" s="369">
        <v>0.5</v>
      </c>
      <c r="AKG162" s="370" t="e">
        <f>10/AKC160</f>
        <v>#DIV/0!</v>
      </c>
      <c r="AKH162" s="371">
        <v>15.38</v>
      </c>
      <c r="AKI162" s="371" t="e">
        <f>AKF162*AKG162*AKH162</f>
        <v>#DIV/0!</v>
      </c>
      <c r="AKJ162" s="367" t="s">
        <v>206</v>
      </c>
      <c r="AKK162" s="367"/>
      <c r="AKL162" s="367"/>
      <c r="AKM162" s="368" t="s">
        <v>168</v>
      </c>
      <c r="AKN162" s="369">
        <v>0.5</v>
      </c>
      <c r="AKO162" s="370" t="e">
        <f>10/AKK160</f>
        <v>#DIV/0!</v>
      </c>
      <c r="AKP162" s="371">
        <v>15.38</v>
      </c>
      <c r="AKQ162" s="371" t="e">
        <f>AKN162*AKO162*AKP162</f>
        <v>#DIV/0!</v>
      </c>
      <c r="AKR162" s="367" t="s">
        <v>206</v>
      </c>
      <c r="AKS162" s="367"/>
      <c r="AKT162" s="367"/>
      <c r="AKU162" s="368" t="s">
        <v>168</v>
      </c>
      <c r="AKV162" s="369">
        <v>0.5</v>
      </c>
      <c r="AKW162" s="370" t="e">
        <f>10/AKS160</f>
        <v>#DIV/0!</v>
      </c>
      <c r="AKX162" s="371">
        <v>15.38</v>
      </c>
      <c r="AKY162" s="371" t="e">
        <f>AKV162*AKW162*AKX162</f>
        <v>#DIV/0!</v>
      </c>
      <c r="AKZ162" s="367" t="s">
        <v>206</v>
      </c>
      <c r="ALA162" s="367"/>
      <c r="ALB162" s="367"/>
      <c r="ALC162" s="368" t="s">
        <v>168</v>
      </c>
      <c r="ALD162" s="369">
        <v>0.5</v>
      </c>
      <c r="ALE162" s="370" t="e">
        <f>10/ALA160</f>
        <v>#DIV/0!</v>
      </c>
      <c r="ALF162" s="371">
        <v>15.38</v>
      </c>
      <c r="ALG162" s="371" t="e">
        <f>ALD162*ALE162*ALF162</f>
        <v>#DIV/0!</v>
      </c>
      <c r="ALH162" s="367" t="s">
        <v>206</v>
      </c>
      <c r="ALI162" s="367"/>
      <c r="ALJ162" s="367"/>
      <c r="ALK162" s="368" t="s">
        <v>168</v>
      </c>
      <c r="ALL162" s="369">
        <v>0.5</v>
      </c>
      <c r="ALM162" s="370" t="e">
        <f>10/ALI160</f>
        <v>#DIV/0!</v>
      </c>
      <c r="ALN162" s="371">
        <v>15.38</v>
      </c>
      <c r="ALO162" s="371" t="e">
        <f>ALL162*ALM162*ALN162</f>
        <v>#DIV/0!</v>
      </c>
      <c r="ALP162" s="367" t="s">
        <v>206</v>
      </c>
      <c r="ALQ162" s="367"/>
      <c r="ALR162" s="367"/>
      <c r="ALS162" s="368" t="s">
        <v>168</v>
      </c>
      <c r="ALT162" s="369">
        <v>0.5</v>
      </c>
      <c r="ALU162" s="370" t="e">
        <f>10/ALQ160</f>
        <v>#DIV/0!</v>
      </c>
      <c r="ALV162" s="371">
        <v>15.38</v>
      </c>
      <c r="ALW162" s="371" t="e">
        <f>ALT162*ALU162*ALV162</f>
        <v>#DIV/0!</v>
      </c>
      <c r="ALX162" s="367" t="s">
        <v>206</v>
      </c>
      <c r="ALY162" s="367"/>
      <c r="ALZ162" s="367"/>
      <c r="AMA162" s="368" t="s">
        <v>168</v>
      </c>
      <c r="AMB162" s="369">
        <v>0.5</v>
      </c>
      <c r="AMC162" s="370" t="e">
        <f>10/ALY160</f>
        <v>#DIV/0!</v>
      </c>
      <c r="AMD162" s="371">
        <v>15.38</v>
      </c>
      <c r="AME162" s="371" t="e">
        <f>AMB162*AMC162*AMD162</f>
        <v>#DIV/0!</v>
      </c>
      <c r="AMF162" s="367" t="s">
        <v>206</v>
      </c>
      <c r="AMG162" s="367"/>
      <c r="AMH162" s="367"/>
      <c r="AMI162" s="368" t="s">
        <v>168</v>
      </c>
      <c r="AMJ162" s="369">
        <v>0.5</v>
      </c>
      <c r="AMK162" s="370" t="e">
        <f>10/AMG160</f>
        <v>#DIV/0!</v>
      </c>
      <c r="AML162" s="371">
        <v>15.38</v>
      </c>
      <c r="AMM162" s="371" t="e">
        <f>AMJ162*AMK162*AML162</f>
        <v>#DIV/0!</v>
      </c>
      <c r="AMN162" s="367" t="s">
        <v>206</v>
      </c>
      <c r="AMO162" s="367"/>
      <c r="AMP162" s="367"/>
      <c r="AMQ162" s="368" t="s">
        <v>168</v>
      </c>
      <c r="AMR162" s="369">
        <v>0.5</v>
      </c>
      <c r="AMS162" s="370" t="e">
        <f>10/AMO160</f>
        <v>#DIV/0!</v>
      </c>
      <c r="AMT162" s="371">
        <v>15.38</v>
      </c>
      <c r="AMU162" s="371" t="e">
        <f>AMR162*AMS162*AMT162</f>
        <v>#DIV/0!</v>
      </c>
      <c r="AMV162" s="367" t="s">
        <v>206</v>
      </c>
      <c r="AMW162" s="367"/>
      <c r="AMX162" s="367"/>
      <c r="AMY162" s="368" t="s">
        <v>168</v>
      </c>
      <c r="AMZ162" s="369">
        <v>0.5</v>
      </c>
      <c r="ANA162" s="370" t="e">
        <f>10/AMW160</f>
        <v>#DIV/0!</v>
      </c>
      <c r="ANB162" s="371">
        <v>15.38</v>
      </c>
      <c r="ANC162" s="371" t="e">
        <f>AMZ162*ANA162*ANB162</f>
        <v>#DIV/0!</v>
      </c>
      <c r="AND162" s="367" t="s">
        <v>206</v>
      </c>
      <c r="ANE162" s="367"/>
      <c r="ANF162" s="367"/>
      <c r="ANG162" s="368" t="s">
        <v>168</v>
      </c>
      <c r="ANH162" s="369">
        <v>0.5</v>
      </c>
      <c r="ANI162" s="370" t="e">
        <f>10/ANE160</f>
        <v>#DIV/0!</v>
      </c>
      <c r="ANJ162" s="371">
        <v>15.38</v>
      </c>
      <c r="ANK162" s="371" t="e">
        <f>ANH162*ANI162*ANJ162</f>
        <v>#DIV/0!</v>
      </c>
      <c r="ANL162" s="367" t="s">
        <v>206</v>
      </c>
      <c r="ANM162" s="367"/>
      <c r="ANN162" s="367"/>
      <c r="ANO162" s="368" t="s">
        <v>168</v>
      </c>
      <c r="ANP162" s="369">
        <v>0.5</v>
      </c>
      <c r="ANQ162" s="370" t="e">
        <f>10/ANM160</f>
        <v>#DIV/0!</v>
      </c>
      <c r="ANR162" s="371">
        <v>15.38</v>
      </c>
      <c r="ANS162" s="371" t="e">
        <f>ANP162*ANQ162*ANR162</f>
        <v>#DIV/0!</v>
      </c>
      <c r="ANT162" s="367" t="s">
        <v>206</v>
      </c>
      <c r="ANU162" s="367"/>
      <c r="ANV162" s="367"/>
      <c r="ANW162" s="368" t="s">
        <v>168</v>
      </c>
      <c r="ANX162" s="369">
        <v>0.5</v>
      </c>
      <c r="ANY162" s="370" t="e">
        <f>10/ANU160</f>
        <v>#DIV/0!</v>
      </c>
      <c r="ANZ162" s="371">
        <v>15.38</v>
      </c>
      <c r="AOA162" s="371" t="e">
        <f>ANX162*ANY162*ANZ162</f>
        <v>#DIV/0!</v>
      </c>
      <c r="AOB162" s="367" t="s">
        <v>206</v>
      </c>
      <c r="AOC162" s="367"/>
      <c r="AOD162" s="367"/>
      <c r="AOE162" s="368" t="s">
        <v>168</v>
      </c>
      <c r="AOF162" s="369">
        <v>0.5</v>
      </c>
      <c r="AOG162" s="370" t="e">
        <f>10/AOC160</f>
        <v>#DIV/0!</v>
      </c>
      <c r="AOH162" s="371">
        <v>15.38</v>
      </c>
      <c r="AOI162" s="371" t="e">
        <f>AOF162*AOG162*AOH162</f>
        <v>#DIV/0!</v>
      </c>
      <c r="AOJ162" s="367" t="s">
        <v>206</v>
      </c>
      <c r="AOK162" s="367"/>
      <c r="AOL162" s="367"/>
      <c r="AOM162" s="368" t="s">
        <v>168</v>
      </c>
      <c r="AON162" s="369">
        <v>0.5</v>
      </c>
      <c r="AOO162" s="370" t="e">
        <f>10/AOK160</f>
        <v>#DIV/0!</v>
      </c>
      <c r="AOP162" s="371">
        <v>15.38</v>
      </c>
      <c r="AOQ162" s="371" t="e">
        <f>AON162*AOO162*AOP162</f>
        <v>#DIV/0!</v>
      </c>
      <c r="AOR162" s="367" t="s">
        <v>206</v>
      </c>
      <c r="AOS162" s="367"/>
      <c r="AOT162" s="367"/>
      <c r="AOU162" s="368" t="s">
        <v>168</v>
      </c>
      <c r="AOV162" s="369">
        <v>0.5</v>
      </c>
      <c r="AOW162" s="370" t="e">
        <f>10/AOS160</f>
        <v>#DIV/0!</v>
      </c>
      <c r="AOX162" s="371">
        <v>15.38</v>
      </c>
      <c r="AOY162" s="371" t="e">
        <f>AOV162*AOW162*AOX162</f>
        <v>#DIV/0!</v>
      </c>
      <c r="AOZ162" s="367" t="s">
        <v>206</v>
      </c>
      <c r="APA162" s="367"/>
      <c r="APB162" s="367"/>
      <c r="APC162" s="368" t="s">
        <v>168</v>
      </c>
      <c r="APD162" s="369">
        <v>0.5</v>
      </c>
      <c r="APE162" s="370" t="e">
        <f>10/APA160</f>
        <v>#DIV/0!</v>
      </c>
      <c r="APF162" s="371">
        <v>15.38</v>
      </c>
      <c r="APG162" s="371" t="e">
        <f>APD162*APE162*APF162</f>
        <v>#DIV/0!</v>
      </c>
      <c r="APH162" s="367" t="s">
        <v>206</v>
      </c>
      <c r="API162" s="367"/>
      <c r="APJ162" s="367"/>
      <c r="APK162" s="368" t="s">
        <v>168</v>
      </c>
      <c r="APL162" s="369">
        <v>0.5</v>
      </c>
      <c r="APM162" s="370" t="e">
        <f>10/API160</f>
        <v>#DIV/0!</v>
      </c>
      <c r="APN162" s="371">
        <v>15.38</v>
      </c>
      <c r="APO162" s="371" t="e">
        <f>APL162*APM162*APN162</f>
        <v>#DIV/0!</v>
      </c>
      <c r="APP162" s="367" t="s">
        <v>206</v>
      </c>
      <c r="APQ162" s="367"/>
      <c r="APR162" s="367"/>
      <c r="APS162" s="368" t="s">
        <v>168</v>
      </c>
      <c r="APT162" s="369">
        <v>0.5</v>
      </c>
      <c r="APU162" s="370" t="e">
        <f>10/APQ160</f>
        <v>#DIV/0!</v>
      </c>
      <c r="APV162" s="371">
        <v>15.38</v>
      </c>
      <c r="APW162" s="371" t="e">
        <f>APT162*APU162*APV162</f>
        <v>#DIV/0!</v>
      </c>
      <c r="APX162" s="367" t="s">
        <v>206</v>
      </c>
      <c r="APY162" s="367"/>
      <c r="APZ162" s="367"/>
      <c r="AQA162" s="368" t="s">
        <v>168</v>
      </c>
      <c r="AQB162" s="369">
        <v>0.5</v>
      </c>
      <c r="AQC162" s="370" t="e">
        <f>10/APY160</f>
        <v>#DIV/0!</v>
      </c>
      <c r="AQD162" s="371">
        <v>15.38</v>
      </c>
      <c r="AQE162" s="371" t="e">
        <f>AQB162*AQC162*AQD162</f>
        <v>#DIV/0!</v>
      </c>
      <c r="AQF162" s="367" t="s">
        <v>206</v>
      </c>
      <c r="AQG162" s="367"/>
      <c r="AQH162" s="367"/>
      <c r="AQI162" s="368" t="s">
        <v>168</v>
      </c>
      <c r="AQJ162" s="369">
        <v>0.5</v>
      </c>
      <c r="AQK162" s="370" t="e">
        <f>10/AQG160</f>
        <v>#DIV/0!</v>
      </c>
      <c r="AQL162" s="371">
        <v>15.38</v>
      </c>
      <c r="AQM162" s="371" t="e">
        <f>AQJ162*AQK162*AQL162</f>
        <v>#DIV/0!</v>
      </c>
      <c r="AQN162" s="367" t="s">
        <v>206</v>
      </c>
      <c r="AQO162" s="367"/>
      <c r="AQP162" s="367"/>
      <c r="AQQ162" s="368" t="s">
        <v>168</v>
      </c>
      <c r="AQR162" s="369">
        <v>0.5</v>
      </c>
      <c r="AQS162" s="370" t="e">
        <f>10/AQO160</f>
        <v>#DIV/0!</v>
      </c>
      <c r="AQT162" s="371">
        <v>15.38</v>
      </c>
      <c r="AQU162" s="371" t="e">
        <f>AQR162*AQS162*AQT162</f>
        <v>#DIV/0!</v>
      </c>
      <c r="AQV162" s="367" t="s">
        <v>206</v>
      </c>
      <c r="AQW162" s="367"/>
      <c r="AQX162" s="367"/>
      <c r="AQY162" s="368" t="s">
        <v>168</v>
      </c>
      <c r="AQZ162" s="369">
        <v>0.5</v>
      </c>
      <c r="ARA162" s="370" t="e">
        <f>10/AQW160</f>
        <v>#DIV/0!</v>
      </c>
      <c r="ARB162" s="371">
        <v>15.38</v>
      </c>
      <c r="ARC162" s="371" t="e">
        <f>AQZ162*ARA162*ARB162</f>
        <v>#DIV/0!</v>
      </c>
      <c r="ARD162" s="367" t="s">
        <v>206</v>
      </c>
      <c r="ARE162" s="367"/>
      <c r="ARF162" s="367"/>
      <c r="ARG162" s="368" t="s">
        <v>168</v>
      </c>
      <c r="ARH162" s="369">
        <v>0.5</v>
      </c>
      <c r="ARI162" s="370" t="e">
        <f>10/ARE160</f>
        <v>#DIV/0!</v>
      </c>
      <c r="ARJ162" s="371">
        <v>15.38</v>
      </c>
      <c r="ARK162" s="371" t="e">
        <f>ARH162*ARI162*ARJ162</f>
        <v>#DIV/0!</v>
      </c>
      <c r="ARL162" s="367" t="s">
        <v>206</v>
      </c>
      <c r="ARM162" s="367"/>
      <c r="ARN162" s="367"/>
      <c r="ARO162" s="368" t="s">
        <v>168</v>
      </c>
      <c r="ARP162" s="369">
        <v>0.5</v>
      </c>
      <c r="ARQ162" s="370" t="e">
        <f>10/ARM160</f>
        <v>#DIV/0!</v>
      </c>
      <c r="ARR162" s="371">
        <v>15.38</v>
      </c>
      <c r="ARS162" s="371" t="e">
        <f>ARP162*ARQ162*ARR162</f>
        <v>#DIV/0!</v>
      </c>
      <c r="ART162" s="367" t="s">
        <v>206</v>
      </c>
      <c r="ARU162" s="367"/>
      <c r="ARV162" s="367"/>
      <c r="ARW162" s="368" t="s">
        <v>168</v>
      </c>
      <c r="ARX162" s="369">
        <v>0.5</v>
      </c>
      <c r="ARY162" s="370" t="e">
        <f>10/ARU160</f>
        <v>#DIV/0!</v>
      </c>
      <c r="ARZ162" s="371">
        <v>15.38</v>
      </c>
      <c r="ASA162" s="371" t="e">
        <f>ARX162*ARY162*ARZ162</f>
        <v>#DIV/0!</v>
      </c>
      <c r="ASB162" s="367" t="s">
        <v>206</v>
      </c>
      <c r="ASC162" s="367"/>
      <c r="ASD162" s="367"/>
      <c r="ASE162" s="368" t="s">
        <v>168</v>
      </c>
      <c r="ASF162" s="369">
        <v>0.5</v>
      </c>
      <c r="ASG162" s="370" t="e">
        <f>10/ASC160</f>
        <v>#DIV/0!</v>
      </c>
      <c r="ASH162" s="371">
        <v>15.38</v>
      </c>
      <c r="ASI162" s="371" t="e">
        <f>ASF162*ASG162*ASH162</f>
        <v>#DIV/0!</v>
      </c>
      <c r="ASJ162" s="367" t="s">
        <v>206</v>
      </c>
      <c r="ASK162" s="367"/>
      <c r="ASL162" s="367"/>
      <c r="ASM162" s="368" t="s">
        <v>168</v>
      </c>
      <c r="ASN162" s="369">
        <v>0.5</v>
      </c>
      <c r="ASO162" s="370" t="e">
        <f>10/ASK160</f>
        <v>#DIV/0!</v>
      </c>
      <c r="ASP162" s="371">
        <v>15.38</v>
      </c>
      <c r="ASQ162" s="371" t="e">
        <f>ASN162*ASO162*ASP162</f>
        <v>#DIV/0!</v>
      </c>
      <c r="ASR162" s="367" t="s">
        <v>206</v>
      </c>
      <c r="ASS162" s="367"/>
      <c r="AST162" s="367"/>
      <c r="ASU162" s="368" t="s">
        <v>168</v>
      </c>
      <c r="ASV162" s="369">
        <v>0.5</v>
      </c>
      <c r="ASW162" s="370" t="e">
        <f>10/ASS160</f>
        <v>#DIV/0!</v>
      </c>
      <c r="ASX162" s="371">
        <v>15.38</v>
      </c>
      <c r="ASY162" s="371" t="e">
        <f>ASV162*ASW162*ASX162</f>
        <v>#DIV/0!</v>
      </c>
      <c r="ASZ162" s="367" t="s">
        <v>206</v>
      </c>
      <c r="ATA162" s="367"/>
      <c r="ATB162" s="367"/>
      <c r="ATC162" s="368" t="s">
        <v>168</v>
      </c>
      <c r="ATD162" s="369">
        <v>0.5</v>
      </c>
      <c r="ATE162" s="370" t="e">
        <f>10/ATA160</f>
        <v>#DIV/0!</v>
      </c>
      <c r="ATF162" s="371">
        <v>15.38</v>
      </c>
      <c r="ATG162" s="371" t="e">
        <f>ATD162*ATE162*ATF162</f>
        <v>#DIV/0!</v>
      </c>
      <c r="ATH162" s="367" t="s">
        <v>206</v>
      </c>
      <c r="ATI162" s="367"/>
      <c r="ATJ162" s="367"/>
      <c r="ATK162" s="368" t="s">
        <v>168</v>
      </c>
      <c r="ATL162" s="369">
        <v>0.5</v>
      </c>
      <c r="ATM162" s="370" t="e">
        <f>10/ATI160</f>
        <v>#DIV/0!</v>
      </c>
      <c r="ATN162" s="371">
        <v>15.38</v>
      </c>
      <c r="ATO162" s="371" t="e">
        <f>ATL162*ATM162*ATN162</f>
        <v>#DIV/0!</v>
      </c>
      <c r="ATP162" s="367" t="s">
        <v>206</v>
      </c>
      <c r="ATQ162" s="367"/>
      <c r="ATR162" s="367"/>
      <c r="ATS162" s="368" t="s">
        <v>168</v>
      </c>
      <c r="ATT162" s="369">
        <v>0.5</v>
      </c>
      <c r="ATU162" s="370" t="e">
        <f>10/ATQ160</f>
        <v>#DIV/0!</v>
      </c>
      <c r="ATV162" s="371">
        <v>15.38</v>
      </c>
      <c r="ATW162" s="371" t="e">
        <f>ATT162*ATU162*ATV162</f>
        <v>#DIV/0!</v>
      </c>
      <c r="ATX162" s="367" t="s">
        <v>206</v>
      </c>
      <c r="ATY162" s="367"/>
      <c r="ATZ162" s="367"/>
      <c r="AUA162" s="368" t="s">
        <v>168</v>
      </c>
      <c r="AUB162" s="369">
        <v>0.5</v>
      </c>
      <c r="AUC162" s="370" t="e">
        <f>10/ATY160</f>
        <v>#DIV/0!</v>
      </c>
      <c r="AUD162" s="371">
        <v>15.38</v>
      </c>
      <c r="AUE162" s="371" t="e">
        <f>AUB162*AUC162*AUD162</f>
        <v>#DIV/0!</v>
      </c>
      <c r="AUF162" s="367" t="s">
        <v>206</v>
      </c>
      <c r="AUG162" s="367"/>
      <c r="AUH162" s="367"/>
      <c r="AUI162" s="368" t="s">
        <v>168</v>
      </c>
      <c r="AUJ162" s="369">
        <v>0.5</v>
      </c>
      <c r="AUK162" s="370" t="e">
        <f>10/AUG160</f>
        <v>#DIV/0!</v>
      </c>
      <c r="AUL162" s="371">
        <v>15.38</v>
      </c>
      <c r="AUM162" s="371" t="e">
        <f>AUJ162*AUK162*AUL162</f>
        <v>#DIV/0!</v>
      </c>
      <c r="AUN162" s="367" t="s">
        <v>206</v>
      </c>
      <c r="AUO162" s="367"/>
      <c r="AUP162" s="367"/>
      <c r="AUQ162" s="368" t="s">
        <v>168</v>
      </c>
      <c r="AUR162" s="369">
        <v>0.5</v>
      </c>
      <c r="AUS162" s="370" t="e">
        <f>10/AUO160</f>
        <v>#DIV/0!</v>
      </c>
      <c r="AUT162" s="371">
        <v>15.38</v>
      </c>
      <c r="AUU162" s="371" t="e">
        <f>AUR162*AUS162*AUT162</f>
        <v>#DIV/0!</v>
      </c>
      <c r="AUV162" s="367" t="s">
        <v>206</v>
      </c>
      <c r="AUW162" s="367"/>
      <c r="AUX162" s="367"/>
      <c r="AUY162" s="368" t="s">
        <v>168</v>
      </c>
      <c r="AUZ162" s="369">
        <v>0.5</v>
      </c>
      <c r="AVA162" s="370" t="e">
        <f>10/AUW160</f>
        <v>#DIV/0!</v>
      </c>
      <c r="AVB162" s="371">
        <v>15.38</v>
      </c>
      <c r="AVC162" s="371" t="e">
        <f>AUZ162*AVA162*AVB162</f>
        <v>#DIV/0!</v>
      </c>
      <c r="AVD162" s="367" t="s">
        <v>206</v>
      </c>
      <c r="AVE162" s="367"/>
      <c r="AVF162" s="367"/>
      <c r="AVG162" s="368" t="s">
        <v>168</v>
      </c>
      <c r="AVH162" s="369">
        <v>0.5</v>
      </c>
      <c r="AVI162" s="370" t="e">
        <f>10/AVE160</f>
        <v>#DIV/0!</v>
      </c>
      <c r="AVJ162" s="371">
        <v>15.38</v>
      </c>
      <c r="AVK162" s="371" t="e">
        <f>AVH162*AVI162*AVJ162</f>
        <v>#DIV/0!</v>
      </c>
      <c r="AVL162" s="367" t="s">
        <v>206</v>
      </c>
      <c r="AVM162" s="367"/>
      <c r="AVN162" s="367"/>
      <c r="AVO162" s="368" t="s">
        <v>168</v>
      </c>
      <c r="AVP162" s="369">
        <v>0.5</v>
      </c>
      <c r="AVQ162" s="370" t="e">
        <f>10/AVM160</f>
        <v>#DIV/0!</v>
      </c>
      <c r="AVR162" s="371">
        <v>15.38</v>
      </c>
      <c r="AVS162" s="371" t="e">
        <f>AVP162*AVQ162*AVR162</f>
        <v>#DIV/0!</v>
      </c>
      <c r="AVT162" s="367" t="s">
        <v>206</v>
      </c>
      <c r="AVU162" s="367"/>
      <c r="AVV162" s="367"/>
      <c r="AVW162" s="368" t="s">
        <v>168</v>
      </c>
      <c r="AVX162" s="369">
        <v>0.5</v>
      </c>
      <c r="AVY162" s="370" t="e">
        <f>10/AVU160</f>
        <v>#DIV/0!</v>
      </c>
      <c r="AVZ162" s="371">
        <v>15.38</v>
      </c>
      <c r="AWA162" s="371" t="e">
        <f>AVX162*AVY162*AVZ162</f>
        <v>#DIV/0!</v>
      </c>
      <c r="AWB162" s="367" t="s">
        <v>206</v>
      </c>
      <c r="AWC162" s="367"/>
      <c r="AWD162" s="367"/>
      <c r="AWE162" s="368" t="s">
        <v>168</v>
      </c>
      <c r="AWF162" s="369">
        <v>0.5</v>
      </c>
      <c r="AWG162" s="370" t="e">
        <f>10/AWC160</f>
        <v>#DIV/0!</v>
      </c>
      <c r="AWH162" s="371">
        <v>15.38</v>
      </c>
      <c r="AWI162" s="371" t="e">
        <f>AWF162*AWG162*AWH162</f>
        <v>#DIV/0!</v>
      </c>
      <c r="AWJ162" s="367" t="s">
        <v>206</v>
      </c>
      <c r="AWK162" s="367"/>
      <c r="AWL162" s="367"/>
      <c r="AWM162" s="368" t="s">
        <v>168</v>
      </c>
      <c r="AWN162" s="369">
        <v>0.5</v>
      </c>
      <c r="AWO162" s="370" t="e">
        <f>10/AWK160</f>
        <v>#DIV/0!</v>
      </c>
      <c r="AWP162" s="371">
        <v>15.38</v>
      </c>
      <c r="AWQ162" s="371" t="e">
        <f>AWN162*AWO162*AWP162</f>
        <v>#DIV/0!</v>
      </c>
      <c r="AWR162" s="367" t="s">
        <v>206</v>
      </c>
      <c r="AWS162" s="367"/>
      <c r="AWT162" s="367"/>
      <c r="AWU162" s="368" t="s">
        <v>168</v>
      </c>
      <c r="AWV162" s="369">
        <v>0.5</v>
      </c>
      <c r="AWW162" s="370" t="e">
        <f>10/AWS160</f>
        <v>#DIV/0!</v>
      </c>
      <c r="AWX162" s="371">
        <v>15.38</v>
      </c>
      <c r="AWY162" s="371" t="e">
        <f>AWV162*AWW162*AWX162</f>
        <v>#DIV/0!</v>
      </c>
      <c r="AWZ162" s="367" t="s">
        <v>206</v>
      </c>
      <c r="AXA162" s="367"/>
      <c r="AXB162" s="367"/>
      <c r="AXC162" s="368" t="s">
        <v>168</v>
      </c>
      <c r="AXD162" s="369">
        <v>0.5</v>
      </c>
      <c r="AXE162" s="370" t="e">
        <f>10/AXA160</f>
        <v>#DIV/0!</v>
      </c>
      <c r="AXF162" s="371">
        <v>15.38</v>
      </c>
      <c r="AXG162" s="371" t="e">
        <f>AXD162*AXE162*AXF162</f>
        <v>#DIV/0!</v>
      </c>
      <c r="AXH162" s="367" t="s">
        <v>206</v>
      </c>
      <c r="AXI162" s="367"/>
      <c r="AXJ162" s="367"/>
      <c r="AXK162" s="368" t="s">
        <v>168</v>
      </c>
      <c r="AXL162" s="369">
        <v>0.5</v>
      </c>
      <c r="AXM162" s="370" t="e">
        <f>10/AXI160</f>
        <v>#DIV/0!</v>
      </c>
      <c r="AXN162" s="371">
        <v>15.38</v>
      </c>
      <c r="AXO162" s="371" t="e">
        <f>AXL162*AXM162*AXN162</f>
        <v>#DIV/0!</v>
      </c>
      <c r="AXP162" s="367" t="s">
        <v>206</v>
      </c>
      <c r="AXQ162" s="367"/>
      <c r="AXR162" s="367"/>
      <c r="AXS162" s="368" t="s">
        <v>168</v>
      </c>
      <c r="AXT162" s="369">
        <v>0.5</v>
      </c>
      <c r="AXU162" s="370" t="e">
        <f>10/AXQ160</f>
        <v>#DIV/0!</v>
      </c>
      <c r="AXV162" s="371">
        <v>15.38</v>
      </c>
      <c r="AXW162" s="371" t="e">
        <f>AXT162*AXU162*AXV162</f>
        <v>#DIV/0!</v>
      </c>
      <c r="AXX162" s="367" t="s">
        <v>206</v>
      </c>
      <c r="AXY162" s="367"/>
      <c r="AXZ162" s="367"/>
      <c r="AYA162" s="368" t="s">
        <v>168</v>
      </c>
      <c r="AYB162" s="369">
        <v>0.5</v>
      </c>
      <c r="AYC162" s="370" t="e">
        <f>10/AXY160</f>
        <v>#DIV/0!</v>
      </c>
      <c r="AYD162" s="371">
        <v>15.38</v>
      </c>
      <c r="AYE162" s="371" t="e">
        <f>AYB162*AYC162*AYD162</f>
        <v>#DIV/0!</v>
      </c>
      <c r="AYF162" s="367" t="s">
        <v>206</v>
      </c>
      <c r="AYG162" s="367"/>
      <c r="AYH162" s="367"/>
      <c r="AYI162" s="368" t="s">
        <v>168</v>
      </c>
      <c r="AYJ162" s="369">
        <v>0.5</v>
      </c>
      <c r="AYK162" s="370" t="e">
        <f>10/AYG160</f>
        <v>#DIV/0!</v>
      </c>
      <c r="AYL162" s="371">
        <v>15.38</v>
      </c>
      <c r="AYM162" s="371" t="e">
        <f>AYJ162*AYK162*AYL162</f>
        <v>#DIV/0!</v>
      </c>
      <c r="AYN162" s="367" t="s">
        <v>206</v>
      </c>
      <c r="AYO162" s="367"/>
      <c r="AYP162" s="367"/>
      <c r="AYQ162" s="368" t="s">
        <v>168</v>
      </c>
      <c r="AYR162" s="369">
        <v>0.5</v>
      </c>
      <c r="AYS162" s="370" t="e">
        <f>10/AYO160</f>
        <v>#DIV/0!</v>
      </c>
      <c r="AYT162" s="371">
        <v>15.38</v>
      </c>
      <c r="AYU162" s="371" t="e">
        <f>AYR162*AYS162*AYT162</f>
        <v>#DIV/0!</v>
      </c>
      <c r="AYV162" s="367" t="s">
        <v>206</v>
      </c>
      <c r="AYW162" s="367"/>
      <c r="AYX162" s="367"/>
      <c r="AYY162" s="368" t="s">
        <v>168</v>
      </c>
      <c r="AYZ162" s="369">
        <v>0.5</v>
      </c>
      <c r="AZA162" s="370" t="e">
        <f>10/AYW160</f>
        <v>#DIV/0!</v>
      </c>
      <c r="AZB162" s="371">
        <v>15.38</v>
      </c>
      <c r="AZC162" s="371" t="e">
        <f>AYZ162*AZA162*AZB162</f>
        <v>#DIV/0!</v>
      </c>
      <c r="AZD162" s="367" t="s">
        <v>206</v>
      </c>
      <c r="AZE162" s="367"/>
      <c r="AZF162" s="367"/>
      <c r="AZG162" s="368" t="s">
        <v>168</v>
      </c>
      <c r="AZH162" s="369">
        <v>0.5</v>
      </c>
      <c r="AZI162" s="370" t="e">
        <f>10/AZE160</f>
        <v>#DIV/0!</v>
      </c>
      <c r="AZJ162" s="371">
        <v>15.38</v>
      </c>
      <c r="AZK162" s="371" t="e">
        <f>AZH162*AZI162*AZJ162</f>
        <v>#DIV/0!</v>
      </c>
      <c r="AZL162" s="367" t="s">
        <v>206</v>
      </c>
      <c r="AZM162" s="367"/>
      <c r="AZN162" s="367"/>
      <c r="AZO162" s="368" t="s">
        <v>168</v>
      </c>
      <c r="AZP162" s="369">
        <v>0.5</v>
      </c>
      <c r="AZQ162" s="370" t="e">
        <f>10/AZM160</f>
        <v>#DIV/0!</v>
      </c>
      <c r="AZR162" s="371">
        <v>15.38</v>
      </c>
      <c r="AZS162" s="371" t="e">
        <f>AZP162*AZQ162*AZR162</f>
        <v>#DIV/0!</v>
      </c>
      <c r="AZT162" s="367" t="s">
        <v>206</v>
      </c>
      <c r="AZU162" s="367"/>
      <c r="AZV162" s="367"/>
      <c r="AZW162" s="368" t="s">
        <v>168</v>
      </c>
      <c r="AZX162" s="369">
        <v>0.5</v>
      </c>
      <c r="AZY162" s="370" t="e">
        <f>10/AZU160</f>
        <v>#DIV/0!</v>
      </c>
      <c r="AZZ162" s="371">
        <v>15.38</v>
      </c>
      <c r="BAA162" s="371" t="e">
        <f>AZX162*AZY162*AZZ162</f>
        <v>#DIV/0!</v>
      </c>
      <c r="BAB162" s="367" t="s">
        <v>206</v>
      </c>
      <c r="BAC162" s="367"/>
      <c r="BAD162" s="367"/>
      <c r="BAE162" s="368" t="s">
        <v>168</v>
      </c>
      <c r="BAF162" s="369">
        <v>0.5</v>
      </c>
      <c r="BAG162" s="370" t="e">
        <f>10/BAC160</f>
        <v>#DIV/0!</v>
      </c>
      <c r="BAH162" s="371">
        <v>15.38</v>
      </c>
      <c r="BAI162" s="371" t="e">
        <f>BAF162*BAG162*BAH162</f>
        <v>#DIV/0!</v>
      </c>
      <c r="BAJ162" s="367" t="s">
        <v>206</v>
      </c>
      <c r="BAK162" s="367"/>
      <c r="BAL162" s="367"/>
      <c r="BAM162" s="368" t="s">
        <v>168</v>
      </c>
      <c r="BAN162" s="369">
        <v>0.5</v>
      </c>
      <c r="BAO162" s="370" t="e">
        <f>10/BAK160</f>
        <v>#DIV/0!</v>
      </c>
      <c r="BAP162" s="371">
        <v>15.38</v>
      </c>
      <c r="BAQ162" s="371" t="e">
        <f>BAN162*BAO162*BAP162</f>
        <v>#DIV/0!</v>
      </c>
      <c r="BAR162" s="367" t="s">
        <v>206</v>
      </c>
      <c r="BAS162" s="367"/>
      <c r="BAT162" s="367"/>
      <c r="BAU162" s="368" t="s">
        <v>168</v>
      </c>
      <c r="BAV162" s="369">
        <v>0.5</v>
      </c>
      <c r="BAW162" s="370" t="e">
        <f>10/BAS160</f>
        <v>#DIV/0!</v>
      </c>
      <c r="BAX162" s="371">
        <v>15.38</v>
      </c>
      <c r="BAY162" s="371" t="e">
        <f>BAV162*BAW162*BAX162</f>
        <v>#DIV/0!</v>
      </c>
      <c r="BAZ162" s="367" t="s">
        <v>206</v>
      </c>
      <c r="BBA162" s="367"/>
      <c r="BBB162" s="367"/>
      <c r="BBC162" s="368" t="s">
        <v>168</v>
      </c>
      <c r="BBD162" s="369">
        <v>0.5</v>
      </c>
      <c r="BBE162" s="370" t="e">
        <f>10/BBA160</f>
        <v>#DIV/0!</v>
      </c>
      <c r="BBF162" s="371">
        <v>15.38</v>
      </c>
      <c r="BBG162" s="371" t="e">
        <f>BBD162*BBE162*BBF162</f>
        <v>#DIV/0!</v>
      </c>
      <c r="BBH162" s="367" t="s">
        <v>206</v>
      </c>
      <c r="BBI162" s="367"/>
      <c r="BBJ162" s="367"/>
      <c r="BBK162" s="368" t="s">
        <v>168</v>
      </c>
      <c r="BBL162" s="369">
        <v>0.5</v>
      </c>
      <c r="BBM162" s="370" t="e">
        <f>10/BBI160</f>
        <v>#DIV/0!</v>
      </c>
      <c r="BBN162" s="371">
        <v>15.38</v>
      </c>
      <c r="BBO162" s="371" t="e">
        <f>BBL162*BBM162*BBN162</f>
        <v>#DIV/0!</v>
      </c>
      <c r="BBP162" s="367" t="s">
        <v>206</v>
      </c>
      <c r="BBQ162" s="367"/>
      <c r="BBR162" s="367"/>
      <c r="BBS162" s="368" t="s">
        <v>168</v>
      </c>
      <c r="BBT162" s="369">
        <v>0.5</v>
      </c>
      <c r="BBU162" s="370" t="e">
        <f>10/BBQ160</f>
        <v>#DIV/0!</v>
      </c>
      <c r="BBV162" s="371">
        <v>15.38</v>
      </c>
      <c r="BBW162" s="371" t="e">
        <f>BBT162*BBU162*BBV162</f>
        <v>#DIV/0!</v>
      </c>
      <c r="BBX162" s="367" t="s">
        <v>206</v>
      </c>
      <c r="BBY162" s="367"/>
      <c r="BBZ162" s="367"/>
      <c r="BCA162" s="368" t="s">
        <v>168</v>
      </c>
      <c r="BCB162" s="369">
        <v>0.5</v>
      </c>
      <c r="BCC162" s="370" t="e">
        <f>10/BBY160</f>
        <v>#DIV/0!</v>
      </c>
      <c r="BCD162" s="371">
        <v>15.38</v>
      </c>
      <c r="BCE162" s="371" t="e">
        <f>BCB162*BCC162*BCD162</f>
        <v>#DIV/0!</v>
      </c>
      <c r="BCF162" s="367" t="s">
        <v>206</v>
      </c>
      <c r="BCG162" s="367"/>
      <c r="BCH162" s="367"/>
      <c r="BCI162" s="368" t="s">
        <v>168</v>
      </c>
      <c r="BCJ162" s="369">
        <v>0.5</v>
      </c>
      <c r="BCK162" s="370" t="e">
        <f>10/BCG160</f>
        <v>#DIV/0!</v>
      </c>
      <c r="BCL162" s="371">
        <v>15.38</v>
      </c>
      <c r="BCM162" s="371" t="e">
        <f>BCJ162*BCK162*BCL162</f>
        <v>#DIV/0!</v>
      </c>
      <c r="BCN162" s="367" t="s">
        <v>206</v>
      </c>
      <c r="BCO162" s="367"/>
      <c r="BCP162" s="367"/>
      <c r="BCQ162" s="368" t="s">
        <v>168</v>
      </c>
      <c r="BCR162" s="369">
        <v>0.5</v>
      </c>
      <c r="BCS162" s="370" t="e">
        <f>10/BCO160</f>
        <v>#DIV/0!</v>
      </c>
      <c r="BCT162" s="371">
        <v>15.38</v>
      </c>
      <c r="BCU162" s="371" t="e">
        <f>BCR162*BCS162*BCT162</f>
        <v>#DIV/0!</v>
      </c>
      <c r="BCV162" s="367" t="s">
        <v>206</v>
      </c>
      <c r="BCW162" s="367"/>
      <c r="BCX162" s="367"/>
      <c r="BCY162" s="368" t="s">
        <v>168</v>
      </c>
      <c r="BCZ162" s="369">
        <v>0.5</v>
      </c>
      <c r="BDA162" s="370" t="e">
        <f>10/BCW160</f>
        <v>#DIV/0!</v>
      </c>
      <c r="BDB162" s="371">
        <v>15.38</v>
      </c>
      <c r="BDC162" s="371" t="e">
        <f>BCZ162*BDA162*BDB162</f>
        <v>#DIV/0!</v>
      </c>
      <c r="BDD162" s="367" t="s">
        <v>206</v>
      </c>
      <c r="BDE162" s="367"/>
      <c r="BDF162" s="367"/>
      <c r="BDG162" s="368" t="s">
        <v>168</v>
      </c>
      <c r="BDH162" s="369">
        <v>0.5</v>
      </c>
      <c r="BDI162" s="370" t="e">
        <f>10/BDE160</f>
        <v>#DIV/0!</v>
      </c>
      <c r="BDJ162" s="371">
        <v>15.38</v>
      </c>
      <c r="BDK162" s="371" t="e">
        <f>BDH162*BDI162*BDJ162</f>
        <v>#DIV/0!</v>
      </c>
      <c r="BDL162" s="367" t="s">
        <v>206</v>
      </c>
      <c r="BDM162" s="367"/>
      <c r="BDN162" s="367"/>
      <c r="BDO162" s="368" t="s">
        <v>168</v>
      </c>
      <c r="BDP162" s="369">
        <v>0.5</v>
      </c>
      <c r="BDQ162" s="370" t="e">
        <f>10/BDM160</f>
        <v>#DIV/0!</v>
      </c>
      <c r="BDR162" s="371">
        <v>15.38</v>
      </c>
      <c r="BDS162" s="371" t="e">
        <f>BDP162*BDQ162*BDR162</f>
        <v>#DIV/0!</v>
      </c>
      <c r="BDT162" s="367" t="s">
        <v>206</v>
      </c>
      <c r="BDU162" s="367"/>
      <c r="BDV162" s="367"/>
      <c r="BDW162" s="368" t="s">
        <v>168</v>
      </c>
      <c r="BDX162" s="369">
        <v>0.5</v>
      </c>
      <c r="BDY162" s="370" t="e">
        <f>10/BDU160</f>
        <v>#DIV/0!</v>
      </c>
      <c r="BDZ162" s="371">
        <v>15.38</v>
      </c>
      <c r="BEA162" s="371" t="e">
        <f>BDX162*BDY162*BDZ162</f>
        <v>#DIV/0!</v>
      </c>
      <c r="BEB162" s="367" t="s">
        <v>206</v>
      </c>
      <c r="BEC162" s="367"/>
      <c r="BED162" s="367"/>
      <c r="BEE162" s="368" t="s">
        <v>168</v>
      </c>
      <c r="BEF162" s="369">
        <v>0.5</v>
      </c>
      <c r="BEG162" s="370" t="e">
        <f>10/BEC160</f>
        <v>#DIV/0!</v>
      </c>
      <c r="BEH162" s="371">
        <v>15.38</v>
      </c>
      <c r="BEI162" s="371" t="e">
        <f>BEF162*BEG162*BEH162</f>
        <v>#DIV/0!</v>
      </c>
      <c r="BEJ162" s="367" t="s">
        <v>206</v>
      </c>
      <c r="BEK162" s="367"/>
      <c r="BEL162" s="367"/>
      <c r="BEM162" s="368" t="s">
        <v>168</v>
      </c>
      <c r="BEN162" s="369">
        <v>0.5</v>
      </c>
      <c r="BEO162" s="370" t="e">
        <f>10/BEK160</f>
        <v>#DIV/0!</v>
      </c>
      <c r="BEP162" s="371">
        <v>15.38</v>
      </c>
      <c r="BEQ162" s="371" t="e">
        <f>BEN162*BEO162*BEP162</f>
        <v>#DIV/0!</v>
      </c>
      <c r="BER162" s="367" t="s">
        <v>206</v>
      </c>
      <c r="BES162" s="367"/>
      <c r="BET162" s="367"/>
      <c r="BEU162" s="368" t="s">
        <v>168</v>
      </c>
      <c r="BEV162" s="369">
        <v>0.5</v>
      </c>
      <c r="BEW162" s="370" t="e">
        <f>10/BES160</f>
        <v>#DIV/0!</v>
      </c>
      <c r="BEX162" s="371">
        <v>15.38</v>
      </c>
      <c r="BEY162" s="371" t="e">
        <f>BEV162*BEW162*BEX162</f>
        <v>#DIV/0!</v>
      </c>
      <c r="BEZ162" s="367" t="s">
        <v>206</v>
      </c>
      <c r="BFA162" s="367"/>
      <c r="BFB162" s="367"/>
      <c r="BFC162" s="368" t="s">
        <v>168</v>
      </c>
      <c r="BFD162" s="369">
        <v>0.5</v>
      </c>
      <c r="BFE162" s="370" t="e">
        <f>10/BFA160</f>
        <v>#DIV/0!</v>
      </c>
      <c r="BFF162" s="371">
        <v>15.38</v>
      </c>
      <c r="BFG162" s="371" t="e">
        <f>BFD162*BFE162*BFF162</f>
        <v>#DIV/0!</v>
      </c>
      <c r="BFH162" s="367" t="s">
        <v>206</v>
      </c>
      <c r="BFI162" s="367"/>
      <c r="BFJ162" s="367"/>
      <c r="BFK162" s="368" t="s">
        <v>168</v>
      </c>
      <c r="BFL162" s="369">
        <v>0.5</v>
      </c>
      <c r="BFM162" s="370" t="e">
        <f>10/BFI160</f>
        <v>#DIV/0!</v>
      </c>
      <c r="BFN162" s="371">
        <v>15.38</v>
      </c>
      <c r="BFO162" s="371" t="e">
        <f>BFL162*BFM162*BFN162</f>
        <v>#DIV/0!</v>
      </c>
      <c r="BFP162" s="367" t="s">
        <v>206</v>
      </c>
      <c r="BFQ162" s="367"/>
      <c r="BFR162" s="367"/>
      <c r="BFS162" s="368" t="s">
        <v>168</v>
      </c>
      <c r="BFT162" s="369">
        <v>0.5</v>
      </c>
      <c r="BFU162" s="370" t="e">
        <f>10/BFQ160</f>
        <v>#DIV/0!</v>
      </c>
      <c r="BFV162" s="371">
        <v>15.38</v>
      </c>
      <c r="BFW162" s="371" t="e">
        <f>BFT162*BFU162*BFV162</f>
        <v>#DIV/0!</v>
      </c>
      <c r="BFX162" s="367" t="s">
        <v>206</v>
      </c>
      <c r="BFY162" s="367"/>
      <c r="BFZ162" s="367"/>
      <c r="BGA162" s="368" t="s">
        <v>168</v>
      </c>
      <c r="BGB162" s="369">
        <v>0.5</v>
      </c>
      <c r="BGC162" s="370" t="e">
        <f>10/BFY160</f>
        <v>#DIV/0!</v>
      </c>
      <c r="BGD162" s="371">
        <v>15.38</v>
      </c>
      <c r="BGE162" s="371" t="e">
        <f>BGB162*BGC162*BGD162</f>
        <v>#DIV/0!</v>
      </c>
      <c r="BGF162" s="367" t="s">
        <v>206</v>
      </c>
      <c r="BGG162" s="367"/>
      <c r="BGH162" s="367"/>
      <c r="BGI162" s="368" t="s">
        <v>168</v>
      </c>
      <c r="BGJ162" s="369">
        <v>0.5</v>
      </c>
      <c r="BGK162" s="370" t="e">
        <f>10/BGG160</f>
        <v>#DIV/0!</v>
      </c>
      <c r="BGL162" s="371">
        <v>15.38</v>
      </c>
      <c r="BGM162" s="371" t="e">
        <f>BGJ162*BGK162*BGL162</f>
        <v>#DIV/0!</v>
      </c>
      <c r="BGN162" s="367" t="s">
        <v>206</v>
      </c>
      <c r="BGO162" s="367"/>
      <c r="BGP162" s="367"/>
      <c r="BGQ162" s="368" t="s">
        <v>168</v>
      </c>
      <c r="BGR162" s="369">
        <v>0.5</v>
      </c>
      <c r="BGS162" s="370" t="e">
        <f>10/BGO160</f>
        <v>#DIV/0!</v>
      </c>
      <c r="BGT162" s="371">
        <v>15.38</v>
      </c>
      <c r="BGU162" s="371" t="e">
        <f>BGR162*BGS162*BGT162</f>
        <v>#DIV/0!</v>
      </c>
      <c r="BGV162" s="367" t="s">
        <v>206</v>
      </c>
      <c r="BGW162" s="367"/>
      <c r="BGX162" s="367"/>
      <c r="BGY162" s="368" t="s">
        <v>168</v>
      </c>
      <c r="BGZ162" s="369">
        <v>0.5</v>
      </c>
      <c r="BHA162" s="370" t="e">
        <f>10/BGW160</f>
        <v>#DIV/0!</v>
      </c>
      <c r="BHB162" s="371">
        <v>15.38</v>
      </c>
      <c r="BHC162" s="371" t="e">
        <f>BGZ162*BHA162*BHB162</f>
        <v>#DIV/0!</v>
      </c>
      <c r="BHD162" s="367" t="s">
        <v>206</v>
      </c>
      <c r="BHE162" s="367"/>
      <c r="BHF162" s="367"/>
      <c r="BHG162" s="368" t="s">
        <v>168</v>
      </c>
      <c r="BHH162" s="369">
        <v>0.5</v>
      </c>
      <c r="BHI162" s="370" t="e">
        <f>10/BHE160</f>
        <v>#DIV/0!</v>
      </c>
      <c r="BHJ162" s="371">
        <v>15.38</v>
      </c>
      <c r="BHK162" s="371" t="e">
        <f>BHH162*BHI162*BHJ162</f>
        <v>#DIV/0!</v>
      </c>
      <c r="BHL162" s="367" t="s">
        <v>206</v>
      </c>
      <c r="BHM162" s="367"/>
      <c r="BHN162" s="367"/>
      <c r="BHO162" s="368" t="s">
        <v>168</v>
      </c>
      <c r="BHP162" s="369">
        <v>0.5</v>
      </c>
      <c r="BHQ162" s="370" t="e">
        <f>10/BHM160</f>
        <v>#DIV/0!</v>
      </c>
      <c r="BHR162" s="371">
        <v>15.38</v>
      </c>
      <c r="BHS162" s="371" t="e">
        <f>BHP162*BHQ162*BHR162</f>
        <v>#DIV/0!</v>
      </c>
      <c r="BHT162" s="367" t="s">
        <v>206</v>
      </c>
      <c r="BHU162" s="367"/>
      <c r="BHV162" s="367"/>
      <c r="BHW162" s="368" t="s">
        <v>168</v>
      </c>
      <c r="BHX162" s="369">
        <v>0.5</v>
      </c>
      <c r="BHY162" s="370" t="e">
        <f>10/BHU160</f>
        <v>#DIV/0!</v>
      </c>
      <c r="BHZ162" s="371">
        <v>15.38</v>
      </c>
      <c r="BIA162" s="371" t="e">
        <f>BHX162*BHY162*BHZ162</f>
        <v>#DIV/0!</v>
      </c>
      <c r="BIB162" s="367" t="s">
        <v>206</v>
      </c>
      <c r="BIC162" s="367"/>
      <c r="BID162" s="367"/>
      <c r="BIE162" s="368" t="s">
        <v>168</v>
      </c>
      <c r="BIF162" s="369">
        <v>0.5</v>
      </c>
      <c r="BIG162" s="370" t="e">
        <f>10/BIC160</f>
        <v>#DIV/0!</v>
      </c>
      <c r="BIH162" s="371">
        <v>15.38</v>
      </c>
      <c r="BII162" s="371" t="e">
        <f>BIF162*BIG162*BIH162</f>
        <v>#DIV/0!</v>
      </c>
      <c r="BIJ162" s="367" t="s">
        <v>206</v>
      </c>
      <c r="BIK162" s="367"/>
      <c r="BIL162" s="367"/>
      <c r="BIM162" s="368" t="s">
        <v>168</v>
      </c>
      <c r="BIN162" s="369">
        <v>0.5</v>
      </c>
      <c r="BIO162" s="370" t="e">
        <f>10/BIK160</f>
        <v>#DIV/0!</v>
      </c>
      <c r="BIP162" s="371">
        <v>15.38</v>
      </c>
      <c r="BIQ162" s="371" t="e">
        <f>BIN162*BIO162*BIP162</f>
        <v>#DIV/0!</v>
      </c>
      <c r="BIR162" s="367" t="s">
        <v>206</v>
      </c>
      <c r="BIS162" s="367"/>
      <c r="BIT162" s="367"/>
      <c r="BIU162" s="368" t="s">
        <v>168</v>
      </c>
      <c r="BIV162" s="369">
        <v>0.5</v>
      </c>
      <c r="BIW162" s="370" t="e">
        <f>10/BIS160</f>
        <v>#DIV/0!</v>
      </c>
      <c r="BIX162" s="371">
        <v>15.38</v>
      </c>
      <c r="BIY162" s="371" t="e">
        <f>BIV162*BIW162*BIX162</f>
        <v>#DIV/0!</v>
      </c>
      <c r="BIZ162" s="367" t="s">
        <v>206</v>
      </c>
      <c r="BJA162" s="367"/>
      <c r="BJB162" s="367"/>
      <c r="BJC162" s="368" t="s">
        <v>168</v>
      </c>
      <c r="BJD162" s="369">
        <v>0.5</v>
      </c>
      <c r="BJE162" s="370" t="e">
        <f>10/BJA160</f>
        <v>#DIV/0!</v>
      </c>
      <c r="BJF162" s="371">
        <v>15.38</v>
      </c>
      <c r="BJG162" s="371" t="e">
        <f>BJD162*BJE162*BJF162</f>
        <v>#DIV/0!</v>
      </c>
      <c r="BJH162" s="367" t="s">
        <v>206</v>
      </c>
      <c r="BJI162" s="367"/>
      <c r="BJJ162" s="367"/>
      <c r="BJK162" s="368" t="s">
        <v>168</v>
      </c>
      <c r="BJL162" s="369">
        <v>0.5</v>
      </c>
      <c r="BJM162" s="370" t="e">
        <f>10/BJI160</f>
        <v>#DIV/0!</v>
      </c>
      <c r="BJN162" s="371">
        <v>15.38</v>
      </c>
      <c r="BJO162" s="371" t="e">
        <f>BJL162*BJM162*BJN162</f>
        <v>#DIV/0!</v>
      </c>
      <c r="BJP162" s="367" t="s">
        <v>206</v>
      </c>
      <c r="BJQ162" s="367"/>
      <c r="BJR162" s="367"/>
      <c r="BJS162" s="368" t="s">
        <v>168</v>
      </c>
      <c r="BJT162" s="369">
        <v>0.5</v>
      </c>
      <c r="BJU162" s="370" t="e">
        <f>10/BJQ160</f>
        <v>#DIV/0!</v>
      </c>
      <c r="BJV162" s="371">
        <v>15.38</v>
      </c>
      <c r="BJW162" s="371" t="e">
        <f>BJT162*BJU162*BJV162</f>
        <v>#DIV/0!</v>
      </c>
      <c r="BJX162" s="367" t="s">
        <v>206</v>
      </c>
      <c r="BJY162" s="367"/>
      <c r="BJZ162" s="367"/>
      <c r="BKA162" s="368" t="s">
        <v>168</v>
      </c>
      <c r="BKB162" s="369">
        <v>0.5</v>
      </c>
      <c r="BKC162" s="370" t="e">
        <f>10/BJY160</f>
        <v>#DIV/0!</v>
      </c>
      <c r="BKD162" s="371">
        <v>15.38</v>
      </c>
      <c r="BKE162" s="371" t="e">
        <f>BKB162*BKC162*BKD162</f>
        <v>#DIV/0!</v>
      </c>
      <c r="BKF162" s="367" t="s">
        <v>206</v>
      </c>
      <c r="BKG162" s="367"/>
      <c r="BKH162" s="367"/>
      <c r="BKI162" s="368" t="s">
        <v>168</v>
      </c>
      <c r="BKJ162" s="369">
        <v>0.5</v>
      </c>
      <c r="BKK162" s="370" t="e">
        <f>10/BKG160</f>
        <v>#DIV/0!</v>
      </c>
      <c r="BKL162" s="371">
        <v>15.38</v>
      </c>
      <c r="BKM162" s="371" t="e">
        <f>BKJ162*BKK162*BKL162</f>
        <v>#DIV/0!</v>
      </c>
      <c r="BKN162" s="367" t="s">
        <v>206</v>
      </c>
      <c r="BKO162" s="367"/>
      <c r="BKP162" s="367"/>
      <c r="BKQ162" s="368" t="s">
        <v>168</v>
      </c>
      <c r="BKR162" s="369">
        <v>0.5</v>
      </c>
      <c r="BKS162" s="370" t="e">
        <f>10/BKO160</f>
        <v>#DIV/0!</v>
      </c>
      <c r="BKT162" s="371">
        <v>15.38</v>
      </c>
      <c r="BKU162" s="371" t="e">
        <f>BKR162*BKS162*BKT162</f>
        <v>#DIV/0!</v>
      </c>
      <c r="BKV162" s="367" t="s">
        <v>206</v>
      </c>
      <c r="BKW162" s="367"/>
      <c r="BKX162" s="367"/>
      <c r="BKY162" s="368" t="s">
        <v>168</v>
      </c>
      <c r="BKZ162" s="369">
        <v>0.5</v>
      </c>
      <c r="BLA162" s="370" t="e">
        <f>10/BKW160</f>
        <v>#DIV/0!</v>
      </c>
      <c r="BLB162" s="371">
        <v>15.38</v>
      </c>
      <c r="BLC162" s="371" t="e">
        <f>BKZ162*BLA162*BLB162</f>
        <v>#DIV/0!</v>
      </c>
      <c r="BLD162" s="367" t="s">
        <v>206</v>
      </c>
      <c r="BLE162" s="367"/>
      <c r="BLF162" s="367"/>
      <c r="BLG162" s="368" t="s">
        <v>168</v>
      </c>
      <c r="BLH162" s="369">
        <v>0.5</v>
      </c>
      <c r="BLI162" s="370" t="e">
        <f>10/BLE160</f>
        <v>#DIV/0!</v>
      </c>
      <c r="BLJ162" s="371">
        <v>15.38</v>
      </c>
      <c r="BLK162" s="371" t="e">
        <f>BLH162*BLI162*BLJ162</f>
        <v>#DIV/0!</v>
      </c>
      <c r="BLL162" s="367" t="s">
        <v>206</v>
      </c>
      <c r="BLM162" s="367"/>
      <c r="BLN162" s="367"/>
      <c r="BLO162" s="368" t="s">
        <v>168</v>
      </c>
      <c r="BLP162" s="369">
        <v>0.5</v>
      </c>
      <c r="BLQ162" s="370" t="e">
        <f>10/BLM160</f>
        <v>#DIV/0!</v>
      </c>
      <c r="BLR162" s="371">
        <v>15.38</v>
      </c>
      <c r="BLS162" s="371" t="e">
        <f>BLP162*BLQ162*BLR162</f>
        <v>#DIV/0!</v>
      </c>
      <c r="BLT162" s="367" t="s">
        <v>206</v>
      </c>
      <c r="BLU162" s="367"/>
      <c r="BLV162" s="367"/>
      <c r="BLW162" s="368" t="s">
        <v>168</v>
      </c>
      <c r="BLX162" s="369">
        <v>0.5</v>
      </c>
      <c r="BLY162" s="370" t="e">
        <f>10/BLU160</f>
        <v>#DIV/0!</v>
      </c>
      <c r="BLZ162" s="371">
        <v>15.38</v>
      </c>
      <c r="BMA162" s="371" t="e">
        <f>BLX162*BLY162*BLZ162</f>
        <v>#DIV/0!</v>
      </c>
      <c r="BMB162" s="367" t="s">
        <v>206</v>
      </c>
      <c r="BMC162" s="367"/>
      <c r="BMD162" s="367"/>
      <c r="BME162" s="368" t="s">
        <v>168</v>
      </c>
      <c r="BMF162" s="369">
        <v>0.5</v>
      </c>
      <c r="BMG162" s="370" t="e">
        <f>10/BMC160</f>
        <v>#DIV/0!</v>
      </c>
      <c r="BMH162" s="371">
        <v>15.38</v>
      </c>
      <c r="BMI162" s="371" t="e">
        <f>BMF162*BMG162*BMH162</f>
        <v>#DIV/0!</v>
      </c>
      <c r="BMJ162" s="367" t="s">
        <v>206</v>
      </c>
      <c r="BMK162" s="367"/>
      <c r="BML162" s="367"/>
      <c r="BMM162" s="368" t="s">
        <v>168</v>
      </c>
      <c r="BMN162" s="369">
        <v>0.5</v>
      </c>
      <c r="BMO162" s="370" t="e">
        <f>10/BMK160</f>
        <v>#DIV/0!</v>
      </c>
      <c r="BMP162" s="371">
        <v>15.38</v>
      </c>
      <c r="BMQ162" s="371" t="e">
        <f>BMN162*BMO162*BMP162</f>
        <v>#DIV/0!</v>
      </c>
      <c r="BMR162" s="367" t="s">
        <v>206</v>
      </c>
      <c r="BMS162" s="367"/>
      <c r="BMT162" s="367"/>
      <c r="BMU162" s="368" t="s">
        <v>168</v>
      </c>
      <c r="BMV162" s="369">
        <v>0.5</v>
      </c>
      <c r="BMW162" s="370" t="e">
        <f>10/BMS160</f>
        <v>#DIV/0!</v>
      </c>
      <c r="BMX162" s="371">
        <v>15.38</v>
      </c>
      <c r="BMY162" s="371" t="e">
        <f>BMV162*BMW162*BMX162</f>
        <v>#DIV/0!</v>
      </c>
      <c r="BMZ162" s="367" t="s">
        <v>206</v>
      </c>
      <c r="BNA162" s="367"/>
      <c r="BNB162" s="367"/>
      <c r="BNC162" s="368" t="s">
        <v>168</v>
      </c>
      <c r="BND162" s="369">
        <v>0.5</v>
      </c>
      <c r="BNE162" s="370" t="e">
        <f>10/BNA160</f>
        <v>#DIV/0!</v>
      </c>
      <c r="BNF162" s="371">
        <v>15.38</v>
      </c>
      <c r="BNG162" s="371" t="e">
        <f>BND162*BNE162*BNF162</f>
        <v>#DIV/0!</v>
      </c>
      <c r="BNH162" s="367" t="s">
        <v>206</v>
      </c>
      <c r="BNI162" s="367"/>
      <c r="BNJ162" s="367"/>
      <c r="BNK162" s="368" t="s">
        <v>168</v>
      </c>
      <c r="BNL162" s="369">
        <v>0.5</v>
      </c>
      <c r="BNM162" s="370" t="e">
        <f>10/BNI160</f>
        <v>#DIV/0!</v>
      </c>
      <c r="BNN162" s="371">
        <v>15.38</v>
      </c>
      <c r="BNO162" s="371" t="e">
        <f>BNL162*BNM162*BNN162</f>
        <v>#DIV/0!</v>
      </c>
      <c r="BNP162" s="367" t="s">
        <v>206</v>
      </c>
      <c r="BNQ162" s="367"/>
      <c r="BNR162" s="367"/>
      <c r="BNS162" s="368" t="s">
        <v>168</v>
      </c>
      <c r="BNT162" s="369">
        <v>0.5</v>
      </c>
      <c r="BNU162" s="370" t="e">
        <f>10/BNQ160</f>
        <v>#DIV/0!</v>
      </c>
      <c r="BNV162" s="371">
        <v>15.38</v>
      </c>
      <c r="BNW162" s="371" t="e">
        <f>BNT162*BNU162*BNV162</f>
        <v>#DIV/0!</v>
      </c>
      <c r="BNX162" s="367" t="s">
        <v>206</v>
      </c>
      <c r="BNY162" s="367"/>
      <c r="BNZ162" s="367"/>
      <c r="BOA162" s="368" t="s">
        <v>168</v>
      </c>
      <c r="BOB162" s="369">
        <v>0.5</v>
      </c>
      <c r="BOC162" s="370" t="e">
        <f>10/BNY160</f>
        <v>#DIV/0!</v>
      </c>
      <c r="BOD162" s="371">
        <v>15.38</v>
      </c>
      <c r="BOE162" s="371" t="e">
        <f>BOB162*BOC162*BOD162</f>
        <v>#DIV/0!</v>
      </c>
      <c r="BOF162" s="367" t="s">
        <v>206</v>
      </c>
      <c r="BOG162" s="367"/>
      <c r="BOH162" s="367"/>
      <c r="BOI162" s="368" t="s">
        <v>168</v>
      </c>
      <c r="BOJ162" s="369">
        <v>0.5</v>
      </c>
      <c r="BOK162" s="370" t="e">
        <f>10/BOG160</f>
        <v>#DIV/0!</v>
      </c>
      <c r="BOL162" s="371">
        <v>15.38</v>
      </c>
      <c r="BOM162" s="371" t="e">
        <f>BOJ162*BOK162*BOL162</f>
        <v>#DIV/0!</v>
      </c>
      <c r="BON162" s="367" t="s">
        <v>206</v>
      </c>
      <c r="BOO162" s="367"/>
      <c r="BOP162" s="367"/>
      <c r="BOQ162" s="368" t="s">
        <v>168</v>
      </c>
      <c r="BOR162" s="369">
        <v>0.5</v>
      </c>
      <c r="BOS162" s="370" t="e">
        <f>10/BOO160</f>
        <v>#DIV/0!</v>
      </c>
      <c r="BOT162" s="371">
        <v>15.38</v>
      </c>
      <c r="BOU162" s="371" t="e">
        <f>BOR162*BOS162*BOT162</f>
        <v>#DIV/0!</v>
      </c>
      <c r="BOV162" s="367" t="s">
        <v>206</v>
      </c>
      <c r="BOW162" s="367"/>
      <c r="BOX162" s="367"/>
      <c r="BOY162" s="368" t="s">
        <v>168</v>
      </c>
      <c r="BOZ162" s="369">
        <v>0.5</v>
      </c>
      <c r="BPA162" s="370" t="e">
        <f>10/BOW160</f>
        <v>#DIV/0!</v>
      </c>
      <c r="BPB162" s="371">
        <v>15.38</v>
      </c>
      <c r="BPC162" s="371" t="e">
        <f>BOZ162*BPA162*BPB162</f>
        <v>#DIV/0!</v>
      </c>
      <c r="BPD162" s="367" t="s">
        <v>206</v>
      </c>
      <c r="BPE162" s="367"/>
      <c r="BPF162" s="367"/>
      <c r="BPG162" s="368" t="s">
        <v>168</v>
      </c>
      <c r="BPH162" s="369">
        <v>0.5</v>
      </c>
      <c r="BPI162" s="370" t="e">
        <f>10/BPE160</f>
        <v>#DIV/0!</v>
      </c>
      <c r="BPJ162" s="371">
        <v>15.38</v>
      </c>
      <c r="BPK162" s="371" t="e">
        <f>BPH162*BPI162*BPJ162</f>
        <v>#DIV/0!</v>
      </c>
      <c r="BPL162" s="367" t="s">
        <v>206</v>
      </c>
      <c r="BPM162" s="367"/>
      <c r="BPN162" s="367"/>
      <c r="BPO162" s="368" t="s">
        <v>168</v>
      </c>
      <c r="BPP162" s="369">
        <v>0.5</v>
      </c>
      <c r="BPQ162" s="370" t="e">
        <f>10/BPM160</f>
        <v>#DIV/0!</v>
      </c>
      <c r="BPR162" s="371">
        <v>15.38</v>
      </c>
      <c r="BPS162" s="371" t="e">
        <f>BPP162*BPQ162*BPR162</f>
        <v>#DIV/0!</v>
      </c>
      <c r="BPT162" s="367" t="s">
        <v>206</v>
      </c>
      <c r="BPU162" s="367"/>
      <c r="BPV162" s="367"/>
      <c r="BPW162" s="368" t="s">
        <v>168</v>
      </c>
      <c r="BPX162" s="369">
        <v>0.5</v>
      </c>
      <c r="BPY162" s="370" t="e">
        <f>10/BPU160</f>
        <v>#DIV/0!</v>
      </c>
      <c r="BPZ162" s="371">
        <v>15.38</v>
      </c>
      <c r="BQA162" s="371" t="e">
        <f>BPX162*BPY162*BPZ162</f>
        <v>#DIV/0!</v>
      </c>
      <c r="BQB162" s="367" t="s">
        <v>206</v>
      </c>
      <c r="BQC162" s="367"/>
      <c r="BQD162" s="367"/>
      <c r="BQE162" s="368" t="s">
        <v>168</v>
      </c>
      <c r="BQF162" s="369">
        <v>0.5</v>
      </c>
      <c r="BQG162" s="370" t="e">
        <f>10/BQC160</f>
        <v>#DIV/0!</v>
      </c>
      <c r="BQH162" s="371">
        <v>15.38</v>
      </c>
      <c r="BQI162" s="371" t="e">
        <f>BQF162*BQG162*BQH162</f>
        <v>#DIV/0!</v>
      </c>
      <c r="BQJ162" s="367" t="s">
        <v>206</v>
      </c>
      <c r="BQK162" s="367"/>
      <c r="BQL162" s="367"/>
      <c r="BQM162" s="368" t="s">
        <v>168</v>
      </c>
      <c r="BQN162" s="369">
        <v>0.5</v>
      </c>
      <c r="BQO162" s="370" t="e">
        <f>10/BQK160</f>
        <v>#DIV/0!</v>
      </c>
      <c r="BQP162" s="371">
        <v>15.38</v>
      </c>
      <c r="BQQ162" s="371" t="e">
        <f>BQN162*BQO162*BQP162</f>
        <v>#DIV/0!</v>
      </c>
      <c r="BQR162" s="367" t="s">
        <v>206</v>
      </c>
      <c r="BQS162" s="367"/>
      <c r="BQT162" s="367"/>
      <c r="BQU162" s="368" t="s">
        <v>168</v>
      </c>
      <c r="BQV162" s="369">
        <v>0.5</v>
      </c>
      <c r="BQW162" s="370" t="e">
        <f>10/BQS160</f>
        <v>#DIV/0!</v>
      </c>
      <c r="BQX162" s="371">
        <v>15.38</v>
      </c>
      <c r="BQY162" s="371" t="e">
        <f>BQV162*BQW162*BQX162</f>
        <v>#DIV/0!</v>
      </c>
      <c r="BQZ162" s="367" t="s">
        <v>206</v>
      </c>
      <c r="BRA162" s="367"/>
      <c r="BRB162" s="367"/>
      <c r="BRC162" s="368" t="s">
        <v>168</v>
      </c>
      <c r="BRD162" s="369">
        <v>0.5</v>
      </c>
      <c r="BRE162" s="370" t="e">
        <f>10/BRA160</f>
        <v>#DIV/0!</v>
      </c>
      <c r="BRF162" s="371">
        <v>15.38</v>
      </c>
      <c r="BRG162" s="371" t="e">
        <f>BRD162*BRE162*BRF162</f>
        <v>#DIV/0!</v>
      </c>
      <c r="BRH162" s="367" t="s">
        <v>206</v>
      </c>
      <c r="BRI162" s="367"/>
      <c r="BRJ162" s="367"/>
      <c r="BRK162" s="368" t="s">
        <v>168</v>
      </c>
      <c r="BRL162" s="369">
        <v>0.5</v>
      </c>
      <c r="BRM162" s="370" t="e">
        <f>10/BRI160</f>
        <v>#DIV/0!</v>
      </c>
      <c r="BRN162" s="371">
        <v>15.38</v>
      </c>
      <c r="BRO162" s="371" t="e">
        <f>BRL162*BRM162*BRN162</f>
        <v>#DIV/0!</v>
      </c>
      <c r="BRP162" s="367" t="s">
        <v>206</v>
      </c>
      <c r="BRQ162" s="367"/>
      <c r="BRR162" s="367"/>
      <c r="BRS162" s="368" t="s">
        <v>168</v>
      </c>
      <c r="BRT162" s="369">
        <v>0.5</v>
      </c>
      <c r="BRU162" s="370" t="e">
        <f>10/BRQ160</f>
        <v>#DIV/0!</v>
      </c>
      <c r="BRV162" s="371">
        <v>15.38</v>
      </c>
      <c r="BRW162" s="371" t="e">
        <f>BRT162*BRU162*BRV162</f>
        <v>#DIV/0!</v>
      </c>
      <c r="BRX162" s="367" t="s">
        <v>206</v>
      </c>
      <c r="BRY162" s="367"/>
      <c r="BRZ162" s="367"/>
      <c r="BSA162" s="368" t="s">
        <v>168</v>
      </c>
      <c r="BSB162" s="369">
        <v>0.5</v>
      </c>
      <c r="BSC162" s="370" t="e">
        <f>10/BRY160</f>
        <v>#DIV/0!</v>
      </c>
      <c r="BSD162" s="371">
        <v>15.38</v>
      </c>
      <c r="BSE162" s="371" t="e">
        <f>BSB162*BSC162*BSD162</f>
        <v>#DIV/0!</v>
      </c>
      <c r="BSF162" s="367" t="s">
        <v>206</v>
      </c>
      <c r="BSG162" s="367"/>
      <c r="BSH162" s="367"/>
      <c r="BSI162" s="368" t="s">
        <v>168</v>
      </c>
      <c r="BSJ162" s="369">
        <v>0.5</v>
      </c>
      <c r="BSK162" s="370" t="e">
        <f>10/BSG160</f>
        <v>#DIV/0!</v>
      </c>
      <c r="BSL162" s="371">
        <v>15.38</v>
      </c>
      <c r="BSM162" s="371" t="e">
        <f>BSJ162*BSK162*BSL162</f>
        <v>#DIV/0!</v>
      </c>
      <c r="BSN162" s="367" t="s">
        <v>206</v>
      </c>
      <c r="BSO162" s="367"/>
      <c r="BSP162" s="367"/>
      <c r="BSQ162" s="368" t="s">
        <v>168</v>
      </c>
      <c r="BSR162" s="369">
        <v>0.5</v>
      </c>
      <c r="BSS162" s="370" t="e">
        <f>10/BSO160</f>
        <v>#DIV/0!</v>
      </c>
      <c r="BST162" s="371">
        <v>15.38</v>
      </c>
      <c r="BSU162" s="371" t="e">
        <f>BSR162*BSS162*BST162</f>
        <v>#DIV/0!</v>
      </c>
      <c r="BSV162" s="367" t="s">
        <v>206</v>
      </c>
      <c r="BSW162" s="367"/>
      <c r="BSX162" s="367"/>
      <c r="BSY162" s="368" t="s">
        <v>168</v>
      </c>
      <c r="BSZ162" s="369">
        <v>0.5</v>
      </c>
      <c r="BTA162" s="370" t="e">
        <f>10/BSW160</f>
        <v>#DIV/0!</v>
      </c>
      <c r="BTB162" s="371">
        <v>15.38</v>
      </c>
      <c r="BTC162" s="371" t="e">
        <f>BSZ162*BTA162*BTB162</f>
        <v>#DIV/0!</v>
      </c>
      <c r="BTD162" s="367" t="s">
        <v>206</v>
      </c>
      <c r="BTE162" s="367"/>
      <c r="BTF162" s="367"/>
      <c r="BTG162" s="368" t="s">
        <v>168</v>
      </c>
      <c r="BTH162" s="369">
        <v>0.5</v>
      </c>
      <c r="BTI162" s="370" t="e">
        <f>10/BTE160</f>
        <v>#DIV/0!</v>
      </c>
      <c r="BTJ162" s="371">
        <v>15.38</v>
      </c>
      <c r="BTK162" s="371" t="e">
        <f>BTH162*BTI162*BTJ162</f>
        <v>#DIV/0!</v>
      </c>
      <c r="BTL162" s="367" t="s">
        <v>206</v>
      </c>
      <c r="BTM162" s="367"/>
      <c r="BTN162" s="367"/>
      <c r="BTO162" s="368" t="s">
        <v>168</v>
      </c>
      <c r="BTP162" s="369">
        <v>0.5</v>
      </c>
      <c r="BTQ162" s="370" t="e">
        <f>10/BTM160</f>
        <v>#DIV/0!</v>
      </c>
      <c r="BTR162" s="371">
        <v>15.38</v>
      </c>
      <c r="BTS162" s="371" t="e">
        <f>BTP162*BTQ162*BTR162</f>
        <v>#DIV/0!</v>
      </c>
      <c r="BTT162" s="367" t="s">
        <v>206</v>
      </c>
      <c r="BTU162" s="367"/>
      <c r="BTV162" s="367"/>
      <c r="BTW162" s="368" t="s">
        <v>168</v>
      </c>
      <c r="BTX162" s="369">
        <v>0.5</v>
      </c>
      <c r="BTY162" s="370" t="e">
        <f>10/BTU160</f>
        <v>#DIV/0!</v>
      </c>
      <c r="BTZ162" s="371">
        <v>15.38</v>
      </c>
      <c r="BUA162" s="371" t="e">
        <f>BTX162*BTY162*BTZ162</f>
        <v>#DIV/0!</v>
      </c>
      <c r="BUB162" s="367" t="s">
        <v>206</v>
      </c>
      <c r="BUC162" s="367"/>
      <c r="BUD162" s="367"/>
      <c r="BUE162" s="368" t="s">
        <v>168</v>
      </c>
      <c r="BUF162" s="369">
        <v>0.5</v>
      </c>
      <c r="BUG162" s="370" t="e">
        <f>10/BUC160</f>
        <v>#DIV/0!</v>
      </c>
      <c r="BUH162" s="371">
        <v>15.38</v>
      </c>
      <c r="BUI162" s="371" t="e">
        <f>BUF162*BUG162*BUH162</f>
        <v>#DIV/0!</v>
      </c>
      <c r="BUJ162" s="367" t="s">
        <v>206</v>
      </c>
      <c r="BUK162" s="367"/>
      <c r="BUL162" s="367"/>
      <c r="BUM162" s="368" t="s">
        <v>168</v>
      </c>
      <c r="BUN162" s="369">
        <v>0.5</v>
      </c>
      <c r="BUO162" s="370" t="e">
        <f>10/BUK160</f>
        <v>#DIV/0!</v>
      </c>
      <c r="BUP162" s="371">
        <v>15.38</v>
      </c>
      <c r="BUQ162" s="371" t="e">
        <f>BUN162*BUO162*BUP162</f>
        <v>#DIV/0!</v>
      </c>
      <c r="BUR162" s="367" t="s">
        <v>206</v>
      </c>
      <c r="BUS162" s="367"/>
      <c r="BUT162" s="367"/>
      <c r="BUU162" s="368" t="s">
        <v>168</v>
      </c>
      <c r="BUV162" s="369">
        <v>0.5</v>
      </c>
      <c r="BUW162" s="370" t="e">
        <f>10/BUS160</f>
        <v>#DIV/0!</v>
      </c>
      <c r="BUX162" s="371">
        <v>15.38</v>
      </c>
      <c r="BUY162" s="371" t="e">
        <f>BUV162*BUW162*BUX162</f>
        <v>#DIV/0!</v>
      </c>
      <c r="BUZ162" s="367" t="s">
        <v>206</v>
      </c>
      <c r="BVA162" s="367"/>
      <c r="BVB162" s="367"/>
      <c r="BVC162" s="368" t="s">
        <v>168</v>
      </c>
      <c r="BVD162" s="369">
        <v>0.5</v>
      </c>
      <c r="BVE162" s="370" t="e">
        <f>10/BVA160</f>
        <v>#DIV/0!</v>
      </c>
      <c r="BVF162" s="371">
        <v>15.38</v>
      </c>
      <c r="BVG162" s="371" t="e">
        <f>BVD162*BVE162*BVF162</f>
        <v>#DIV/0!</v>
      </c>
      <c r="BVH162" s="367" t="s">
        <v>206</v>
      </c>
      <c r="BVI162" s="367"/>
      <c r="BVJ162" s="367"/>
      <c r="BVK162" s="368" t="s">
        <v>168</v>
      </c>
      <c r="BVL162" s="369">
        <v>0.5</v>
      </c>
      <c r="BVM162" s="370" t="e">
        <f>10/BVI160</f>
        <v>#DIV/0!</v>
      </c>
      <c r="BVN162" s="371">
        <v>15.38</v>
      </c>
      <c r="BVO162" s="371" t="e">
        <f>BVL162*BVM162*BVN162</f>
        <v>#DIV/0!</v>
      </c>
      <c r="BVP162" s="367" t="s">
        <v>206</v>
      </c>
      <c r="BVQ162" s="367"/>
      <c r="BVR162" s="367"/>
      <c r="BVS162" s="368" t="s">
        <v>168</v>
      </c>
      <c r="BVT162" s="369">
        <v>0.5</v>
      </c>
      <c r="BVU162" s="370" t="e">
        <f>10/BVQ160</f>
        <v>#DIV/0!</v>
      </c>
      <c r="BVV162" s="371">
        <v>15.38</v>
      </c>
      <c r="BVW162" s="371" t="e">
        <f>BVT162*BVU162*BVV162</f>
        <v>#DIV/0!</v>
      </c>
      <c r="BVX162" s="367" t="s">
        <v>206</v>
      </c>
      <c r="BVY162" s="367"/>
      <c r="BVZ162" s="367"/>
      <c r="BWA162" s="368" t="s">
        <v>168</v>
      </c>
      <c r="BWB162" s="369">
        <v>0.5</v>
      </c>
      <c r="BWC162" s="370" t="e">
        <f>10/BVY160</f>
        <v>#DIV/0!</v>
      </c>
      <c r="BWD162" s="371">
        <v>15.38</v>
      </c>
      <c r="BWE162" s="371" t="e">
        <f>BWB162*BWC162*BWD162</f>
        <v>#DIV/0!</v>
      </c>
      <c r="BWF162" s="367" t="s">
        <v>206</v>
      </c>
      <c r="BWG162" s="367"/>
      <c r="BWH162" s="367"/>
      <c r="BWI162" s="368" t="s">
        <v>168</v>
      </c>
      <c r="BWJ162" s="369">
        <v>0.5</v>
      </c>
      <c r="BWK162" s="370" t="e">
        <f>10/BWG160</f>
        <v>#DIV/0!</v>
      </c>
      <c r="BWL162" s="371">
        <v>15.38</v>
      </c>
      <c r="BWM162" s="371" t="e">
        <f>BWJ162*BWK162*BWL162</f>
        <v>#DIV/0!</v>
      </c>
      <c r="BWN162" s="367" t="s">
        <v>206</v>
      </c>
      <c r="BWO162" s="367"/>
      <c r="BWP162" s="367"/>
      <c r="BWQ162" s="368" t="s">
        <v>168</v>
      </c>
      <c r="BWR162" s="369">
        <v>0.5</v>
      </c>
      <c r="BWS162" s="370" t="e">
        <f>10/BWO160</f>
        <v>#DIV/0!</v>
      </c>
      <c r="BWT162" s="371">
        <v>15.38</v>
      </c>
      <c r="BWU162" s="371" t="e">
        <f>BWR162*BWS162*BWT162</f>
        <v>#DIV/0!</v>
      </c>
      <c r="BWV162" s="367" t="s">
        <v>206</v>
      </c>
      <c r="BWW162" s="367"/>
      <c r="BWX162" s="367"/>
      <c r="BWY162" s="368" t="s">
        <v>168</v>
      </c>
      <c r="BWZ162" s="369">
        <v>0.5</v>
      </c>
      <c r="BXA162" s="370" t="e">
        <f>10/BWW160</f>
        <v>#DIV/0!</v>
      </c>
      <c r="BXB162" s="371">
        <v>15.38</v>
      </c>
      <c r="BXC162" s="371" t="e">
        <f>BWZ162*BXA162*BXB162</f>
        <v>#DIV/0!</v>
      </c>
      <c r="BXD162" s="367" t="s">
        <v>206</v>
      </c>
      <c r="BXE162" s="367"/>
      <c r="BXF162" s="367"/>
      <c r="BXG162" s="368" t="s">
        <v>168</v>
      </c>
      <c r="BXH162" s="369">
        <v>0.5</v>
      </c>
      <c r="BXI162" s="370" t="e">
        <f>10/BXE160</f>
        <v>#DIV/0!</v>
      </c>
      <c r="BXJ162" s="371">
        <v>15.38</v>
      </c>
      <c r="BXK162" s="371" t="e">
        <f>BXH162*BXI162*BXJ162</f>
        <v>#DIV/0!</v>
      </c>
      <c r="BXL162" s="367" t="s">
        <v>206</v>
      </c>
      <c r="BXM162" s="367"/>
      <c r="BXN162" s="367"/>
      <c r="BXO162" s="368" t="s">
        <v>168</v>
      </c>
      <c r="BXP162" s="369">
        <v>0.5</v>
      </c>
      <c r="BXQ162" s="370" t="e">
        <f>10/BXM160</f>
        <v>#DIV/0!</v>
      </c>
      <c r="BXR162" s="371">
        <v>15.38</v>
      </c>
      <c r="BXS162" s="371" t="e">
        <f>BXP162*BXQ162*BXR162</f>
        <v>#DIV/0!</v>
      </c>
      <c r="BXT162" s="367" t="s">
        <v>206</v>
      </c>
      <c r="BXU162" s="367"/>
      <c r="BXV162" s="367"/>
      <c r="BXW162" s="368" t="s">
        <v>168</v>
      </c>
      <c r="BXX162" s="369">
        <v>0.5</v>
      </c>
      <c r="BXY162" s="370" t="e">
        <f>10/BXU160</f>
        <v>#DIV/0!</v>
      </c>
      <c r="BXZ162" s="371">
        <v>15.38</v>
      </c>
      <c r="BYA162" s="371" t="e">
        <f>BXX162*BXY162*BXZ162</f>
        <v>#DIV/0!</v>
      </c>
      <c r="BYB162" s="367" t="s">
        <v>206</v>
      </c>
      <c r="BYC162" s="367"/>
      <c r="BYD162" s="367"/>
      <c r="BYE162" s="368" t="s">
        <v>168</v>
      </c>
      <c r="BYF162" s="369">
        <v>0.5</v>
      </c>
      <c r="BYG162" s="370" t="e">
        <f>10/BYC160</f>
        <v>#DIV/0!</v>
      </c>
      <c r="BYH162" s="371">
        <v>15.38</v>
      </c>
      <c r="BYI162" s="371" t="e">
        <f>BYF162*BYG162*BYH162</f>
        <v>#DIV/0!</v>
      </c>
      <c r="BYJ162" s="367" t="s">
        <v>206</v>
      </c>
      <c r="BYK162" s="367"/>
      <c r="BYL162" s="367"/>
      <c r="BYM162" s="368" t="s">
        <v>168</v>
      </c>
      <c r="BYN162" s="369">
        <v>0.5</v>
      </c>
      <c r="BYO162" s="370" t="e">
        <f>10/BYK160</f>
        <v>#DIV/0!</v>
      </c>
      <c r="BYP162" s="371">
        <v>15.38</v>
      </c>
      <c r="BYQ162" s="371" t="e">
        <f>BYN162*BYO162*BYP162</f>
        <v>#DIV/0!</v>
      </c>
      <c r="BYR162" s="367" t="s">
        <v>206</v>
      </c>
      <c r="BYS162" s="367"/>
      <c r="BYT162" s="367"/>
      <c r="BYU162" s="368" t="s">
        <v>168</v>
      </c>
      <c r="BYV162" s="369">
        <v>0.5</v>
      </c>
      <c r="BYW162" s="370" t="e">
        <f>10/BYS160</f>
        <v>#DIV/0!</v>
      </c>
      <c r="BYX162" s="371">
        <v>15.38</v>
      </c>
      <c r="BYY162" s="371" t="e">
        <f>BYV162*BYW162*BYX162</f>
        <v>#DIV/0!</v>
      </c>
      <c r="BYZ162" s="367" t="s">
        <v>206</v>
      </c>
      <c r="BZA162" s="367"/>
      <c r="BZB162" s="367"/>
      <c r="BZC162" s="368" t="s">
        <v>168</v>
      </c>
      <c r="BZD162" s="369">
        <v>0.5</v>
      </c>
      <c r="BZE162" s="370" t="e">
        <f>10/BZA160</f>
        <v>#DIV/0!</v>
      </c>
      <c r="BZF162" s="371">
        <v>15.38</v>
      </c>
      <c r="BZG162" s="371" t="e">
        <f>BZD162*BZE162*BZF162</f>
        <v>#DIV/0!</v>
      </c>
      <c r="BZH162" s="367" t="s">
        <v>206</v>
      </c>
      <c r="BZI162" s="367"/>
      <c r="BZJ162" s="367"/>
      <c r="BZK162" s="368" t="s">
        <v>168</v>
      </c>
      <c r="BZL162" s="369">
        <v>0.5</v>
      </c>
      <c r="BZM162" s="370" t="e">
        <f>10/BZI160</f>
        <v>#DIV/0!</v>
      </c>
      <c r="BZN162" s="371">
        <v>15.38</v>
      </c>
      <c r="BZO162" s="371" t="e">
        <f>BZL162*BZM162*BZN162</f>
        <v>#DIV/0!</v>
      </c>
      <c r="BZP162" s="367" t="s">
        <v>206</v>
      </c>
      <c r="BZQ162" s="367"/>
      <c r="BZR162" s="367"/>
      <c r="BZS162" s="368" t="s">
        <v>168</v>
      </c>
      <c r="BZT162" s="369">
        <v>0.5</v>
      </c>
      <c r="BZU162" s="370" t="e">
        <f>10/BZQ160</f>
        <v>#DIV/0!</v>
      </c>
      <c r="BZV162" s="371">
        <v>15.38</v>
      </c>
      <c r="BZW162" s="371" t="e">
        <f>BZT162*BZU162*BZV162</f>
        <v>#DIV/0!</v>
      </c>
      <c r="BZX162" s="367" t="s">
        <v>206</v>
      </c>
      <c r="BZY162" s="367"/>
      <c r="BZZ162" s="367"/>
      <c r="CAA162" s="368" t="s">
        <v>168</v>
      </c>
      <c r="CAB162" s="369">
        <v>0.5</v>
      </c>
      <c r="CAC162" s="370" t="e">
        <f>10/BZY160</f>
        <v>#DIV/0!</v>
      </c>
      <c r="CAD162" s="371">
        <v>15.38</v>
      </c>
      <c r="CAE162" s="371" t="e">
        <f>CAB162*CAC162*CAD162</f>
        <v>#DIV/0!</v>
      </c>
      <c r="CAF162" s="367" t="s">
        <v>206</v>
      </c>
      <c r="CAG162" s="367"/>
      <c r="CAH162" s="367"/>
      <c r="CAI162" s="368" t="s">
        <v>168</v>
      </c>
      <c r="CAJ162" s="369">
        <v>0.5</v>
      </c>
      <c r="CAK162" s="370" t="e">
        <f>10/CAG160</f>
        <v>#DIV/0!</v>
      </c>
      <c r="CAL162" s="371">
        <v>15.38</v>
      </c>
      <c r="CAM162" s="371" t="e">
        <f>CAJ162*CAK162*CAL162</f>
        <v>#DIV/0!</v>
      </c>
      <c r="CAN162" s="367" t="s">
        <v>206</v>
      </c>
      <c r="CAO162" s="367"/>
      <c r="CAP162" s="367"/>
      <c r="CAQ162" s="368" t="s">
        <v>168</v>
      </c>
      <c r="CAR162" s="369">
        <v>0.5</v>
      </c>
      <c r="CAS162" s="370" t="e">
        <f>10/CAO160</f>
        <v>#DIV/0!</v>
      </c>
      <c r="CAT162" s="371">
        <v>15.38</v>
      </c>
      <c r="CAU162" s="371" t="e">
        <f>CAR162*CAS162*CAT162</f>
        <v>#DIV/0!</v>
      </c>
      <c r="CAV162" s="367" t="s">
        <v>206</v>
      </c>
      <c r="CAW162" s="367"/>
      <c r="CAX162" s="367"/>
      <c r="CAY162" s="368" t="s">
        <v>168</v>
      </c>
      <c r="CAZ162" s="369">
        <v>0.5</v>
      </c>
      <c r="CBA162" s="370" t="e">
        <f>10/CAW160</f>
        <v>#DIV/0!</v>
      </c>
      <c r="CBB162" s="371">
        <v>15.38</v>
      </c>
      <c r="CBC162" s="371" t="e">
        <f>CAZ162*CBA162*CBB162</f>
        <v>#DIV/0!</v>
      </c>
      <c r="CBD162" s="367" t="s">
        <v>206</v>
      </c>
      <c r="CBE162" s="367"/>
      <c r="CBF162" s="367"/>
      <c r="CBG162" s="368" t="s">
        <v>168</v>
      </c>
      <c r="CBH162" s="369">
        <v>0.5</v>
      </c>
      <c r="CBI162" s="370" t="e">
        <f>10/CBE160</f>
        <v>#DIV/0!</v>
      </c>
      <c r="CBJ162" s="371">
        <v>15.38</v>
      </c>
      <c r="CBK162" s="371" t="e">
        <f>CBH162*CBI162*CBJ162</f>
        <v>#DIV/0!</v>
      </c>
      <c r="CBL162" s="367" t="s">
        <v>206</v>
      </c>
      <c r="CBM162" s="367"/>
      <c r="CBN162" s="367"/>
      <c r="CBO162" s="368" t="s">
        <v>168</v>
      </c>
      <c r="CBP162" s="369">
        <v>0.5</v>
      </c>
      <c r="CBQ162" s="370" t="e">
        <f>10/CBM160</f>
        <v>#DIV/0!</v>
      </c>
      <c r="CBR162" s="371">
        <v>15.38</v>
      </c>
      <c r="CBS162" s="371" t="e">
        <f>CBP162*CBQ162*CBR162</f>
        <v>#DIV/0!</v>
      </c>
      <c r="CBT162" s="367" t="s">
        <v>206</v>
      </c>
      <c r="CBU162" s="367"/>
      <c r="CBV162" s="367"/>
      <c r="CBW162" s="368" t="s">
        <v>168</v>
      </c>
      <c r="CBX162" s="369">
        <v>0.5</v>
      </c>
      <c r="CBY162" s="370" t="e">
        <f>10/CBU160</f>
        <v>#DIV/0!</v>
      </c>
      <c r="CBZ162" s="371">
        <v>15.38</v>
      </c>
      <c r="CCA162" s="371" t="e">
        <f>CBX162*CBY162*CBZ162</f>
        <v>#DIV/0!</v>
      </c>
      <c r="CCB162" s="367" t="s">
        <v>206</v>
      </c>
      <c r="CCC162" s="367"/>
      <c r="CCD162" s="367"/>
      <c r="CCE162" s="368" t="s">
        <v>168</v>
      </c>
      <c r="CCF162" s="369">
        <v>0.5</v>
      </c>
      <c r="CCG162" s="370" t="e">
        <f>10/CCC160</f>
        <v>#DIV/0!</v>
      </c>
      <c r="CCH162" s="371">
        <v>15.38</v>
      </c>
      <c r="CCI162" s="371" t="e">
        <f>CCF162*CCG162*CCH162</f>
        <v>#DIV/0!</v>
      </c>
      <c r="CCJ162" s="367" t="s">
        <v>206</v>
      </c>
      <c r="CCK162" s="367"/>
      <c r="CCL162" s="367"/>
      <c r="CCM162" s="368" t="s">
        <v>168</v>
      </c>
      <c r="CCN162" s="369">
        <v>0.5</v>
      </c>
      <c r="CCO162" s="370" t="e">
        <f>10/CCK160</f>
        <v>#DIV/0!</v>
      </c>
      <c r="CCP162" s="371">
        <v>15.38</v>
      </c>
      <c r="CCQ162" s="371" t="e">
        <f>CCN162*CCO162*CCP162</f>
        <v>#DIV/0!</v>
      </c>
      <c r="CCR162" s="367" t="s">
        <v>206</v>
      </c>
      <c r="CCS162" s="367"/>
      <c r="CCT162" s="367"/>
      <c r="CCU162" s="368" t="s">
        <v>168</v>
      </c>
      <c r="CCV162" s="369">
        <v>0.5</v>
      </c>
      <c r="CCW162" s="370" t="e">
        <f>10/CCS160</f>
        <v>#DIV/0!</v>
      </c>
      <c r="CCX162" s="371">
        <v>15.38</v>
      </c>
      <c r="CCY162" s="371" t="e">
        <f>CCV162*CCW162*CCX162</f>
        <v>#DIV/0!</v>
      </c>
      <c r="CCZ162" s="367" t="s">
        <v>206</v>
      </c>
      <c r="CDA162" s="367"/>
      <c r="CDB162" s="367"/>
      <c r="CDC162" s="368" t="s">
        <v>168</v>
      </c>
      <c r="CDD162" s="369">
        <v>0.5</v>
      </c>
      <c r="CDE162" s="370" t="e">
        <f>10/CDA160</f>
        <v>#DIV/0!</v>
      </c>
      <c r="CDF162" s="371">
        <v>15.38</v>
      </c>
      <c r="CDG162" s="371" t="e">
        <f>CDD162*CDE162*CDF162</f>
        <v>#DIV/0!</v>
      </c>
      <c r="CDH162" s="367" t="s">
        <v>206</v>
      </c>
      <c r="CDI162" s="367"/>
      <c r="CDJ162" s="367"/>
      <c r="CDK162" s="368" t="s">
        <v>168</v>
      </c>
      <c r="CDL162" s="369">
        <v>0.5</v>
      </c>
      <c r="CDM162" s="370" t="e">
        <f>10/CDI160</f>
        <v>#DIV/0!</v>
      </c>
      <c r="CDN162" s="371">
        <v>15.38</v>
      </c>
      <c r="CDO162" s="371" t="e">
        <f>CDL162*CDM162*CDN162</f>
        <v>#DIV/0!</v>
      </c>
      <c r="CDP162" s="367" t="s">
        <v>206</v>
      </c>
      <c r="CDQ162" s="367"/>
      <c r="CDR162" s="367"/>
      <c r="CDS162" s="368" t="s">
        <v>168</v>
      </c>
      <c r="CDT162" s="369">
        <v>0.5</v>
      </c>
      <c r="CDU162" s="370" t="e">
        <f>10/CDQ160</f>
        <v>#DIV/0!</v>
      </c>
      <c r="CDV162" s="371">
        <v>15.38</v>
      </c>
      <c r="CDW162" s="371" t="e">
        <f>CDT162*CDU162*CDV162</f>
        <v>#DIV/0!</v>
      </c>
      <c r="CDX162" s="367" t="s">
        <v>206</v>
      </c>
      <c r="CDY162" s="367"/>
      <c r="CDZ162" s="367"/>
      <c r="CEA162" s="368" t="s">
        <v>168</v>
      </c>
      <c r="CEB162" s="369">
        <v>0.5</v>
      </c>
      <c r="CEC162" s="370" t="e">
        <f>10/CDY160</f>
        <v>#DIV/0!</v>
      </c>
      <c r="CED162" s="371">
        <v>15.38</v>
      </c>
      <c r="CEE162" s="371" t="e">
        <f>CEB162*CEC162*CED162</f>
        <v>#DIV/0!</v>
      </c>
      <c r="CEF162" s="367" t="s">
        <v>206</v>
      </c>
      <c r="CEG162" s="367"/>
      <c r="CEH162" s="367"/>
      <c r="CEI162" s="368" t="s">
        <v>168</v>
      </c>
      <c r="CEJ162" s="369">
        <v>0.5</v>
      </c>
      <c r="CEK162" s="370" t="e">
        <f>10/CEG160</f>
        <v>#DIV/0!</v>
      </c>
      <c r="CEL162" s="371">
        <v>15.38</v>
      </c>
      <c r="CEM162" s="371" t="e">
        <f>CEJ162*CEK162*CEL162</f>
        <v>#DIV/0!</v>
      </c>
      <c r="CEN162" s="367" t="s">
        <v>206</v>
      </c>
      <c r="CEO162" s="367"/>
      <c r="CEP162" s="367"/>
      <c r="CEQ162" s="368" t="s">
        <v>168</v>
      </c>
      <c r="CER162" s="369">
        <v>0.5</v>
      </c>
      <c r="CES162" s="370" t="e">
        <f>10/CEO160</f>
        <v>#DIV/0!</v>
      </c>
      <c r="CET162" s="371">
        <v>15.38</v>
      </c>
      <c r="CEU162" s="371" t="e">
        <f>CER162*CES162*CET162</f>
        <v>#DIV/0!</v>
      </c>
      <c r="CEV162" s="367" t="s">
        <v>206</v>
      </c>
      <c r="CEW162" s="367"/>
      <c r="CEX162" s="367"/>
      <c r="CEY162" s="368" t="s">
        <v>168</v>
      </c>
      <c r="CEZ162" s="369">
        <v>0.5</v>
      </c>
      <c r="CFA162" s="370" t="e">
        <f>10/CEW160</f>
        <v>#DIV/0!</v>
      </c>
      <c r="CFB162" s="371">
        <v>15.38</v>
      </c>
      <c r="CFC162" s="371" t="e">
        <f>CEZ162*CFA162*CFB162</f>
        <v>#DIV/0!</v>
      </c>
      <c r="CFD162" s="367" t="s">
        <v>206</v>
      </c>
      <c r="CFE162" s="367"/>
      <c r="CFF162" s="367"/>
      <c r="CFG162" s="368" t="s">
        <v>168</v>
      </c>
      <c r="CFH162" s="369">
        <v>0.5</v>
      </c>
      <c r="CFI162" s="370" t="e">
        <f>10/CFE160</f>
        <v>#DIV/0!</v>
      </c>
      <c r="CFJ162" s="371">
        <v>15.38</v>
      </c>
      <c r="CFK162" s="371" t="e">
        <f>CFH162*CFI162*CFJ162</f>
        <v>#DIV/0!</v>
      </c>
      <c r="CFL162" s="367" t="s">
        <v>206</v>
      </c>
      <c r="CFM162" s="367"/>
      <c r="CFN162" s="367"/>
      <c r="CFO162" s="368" t="s">
        <v>168</v>
      </c>
      <c r="CFP162" s="369">
        <v>0.5</v>
      </c>
      <c r="CFQ162" s="370" t="e">
        <f>10/CFM160</f>
        <v>#DIV/0!</v>
      </c>
      <c r="CFR162" s="371">
        <v>15.38</v>
      </c>
      <c r="CFS162" s="371" t="e">
        <f>CFP162*CFQ162*CFR162</f>
        <v>#DIV/0!</v>
      </c>
      <c r="CFT162" s="367" t="s">
        <v>206</v>
      </c>
      <c r="CFU162" s="367"/>
      <c r="CFV162" s="367"/>
      <c r="CFW162" s="368" t="s">
        <v>168</v>
      </c>
      <c r="CFX162" s="369">
        <v>0.5</v>
      </c>
      <c r="CFY162" s="370" t="e">
        <f>10/CFU160</f>
        <v>#DIV/0!</v>
      </c>
      <c r="CFZ162" s="371">
        <v>15.38</v>
      </c>
      <c r="CGA162" s="371" t="e">
        <f>CFX162*CFY162*CFZ162</f>
        <v>#DIV/0!</v>
      </c>
      <c r="CGB162" s="367" t="s">
        <v>206</v>
      </c>
      <c r="CGC162" s="367"/>
      <c r="CGD162" s="367"/>
      <c r="CGE162" s="368" t="s">
        <v>168</v>
      </c>
      <c r="CGF162" s="369">
        <v>0.5</v>
      </c>
      <c r="CGG162" s="370" t="e">
        <f>10/CGC160</f>
        <v>#DIV/0!</v>
      </c>
      <c r="CGH162" s="371">
        <v>15.38</v>
      </c>
      <c r="CGI162" s="371" t="e">
        <f>CGF162*CGG162*CGH162</f>
        <v>#DIV/0!</v>
      </c>
      <c r="CGJ162" s="367" t="s">
        <v>206</v>
      </c>
      <c r="CGK162" s="367"/>
      <c r="CGL162" s="367"/>
      <c r="CGM162" s="368" t="s">
        <v>168</v>
      </c>
      <c r="CGN162" s="369">
        <v>0.5</v>
      </c>
      <c r="CGO162" s="370" t="e">
        <f>10/CGK160</f>
        <v>#DIV/0!</v>
      </c>
      <c r="CGP162" s="371">
        <v>15.38</v>
      </c>
      <c r="CGQ162" s="371" t="e">
        <f>CGN162*CGO162*CGP162</f>
        <v>#DIV/0!</v>
      </c>
      <c r="CGR162" s="367" t="s">
        <v>206</v>
      </c>
      <c r="CGS162" s="367"/>
      <c r="CGT162" s="367"/>
      <c r="CGU162" s="368" t="s">
        <v>168</v>
      </c>
      <c r="CGV162" s="369">
        <v>0.5</v>
      </c>
      <c r="CGW162" s="370" t="e">
        <f>10/CGS160</f>
        <v>#DIV/0!</v>
      </c>
      <c r="CGX162" s="371">
        <v>15.38</v>
      </c>
      <c r="CGY162" s="371" t="e">
        <f>CGV162*CGW162*CGX162</f>
        <v>#DIV/0!</v>
      </c>
      <c r="CGZ162" s="367" t="s">
        <v>206</v>
      </c>
      <c r="CHA162" s="367"/>
      <c r="CHB162" s="367"/>
      <c r="CHC162" s="368" t="s">
        <v>168</v>
      </c>
      <c r="CHD162" s="369">
        <v>0.5</v>
      </c>
      <c r="CHE162" s="370" t="e">
        <f>10/CHA160</f>
        <v>#DIV/0!</v>
      </c>
      <c r="CHF162" s="371">
        <v>15.38</v>
      </c>
      <c r="CHG162" s="371" t="e">
        <f>CHD162*CHE162*CHF162</f>
        <v>#DIV/0!</v>
      </c>
      <c r="CHH162" s="367" t="s">
        <v>206</v>
      </c>
      <c r="CHI162" s="367"/>
      <c r="CHJ162" s="367"/>
      <c r="CHK162" s="368" t="s">
        <v>168</v>
      </c>
      <c r="CHL162" s="369">
        <v>0.5</v>
      </c>
      <c r="CHM162" s="370" t="e">
        <f>10/CHI160</f>
        <v>#DIV/0!</v>
      </c>
      <c r="CHN162" s="371">
        <v>15.38</v>
      </c>
      <c r="CHO162" s="371" t="e">
        <f>CHL162*CHM162*CHN162</f>
        <v>#DIV/0!</v>
      </c>
      <c r="CHP162" s="367" t="s">
        <v>206</v>
      </c>
      <c r="CHQ162" s="367"/>
      <c r="CHR162" s="367"/>
      <c r="CHS162" s="368" t="s">
        <v>168</v>
      </c>
      <c r="CHT162" s="369">
        <v>0.5</v>
      </c>
      <c r="CHU162" s="370" t="e">
        <f>10/CHQ160</f>
        <v>#DIV/0!</v>
      </c>
      <c r="CHV162" s="371">
        <v>15.38</v>
      </c>
      <c r="CHW162" s="371" t="e">
        <f>CHT162*CHU162*CHV162</f>
        <v>#DIV/0!</v>
      </c>
      <c r="CHX162" s="367" t="s">
        <v>206</v>
      </c>
      <c r="CHY162" s="367"/>
      <c r="CHZ162" s="367"/>
      <c r="CIA162" s="368" t="s">
        <v>168</v>
      </c>
      <c r="CIB162" s="369">
        <v>0.5</v>
      </c>
      <c r="CIC162" s="370" t="e">
        <f>10/CHY160</f>
        <v>#DIV/0!</v>
      </c>
      <c r="CID162" s="371">
        <v>15.38</v>
      </c>
      <c r="CIE162" s="371" t="e">
        <f>CIB162*CIC162*CID162</f>
        <v>#DIV/0!</v>
      </c>
      <c r="CIF162" s="367" t="s">
        <v>206</v>
      </c>
      <c r="CIG162" s="367"/>
      <c r="CIH162" s="367"/>
      <c r="CII162" s="368" t="s">
        <v>168</v>
      </c>
      <c r="CIJ162" s="369">
        <v>0.5</v>
      </c>
      <c r="CIK162" s="370" t="e">
        <f>10/CIG160</f>
        <v>#DIV/0!</v>
      </c>
      <c r="CIL162" s="371">
        <v>15.38</v>
      </c>
      <c r="CIM162" s="371" t="e">
        <f>CIJ162*CIK162*CIL162</f>
        <v>#DIV/0!</v>
      </c>
      <c r="CIN162" s="367" t="s">
        <v>206</v>
      </c>
      <c r="CIO162" s="367"/>
      <c r="CIP162" s="367"/>
      <c r="CIQ162" s="368" t="s">
        <v>168</v>
      </c>
      <c r="CIR162" s="369">
        <v>0.5</v>
      </c>
      <c r="CIS162" s="370" t="e">
        <f>10/CIO160</f>
        <v>#DIV/0!</v>
      </c>
      <c r="CIT162" s="371">
        <v>15.38</v>
      </c>
      <c r="CIU162" s="371" t="e">
        <f>CIR162*CIS162*CIT162</f>
        <v>#DIV/0!</v>
      </c>
      <c r="CIV162" s="367" t="s">
        <v>206</v>
      </c>
      <c r="CIW162" s="367"/>
      <c r="CIX162" s="367"/>
      <c r="CIY162" s="368" t="s">
        <v>168</v>
      </c>
      <c r="CIZ162" s="369">
        <v>0.5</v>
      </c>
      <c r="CJA162" s="370" t="e">
        <f>10/CIW160</f>
        <v>#DIV/0!</v>
      </c>
      <c r="CJB162" s="371">
        <v>15.38</v>
      </c>
      <c r="CJC162" s="371" t="e">
        <f>CIZ162*CJA162*CJB162</f>
        <v>#DIV/0!</v>
      </c>
      <c r="CJD162" s="367" t="s">
        <v>206</v>
      </c>
      <c r="CJE162" s="367"/>
      <c r="CJF162" s="367"/>
      <c r="CJG162" s="368" t="s">
        <v>168</v>
      </c>
      <c r="CJH162" s="369">
        <v>0.5</v>
      </c>
      <c r="CJI162" s="370" t="e">
        <f>10/CJE160</f>
        <v>#DIV/0!</v>
      </c>
      <c r="CJJ162" s="371">
        <v>15.38</v>
      </c>
      <c r="CJK162" s="371" t="e">
        <f>CJH162*CJI162*CJJ162</f>
        <v>#DIV/0!</v>
      </c>
      <c r="CJL162" s="367" t="s">
        <v>206</v>
      </c>
      <c r="CJM162" s="367"/>
      <c r="CJN162" s="367"/>
      <c r="CJO162" s="368" t="s">
        <v>168</v>
      </c>
      <c r="CJP162" s="369">
        <v>0.5</v>
      </c>
      <c r="CJQ162" s="370" t="e">
        <f>10/CJM160</f>
        <v>#DIV/0!</v>
      </c>
      <c r="CJR162" s="371">
        <v>15.38</v>
      </c>
      <c r="CJS162" s="371" t="e">
        <f>CJP162*CJQ162*CJR162</f>
        <v>#DIV/0!</v>
      </c>
      <c r="CJT162" s="367" t="s">
        <v>206</v>
      </c>
      <c r="CJU162" s="367"/>
      <c r="CJV162" s="367"/>
      <c r="CJW162" s="368" t="s">
        <v>168</v>
      </c>
      <c r="CJX162" s="369">
        <v>0.5</v>
      </c>
      <c r="CJY162" s="370" t="e">
        <f>10/CJU160</f>
        <v>#DIV/0!</v>
      </c>
      <c r="CJZ162" s="371">
        <v>15.38</v>
      </c>
      <c r="CKA162" s="371" t="e">
        <f>CJX162*CJY162*CJZ162</f>
        <v>#DIV/0!</v>
      </c>
      <c r="CKB162" s="367" t="s">
        <v>206</v>
      </c>
      <c r="CKC162" s="367"/>
      <c r="CKD162" s="367"/>
      <c r="CKE162" s="368" t="s">
        <v>168</v>
      </c>
      <c r="CKF162" s="369">
        <v>0.5</v>
      </c>
      <c r="CKG162" s="370" t="e">
        <f>10/CKC160</f>
        <v>#DIV/0!</v>
      </c>
      <c r="CKH162" s="371">
        <v>15.38</v>
      </c>
      <c r="CKI162" s="371" t="e">
        <f>CKF162*CKG162*CKH162</f>
        <v>#DIV/0!</v>
      </c>
      <c r="CKJ162" s="367" t="s">
        <v>206</v>
      </c>
      <c r="CKK162" s="367"/>
      <c r="CKL162" s="367"/>
      <c r="CKM162" s="368" t="s">
        <v>168</v>
      </c>
      <c r="CKN162" s="369">
        <v>0.5</v>
      </c>
      <c r="CKO162" s="370" t="e">
        <f>10/CKK160</f>
        <v>#DIV/0!</v>
      </c>
      <c r="CKP162" s="371">
        <v>15.38</v>
      </c>
      <c r="CKQ162" s="371" t="e">
        <f>CKN162*CKO162*CKP162</f>
        <v>#DIV/0!</v>
      </c>
      <c r="CKR162" s="367" t="s">
        <v>206</v>
      </c>
      <c r="CKS162" s="367"/>
      <c r="CKT162" s="367"/>
      <c r="CKU162" s="368" t="s">
        <v>168</v>
      </c>
      <c r="CKV162" s="369">
        <v>0.5</v>
      </c>
      <c r="CKW162" s="370" t="e">
        <f>10/CKS160</f>
        <v>#DIV/0!</v>
      </c>
      <c r="CKX162" s="371">
        <v>15.38</v>
      </c>
      <c r="CKY162" s="371" t="e">
        <f>CKV162*CKW162*CKX162</f>
        <v>#DIV/0!</v>
      </c>
      <c r="CKZ162" s="367" t="s">
        <v>206</v>
      </c>
      <c r="CLA162" s="367"/>
      <c r="CLB162" s="367"/>
      <c r="CLC162" s="368" t="s">
        <v>168</v>
      </c>
      <c r="CLD162" s="369">
        <v>0.5</v>
      </c>
      <c r="CLE162" s="370" t="e">
        <f>10/CLA160</f>
        <v>#DIV/0!</v>
      </c>
      <c r="CLF162" s="371">
        <v>15.38</v>
      </c>
      <c r="CLG162" s="371" t="e">
        <f>CLD162*CLE162*CLF162</f>
        <v>#DIV/0!</v>
      </c>
      <c r="CLH162" s="367" t="s">
        <v>206</v>
      </c>
      <c r="CLI162" s="367"/>
      <c r="CLJ162" s="367"/>
      <c r="CLK162" s="368" t="s">
        <v>168</v>
      </c>
      <c r="CLL162" s="369">
        <v>0.5</v>
      </c>
      <c r="CLM162" s="370" t="e">
        <f>10/CLI160</f>
        <v>#DIV/0!</v>
      </c>
      <c r="CLN162" s="371">
        <v>15.38</v>
      </c>
      <c r="CLO162" s="371" t="e">
        <f>CLL162*CLM162*CLN162</f>
        <v>#DIV/0!</v>
      </c>
      <c r="CLP162" s="367" t="s">
        <v>206</v>
      </c>
      <c r="CLQ162" s="367"/>
      <c r="CLR162" s="367"/>
      <c r="CLS162" s="368" t="s">
        <v>168</v>
      </c>
      <c r="CLT162" s="369">
        <v>0.5</v>
      </c>
      <c r="CLU162" s="370" t="e">
        <f>10/CLQ160</f>
        <v>#DIV/0!</v>
      </c>
      <c r="CLV162" s="371">
        <v>15.38</v>
      </c>
      <c r="CLW162" s="371" t="e">
        <f>CLT162*CLU162*CLV162</f>
        <v>#DIV/0!</v>
      </c>
      <c r="CLX162" s="367" t="s">
        <v>206</v>
      </c>
      <c r="CLY162" s="367"/>
      <c r="CLZ162" s="367"/>
      <c r="CMA162" s="368" t="s">
        <v>168</v>
      </c>
      <c r="CMB162" s="369">
        <v>0.5</v>
      </c>
      <c r="CMC162" s="370" t="e">
        <f>10/CLY160</f>
        <v>#DIV/0!</v>
      </c>
      <c r="CMD162" s="371">
        <v>15.38</v>
      </c>
      <c r="CME162" s="371" t="e">
        <f>CMB162*CMC162*CMD162</f>
        <v>#DIV/0!</v>
      </c>
      <c r="CMF162" s="367" t="s">
        <v>206</v>
      </c>
      <c r="CMG162" s="367"/>
      <c r="CMH162" s="367"/>
      <c r="CMI162" s="368" t="s">
        <v>168</v>
      </c>
      <c r="CMJ162" s="369">
        <v>0.5</v>
      </c>
      <c r="CMK162" s="370" t="e">
        <f>10/CMG160</f>
        <v>#DIV/0!</v>
      </c>
      <c r="CML162" s="371">
        <v>15.38</v>
      </c>
      <c r="CMM162" s="371" t="e">
        <f>CMJ162*CMK162*CML162</f>
        <v>#DIV/0!</v>
      </c>
      <c r="CMN162" s="367" t="s">
        <v>206</v>
      </c>
      <c r="CMO162" s="367"/>
      <c r="CMP162" s="367"/>
      <c r="CMQ162" s="368" t="s">
        <v>168</v>
      </c>
      <c r="CMR162" s="369">
        <v>0.5</v>
      </c>
      <c r="CMS162" s="370" t="e">
        <f>10/CMO160</f>
        <v>#DIV/0!</v>
      </c>
      <c r="CMT162" s="371">
        <v>15.38</v>
      </c>
      <c r="CMU162" s="371" t="e">
        <f>CMR162*CMS162*CMT162</f>
        <v>#DIV/0!</v>
      </c>
      <c r="CMV162" s="367" t="s">
        <v>206</v>
      </c>
      <c r="CMW162" s="367"/>
      <c r="CMX162" s="367"/>
      <c r="CMY162" s="368" t="s">
        <v>168</v>
      </c>
      <c r="CMZ162" s="369">
        <v>0.5</v>
      </c>
      <c r="CNA162" s="370" t="e">
        <f>10/CMW160</f>
        <v>#DIV/0!</v>
      </c>
      <c r="CNB162" s="371">
        <v>15.38</v>
      </c>
      <c r="CNC162" s="371" t="e">
        <f>CMZ162*CNA162*CNB162</f>
        <v>#DIV/0!</v>
      </c>
      <c r="CND162" s="367" t="s">
        <v>206</v>
      </c>
      <c r="CNE162" s="367"/>
      <c r="CNF162" s="367"/>
      <c r="CNG162" s="368" t="s">
        <v>168</v>
      </c>
      <c r="CNH162" s="369">
        <v>0.5</v>
      </c>
      <c r="CNI162" s="370" t="e">
        <f>10/CNE160</f>
        <v>#DIV/0!</v>
      </c>
      <c r="CNJ162" s="371">
        <v>15.38</v>
      </c>
      <c r="CNK162" s="371" t="e">
        <f>CNH162*CNI162*CNJ162</f>
        <v>#DIV/0!</v>
      </c>
      <c r="CNL162" s="367" t="s">
        <v>206</v>
      </c>
      <c r="CNM162" s="367"/>
      <c r="CNN162" s="367"/>
      <c r="CNO162" s="368" t="s">
        <v>168</v>
      </c>
      <c r="CNP162" s="369">
        <v>0.5</v>
      </c>
      <c r="CNQ162" s="370" t="e">
        <f>10/CNM160</f>
        <v>#DIV/0!</v>
      </c>
      <c r="CNR162" s="371">
        <v>15.38</v>
      </c>
      <c r="CNS162" s="371" t="e">
        <f>CNP162*CNQ162*CNR162</f>
        <v>#DIV/0!</v>
      </c>
      <c r="CNT162" s="367" t="s">
        <v>206</v>
      </c>
      <c r="CNU162" s="367"/>
      <c r="CNV162" s="367"/>
      <c r="CNW162" s="368" t="s">
        <v>168</v>
      </c>
      <c r="CNX162" s="369">
        <v>0.5</v>
      </c>
      <c r="CNY162" s="370" t="e">
        <f>10/CNU160</f>
        <v>#DIV/0!</v>
      </c>
      <c r="CNZ162" s="371">
        <v>15.38</v>
      </c>
      <c r="COA162" s="371" t="e">
        <f>CNX162*CNY162*CNZ162</f>
        <v>#DIV/0!</v>
      </c>
      <c r="COB162" s="367" t="s">
        <v>206</v>
      </c>
      <c r="COC162" s="367"/>
      <c r="COD162" s="367"/>
      <c r="COE162" s="368" t="s">
        <v>168</v>
      </c>
      <c r="COF162" s="369">
        <v>0.5</v>
      </c>
      <c r="COG162" s="370" t="e">
        <f>10/COC160</f>
        <v>#DIV/0!</v>
      </c>
      <c r="COH162" s="371">
        <v>15.38</v>
      </c>
      <c r="COI162" s="371" t="e">
        <f>COF162*COG162*COH162</f>
        <v>#DIV/0!</v>
      </c>
      <c r="COJ162" s="367" t="s">
        <v>206</v>
      </c>
      <c r="COK162" s="367"/>
      <c r="COL162" s="367"/>
      <c r="COM162" s="368" t="s">
        <v>168</v>
      </c>
      <c r="CON162" s="369">
        <v>0.5</v>
      </c>
      <c r="COO162" s="370" t="e">
        <f>10/COK160</f>
        <v>#DIV/0!</v>
      </c>
      <c r="COP162" s="371">
        <v>15.38</v>
      </c>
      <c r="COQ162" s="371" t="e">
        <f>CON162*COO162*COP162</f>
        <v>#DIV/0!</v>
      </c>
      <c r="COR162" s="367" t="s">
        <v>206</v>
      </c>
      <c r="COS162" s="367"/>
      <c r="COT162" s="367"/>
      <c r="COU162" s="368" t="s">
        <v>168</v>
      </c>
      <c r="COV162" s="369">
        <v>0.5</v>
      </c>
      <c r="COW162" s="370" t="e">
        <f>10/COS160</f>
        <v>#DIV/0!</v>
      </c>
      <c r="COX162" s="371">
        <v>15.38</v>
      </c>
      <c r="COY162" s="371" t="e">
        <f>COV162*COW162*COX162</f>
        <v>#DIV/0!</v>
      </c>
      <c r="COZ162" s="367" t="s">
        <v>206</v>
      </c>
      <c r="CPA162" s="367"/>
      <c r="CPB162" s="367"/>
      <c r="CPC162" s="368" t="s">
        <v>168</v>
      </c>
      <c r="CPD162" s="369">
        <v>0.5</v>
      </c>
      <c r="CPE162" s="370" t="e">
        <f>10/CPA160</f>
        <v>#DIV/0!</v>
      </c>
      <c r="CPF162" s="371">
        <v>15.38</v>
      </c>
      <c r="CPG162" s="371" t="e">
        <f>CPD162*CPE162*CPF162</f>
        <v>#DIV/0!</v>
      </c>
      <c r="CPH162" s="367" t="s">
        <v>206</v>
      </c>
      <c r="CPI162" s="367"/>
      <c r="CPJ162" s="367"/>
      <c r="CPK162" s="368" t="s">
        <v>168</v>
      </c>
      <c r="CPL162" s="369">
        <v>0.5</v>
      </c>
      <c r="CPM162" s="370" t="e">
        <f>10/CPI160</f>
        <v>#DIV/0!</v>
      </c>
      <c r="CPN162" s="371">
        <v>15.38</v>
      </c>
      <c r="CPO162" s="371" t="e">
        <f>CPL162*CPM162*CPN162</f>
        <v>#DIV/0!</v>
      </c>
      <c r="CPP162" s="367" t="s">
        <v>206</v>
      </c>
      <c r="CPQ162" s="367"/>
      <c r="CPR162" s="367"/>
      <c r="CPS162" s="368" t="s">
        <v>168</v>
      </c>
      <c r="CPT162" s="369">
        <v>0.5</v>
      </c>
      <c r="CPU162" s="370" t="e">
        <f>10/CPQ160</f>
        <v>#DIV/0!</v>
      </c>
      <c r="CPV162" s="371">
        <v>15.38</v>
      </c>
      <c r="CPW162" s="371" t="e">
        <f>CPT162*CPU162*CPV162</f>
        <v>#DIV/0!</v>
      </c>
      <c r="CPX162" s="367" t="s">
        <v>206</v>
      </c>
      <c r="CPY162" s="367"/>
      <c r="CPZ162" s="367"/>
      <c r="CQA162" s="368" t="s">
        <v>168</v>
      </c>
      <c r="CQB162" s="369">
        <v>0.5</v>
      </c>
      <c r="CQC162" s="370" t="e">
        <f>10/CPY160</f>
        <v>#DIV/0!</v>
      </c>
      <c r="CQD162" s="371">
        <v>15.38</v>
      </c>
      <c r="CQE162" s="371" t="e">
        <f>CQB162*CQC162*CQD162</f>
        <v>#DIV/0!</v>
      </c>
      <c r="CQF162" s="367" t="s">
        <v>206</v>
      </c>
      <c r="CQG162" s="367"/>
      <c r="CQH162" s="367"/>
      <c r="CQI162" s="368" t="s">
        <v>168</v>
      </c>
      <c r="CQJ162" s="369">
        <v>0.5</v>
      </c>
      <c r="CQK162" s="370" t="e">
        <f>10/CQG160</f>
        <v>#DIV/0!</v>
      </c>
      <c r="CQL162" s="371">
        <v>15.38</v>
      </c>
      <c r="CQM162" s="371" t="e">
        <f>CQJ162*CQK162*CQL162</f>
        <v>#DIV/0!</v>
      </c>
      <c r="CQN162" s="367" t="s">
        <v>206</v>
      </c>
      <c r="CQO162" s="367"/>
      <c r="CQP162" s="367"/>
      <c r="CQQ162" s="368" t="s">
        <v>168</v>
      </c>
      <c r="CQR162" s="369">
        <v>0.5</v>
      </c>
      <c r="CQS162" s="370" t="e">
        <f>10/CQO160</f>
        <v>#DIV/0!</v>
      </c>
      <c r="CQT162" s="371">
        <v>15.38</v>
      </c>
      <c r="CQU162" s="371" t="e">
        <f>CQR162*CQS162*CQT162</f>
        <v>#DIV/0!</v>
      </c>
      <c r="CQV162" s="367" t="s">
        <v>206</v>
      </c>
      <c r="CQW162" s="367"/>
      <c r="CQX162" s="367"/>
      <c r="CQY162" s="368" t="s">
        <v>168</v>
      </c>
      <c r="CQZ162" s="369">
        <v>0.5</v>
      </c>
      <c r="CRA162" s="370" t="e">
        <f>10/CQW160</f>
        <v>#DIV/0!</v>
      </c>
      <c r="CRB162" s="371">
        <v>15.38</v>
      </c>
      <c r="CRC162" s="371" t="e">
        <f>CQZ162*CRA162*CRB162</f>
        <v>#DIV/0!</v>
      </c>
      <c r="CRD162" s="367" t="s">
        <v>206</v>
      </c>
      <c r="CRE162" s="367"/>
      <c r="CRF162" s="367"/>
      <c r="CRG162" s="368" t="s">
        <v>168</v>
      </c>
      <c r="CRH162" s="369">
        <v>0.5</v>
      </c>
      <c r="CRI162" s="370" t="e">
        <f>10/CRE160</f>
        <v>#DIV/0!</v>
      </c>
      <c r="CRJ162" s="371">
        <v>15.38</v>
      </c>
      <c r="CRK162" s="371" t="e">
        <f>CRH162*CRI162*CRJ162</f>
        <v>#DIV/0!</v>
      </c>
      <c r="CRL162" s="367" t="s">
        <v>206</v>
      </c>
      <c r="CRM162" s="367"/>
      <c r="CRN162" s="367"/>
      <c r="CRO162" s="368" t="s">
        <v>168</v>
      </c>
      <c r="CRP162" s="369">
        <v>0.5</v>
      </c>
      <c r="CRQ162" s="370" t="e">
        <f>10/CRM160</f>
        <v>#DIV/0!</v>
      </c>
      <c r="CRR162" s="371">
        <v>15.38</v>
      </c>
      <c r="CRS162" s="371" t="e">
        <f>CRP162*CRQ162*CRR162</f>
        <v>#DIV/0!</v>
      </c>
      <c r="CRT162" s="367" t="s">
        <v>206</v>
      </c>
      <c r="CRU162" s="367"/>
      <c r="CRV162" s="367"/>
      <c r="CRW162" s="368" t="s">
        <v>168</v>
      </c>
      <c r="CRX162" s="369">
        <v>0.5</v>
      </c>
      <c r="CRY162" s="370" t="e">
        <f>10/CRU160</f>
        <v>#DIV/0!</v>
      </c>
      <c r="CRZ162" s="371">
        <v>15.38</v>
      </c>
      <c r="CSA162" s="371" t="e">
        <f>CRX162*CRY162*CRZ162</f>
        <v>#DIV/0!</v>
      </c>
      <c r="CSB162" s="367" t="s">
        <v>206</v>
      </c>
      <c r="CSC162" s="367"/>
      <c r="CSD162" s="367"/>
      <c r="CSE162" s="368" t="s">
        <v>168</v>
      </c>
      <c r="CSF162" s="369">
        <v>0.5</v>
      </c>
      <c r="CSG162" s="370" t="e">
        <f>10/CSC160</f>
        <v>#DIV/0!</v>
      </c>
      <c r="CSH162" s="371">
        <v>15.38</v>
      </c>
      <c r="CSI162" s="371" t="e">
        <f>CSF162*CSG162*CSH162</f>
        <v>#DIV/0!</v>
      </c>
      <c r="CSJ162" s="367" t="s">
        <v>206</v>
      </c>
      <c r="CSK162" s="367"/>
      <c r="CSL162" s="367"/>
      <c r="CSM162" s="368" t="s">
        <v>168</v>
      </c>
      <c r="CSN162" s="369">
        <v>0.5</v>
      </c>
      <c r="CSO162" s="370" t="e">
        <f>10/CSK160</f>
        <v>#DIV/0!</v>
      </c>
      <c r="CSP162" s="371">
        <v>15.38</v>
      </c>
      <c r="CSQ162" s="371" t="e">
        <f>CSN162*CSO162*CSP162</f>
        <v>#DIV/0!</v>
      </c>
      <c r="CSR162" s="367" t="s">
        <v>206</v>
      </c>
      <c r="CSS162" s="367"/>
      <c r="CST162" s="367"/>
      <c r="CSU162" s="368" t="s">
        <v>168</v>
      </c>
      <c r="CSV162" s="369">
        <v>0.5</v>
      </c>
      <c r="CSW162" s="370" t="e">
        <f>10/CSS160</f>
        <v>#DIV/0!</v>
      </c>
      <c r="CSX162" s="371">
        <v>15.38</v>
      </c>
      <c r="CSY162" s="371" t="e">
        <f>CSV162*CSW162*CSX162</f>
        <v>#DIV/0!</v>
      </c>
      <c r="CSZ162" s="367" t="s">
        <v>206</v>
      </c>
      <c r="CTA162" s="367"/>
      <c r="CTB162" s="367"/>
      <c r="CTC162" s="368" t="s">
        <v>168</v>
      </c>
      <c r="CTD162" s="369">
        <v>0.5</v>
      </c>
      <c r="CTE162" s="370" t="e">
        <f>10/CTA160</f>
        <v>#DIV/0!</v>
      </c>
      <c r="CTF162" s="371">
        <v>15.38</v>
      </c>
      <c r="CTG162" s="371" t="e">
        <f>CTD162*CTE162*CTF162</f>
        <v>#DIV/0!</v>
      </c>
      <c r="CTH162" s="367" t="s">
        <v>206</v>
      </c>
      <c r="CTI162" s="367"/>
      <c r="CTJ162" s="367"/>
      <c r="CTK162" s="368" t="s">
        <v>168</v>
      </c>
      <c r="CTL162" s="369">
        <v>0.5</v>
      </c>
      <c r="CTM162" s="370" t="e">
        <f>10/CTI160</f>
        <v>#DIV/0!</v>
      </c>
      <c r="CTN162" s="371">
        <v>15.38</v>
      </c>
      <c r="CTO162" s="371" t="e">
        <f>CTL162*CTM162*CTN162</f>
        <v>#DIV/0!</v>
      </c>
      <c r="CTP162" s="367" t="s">
        <v>206</v>
      </c>
      <c r="CTQ162" s="367"/>
      <c r="CTR162" s="367"/>
      <c r="CTS162" s="368" t="s">
        <v>168</v>
      </c>
      <c r="CTT162" s="369">
        <v>0.5</v>
      </c>
      <c r="CTU162" s="370" t="e">
        <f>10/CTQ160</f>
        <v>#DIV/0!</v>
      </c>
      <c r="CTV162" s="371">
        <v>15.38</v>
      </c>
      <c r="CTW162" s="371" t="e">
        <f>CTT162*CTU162*CTV162</f>
        <v>#DIV/0!</v>
      </c>
      <c r="CTX162" s="367" t="s">
        <v>206</v>
      </c>
      <c r="CTY162" s="367"/>
      <c r="CTZ162" s="367"/>
      <c r="CUA162" s="368" t="s">
        <v>168</v>
      </c>
      <c r="CUB162" s="369">
        <v>0.5</v>
      </c>
      <c r="CUC162" s="370" t="e">
        <f>10/CTY160</f>
        <v>#DIV/0!</v>
      </c>
      <c r="CUD162" s="371">
        <v>15.38</v>
      </c>
      <c r="CUE162" s="371" t="e">
        <f>CUB162*CUC162*CUD162</f>
        <v>#DIV/0!</v>
      </c>
      <c r="CUF162" s="367" t="s">
        <v>206</v>
      </c>
      <c r="CUG162" s="367"/>
      <c r="CUH162" s="367"/>
      <c r="CUI162" s="368" t="s">
        <v>168</v>
      </c>
      <c r="CUJ162" s="369">
        <v>0.5</v>
      </c>
      <c r="CUK162" s="370" t="e">
        <f>10/CUG160</f>
        <v>#DIV/0!</v>
      </c>
      <c r="CUL162" s="371">
        <v>15.38</v>
      </c>
      <c r="CUM162" s="371" t="e">
        <f>CUJ162*CUK162*CUL162</f>
        <v>#DIV/0!</v>
      </c>
      <c r="CUN162" s="367" t="s">
        <v>206</v>
      </c>
      <c r="CUO162" s="367"/>
      <c r="CUP162" s="367"/>
      <c r="CUQ162" s="368" t="s">
        <v>168</v>
      </c>
      <c r="CUR162" s="369">
        <v>0.5</v>
      </c>
      <c r="CUS162" s="370" t="e">
        <f>10/CUO160</f>
        <v>#DIV/0!</v>
      </c>
      <c r="CUT162" s="371">
        <v>15.38</v>
      </c>
      <c r="CUU162" s="371" t="e">
        <f>CUR162*CUS162*CUT162</f>
        <v>#DIV/0!</v>
      </c>
      <c r="CUV162" s="367" t="s">
        <v>206</v>
      </c>
      <c r="CUW162" s="367"/>
      <c r="CUX162" s="367"/>
      <c r="CUY162" s="368" t="s">
        <v>168</v>
      </c>
      <c r="CUZ162" s="369">
        <v>0.5</v>
      </c>
      <c r="CVA162" s="370" t="e">
        <f>10/CUW160</f>
        <v>#DIV/0!</v>
      </c>
      <c r="CVB162" s="371">
        <v>15.38</v>
      </c>
      <c r="CVC162" s="371" t="e">
        <f>CUZ162*CVA162*CVB162</f>
        <v>#DIV/0!</v>
      </c>
      <c r="CVD162" s="367" t="s">
        <v>206</v>
      </c>
      <c r="CVE162" s="367"/>
      <c r="CVF162" s="367"/>
      <c r="CVG162" s="368" t="s">
        <v>168</v>
      </c>
      <c r="CVH162" s="369">
        <v>0.5</v>
      </c>
      <c r="CVI162" s="370" t="e">
        <f>10/CVE160</f>
        <v>#DIV/0!</v>
      </c>
      <c r="CVJ162" s="371">
        <v>15.38</v>
      </c>
      <c r="CVK162" s="371" t="e">
        <f>CVH162*CVI162*CVJ162</f>
        <v>#DIV/0!</v>
      </c>
      <c r="CVL162" s="367" t="s">
        <v>206</v>
      </c>
      <c r="CVM162" s="367"/>
      <c r="CVN162" s="367"/>
      <c r="CVO162" s="368" t="s">
        <v>168</v>
      </c>
      <c r="CVP162" s="369">
        <v>0.5</v>
      </c>
      <c r="CVQ162" s="370" t="e">
        <f>10/CVM160</f>
        <v>#DIV/0!</v>
      </c>
      <c r="CVR162" s="371">
        <v>15.38</v>
      </c>
      <c r="CVS162" s="371" t="e">
        <f>CVP162*CVQ162*CVR162</f>
        <v>#DIV/0!</v>
      </c>
      <c r="CVT162" s="367" t="s">
        <v>206</v>
      </c>
      <c r="CVU162" s="367"/>
      <c r="CVV162" s="367"/>
      <c r="CVW162" s="368" t="s">
        <v>168</v>
      </c>
      <c r="CVX162" s="369">
        <v>0.5</v>
      </c>
      <c r="CVY162" s="370" t="e">
        <f>10/CVU160</f>
        <v>#DIV/0!</v>
      </c>
      <c r="CVZ162" s="371">
        <v>15.38</v>
      </c>
      <c r="CWA162" s="371" t="e">
        <f>CVX162*CVY162*CVZ162</f>
        <v>#DIV/0!</v>
      </c>
      <c r="CWB162" s="367" t="s">
        <v>206</v>
      </c>
      <c r="CWC162" s="367"/>
      <c r="CWD162" s="367"/>
      <c r="CWE162" s="368" t="s">
        <v>168</v>
      </c>
      <c r="CWF162" s="369">
        <v>0.5</v>
      </c>
      <c r="CWG162" s="370" t="e">
        <f>10/CWC160</f>
        <v>#DIV/0!</v>
      </c>
      <c r="CWH162" s="371">
        <v>15.38</v>
      </c>
      <c r="CWI162" s="371" t="e">
        <f>CWF162*CWG162*CWH162</f>
        <v>#DIV/0!</v>
      </c>
      <c r="CWJ162" s="367" t="s">
        <v>206</v>
      </c>
      <c r="CWK162" s="367"/>
      <c r="CWL162" s="367"/>
      <c r="CWM162" s="368" t="s">
        <v>168</v>
      </c>
      <c r="CWN162" s="369">
        <v>0.5</v>
      </c>
      <c r="CWO162" s="370" t="e">
        <f>10/CWK160</f>
        <v>#DIV/0!</v>
      </c>
      <c r="CWP162" s="371">
        <v>15.38</v>
      </c>
      <c r="CWQ162" s="371" t="e">
        <f>CWN162*CWO162*CWP162</f>
        <v>#DIV/0!</v>
      </c>
      <c r="CWR162" s="367" t="s">
        <v>206</v>
      </c>
      <c r="CWS162" s="367"/>
      <c r="CWT162" s="367"/>
      <c r="CWU162" s="368" t="s">
        <v>168</v>
      </c>
      <c r="CWV162" s="369">
        <v>0.5</v>
      </c>
      <c r="CWW162" s="370" t="e">
        <f>10/CWS160</f>
        <v>#DIV/0!</v>
      </c>
      <c r="CWX162" s="371">
        <v>15.38</v>
      </c>
      <c r="CWY162" s="371" t="e">
        <f>CWV162*CWW162*CWX162</f>
        <v>#DIV/0!</v>
      </c>
      <c r="CWZ162" s="367" t="s">
        <v>206</v>
      </c>
      <c r="CXA162" s="367"/>
      <c r="CXB162" s="367"/>
      <c r="CXC162" s="368" t="s">
        <v>168</v>
      </c>
      <c r="CXD162" s="369">
        <v>0.5</v>
      </c>
      <c r="CXE162" s="370" t="e">
        <f>10/CXA160</f>
        <v>#DIV/0!</v>
      </c>
      <c r="CXF162" s="371">
        <v>15.38</v>
      </c>
      <c r="CXG162" s="371" t="e">
        <f>CXD162*CXE162*CXF162</f>
        <v>#DIV/0!</v>
      </c>
      <c r="CXH162" s="367" t="s">
        <v>206</v>
      </c>
      <c r="CXI162" s="367"/>
      <c r="CXJ162" s="367"/>
      <c r="CXK162" s="368" t="s">
        <v>168</v>
      </c>
      <c r="CXL162" s="369">
        <v>0.5</v>
      </c>
      <c r="CXM162" s="370" t="e">
        <f>10/CXI160</f>
        <v>#DIV/0!</v>
      </c>
      <c r="CXN162" s="371">
        <v>15.38</v>
      </c>
      <c r="CXO162" s="371" t="e">
        <f>CXL162*CXM162*CXN162</f>
        <v>#DIV/0!</v>
      </c>
      <c r="CXP162" s="367" t="s">
        <v>206</v>
      </c>
      <c r="CXQ162" s="367"/>
      <c r="CXR162" s="367"/>
      <c r="CXS162" s="368" t="s">
        <v>168</v>
      </c>
      <c r="CXT162" s="369">
        <v>0.5</v>
      </c>
      <c r="CXU162" s="370" t="e">
        <f>10/CXQ160</f>
        <v>#DIV/0!</v>
      </c>
      <c r="CXV162" s="371">
        <v>15.38</v>
      </c>
      <c r="CXW162" s="371" t="e">
        <f>CXT162*CXU162*CXV162</f>
        <v>#DIV/0!</v>
      </c>
      <c r="CXX162" s="367" t="s">
        <v>206</v>
      </c>
      <c r="CXY162" s="367"/>
      <c r="CXZ162" s="367"/>
      <c r="CYA162" s="368" t="s">
        <v>168</v>
      </c>
      <c r="CYB162" s="369">
        <v>0.5</v>
      </c>
      <c r="CYC162" s="370" t="e">
        <f>10/CXY160</f>
        <v>#DIV/0!</v>
      </c>
      <c r="CYD162" s="371">
        <v>15.38</v>
      </c>
      <c r="CYE162" s="371" t="e">
        <f>CYB162*CYC162*CYD162</f>
        <v>#DIV/0!</v>
      </c>
      <c r="CYF162" s="367" t="s">
        <v>206</v>
      </c>
      <c r="CYG162" s="367"/>
      <c r="CYH162" s="367"/>
      <c r="CYI162" s="368" t="s">
        <v>168</v>
      </c>
      <c r="CYJ162" s="369">
        <v>0.5</v>
      </c>
      <c r="CYK162" s="370" t="e">
        <f>10/CYG160</f>
        <v>#DIV/0!</v>
      </c>
      <c r="CYL162" s="371">
        <v>15.38</v>
      </c>
      <c r="CYM162" s="371" t="e">
        <f>CYJ162*CYK162*CYL162</f>
        <v>#DIV/0!</v>
      </c>
      <c r="CYN162" s="367" t="s">
        <v>206</v>
      </c>
      <c r="CYO162" s="367"/>
      <c r="CYP162" s="367"/>
      <c r="CYQ162" s="368" t="s">
        <v>168</v>
      </c>
      <c r="CYR162" s="369">
        <v>0.5</v>
      </c>
      <c r="CYS162" s="370" t="e">
        <f>10/CYO160</f>
        <v>#DIV/0!</v>
      </c>
      <c r="CYT162" s="371">
        <v>15.38</v>
      </c>
      <c r="CYU162" s="371" t="e">
        <f>CYR162*CYS162*CYT162</f>
        <v>#DIV/0!</v>
      </c>
      <c r="CYV162" s="367" t="s">
        <v>206</v>
      </c>
      <c r="CYW162" s="367"/>
      <c r="CYX162" s="367"/>
      <c r="CYY162" s="368" t="s">
        <v>168</v>
      </c>
      <c r="CYZ162" s="369">
        <v>0.5</v>
      </c>
      <c r="CZA162" s="370" t="e">
        <f>10/CYW160</f>
        <v>#DIV/0!</v>
      </c>
      <c r="CZB162" s="371">
        <v>15.38</v>
      </c>
      <c r="CZC162" s="371" t="e">
        <f>CYZ162*CZA162*CZB162</f>
        <v>#DIV/0!</v>
      </c>
      <c r="CZD162" s="367" t="s">
        <v>206</v>
      </c>
      <c r="CZE162" s="367"/>
      <c r="CZF162" s="367"/>
      <c r="CZG162" s="368" t="s">
        <v>168</v>
      </c>
      <c r="CZH162" s="369">
        <v>0.5</v>
      </c>
      <c r="CZI162" s="370" t="e">
        <f>10/CZE160</f>
        <v>#DIV/0!</v>
      </c>
      <c r="CZJ162" s="371">
        <v>15.38</v>
      </c>
      <c r="CZK162" s="371" t="e">
        <f>CZH162*CZI162*CZJ162</f>
        <v>#DIV/0!</v>
      </c>
      <c r="CZL162" s="367" t="s">
        <v>206</v>
      </c>
      <c r="CZM162" s="367"/>
      <c r="CZN162" s="367"/>
      <c r="CZO162" s="368" t="s">
        <v>168</v>
      </c>
      <c r="CZP162" s="369">
        <v>0.5</v>
      </c>
      <c r="CZQ162" s="370" t="e">
        <f>10/CZM160</f>
        <v>#DIV/0!</v>
      </c>
      <c r="CZR162" s="371">
        <v>15.38</v>
      </c>
      <c r="CZS162" s="371" t="e">
        <f>CZP162*CZQ162*CZR162</f>
        <v>#DIV/0!</v>
      </c>
      <c r="CZT162" s="367" t="s">
        <v>206</v>
      </c>
      <c r="CZU162" s="367"/>
      <c r="CZV162" s="367"/>
      <c r="CZW162" s="368" t="s">
        <v>168</v>
      </c>
      <c r="CZX162" s="369">
        <v>0.5</v>
      </c>
      <c r="CZY162" s="370" t="e">
        <f>10/CZU160</f>
        <v>#DIV/0!</v>
      </c>
      <c r="CZZ162" s="371">
        <v>15.38</v>
      </c>
      <c r="DAA162" s="371" t="e">
        <f>CZX162*CZY162*CZZ162</f>
        <v>#DIV/0!</v>
      </c>
      <c r="DAB162" s="367" t="s">
        <v>206</v>
      </c>
      <c r="DAC162" s="367"/>
      <c r="DAD162" s="367"/>
      <c r="DAE162" s="368" t="s">
        <v>168</v>
      </c>
      <c r="DAF162" s="369">
        <v>0.5</v>
      </c>
      <c r="DAG162" s="370" t="e">
        <f>10/DAC160</f>
        <v>#DIV/0!</v>
      </c>
      <c r="DAH162" s="371">
        <v>15.38</v>
      </c>
      <c r="DAI162" s="371" t="e">
        <f>DAF162*DAG162*DAH162</f>
        <v>#DIV/0!</v>
      </c>
      <c r="DAJ162" s="367" t="s">
        <v>206</v>
      </c>
      <c r="DAK162" s="367"/>
      <c r="DAL162" s="367"/>
      <c r="DAM162" s="368" t="s">
        <v>168</v>
      </c>
      <c r="DAN162" s="369">
        <v>0.5</v>
      </c>
      <c r="DAO162" s="370" t="e">
        <f>10/DAK160</f>
        <v>#DIV/0!</v>
      </c>
      <c r="DAP162" s="371">
        <v>15.38</v>
      </c>
      <c r="DAQ162" s="371" t="e">
        <f>DAN162*DAO162*DAP162</f>
        <v>#DIV/0!</v>
      </c>
      <c r="DAR162" s="367" t="s">
        <v>206</v>
      </c>
      <c r="DAS162" s="367"/>
      <c r="DAT162" s="367"/>
      <c r="DAU162" s="368" t="s">
        <v>168</v>
      </c>
      <c r="DAV162" s="369">
        <v>0.5</v>
      </c>
      <c r="DAW162" s="370" t="e">
        <f>10/DAS160</f>
        <v>#DIV/0!</v>
      </c>
      <c r="DAX162" s="371">
        <v>15.38</v>
      </c>
      <c r="DAY162" s="371" t="e">
        <f>DAV162*DAW162*DAX162</f>
        <v>#DIV/0!</v>
      </c>
      <c r="DAZ162" s="367" t="s">
        <v>206</v>
      </c>
      <c r="DBA162" s="367"/>
      <c r="DBB162" s="367"/>
      <c r="DBC162" s="368" t="s">
        <v>168</v>
      </c>
      <c r="DBD162" s="369">
        <v>0.5</v>
      </c>
      <c r="DBE162" s="370" t="e">
        <f>10/DBA160</f>
        <v>#DIV/0!</v>
      </c>
      <c r="DBF162" s="371">
        <v>15.38</v>
      </c>
      <c r="DBG162" s="371" t="e">
        <f>DBD162*DBE162*DBF162</f>
        <v>#DIV/0!</v>
      </c>
      <c r="DBH162" s="367" t="s">
        <v>206</v>
      </c>
      <c r="DBI162" s="367"/>
      <c r="DBJ162" s="367"/>
      <c r="DBK162" s="368" t="s">
        <v>168</v>
      </c>
      <c r="DBL162" s="369">
        <v>0.5</v>
      </c>
      <c r="DBM162" s="370" t="e">
        <f>10/DBI160</f>
        <v>#DIV/0!</v>
      </c>
      <c r="DBN162" s="371">
        <v>15.38</v>
      </c>
      <c r="DBO162" s="371" t="e">
        <f>DBL162*DBM162*DBN162</f>
        <v>#DIV/0!</v>
      </c>
      <c r="DBP162" s="367" t="s">
        <v>206</v>
      </c>
      <c r="DBQ162" s="367"/>
      <c r="DBR162" s="367"/>
      <c r="DBS162" s="368" t="s">
        <v>168</v>
      </c>
      <c r="DBT162" s="369">
        <v>0.5</v>
      </c>
      <c r="DBU162" s="370" t="e">
        <f>10/DBQ160</f>
        <v>#DIV/0!</v>
      </c>
      <c r="DBV162" s="371">
        <v>15.38</v>
      </c>
      <c r="DBW162" s="371" t="e">
        <f>DBT162*DBU162*DBV162</f>
        <v>#DIV/0!</v>
      </c>
      <c r="DBX162" s="367" t="s">
        <v>206</v>
      </c>
      <c r="DBY162" s="367"/>
      <c r="DBZ162" s="367"/>
      <c r="DCA162" s="368" t="s">
        <v>168</v>
      </c>
      <c r="DCB162" s="369">
        <v>0.5</v>
      </c>
      <c r="DCC162" s="370" t="e">
        <f>10/DBY160</f>
        <v>#DIV/0!</v>
      </c>
      <c r="DCD162" s="371">
        <v>15.38</v>
      </c>
      <c r="DCE162" s="371" t="e">
        <f>DCB162*DCC162*DCD162</f>
        <v>#DIV/0!</v>
      </c>
      <c r="DCF162" s="367" t="s">
        <v>206</v>
      </c>
      <c r="DCG162" s="367"/>
      <c r="DCH162" s="367"/>
      <c r="DCI162" s="368" t="s">
        <v>168</v>
      </c>
      <c r="DCJ162" s="369">
        <v>0.5</v>
      </c>
      <c r="DCK162" s="370" t="e">
        <f>10/DCG160</f>
        <v>#DIV/0!</v>
      </c>
      <c r="DCL162" s="371">
        <v>15.38</v>
      </c>
      <c r="DCM162" s="371" t="e">
        <f>DCJ162*DCK162*DCL162</f>
        <v>#DIV/0!</v>
      </c>
      <c r="DCN162" s="367" t="s">
        <v>206</v>
      </c>
      <c r="DCO162" s="367"/>
      <c r="DCP162" s="367"/>
      <c r="DCQ162" s="368" t="s">
        <v>168</v>
      </c>
      <c r="DCR162" s="369">
        <v>0.5</v>
      </c>
      <c r="DCS162" s="370" t="e">
        <f>10/DCO160</f>
        <v>#DIV/0!</v>
      </c>
      <c r="DCT162" s="371">
        <v>15.38</v>
      </c>
      <c r="DCU162" s="371" t="e">
        <f>DCR162*DCS162*DCT162</f>
        <v>#DIV/0!</v>
      </c>
      <c r="DCV162" s="367" t="s">
        <v>206</v>
      </c>
      <c r="DCW162" s="367"/>
      <c r="DCX162" s="367"/>
      <c r="DCY162" s="368" t="s">
        <v>168</v>
      </c>
      <c r="DCZ162" s="369">
        <v>0.5</v>
      </c>
      <c r="DDA162" s="370" t="e">
        <f>10/DCW160</f>
        <v>#DIV/0!</v>
      </c>
      <c r="DDB162" s="371">
        <v>15.38</v>
      </c>
      <c r="DDC162" s="371" t="e">
        <f>DCZ162*DDA162*DDB162</f>
        <v>#DIV/0!</v>
      </c>
      <c r="DDD162" s="367" t="s">
        <v>206</v>
      </c>
      <c r="DDE162" s="367"/>
      <c r="DDF162" s="367"/>
      <c r="DDG162" s="368" t="s">
        <v>168</v>
      </c>
      <c r="DDH162" s="369">
        <v>0.5</v>
      </c>
      <c r="DDI162" s="370" t="e">
        <f>10/DDE160</f>
        <v>#DIV/0!</v>
      </c>
      <c r="DDJ162" s="371">
        <v>15.38</v>
      </c>
      <c r="DDK162" s="371" t="e">
        <f>DDH162*DDI162*DDJ162</f>
        <v>#DIV/0!</v>
      </c>
      <c r="DDL162" s="367" t="s">
        <v>206</v>
      </c>
      <c r="DDM162" s="367"/>
      <c r="DDN162" s="367"/>
      <c r="DDO162" s="368" t="s">
        <v>168</v>
      </c>
      <c r="DDP162" s="369">
        <v>0.5</v>
      </c>
      <c r="DDQ162" s="370" t="e">
        <f>10/DDM160</f>
        <v>#DIV/0!</v>
      </c>
      <c r="DDR162" s="371">
        <v>15.38</v>
      </c>
      <c r="DDS162" s="371" t="e">
        <f>DDP162*DDQ162*DDR162</f>
        <v>#DIV/0!</v>
      </c>
      <c r="DDT162" s="367" t="s">
        <v>206</v>
      </c>
      <c r="DDU162" s="367"/>
      <c r="DDV162" s="367"/>
      <c r="DDW162" s="368" t="s">
        <v>168</v>
      </c>
      <c r="DDX162" s="369">
        <v>0.5</v>
      </c>
      <c r="DDY162" s="370" t="e">
        <f>10/DDU160</f>
        <v>#DIV/0!</v>
      </c>
      <c r="DDZ162" s="371">
        <v>15.38</v>
      </c>
      <c r="DEA162" s="371" t="e">
        <f>DDX162*DDY162*DDZ162</f>
        <v>#DIV/0!</v>
      </c>
      <c r="DEB162" s="367" t="s">
        <v>206</v>
      </c>
      <c r="DEC162" s="367"/>
      <c r="DED162" s="367"/>
      <c r="DEE162" s="368" t="s">
        <v>168</v>
      </c>
      <c r="DEF162" s="369">
        <v>0.5</v>
      </c>
      <c r="DEG162" s="370" t="e">
        <f>10/DEC160</f>
        <v>#DIV/0!</v>
      </c>
      <c r="DEH162" s="371">
        <v>15.38</v>
      </c>
      <c r="DEI162" s="371" t="e">
        <f>DEF162*DEG162*DEH162</f>
        <v>#DIV/0!</v>
      </c>
      <c r="DEJ162" s="367" t="s">
        <v>206</v>
      </c>
      <c r="DEK162" s="367"/>
      <c r="DEL162" s="367"/>
      <c r="DEM162" s="368" t="s">
        <v>168</v>
      </c>
      <c r="DEN162" s="369">
        <v>0.5</v>
      </c>
      <c r="DEO162" s="370" t="e">
        <f>10/DEK160</f>
        <v>#DIV/0!</v>
      </c>
      <c r="DEP162" s="371">
        <v>15.38</v>
      </c>
      <c r="DEQ162" s="371" t="e">
        <f>DEN162*DEO162*DEP162</f>
        <v>#DIV/0!</v>
      </c>
      <c r="DER162" s="367" t="s">
        <v>206</v>
      </c>
      <c r="DES162" s="367"/>
      <c r="DET162" s="367"/>
      <c r="DEU162" s="368" t="s">
        <v>168</v>
      </c>
      <c r="DEV162" s="369">
        <v>0.5</v>
      </c>
      <c r="DEW162" s="370" t="e">
        <f>10/DES160</f>
        <v>#DIV/0!</v>
      </c>
      <c r="DEX162" s="371">
        <v>15.38</v>
      </c>
      <c r="DEY162" s="371" t="e">
        <f>DEV162*DEW162*DEX162</f>
        <v>#DIV/0!</v>
      </c>
      <c r="DEZ162" s="367" t="s">
        <v>206</v>
      </c>
      <c r="DFA162" s="367"/>
      <c r="DFB162" s="367"/>
      <c r="DFC162" s="368" t="s">
        <v>168</v>
      </c>
      <c r="DFD162" s="369">
        <v>0.5</v>
      </c>
      <c r="DFE162" s="370" t="e">
        <f>10/DFA160</f>
        <v>#DIV/0!</v>
      </c>
      <c r="DFF162" s="371">
        <v>15.38</v>
      </c>
      <c r="DFG162" s="371" t="e">
        <f>DFD162*DFE162*DFF162</f>
        <v>#DIV/0!</v>
      </c>
      <c r="DFH162" s="367" t="s">
        <v>206</v>
      </c>
      <c r="DFI162" s="367"/>
      <c r="DFJ162" s="367"/>
      <c r="DFK162" s="368" t="s">
        <v>168</v>
      </c>
      <c r="DFL162" s="369">
        <v>0.5</v>
      </c>
      <c r="DFM162" s="370" t="e">
        <f>10/DFI160</f>
        <v>#DIV/0!</v>
      </c>
      <c r="DFN162" s="371">
        <v>15.38</v>
      </c>
      <c r="DFO162" s="371" t="e">
        <f>DFL162*DFM162*DFN162</f>
        <v>#DIV/0!</v>
      </c>
      <c r="DFP162" s="367" t="s">
        <v>206</v>
      </c>
      <c r="DFQ162" s="367"/>
      <c r="DFR162" s="367"/>
      <c r="DFS162" s="368" t="s">
        <v>168</v>
      </c>
      <c r="DFT162" s="369">
        <v>0.5</v>
      </c>
      <c r="DFU162" s="370" t="e">
        <f>10/DFQ160</f>
        <v>#DIV/0!</v>
      </c>
      <c r="DFV162" s="371">
        <v>15.38</v>
      </c>
      <c r="DFW162" s="371" t="e">
        <f>DFT162*DFU162*DFV162</f>
        <v>#DIV/0!</v>
      </c>
      <c r="DFX162" s="367" t="s">
        <v>206</v>
      </c>
      <c r="DFY162" s="367"/>
      <c r="DFZ162" s="367"/>
      <c r="DGA162" s="368" t="s">
        <v>168</v>
      </c>
      <c r="DGB162" s="369">
        <v>0.5</v>
      </c>
      <c r="DGC162" s="370" t="e">
        <f>10/DFY160</f>
        <v>#DIV/0!</v>
      </c>
      <c r="DGD162" s="371">
        <v>15.38</v>
      </c>
      <c r="DGE162" s="371" t="e">
        <f>DGB162*DGC162*DGD162</f>
        <v>#DIV/0!</v>
      </c>
      <c r="DGF162" s="367" t="s">
        <v>206</v>
      </c>
      <c r="DGG162" s="367"/>
      <c r="DGH162" s="367"/>
      <c r="DGI162" s="368" t="s">
        <v>168</v>
      </c>
      <c r="DGJ162" s="369">
        <v>0.5</v>
      </c>
      <c r="DGK162" s="370" t="e">
        <f>10/DGG160</f>
        <v>#DIV/0!</v>
      </c>
      <c r="DGL162" s="371">
        <v>15.38</v>
      </c>
      <c r="DGM162" s="371" t="e">
        <f>DGJ162*DGK162*DGL162</f>
        <v>#DIV/0!</v>
      </c>
      <c r="DGN162" s="367" t="s">
        <v>206</v>
      </c>
      <c r="DGO162" s="367"/>
      <c r="DGP162" s="367"/>
      <c r="DGQ162" s="368" t="s">
        <v>168</v>
      </c>
      <c r="DGR162" s="369">
        <v>0.5</v>
      </c>
      <c r="DGS162" s="370" t="e">
        <f>10/DGO160</f>
        <v>#DIV/0!</v>
      </c>
      <c r="DGT162" s="371">
        <v>15.38</v>
      </c>
      <c r="DGU162" s="371" t="e">
        <f>DGR162*DGS162*DGT162</f>
        <v>#DIV/0!</v>
      </c>
      <c r="DGV162" s="367" t="s">
        <v>206</v>
      </c>
      <c r="DGW162" s="367"/>
      <c r="DGX162" s="367"/>
      <c r="DGY162" s="368" t="s">
        <v>168</v>
      </c>
      <c r="DGZ162" s="369">
        <v>0.5</v>
      </c>
      <c r="DHA162" s="370" t="e">
        <f>10/DGW160</f>
        <v>#DIV/0!</v>
      </c>
      <c r="DHB162" s="371">
        <v>15.38</v>
      </c>
      <c r="DHC162" s="371" t="e">
        <f>DGZ162*DHA162*DHB162</f>
        <v>#DIV/0!</v>
      </c>
      <c r="DHD162" s="367" t="s">
        <v>206</v>
      </c>
      <c r="DHE162" s="367"/>
      <c r="DHF162" s="367"/>
      <c r="DHG162" s="368" t="s">
        <v>168</v>
      </c>
      <c r="DHH162" s="369">
        <v>0.5</v>
      </c>
      <c r="DHI162" s="370" t="e">
        <f>10/DHE160</f>
        <v>#DIV/0!</v>
      </c>
      <c r="DHJ162" s="371">
        <v>15.38</v>
      </c>
      <c r="DHK162" s="371" t="e">
        <f>DHH162*DHI162*DHJ162</f>
        <v>#DIV/0!</v>
      </c>
      <c r="DHL162" s="367" t="s">
        <v>206</v>
      </c>
      <c r="DHM162" s="367"/>
      <c r="DHN162" s="367"/>
      <c r="DHO162" s="368" t="s">
        <v>168</v>
      </c>
      <c r="DHP162" s="369">
        <v>0.5</v>
      </c>
      <c r="DHQ162" s="370" t="e">
        <f>10/DHM160</f>
        <v>#DIV/0!</v>
      </c>
      <c r="DHR162" s="371">
        <v>15.38</v>
      </c>
      <c r="DHS162" s="371" t="e">
        <f>DHP162*DHQ162*DHR162</f>
        <v>#DIV/0!</v>
      </c>
      <c r="DHT162" s="367" t="s">
        <v>206</v>
      </c>
      <c r="DHU162" s="367"/>
      <c r="DHV162" s="367"/>
      <c r="DHW162" s="368" t="s">
        <v>168</v>
      </c>
      <c r="DHX162" s="369">
        <v>0.5</v>
      </c>
      <c r="DHY162" s="370" t="e">
        <f>10/DHU160</f>
        <v>#DIV/0!</v>
      </c>
      <c r="DHZ162" s="371">
        <v>15.38</v>
      </c>
      <c r="DIA162" s="371" t="e">
        <f>DHX162*DHY162*DHZ162</f>
        <v>#DIV/0!</v>
      </c>
      <c r="DIB162" s="367" t="s">
        <v>206</v>
      </c>
      <c r="DIC162" s="367"/>
      <c r="DID162" s="367"/>
      <c r="DIE162" s="368" t="s">
        <v>168</v>
      </c>
      <c r="DIF162" s="369">
        <v>0.5</v>
      </c>
      <c r="DIG162" s="370" t="e">
        <f>10/DIC160</f>
        <v>#DIV/0!</v>
      </c>
      <c r="DIH162" s="371">
        <v>15.38</v>
      </c>
      <c r="DII162" s="371" t="e">
        <f>DIF162*DIG162*DIH162</f>
        <v>#DIV/0!</v>
      </c>
      <c r="DIJ162" s="367" t="s">
        <v>206</v>
      </c>
      <c r="DIK162" s="367"/>
      <c r="DIL162" s="367"/>
      <c r="DIM162" s="368" t="s">
        <v>168</v>
      </c>
      <c r="DIN162" s="369">
        <v>0.5</v>
      </c>
      <c r="DIO162" s="370" t="e">
        <f>10/DIK160</f>
        <v>#DIV/0!</v>
      </c>
      <c r="DIP162" s="371">
        <v>15.38</v>
      </c>
      <c r="DIQ162" s="371" t="e">
        <f>DIN162*DIO162*DIP162</f>
        <v>#DIV/0!</v>
      </c>
      <c r="DIR162" s="367" t="s">
        <v>206</v>
      </c>
      <c r="DIS162" s="367"/>
      <c r="DIT162" s="367"/>
      <c r="DIU162" s="368" t="s">
        <v>168</v>
      </c>
      <c r="DIV162" s="369">
        <v>0.5</v>
      </c>
      <c r="DIW162" s="370" t="e">
        <f>10/DIS160</f>
        <v>#DIV/0!</v>
      </c>
      <c r="DIX162" s="371">
        <v>15.38</v>
      </c>
      <c r="DIY162" s="371" t="e">
        <f>DIV162*DIW162*DIX162</f>
        <v>#DIV/0!</v>
      </c>
      <c r="DIZ162" s="367" t="s">
        <v>206</v>
      </c>
      <c r="DJA162" s="367"/>
      <c r="DJB162" s="367"/>
      <c r="DJC162" s="368" t="s">
        <v>168</v>
      </c>
      <c r="DJD162" s="369">
        <v>0.5</v>
      </c>
      <c r="DJE162" s="370" t="e">
        <f>10/DJA160</f>
        <v>#DIV/0!</v>
      </c>
      <c r="DJF162" s="371">
        <v>15.38</v>
      </c>
      <c r="DJG162" s="371" t="e">
        <f>DJD162*DJE162*DJF162</f>
        <v>#DIV/0!</v>
      </c>
      <c r="DJH162" s="367" t="s">
        <v>206</v>
      </c>
      <c r="DJI162" s="367"/>
      <c r="DJJ162" s="367"/>
      <c r="DJK162" s="368" t="s">
        <v>168</v>
      </c>
      <c r="DJL162" s="369">
        <v>0.5</v>
      </c>
      <c r="DJM162" s="370" t="e">
        <f>10/DJI160</f>
        <v>#DIV/0!</v>
      </c>
      <c r="DJN162" s="371">
        <v>15.38</v>
      </c>
      <c r="DJO162" s="371" t="e">
        <f>DJL162*DJM162*DJN162</f>
        <v>#DIV/0!</v>
      </c>
      <c r="DJP162" s="367" t="s">
        <v>206</v>
      </c>
      <c r="DJQ162" s="367"/>
      <c r="DJR162" s="367"/>
      <c r="DJS162" s="368" t="s">
        <v>168</v>
      </c>
      <c r="DJT162" s="369">
        <v>0.5</v>
      </c>
      <c r="DJU162" s="370" t="e">
        <f>10/DJQ160</f>
        <v>#DIV/0!</v>
      </c>
      <c r="DJV162" s="371">
        <v>15.38</v>
      </c>
      <c r="DJW162" s="371" t="e">
        <f>DJT162*DJU162*DJV162</f>
        <v>#DIV/0!</v>
      </c>
      <c r="DJX162" s="367" t="s">
        <v>206</v>
      </c>
      <c r="DJY162" s="367"/>
      <c r="DJZ162" s="367"/>
      <c r="DKA162" s="368" t="s">
        <v>168</v>
      </c>
      <c r="DKB162" s="369">
        <v>0.5</v>
      </c>
      <c r="DKC162" s="370" t="e">
        <f>10/DJY160</f>
        <v>#DIV/0!</v>
      </c>
      <c r="DKD162" s="371">
        <v>15.38</v>
      </c>
      <c r="DKE162" s="371" t="e">
        <f>DKB162*DKC162*DKD162</f>
        <v>#DIV/0!</v>
      </c>
      <c r="DKF162" s="367" t="s">
        <v>206</v>
      </c>
      <c r="DKG162" s="367"/>
      <c r="DKH162" s="367"/>
      <c r="DKI162" s="368" t="s">
        <v>168</v>
      </c>
      <c r="DKJ162" s="369">
        <v>0.5</v>
      </c>
      <c r="DKK162" s="370" t="e">
        <f>10/DKG160</f>
        <v>#DIV/0!</v>
      </c>
      <c r="DKL162" s="371">
        <v>15.38</v>
      </c>
      <c r="DKM162" s="371" t="e">
        <f>DKJ162*DKK162*DKL162</f>
        <v>#DIV/0!</v>
      </c>
      <c r="DKN162" s="367" t="s">
        <v>206</v>
      </c>
      <c r="DKO162" s="367"/>
      <c r="DKP162" s="367"/>
      <c r="DKQ162" s="368" t="s">
        <v>168</v>
      </c>
      <c r="DKR162" s="369">
        <v>0.5</v>
      </c>
      <c r="DKS162" s="370" t="e">
        <f>10/DKO160</f>
        <v>#DIV/0!</v>
      </c>
      <c r="DKT162" s="371">
        <v>15.38</v>
      </c>
      <c r="DKU162" s="371" t="e">
        <f>DKR162*DKS162*DKT162</f>
        <v>#DIV/0!</v>
      </c>
      <c r="DKV162" s="367" t="s">
        <v>206</v>
      </c>
      <c r="DKW162" s="367"/>
      <c r="DKX162" s="367"/>
      <c r="DKY162" s="368" t="s">
        <v>168</v>
      </c>
      <c r="DKZ162" s="369">
        <v>0.5</v>
      </c>
      <c r="DLA162" s="370" t="e">
        <f>10/DKW160</f>
        <v>#DIV/0!</v>
      </c>
      <c r="DLB162" s="371">
        <v>15.38</v>
      </c>
      <c r="DLC162" s="371" t="e">
        <f>DKZ162*DLA162*DLB162</f>
        <v>#DIV/0!</v>
      </c>
      <c r="DLD162" s="367" t="s">
        <v>206</v>
      </c>
      <c r="DLE162" s="367"/>
      <c r="DLF162" s="367"/>
      <c r="DLG162" s="368" t="s">
        <v>168</v>
      </c>
      <c r="DLH162" s="369">
        <v>0.5</v>
      </c>
      <c r="DLI162" s="370" t="e">
        <f>10/DLE160</f>
        <v>#DIV/0!</v>
      </c>
      <c r="DLJ162" s="371">
        <v>15.38</v>
      </c>
      <c r="DLK162" s="371" t="e">
        <f>DLH162*DLI162*DLJ162</f>
        <v>#DIV/0!</v>
      </c>
      <c r="DLL162" s="367" t="s">
        <v>206</v>
      </c>
      <c r="DLM162" s="367"/>
      <c r="DLN162" s="367"/>
      <c r="DLO162" s="368" t="s">
        <v>168</v>
      </c>
      <c r="DLP162" s="369">
        <v>0.5</v>
      </c>
      <c r="DLQ162" s="370" t="e">
        <f>10/DLM160</f>
        <v>#DIV/0!</v>
      </c>
      <c r="DLR162" s="371">
        <v>15.38</v>
      </c>
      <c r="DLS162" s="371" t="e">
        <f>DLP162*DLQ162*DLR162</f>
        <v>#DIV/0!</v>
      </c>
      <c r="DLT162" s="367" t="s">
        <v>206</v>
      </c>
      <c r="DLU162" s="367"/>
      <c r="DLV162" s="367"/>
      <c r="DLW162" s="368" t="s">
        <v>168</v>
      </c>
      <c r="DLX162" s="369">
        <v>0.5</v>
      </c>
      <c r="DLY162" s="370" t="e">
        <f>10/DLU160</f>
        <v>#DIV/0!</v>
      </c>
      <c r="DLZ162" s="371">
        <v>15.38</v>
      </c>
      <c r="DMA162" s="371" t="e">
        <f>DLX162*DLY162*DLZ162</f>
        <v>#DIV/0!</v>
      </c>
      <c r="DMB162" s="367" t="s">
        <v>206</v>
      </c>
      <c r="DMC162" s="367"/>
      <c r="DMD162" s="367"/>
      <c r="DME162" s="368" t="s">
        <v>168</v>
      </c>
      <c r="DMF162" s="369">
        <v>0.5</v>
      </c>
      <c r="DMG162" s="370" t="e">
        <f>10/DMC160</f>
        <v>#DIV/0!</v>
      </c>
      <c r="DMH162" s="371">
        <v>15.38</v>
      </c>
      <c r="DMI162" s="371" t="e">
        <f>DMF162*DMG162*DMH162</f>
        <v>#DIV/0!</v>
      </c>
      <c r="DMJ162" s="367" t="s">
        <v>206</v>
      </c>
      <c r="DMK162" s="367"/>
      <c r="DML162" s="367"/>
      <c r="DMM162" s="368" t="s">
        <v>168</v>
      </c>
      <c r="DMN162" s="369">
        <v>0.5</v>
      </c>
      <c r="DMO162" s="370" t="e">
        <f>10/DMK160</f>
        <v>#DIV/0!</v>
      </c>
      <c r="DMP162" s="371">
        <v>15.38</v>
      </c>
      <c r="DMQ162" s="371" t="e">
        <f>DMN162*DMO162*DMP162</f>
        <v>#DIV/0!</v>
      </c>
      <c r="DMR162" s="367" t="s">
        <v>206</v>
      </c>
      <c r="DMS162" s="367"/>
      <c r="DMT162" s="367"/>
      <c r="DMU162" s="368" t="s">
        <v>168</v>
      </c>
      <c r="DMV162" s="369">
        <v>0.5</v>
      </c>
      <c r="DMW162" s="370" t="e">
        <f>10/DMS160</f>
        <v>#DIV/0!</v>
      </c>
      <c r="DMX162" s="371">
        <v>15.38</v>
      </c>
      <c r="DMY162" s="371" t="e">
        <f>DMV162*DMW162*DMX162</f>
        <v>#DIV/0!</v>
      </c>
      <c r="DMZ162" s="367" t="s">
        <v>206</v>
      </c>
      <c r="DNA162" s="367"/>
      <c r="DNB162" s="367"/>
      <c r="DNC162" s="368" t="s">
        <v>168</v>
      </c>
      <c r="DND162" s="369">
        <v>0.5</v>
      </c>
      <c r="DNE162" s="370" t="e">
        <f>10/DNA160</f>
        <v>#DIV/0!</v>
      </c>
      <c r="DNF162" s="371">
        <v>15.38</v>
      </c>
      <c r="DNG162" s="371" t="e">
        <f>DND162*DNE162*DNF162</f>
        <v>#DIV/0!</v>
      </c>
      <c r="DNH162" s="367" t="s">
        <v>206</v>
      </c>
      <c r="DNI162" s="367"/>
      <c r="DNJ162" s="367"/>
      <c r="DNK162" s="368" t="s">
        <v>168</v>
      </c>
      <c r="DNL162" s="369">
        <v>0.5</v>
      </c>
      <c r="DNM162" s="370" t="e">
        <f>10/DNI160</f>
        <v>#DIV/0!</v>
      </c>
      <c r="DNN162" s="371">
        <v>15.38</v>
      </c>
      <c r="DNO162" s="371" t="e">
        <f>DNL162*DNM162*DNN162</f>
        <v>#DIV/0!</v>
      </c>
      <c r="DNP162" s="367" t="s">
        <v>206</v>
      </c>
      <c r="DNQ162" s="367"/>
      <c r="DNR162" s="367"/>
      <c r="DNS162" s="368" t="s">
        <v>168</v>
      </c>
      <c r="DNT162" s="369">
        <v>0.5</v>
      </c>
      <c r="DNU162" s="370" t="e">
        <f>10/DNQ160</f>
        <v>#DIV/0!</v>
      </c>
      <c r="DNV162" s="371">
        <v>15.38</v>
      </c>
      <c r="DNW162" s="371" t="e">
        <f>DNT162*DNU162*DNV162</f>
        <v>#DIV/0!</v>
      </c>
      <c r="DNX162" s="367" t="s">
        <v>206</v>
      </c>
      <c r="DNY162" s="367"/>
      <c r="DNZ162" s="367"/>
      <c r="DOA162" s="368" t="s">
        <v>168</v>
      </c>
      <c r="DOB162" s="369">
        <v>0.5</v>
      </c>
      <c r="DOC162" s="370" t="e">
        <f>10/DNY160</f>
        <v>#DIV/0!</v>
      </c>
      <c r="DOD162" s="371">
        <v>15.38</v>
      </c>
      <c r="DOE162" s="371" t="e">
        <f>DOB162*DOC162*DOD162</f>
        <v>#DIV/0!</v>
      </c>
      <c r="DOF162" s="367" t="s">
        <v>206</v>
      </c>
      <c r="DOG162" s="367"/>
      <c r="DOH162" s="367"/>
      <c r="DOI162" s="368" t="s">
        <v>168</v>
      </c>
      <c r="DOJ162" s="369">
        <v>0.5</v>
      </c>
      <c r="DOK162" s="370" t="e">
        <f>10/DOG160</f>
        <v>#DIV/0!</v>
      </c>
      <c r="DOL162" s="371">
        <v>15.38</v>
      </c>
      <c r="DOM162" s="371" t="e">
        <f>DOJ162*DOK162*DOL162</f>
        <v>#DIV/0!</v>
      </c>
      <c r="DON162" s="367" t="s">
        <v>206</v>
      </c>
      <c r="DOO162" s="367"/>
      <c r="DOP162" s="367"/>
      <c r="DOQ162" s="368" t="s">
        <v>168</v>
      </c>
      <c r="DOR162" s="369">
        <v>0.5</v>
      </c>
      <c r="DOS162" s="370" t="e">
        <f>10/DOO160</f>
        <v>#DIV/0!</v>
      </c>
      <c r="DOT162" s="371">
        <v>15.38</v>
      </c>
      <c r="DOU162" s="371" t="e">
        <f>DOR162*DOS162*DOT162</f>
        <v>#DIV/0!</v>
      </c>
      <c r="DOV162" s="367" t="s">
        <v>206</v>
      </c>
      <c r="DOW162" s="367"/>
      <c r="DOX162" s="367"/>
      <c r="DOY162" s="368" t="s">
        <v>168</v>
      </c>
      <c r="DOZ162" s="369">
        <v>0.5</v>
      </c>
      <c r="DPA162" s="370" t="e">
        <f>10/DOW160</f>
        <v>#DIV/0!</v>
      </c>
      <c r="DPB162" s="371">
        <v>15.38</v>
      </c>
      <c r="DPC162" s="371" t="e">
        <f>DOZ162*DPA162*DPB162</f>
        <v>#DIV/0!</v>
      </c>
      <c r="DPD162" s="367" t="s">
        <v>206</v>
      </c>
      <c r="DPE162" s="367"/>
      <c r="DPF162" s="367"/>
      <c r="DPG162" s="368" t="s">
        <v>168</v>
      </c>
      <c r="DPH162" s="369">
        <v>0.5</v>
      </c>
      <c r="DPI162" s="370" t="e">
        <f>10/DPE160</f>
        <v>#DIV/0!</v>
      </c>
      <c r="DPJ162" s="371">
        <v>15.38</v>
      </c>
      <c r="DPK162" s="371" t="e">
        <f>DPH162*DPI162*DPJ162</f>
        <v>#DIV/0!</v>
      </c>
      <c r="DPL162" s="367" t="s">
        <v>206</v>
      </c>
      <c r="DPM162" s="367"/>
      <c r="DPN162" s="367"/>
      <c r="DPO162" s="368" t="s">
        <v>168</v>
      </c>
      <c r="DPP162" s="369">
        <v>0.5</v>
      </c>
      <c r="DPQ162" s="370" t="e">
        <f>10/DPM160</f>
        <v>#DIV/0!</v>
      </c>
      <c r="DPR162" s="371">
        <v>15.38</v>
      </c>
      <c r="DPS162" s="371" t="e">
        <f>DPP162*DPQ162*DPR162</f>
        <v>#DIV/0!</v>
      </c>
      <c r="DPT162" s="367" t="s">
        <v>206</v>
      </c>
      <c r="DPU162" s="367"/>
      <c r="DPV162" s="367"/>
      <c r="DPW162" s="368" t="s">
        <v>168</v>
      </c>
      <c r="DPX162" s="369">
        <v>0.5</v>
      </c>
      <c r="DPY162" s="370" t="e">
        <f>10/DPU160</f>
        <v>#DIV/0!</v>
      </c>
      <c r="DPZ162" s="371">
        <v>15.38</v>
      </c>
      <c r="DQA162" s="371" t="e">
        <f>DPX162*DPY162*DPZ162</f>
        <v>#DIV/0!</v>
      </c>
      <c r="DQB162" s="367" t="s">
        <v>206</v>
      </c>
      <c r="DQC162" s="367"/>
      <c r="DQD162" s="367"/>
      <c r="DQE162" s="368" t="s">
        <v>168</v>
      </c>
      <c r="DQF162" s="369">
        <v>0.5</v>
      </c>
      <c r="DQG162" s="370" t="e">
        <f>10/DQC160</f>
        <v>#DIV/0!</v>
      </c>
      <c r="DQH162" s="371">
        <v>15.38</v>
      </c>
      <c r="DQI162" s="371" t="e">
        <f>DQF162*DQG162*DQH162</f>
        <v>#DIV/0!</v>
      </c>
      <c r="DQJ162" s="367" t="s">
        <v>206</v>
      </c>
      <c r="DQK162" s="367"/>
      <c r="DQL162" s="367"/>
      <c r="DQM162" s="368" t="s">
        <v>168</v>
      </c>
      <c r="DQN162" s="369">
        <v>0.5</v>
      </c>
      <c r="DQO162" s="370" t="e">
        <f>10/DQK160</f>
        <v>#DIV/0!</v>
      </c>
      <c r="DQP162" s="371">
        <v>15.38</v>
      </c>
      <c r="DQQ162" s="371" t="e">
        <f>DQN162*DQO162*DQP162</f>
        <v>#DIV/0!</v>
      </c>
      <c r="DQR162" s="367" t="s">
        <v>206</v>
      </c>
      <c r="DQS162" s="367"/>
      <c r="DQT162" s="367"/>
      <c r="DQU162" s="368" t="s">
        <v>168</v>
      </c>
      <c r="DQV162" s="369">
        <v>0.5</v>
      </c>
      <c r="DQW162" s="370" t="e">
        <f>10/DQS160</f>
        <v>#DIV/0!</v>
      </c>
      <c r="DQX162" s="371">
        <v>15.38</v>
      </c>
      <c r="DQY162" s="371" t="e">
        <f>DQV162*DQW162*DQX162</f>
        <v>#DIV/0!</v>
      </c>
      <c r="DQZ162" s="367" t="s">
        <v>206</v>
      </c>
      <c r="DRA162" s="367"/>
      <c r="DRB162" s="367"/>
      <c r="DRC162" s="368" t="s">
        <v>168</v>
      </c>
      <c r="DRD162" s="369">
        <v>0.5</v>
      </c>
      <c r="DRE162" s="370" t="e">
        <f>10/DRA160</f>
        <v>#DIV/0!</v>
      </c>
      <c r="DRF162" s="371">
        <v>15.38</v>
      </c>
      <c r="DRG162" s="371" t="e">
        <f>DRD162*DRE162*DRF162</f>
        <v>#DIV/0!</v>
      </c>
      <c r="DRH162" s="367" t="s">
        <v>206</v>
      </c>
      <c r="DRI162" s="367"/>
      <c r="DRJ162" s="367"/>
      <c r="DRK162" s="368" t="s">
        <v>168</v>
      </c>
      <c r="DRL162" s="369">
        <v>0.5</v>
      </c>
      <c r="DRM162" s="370" t="e">
        <f>10/DRI160</f>
        <v>#DIV/0!</v>
      </c>
      <c r="DRN162" s="371">
        <v>15.38</v>
      </c>
      <c r="DRO162" s="371" t="e">
        <f>DRL162*DRM162*DRN162</f>
        <v>#DIV/0!</v>
      </c>
      <c r="DRP162" s="367" t="s">
        <v>206</v>
      </c>
      <c r="DRQ162" s="367"/>
      <c r="DRR162" s="367"/>
      <c r="DRS162" s="368" t="s">
        <v>168</v>
      </c>
      <c r="DRT162" s="369">
        <v>0.5</v>
      </c>
      <c r="DRU162" s="370" t="e">
        <f>10/DRQ160</f>
        <v>#DIV/0!</v>
      </c>
      <c r="DRV162" s="371">
        <v>15.38</v>
      </c>
      <c r="DRW162" s="371" t="e">
        <f>DRT162*DRU162*DRV162</f>
        <v>#DIV/0!</v>
      </c>
      <c r="DRX162" s="367" t="s">
        <v>206</v>
      </c>
      <c r="DRY162" s="367"/>
      <c r="DRZ162" s="367"/>
      <c r="DSA162" s="368" t="s">
        <v>168</v>
      </c>
      <c r="DSB162" s="369">
        <v>0.5</v>
      </c>
      <c r="DSC162" s="370" t="e">
        <f>10/DRY160</f>
        <v>#DIV/0!</v>
      </c>
      <c r="DSD162" s="371">
        <v>15.38</v>
      </c>
      <c r="DSE162" s="371" t="e">
        <f>DSB162*DSC162*DSD162</f>
        <v>#DIV/0!</v>
      </c>
      <c r="DSF162" s="367" t="s">
        <v>206</v>
      </c>
      <c r="DSG162" s="367"/>
      <c r="DSH162" s="367"/>
      <c r="DSI162" s="368" t="s">
        <v>168</v>
      </c>
      <c r="DSJ162" s="369">
        <v>0.5</v>
      </c>
      <c r="DSK162" s="370" t="e">
        <f>10/DSG160</f>
        <v>#DIV/0!</v>
      </c>
      <c r="DSL162" s="371">
        <v>15.38</v>
      </c>
      <c r="DSM162" s="371" t="e">
        <f>DSJ162*DSK162*DSL162</f>
        <v>#DIV/0!</v>
      </c>
      <c r="DSN162" s="367" t="s">
        <v>206</v>
      </c>
      <c r="DSO162" s="367"/>
      <c r="DSP162" s="367"/>
      <c r="DSQ162" s="368" t="s">
        <v>168</v>
      </c>
      <c r="DSR162" s="369">
        <v>0.5</v>
      </c>
      <c r="DSS162" s="370" t="e">
        <f>10/DSO160</f>
        <v>#DIV/0!</v>
      </c>
      <c r="DST162" s="371">
        <v>15.38</v>
      </c>
      <c r="DSU162" s="371" t="e">
        <f>DSR162*DSS162*DST162</f>
        <v>#DIV/0!</v>
      </c>
      <c r="DSV162" s="367" t="s">
        <v>206</v>
      </c>
      <c r="DSW162" s="367"/>
      <c r="DSX162" s="367"/>
      <c r="DSY162" s="368" t="s">
        <v>168</v>
      </c>
      <c r="DSZ162" s="369">
        <v>0.5</v>
      </c>
      <c r="DTA162" s="370" t="e">
        <f>10/DSW160</f>
        <v>#DIV/0!</v>
      </c>
      <c r="DTB162" s="371">
        <v>15.38</v>
      </c>
      <c r="DTC162" s="371" t="e">
        <f>DSZ162*DTA162*DTB162</f>
        <v>#DIV/0!</v>
      </c>
      <c r="DTD162" s="367" t="s">
        <v>206</v>
      </c>
      <c r="DTE162" s="367"/>
      <c r="DTF162" s="367"/>
      <c r="DTG162" s="368" t="s">
        <v>168</v>
      </c>
      <c r="DTH162" s="369">
        <v>0.5</v>
      </c>
      <c r="DTI162" s="370" t="e">
        <f>10/DTE160</f>
        <v>#DIV/0!</v>
      </c>
      <c r="DTJ162" s="371">
        <v>15.38</v>
      </c>
      <c r="DTK162" s="371" t="e">
        <f>DTH162*DTI162*DTJ162</f>
        <v>#DIV/0!</v>
      </c>
      <c r="DTL162" s="367" t="s">
        <v>206</v>
      </c>
      <c r="DTM162" s="367"/>
      <c r="DTN162" s="367"/>
      <c r="DTO162" s="368" t="s">
        <v>168</v>
      </c>
      <c r="DTP162" s="369">
        <v>0.5</v>
      </c>
      <c r="DTQ162" s="370" t="e">
        <f>10/DTM160</f>
        <v>#DIV/0!</v>
      </c>
      <c r="DTR162" s="371">
        <v>15.38</v>
      </c>
      <c r="DTS162" s="371" t="e">
        <f>DTP162*DTQ162*DTR162</f>
        <v>#DIV/0!</v>
      </c>
      <c r="DTT162" s="367" t="s">
        <v>206</v>
      </c>
      <c r="DTU162" s="367"/>
      <c r="DTV162" s="367"/>
      <c r="DTW162" s="368" t="s">
        <v>168</v>
      </c>
      <c r="DTX162" s="369">
        <v>0.5</v>
      </c>
      <c r="DTY162" s="370" t="e">
        <f>10/DTU160</f>
        <v>#DIV/0!</v>
      </c>
      <c r="DTZ162" s="371">
        <v>15.38</v>
      </c>
      <c r="DUA162" s="371" t="e">
        <f>DTX162*DTY162*DTZ162</f>
        <v>#DIV/0!</v>
      </c>
      <c r="DUB162" s="367" t="s">
        <v>206</v>
      </c>
      <c r="DUC162" s="367"/>
      <c r="DUD162" s="367"/>
      <c r="DUE162" s="368" t="s">
        <v>168</v>
      </c>
      <c r="DUF162" s="369">
        <v>0.5</v>
      </c>
      <c r="DUG162" s="370" t="e">
        <f>10/DUC160</f>
        <v>#DIV/0!</v>
      </c>
      <c r="DUH162" s="371">
        <v>15.38</v>
      </c>
      <c r="DUI162" s="371" t="e">
        <f>DUF162*DUG162*DUH162</f>
        <v>#DIV/0!</v>
      </c>
      <c r="DUJ162" s="367" t="s">
        <v>206</v>
      </c>
      <c r="DUK162" s="367"/>
      <c r="DUL162" s="367"/>
      <c r="DUM162" s="368" t="s">
        <v>168</v>
      </c>
      <c r="DUN162" s="369">
        <v>0.5</v>
      </c>
      <c r="DUO162" s="370" t="e">
        <f>10/DUK160</f>
        <v>#DIV/0!</v>
      </c>
      <c r="DUP162" s="371">
        <v>15.38</v>
      </c>
      <c r="DUQ162" s="371" t="e">
        <f>DUN162*DUO162*DUP162</f>
        <v>#DIV/0!</v>
      </c>
      <c r="DUR162" s="367" t="s">
        <v>206</v>
      </c>
      <c r="DUS162" s="367"/>
      <c r="DUT162" s="367"/>
      <c r="DUU162" s="368" t="s">
        <v>168</v>
      </c>
      <c r="DUV162" s="369">
        <v>0.5</v>
      </c>
      <c r="DUW162" s="370" t="e">
        <f>10/DUS160</f>
        <v>#DIV/0!</v>
      </c>
      <c r="DUX162" s="371">
        <v>15.38</v>
      </c>
      <c r="DUY162" s="371" t="e">
        <f>DUV162*DUW162*DUX162</f>
        <v>#DIV/0!</v>
      </c>
      <c r="DUZ162" s="367" t="s">
        <v>206</v>
      </c>
      <c r="DVA162" s="367"/>
      <c r="DVB162" s="367"/>
      <c r="DVC162" s="368" t="s">
        <v>168</v>
      </c>
      <c r="DVD162" s="369">
        <v>0.5</v>
      </c>
      <c r="DVE162" s="370" t="e">
        <f>10/DVA160</f>
        <v>#DIV/0!</v>
      </c>
      <c r="DVF162" s="371">
        <v>15.38</v>
      </c>
      <c r="DVG162" s="371" t="e">
        <f>DVD162*DVE162*DVF162</f>
        <v>#DIV/0!</v>
      </c>
      <c r="DVH162" s="367" t="s">
        <v>206</v>
      </c>
      <c r="DVI162" s="367"/>
      <c r="DVJ162" s="367"/>
      <c r="DVK162" s="368" t="s">
        <v>168</v>
      </c>
      <c r="DVL162" s="369">
        <v>0.5</v>
      </c>
      <c r="DVM162" s="370" t="e">
        <f>10/DVI160</f>
        <v>#DIV/0!</v>
      </c>
      <c r="DVN162" s="371">
        <v>15.38</v>
      </c>
      <c r="DVO162" s="371" t="e">
        <f>DVL162*DVM162*DVN162</f>
        <v>#DIV/0!</v>
      </c>
      <c r="DVP162" s="367" t="s">
        <v>206</v>
      </c>
      <c r="DVQ162" s="367"/>
      <c r="DVR162" s="367"/>
      <c r="DVS162" s="368" t="s">
        <v>168</v>
      </c>
      <c r="DVT162" s="369">
        <v>0.5</v>
      </c>
      <c r="DVU162" s="370" t="e">
        <f>10/DVQ160</f>
        <v>#DIV/0!</v>
      </c>
      <c r="DVV162" s="371">
        <v>15.38</v>
      </c>
      <c r="DVW162" s="371" t="e">
        <f>DVT162*DVU162*DVV162</f>
        <v>#DIV/0!</v>
      </c>
      <c r="DVX162" s="367" t="s">
        <v>206</v>
      </c>
      <c r="DVY162" s="367"/>
      <c r="DVZ162" s="367"/>
      <c r="DWA162" s="368" t="s">
        <v>168</v>
      </c>
      <c r="DWB162" s="369">
        <v>0.5</v>
      </c>
      <c r="DWC162" s="370" t="e">
        <f>10/DVY160</f>
        <v>#DIV/0!</v>
      </c>
      <c r="DWD162" s="371">
        <v>15.38</v>
      </c>
      <c r="DWE162" s="371" t="e">
        <f>DWB162*DWC162*DWD162</f>
        <v>#DIV/0!</v>
      </c>
      <c r="DWF162" s="367" t="s">
        <v>206</v>
      </c>
      <c r="DWG162" s="367"/>
      <c r="DWH162" s="367"/>
      <c r="DWI162" s="368" t="s">
        <v>168</v>
      </c>
      <c r="DWJ162" s="369">
        <v>0.5</v>
      </c>
      <c r="DWK162" s="370" t="e">
        <f>10/DWG160</f>
        <v>#DIV/0!</v>
      </c>
      <c r="DWL162" s="371">
        <v>15.38</v>
      </c>
      <c r="DWM162" s="371" t="e">
        <f>DWJ162*DWK162*DWL162</f>
        <v>#DIV/0!</v>
      </c>
      <c r="DWN162" s="367" t="s">
        <v>206</v>
      </c>
      <c r="DWO162" s="367"/>
      <c r="DWP162" s="367"/>
      <c r="DWQ162" s="368" t="s">
        <v>168</v>
      </c>
      <c r="DWR162" s="369">
        <v>0.5</v>
      </c>
      <c r="DWS162" s="370" t="e">
        <f>10/DWO160</f>
        <v>#DIV/0!</v>
      </c>
      <c r="DWT162" s="371">
        <v>15.38</v>
      </c>
      <c r="DWU162" s="371" t="e">
        <f>DWR162*DWS162*DWT162</f>
        <v>#DIV/0!</v>
      </c>
      <c r="DWV162" s="367" t="s">
        <v>206</v>
      </c>
      <c r="DWW162" s="367"/>
      <c r="DWX162" s="367"/>
      <c r="DWY162" s="368" t="s">
        <v>168</v>
      </c>
      <c r="DWZ162" s="369">
        <v>0.5</v>
      </c>
      <c r="DXA162" s="370" t="e">
        <f>10/DWW160</f>
        <v>#DIV/0!</v>
      </c>
      <c r="DXB162" s="371">
        <v>15.38</v>
      </c>
      <c r="DXC162" s="371" t="e">
        <f>DWZ162*DXA162*DXB162</f>
        <v>#DIV/0!</v>
      </c>
      <c r="DXD162" s="367" t="s">
        <v>206</v>
      </c>
      <c r="DXE162" s="367"/>
      <c r="DXF162" s="367"/>
      <c r="DXG162" s="368" t="s">
        <v>168</v>
      </c>
      <c r="DXH162" s="369">
        <v>0.5</v>
      </c>
      <c r="DXI162" s="370" t="e">
        <f>10/DXE160</f>
        <v>#DIV/0!</v>
      </c>
      <c r="DXJ162" s="371">
        <v>15.38</v>
      </c>
      <c r="DXK162" s="371" t="e">
        <f>DXH162*DXI162*DXJ162</f>
        <v>#DIV/0!</v>
      </c>
      <c r="DXL162" s="367" t="s">
        <v>206</v>
      </c>
      <c r="DXM162" s="367"/>
      <c r="DXN162" s="367"/>
      <c r="DXO162" s="368" t="s">
        <v>168</v>
      </c>
      <c r="DXP162" s="369">
        <v>0.5</v>
      </c>
      <c r="DXQ162" s="370" t="e">
        <f>10/DXM160</f>
        <v>#DIV/0!</v>
      </c>
      <c r="DXR162" s="371">
        <v>15.38</v>
      </c>
      <c r="DXS162" s="371" t="e">
        <f>DXP162*DXQ162*DXR162</f>
        <v>#DIV/0!</v>
      </c>
      <c r="DXT162" s="367" t="s">
        <v>206</v>
      </c>
      <c r="DXU162" s="367"/>
      <c r="DXV162" s="367"/>
      <c r="DXW162" s="368" t="s">
        <v>168</v>
      </c>
      <c r="DXX162" s="369">
        <v>0.5</v>
      </c>
      <c r="DXY162" s="370" t="e">
        <f>10/DXU160</f>
        <v>#DIV/0!</v>
      </c>
      <c r="DXZ162" s="371">
        <v>15.38</v>
      </c>
      <c r="DYA162" s="371" t="e">
        <f>DXX162*DXY162*DXZ162</f>
        <v>#DIV/0!</v>
      </c>
      <c r="DYB162" s="367" t="s">
        <v>206</v>
      </c>
      <c r="DYC162" s="367"/>
      <c r="DYD162" s="367"/>
      <c r="DYE162" s="368" t="s">
        <v>168</v>
      </c>
      <c r="DYF162" s="369">
        <v>0.5</v>
      </c>
      <c r="DYG162" s="370" t="e">
        <f>10/DYC160</f>
        <v>#DIV/0!</v>
      </c>
      <c r="DYH162" s="371">
        <v>15.38</v>
      </c>
      <c r="DYI162" s="371" t="e">
        <f>DYF162*DYG162*DYH162</f>
        <v>#DIV/0!</v>
      </c>
      <c r="DYJ162" s="367" t="s">
        <v>206</v>
      </c>
      <c r="DYK162" s="367"/>
      <c r="DYL162" s="367"/>
      <c r="DYM162" s="368" t="s">
        <v>168</v>
      </c>
      <c r="DYN162" s="369">
        <v>0.5</v>
      </c>
      <c r="DYO162" s="370" t="e">
        <f>10/DYK160</f>
        <v>#DIV/0!</v>
      </c>
      <c r="DYP162" s="371">
        <v>15.38</v>
      </c>
      <c r="DYQ162" s="371" t="e">
        <f>DYN162*DYO162*DYP162</f>
        <v>#DIV/0!</v>
      </c>
      <c r="DYR162" s="367" t="s">
        <v>206</v>
      </c>
      <c r="DYS162" s="367"/>
      <c r="DYT162" s="367"/>
      <c r="DYU162" s="368" t="s">
        <v>168</v>
      </c>
      <c r="DYV162" s="369">
        <v>0.5</v>
      </c>
      <c r="DYW162" s="370" t="e">
        <f>10/DYS160</f>
        <v>#DIV/0!</v>
      </c>
      <c r="DYX162" s="371">
        <v>15.38</v>
      </c>
      <c r="DYY162" s="371" t="e">
        <f>DYV162*DYW162*DYX162</f>
        <v>#DIV/0!</v>
      </c>
      <c r="DYZ162" s="367" t="s">
        <v>206</v>
      </c>
      <c r="DZA162" s="367"/>
      <c r="DZB162" s="367"/>
      <c r="DZC162" s="368" t="s">
        <v>168</v>
      </c>
      <c r="DZD162" s="369">
        <v>0.5</v>
      </c>
      <c r="DZE162" s="370" t="e">
        <f>10/DZA160</f>
        <v>#DIV/0!</v>
      </c>
      <c r="DZF162" s="371">
        <v>15.38</v>
      </c>
      <c r="DZG162" s="371" t="e">
        <f>DZD162*DZE162*DZF162</f>
        <v>#DIV/0!</v>
      </c>
      <c r="DZH162" s="367" t="s">
        <v>206</v>
      </c>
      <c r="DZI162" s="367"/>
      <c r="DZJ162" s="367"/>
      <c r="DZK162" s="368" t="s">
        <v>168</v>
      </c>
      <c r="DZL162" s="369">
        <v>0.5</v>
      </c>
      <c r="DZM162" s="370" t="e">
        <f>10/DZI160</f>
        <v>#DIV/0!</v>
      </c>
      <c r="DZN162" s="371">
        <v>15.38</v>
      </c>
      <c r="DZO162" s="371" t="e">
        <f>DZL162*DZM162*DZN162</f>
        <v>#DIV/0!</v>
      </c>
      <c r="DZP162" s="367" t="s">
        <v>206</v>
      </c>
      <c r="DZQ162" s="367"/>
      <c r="DZR162" s="367"/>
      <c r="DZS162" s="368" t="s">
        <v>168</v>
      </c>
      <c r="DZT162" s="369">
        <v>0.5</v>
      </c>
      <c r="DZU162" s="370" t="e">
        <f>10/DZQ160</f>
        <v>#DIV/0!</v>
      </c>
      <c r="DZV162" s="371">
        <v>15.38</v>
      </c>
      <c r="DZW162" s="371" t="e">
        <f>DZT162*DZU162*DZV162</f>
        <v>#DIV/0!</v>
      </c>
      <c r="DZX162" s="367" t="s">
        <v>206</v>
      </c>
      <c r="DZY162" s="367"/>
      <c r="DZZ162" s="367"/>
      <c r="EAA162" s="368" t="s">
        <v>168</v>
      </c>
      <c r="EAB162" s="369">
        <v>0.5</v>
      </c>
      <c r="EAC162" s="370" t="e">
        <f>10/DZY160</f>
        <v>#DIV/0!</v>
      </c>
      <c r="EAD162" s="371">
        <v>15.38</v>
      </c>
      <c r="EAE162" s="371" t="e">
        <f>EAB162*EAC162*EAD162</f>
        <v>#DIV/0!</v>
      </c>
      <c r="EAF162" s="367" t="s">
        <v>206</v>
      </c>
      <c r="EAG162" s="367"/>
      <c r="EAH162" s="367"/>
      <c r="EAI162" s="368" t="s">
        <v>168</v>
      </c>
      <c r="EAJ162" s="369">
        <v>0.5</v>
      </c>
      <c r="EAK162" s="370" t="e">
        <f>10/EAG160</f>
        <v>#DIV/0!</v>
      </c>
      <c r="EAL162" s="371">
        <v>15.38</v>
      </c>
      <c r="EAM162" s="371" t="e">
        <f>EAJ162*EAK162*EAL162</f>
        <v>#DIV/0!</v>
      </c>
      <c r="EAN162" s="367" t="s">
        <v>206</v>
      </c>
      <c r="EAO162" s="367"/>
      <c r="EAP162" s="367"/>
      <c r="EAQ162" s="368" t="s">
        <v>168</v>
      </c>
      <c r="EAR162" s="369">
        <v>0.5</v>
      </c>
      <c r="EAS162" s="370" t="e">
        <f>10/EAO160</f>
        <v>#DIV/0!</v>
      </c>
      <c r="EAT162" s="371">
        <v>15.38</v>
      </c>
      <c r="EAU162" s="371" t="e">
        <f>EAR162*EAS162*EAT162</f>
        <v>#DIV/0!</v>
      </c>
      <c r="EAV162" s="367" t="s">
        <v>206</v>
      </c>
      <c r="EAW162" s="367"/>
      <c r="EAX162" s="367"/>
      <c r="EAY162" s="368" t="s">
        <v>168</v>
      </c>
      <c r="EAZ162" s="369">
        <v>0.5</v>
      </c>
      <c r="EBA162" s="370" t="e">
        <f>10/EAW160</f>
        <v>#DIV/0!</v>
      </c>
      <c r="EBB162" s="371">
        <v>15.38</v>
      </c>
      <c r="EBC162" s="371" t="e">
        <f>EAZ162*EBA162*EBB162</f>
        <v>#DIV/0!</v>
      </c>
      <c r="EBD162" s="367" t="s">
        <v>206</v>
      </c>
      <c r="EBE162" s="367"/>
      <c r="EBF162" s="367"/>
      <c r="EBG162" s="368" t="s">
        <v>168</v>
      </c>
      <c r="EBH162" s="369">
        <v>0.5</v>
      </c>
      <c r="EBI162" s="370" t="e">
        <f>10/EBE160</f>
        <v>#DIV/0!</v>
      </c>
      <c r="EBJ162" s="371">
        <v>15.38</v>
      </c>
      <c r="EBK162" s="371" t="e">
        <f>EBH162*EBI162*EBJ162</f>
        <v>#DIV/0!</v>
      </c>
      <c r="EBL162" s="367" t="s">
        <v>206</v>
      </c>
      <c r="EBM162" s="367"/>
      <c r="EBN162" s="367"/>
      <c r="EBO162" s="368" t="s">
        <v>168</v>
      </c>
      <c r="EBP162" s="369">
        <v>0.5</v>
      </c>
      <c r="EBQ162" s="370" t="e">
        <f>10/EBM160</f>
        <v>#DIV/0!</v>
      </c>
      <c r="EBR162" s="371">
        <v>15.38</v>
      </c>
      <c r="EBS162" s="371" t="e">
        <f>EBP162*EBQ162*EBR162</f>
        <v>#DIV/0!</v>
      </c>
      <c r="EBT162" s="367" t="s">
        <v>206</v>
      </c>
      <c r="EBU162" s="367"/>
      <c r="EBV162" s="367"/>
      <c r="EBW162" s="368" t="s">
        <v>168</v>
      </c>
      <c r="EBX162" s="369">
        <v>0.5</v>
      </c>
      <c r="EBY162" s="370" t="e">
        <f>10/EBU160</f>
        <v>#DIV/0!</v>
      </c>
      <c r="EBZ162" s="371">
        <v>15.38</v>
      </c>
      <c r="ECA162" s="371" t="e">
        <f>EBX162*EBY162*EBZ162</f>
        <v>#DIV/0!</v>
      </c>
      <c r="ECB162" s="367" t="s">
        <v>206</v>
      </c>
      <c r="ECC162" s="367"/>
      <c r="ECD162" s="367"/>
      <c r="ECE162" s="368" t="s">
        <v>168</v>
      </c>
      <c r="ECF162" s="369">
        <v>0.5</v>
      </c>
      <c r="ECG162" s="370" t="e">
        <f>10/ECC160</f>
        <v>#DIV/0!</v>
      </c>
      <c r="ECH162" s="371">
        <v>15.38</v>
      </c>
      <c r="ECI162" s="371" t="e">
        <f>ECF162*ECG162*ECH162</f>
        <v>#DIV/0!</v>
      </c>
      <c r="ECJ162" s="367" t="s">
        <v>206</v>
      </c>
      <c r="ECK162" s="367"/>
      <c r="ECL162" s="367"/>
      <c r="ECM162" s="368" t="s">
        <v>168</v>
      </c>
      <c r="ECN162" s="369">
        <v>0.5</v>
      </c>
      <c r="ECO162" s="370" t="e">
        <f>10/ECK160</f>
        <v>#DIV/0!</v>
      </c>
      <c r="ECP162" s="371">
        <v>15.38</v>
      </c>
      <c r="ECQ162" s="371" t="e">
        <f>ECN162*ECO162*ECP162</f>
        <v>#DIV/0!</v>
      </c>
      <c r="ECR162" s="367" t="s">
        <v>206</v>
      </c>
      <c r="ECS162" s="367"/>
      <c r="ECT162" s="367"/>
      <c r="ECU162" s="368" t="s">
        <v>168</v>
      </c>
      <c r="ECV162" s="369">
        <v>0.5</v>
      </c>
      <c r="ECW162" s="370" t="e">
        <f>10/ECS160</f>
        <v>#DIV/0!</v>
      </c>
      <c r="ECX162" s="371">
        <v>15.38</v>
      </c>
      <c r="ECY162" s="371" t="e">
        <f>ECV162*ECW162*ECX162</f>
        <v>#DIV/0!</v>
      </c>
      <c r="ECZ162" s="367" t="s">
        <v>206</v>
      </c>
      <c r="EDA162" s="367"/>
      <c r="EDB162" s="367"/>
      <c r="EDC162" s="368" t="s">
        <v>168</v>
      </c>
      <c r="EDD162" s="369">
        <v>0.5</v>
      </c>
      <c r="EDE162" s="370" t="e">
        <f>10/EDA160</f>
        <v>#DIV/0!</v>
      </c>
      <c r="EDF162" s="371">
        <v>15.38</v>
      </c>
      <c r="EDG162" s="371" t="e">
        <f>EDD162*EDE162*EDF162</f>
        <v>#DIV/0!</v>
      </c>
      <c r="EDH162" s="367" t="s">
        <v>206</v>
      </c>
      <c r="EDI162" s="367"/>
      <c r="EDJ162" s="367"/>
      <c r="EDK162" s="368" t="s">
        <v>168</v>
      </c>
      <c r="EDL162" s="369">
        <v>0.5</v>
      </c>
      <c r="EDM162" s="370" t="e">
        <f>10/EDI160</f>
        <v>#DIV/0!</v>
      </c>
      <c r="EDN162" s="371">
        <v>15.38</v>
      </c>
      <c r="EDO162" s="371" t="e">
        <f>EDL162*EDM162*EDN162</f>
        <v>#DIV/0!</v>
      </c>
      <c r="EDP162" s="367" t="s">
        <v>206</v>
      </c>
      <c r="EDQ162" s="367"/>
      <c r="EDR162" s="367"/>
      <c r="EDS162" s="368" t="s">
        <v>168</v>
      </c>
      <c r="EDT162" s="369">
        <v>0.5</v>
      </c>
      <c r="EDU162" s="370" t="e">
        <f>10/EDQ160</f>
        <v>#DIV/0!</v>
      </c>
      <c r="EDV162" s="371">
        <v>15.38</v>
      </c>
      <c r="EDW162" s="371" t="e">
        <f>EDT162*EDU162*EDV162</f>
        <v>#DIV/0!</v>
      </c>
      <c r="EDX162" s="367" t="s">
        <v>206</v>
      </c>
      <c r="EDY162" s="367"/>
      <c r="EDZ162" s="367"/>
      <c r="EEA162" s="368" t="s">
        <v>168</v>
      </c>
      <c r="EEB162" s="369">
        <v>0.5</v>
      </c>
      <c r="EEC162" s="370" t="e">
        <f>10/EDY160</f>
        <v>#DIV/0!</v>
      </c>
      <c r="EED162" s="371">
        <v>15.38</v>
      </c>
      <c r="EEE162" s="371" t="e">
        <f>EEB162*EEC162*EED162</f>
        <v>#DIV/0!</v>
      </c>
      <c r="EEF162" s="367" t="s">
        <v>206</v>
      </c>
      <c r="EEG162" s="367"/>
      <c r="EEH162" s="367"/>
      <c r="EEI162" s="368" t="s">
        <v>168</v>
      </c>
      <c r="EEJ162" s="369">
        <v>0.5</v>
      </c>
      <c r="EEK162" s="370" t="e">
        <f>10/EEG160</f>
        <v>#DIV/0!</v>
      </c>
      <c r="EEL162" s="371">
        <v>15.38</v>
      </c>
      <c r="EEM162" s="371" t="e">
        <f>EEJ162*EEK162*EEL162</f>
        <v>#DIV/0!</v>
      </c>
      <c r="EEN162" s="367" t="s">
        <v>206</v>
      </c>
      <c r="EEO162" s="367"/>
      <c r="EEP162" s="367"/>
      <c r="EEQ162" s="368" t="s">
        <v>168</v>
      </c>
      <c r="EER162" s="369">
        <v>0.5</v>
      </c>
      <c r="EES162" s="370" t="e">
        <f>10/EEO160</f>
        <v>#DIV/0!</v>
      </c>
      <c r="EET162" s="371">
        <v>15.38</v>
      </c>
      <c r="EEU162" s="371" t="e">
        <f>EER162*EES162*EET162</f>
        <v>#DIV/0!</v>
      </c>
      <c r="EEV162" s="367" t="s">
        <v>206</v>
      </c>
      <c r="EEW162" s="367"/>
      <c r="EEX162" s="367"/>
      <c r="EEY162" s="368" t="s">
        <v>168</v>
      </c>
      <c r="EEZ162" s="369">
        <v>0.5</v>
      </c>
      <c r="EFA162" s="370" t="e">
        <f>10/EEW160</f>
        <v>#DIV/0!</v>
      </c>
      <c r="EFB162" s="371">
        <v>15.38</v>
      </c>
      <c r="EFC162" s="371" t="e">
        <f>EEZ162*EFA162*EFB162</f>
        <v>#DIV/0!</v>
      </c>
      <c r="EFD162" s="367" t="s">
        <v>206</v>
      </c>
      <c r="EFE162" s="367"/>
      <c r="EFF162" s="367"/>
      <c r="EFG162" s="368" t="s">
        <v>168</v>
      </c>
      <c r="EFH162" s="369">
        <v>0.5</v>
      </c>
      <c r="EFI162" s="370" t="e">
        <f>10/EFE160</f>
        <v>#DIV/0!</v>
      </c>
      <c r="EFJ162" s="371">
        <v>15.38</v>
      </c>
      <c r="EFK162" s="371" t="e">
        <f>EFH162*EFI162*EFJ162</f>
        <v>#DIV/0!</v>
      </c>
      <c r="EFL162" s="367" t="s">
        <v>206</v>
      </c>
      <c r="EFM162" s="367"/>
      <c r="EFN162" s="367"/>
      <c r="EFO162" s="368" t="s">
        <v>168</v>
      </c>
      <c r="EFP162" s="369">
        <v>0.5</v>
      </c>
      <c r="EFQ162" s="370" t="e">
        <f>10/EFM160</f>
        <v>#DIV/0!</v>
      </c>
      <c r="EFR162" s="371">
        <v>15.38</v>
      </c>
      <c r="EFS162" s="371" t="e">
        <f>EFP162*EFQ162*EFR162</f>
        <v>#DIV/0!</v>
      </c>
      <c r="EFT162" s="367" t="s">
        <v>206</v>
      </c>
      <c r="EFU162" s="367"/>
      <c r="EFV162" s="367"/>
      <c r="EFW162" s="368" t="s">
        <v>168</v>
      </c>
      <c r="EFX162" s="369">
        <v>0.5</v>
      </c>
      <c r="EFY162" s="370" t="e">
        <f>10/EFU160</f>
        <v>#DIV/0!</v>
      </c>
      <c r="EFZ162" s="371">
        <v>15.38</v>
      </c>
      <c r="EGA162" s="371" t="e">
        <f>EFX162*EFY162*EFZ162</f>
        <v>#DIV/0!</v>
      </c>
      <c r="EGB162" s="367" t="s">
        <v>206</v>
      </c>
      <c r="EGC162" s="367"/>
      <c r="EGD162" s="367"/>
      <c r="EGE162" s="368" t="s">
        <v>168</v>
      </c>
      <c r="EGF162" s="369">
        <v>0.5</v>
      </c>
      <c r="EGG162" s="370" t="e">
        <f>10/EGC160</f>
        <v>#DIV/0!</v>
      </c>
      <c r="EGH162" s="371">
        <v>15.38</v>
      </c>
      <c r="EGI162" s="371" t="e">
        <f>EGF162*EGG162*EGH162</f>
        <v>#DIV/0!</v>
      </c>
      <c r="EGJ162" s="367" t="s">
        <v>206</v>
      </c>
      <c r="EGK162" s="367"/>
      <c r="EGL162" s="367"/>
      <c r="EGM162" s="368" t="s">
        <v>168</v>
      </c>
      <c r="EGN162" s="369">
        <v>0.5</v>
      </c>
      <c r="EGO162" s="370" t="e">
        <f>10/EGK160</f>
        <v>#DIV/0!</v>
      </c>
      <c r="EGP162" s="371">
        <v>15.38</v>
      </c>
      <c r="EGQ162" s="371" t="e">
        <f>EGN162*EGO162*EGP162</f>
        <v>#DIV/0!</v>
      </c>
      <c r="EGR162" s="367" t="s">
        <v>206</v>
      </c>
      <c r="EGS162" s="367"/>
      <c r="EGT162" s="367"/>
      <c r="EGU162" s="368" t="s">
        <v>168</v>
      </c>
      <c r="EGV162" s="369">
        <v>0.5</v>
      </c>
      <c r="EGW162" s="370" t="e">
        <f>10/EGS160</f>
        <v>#DIV/0!</v>
      </c>
      <c r="EGX162" s="371">
        <v>15.38</v>
      </c>
      <c r="EGY162" s="371" t="e">
        <f>EGV162*EGW162*EGX162</f>
        <v>#DIV/0!</v>
      </c>
      <c r="EGZ162" s="367" t="s">
        <v>206</v>
      </c>
      <c r="EHA162" s="367"/>
      <c r="EHB162" s="367"/>
      <c r="EHC162" s="368" t="s">
        <v>168</v>
      </c>
      <c r="EHD162" s="369">
        <v>0.5</v>
      </c>
      <c r="EHE162" s="370" t="e">
        <f>10/EHA160</f>
        <v>#DIV/0!</v>
      </c>
      <c r="EHF162" s="371">
        <v>15.38</v>
      </c>
      <c r="EHG162" s="371" t="e">
        <f>EHD162*EHE162*EHF162</f>
        <v>#DIV/0!</v>
      </c>
      <c r="EHH162" s="367" t="s">
        <v>206</v>
      </c>
      <c r="EHI162" s="367"/>
      <c r="EHJ162" s="367"/>
      <c r="EHK162" s="368" t="s">
        <v>168</v>
      </c>
      <c r="EHL162" s="369">
        <v>0.5</v>
      </c>
      <c r="EHM162" s="370" t="e">
        <f>10/EHI160</f>
        <v>#DIV/0!</v>
      </c>
      <c r="EHN162" s="371">
        <v>15.38</v>
      </c>
      <c r="EHO162" s="371" t="e">
        <f>EHL162*EHM162*EHN162</f>
        <v>#DIV/0!</v>
      </c>
      <c r="EHP162" s="367" t="s">
        <v>206</v>
      </c>
      <c r="EHQ162" s="367"/>
      <c r="EHR162" s="367"/>
      <c r="EHS162" s="368" t="s">
        <v>168</v>
      </c>
      <c r="EHT162" s="369">
        <v>0.5</v>
      </c>
      <c r="EHU162" s="370" t="e">
        <f>10/EHQ160</f>
        <v>#DIV/0!</v>
      </c>
      <c r="EHV162" s="371">
        <v>15.38</v>
      </c>
      <c r="EHW162" s="371" t="e">
        <f>EHT162*EHU162*EHV162</f>
        <v>#DIV/0!</v>
      </c>
      <c r="EHX162" s="367" t="s">
        <v>206</v>
      </c>
      <c r="EHY162" s="367"/>
      <c r="EHZ162" s="367"/>
      <c r="EIA162" s="368" t="s">
        <v>168</v>
      </c>
      <c r="EIB162" s="369">
        <v>0.5</v>
      </c>
      <c r="EIC162" s="370" t="e">
        <f>10/EHY160</f>
        <v>#DIV/0!</v>
      </c>
      <c r="EID162" s="371">
        <v>15.38</v>
      </c>
      <c r="EIE162" s="371" t="e">
        <f>EIB162*EIC162*EID162</f>
        <v>#DIV/0!</v>
      </c>
      <c r="EIF162" s="367" t="s">
        <v>206</v>
      </c>
      <c r="EIG162" s="367"/>
      <c r="EIH162" s="367"/>
      <c r="EII162" s="368" t="s">
        <v>168</v>
      </c>
      <c r="EIJ162" s="369">
        <v>0.5</v>
      </c>
      <c r="EIK162" s="370" t="e">
        <f>10/EIG160</f>
        <v>#DIV/0!</v>
      </c>
      <c r="EIL162" s="371">
        <v>15.38</v>
      </c>
      <c r="EIM162" s="371" t="e">
        <f>EIJ162*EIK162*EIL162</f>
        <v>#DIV/0!</v>
      </c>
      <c r="EIN162" s="367" t="s">
        <v>206</v>
      </c>
      <c r="EIO162" s="367"/>
      <c r="EIP162" s="367"/>
      <c r="EIQ162" s="368" t="s">
        <v>168</v>
      </c>
      <c r="EIR162" s="369">
        <v>0.5</v>
      </c>
      <c r="EIS162" s="370" t="e">
        <f>10/EIO160</f>
        <v>#DIV/0!</v>
      </c>
      <c r="EIT162" s="371">
        <v>15.38</v>
      </c>
      <c r="EIU162" s="371" t="e">
        <f>EIR162*EIS162*EIT162</f>
        <v>#DIV/0!</v>
      </c>
      <c r="EIV162" s="367" t="s">
        <v>206</v>
      </c>
      <c r="EIW162" s="367"/>
      <c r="EIX162" s="367"/>
      <c r="EIY162" s="368" t="s">
        <v>168</v>
      </c>
      <c r="EIZ162" s="369">
        <v>0.5</v>
      </c>
      <c r="EJA162" s="370" t="e">
        <f>10/EIW160</f>
        <v>#DIV/0!</v>
      </c>
      <c r="EJB162" s="371">
        <v>15.38</v>
      </c>
      <c r="EJC162" s="371" t="e">
        <f>EIZ162*EJA162*EJB162</f>
        <v>#DIV/0!</v>
      </c>
      <c r="EJD162" s="367" t="s">
        <v>206</v>
      </c>
      <c r="EJE162" s="367"/>
      <c r="EJF162" s="367"/>
      <c r="EJG162" s="368" t="s">
        <v>168</v>
      </c>
      <c r="EJH162" s="369">
        <v>0.5</v>
      </c>
      <c r="EJI162" s="370" t="e">
        <f>10/EJE160</f>
        <v>#DIV/0!</v>
      </c>
      <c r="EJJ162" s="371">
        <v>15.38</v>
      </c>
      <c r="EJK162" s="371" t="e">
        <f>EJH162*EJI162*EJJ162</f>
        <v>#DIV/0!</v>
      </c>
      <c r="EJL162" s="367" t="s">
        <v>206</v>
      </c>
      <c r="EJM162" s="367"/>
      <c r="EJN162" s="367"/>
      <c r="EJO162" s="368" t="s">
        <v>168</v>
      </c>
      <c r="EJP162" s="369">
        <v>0.5</v>
      </c>
      <c r="EJQ162" s="370" t="e">
        <f>10/EJM160</f>
        <v>#DIV/0!</v>
      </c>
      <c r="EJR162" s="371">
        <v>15.38</v>
      </c>
      <c r="EJS162" s="371" t="e">
        <f>EJP162*EJQ162*EJR162</f>
        <v>#DIV/0!</v>
      </c>
      <c r="EJT162" s="367" t="s">
        <v>206</v>
      </c>
      <c r="EJU162" s="367"/>
      <c r="EJV162" s="367"/>
      <c r="EJW162" s="368" t="s">
        <v>168</v>
      </c>
      <c r="EJX162" s="369">
        <v>0.5</v>
      </c>
      <c r="EJY162" s="370" t="e">
        <f>10/EJU160</f>
        <v>#DIV/0!</v>
      </c>
      <c r="EJZ162" s="371">
        <v>15.38</v>
      </c>
      <c r="EKA162" s="371" t="e">
        <f>EJX162*EJY162*EJZ162</f>
        <v>#DIV/0!</v>
      </c>
      <c r="EKB162" s="367" t="s">
        <v>206</v>
      </c>
      <c r="EKC162" s="367"/>
      <c r="EKD162" s="367"/>
      <c r="EKE162" s="368" t="s">
        <v>168</v>
      </c>
      <c r="EKF162" s="369">
        <v>0.5</v>
      </c>
      <c r="EKG162" s="370" t="e">
        <f>10/EKC160</f>
        <v>#DIV/0!</v>
      </c>
      <c r="EKH162" s="371">
        <v>15.38</v>
      </c>
      <c r="EKI162" s="371" t="e">
        <f>EKF162*EKG162*EKH162</f>
        <v>#DIV/0!</v>
      </c>
      <c r="EKJ162" s="367" t="s">
        <v>206</v>
      </c>
      <c r="EKK162" s="367"/>
      <c r="EKL162" s="367"/>
      <c r="EKM162" s="368" t="s">
        <v>168</v>
      </c>
      <c r="EKN162" s="369">
        <v>0.5</v>
      </c>
      <c r="EKO162" s="370" t="e">
        <f>10/EKK160</f>
        <v>#DIV/0!</v>
      </c>
      <c r="EKP162" s="371">
        <v>15.38</v>
      </c>
      <c r="EKQ162" s="371" t="e">
        <f>EKN162*EKO162*EKP162</f>
        <v>#DIV/0!</v>
      </c>
      <c r="EKR162" s="367" t="s">
        <v>206</v>
      </c>
      <c r="EKS162" s="367"/>
      <c r="EKT162" s="367"/>
      <c r="EKU162" s="368" t="s">
        <v>168</v>
      </c>
      <c r="EKV162" s="369">
        <v>0.5</v>
      </c>
      <c r="EKW162" s="370" t="e">
        <f>10/EKS160</f>
        <v>#DIV/0!</v>
      </c>
      <c r="EKX162" s="371">
        <v>15.38</v>
      </c>
      <c r="EKY162" s="371" t="e">
        <f>EKV162*EKW162*EKX162</f>
        <v>#DIV/0!</v>
      </c>
      <c r="EKZ162" s="367" t="s">
        <v>206</v>
      </c>
      <c r="ELA162" s="367"/>
      <c r="ELB162" s="367"/>
      <c r="ELC162" s="368" t="s">
        <v>168</v>
      </c>
      <c r="ELD162" s="369">
        <v>0.5</v>
      </c>
      <c r="ELE162" s="370" t="e">
        <f>10/ELA160</f>
        <v>#DIV/0!</v>
      </c>
      <c r="ELF162" s="371">
        <v>15.38</v>
      </c>
      <c r="ELG162" s="371" t="e">
        <f>ELD162*ELE162*ELF162</f>
        <v>#DIV/0!</v>
      </c>
      <c r="ELH162" s="367" t="s">
        <v>206</v>
      </c>
      <c r="ELI162" s="367"/>
      <c r="ELJ162" s="367"/>
      <c r="ELK162" s="368" t="s">
        <v>168</v>
      </c>
      <c r="ELL162" s="369">
        <v>0.5</v>
      </c>
      <c r="ELM162" s="370" t="e">
        <f>10/ELI160</f>
        <v>#DIV/0!</v>
      </c>
      <c r="ELN162" s="371">
        <v>15.38</v>
      </c>
      <c r="ELO162" s="371" t="e">
        <f>ELL162*ELM162*ELN162</f>
        <v>#DIV/0!</v>
      </c>
      <c r="ELP162" s="367" t="s">
        <v>206</v>
      </c>
      <c r="ELQ162" s="367"/>
      <c r="ELR162" s="367"/>
      <c r="ELS162" s="368" t="s">
        <v>168</v>
      </c>
      <c r="ELT162" s="369">
        <v>0.5</v>
      </c>
      <c r="ELU162" s="370" t="e">
        <f>10/ELQ160</f>
        <v>#DIV/0!</v>
      </c>
      <c r="ELV162" s="371">
        <v>15.38</v>
      </c>
      <c r="ELW162" s="371" t="e">
        <f>ELT162*ELU162*ELV162</f>
        <v>#DIV/0!</v>
      </c>
      <c r="ELX162" s="367" t="s">
        <v>206</v>
      </c>
      <c r="ELY162" s="367"/>
      <c r="ELZ162" s="367"/>
      <c r="EMA162" s="368" t="s">
        <v>168</v>
      </c>
      <c r="EMB162" s="369">
        <v>0.5</v>
      </c>
      <c r="EMC162" s="370" t="e">
        <f>10/ELY160</f>
        <v>#DIV/0!</v>
      </c>
      <c r="EMD162" s="371">
        <v>15.38</v>
      </c>
      <c r="EME162" s="371" t="e">
        <f>EMB162*EMC162*EMD162</f>
        <v>#DIV/0!</v>
      </c>
      <c r="EMF162" s="367" t="s">
        <v>206</v>
      </c>
      <c r="EMG162" s="367"/>
      <c r="EMH162" s="367"/>
      <c r="EMI162" s="368" t="s">
        <v>168</v>
      </c>
      <c r="EMJ162" s="369">
        <v>0.5</v>
      </c>
      <c r="EMK162" s="370" t="e">
        <f>10/EMG160</f>
        <v>#DIV/0!</v>
      </c>
      <c r="EML162" s="371">
        <v>15.38</v>
      </c>
      <c r="EMM162" s="371" t="e">
        <f>EMJ162*EMK162*EML162</f>
        <v>#DIV/0!</v>
      </c>
      <c r="EMN162" s="367" t="s">
        <v>206</v>
      </c>
      <c r="EMO162" s="367"/>
      <c r="EMP162" s="367"/>
      <c r="EMQ162" s="368" t="s">
        <v>168</v>
      </c>
      <c r="EMR162" s="369">
        <v>0.5</v>
      </c>
      <c r="EMS162" s="370" t="e">
        <f>10/EMO160</f>
        <v>#DIV/0!</v>
      </c>
      <c r="EMT162" s="371">
        <v>15.38</v>
      </c>
      <c r="EMU162" s="371" t="e">
        <f>EMR162*EMS162*EMT162</f>
        <v>#DIV/0!</v>
      </c>
      <c r="EMV162" s="367" t="s">
        <v>206</v>
      </c>
      <c r="EMW162" s="367"/>
      <c r="EMX162" s="367"/>
      <c r="EMY162" s="368" t="s">
        <v>168</v>
      </c>
      <c r="EMZ162" s="369">
        <v>0.5</v>
      </c>
      <c r="ENA162" s="370" t="e">
        <f>10/EMW160</f>
        <v>#DIV/0!</v>
      </c>
      <c r="ENB162" s="371">
        <v>15.38</v>
      </c>
      <c r="ENC162" s="371" t="e">
        <f>EMZ162*ENA162*ENB162</f>
        <v>#DIV/0!</v>
      </c>
      <c r="END162" s="367" t="s">
        <v>206</v>
      </c>
      <c r="ENE162" s="367"/>
      <c r="ENF162" s="367"/>
      <c r="ENG162" s="368" t="s">
        <v>168</v>
      </c>
      <c r="ENH162" s="369">
        <v>0.5</v>
      </c>
      <c r="ENI162" s="370" t="e">
        <f>10/ENE160</f>
        <v>#DIV/0!</v>
      </c>
      <c r="ENJ162" s="371">
        <v>15.38</v>
      </c>
      <c r="ENK162" s="371" t="e">
        <f>ENH162*ENI162*ENJ162</f>
        <v>#DIV/0!</v>
      </c>
      <c r="ENL162" s="367" t="s">
        <v>206</v>
      </c>
      <c r="ENM162" s="367"/>
      <c r="ENN162" s="367"/>
      <c r="ENO162" s="368" t="s">
        <v>168</v>
      </c>
      <c r="ENP162" s="369">
        <v>0.5</v>
      </c>
      <c r="ENQ162" s="370" t="e">
        <f>10/ENM160</f>
        <v>#DIV/0!</v>
      </c>
      <c r="ENR162" s="371">
        <v>15.38</v>
      </c>
      <c r="ENS162" s="371" t="e">
        <f>ENP162*ENQ162*ENR162</f>
        <v>#DIV/0!</v>
      </c>
      <c r="ENT162" s="367" t="s">
        <v>206</v>
      </c>
      <c r="ENU162" s="367"/>
      <c r="ENV162" s="367"/>
      <c r="ENW162" s="368" t="s">
        <v>168</v>
      </c>
      <c r="ENX162" s="369">
        <v>0.5</v>
      </c>
      <c r="ENY162" s="370" t="e">
        <f>10/ENU160</f>
        <v>#DIV/0!</v>
      </c>
      <c r="ENZ162" s="371">
        <v>15.38</v>
      </c>
      <c r="EOA162" s="371" t="e">
        <f>ENX162*ENY162*ENZ162</f>
        <v>#DIV/0!</v>
      </c>
      <c r="EOB162" s="367" t="s">
        <v>206</v>
      </c>
      <c r="EOC162" s="367"/>
      <c r="EOD162" s="367"/>
      <c r="EOE162" s="368" t="s">
        <v>168</v>
      </c>
      <c r="EOF162" s="369">
        <v>0.5</v>
      </c>
      <c r="EOG162" s="370" t="e">
        <f>10/EOC160</f>
        <v>#DIV/0!</v>
      </c>
      <c r="EOH162" s="371">
        <v>15.38</v>
      </c>
      <c r="EOI162" s="371" t="e">
        <f>EOF162*EOG162*EOH162</f>
        <v>#DIV/0!</v>
      </c>
      <c r="EOJ162" s="367" t="s">
        <v>206</v>
      </c>
      <c r="EOK162" s="367"/>
      <c r="EOL162" s="367"/>
      <c r="EOM162" s="368" t="s">
        <v>168</v>
      </c>
      <c r="EON162" s="369">
        <v>0.5</v>
      </c>
      <c r="EOO162" s="370" t="e">
        <f>10/EOK160</f>
        <v>#DIV/0!</v>
      </c>
      <c r="EOP162" s="371">
        <v>15.38</v>
      </c>
      <c r="EOQ162" s="371" t="e">
        <f>EON162*EOO162*EOP162</f>
        <v>#DIV/0!</v>
      </c>
      <c r="EOR162" s="367" t="s">
        <v>206</v>
      </c>
      <c r="EOS162" s="367"/>
      <c r="EOT162" s="367"/>
      <c r="EOU162" s="368" t="s">
        <v>168</v>
      </c>
      <c r="EOV162" s="369">
        <v>0.5</v>
      </c>
      <c r="EOW162" s="370" t="e">
        <f>10/EOS160</f>
        <v>#DIV/0!</v>
      </c>
      <c r="EOX162" s="371">
        <v>15.38</v>
      </c>
      <c r="EOY162" s="371" t="e">
        <f>EOV162*EOW162*EOX162</f>
        <v>#DIV/0!</v>
      </c>
      <c r="EOZ162" s="367" t="s">
        <v>206</v>
      </c>
      <c r="EPA162" s="367"/>
      <c r="EPB162" s="367"/>
      <c r="EPC162" s="368" t="s">
        <v>168</v>
      </c>
      <c r="EPD162" s="369">
        <v>0.5</v>
      </c>
      <c r="EPE162" s="370" t="e">
        <f>10/EPA160</f>
        <v>#DIV/0!</v>
      </c>
      <c r="EPF162" s="371">
        <v>15.38</v>
      </c>
      <c r="EPG162" s="371" t="e">
        <f>EPD162*EPE162*EPF162</f>
        <v>#DIV/0!</v>
      </c>
      <c r="EPH162" s="367" t="s">
        <v>206</v>
      </c>
      <c r="EPI162" s="367"/>
      <c r="EPJ162" s="367"/>
      <c r="EPK162" s="368" t="s">
        <v>168</v>
      </c>
      <c r="EPL162" s="369">
        <v>0.5</v>
      </c>
      <c r="EPM162" s="370" t="e">
        <f>10/EPI160</f>
        <v>#DIV/0!</v>
      </c>
      <c r="EPN162" s="371">
        <v>15.38</v>
      </c>
      <c r="EPO162" s="371" t="e">
        <f>EPL162*EPM162*EPN162</f>
        <v>#DIV/0!</v>
      </c>
      <c r="EPP162" s="367" t="s">
        <v>206</v>
      </c>
      <c r="EPQ162" s="367"/>
      <c r="EPR162" s="367"/>
      <c r="EPS162" s="368" t="s">
        <v>168</v>
      </c>
      <c r="EPT162" s="369">
        <v>0.5</v>
      </c>
      <c r="EPU162" s="370" t="e">
        <f>10/EPQ160</f>
        <v>#DIV/0!</v>
      </c>
      <c r="EPV162" s="371">
        <v>15.38</v>
      </c>
      <c r="EPW162" s="371" t="e">
        <f>EPT162*EPU162*EPV162</f>
        <v>#DIV/0!</v>
      </c>
      <c r="EPX162" s="367" t="s">
        <v>206</v>
      </c>
      <c r="EPY162" s="367"/>
      <c r="EPZ162" s="367"/>
      <c r="EQA162" s="368" t="s">
        <v>168</v>
      </c>
      <c r="EQB162" s="369">
        <v>0.5</v>
      </c>
      <c r="EQC162" s="370" t="e">
        <f>10/EPY160</f>
        <v>#DIV/0!</v>
      </c>
      <c r="EQD162" s="371">
        <v>15.38</v>
      </c>
      <c r="EQE162" s="371" t="e">
        <f>EQB162*EQC162*EQD162</f>
        <v>#DIV/0!</v>
      </c>
      <c r="EQF162" s="367" t="s">
        <v>206</v>
      </c>
      <c r="EQG162" s="367"/>
      <c r="EQH162" s="367"/>
      <c r="EQI162" s="368" t="s">
        <v>168</v>
      </c>
      <c r="EQJ162" s="369">
        <v>0.5</v>
      </c>
      <c r="EQK162" s="370" t="e">
        <f>10/EQG160</f>
        <v>#DIV/0!</v>
      </c>
      <c r="EQL162" s="371">
        <v>15.38</v>
      </c>
      <c r="EQM162" s="371" t="e">
        <f>EQJ162*EQK162*EQL162</f>
        <v>#DIV/0!</v>
      </c>
      <c r="EQN162" s="367" t="s">
        <v>206</v>
      </c>
      <c r="EQO162" s="367"/>
      <c r="EQP162" s="367"/>
      <c r="EQQ162" s="368" t="s">
        <v>168</v>
      </c>
      <c r="EQR162" s="369">
        <v>0.5</v>
      </c>
      <c r="EQS162" s="370" t="e">
        <f>10/EQO160</f>
        <v>#DIV/0!</v>
      </c>
      <c r="EQT162" s="371">
        <v>15.38</v>
      </c>
      <c r="EQU162" s="371" t="e">
        <f>EQR162*EQS162*EQT162</f>
        <v>#DIV/0!</v>
      </c>
      <c r="EQV162" s="367" t="s">
        <v>206</v>
      </c>
      <c r="EQW162" s="367"/>
      <c r="EQX162" s="367"/>
      <c r="EQY162" s="368" t="s">
        <v>168</v>
      </c>
      <c r="EQZ162" s="369">
        <v>0.5</v>
      </c>
      <c r="ERA162" s="370" t="e">
        <f>10/EQW160</f>
        <v>#DIV/0!</v>
      </c>
      <c r="ERB162" s="371">
        <v>15.38</v>
      </c>
      <c r="ERC162" s="371" t="e">
        <f>EQZ162*ERA162*ERB162</f>
        <v>#DIV/0!</v>
      </c>
      <c r="ERD162" s="367" t="s">
        <v>206</v>
      </c>
      <c r="ERE162" s="367"/>
      <c r="ERF162" s="367"/>
      <c r="ERG162" s="368" t="s">
        <v>168</v>
      </c>
      <c r="ERH162" s="369">
        <v>0.5</v>
      </c>
      <c r="ERI162" s="370" t="e">
        <f>10/ERE160</f>
        <v>#DIV/0!</v>
      </c>
      <c r="ERJ162" s="371">
        <v>15.38</v>
      </c>
      <c r="ERK162" s="371" t="e">
        <f>ERH162*ERI162*ERJ162</f>
        <v>#DIV/0!</v>
      </c>
      <c r="ERL162" s="367" t="s">
        <v>206</v>
      </c>
      <c r="ERM162" s="367"/>
      <c r="ERN162" s="367"/>
      <c r="ERO162" s="368" t="s">
        <v>168</v>
      </c>
      <c r="ERP162" s="369">
        <v>0.5</v>
      </c>
      <c r="ERQ162" s="370" t="e">
        <f>10/ERM160</f>
        <v>#DIV/0!</v>
      </c>
      <c r="ERR162" s="371">
        <v>15.38</v>
      </c>
      <c r="ERS162" s="371" t="e">
        <f>ERP162*ERQ162*ERR162</f>
        <v>#DIV/0!</v>
      </c>
      <c r="ERT162" s="367" t="s">
        <v>206</v>
      </c>
      <c r="ERU162" s="367"/>
      <c r="ERV162" s="367"/>
      <c r="ERW162" s="368" t="s">
        <v>168</v>
      </c>
      <c r="ERX162" s="369">
        <v>0.5</v>
      </c>
      <c r="ERY162" s="370" t="e">
        <f>10/ERU160</f>
        <v>#DIV/0!</v>
      </c>
      <c r="ERZ162" s="371">
        <v>15.38</v>
      </c>
      <c r="ESA162" s="371" t="e">
        <f>ERX162*ERY162*ERZ162</f>
        <v>#DIV/0!</v>
      </c>
      <c r="ESB162" s="367" t="s">
        <v>206</v>
      </c>
      <c r="ESC162" s="367"/>
      <c r="ESD162" s="367"/>
      <c r="ESE162" s="368" t="s">
        <v>168</v>
      </c>
      <c r="ESF162" s="369">
        <v>0.5</v>
      </c>
      <c r="ESG162" s="370" t="e">
        <f>10/ESC160</f>
        <v>#DIV/0!</v>
      </c>
      <c r="ESH162" s="371">
        <v>15.38</v>
      </c>
      <c r="ESI162" s="371" t="e">
        <f>ESF162*ESG162*ESH162</f>
        <v>#DIV/0!</v>
      </c>
      <c r="ESJ162" s="367" t="s">
        <v>206</v>
      </c>
      <c r="ESK162" s="367"/>
      <c r="ESL162" s="367"/>
      <c r="ESM162" s="368" t="s">
        <v>168</v>
      </c>
      <c r="ESN162" s="369">
        <v>0.5</v>
      </c>
      <c r="ESO162" s="370" t="e">
        <f>10/ESK160</f>
        <v>#DIV/0!</v>
      </c>
      <c r="ESP162" s="371">
        <v>15.38</v>
      </c>
      <c r="ESQ162" s="371" t="e">
        <f>ESN162*ESO162*ESP162</f>
        <v>#DIV/0!</v>
      </c>
      <c r="ESR162" s="367" t="s">
        <v>206</v>
      </c>
      <c r="ESS162" s="367"/>
      <c r="EST162" s="367"/>
      <c r="ESU162" s="368" t="s">
        <v>168</v>
      </c>
      <c r="ESV162" s="369">
        <v>0.5</v>
      </c>
      <c r="ESW162" s="370" t="e">
        <f>10/ESS160</f>
        <v>#DIV/0!</v>
      </c>
      <c r="ESX162" s="371">
        <v>15.38</v>
      </c>
      <c r="ESY162" s="371" t="e">
        <f>ESV162*ESW162*ESX162</f>
        <v>#DIV/0!</v>
      </c>
      <c r="ESZ162" s="367" t="s">
        <v>206</v>
      </c>
      <c r="ETA162" s="367"/>
      <c r="ETB162" s="367"/>
      <c r="ETC162" s="368" t="s">
        <v>168</v>
      </c>
      <c r="ETD162" s="369">
        <v>0.5</v>
      </c>
      <c r="ETE162" s="370" t="e">
        <f>10/ETA160</f>
        <v>#DIV/0!</v>
      </c>
      <c r="ETF162" s="371">
        <v>15.38</v>
      </c>
      <c r="ETG162" s="371" t="e">
        <f>ETD162*ETE162*ETF162</f>
        <v>#DIV/0!</v>
      </c>
      <c r="ETH162" s="367" t="s">
        <v>206</v>
      </c>
      <c r="ETI162" s="367"/>
      <c r="ETJ162" s="367"/>
      <c r="ETK162" s="368" t="s">
        <v>168</v>
      </c>
      <c r="ETL162" s="369">
        <v>0.5</v>
      </c>
      <c r="ETM162" s="370" t="e">
        <f>10/ETI160</f>
        <v>#DIV/0!</v>
      </c>
      <c r="ETN162" s="371">
        <v>15.38</v>
      </c>
      <c r="ETO162" s="371" t="e">
        <f>ETL162*ETM162*ETN162</f>
        <v>#DIV/0!</v>
      </c>
      <c r="ETP162" s="367" t="s">
        <v>206</v>
      </c>
      <c r="ETQ162" s="367"/>
      <c r="ETR162" s="367"/>
      <c r="ETS162" s="368" t="s">
        <v>168</v>
      </c>
      <c r="ETT162" s="369">
        <v>0.5</v>
      </c>
      <c r="ETU162" s="370" t="e">
        <f>10/ETQ160</f>
        <v>#DIV/0!</v>
      </c>
      <c r="ETV162" s="371">
        <v>15.38</v>
      </c>
      <c r="ETW162" s="371" t="e">
        <f>ETT162*ETU162*ETV162</f>
        <v>#DIV/0!</v>
      </c>
      <c r="ETX162" s="367" t="s">
        <v>206</v>
      </c>
      <c r="ETY162" s="367"/>
      <c r="ETZ162" s="367"/>
      <c r="EUA162" s="368" t="s">
        <v>168</v>
      </c>
      <c r="EUB162" s="369">
        <v>0.5</v>
      </c>
      <c r="EUC162" s="370" t="e">
        <f>10/ETY160</f>
        <v>#DIV/0!</v>
      </c>
      <c r="EUD162" s="371">
        <v>15.38</v>
      </c>
      <c r="EUE162" s="371" t="e">
        <f>EUB162*EUC162*EUD162</f>
        <v>#DIV/0!</v>
      </c>
      <c r="EUF162" s="367" t="s">
        <v>206</v>
      </c>
      <c r="EUG162" s="367"/>
      <c r="EUH162" s="367"/>
      <c r="EUI162" s="368" t="s">
        <v>168</v>
      </c>
      <c r="EUJ162" s="369">
        <v>0.5</v>
      </c>
      <c r="EUK162" s="370" t="e">
        <f>10/EUG160</f>
        <v>#DIV/0!</v>
      </c>
      <c r="EUL162" s="371">
        <v>15.38</v>
      </c>
      <c r="EUM162" s="371" t="e">
        <f>EUJ162*EUK162*EUL162</f>
        <v>#DIV/0!</v>
      </c>
      <c r="EUN162" s="367" t="s">
        <v>206</v>
      </c>
      <c r="EUO162" s="367"/>
      <c r="EUP162" s="367"/>
      <c r="EUQ162" s="368" t="s">
        <v>168</v>
      </c>
      <c r="EUR162" s="369">
        <v>0.5</v>
      </c>
      <c r="EUS162" s="370" t="e">
        <f>10/EUO160</f>
        <v>#DIV/0!</v>
      </c>
      <c r="EUT162" s="371">
        <v>15.38</v>
      </c>
      <c r="EUU162" s="371" t="e">
        <f>EUR162*EUS162*EUT162</f>
        <v>#DIV/0!</v>
      </c>
      <c r="EUV162" s="367" t="s">
        <v>206</v>
      </c>
      <c r="EUW162" s="367"/>
      <c r="EUX162" s="367"/>
      <c r="EUY162" s="368" t="s">
        <v>168</v>
      </c>
      <c r="EUZ162" s="369">
        <v>0.5</v>
      </c>
      <c r="EVA162" s="370" t="e">
        <f>10/EUW160</f>
        <v>#DIV/0!</v>
      </c>
      <c r="EVB162" s="371">
        <v>15.38</v>
      </c>
      <c r="EVC162" s="371" t="e">
        <f>EUZ162*EVA162*EVB162</f>
        <v>#DIV/0!</v>
      </c>
      <c r="EVD162" s="367" t="s">
        <v>206</v>
      </c>
      <c r="EVE162" s="367"/>
      <c r="EVF162" s="367"/>
      <c r="EVG162" s="368" t="s">
        <v>168</v>
      </c>
      <c r="EVH162" s="369">
        <v>0.5</v>
      </c>
      <c r="EVI162" s="370" t="e">
        <f>10/EVE160</f>
        <v>#DIV/0!</v>
      </c>
      <c r="EVJ162" s="371">
        <v>15.38</v>
      </c>
      <c r="EVK162" s="371" t="e">
        <f>EVH162*EVI162*EVJ162</f>
        <v>#DIV/0!</v>
      </c>
      <c r="EVL162" s="367" t="s">
        <v>206</v>
      </c>
      <c r="EVM162" s="367"/>
      <c r="EVN162" s="367"/>
      <c r="EVO162" s="368" t="s">
        <v>168</v>
      </c>
      <c r="EVP162" s="369">
        <v>0.5</v>
      </c>
      <c r="EVQ162" s="370" t="e">
        <f>10/EVM160</f>
        <v>#DIV/0!</v>
      </c>
      <c r="EVR162" s="371">
        <v>15.38</v>
      </c>
      <c r="EVS162" s="371" t="e">
        <f>EVP162*EVQ162*EVR162</f>
        <v>#DIV/0!</v>
      </c>
      <c r="EVT162" s="367" t="s">
        <v>206</v>
      </c>
      <c r="EVU162" s="367"/>
      <c r="EVV162" s="367"/>
      <c r="EVW162" s="368" t="s">
        <v>168</v>
      </c>
      <c r="EVX162" s="369">
        <v>0.5</v>
      </c>
      <c r="EVY162" s="370" t="e">
        <f>10/EVU160</f>
        <v>#DIV/0!</v>
      </c>
      <c r="EVZ162" s="371">
        <v>15.38</v>
      </c>
      <c r="EWA162" s="371" t="e">
        <f>EVX162*EVY162*EVZ162</f>
        <v>#DIV/0!</v>
      </c>
      <c r="EWB162" s="367" t="s">
        <v>206</v>
      </c>
      <c r="EWC162" s="367"/>
      <c r="EWD162" s="367"/>
      <c r="EWE162" s="368" t="s">
        <v>168</v>
      </c>
      <c r="EWF162" s="369">
        <v>0.5</v>
      </c>
      <c r="EWG162" s="370" t="e">
        <f>10/EWC160</f>
        <v>#DIV/0!</v>
      </c>
      <c r="EWH162" s="371">
        <v>15.38</v>
      </c>
      <c r="EWI162" s="371" t="e">
        <f>EWF162*EWG162*EWH162</f>
        <v>#DIV/0!</v>
      </c>
      <c r="EWJ162" s="367" t="s">
        <v>206</v>
      </c>
      <c r="EWK162" s="367"/>
      <c r="EWL162" s="367"/>
      <c r="EWM162" s="368" t="s">
        <v>168</v>
      </c>
      <c r="EWN162" s="369">
        <v>0.5</v>
      </c>
      <c r="EWO162" s="370" t="e">
        <f>10/EWK160</f>
        <v>#DIV/0!</v>
      </c>
      <c r="EWP162" s="371">
        <v>15.38</v>
      </c>
      <c r="EWQ162" s="371" t="e">
        <f>EWN162*EWO162*EWP162</f>
        <v>#DIV/0!</v>
      </c>
      <c r="EWR162" s="367" t="s">
        <v>206</v>
      </c>
      <c r="EWS162" s="367"/>
      <c r="EWT162" s="367"/>
      <c r="EWU162" s="368" t="s">
        <v>168</v>
      </c>
      <c r="EWV162" s="369">
        <v>0.5</v>
      </c>
      <c r="EWW162" s="370" t="e">
        <f>10/EWS160</f>
        <v>#DIV/0!</v>
      </c>
      <c r="EWX162" s="371">
        <v>15.38</v>
      </c>
      <c r="EWY162" s="371" t="e">
        <f>EWV162*EWW162*EWX162</f>
        <v>#DIV/0!</v>
      </c>
      <c r="EWZ162" s="367" t="s">
        <v>206</v>
      </c>
      <c r="EXA162" s="367"/>
      <c r="EXB162" s="367"/>
      <c r="EXC162" s="368" t="s">
        <v>168</v>
      </c>
      <c r="EXD162" s="369">
        <v>0.5</v>
      </c>
      <c r="EXE162" s="370" t="e">
        <f>10/EXA160</f>
        <v>#DIV/0!</v>
      </c>
      <c r="EXF162" s="371">
        <v>15.38</v>
      </c>
      <c r="EXG162" s="371" t="e">
        <f>EXD162*EXE162*EXF162</f>
        <v>#DIV/0!</v>
      </c>
      <c r="EXH162" s="367" t="s">
        <v>206</v>
      </c>
      <c r="EXI162" s="367"/>
      <c r="EXJ162" s="367"/>
      <c r="EXK162" s="368" t="s">
        <v>168</v>
      </c>
      <c r="EXL162" s="369">
        <v>0.5</v>
      </c>
      <c r="EXM162" s="370" t="e">
        <f>10/EXI160</f>
        <v>#DIV/0!</v>
      </c>
      <c r="EXN162" s="371">
        <v>15.38</v>
      </c>
      <c r="EXO162" s="371" t="e">
        <f>EXL162*EXM162*EXN162</f>
        <v>#DIV/0!</v>
      </c>
      <c r="EXP162" s="367" t="s">
        <v>206</v>
      </c>
      <c r="EXQ162" s="367"/>
      <c r="EXR162" s="367"/>
      <c r="EXS162" s="368" t="s">
        <v>168</v>
      </c>
      <c r="EXT162" s="369">
        <v>0.5</v>
      </c>
      <c r="EXU162" s="370" t="e">
        <f>10/EXQ160</f>
        <v>#DIV/0!</v>
      </c>
      <c r="EXV162" s="371">
        <v>15.38</v>
      </c>
      <c r="EXW162" s="371" t="e">
        <f>EXT162*EXU162*EXV162</f>
        <v>#DIV/0!</v>
      </c>
      <c r="EXX162" s="367" t="s">
        <v>206</v>
      </c>
      <c r="EXY162" s="367"/>
      <c r="EXZ162" s="367"/>
      <c r="EYA162" s="368" t="s">
        <v>168</v>
      </c>
      <c r="EYB162" s="369">
        <v>0.5</v>
      </c>
      <c r="EYC162" s="370" t="e">
        <f>10/EXY160</f>
        <v>#DIV/0!</v>
      </c>
      <c r="EYD162" s="371">
        <v>15.38</v>
      </c>
      <c r="EYE162" s="371" t="e">
        <f>EYB162*EYC162*EYD162</f>
        <v>#DIV/0!</v>
      </c>
      <c r="EYF162" s="367" t="s">
        <v>206</v>
      </c>
      <c r="EYG162" s="367"/>
      <c r="EYH162" s="367"/>
      <c r="EYI162" s="368" t="s">
        <v>168</v>
      </c>
      <c r="EYJ162" s="369">
        <v>0.5</v>
      </c>
      <c r="EYK162" s="370" t="e">
        <f>10/EYG160</f>
        <v>#DIV/0!</v>
      </c>
      <c r="EYL162" s="371">
        <v>15.38</v>
      </c>
      <c r="EYM162" s="371" t="e">
        <f>EYJ162*EYK162*EYL162</f>
        <v>#DIV/0!</v>
      </c>
      <c r="EYN162" s="367" t="s">
        <v>206</v>
      </c>
      <c r="EYO162" s="367"/>
      <c r="EYP162" s="367"/>
      <c r="EYQ162" s="368" t="s">
        <v>168</v>
      </c>
      <c r="EYR162" s="369">
        <v>0.5</v>
      </c>
      <c r="EYS162" s="370" t="e">
        <f>10/EYO160</f>
        <v>#DIV/0!</v>
      </c>
      <c r="EYT162" s="371">
        <v>15.38</v>
      </c>
      <c r="EYU162" s="371" t="e">
        <f>EYR162*EYS162*EYT162</f>
        <v>#DIV/0!</v>
      </c>
      <c r="EYV162" s="367" t="s">
        <v>206</v>
      </c>
      <c r="EYW162" s="367"/>
      <c r="EYX162" s="367"/>
      <c r="EYY162" s="368" t="s">
        <v>168</v>
      </c>
      <c r="EYZ162" s="369">
        <v>0.5</v>
      </c>
      <c r="EZA162" s="370" t="e">
        <f>10/EYW160</f>
        <v>#DIV/0!</v>
      </c>
      <c r="EZB162" s="371">
        <v>15.38</v>
      </c>
      <c r="EZC162" s="371" t="e">
        <f>EYZ162*EZA162*EZB162</f>
        <v>#DIV/0!</v>
      </c>
      <c r="EZD162" s="367" t="s">
        <v>206</v>
      </c>
      <c r="EZE162" s="367"/>
      <c r="EZF162" s="367"/>
      <c r="EZG162" s="368" t="s">
        <v>168</v>
      </c>
      <c r="EZH162" s="369">
        <v>0.5</v>
      </c>
      <c r="EZI162" s="370" t="e">
        <f>10/EZE160</f>
        <v>#DIV/0!</v>
      </c>
      <c r="EZJ162" s="371">
        <v>15.38</v>
      </c>
      <c r="EZK162" s="371" t="e">
        <f>EZH162*EZI162*EZJ162</f>
        <v>#DIV/0!</v>
      </c>
      <c r="EZL162" s="367" t="s">
        <v>206</v>
      </c>
      <c r="EZM162" s="367"/>
      <c r="EZN162" s="367"/>
      <c r="EZO162" s="368" t="s">
        <v>168</v>
      </c>
      <c r="EZP162" s="369">
        <v>0.5</v>
      </c>
      <c r="EZQ162" s="370" t="e">
        <f>10/EZM160</f>
        <v>#DIV/0!</v>
      </c>
      <c r="EZR162" s="371">
        <v>15.38</v>
      </c>
      <c r="EZS162" s="371" t="e">
        <f>EZP162*EZQ162*EZR162</f>
        <v>#DIV/0!</v>
      </c>
      <c r="EZT162" s="367" t="s">
        <v>206</v>
      </c>
      <c r="EZU162" s="367"/>
      <c r="EZV162" s="367"/>
      <c r="EZW162" s="368" t="s">
        <v>168</v>
      </c>
      <c r="EZX162" s="369">
        <v>0.5</v>
      </c>
      <c r="EZY162" s="370" t="e">
        <f>10/EZU160</f>
        <v>#DIV/0!</v>
      </c>
      <c r="EZZ162" s="371">
        <v>15.38</v>
      </c>
      <c r="FAA162" s="371" t="e">
        <f>EZX162*EZY162*EZZ162</f>
        <v>#DIV/0!</v>
      </c>
      <c r="FAB162" s="367" t="s">
        <v>206</v>
      </c>
      <c r="FAC162" s="367"/>
      <c r="FAD162" s="367"/>
      <c r="FAE162" s="368" t="s">
        <v>168</v>
      </c>
      <c r="FAF162" s="369">
        <v>0.5</v>
      </c>
      <c r="FAG162" s="370" t="e">
        <f>10/FAC160</f>
        <v>#DIV/0!</v>
      </c>
      <c r="FAH162" s="371">
        <v>15.38</v>
      </c>
      <c r="FAI162" s="371" t="e">
        <f>FAF162*FAG162*FAH162</f>
        <v>#DIV/0!</v>
      </c>
      <c r="FAJ162" s="367" t="s">
        <v>206</v>
      </c>
      <c r="FAK162" s="367"/>
      <c r="FAL162" s="367"/>
      <c r="FAM162" s="368" t="s">
        <v>168</v>
      </c>
      <c r="FAN162" s="369">
        <v>0.5</v>
      </c>
      <c r="FAO162" s="370" t="e">
        <f>10/FAK160</f>
        <v>#DIV/0!</v>
      </c>
      <c r="FAP162" s="371">
        <v>15.38</v>
      </c>
      <c r="FAQ162" s="371" t="e">
        <f>FAN162*FAO162*FAP162</f>
        <v>#DIV/0!</v>
      </c>
      <c r="FAR162" s="367" t="s">
        <v>206</v>
      </c>
      <c r="FAS162" s="367"/>
      <c r="FAT162" s="367"/>
      <c r="FAU162" s="368" t="s">
        <v>168</v>
      </c>
      <c r="FAV162" s="369">
        <v>0.5</v>
      </c>
      <c r="FAW162" s="370" t="e">
        <f>10/FAS160</f>
        <v>#DIV/0!</v>
      </c>
      <c r="FAX162" s="371">
        <v>15.38</v>
      </c>
      <c r="FAY162" s="371" t="e">
        <f>FAV162*FAW162*FAX162</f>
        <v>#DIV/0!</v>
      </c>
      <c r="FAZ162" s="367" t="s">
        <v>206</v>
      </c>
      <c r="FBA162" s="367"/>
      <c r="FBB162" s="367"/>
      <c r="FBC162" s="368" t="s">
        <v>168</v>
      </c>
      <c r="FBD162" s="369">
        <v>0.5</v>
      </c>
      <c r="FBE162" s="370" t="e">
        <f>10/FBA160</f>
        <v>#DIV/0!</v>
      </c>
      <c r="FBF162" s="371">
        <v>15.38</v>
      </c>
      <c r="FBG162" s="371" t="e">
        <f>FBD162*FBE162*FBF162</f>
        <v>#DIV/0!</v>
      </c>
      <c r="FBH162" s="367" t="s">
        <v>206</v>
      </c>
      <c r="FBI162" s="367"/>
      <c r="FBJ162" s="367"/>
      <c r="FBK162" s="368" t="s">
        <v>168</v>
      </c>
      <c r="FBL162" s="369">
        <v>0.5</v>
      </c>
      <c r="FBM162" s="370" t="e">
        <f>10/FBI160</f>
        <v>#DIV/0!</v>
      </c>
      <c r="FBN162" s="371">
        <v>15.38</v>
      </c>
      <c r="FBO162" s="371" t="e">
        <f>FBL162*FBM162*FBN162</f>
        <v>#DIV/0!</v>
      </c>
      <c r="FBP162" s="367" t="s">
        <v>206</v>
      </c>
      <c r="FBQ162" s="367"/>
      <c r="FBR162" s="367"/>
      <c r="FBS162" s="368" t="s">
        <v>168</v>
      </c>
      <c r="FBT162" s="369">
        <v>0.5</v>
      </c>
      <c r="FBU162" s="370" t="e">
        <f>10/FBQ160</f>
        <v>#DIV/0!</v>
      </c>
      <c r="FBV162" s="371">
        <v>15.38</v>
      </c>
      <c r="FBW162" s="371" t="e">
        <f>FBT162*FBU162*FBV162</f>
        <v>#DIV/0!</v>
      </c>
      <c r="FBX162" s="367" t="s">
        <v>206</v>
      </c>
      <c r="FBY162" s="367"/>
      <c r="FBZ162" s="367"/>
      <c r="FCA162" s="368" t="s">
        <v>168</v>
      </c>
      <c r="FCB162" s="369">
        <v>0.5</v>
      </c>
      <c r="FCC162" s="370" t="e">
        <f>10/FBY160</f>
        <v>#DIV/0!</v>
      </c>
      <c r="FCD162" s="371">
        <v>15.38</v>
      </c>
      <c r="FCE162" s="371" t="e">
        <f>FCB162*FCC162*FCD162</f>
        <v>#DIV/0!</v>
      </c>
      <c r="FCF162" s="367" t="s">
        <v>206</v>
      </c>
      <c r="FCG162" s="367"/>
      <c r="FCH162" s="367"/>
      <c r="FCI162" s="368" t="s">
        <v>168</v>
      </c>
      <c r="FCJ162" s="369">
        <v>0.5</v>
      </c>
      <c r="FCK162" s="370" t="e">
        <f>10/FCG160</f>
        <v>#DIV/0!</v>
      </c>
      <c r="FCL162" s="371">
        <v>15.38</v>
      </c>
      <c r="FCM162" s="371" t="e">
        <f>FCJ162*FCK162*FCL162</f>
        <v>#DIV/0!</v>
      </c>
      <c r="FCN162" s="367" t="s">
        <v>206</v>
      </c>
      <c r="FCO162" s="367"/>
      <c r="FCP162" s="367"/>
      <c r="FCQ162" s="368" t="s">
        <v>168</v>
      </c>
      <c r="FCR162" s="369">
        <v>0.5</v>
      </c>
      <c r="FCS162" s="370" t="e">
        <f>10/FCO160</f>
        <v>#DIV/0!</v>
      </c>
      <c r="FCT162" s="371">
        <v>15.38</v>
      </c>
      <c r="FCU162" s="371" t="e">
        <f>FCR162*FCS162*FCT162</f>
        <v>#DIV/0!</v>
      </c>
      <c r="FCV162" s="367" t="s">
        <v>206</v>
      </c>
      <c r="FCW162" s="367"/>
      <c r="FCX162" s="367"/>
      <c r="FCY162" s="368" t="s">
        <v>168</v>
      </c>
      <c r="FCZ162" s="369">
        <v>0.5</v>
      </c>
      <c r="FDA162" s="370" t="e">
        <f>10/FCW160</f>
        <v>#DIV/0!</v>
      </c>
      <c r="FDB162" s="371">
        <v>15.38</v>
      </c>
      <c r="FDC162" s="371" t="e">
        <f>FCZ162*FDA162*FDB162</f>
        <v>#DIV/0!</v>
      </c>
      <c r="FDD162" s="367" t="s">
        <v>206</v>
      </c>
      <c r="FDE162" s="367"/>
      <c r="FDF162" s="367"/>
      <c r="FDG162" s="368" t="s">
        <v>168</v>
      </c>
      <c r="FDH162" s="369">
        <v>0.5</v>
      </c>
      <c r="FDI162" s="370" t="e">
        <f>10/FDE160</f>
        <v>#DIV/0!</v>
      </c>
      <c r="FDJ162" s="371">
        <v>15.38</v>
      </c>
      <c r="FDK162" s="371" t="e">
        <f>FDH162*FDI162*FDJ162</f>
        <v>#DIV/0!</v>
      </c>
      <c r="FDL162" s="367" t="s">
        <v>206</v>
      </c>
      <c r="FDM162" s="367"/>
      <c r="FDN162" s="367"/>
      <c r="FDO162" s="368" t="s">
        <v>168</v>
      </c>
      <c r="FDP162" s="369">
        <v>0.5</v>
      </c>
      <c r="FDQ162" s="370" t="e">
        <f>10/FDM160</f>
        <v>#DIV/0!</v>
      </c>
      <c r="FDR162" s="371">
        <v>15.38</v>
      </c>
      <c r="FDS162" s="371" t="e">
        <f>FDP162*FDQ162*FDR162</f>
        <v>#DIV/0!</v>
      </c>
      <c r="FDT162" s="367" t="s">
        <v>206</v>
      </c>
      <c r="FDU162" s="367"/>
      <c r="FDV162" s="367"/>
      <c r="FDW162" s="368" t="s">
        <v>168</v>
      </c>
      <c r="FDX162" s="369">
        <v>0.5</v>
      </c>
      <c r="FDY162" s="370" t="e">
        <f>10/FDU160</f>
        <v>#DIV/0!</v>
      </c>
      <c r="FDZ162" s="371">
        <v>15.38</v>
      </c>
      <c r="FEA162" s="371" t="e">
        <f>FDX162*FDY162*FDZ162</f>
        <v>#DIV/0!</v>
      </c>
      <c r="FEB162" s="367" t="s">
        <v>206</v>
      </c>
      <c r="FEC162" s="367"/>
      <c r="FED162" s="367"/>
      <c r="FEE162" s="368" t="s">
        <v>168</v>
      </c>
      <c r="FEF162" s="369">
        <v>0.5</v>
      </c>
      <c r="FEG162" s="370" t="e">
        <f>10/FEC160</f>
        <v>#DIV/0!</v>
      </c>
      <c r="FEH162" s="371">
        <v>15.38</v>
      </c>
      <c r="FEI162" s="371" t="e">
        <f>FEF162*FEG162*FEH162</f>
        <v>#DIV/0!</v>
      </c>
      <c r="FEJ162" s="367" t="s">
        <v>206</v>
      </c>
      <c r="FEK162" s="367"/>
      <c r="FEL162" s="367"/>
      <c r="FEM162" s="368" t="s">
        <v>168</v>
      </c>
      <c r="FEN162" s="369">
        <v>0.5</v>
      </c>
      <c r="FEO162" s="370" t="e">
        <f>10/FEK160</f>
        <v>#DIV/0!</v>
      </c>
      <c r="FEP162" s="371">
        <v>15.38</v>
      </c>
      <c r="FEQ162" s="371" t="e">
        <f>FEN162*FEO162*FEP162</f>
        <v>#DIV/0!</v>
      </c>
      <c r="FER162" s="367" t="s">
        <v>206</v>
      </c>
      <c r="FES162" s="367"/>
      <c r="FET162" s="367"/>
      <c r="FEU162" s="368" t="s">
        <v>168</v>
      </c>
      <c r="FEV162" s="369">
        <v>0.5</v>
      </c>
      <c r="FEW162" s="370" t="e">
        <f>10/FES160</f>
        <v>#DIV/0!</v>
      </c>
      <c r="FEX162" s="371">
        <v>15.38</v>
      </c>
      <c r="FEY162" s="371" t="e">
        <f>FEV162*FEW162*FEX162</f>
        <v>#DIV/0!</v>
      </c>
      <c r="FEZ162" s="367" t="s">
        <v>206</v>
      </c>
      <c r="FFA162" s="367"/>
      <c r="FFB162" s="367"/>
      <c r="FFC162" s="368" t="s">
        <v>168</v>
      </c>
      <c r="FFD162" s="369">
        <v>0.5</v>
      </c>
      <c r="FFE162" s="370" t="e">
        <f>10/FFA160</f>
        <v>#DIV/0!</v>
      </c>
      <c r="FFF162" s="371">
        <v>15.38</v>
      </c>
      <c r="FFG162" s="371" t="e">
        <f>FFD162*FFE162*FFF162</f>
        <v>#DIV/0!</v>
      </c>
      <c r="FFH162" s="367" t="s">
        <v>206</v>
      </c>
      <c r="FFI162" s="367"/>
      <c r="FFJ162" s="367"/>
      <c r="FFK162" s="368" t="s">
        <v>168</v>
      </c>
      <c r="FFL162" s="369">
        <v>0.5</v>
      </c>
      <c r="FFM162" s="370" t="e">
        <f>10/FFI160</f>
        <v>#DIV/0!</v>
      </c>
      <c r="FFN162" s="371">
        <v>15.38</v>
      </c>
      <c r="FFO162" s="371" t="e">
        <f>FFL162*FFM162*FFN162</f>
        <v>#DIV/0!</v>
      </c>
      <c r="FFP162" s="367" t="s">
        <v>206</v>
      </c>
      <c r="FFQ162" s="367"/>
      <c r="FFR162" s="367"/>
      <c r="FFS162" s="368" t="s">
        <v>168</v>
      </c>
      <c r="FFT162" s="369">
        <v>0.5</v>
      </c>
      <c r="FFU162" s="370" t="e">
        <f>10/FFQ160</f>
        <v>#DIV/0!</v>
      </c>
      <c r="FFV162" s="371">
        <v>15.38</v>
      </c>
      <c r="FFW162" s="371" t="e">
        <f>FFT162*FFU162*FFV162</f>
        <v>#DIV/0!</v>
      </c>
      <c r="FFX162" s="367" t="s">
        <v>206</v>
      </c>
      <c r="FFY162" s="367"/>
      <c r="FFZ162" s="367"/>
      <c r="FGA162" s="368" t="s">
        <v>168</v>
      </c>
      <c r="FGB162" s="369">
        <v>0.5</v>
      </c>
      <c r="FGC162" s="370" t="e">
        <f>10/FFY160</f>
        <v>#DIV/0!</v>
      </c>
      <c r="FGD162" s="371">
        <v>15.38</v>
      </c>
      <c r="FGE162" s="371" t="e">
        <f>FGB162*FGC162*FGD162</f>
        <v>#DIV/0!</v>
      </c>
      <c r="FGF162" s="367" t="s">
        <v>206</v>
      </c>
      <c r="FGG162" s="367"/>
      <c r="FGH162" s="367"/>
      <c r="FGI162" s="368" t="s">
        <v>168</v>
      </c>
      <c r="FGJ162" s="369">
        <v>0.5</v>
      </c>
      <c r="FGK162" s="370" t="e">
        <f>10/FGG160</f>
        <v>#DIV/0!</v>
      </c>
      <c r="FGL162" s="371">
        <v>15.38</v>
      </c>
      <c r="FGM162" s="371" t="e">
        <f>FGJ162*FGK162*FGL162</f>
        <v>#DIV/0!</v>
      </c>
      <c r="FGN162" s="367" t="s">
        <v>206</v>
      </c>
      <c r="FGO162" s="367"/>
      <c r="FGP162" s="367"/>
      <c r="FGQ162" s="368" t="s">
        <v>168</v>
      </c>
      <c r="FGR162" s="369">
        <v>0.5</v>
      </c>
      <c r="FGS162" s="370" t="e">
        <f>10/FGO160</f>
        <v>#DIV/0!</v>
      </c>
      <c r="FGT162" s="371">
        <v>15.38</v>
      </c>
      <c r="FGU162" s="371" t="e">
        <f>FGR162*FGS162*FGT162</f>
        <v>#DIV/0!</v>
      </c>
      <c r="FGV162" s="367" t="s">
        <v>206</v>
      </c>
      <c r="FGW162" s="367"/>
      <c r="FGX162" s="367"/>
      <c r="FGY162" s="368" t="s">
        <v>168</v>
      </c>
      <c r="FGZ162" s="369">
        <v>0.5</v>
      </c>
      <c r="FHA162" s="370" t="e">
        <f>10/FGW160</f>
        <v>#DIV/0!</v>
      </c>
      <c r="FHB162" s="371">
        <v>15.38</v>
      </c>
      <c r="FHC162" s="371" t="e">
        <f>FGZ162*FHA162*FHB162</f>
        <v>#DIV/0!</v>
      </c>
      <c r="FHD162" s="367" t="s">
        <v>206</v>
      </c>
      <c r="FHE162" s="367"/>
      <c r="FHF162" s="367"/>
      <c r="FHG162" s="368" t="s">
        <v>168</v>
      </c>
      <c r="FHH162" s="369">
        <v>0.5</v>
      </c>
      <c r="FHI162" s="370" t="e">
        <f>10/FHE160</f>
        <v>#DIV/0!</v>
      </c>
      <c r="FHJ162" s="371">
        <v>15.38</v>
      </c>
      <c r="FHK162" s="371" t="e">
        <f>FHH162*FHI162*FHJ162</f>
        <v>#DIV/0!</v>
      </c>
      <c r="FHL162" s="367" t="s">
        <v>206</v>
      </c>
      <c r="FHM162" s="367"/>
      <c r="FHN162" s="367"/>
      <c r="FHO162" s="368" t="s">
        <v>168</v>
      </c>
      <c r="FHP162" s="369">
        <v>0.5</v>
      </c>
      <c r="FHQ162" s="370" t="e">
        <f>10/FHM160</f>
        <v>#DIV/0!</v>
      </c>
      <c r="FHR162" s="371">
        <v>15.38</v>
      </c>
      <c r="FHS162" s="371" t="e">
        <f>FHP162*FHQ162*FHR162</f>
        <v>#DIV/0!</v>
      </c>
      <c r="FHT162" s="367" t="s">
        <v>206</v>
      </c>
      <c r="FHU162" s="367"/>
      <c r="FHV162" s="367"/>
      <c r="FHW162" s="368" t="s">
        <v>168</v>
      </c>
      <c r="FHX162" s="369">
        <v>0.5</v>
      </c>
      <c r="FHY162" s="370" t="e">
        <f>10/FHU160</f>
        <v>#DIV/0!</v>
      </c>
      <c r="FHZ162" s="371">
        <v>15.38</v>
      </c>
      <c r="FIA162" s="371" t="e">
        <f>FHX162*FHY162*FHZ162</f>
        <v>#DIV/0!</v>
      </c>
      <c r="FIB162" s="367" t="s">
        <v>206</v>
      </c>
      <c r="FIC162" s="367"/>
      <c r="FID162" s="367"/>
      <c r="FIE162" s="368" t="s">
        <v>168</v>
      </c>
      <c r="FIF162" s="369">
        <v>0.5</v>
      </c>
      <c r="FIG162" s="370" t="e">
        <f>10/FIC160</f>
        <v>#DIV/0!</v>
      </c>
      <c r="FIH162" s="371">
        <v>15.38</v>
      </c>
      <c r="FII162" s="371" t="e">
        <f>FIF162*FIG162*FIH162</f>
        <v>#DIV/0!</v>
      </c>
      <c r="FIJ162" s="367" t="s">
        <v>206</v>
      </c>
      <c r="FIK162" s="367"/>
      <c r="FIL162" s="367"/>
      <c r="FIM162" s="368" t="s">
        <v>168</v>
      </c>
      <c r="FIN162" s="369">
        <v>0.5</v>
      </c>
      <c r="FIO162" s="370" t="e">
        <f>10/FIK160</f>
        <v>#DIV/0!</v>
      </c>
      <c r="FIP162" s="371">
        <v>15.38</v>
      </c>
      <c r="FIQ162" s="371" t="e">
        <f>FIN162*FIO162*FIP162</f>
        <v>#DIV/0!</v>
      </c>
      <c r="FIR162" s="367" t="s">
        <v>206</v>
      </c>
      <c r="FIS162" s="367"/>
      <c r="FIT162" s="367"/>
      <c r="FIU162" s="368" t="s">
        <v>168</v>
      </c>
      <c r="FIV162" s="369">
        <v>0.5</v>
      </c>
      <c r="FIW162" s="370" t="e">
        <f>10/FIS160</f>
        <v>#DIV/0!</v>
      </c>
      <c r="FIX162" s="371">
        <v>15.38</v>
      </c>
      <c r="FIY162" s="371" t="e">
        <f>FIV162*FIW162*FIX162</f>
        <v>#DIV/0!</v>
      </c>
      <c r="FIZ162" s="367" t="s">
        <v>206</v>
      </c>
      <c r="FJA162" s="367"/>
      <c r="FJB162" s="367"/>
      <c r="FJC162" s="368" t="s">
        <v>168</v>
      </c>
      <c r="FJD162" s="369">
        <v>0.5</v>
      </c>
      <c r="FJE162" s="370" t="e">
        <f>10/FJA160</f>
        <v>#DIV/0!</v>
      </c>
      <c r="FJF162" s="371">
        <v>15.38</v>
      </c>
      <c r="FJG162" s="371" t="e">
        <f>FJD162*FJE162*FJF162</f>
        <v>#DIV/0!</v>
      </c>
      <c r="FJH162" s="367" t="s">
        <v>206</v>
      </c>
      <c r="FJI162" s="367"/>
      <c r="FJJ162" s="367"/>
      <c r="FJK162" s="368" t="s">
        <v>168</v>
      </c>
      <c r="FJL162" s="369">
        <v>0.5</v>
      </c>
      <c r="FJM162" s="370" t="e">
        <f>10/FJI160</f>
        <v>#DIV/0!</v>
      </c>
      <c r="FJN162" s="371">
        <v>15.38</v>
      </c>
      <c r="FJO162" s="371" t="e">
        <f>FJL162*FJM162*FJN162</f>
        <v>#DIV/0!</v>
      </c>
      <c r="FJP162" s="367" t="s">
        <v>206</v>
      </c>
      <c r="FJQ162" s="367"/>
      <c r="FJR162" s="367"/>
      <c r="FJS162" s="368" t="s">
        <v>168</v>
      </c>
      <c r="FJT162" s="369">
        <v>0.5</v>
      </c>
      <c r="FJU162" s="370" t="e">
        <f>10/FJQ160</f>
        <v>#DIV/0!</v>
      </c>
      <c r="FJV162" s="371">
        <v>15.38</v>
      </c>
      <c r="FJW162" s="371" t="e">
        <f>FJT162*FJU162*FJV162</f>
        <v>#DIV/0!</v>
      </c>
      <c r="FJX162" s="367" t="s">
        <v>206</v>
      </c>
      <c r="FJY162" s="367"/>
      <c r="FJZ162" s="367"/>
      <c r="FKA162" s="368" t="s">
        <v>168</v>
      </c>
      <c r="FKB162" s="369">
        <v>0.5</v>
      </c>
      <c r="FKC162" s="370" t="e">
        <f>10/FJY160</f>
        <v>#DIV/0!</v>
      </c>
      <c r="FKD162" s="371">
        <v>15.38</v>
      </c>
      <c r="FKE162" s="371" t="e">
        <f>FKB162*FKC162*FKD162</f>
        <v>#DIV/0!</v>
      </c>
      <c r="FKF162" s="367" t="s">
        <v>206</v>
      </c>
      <c r="FKG162" s="367"/>
      <c r="FKH162" s="367"/>
      <c r="FKI162" s="368" t="s">
        <v>168</v>
      </c>
      <c r="FKJ162" s="369">
        <v>0.5</v>
      </c>
      <c r="FKK162" s="370" t="e">
        <f>10/FKG160</f>
        <v>#DIV/0!</v>
      </c>
      <c r="FKL162" s="371">
        <v>15.38</v>
      </c>
      <c r="FKM162" s="371" t="e">
        <f>FKJ162*FKK162*FKL162</f>
        <v>#DIV/0!</v>
      </c>
      <c r="FKN162" s="367" t="s">
        <v>206</v>
      </c>
      <c r="FKO162" s="367"/>
      <c r="FKP162" s="367"/>
      <c r="FKQ162" s="368" t="s">
        <v>168</v>
      </c>
      <c r="FKR162" s="369">
        <v>0.5</v>
      </c>
      <c r="FKS162" s="370" t="e">
        <f>10/FKO160</f>
        <v>#DIV/0!</v>
      </c>
      <c r="FKT162" s="371">
        <v>15.38</v>
      </c>
      <c r="FKU162" s="371" t="e">
        <f>FKR162*FKS162*FKT162</f>
        <v>#DIV/0!</v>
      </c>
      <c r="FKV162" s="367" t="s">
        <v>206</v>
      </c>
      <c r="FKW162" s="367"/>
      <c r="FKX162" s="367"/>
      <c r="FKY162" s="368" t="s">
        <v>168</v>
      </c>
      <c r="FKZ162" s="369">
        <v>0.5</v>
      </c>
      <c r="FLA162" s="370" t="e">
        <f>10/FKW160</f>
        <v>#DIV/0!</v>
      </c>
      <c r="FLB162" s="371">
        <v>15.38</v>
      </c>
      <c r="FLC162" s="371" t="e">
        <f>FKZ162*FLA162*FLB162</f>
        <v>#DIV/0!</v>
      </c>
      <c r="FLD162" s="367" t="s">
        <v>206</v>
      </c>
      <c r="FLE162" s="367"/>
      <c r="FLF162" s="367"/>
      <c r="FLG162" s="368" t="s">
        <v>168</v>
      </c>
      <c r="FLH162" s="369">
        <v>0.5</v>
      </c>
      <c r="FLI162" s="370" t="e">
        <f>10/FLE160</f>
        <v>#DIV/0!</v>
      </c>
      <c r="FLJ162" s="371">
        <v>15.38</v>
      </c>
      <c r="FLK162" s="371" t="e">
        <f>FLH162*FLI162*FLJ162</f>
        <v>#DIV/0!</v>
      </c>
      <c r="FLL162" s="367" t="s">
        <v>206</v>
      </c>
      <c r="FLM162" s="367"/>
      <c r="FLN162" s="367"/>
      <c r="FLO162" s="368" t="s">
        <v>168</v>
      </c>
      <c r="FLP162" s="369">
        <v>0.5</v>
      </c>
      <c r="FLQ162" s="370" t="e">
        <f>10/FLM160</f>
        <v>#DIV/0!</v>
      </c>
      <c r="FLR162" s="371">
        <v>15.38</v>
      </c>
      <c r="FLS162" s="371" t="e">
        <f>FLP162*FLQ162*FLR162</f>
        <v>#DIV/0!</v>
      </c>
      <c r="FLT162" s="367" t="s">
        <v>206</v>
      </c>
      <c r="FLU162" s="367"/>
      <c r="FLV162" s="367"/>
      <c r="FLW162" s="368" t="s">
        <v>168</v>
      </c>
      <c r="FLX162" s="369">
        <v>0.5</v>
      </c>
      <c r="FLY162" s="370" t="e">
        <f>10/FLU160</f>
        <v>#DIV/0!</v>
      </c>
      <c r="FLZ162" s="371">
        <v>15.38</v>
      </c>
      <c r="FMA162" s="371" t="e">
        <f>FLX162*FLY162*FLZ162</f>
        <v>#DIV/0!</v>
      </c>
      <c r="FMB162" s="367" t="s">
        <v>206</v>
      </c>
      <c r="FMC162" s="367"/>
      <c r="FMD162" s="367"/>
      <c r="FME162" s="368" t="s">
        <v>168</v>
      </c>
      <c r="FMF162" s="369">
        <v>0.5</v>
      </c>
      <c r="FMG162" s="370" t="e">
        <f>10/FMC160</f>
        <v>#DIV/0!</v>
      </c>
      <c r="FMH162" s="371">
        <v>15.38</v>
      </c>
      <c r="FMI162" s="371" t="e">
        <f>FMF162*FMG162*FMH162</f>
        <v>#DIV/0!</v>
      </c>
      <c r="FMJ162" s="367" t="s">
        <v>206</v>
      </c>
      <c r="FMK162" s="367"/>
      <c r="FML162" s="367"/>
      <c r="FMM162" s="368" t="s">
        <v>168</v>
      </c>
      <c r="FMN162" s="369">
        <v>0.5</v>
      </c>
      <c r="FMO162" s="370" t="e">
        <f>10/FMK160</f>
        <v>#DIV/0!</v>
      </c>
      <c r="FMP162" s="371">
        <v>15.38</v>
      </c>
      <c r="FMQ162" s="371" t="e">
        <f>FMN162*FMO162*FMP162</f>
        <v>#DIV/0!</v>
      </c>
      <c r="FMR162" s="367" t="s">
        <v>206</v>
      </c>
      <c r="FMS162" s="367"/>
      <c r="FMT162" s="367"/>
      <c r="FMU162" s="368" t="s">
        <v>168</v>
      </c>
      <c r="FMV162" s="369">
        <v>0.5</v>
      </c>
      <c r="FMW162" s="370" t="e">
        <f>10/FMS160</f>
        <v>#DIV/0!</v>
      </c>
      <c r="FMX162" s="371">
        <v>15.38</v>
      </c>
      <c r="FMY162" s="371" t="e">
        <f>FMV162*FMW162*FMX162</f>
        <v>#DIV/0!</v>
      </c>
      <c r="FMZ162" s="367" t="s">
        <v>206</v>
      </c>
      <c r="FNA162" s="367"/>
      <c r="FNB162" s="367"/>
      <c r="FNC162" s="368" t="s">
        <v>168</v>
      </c>
      <c r="FND162" s="369">
        <v>0.5</v>
      </c>
      <c r="FNE162" s="370" t="e">
        <f>10/FNA160</f>
        <v>#DIV/0!</v>
      </c>
      <c r="FNF162" s="371">
        <v>15.38</v>
      </c>
      <c r="FNG162" s="371" t="e">
        <f>FND162*FNE162*FNF162</f>
        <v>#DIV/0!</v>
      </c>
      <c r="FNH162" s="367" t="s">
        <v>206</v>
      </c>
      <c r="FNI162" s="367"/>
      <c r="FNJ162" s="367"/>
      <c r="FNK162" s="368" t="s">
        <v>168</v>
      </c>
      <c r="FNL162" s="369">
        <v>0.5</v>
      </c>
      <c r="FNM162" s="370" t="e">
        <f>10/FNI160</f>
        <v>#DIV/0!</v>
      </c>
      <c r="FNN162" s="371">
        <v>15.38</v>
      </c>
      <c r="FNO162" s="371" t="e">
        <f>FNL162*FNM162*FNN162</f>
        <v>#DIV/0!</v>
      </c>
      <c r="FNP162" s="367" t="s">
        <v>206</v>
      </c>
      <c r="FNQ162" s="367"/>
      <c r="FNR162" s="367"/>
      <c r="FNS162" s="368" t="s">
        <v>168</v>
      </c>
      <c r="FNT162" s="369">
        <v>0.5</v>
      </c>
      <c r="FNU162" s="370" t="e">
        <f>10/FNQ160</f>
        <v>#DIV/0!</v>
      </c>
      <c r="FNV162" s="371">
        <v>15.38</v>
      </c>
      <c r="FNW162" s="371" t="e">
        <f>FNT162*FNU162*FNV162</f>
        <v>#DIV/0!</v>
      </c>
      <c r="FNX162" s="367" t="s">
        <v>206</v>
      </c>
      <c r="FNY162" s="367"/>
      <c r="FNZ162" s="367"/>
      <c r="FOA162" s="368" t="s">
        <v>168</v>
      </c>
      <c r="FOB162" s="369">
        <v>0.5</v>
      </c>
      <c r="FOC162" s="370" t="e">
        <f>10/FNY160</f>
        <v>#DIV/0!</v>
      </c>
      <c r="FOD162" s="371">
        <v>15.38</v>
      </c>
      <c r="FOE162" s="371" t="e">
        <f>FOB162*FOC162*FOD162</f>
        <v>#DIV/0!</v>
      </c>
      <c r="FOF162" s="367" t="s">
        <v>206</v>
      </c>
      <c r="FOG162" s="367"/>
      <c r="FOH162" s="367"/>
      <c r="FOI162" s="368" t="s">
        <v>168</v>
      </c>
      <c r="FOJ162" s="369">
        <v>0.5</v>
      </c>
      <c r="FOK162" s="370" t="e">
        <f>10/FOG160</f>
        <v>#DIV/0!</v>
      </c>
      <c r="FOL162" s="371">
        <v>15.38</v>
      </c>
      <c r="FOM162" s="371" t="e">
        <f>FOJ162*FOK162*FOL162</f>
        <v>#DIV/0!</v>
      </c>
      <c r="FON162" s="367" t="s">
        <v>206</v>
      </c>
      <c r="FOO162" s="367"/>
      <c r="FOP162" s="367"/>
      <c r="FOQ162" s="368" t="s">
        <v>168</v>
      </c>
      <c r="FOR162" s="369">
        <v>0.5</v>
      </c>
      <c r="FOS162" s="370" t="e">
        <f>10/FOO160</f>
        <v>#DIV/0!</v>
      </c>
      <c r="FOT162" s="371">
        <v>15.38</v>
      </c>
      <c r="FOU162" s="371" t="e">
        <f>FOR162*FOS162*FOT162</f>
        <v>#DIV/0!</v>
      </c>
      <c r="FOV162" s="367" t="s">
        <v>206</v>
      </c>
      <c r="FOW162" s="367"/>
      <c r="FOX162" s="367"/>
      <c r="FOY162" s="368" t="s">
        <v>168</v>
      </c>
      <c r="FOZ162" s="369">
        <v>0.5</v>
      </c>
      <c r="FPA162" s="370" t="e">
        <f>10/FOW160</f>
        <v>#DIV/0!</v>
      </c>
      <c r="FPB162" s="371">
        <v>15.38</v>
      </c>
      <c r="FPC162" s="371" t="e">
        <f>FOZ162*FPA162*FPB162</f>
        <v>#DIV/0!</v>
      </c>
      <c r="FPD162" s="367" t="s">
        <v>206</v>
      </c>
      <c r="FPE162" s="367"/>
      <c r="FPF162" s="367"/>
      <c r="FPG162" s="368" t="s">
        <v>168</v>
      </c>
      <c r="FPH162" s="369">
        <v>0.5</v>
      </c>
      <c r="FPI162" s="370" t="e">
        <f>10/FPE160</f>
        <v>#DIV/0!</v>
      </c>
      <c r="FPJ162" s="371">
        <v>15.38</v>
      </c>
      <c r="FPK162" s="371" t="e">
        <f>FPH162*FPI162*FPJ162</f>
        <v>#DIV/0!</v>
      </c>
      <c r="FPL162" s="367" t="s">
        <v>206</v>
      </c>
      <c r="FPM162" s="367"/>
      <c r="FPN162" s="367"/>
      <c r="FPO162" s="368" t="s">
        <v>168</v>
      </c>
      <c r="FPP162" s="369">
        <v>0.5</v>
      </c>
      <c r="FPQ162" s="370" t="e">
        <f>10/FPM160</f>
        <v>#DIV/0!</v>
      </c>
      <c r="FPR162" s="371">
        <v>15.38</v>
      </c>
      <c r="FPS162" s="371" t="e">
        <f>FPP162*FPQ162*FPR162</f>
        <v>#DIV/0!</v>
      </c>
      <c r="FPT162" s="367" t="s">
        <v>206</v>
      </c>
      <c r="FPU162" s="367"/>
      <c r="FPV162" s="367"/>
      <c r="FPW162" s="368" t="s">
        <v>168</v>
      </c>
      <c r="FPX162" s="369">
        <v>0.5</v>
      </c>
      <c r="FPY162" s="370" t="e">
        <f>10/FPU160</f>
        <v>#DIV/0!</v>
      </c>
      <c r="FPZ162" s="371">
        <v>15.38</v>
      </c>
      <c r="FQA162" s="371" t="e">
        <f>FPX162*FPY162*FPZ162</f>
        <v>#DIV/0!</v>
      </c>
      <c r="FQB162" s="367" t="s">
        <v>206</v>
      </c>
      <c r="FQC162" s="367"/>
      <c r="FQD162" s="367"/>
      <c r="FQE162" s="368" t="s">
        <v>168</v>
      </c>
      <c r="FQF162" s="369">
        <v>0.5</v>
      </c>
      <c r="FQG162" s="370" t="e">
        <f>10/FQC160</f>
        <v>#DIV/0!</v>
      </c>
      <c r="FQH162" s="371">
        <v>15.38</v>
      </c>
      <c r="FQI162" s="371" t="e">
        <f>FQF162*FQG162*FQH162</f>
        <v>#DIV/0!</v>
      </c>
      <c r="FQJ162" s="367" t="s">
        <v>206</v>
      </c>
      <c r="FQK162" s="367"/>
      <c r="FQL162" s="367"/>
      <c r="FQM162" s="368" t="s">
        <v>168</v>
      </c>
      <c r="FQN162" s="369">
        <v>0.5</v>
      </c>
      <c r="FQO162" s="370" t="e">
        <f>10/FQK160</f>
        <v>#DIV/0!</v>
      </c>
      <c r="FQP162" s="371">
        <v>15.38</v>
      </c>
      <c r="FQQ162" s="371" t="e">
        <f>FQN162*FQO162*FQP162</f>
        <v>#DIV/0!</v>
      </c>
      <c r="FQR162" s="367" t="s">
        <v>206</v>
      </c>
      <c r="FQS162" s="367"/>
      <c r="FQT162" s="367"/>
      <c r="FQU162" s="368" t="s">
        <v>168</v>
      </c>
      <c r="FQV162" s="369">
        <v>0.5</v>
      </c>
      <c r="FQW162" s="370" t="e">
        <f>10/FQS160</f>
        <v>#DIV/0!</v>
      </c>
      <c r="FQX162" s="371">
        <v>15.38</v>
      </c>
      <c r="FQY162" s="371" t="e">
        <f>FQV162*FQW162*FQX162</f>
        <v>#DIV/0!</v>
      </c>
      <c r="FQZ162" s="367" t="s">
        <v>206</v>
      </c>
      <c r="FRA162" s="367"/>
      <c r="FRB162" s="367"/>
      <c r="FRC162" s="368" t="s">
        <v>168</v>
      </c>
      <c r="FRD162" s="369">
        <v>0.5</v>
      </c>
      <c r="FRE162" s="370" t="e">
        <f>10/FRA160</f>
        <v>#DIV/0!</v>
      </c>
      <c r="FRF162" s="371">
        <v>15.38</v>
      </c>
      <c r="FRG162" s="371" t="e">
        <f>FRD162*FRE162*FRF162</f>
        <v>#DIV/0!</v>
      </c>
      <c r="FRH162" s="367" t="s">
        <v>206</v>
      </c>
      <c r="FRI162" s="367"/>
      <c r="FRJ162" s="367"/>
      <c r="FRK162" s="368" t="s">
        <v>168</v>
      </c>
      <c r="FRL162" s="369">
        <v>0.5</v>
      </c>
      <c r="FRM162" s="370" t="e">
        <f>10/FRI160</f>
        <v>#DIV/0!</v>
      </c>
      <c r="FRN162" s="371">
        <v>15.38</v>
      </c>
      <c r="FRO162" s="371" t="e">
        <f>FRL162*FRM162*FRN162</f>
        <v>#DIV/0!</v>
      </c>
      <c r="FRP162" s="367" t="s">
        <v>206</v>
      </c>
      <c r="FRQ162" s="367"/>
      <c r="FRR162" s="367"/>
      <c r="FRS162" s="368" t="s">
        <v>168</v>
      </c>
      <c r="FRT162" s="369">
        <v>0.5</v>
      </c>
      <c r="FRU162" s="370" t="e">
        <f>10/FRQ160</f>
        <v>#DIV/0!</v>
      </c>
      <c r="FRV162" s="371">
        <v>15.38</v>
      </c>
      <c r="FRW162" s="371" t="e">
        <f>FRT162*FRU162*FRV162</f>
        <v>#DIV/0!</v>
      </c>
      <c r="FRX162" s="367" t="s">
        <v>206</v>
      </c>
      <c r="FRY162" s="367"/>
      <c r="FRZ162" s="367"/>
      <c r="FSA162" s="368" t="s">
        <v>168</v>
      </c>
      <c r="FSB162" s="369">
        <v>0.5</v>
      </c>
      <c r="FSC162" s="370" t="e">
        <f>10/FRY160</f>
        <v>#DIV/0!</v>
      </c>
      <c r="FSD162" s="371">
        <v>15.38</v>
      </c>
      <c r="FSE162" s="371" t="e">
        <f>FSB162*FSC162*FSD162</f>
        <v>#DIV/0!</v>
      </c>
      <c r="FSF162" s="367" t="s">
        <v>206</v>
      </c>
      <c r="FSG162" s="367"/>
      <c r="FSH162" s="367"/>
      <c r="FSI162" s="368" t="s">
        <v>168</v>
      </c>
      <c r="FSJ162" s="369">
        <v>0.5</v>
      </c>
      <c r="FSK162" s="370" t="e">
        <f>10/FSG160</f>
        <v>#DIV/0!</v>
      </c>
      <c r="FSL162" s="371">
        <v>15.38</v>
      </c>
      <c r="FSM162" s="371" t="e">
        <f>FSJ162*FSK162*FSL162</f>
        <v>#DIV/0!</v>
      </c>
      <c r="FSN162" s="367" t="s">
        <v>206</v>
      </c>
      <c r="FSO162" s="367"/>
      <c r="FSP162" s="367"/>
      <c r="FSQ162" s="368" t="s">
        <v>168</v>
      </c>
      <c r="FSR162" s="369">
        <v>0.5</v>
      </c>
      <c r="FSS162" s="370" t="e">
        <f>10/FSO160</f>
        <v>#DIV/0!</v>
      </c>
      <c r="FST162" s="371">
        <v>15.38</v>
      </c>
      <c r="FSU162" s="371" t="e">
        <f>FSR162*FSS162*FST162</f>
        <v>#DIV/0!</v>
      </c>
      <c r="FSV162" s="367" t="s">
        <v>206</v>
      </c>
      <c r="FSW162" s="367"/>
      <c r="FSX162" s="367"/>
      <c r="FSY162" s="368" t="s">
        <v>168</v>
      </c>
      <c r="FSZ162" s="369">
        <v>0.5</v>
      </c>
      <c r="FTA162" s="370" t="e">
        <f>10/FSW160</f>
        <v>#DIV/0!</v>
      </c>
      <c r="FTB162" s="371">
        <v>15.38</v>
      </c>
      <c r="FTC162" s="371" t="e">
        <f>FSZ162*FTA162*FTB162</f>
        <v>#DIV/0!</v>
      </c>
      <c r="FTD162" s="367" t="s">
        <v>206</v>
      </c>
      <c r="FTE162" s="367"/>
      <c r="FTF162" s="367"/>
      <c r="FTG162" s="368" t="s">
        <v>168</v>
      </c>
      <c r="FTH162" s="369">
        <v>0.5</v>
      </c>
      <c r="FTI162" s="370" t="e">
        <f>10/FTE160</f>
        <v>#DIV/0!</v>
      </c>
      <c r="FTJ162" s="371">
        <v>15.38</v>
      </c>
      <c r="FTK162" s="371" t="e">
        <f>FTH162*FTI162*FTJ162</f>
        <v>#DIV/0!</v>
      </c>
      <c r="FTL162" s="367" t="s">
        <v>206</v>
      </c>
      <c r="FTM162" s="367"/>
      <c r="FTN162" s="367"/>
      <c r="FTO162" s="368" t="s">
        <v>168</v>
      </c>
      <c r="FTP162" s="369">
        <v>0.5</v>
      </c>
      <c r="FTQ162" s="370" t="e">
        <f>10/FTM160</f>
        <v>#DIV/0!</v>
      </c>
      <c r="FTR162" s="371">
        <v>15.38</v>
      </c>
      <c r="FTS162" s="371" t="e">
        <f>FTP162*FTQ162*FTR162</f>
        <v>#DIV/0!</v>
      </c>
      <c r="FTT162" s="367" t="s">
        <v>206</v>
      </c>
      <c r="FTU162" s="367"/>
      <c r="FTV162" s="367"/>
      <c r="FTW162" s="368" t="s">
        <v>168</v>
      </c>
      <c r="FTX162" s="369">
        <v>0.5</v>
      </c>
      <c r="FTY162" s="370" t="e">
        <f>10/FTU160</f>
        <v>#DIV/0!</v>
      </c>
      <c r="FTZ162" s="371">
        <v>15.38</v>
      </c>
      <c r="FUA162" s="371" t="e">
        <f>FTX162*FTY162*FTZ162</f>
        <v>#DIV/0!</v>
      </c>
      <c r="FUB162" s="367" t="s">
        <v>206</v>
      </c>
      <c r="FUC162" s="367"/>
      <c r="FUD162" s="367"/>
      <c r="FUE162" s="368" t="s">
        <v>168</v>
      </c>
      <c r="FUF162" s="369">
        <v>0.5</v>
      </c>
      <c r="FUG162" s="370" t="e">
        <f>10/FUC160</f>
        <v>#DIV/0!</v>
      </c>
      <c r="FUH162" s="371">
        <v>15.38</v>
      </c>
      <c r="FUI162" s="371" t="e">
        <f>FUF162*FUG162*FUH162</f>
        <v>#DIV/0!</v>
      </c>
      <c r="FUJ162" s="367" t="s">
        <v>206</v>
      </c>
      <c r="FUK162" s="367"/>
      <c r="FUL162" s="367"/>
      <c r="FUM162" s="368" t="s">
        <v>168</v>
      </c>
      <c r="FUN162" s="369">
        <v>0.5</v>
      </c>
      <c r="FUO162" s="370" t="e">
        <f>10/FUK160</f>
        <v>#DIV/0!</v>
      </c>
      <c r="FUP162" s="371">
        <v>15.38</v>
      </c>
      <c r="FUQ162" s="371" t="e">
        <f>FUN162*FUO162*FUP162</f>
        <v>#DIV/0!</v>
      </c>
      <c r="FUR162" s="367" t="s">
        <v>206</v>
      </c>
      <c r="FUS162" s="367"/>
      <c r="FUT162" s="367"/>
      <c r="FUU162" s="368" t="s">
        <v>168</v>
      </c>
      <c r="FUV162" s="369">
        <v>0.5</v>
      </c>
      <c r="FUW162" s="370" t="e">
        <f>10/FUS160</f>
        <v>#DIV/0!</v>
      </c>
      <c r="FUX162" s="371">
        <v>15.38</v>
      </c>
      <c r="FUY162" s="371" t="e">
        <f>FUV162*FUW162*FUX162</f>
        <v>#DIV/0!</v>
      </c>
      <c r="FUZ162" s="367" t="s">
        <v>206</v>
      </c>
      <c r="FVA162" s="367"/>
      <c r="FVB162" s="367"/>
      <c r="FVC162" s="368" t="s">
        <v>168</v>
      </c>
      <c r="FVD162" s="369">
        <v>0.5</v>
      </c>
      <c r="FVE162" s="370" t="e">
        <f>10/FVA160</f>
        <v>#DIV/0!</v>
      </c>
      <c r="FVF162" s="371">
        <v>15.38</v>
      </c>
      <c r="FVG162" s="371" t="e">
        <f>FVD162*FVE162*FVF162</f>
        <v>#DIV/0!</v>
      </c>
      <c r="FVH162" s="367" t="s">
        <v>206</v>
      </c>
      <c r="FVI162" s="367"/>
      <c r="FVJ162" s="367"/>
      <c r="FVK162" s="368" t="s">
        <v>168</v>
      </c>
      <c r="FVL162" s="369">
        <v>0.5</v>
      </c>
      <c r="FVM162" s="370" t="e">
        <f>10/FVI160</f>
        <v>#DIV/0!</v>
      </c>
      <c r="FVN162" s="371">
        <v>15.38</v>
      </c>
      <c r="FVO162" s="371" t="e">
        <f>FVL162*FVM162*FVN162</f>
        <v>#DIV/0!</v>
      </c>
      <c r="FVP162" s="367" t="s">
        <v>206</v>
      </c>
      <c r="FVQ162" s="367"/>
      <c r="FVR162" s="367"/>
      <c r="FVS162" s="368" t="s">
        <v>168</v>
      </c>
      <c r="FVT162" s="369">
        <v>0.5</v>
      </c>
      <c r="FVU162" s="370" t="e">
        <f>10/FVQ160</f>
        <v>#DIV/0!</v>
      </c>
      <c r="FVV162" s="371">
        <v>15.38</v>
      </c>
      <c r="FVW162" s="371" t="e">
        <f>FVT162*FVU162*FVV162</f>
        <v>#DIV/0!</v>
      </c>
      <c r="FVX162" s="367" t="s">
        <v>206</v>
      </c>
      <c r="FVY162" s="367"/>
      <c r="FVZ162" s="367"/>
      <c r="FWA162" s="368" t="s">
        <v>168</v>
      </c>
      <c r="FWB162" s="369">
        <v>0.5</v>
      </c>
      <c r="FWC162" s="370" t="e">
        <f>10/FVY160</f>
        <v>#DIV/0!</v>
      </c>
      <c r="FWD162" s="371">
        <v>15.38</v>
      </c>
      <c r="FWE162" s="371" t="e">
        <f>FWB162*FWC162*FWD162</f>
        <v>#DIV/0!</v>
      </c>
      <c r="FWF162" s="367" t="s">
        <v>206</v>
      </c>
      <c r="FWG162" s="367"/>
      <c r="FWH162" s="367"/>
      <c r="FWI162" s="368" t="s">
        <v>168</v>
      </c>
      <c r="FWJ162" s="369">
        <v>0.5</v>
      </c>
      <c r="FWK162" s="370" t="e">
        <f>10/FWG160</f>
        <v>#DIV/0!</v>
      </c>
      <c r="FWL162" s="371">
        <v>15.38</v>
      </c>
      <c r="FWM162" s="371" t="e">
        <f>FWJ162*FWK162*FWL162</f>
        <v>#DIV/0!</v>
      </c>
      <c r="FWN162" s="367" t="s">
        <v>206</v>
      </c>
      <c r="FWO162" s="367"/>
      <c r="FWP162" s="367"/>
      <c r="FWQ162" s="368" t="s">
        <v>168</v>
      </c>
      <c r="FWR162" s="369">
        <v>0.5</v>
      </c>
      <c r="FWS162" s="370" t="e">
        <f>10/FWO160</f>
        <v>#DIV/0!</v>
      </c>
      <c r="FWT162" s="371">
        <v>15.38</v>
      </c>
      <c r="FWU162" s="371" t="e">
        <f>FWR162*FWS162*FWT162</f>
        <v>#DIV/0!</v>
      </c>
      <c r="FWV162" s="367" t="s">
        <v>206</v>
      </c>
      <c r="FWW162" s="367"/>
      <c r="FWX162" s="367"/>
      <c r="FWY162" s="368" t="s">
        <v>168</v>
      </c>
      <c r="FWZ162" s="369">
        <v>0.5</v>
      </c>
      <c r="FXA162" s="370" t="e">
        <f>10/FWW160</f>
        <v>#DIV/0!</v>
      </c>
      <c r="FXB162" s="371">
        <v>15.38</v>
      </c>
      <c r="FXC162" s="371" t="e">
        <f>FWZ162*FXA162*FXB162</f>
        <v>#DIV/0!</v>
      </c>
      <c r="FXD162" s="367" t="s">
        <v>206</v>
      </c>
      <c r="FXE162" s="367"/>
      <c r="FXF162" s="367"/>
      <c r="FXG162" s="368" t="s">
        <v>168</v>
      </c>
      <c r="FXH162" s="369">
        <v>0.5</v>
      </c>
      <c r="FXI162" s="370" t="e">
        <f>10/FXE160</f>
        <v>#DIV/0!</v>
      </c>
      <c r="FXJ162" s="371">
        <v>15.38</v>
      </c>
      <c r="FXK162" s="371" t="e">
        <f>FXH162*FXI162*FXJ162</f>
        <v>#DIV/0!</v>
      </c>
      <c r="FXL162" s="367" t="s">
        <v>206</v>
      </c>
      <c r="FXM162" s="367"/>
      <c r="FXN162" s="367"/>
      <c r="FXO162" s="368" t="s">
        <v>168</v>
      </c>
      <c r="FXP162" s="369">
        <v>0.5</v>
      </c>
      <c r="FXQ162" s="370" t="e">
        <f>10/FXM160</f>
        <v>#DIV/0!</v>
      </c>
      <c r="FXR162" s="371">
        <v>15.38</v>
      </c>
      <c r="FXS162" s="371" t="e">
        <f>FXP162*FXQ162*FXR162</f>
        <v>#DIV/0!</v>
      </c>
      <c r="FXT162" s="367" t="s">
        <v>206</v>
      </c>
      <c r="FXU162" s="367"/>
      <c r="FXV162" s="367"/>
      <c r="FXW162" s="368" t="s">
        <v>168</v>
      </c>
      <c r="FXX162" s="369">
        <v>0.5</v>
      </c>
      <c r="FXY162" s="370" t="e">
        <f>10/FXU160</f>
        <v>#DIV/0!</v>
      </c>
      <c r="FXZ162" s="371">
        <v>15.38</v>
      </c>
      <c r="FYA162" s="371" t="e">
        <f>FXX162*FXY162*FXZ162</f>
        <v>#DIV/0!</v>
      </c>
      <c r="FYB162" s="367" t="s">
        <v>206</v>
      </c>
      <c r="FYC162" s="367"/>
      <c r="FYD162" s="367"/>
      <c r="FYE162" s="368" t="s">
        <v>168</v>
      </c>
      <c r="FYF162" s="369">
        <v>0.5</v>
      </c>
      <c r="FYG162" s="370" t="e">
        <f>10/FYC160</f>
        <v>#DIV/0!</v>
      </c>
      <c r="FYH162" s="371">
        <v>15.38</v>
      </c>
      <c r="FYI162" s="371" t="e">
        <f>FYF162*FYG162*FYH162</f>
        <v>#DIV/0!</v>
      </c>
      <c r="FYJ162" s="367" t="s">
        <v>206</v>
      </c>
      <c r="FYK162" s="367"/>
      <c r="FYL162" s="367"/>
      <c r="FYM162" s="368" t="s">
        <v>168</v>
      </c>
      <c r="FYN162" s="369">
        <v>0.5</v>
      </c>
      <c r="FYO162" s="370" t="e">
        <f>10/FYK160</f>
        <v>#DIV/0!</v>
      </c>
      <c r="FYP162" s="371">
        <v>15.38</v>
      </c>
      <c r="FYQ162" s="371" t="e">
        <f>FYN162*FYO162*FYP162</f>
        <v>#DIV/0!</v>
      </c>
      <c r="FYR162" s="367" t="s">
        <v>206</v>
      </c>
      <c r="FYS162" s="367"/>
      <c r="FYT162" s="367"/>
      <c r="FYU162" s="368" t="s">
        <v>168</v>
      </c>
      <c r="FYV162" s="369">
        <v>0.5</v>
      </c>
      <c r="FYW162" s="370" t="e">
        <f>10/FYS160</f>
        <v>#DIV/0!</v>
      </c>
      <c r="FYX162" s="371">
        <v>15.38</v>
      </c>
      <c r="FYY162" s="371" t="e">
        <f>FYV162*FYW162*FYX162</f>
        <v>#DIV/0!</v>
      </c>
      <c r="FYZ162" s="367" t="s">
        <v>206</v>
      </c>
      <c r="FZA162" s="367"/>
      <c r="FZB162" s="367"/>
      <c r="FZC162" s="368" t="s">
        <v>168</v>
      </c>
      <c r="FZD162" s="369">
        <v>0.5</v>
      </c>
      <c r="FZE162" s="370" t="e">
        <f>10/FZA160</f>
        <v>#DIV/0!</v>
      </c>
      <c r="FZF162" s="371">
        <v>15.38</v>
      </c>
      <c r="FZG162" s="371" t="e">
        <f>FZD162*FZE162*FZF162</f>
        <v>#DIV/0!</v>
      </c>
      <c r="FZH162" s="367" t="s">
        <v>206</v>
      </c>
      <c r="FZI162" s="367"/>
      <c r="FZJ162" s="367"/>
      <c r="FZK162" s="368" t="s">
        <v>168</v>
      </c>
      <c r="FZL162" s="369">
        <v>0.5</v>
      </c>
      <c r="FZM162" s="370" t="e">
        <f>10/FZI160</f>
        <v>#DIV/0!</v>
      </c>
      <c r="FZN162" s="371">
        <v>15.38</v>
      </c>
      <c r="FZO162" s="371" t="e">
        <f>FZL162*FZM162*FZN162</f>
        <v>#DIV/0!</v>
      </c>
      <c r="FZP162" s="367" t="s">
        <v>206</v>
      </c>
      <c r="FZQ162" s="367"/>
      <c r="FZR162" s="367"/>
      <c r="FZS162" s="368" t="s">
        <v>168</v>
      </c>
      <c r="FZT162" s="369">
        <v>0.5</v>
      </c>
      <c r="FZU162" s="370" t="e">
        <f>10/FZQ160</f>
        <v>#DIV/0!</v>
      </c>
      <c r="FZV162" s="371">
        <v>15.38</v>
      </c>
      <c r="FZW162" s="371" t="e">
        <f>FZT162*FZU162*FZV162</f>
        <v>#DIV/0!</v>
      </c>
      <c r="FZX162" s="367" t="s">
        <v>206</v>
      </c>
      <c r="FZY162" s="367"/>
      <c r="FZZ162" s="367"/>
      <c r="GAA162" s="368" t="s">
        <v>168</v>
      </c>
      <c r="GAB162" s="369">
        <v>0.5</v>
      </c>
      <c r="GAC162" s="370" t="e">
        <f>10/FZY160</f>
        <v>#DIV/0!</v>
      </c>
      <c r="GAD162" s="371">
        <v>15.38</v>
      </c>
      <c r="GAE162" s="371" t="e">
        <f>GAB162*GAC162*GAD162</f>
        <v>#DIV/0!</v>
      </c>
      <c r="GAF162" s="367" t="s">
        <v>206</v>
      </c>
      <c r="GAG162" s="367"/>
      <c r="GAH162" s="367"/>
      <c r="GAI162" s="368" t="s">
        <v>168</v>
      </c>
      <c r="GAJ162" s="369">
        <v>0.5</v>
      </c>
      <c r="GAK162" s="370" t="e">
        <f>10/GAG160</f>
        <v>#DIV/0!</v>
      </c>
      <c r="GAL162" s="371">
        <v>15.38</v>
      </c>
      <c r="GAM162" s="371" t="e">
        <f>GAJ162*GAK162*GAL162</f>
        <v>#DIV/0!</v>
      </c>
      <c r="GAN162" s="367" t="s">
        <v>206</v>
      </c>
      <c r="GAO162" s="367"/>
      <c r="GAP162" s="367"/>
      <c r="GAQ162" s="368" t="s">
        <v>168</v>
      </c>
      <c r="GAR162" s="369">
        <v>0.5</v>
      </c>
      <c r="GAS162" s="370" t="e">
        <f>10/GAO160</f>
        <v>#DIV/0!</v>
      </c>
      <c r="GAT162" s="371">
        <v>15.38</v>
      </c>
      <c r="GAU162" s="371" t="e">
        <f>GAR162*GAS162*GAT162</f>
        <v>#DIV/0!</v>
      </c>
      <c r="GAV162" s="367" t="s">
        <v>206</v>
      </c>
      <c r="GAW162" s="367"/>
      <c r="GAX162" s="367"/>
      <c r="GAY162" s="368" t="s">
        <v>168</v>
      </c>
      <c r="GAZ162" s="369">
        <v>0.5</v>
      </c>
      <c r="GBA162" s="370" t="e">
        <f>10/GAW160</f>
        <v>#DIV/0!</v>
      </c>
      <c r="GBB162" s="371">
        <v>15.38</v>
      </c>
      <c r="GBC162" s="371" t="e">
        <f>GAZ162*GBA162*GBB162</f>
        <v>#DIV/0!</v>
      </c>
      <c r="GBD162" s="367" t="s">
        <v>206</v>
      </c>
      <c r="GBE162" s="367"/>
      <c r="GBF162" s="367"/>
      <c r="GBG162" s="368" t="s">
        <v>168</v>
      </c>
      <c r="GBH162" s="369">
        <v>0.5</v>
      </c>
      <c r="GBI162" s="370" t="e">
        <f>10/GBE160</f>
        <v>#DIV/0!</v>
      </c>
      <c r="GBJ162" s="371">
        <v>15.38</v>
      </c>
      <c r="GBK162" s="371" t="e">
        <f>GBH162*GBI162*GBJ162</f>
        <v>#DIV/0!</v>
      </c>
      <c r="GBL162" s="367" t="s">
        <v>206</v>
      </c>
      <c r="GBM162" s="367"/>
      <c r="GBN162" s="367"/>
      <c r="GBO162" s="368" t="s">
        <v>168</v>
      </c>
      <c r="GBP162" s="369">
        <v>0.5</v>
      </c>
      <c r="GBQ162" s="370" t="e">
        <f>10/GBM160</f>
        <v>#DIV/0!</v>
      </c>
      <c r="GBR162" s="371">
        <v>15.38</v>
      </c>
      <c r="GBS162" s="371" t="e">
        <f>GBP162*GBQ162*GBR162</f>
        <v>#DIV/0!</v>
      </c>
      <c r="GBT162" s="367" t="s">
        <v>206</v>
      </c>
      <c r="GBU162" s="367"/>
      <c r="GBV162" s="367"/>
      <c r="GBW162" s="368" t="s">
        <v>168</v>
      </c>
      <c r="GBX162" s="369">
        <v>0.5</v>
      </c>
      <c r="GBY162" s="370" t="e">
        <f>10/GBU160</f>
        <v>#DIV/0!</v>
      </c>
      <c r="GBZ162" s="371">
        <v>15.38</v>
      </c>
      <c r="GCA162" s="371" t="e">
        <f>GBX162*GBY162*GBZ162</f>
        <v>#DIV/0!</v>
      </c>
      <c r="GCB162" s="367" t="s">
        <v>206</v>
      </c>
      <c r="GCC162" s="367"/>
      <c r="GCD162" s="367"/>
      <c r="GCE162" s="368" t="s">
        <v>168</v>
      </c>
      <c r="GCF162" s="369">
        <v>0.5</v>
      </c>
      <c r="GCG162" s="370" t="e">
        <f>10/GCC160</f>
        <v>#DIV/0!</v>
      </c>
      <c r="GCH162" s="371">
        <v>15.38</v>
      </c>
      <c r="GCI162" s="371" t="e">
        <f>GCF162*GCG162*GCH162</f>
        <v>#DIV/0!</v>
      </c>
      <c r="GCJ162" s="367" t="s">
        <v>206</v>
      </c>
      <c r="GCK162" s="367"/>
      <c r="GCL162" s="367"/>
      <c r="GCM162" s="368" t="s">
        <v>168</v>
      </c>
      <c r="GCN162" s="369">
        <v>0.5</v>
      </c>
      <c r="GCO162" s="370" t="e">
        <f>10/GCK160</f>
        <v>#DIV/0!</v>
      </c>
      <c r="GCP162" s="371">
        <v>15.38</v>
      </c>
      <c r="GCQ162" s="371" t="e">
        <f>GCN162*GCO162*GCP162</f>
        <v>#DIV/0!</v>
      </c>
      <c r="GCR162" s="367" t="s">
        <v>206</v>
      </c>
      <c r="GCS162" s="367"/>
      <c r="GCT162" s="367"/>
      <c r="GCU162" s="368" t="s">
        <v>168</v>
      </c>
      <c r="GCV162" s="369">
        <v>0.5</v>
      </c>
      <c r="GCW162" s="370" t="e">
        <f>10/GCS160</f>
        <v>#DIV/0!</v>
      </c>
      <c r="GCX162" s="371">
        <v>15.38</v>
      </c>
      <c r="GCY162" s="371" t="e">
        <f>GCV162*GCW162*GCX162</f>
        <v>#DIV/0!</v>
      </c>
      <c r="GCZ162" s="367" t="s">
        <v>206</v>
      </c>
      <c r="GDA162" s="367"/>
      <c r="GDB162" s="367"/>
      <c r="GDC162" s="368" t="s">
        <v>168</v>
      </c>
      <c r="GDD162" s="369">
        <v>0.5</v>
      </c>
      <c r="GDE162" s="370" t="e">
        <f>10/GDA160</f>
        <v>#DIV/0!</v>
      </c>
      <c r="GDF162" s="371">
        <v>15.38</v>
      </c>
      <c r="GDG162" s="371" t="e">
        <f>GDD162*GDE162*GDF162</f>
        <v>#DIV/0!</v>
      </c>
      <c r="GDH162" s="367" t="s">
        <v>206</v>
      </c>
      <c r="GDI162" s="367"/>
      <c r="GDJ162" s="367"/>
      <c r="GDK162" s="368" t="s">
        <v>168</v>
      </c>
      <c r="GDL162" s="369">
        <v>0.5</v>
      </c>
      <c r="GDM162" s="370" t="e">
        <f>10/GDI160</f>
        <v>#DIV/0!</v>
      </c>
      <c r="GDN162" s="371">
        <v>15.38</v>
      </c>
      <c r="GDO162" s="371" t="e">
        <f>GDL162*GDM162*GDN162</f>
        <v>#DIV/0!</v>
      </c>
      <c r="GDP162" s="367" t="s">
        <v>206</v>
      </c>
      <c r="GDQ162" s="367"/>
      <c r="GDR162" s="367"/>
      <c r="GDS162" s="368" t="s">
        <v>168</v>
      </c>
      <c r="GDT162" s="369">
        <v>0.5</v>
      </c>
      <c r="GDU162" s="370" t="e">
        <f>10/GDQ160</f>
        <v>#DIV/0!</v>
      </c>
      <c r="GDV162" s="371">
        <v>15.38</v>
      </c>
      <c r="GDW162" s="371" t="e">
        <f>GDT162*GDU162*GDV162</f>
        <v>#DIV/0!</v>
      </c>
      <c r="GDX162" s="367" t="s">
        <v>206</v>
      </c>
      <c r="GDY162" s="367"/>
      <c r="GDZ162" s="367"/>
      <c r="GEA162" s="368" t="s">
        <v>168</v>
      </c>
      <c r="GEB162" s="369">
        <v>0.5</v>
      </c>
      <c r="GEC162" s="370" t="e">
        <f>10/GDY160</f>
        <v>#DIV/0!</v>
      </c>
      <c r="GED162" s="371">
        <v>15.38</v>
      </c>
      <c r="GEE162" s="371" t="e">
        <f>GEB162*GEC162*GED162</f>
        <v>#DIV/0!</v>
      </c>
      <c r="GEF162" s="367" t="s">
        <v>206</v>
      </c>
      <c r="GEG162" s="367"/>
      <c r="GEH162" s="367"/>
      <c r="GEI162" s="368" t="s">
        <v>168</v>
      </c>
      <c r="GEJ162" s="369">
        <v>0.5</v>
      </c>
      <c r="GEK162" s="370" t="e">
        <f>10/GEG160</f>
        <v>#DIV/0!</v>
      </c>
      <c r="GEL162" s="371">
        <v>15.38</v>
      </c>
      <c r="GEM162" s="371" t="e">
        <f>GEJ162*GEK162*GEL162</f>
        <v>#DIV/0!</v>
      </c>
      <c r="GEN162" s="367" t="s">
        <v>206</v>
      </c>
      <c r="GEO162" s="367"/>
      <c r="GEP162" s="367"/>
      <c r="GEQ162" s="368" t="s">
        <v>168</v>
      </c>
      <c r="GER162" s="369">
        <v>0.5</v>
      </c>
      <c r="GES162" s="370" t="e">
        <f>10/GEO160</f>
        <v>#DIV/0!</v>
      </c>
      <c r="GET162" s="371">
        <v>15.38</v>
      </c>
      <c r="GEU162" s="371" t="e">
        <f>GER162*GES162*GET162</f>
        <v>#DIV/0!</v>
      </c>
      <c r="GEV162" s="367" t="s">
        <v>206</v>
      </c>
      <c r="GEW162" s="367"/>
      <c r="GEX162" s="367"/>
      <c r="GEY162" s="368" t="s">
        <v>168</v>
      </c>
      <c r="GEZ162" s="369">
        <v>0.5</v>
      </c>
      <c r="GFA162" s="370" t="e">
        <f>10/GEW160</f>
        <v>#DIV/0!</v>
      </c>
      <c r="GFB162" s="371">
        <v>15.38</v>
      </c>
      <c r="GFC162" s="371" t="e">
        <f>GEZ162*GFA162*GFB162</f>
        <v>#DIV/0!</v>
      </c>
      <c r="GFD162" s="367" t="s">
        <v>206</v>
      </c>
      <c r="GFE162" s="367"/>
      <c r="GFF162" s="367"/>
      <c r="GFG162" s="368" t="s">
        <v>168</v>
      </c>
      <c r="GFH162" s="369">
        <v>0.5</v>
      </c>
      <c r="GFI162" s="370" t="e">
        <f>10/GFE160</f>
        <v>#DIV/0!</v>
      </c>
      <c r="GFJ162" s="371">
        <v>15.38</v>
      </c>
      <c r="GFK162" s="371" t="e">
        <f>GFH162*GFI162*GFJ162</f>
        <v>#DIV/0!</v>
      </c>
      <c r="GFL162" s="367" t="s">
        <v>206</v>
      </c>
      <c r="GFM162" s="367"/>
      <c r="GFN162" s="367"/>
      <c r="GFO162" s="368" t="s">
        <v>168</v>
      </c>
      <c r="GFP162" s="369">
        <v>0.5</v>
      </c>
      <c r="GFQ162" s="370" t="e">
        <f>10/GFM160</f>
        <v>#DIV/0!</v>
      </c>
      <c r="GFR162" s="371">
        <v>15.38</v>
      </c>
      <c r="GFS162" s="371" t="e">
        <f>GFP162*GFQ162*GFR162</f>
        <v>#DIV/0!</v>
      </c>
      <c r="GFT162" s="367" t="s">
        <v>206</v>
      </c>
      <c r="GFU162" s="367"/>
      <c r="GFV162" s="367"/>
      <c r="GFW162" s="368" t="s">
        <v>168</v>
      </c>
      <c r="GFX162" s="369">
        <v>0.5</v>
      </c>
      <c r="GFY162" s="370" t="e">
        <f>10/GFU160</f>
        <v>#DIV/0!</v>
      </c>
      <c r="GFZ162" s="371">
        <v>15.38</v>
      </c>
      <c r="GGA162" s="371" t="e">
        <f>GFX162*GFY162*GFZ162</f>
        <v>#DIV/0!</v>
      </c>
      <c r="GGB162" s="367" t="s">
        <v>206</v>
      </c>
      <c r="GGC162" s="367"/>
      <c r="GGD162" s="367"/>
      <c r="GGE162" s="368" t="s">
        <v>168</v>
      </c>
      <c r="GGF162" s="369">
        <v>0.5</v>
      </c>
      <c r="GGG162" s="370" t="e">
        <f>10/GGC160</f>
        <v>#DIV/0!</v>
      </c>
      <c r="GGH162" s="371">
        <v>15.38</v>
      </c>
      <c r="GGI162" s="371" t="e">
        <f>GGF162*GGG162*GGH162</f>
        <v>#DIV/0!</v>
      </c>
      <c r="GGJ162" s="367" t="s">
        <v>206</v>
      </c>
      <c r="GGK162" s="367"/>
      <c r="GGL162" s="367"/>
      <c r="GGM162" s="368" t="s">
        <v>168</v>
      </c>
      <c r="GGN162" s="369">
        <v>0.5</v>
      </c>
      <c r="GGO162" s="370" t="e">
        <f>10/GGK160</f>
        <v>#DIV/0!</v>
      </c>
      <c r="GGP162" s="371">
        <v>15.38</v>
      </c>
      <c r="GGQ162" s="371" t="e">
        <f>GGN162*GGO162*GGP162</f>
        <v>#DIV/0!</v>
      </c>
      <c r="GGR162" s="367" t="s">
        <v>206</v>
      </c>
      <c r="GGS162" s="367"/>
      <c r="GGT162" s="367"/>
      <c r="GGU162" s="368" t="s">
        <v>168</v>
      </c>
      <c r="GGV162" s="369">
        <v>0.5</v>
      </c>
      <c r="GGW162" s="370" t="e">
        <f>10/GGS160</f>
        <v>#DIV/0!</v>
      </c>
      <c r="GGX162" s="371">
        <v>15.38</v>
      </c>
      <c r="GGY162" s="371" t="e">
        <f>GGV162*GGW162*GGX162</f>
        <v>#DIV/0!</v>
      </c>
      <c r="GGZ162" s="367" t="s">
        <v>206</v>
      </c>
      <c r="GHA162" s="367"/>
      <c r="GHB162" s="367"/>
      <c r="GHC162" s="368" t="s">
        <v>168</v>
      </c>
      <c r="GHD162" s="369">
        <v>0.5</v>
      </c>
      <c r="GHE162" s="370" t="e">
        <f>10/GHA160</f>
        <v>#DIV/0!</v>
      </c>
      <c r="GHF162" s="371">
        <v>15.38</v>
      </c>
      <c r="GHG162" s="371" t="e">
        <f>GHD162*GHE162*GHF162</f>
        <v>#DIV/0!</v>
      </c>
      <c r="GHH162" s="367" t="s">
        <v>206</v>
      </c>
      <c r="GHI162" s="367"/>
      <c r="GHJ162" s="367"/>
      <c r="GHK162" s="368" t="s">
        <v>168</v>
      </c>
      <c r="GHL162" s="369">
        <v>0.5</v>
      </c>
      <c r="GHM162" s="370" t="e">
        <f>10/GHI160</f>
        <v>#DIV/0!</v>
      </c>
      <c r="GHN162" s="371">
        <v>15.38</v>
      </c>
      <c r="GHO162" s="371" t="e">
        <f>GHL162*GHM162*GHN162</f>
        <v>#DIV/0!</v>
      </c>
      <c r="GHP162" s="367" t="s">
        <v>206</v>
      </c>
      <c r="GHQ162" s="367"/>
      <c r="GHR162" s="367"/>
      <c r="GHS162" s="368" t="s">
        <v>168</v>
      </c>
      <c r="GHT162" s="369">
        <v>0.5</v>
      </c>
      <c r="GHU162" s="370" t="e">
        <f>10/GHQ160</f>
        <v>#DIV/0!</v>
      </c>
      <c r="GHV162" s="371">
        <v>15.38</v>
      </c>
      <c r="GHW162" s="371" t="e">
        <f>GHT162*GHU162*GHV162</f>
        <v>#DIV/0!</v>
      </c>
      <c r="GHX162" s="367" t="s">
        <v>206</v>
      </c>
      <c r="GHY162" s="367"/>
      <c r="GHZ162" s="367"/>
      <c r="GIA162" s="368" t="s">
        <v>168</v>
      </c>
      <c r="GIB162" s="369">
        <v>0.5</v>
      </c>
      <c r="GIC162" s="370" t="e">
        <f>10/GHY160</f>
        <v>#DIV/0!</v>
      </c>
      <c r="GID162" s="371">
        <v>15.38</v>
      </c>
      <c r="GIE162" s="371" t="e">
        <f>GIB162*GIC162*GID162</f>
        <v>#DIV/0!</v>
      </c>
      <c r="GIF162" s="367" t="s">
        <v>206</v>
      </c>
      <c r="GIG162" s="367"/>
      <c r="GIH162" s="367"/>
      <c r="GII162" s="368" t="s">
        <v>168</v>
      </c>
      <c r="GIJ162" s="369">
        <v>0.5</v>
      </c>
      <c r="GIK162" s="370" t="e">
        <f>10/GIG160</f>
        <v>#DIV/0!</v>
      </c>
      <c r="GIL162" s="371">
        <v>15.38</v>
      </c>
      <c r="GIM162" s="371" t="e">
        <f>GIJ162*GIK162*GIL162</f>
        <v>#DIV/0!</v>
      </c>
      <c r="GIN162" s="367" t="s">
        <v>206</v>
      </c>
      <c r="GIO162" s="367"/>
      <c r="GIP162" s="367"/>
      <c r="GIQ162" s="368" t="s">
        <v>168</v>
      </c>
      <c r="GIR162" s="369">
        <v>0.5</v>
      </c>
      <c r="GIS162" s="370" t="e">
        <f>10/GIO160</f>
        <v>#DIV/0!</v>
      </c>
      <c r="GIT162" s="371">
        <v>15.38</v>
      </c>
      <c r="GIU162" s="371" t="e">
        <f>GIR162*GIS162*GIT162</f>
        <v>#DIV/0!</v>
      </c>
      <c r="GIV162" s="367" t="s">
        <v>206</v>
      </c>
      <c r="GIW162" s="367"/>
      <c r="GIX162" s="367"/>
      <c r="GIY162" s="368" t="s">
        <v>168</v>
      </c>
      <c r="GIZ162" s="369">
        <v>0.5</v>
      </c>
      <c r="GJA162" s="370" t="e">
        <f>10/GIW160</f>
        <v>#DIV/0!</v>
      </c>
      <c r="GJB162" s="371">
        <v>15.38</v>
      </c>
      <c r="GJC162" s="371" t="e">
        <f>GIZ162*GJA162*GJB162</f>
        <v>#DIV/0!</v>
      </c>
      <c r="GJD162" s="367" t="s">
        <v>206</v>
      </c>
      <c r="GJE162" s="367"/>
      <c r="GJF162" s="367"/>
      <c r="GJG162" s="368" t="s">
        <v>168</v>
      </c>
      <c r="GJH162" s="369">
        <v>0.5</v>
      </c>
      <c r="GJI162" s="370" t="e">
        <f>10/GJE160</f>
        <v>#DIV/0!</v>
      </c>
      <c r="GJJ162" s="371">
        <v>15.38</v>
      </c>
      <c r="GJK162" s="371" t="e">
        <f>GJH162*GJI162*GJJ162</f>
        <v>#DIV/0!</v>
      </c>
      <c r="GJL162" s="367" t="s">
        <v>206</v>
      </c>
      <c r="GJM162" s="367"/>
      <c r="GJN162" s="367"/>
      <c r="GJO162" s="368" t="s">
        <v>168</v>
      </c>
      <c r="GJP162" s="369">
        <v>0.5</v>
      </c>
      <c r="GJQ162" s="370" t="e">
        <f>10/GJM160</f>
        <v>#DIV/0!</v>
      </c>
      <c r="GJR162" s="371">
        <v>15.38</v>
      </c>
      <c r="GJS162" s="371" t="e">
        <f>GJP162*GJQ162*GJR162</f>
        <v>#DIV/0!</v>
      </c>
      <c r="GJT162" s="367" t="s">
        <v>206</v>
      </c>
      <c r="GJU162" s="367"/>
      <c r="GJV162" s="367"/>
      <c r="GJW162" s="368" t="s">
        <v>168</v>
      </c>
      <c r="GJX162" s="369">
        <v>0.5</v>
      </c>
      <c r="GJY162" s="370" t="e">
        <f>10/GJU160</f>
        <v>#DIV/0!</v>
      </c>
      <c r="GJZ162" s="371">
        <v>15.38</v>
      </c>
      <c r="GKA162" s="371" t="e">
        <f>GJX162*GJY162*GJZ162</f>
        <v>#DIV/0!</v>
      </c>
      <c r="GKB162" s="367" t="s">
        <v>206</v>
      </c>
      <c r="GKC162" s="367"/>
      <c r="GKD162" s="367"/>
      <c r="GKE162" s="368" t="s">
        <v>168</v>
      </c>
      <c r="GKF162" s="369">
        <v>0.5</v>
      </c>
      <c r="GKG162" s="370" t="e">
        <f>10/GKC160</f>
        <v>#DIV/0!</v>
      </c>
      <c r="GKH162" s="371">
        <v>15.38</v>
      </c>
      <c r="GKI162" s="371" t="e">
        <f>GKF162*GKG162*GKH162</f>
        <v>#DIV/0!</v>
      </c>
      <c r="GKJ162" s="367" t="s">
        <v>206</v>
      </c>
      <c r="GKK162" s="367"/>
      <c r="GKL162" s="367"/>
      <c r="GKM162" s="368" t="s">
        <v>168</v>
      </c>
      <c r="GKN162" s="369">
        <v>0.5</v>
      </c>
      <c r="GKO162" s="370" t="e">
        <f>10/GKK160</f>
        <v>#DIV/0!</v>
      </c>
      <c r="GKP162" s="371">
        <v>15.38</v>
      </c>
      <c r="GKQ162" s="371" t="e">
        <f>GKN162*GKO162*GKP162</f>
        <v>#DIV/0!</v>
      </c>
      <c r="GKR162" s="367" t="s">
        <v>206</v>
      </c>
      <c r="GKS162" s="367"/>
      <c r="GKT162" s="367"/>
      <c r="GKU162" s="368" t="s">
        <v>168</v>
      </c>
      <c r="GKV162" s="369">
        <v>0.5</v>
      </c>
      <c r="GKW162" s="370" t="e">
        <f>10/GKS160</f>
        <v>#DIV/0!</v>
      </c>
      <c r="GKX162" s="371">
        <v>15.38</v>
      </c>
      <c r="GKY162" s="371" t="e">
        <f>GKV162*GKW162*GKX162</f>
        <v>#DIV/0!</v>
      </c>
      <c r="GKZ162" s="367" t="s">
        <v>206</v>
      </c>
      <c r="GLA162" s="367"/>
      <c r="GLB162" s="367"/>
      <c r="GLC162" s="368" t="s">
        <v>168</v>
      </c>
      <c r="GLD162" s="369">
        <v>0.5</v>
      </c>
      <c r="GLE162" s="370" t="e">
        <f>10/GLA160</f>
        <v>#DIV/0!</v>
      </c>
      <c r="GLF162" s="371">
        <v>15.38</v>
      </c>
      <c r="GLG162" s="371" t="e">
        <f>GLD162*GLE162*GLF162</f>
        <v>#DIV/0!</v>
      </c>
      <c r="GLH162" s="367" t="s">
        <v>206</v>
      </c>
      <c r="GLI162" s="367"/>
      <c r="GLJ162" s="367"/>
      <c r="GLK162" s="368" t="s">
        <v>168</v>
      </c>
      <c r="GLL162" s="369">
        <v>0.5</v>
      </c>
      <c r="GLM162" s="370" t="e">
        <f>10/GLI160</f>
        <v>#DIV/0!</v>
      </c>
      <c r="GLN162" s="371">
        <v>15.38</v>
      </c>
      <c r="GLO162" s="371" t="e">
        <f>GLL162*GLM162*GLN162</f>
        <v>#DIV/0!</v>
      </c>
      <c r="GLP162" s="367" t="s">
        <v>206</v>
      </c>
      <c r="GLQ162" s="367"/>
      <c r="GLR162" s="367"/>
      <c r="GLS162" s="368" t="s">
        <v>168</v>
      </c>
      <c r="GLT162" s="369">
        <v>0.5</v>
      </c>
      <c r="GLU162" s="370" t="e">
        <f>10/GLQ160</f>
        <v>#DIV/0!</v>
      </c>
      <c r="GLV162" s="371">
        <v>15.38</v>
      </c>
      <c r="GLW162" s="371" t="e">
        <f>GLT162*GLU162*GLV162</f>
        <v>#DIV/0!</v>
      </c>
      <c r="GLX162" s="367" t="s">
        <v>206</v>
      </c>
      <c r="GLY162" s="367"/>
      <c r="GLZ162" s="367"/>
      <c r="GMA162" s="368" t="s">
        <v>168</v>
      </c>
      <c r="GMB162" s="369">
        <v>0.5</v>
      </c>
      <c r="GMC162" s="370" t="e">
        <f>10/GLY160</f>
        <v>#DIV/0!</v>
      </c>
      <c r="GMD162" s="371">
        <v>15.38</v>
      </c>
      <c r="GME162" s="371" t="e">
        <f>GMB162*GMC162*GMD162</f>
        <v>#DIV/0!</v>
      </c>
      <c r="GMF162" s="367" t="s">
        <v>206</v>
      </c>
      <c r="GMG162" s="367"/>
      <c r="GMH162" s="367"/>
      <c r="GMI162" s="368" t="s">
        <v>168</v>
      </c>
      <c r="GMJ162" s="369">
        <v>0.5</v>
      </c>
      <c r="GMK162" s="370" t="e">
        <f>10/GMG160</f>
        <v>#DIV/0!</v>
      </c>
      <c r="GML162" s="371">
        <v>15.38</v>
      </c>
      <c r="GMM162" s="371" t="e">
        <f>GMJ162*GMK162*GML162</f>
        <v>#DIV/0!</v>
      </c>
      <c r="GMN162" s="367" t="s">
        <v>206</v>
      </c>
      <c r="GMO162" s="367"/>
      <c r="GMP162" s="367"/>
      <c r="GMQ162" s="368" t="s">
        <v>168</v>
      </c>
      <c r="GMR162" s="369">
        <v>0.5</v>
      </c>
      <c r="GMS162" s="370" t="e">
        <f>10/GMO160</f>
        <v>#DIV/0!</v>
      </c>
      <c r="GMT162" s="371">
        <v>15.38</v>
      </c>
      <c r="GMU162" s="371" t="e">
        <f>GMR162*GMS162*GMT162</f>
        <v>#DIV/0!</v>
      </c>
      <c r="GMV162" s="367" t="s">
        <v>206</v>
      </c>
      <c r="GMW162" s="367"/>
      <c r="GMX162" s="367"/>
      <c r="GMY162" s="368" t="s">
        <v>168</v>
      </c>
      <c r="GMZ162" s="369">
        <v>0.5</v>
      </c>
      <c r="GNA162" s="370" t="e">
        <f>10/GMW160</f>
        <v>#DIV/0!</v>
      </c>
      <c r="GNB162" s="371">
        <v>15.38</v>
      </c>
      <c r="GNC162" s="371" t="e">
        <f>GMZ162*GNA162*GNB162</f>
        <v>#DIV/0!</v>
      </c>
      <c r="GND162" s="367" t="s">
        <v>206</v>
      </c>
      <c r="GNE162" s="367"/>
      <c r="GNF162" s="367"/>
      <c r="GNG162" s="368" t="s">
        <v>168</v>
      </c>
      <c r="GNH162" s="369">
        <v>0.5</v>
      </c>
      <c r="GNI162" s="370" t="e">
        <f>10/GNE160</f>
        <v>#DIV/0!</v>
      </c>
      <c r="GNJ162" s="371">
        <v>15.38</v>
      </c>
      <c r="GNK162" s="371" t="e">
        <f>GNH162*GNI162*GNJ162</f>
        <v>#DIV/0!</v>
      </c>
      <c r="GNL162" s="367" t="s">
        <v>206</v>
      </c>
      <c r="GNM162" s="367"/>
      <c r="GNN162" s="367"/>
      <c r="GNO162" s="368" t="s">
        <v>168</v>
      </c>
      <c r="GNP162" s="369">
        <v>0.5</v>
      </c>
      <c r="GNQ162" s="370" t="e">
        <f>10/GNM160</f>
        <v>#DIV/0!</v>
      </c>
      <c r="GNR162" s="371">
        <v>15.38</v>
      </c>
      <c r="GNS162" s="371" t="e">
        <f>GNP162*GNQ162*GNR162</f>
        <v>#DIV/0!</v>
      </c>
      <c r="GNT162" s="367" t="s">
        <v>206</v>
      </c>
      <c r="GNU162" s="367"/>
      <c r="GNV162" s="367"/>
      <c r="GNW162" s="368" t="s">
        <v>168</v>
      </c>
      <c r="GNX162" s="369">
        <v>0.5</v>
      </c>
      <c r="GNY162" s="370" t="e">
        <f>10/GNU160</f>
        <v>#DIV/0!</v>
      </c>
      <c r="GNZ162" s="371">
        <v>15.38</v>
      </c>
      <c r="GOA162" s="371" t="e">
        <f>GNX162*GNY162*GNZ162</f>
        <v>#DIV/0!</v>
      </c>
      <c r="GOB162" s="367" t="s">
        <v>206</v>
      </c>
      <c r="GOC162" s="367"/>
      <c r="GOD162" s="367"/>
      <c r="GOE162" s="368" t="s">
        <v>168</v>
      </c>
      <c r="GOF162" s="369">
        <v>0.5</v>
      </c>
      <c r="GOG162" s="370" t="e">
        <f>10/GOC160</f>
        <v>#DIV/0!</v>
      </c>
      <c r="GOH162" s="371">
        <v>15.38</v>
      </c>
      <c r="GOI162" s="371" t="e">
        <f>GOF162*GOG162*GOH162</f>
        <v>#DIV/0!</v>
      </c>
      <c r="GOJ162" s="367" t="s">
        <v>206</v>
      </c>
      <c r="GOK162" s="367"/>
      <c r="GOL162" s="367"/>
      <c r="GOM162" s="368" t="s">
        <v>168</v>
      </c>
      <c r="GON162" s="369">
        <v>0.5</v>
      </c>
      <c r="GOO162" s="370" t="e">
        <f>10/GOK160</f>
        <v>#DIV/0!</v>
      </c>
      <c r="GOP162" s="371">
        <v>15.38</v>
      </c>
      <c r="GOQ162" s="371" t="e">
        <f>GON162*GOO162*GOP162</f>
        <v>#DIV/0!</v>
      </c>
      <c r="GOR162" s="367" t="s">
        <v>206</v>
      </c>
      <c r="GOS162" s="367"/>
      <c r="GOT162" s="367"/>
      <c r="GOU162" s="368" t="s">
        <v>168</v>
      </c>
      <c r="GOV162" s="369">
        <v>0.5</v>
      </c>
      <c r="GOW162" s="370" t="e">
        <f>10/GOS160</f>
        <v>#DIV/0!</v>
      </c>
      <c r="GOX162" s="371">
        <v>15.38</v>
      </c>
      <c r="GOY162" s="371" t="e">
        <f>GOV162*GOW162*GOX162</f>
        <v>#DIV/0!</v>
      </c>
      <c r="GOZ162" s="367" t="s">
        <v>206</v>
      </c>
      <c r="GPA162" s="367"/>
      <c r="GPB162" s="367"/>
      <c r="GPC162" s="368" t="s">
        <v>168</v>
      </c>
      <c r="GPD162" s="369">
        <v>0.5</v>
      </c>
      <c r="GPE162" s="370" t="e">
        <f>10/GPA160</f>
        <v>#DIV/0!</v>
      </c>
      <c r="GPF162" s="371">
        <v>15.38</v>
      </c>
      <c r="GPG162" s="371" t="e">
        <f>GPD162*GPE162*GPF162</f>
        <v>#DIV/0!</v>
      </c>
      <c r="GPH162" s="367" t="s">
        <v>206</v>
      </c>
      <c r="GPI162" s="367"/>
      <c r="GPJ162" s="367"/>
      <c r="GPK162" s="368" t="s">
        <v>168</v>
      </c>
      <c r="GPL162" s="369">
        <v>0.5</v>
      </c>
      <c r="GPM162" s="370" t="e">
        <f>10/GPI160</f>
        <v>#DIV/0!</v>
      </c>
      <c r="GPN162" s="371">
        <v>15.38</v>
      </c>
      <c r="GPO162" s="371" t="e">
        <f>GPL162*GPM162*GPN162</f>
        <v>#DIV/0!</v>
      </c>
      <c r="GPP162" s="367" t="s">
        <v>206</v>
      </c>
      <c r="GPQ162" s="367"/>
      <c r="GPR162" s="367"/>
      <c r="GPS162" s="368" t="s">
        <v>168</v>
      </c>
      <c r="GPT162" s="369">
        <v>0.5</v>
      </c>
      <c r="GPU162" s="370" t="e">
        <f>10/GPQ160</f>
        <v>#DIV/0!</v>
      </c>
      <c r="GPV162" s="371">
        <v>15.38</v>
      </c>
      <c r="GPW162" s="371" t="e">
        <f>GPT162*GPU162*GPV162</f>
        <v>#DIV/0!</v>
      </c>
      <c r="GPX162" s="367" t="s">
        <v>206</v>
      </c>
      <c r="GPY162" s="367"/>
      <c r="GPZ162" s="367"/>
      <c r="GQA162" s="368" t="s">
        <v>168</v>
      </c>
      <c r="GQB162" s="369">
        <v>0.5</v>
      </c>
      <c r="GQC162" s="370" t="e">
        <f>10/GPY160</f>
        <v>#DIV/0!</v>
      </c>
      <c r="GQD162" s="371">
        <v>15.38</v>
      </c>
      <c r="GQE162" s="371" t="e">
        <f>GQB162*GQC162*GQD162</f>
        <v>#DIV/0!</v>
      </c>
      <c r="GQF162" s="367" t="s">
        <v>206</v>
      </c>
      <c r="GQG162" s="367"/>
      <c r="GQH162" s="367"/>
      <c r="GQI162" s="368" t="s">
        <v>168</v>
      </c>
      <c r="GQJ162" s="369">
        <v>0.5</v>
      </c>
      <c r="GQK162" s="370" t="e">
        <f>10/GQG160</f>
        <v>#DIV/0!</v>
      </c>
      <c r="GQL162" s="371">
        <v>15.38</v>
      </c>
      <c r="GQM162" s="371" t="e">
        <f>GQJ162*GQK162*GQL162</f>
        <v>#DIV/0!</v>
      </c>
      <c r="GQN162" s="367" t="s">
        <v>206</v>
      </c>
      <c r="GQO162" s="367"/>
      <c r="GQP162" s="367"/>
      <c r="GQQ162" s="368" t="s">
        <v>168</v>
      </c>
      <c r="GQR162" s="369">
        <v>0.5</v>
      </c>
      <c r="GQS162" s="370" t="e">
        <f>10/GQO160</f>
        <v>#DIV/0!</v>
      </c>
      <c r="GQT162" s="371">
        <v>15.38</v>
      </c>
      <c r="GQU162" s="371" t="e">
        <f>GQR162*GQS162*GQT162</f>
        <v>#DIV/0!</v>
      </c>
      <c r="GQV162" s="367" t="s">
        <v>206</v>
      </c>
      <c r="GQW162" s="367"/>
      <c r="GQX162" s="367"/>
      <c r="GQY162" s="368" t="s">
        <v>168</v>
      </c>
      <c r="GQZ162" s="369">
        <v>0.5</v>
      </c>
      <c r="GRA162" s="370" t="e">
        <f>10/GQW160</f>
        <v>#DIV/0!</v>
      </c>
      <c r="GRB162" s="371">
        <v>15.38</v>
      </c>
      <c r="GRC162" s="371" t="e">
        <f>GQZ162*GRA162*GRB162</f>
        <v>#DIV/0!</v>
      </c>
      <c r="GRD162" s="367" t="s">
        <v>206</v>
      </c>
      <c r="GRE162" s="367"/>
      <c r="GRF162" s="367"/>
      <c r="GRG162" s="368" t="s">
        <v>168</v>
      </c>
      <c r="GRH162" s="369">
        <v>0.5</v>
      </c>
      <c r="GRI162" s="370" t="e">
        <f>10/GRE160</f>
        <v>#DIV/0!</v>
      </c>
      <c r="GRJ162" s="371">
        <v>15.38</v>
      </c>
      <c r="GRK162" s="371" t="e">
        <f>GRH162*GRI162*GRJ162</f>
        <v>#DIV/0!</v>
      </c>
      <c r="GRL162" s="367" t="s">
        <v>206</v>
      </c>
      <c r="GRM162" s="367"/>
      <c r="GRN162" s="367"/>
      <c r="GRO162" s="368" t="s">
        <v>168</v>
      </c>
      <c r="GRP162" s="369">
        <v>0.5</v>
      </c>
      <c r="GRQ162" s="370" t="e">
        <f>10/GRM160</f>
        <v>#DIV/0!</v>
      </c>
      <c r="GRR162" s="371">
        <v>15.38</v>
      </c>
      <c r="GRS162" s="371" t="e">
        <f>GRP162*GRQ162*GRR162</f>
        <v>#DIV/0!</v>
      </c>
      <c r="GRT162" s="367" t="s">
        <v>206</v>
      </c>
      <c r="GRU162" s="367"/>
      <c r="GRV162" s="367"/>
      <c r="GRW162" s="368" t="s">
        <v>168</v>
      </c>
      <c r="GRX162" s="369">
        <v>0.5</v>
      </c>
      <c r="GRY162" s="370" t="e">
        <f>10/GRU160</f>
        <v>#DIV/0!</v>
      </c>
      <c r="GRZ162" s="371">
        <v>15.38</v>
      </c>
      <c r="GSA162" s="371" t="e">
        <f>GRX162*GRY162*GRZ162</f>
        <v>#DIV/0!</v>
      </c>
      <c r="GSB162" s="367" t="s">
        <v>206</v>
      </c>
      <c r="GSC162" s="367"/>
      <c r="GSD162" s="367"/>
      <c r="GSE162" s="368" t="s">
        <v>168</v>
      </c>
      <c r="GSF162" s="369">
        <v>0.5</v>
      </c>
      <c r="GSG162" s="370" t="e">
        <f>10/GSC160</f>
        <v>#DIV/0!</v>
      </c>
      <c r="GSH162" s="371">
        <v>15.38</v>
      </c>
      <c r="GSI162" s="371" t="e">
        <f>GSF162*GSG162*GSH162</f>
        <v>#DIV/0!</v>
      </c>
      <c r="GSJ162" s="367" t="s">
        <v>206</v>
      </c>
      <c r="GSK162" s="367"/>
      <c r="GSL162" s="367"/>
      <c r="GSM162" s="368" t="s">
        <v>168</v>
      </c>
      <c r="GSN162" s="369">
        <v>0.5</v>
      </c>
      <c r="GSO162" s="370" t="e">
        <f>10/GSK160</f>
        <v>#DIV/0!</v>
      </c>
      <c r="GSP162" s="371">
        <v>15.38</v>
      </c>
      <c r="GSQ162" s="371" t="e">
        <f>GSN162*GSO162*GSP162</f>
        <v>#DIV/0!</v>
      </c>
      <c r="GSR162" s="367" t="s">
        <v>206</v>
      </c>
      <c r="GSS162" s="367"/>
      <c r="GST162" s="367"/>
      <c r="GSU162" s="368" t="s">
        <v>168</v>
      </c>
      <c r="GSV162" s="369">
        <v>0.5</v>
      </c>
      <c r="GSW162" s="370" t="e">
        <f>10/GSS160</f>
        <v>#DIV/0!</v>
      </c>
      <c r="GSX162" s="371">
        <v>15.38</v>
      </c>
      <c r="GSY162" s="371" t="e">
        <f>GSV162*GSW162*GSX162</f>
        <v>#DIV/0!</v>
      </c>
      <c r="GSZ162" s="367" t="s">
        <v>206</v>
      </c>
      <c r="GTA162" s="367"/>
      <c r="GTB162" s="367"/>
      <c r="GTC162" s="368" t="s">
        <v>168</v>
      </c>
      <c r="GTD162" s="369">
        <v>0.5</v>
      </c>
      <c r="GTE162" s="370" t="e">
        <f>10/GTA160</f>
        <v>#DIV/0!</v>
      </c>
      <c r="GTF162" s="371">
        <v>15.38</v>
      </c>
      <c r="GTG162" s="371" t="e">
        <f>GTD162*GTE162*GTF162</f>
        <v>#DIV/0!</v>
      </c>
      <c r="GTH162" s="367" t="s">
        <v>206</v>
      </c>
      <c r="GTI162" s="367"/>
      <c r="GTJ162" s="367"/>
      <c r="GTK162" s="368" t="s">
        <v>168</v>
      </c>
      <c r="GTL162" s="369">
        <v>0.5</v>
      </c>
      <c r="GTM162" s="370" t="e">
        <f>10/GTI160</f>
        <v>#DIV/0!</v>
      </c>
      <c r="GTN162" s="371">
        <v>15.38</v>
      </c>
      <c r="GTO162" s="371" t="e">
        <f>GTL162*GTM162*GTN162</f>
        <v>#DIV/0!</v>
      </c>
      <c r="GTP162" s="367" t="s">
        <v>206</v>
      </c>
      <c r="GTQ162" s="367"/>
      <c r="GTR162" s="367"/>
      <c r="GTS162" s="368" t="s">
        <v>168</v>
      </c>
      <c r="GTT162" s="369">
        <v>0.5</v>
      </c>
      <c r="GTU162" s="370" t="e">
        <f>10/GTQ160</f>
        <v>#DIV/0!</v>
      </c>
      <c r="GTV162" s="371">
        <v>15.38</v>
      </c>
      <c r="GTW162" s="371" t="e">
        <f>GTT162*GTU162*GTV162</f>
        <v>#DIV/0!</v>
      </c>
      <c r="GTX162" s="367" t="s">
        <v>206</v>
      </c>
      <c r="GTY162" s="367"/>
      <c r="GTZ162" s="367"/>
      <c r="GUA162" s="368" t="s">
        <v>168</v>
      </c>
      <c r="GUB162" s="369">
        <v>0.5</v>
      </c>
      <c r="GUC162" s="370" t="e">
        <f>10/GTY160</f>
        <v>#DIV/0!</v>
      </c>
      <c r="GUD162" s="371">
        <v>15.38</v>
      </c>
      <c r="GUE162" s="371" t="e">
        <f>GUB162*GUC162*GUD162</f>
        <v>#DIV/0!</v>
      </c>
      <c r="GUF162" s="367" t="s">
        <v>206</v>
      </c>
      <c r="GUG162" s="367"/>
      <c r="GUH162" s="367"/>
      <c r="GUI162" s="368" t="s">
        <v>168</v>
      </c>
      <c r="GUJ162" s="369">
        <v>0.5</v>
      </c>
      <c r="GUK162" s="370" t="e">
        <f>10/GUG160</f>
        <v>#DIV/0!</v>
      </c>
      <c r="GUL162" s="371">
        <v>15.38</v>
      </c>
      <c r="GUM162" s="371" t="e">
        <f>GUJ162*GUK162*GUL162</f>
        <v>#DIV/0!</v>
      </c>
      <c r="GUN162" s="367" t="s">
        <v>206</v>
      </c>
      <c r="GUO162" s="367"/>
      <c r="GUP162" s="367"/>
      <c r="GUQ162" s="368" t="s">
        <v>168</v>
      </c>
      <c r="GUR162" s="369">
        <v>0.5</v>
      </c>
      <c r="GUS162" s="370" t="e">
        <f>10/GUO160</f>
        <v>#DIV/0!</v>
      </c>
      <c r="GUT162" s="371">
        <v>15.38</v>
      </c>
      <c r="GUU162" s="371" t="e">
        <f>GUR162*GUS162*GUT162</f>
        <v>#DIV/0!</v>
      </c>
      <c r="GUV162" s="367" t="s">
        <v>206</v>
      </c>
      <c r="GUW162" s="367"/>
      <c r="GUX162" s="367"/>
      <c r="GUY162" s="368" t="s">
        <v>168</v>
      </c>
      <c r="GUZ162" s="369">
        <v>0.5</v>
      </c>
      <c r="GVA162" s="370" t="e">
        <f>10/GUW160</f>
        <v>#DIV/0!</v>
      </c>
      <c r="GVB162" s="371">
        <v>15.38</v>
      </c>
      <c r="GVC162" s="371" t="e">
        <f>GUZ162*GVA162*GVB162</f>
        <v>#DIV/0!</v>
      </c>
      <c r="GVD162" s="367" t="s">
        <v>206</v>
      </c>
      <c r="GVE162" s="367"/>
      <c r="GVF162" s="367"/>
      <c r="GVG162" s="368" t="s">
        <v>168</v>
      </c>
      <c r="GVH162" s="369">
        <v>0.5</v>
      </c>
      <c r="GVI162" s="370" t="e">
        <f>10/GVE160</f>
        <v>#DIV/0!</v>
      </c>
      <c r="GVJ162" s="371">
        <v>15.38</v>
      </c>
      <c r="GVK162" s="371" t="e">
        <f>GVH162*GVI162*GVJ162</f>
        <v>#DIV/0!</v>
      </c>
      <c r="GVL162" s="367" t="s">
        <v>206</v>
      </c>
      <c r="GVM162" s="367"/>
      <c r="GVN162" s="367"/>
      <c r="GVO162" s="368" t="s">
        <v>168</v>
      </c>
      <c r="GVP162" s="369">
        <v>0.5</v>
      </c>
      <c r="GVQ162" s="370" t="e">
        <f>10/GVM160</f>
        <v>#DIV/0!</v>
      </c>
      <c r="GVR162" s="371">
        <v>15.38</v>
      </c>
      <c r="GVS162" s="371" t="e">
        <f>GVP162*GVQ162*GVR162</f>
        <v>#DIV/0!</v>
      </c>
      <c r="GVT162" s="367" t="s">
        <v>206</v>
      </c>
      <c r="GVU162" s="367"/>
      <c r="GVV162" s="367"/>
      <c r="GVW162" s="368" t="s">
        <v>168</v>
      </c>
      <c r="GVX162" s="369">
        <v>0.5</v>
      </c>
      <c r="GVY162" s="370" t="e">
        <f>10/GVU160</f>
        <v>#DIV/0!</v>
      </c>
      <c r="GVZ162" s="371">
        <v>15.38</v>
      </c>
      <c r="GWA162" s="371" t="e">
        <f>GVX162*GVY162*GVZ162</f>
        <v>#DIV/0!</v>
      </c>
      <c r="GWB162" s="367" t="s">
        <v>206</v>
      </c>
      <c r="GWC162" s="367"/>
      <c r="GWD162" s="367"/>
      <c r="GWE162" s="368" t="s">
        <v>168</v>
      </c>
      <c r="GWF162" s="369">
        <v>0.5</v>
      </c>
      <c r="GWG162" s="370" t="e">
        <f>10/GWC160</f>
        <v>#DIV/0!</v>
      </c>
      <c r="GWH162" s="371">
        <v>15.38</v>
      </c>
      <c r="GWI162" s="371" t="e">
        <f>GWF162*GWG162*GWH162</f>
        <v>#DIV/0!</v>
      </c>
      <c r="GWJ162" s="367" t="s">
        <v>206</v>
      </c>
      <c r="GWK162" s="367"/>
      <c r="GWL162" s="367"/>
      <c r="GWM162" s="368" t="s">
        <v>168</v>
      </c>
      <c r="GWN162" s="369">
        <v>0.5</v>
      </c>
      <c r="GWO162" s="370" t="e">
        <f>10/GWK160</f>
        <v>#DIV/0!</v>
      </c>
      <c r="GWP162" s="371">
        <v>15.38</v>
      </c>
      <c r="GWQ162" s="371" t="e">
        <f>GWN162*GWO162*GWP162</f>
        <v>#DIV/0!</v>
      </c>
      <c r="GWR162" s="367" t="s">
        <v>206</v>
      </c>
      <c r="GWS162" s="367"/>
      <c r="GWT162" s="367"/>
      <c r="GWU162" s="368" t="s">
        <v>168</v>
      </c>
      <c r="GWV162" s="369">
        <v>0.5</v>
      </c>
      <c r="GWW162" s="370" t="e">
        <f>10/GWS160</f>
        <v>#DIV/0!</v>
      </c>
      <c r="GWX162" s="371">
        <v>15.38</v>
      </c>
      <c r="GWY162" s="371" t="e">
        <f>GWV162*GWW162*GWX162</f>
        <v>#DIV/0!</v>
      </c>
      <c r="GWZ162" s="367" t="s">
        <v>206</v>
      </c>
      <c r="GXA162" s="367"/>
      <c r="GXB162" s="367"/>
      <c r="GXC162" s="368" t="s">
        <v>168</v>
      </c>
      <c r="GXD162" s="369">
        <v>0.5</v>
      </c>
      <c r="GXE162" s="370" t="e">
        <f>10/GXA160</f>
        <v>#DIV/0!</v>
      </c>
      <c r="GXF162" s="371">
        <v>15.38</v>
      </c>
      <c r="GXG162" s="371" t="e">
        <f>GXD162*GXE162*GXF162</f>
        <v>#DIV/0!</v>
      </c>
      <c r="GXH162" s="367" t="s">
        <v>206</v>
      </c>
      <c r="GXI162" s="367"/>
      <c r="GXJ162" s="367"/>
      <c r="GXK162" s="368" t="s">
        <v>168</v>
      </c>
      <c r="GXL162" s="369">
        <v>0.5</v>
      </c>
      <c r="GXM162" s="370" t="e">
        <f>10/GXI160</f>
        <v>#DIV/0!</v>
      </c>
      <c r="GXN162" s="371">
        <v>15.38</v>
      </c>
      <c r="GXO162" s="371" t="e">
        <f>GXL162*GXM162*GXN162</f>
        <v>#DIV/0!</v>
      </c>
      <c r="GXP162" s="367" t="s">
        <v>206</v>
      </c>
      <c r="GXQ162" s="367"/>
      <c r="GXR162" s="367"/>
      <c r="GXS162" s="368" t="s">
        <v>168</v>
      </c>
      <c r="GXT162" s="369">
        <v>0.5</v>
      </c>
      <c r="GXU162" s="370" t="e">
        <f>10/GXQ160</f>
        <v>#DIV/0!</v>
      </c>
      <c r="GXV162" s="371">
        <v>15.38</v>
      </c>
      <c r="GXW162" s="371" t="e">
        <f>GXT162*GXU162*GXV162</f>
        <v>#DIV/0!</v>
      </c>
      <c r="GXX162" s="367" t="s">
        <v>206</v>
      </c>
      <c r="GXY162" s="367"/>
      <c r="GXZ162" s="367"/>
      <c r="GYA162" s="368" t="s">
        <v>168</v>
      </c>
      <c r="GYB162" s="369">
        <v>0.5</v>
      </c>
      <c r="GYC162" s="370" t="e">
        <f>10/GXY160</f>
        <v>#DIV/0!</v>
      </c>
      <c r="GYD162" s="371">
        <v>15.38</v>
      </c>
      <c r="GYE162" s="371" t="e">
        <f>GYB162*GYC162*GYD162</f>
        <v>#DIV/0!</v>
      </c>
      <c r="GYF162" s="367" t="s">
        <v>206</v>
      </c>
      <c r="GYG162" s="367"/>
      <c r="GYH162" s="367"/>
      <c r="GYI162" s="368" t="s">
        <v>168</v>
      </c>
      <c r="GYJ162" s="369">
        <v>0.5</v>
      </c>
      <c r="GYK162" s="370" t="e">
        <f>10/GYG160</f>
        <v>#DIV/0!</v>
      </c>
      <c r="GYL162" s="371">
        <v>15.38</v>
      </c>
      <c r="GYM162" s="371" t="e">
        <f>GYJ162*GYK162*GYL162</f>
        <v>#DIV/0!</v>
      </c>
      <c r="GYN162" s="367" t="s">
        <v>206</v>
      </c>
      <c r="GYO162" s="367"/>
      <c r="GYP162" s="367"/>
      <c r="GYQ162" s="368" t="s">
        <v>168</v>
      </c>
      <c r="GYR162" s="369">
        <v>0.5</v>
      </c>
      <c r="GYS162" s="370" t="e">
        <f>10/GYO160</f>
        <v>#DIV/0!</v>
      </c>
      <c r="GYT162" s="371">
        <v>15.38</v>
      </c>
      <c r="GYU162" s="371" t="e">
        <f>GYR162*GYS162*GYT162</f>
        <v>#DIV/0!</v>
      </c>
      <c r="GYV162" s="367" t="s">
        <v>206</v>
      </c>
      <c r="GYW162" s="367"/>
      <c r="GYX162" s="367"/>
      <c r="GYY162" s="368" t="s">
        <v>168</v>
      </c>
      <c r="GYZ162" s="369">
        <v>0.5</v>
      </c>
      <c r="GZA162" s="370" t="e">
        <f>10/GYW160</f>
        <v>#DIV/0!</v>
      </c>
      <c r="GZB162" s="371">
        <v>15.38</v>
      </c>
      <c r="GZC162" s="371" t="e">
        <f>GYZ162*GZA162*GZB162</f>
        <v>#DIV/0!</v>
      </c>
      <c r="GZD162" s="367" t="s">
        <v>206</v>
      </c>
      <c r="GZE162" s="367"/>
      <c r="GZF162" s="367"/>
      <c r="GZG162" s="368" t="s">
        <v>168</v>
      </c>
      <c r="GZH162" s="369">
        <v>0.5</v>
      </c>
      <c r="GZI162" s="370" t="e">
        <f>10/GZE160</f>
        <v>#DIV/0!</v>
      </c>
      <c r="GZJ162" s="371">
        <v>15.38</v>
      </c>
      <c r="GZK162" s="371" t="e">
        <f>GZH162*GZI162*GZJ162</f>
        <v>#DIV/0!</v>
      </c>
      <c r="GZL162" s="367" t="s">
        <v>206</v>
      </c>
      <c r="GZM162" s="367"/>
      <c r="GZN162" s="367"/>
      <c r="GZO162" s="368" t="s">
        <v>168</v>
      </c>
      <c r="GZP162" s="369">
        <v>0.5</v>
      </c>
      <c r="GZQ162" s="370" t="e">
        <f>10/GZM160</f>
        <v>#DIV/0!</v>
      </c>
      <c r="GZR162" s="371">
        <v>15.38</v>
      </c>
      <c r="GZS162" s="371" t="e">
        <f>GZP162*GZQ162*GZR162</f>
        <v>#DIV/0!</v>
      </c>
      <c r="GZT162" s="367" t="s">
        <v>206</v>
      </c>
      <c r="GZU162" s="367"/>
      <c r="GZV162" s="367"/>
      <c r="GZW162" s="368" t="s">
        <v>168</v>
      </c>
      <c r="GZX162" s="369">
        <v>0.5</v>
      </c>
      <c r="GZY162" s="370" t="e">
        <f>10/GZU160</f>
        <v>#DIV/0!</v>
      </c>
      <c r="GZZ162" s="371">
        <v>15.38</v>
      </c>
      <c r="HAA162" s="371" t="e">
        <f>GZX162*GZY162*GZZ162</f>
        <v>#DIV/0!</v>
      </c>
      <c r="HAB162" s="367" t="s">
        <v>206</v>
      </c>
      <c r="HAC162" s="367"/>
      <c r="HAD162" s="367"/>
      <c r="HAE162" s="368" t="s">
        <v>168</v>
      </c>
      <c r="HAF162" s="369">
        <v>0.5</v>
      </c>
      <c r="HAG162" s="370" t="e">
        <f>10/HAC160</f>
        <v>#DIV/0!</v>
      </c>
      <c r="HAH162" s="371">
        <v>15.38</v>
      </c>
      <c r="HAI162" s="371" t="e">
        <f>HAF162*HAG162*HAH162</f>
        <v>#DIV/0!</v>
      </c>
      <c r="HAJ162" s="367" t="s">
        <v>206</v>
      </c>
      <c r="HAK162" s="367"/>
      <c r="HAL162" s="367"/>
      <c r="HAM162" s="368" t="s">
        <v>168</v>
      </c>
      <c r="HAN162" s="369">
        <v>0.5</v>
      </c>
      <c r="HAO162" s="370" t="e">
        <f>10/HAK160</f>
        <v>#DIV/0!</v>
      </c>
      <c r="HAP162" s="371">
        <v>15.38</v>
      </c>
      <c r="HAQ162" s="371" t="e">
        <f>HAN162*HAO162*HAP162</f>
        <v>#DIV/0!</v>
      </c>
      <c r="HAR162" s="367" t="s">
        <v>206</v>
      </c>
      <c r="HAS162" s="367"/>
      <c r="HAT162" s="367"/>
      <c r="HAU162" s="368" t="s">
        <v>168</v>
      </c>
      <c r="HAV162" s="369">
        <v>0.5</v>
      </c>
      <c r="HAW162" s="370" t="e">
        <f>10/HAS160</f>
        <v>#DIV/0!</v>
      </c>
      <c r="HAX162" s="371">
        <v>15.38</v>
      </c>
      <c r="HAY162" s="371" t="e">
        <f>HAV162*HAW162*HAX162</f>
        <v>#DIV/0!</v>
      </c>
      <c r="HAZ162" s="367" t="s">
        <v>206</v>
      </c>
      <c r="HBA162" s="367"/>
      <c r="HBB162" s="367"/>
      <c r="HBC162" s="368" t="s">
        <v>168</v>
      </c>
      <c r="HBD162" s="369">
        <v>0.5</v>
      </c>
      <c r="HBE162" s="370" t="e">
        <f>10/HBA160</f>
        <v>#DIV/0!</v>
      </c>
      <c r="HBF162" s="371">
        <v>15.38</v>
      </c>
      <c r="HBG162" s="371" t="e">
        <f>HBD162*HBE162*HBF162</f>
        <v>#DIV/0!</v>
      </c>
      <c r="HBH162" s="367" t="s">
        <v>206</v>
      </c>
      <c r="HBI162" s="367"/>
      <c r="HBJ162" s="367"/>
      <c r="HBK162" s="368" t="s">
        <v>168</v>
      </c>
      <c r="HBL162" s="369">
        <v>0.5</v>
      </c>
      <c r="HBM162" s="370" t="e">
        <f>10/HBI160</f>
        <v>#DIV/0!</v>
      </c>
      <c r="HBN162" s="371">
        <v>15.38</v>
      </c>
      <c r="HBO162" s="371" t="e">
        <f>HBL162*HBM162*HBN162</f>
        <v>#DIV/0!</v>
      </c>
      <c r="HBP162" s="367" t="s">
        <v>206</v>
      </c>
      <c r="HBQ162" s="367"/>
      <c r="HBR162" s="367"/>
      <c r="HBS162" s="368" t="s">
        <v>168</v>
      </c>
      <c r="HBT162" s="369">
        <v>0.5</v>
      </c>
      <c r="HBU162" s="370" t="e">
        <f>10/HBQ160</f>
        <v>#DIV/0!</v>
      </c>
      <c r="HBV162" s="371">
        <v>15.38</v>
      </c>
      <c r="HBW162" s="371" t="e">
        <f>HBT162*HBU162*HBV162</f>
        <v>#DIV/0!</v>
      </c>
      <c r="HBX162" s="367" t="s">
        <v>206</v>
      </c>
      <c r="HBY162" s="367"/>
      <c r="HBZ162" s="367"/>
      <c r="HCA162" s="368" t="s">
        <v>168</v>
      </c>
      <c r="HCB162" s="369">
        <v>0.5</v>
      </c>
      <c r="HCC162" s="370" t="e">
        <f>10/HBY160</f>
        <v>#DIV/0!</v>
      </c>
      <c r="HCD162" s="371">
        <v>15.38</v>
      </c>
      <c r="HCE162" s="371" t="e">
        <f>HCB162*HCC162*HCD162</f>
        <v>#DIV/0!</v>
      </c>
      <c r="HCF162" s="367" t="s">
        <v>206</v>
      </c>
      <c r="HCG162" s="367"/>
      <c r="HCH162" s="367"/>
      <c r="HCI162" s="368" t="s">
        <v>168</v>
      </c>
      <c r="HCJ162" s="369">
        <v>0.5</v>
      </c>
      <c r="HCK162" s="370" t="e">
        <f>10/HCG160</f>
        <v>#DIV/0!</v>
      </c>
      <c r="HCL162" s="371">
        <v>15.38</v>
      </c>
      <c r="HCM162" s="371" t="e">
        <f>HCJ162*HCK162*HCL162</f>
        <v>#DIV/0!</v>
      </c>
      <c r="HCN162" s="367" t="s">
        <v>206</v>
      </c>
      <c r="HCO162" s="367"/>
      <c r="HCP162" s="367"/>
      <c r="HCQ162" s="368" t="s">
        <v>168</v>
      </c>
      <c r="HCR162" s="369">
        <v>0.5</v>
      </c>
      <c r="HCS162" s="370" t="e">
        <f>10/HCO160</f>
        <v>#DIV/0!</v>
      </c>
      <c r="HCT162" s="371">
        <v>15.38</v>
      </c>
      <c r="HCU162" s="371" t="e">
        <f>HCR162*HCS162*HCT162</f>
        <v>#DIV/0!</v>
      </c>
      <c r="HCV162" s="367" t="s">
        <v>206</v>
      </c>
      <c r="HCW162" s="367"/>
      <c r="HCX162" s="367"/>
      <c r="HCY162" s="368" t="s">
        <v>168</v>
      </c>
      <c r="HCZ162" s="369">
        <v>0.5</v>
      </c>
      <c r="HDA162" s="370" t="e">
        <f>10/HCW160</f>
        <v>#DIV/0!</v>
      </c>
      <c r="HDB162" s="371">
        <v>15.38</v>
      </c>
      <c r="HDC162" s="371" t="e">
        <f>HCZ162*HDA162*HDB162</f>
        <v>#DIV/0!</v>
      </c>
      <c r="HDD162" s="367" t="s">
        <v>206</v>
      </c>
      <c r="HDE162" s="367"/>
      <c r="HDF162" s="367"/>
      <c r="HDG162" s="368" t="s">
        <v>168</v>
      </c>
      <c r="HDH162" s="369">
        <v>0.5</v>
      </c>
      <c r="HDI162" s="370" t="e">
        <f>10/HDE160</f>
        <v>#DIV/0!</v>
      </c>
      <c r="HDJ162" s="371">
        <v>15.38</v>
      </c>
      <c r="HDK162" s="371" t="e">
        <f>HDH162*HDI162*HDJ162</f>
        <v>#DIV/0!</v>
      </c>
      <c r="HDL162" s="367" t="s">
        <v>206</v>
      </c>
      <c r="HDM162" s="367"/>
      <c r="HDN162" s="367"/>
      <c r="HDO162" s="368" t="s">
        <v>168</v>
      </c>
      <c r="HDP162" s="369">
        <v>0.5</v>
      </c>
      <c r="HDQ162" s="370" t="e">
        <f>10/HDM160</f>
        <v>#DIV/0!</v>
      </c>
      <c r="HDR162" s="371">
        <v>15.38</v>
      </c>
      <c r="HDS162" s="371" t="e">
        <f>HDP162*HDQ162*HDR162</f>
        <v>#DIV/0!</v>
      </c>
      <c r="HDT162" s="367" t="s">
        <v>206</v>
      </c>
      <c r="HDU162" s="367"/>
      <c r="HDV162" s="367"/>
      <c r="HDW162" s="368" t="s">
        <v>168</v>
      </c>
      <c r="HDX162" s="369">
        <v>0.5</v>
      </c>
      <c r="HDY162" s="370" t="e">
        <f>10/HDU160</f>
        <v>#DIV/0!</v>
      </c>
      <c r="HDZ162" s="371">
        <v>15.38</v>
      </c>
      <c r="HEA162" s="371" t="e">
        <f>HDX162*HDY162*HDZ162</f>
        <v>#DIV/0!</v>
      </c>
      <c r="HEB162" s="367" t="s">
        <v>206</v>
      </c>
      <c r="HEC162" s="367"/>
      <c r="HED162" s="367"/>
      <c r="HEE162" s="368" t="s">
        <v>168</v>
      </c>
      <c r="HEF162" s="369">
        <v>0.5</v>
      </c>
      <c r="HEG162" s="370" t="e">
        <f>10/HEC160</f>
        <v>#DIV/0!</v>
      </c>
      <c r="HEH162" s="371">
        <v>15.38</v>
      </c>
      <c r="HEI162" s="371" t="e">
        <f>HEF162*HEG162*HEH162</f>
        <v>#DIV/0!</v>
      </c>
      <c r="HEJ162" s="367" t="s">
        <v>206</v>
      </c>
      <c r="HEK162" s="367"/>
      <c r="HEL162" s="367"/>
      <c r="HEM162" s="368" t="s">
        <v>168</v>
      </c>
      <c r="HEN162" s="369">
        <v>0.5</v>
      </c>
      <c r="HEO162" s="370" t="e">
        <f>10/HEK160</f>
        <v>#DIV/0!</v>
      </c>
      <c r="HEP162" s="371">
        <v>15.38</v>
      </c>
      <c r="HEQ162" s="371" t="e">
        <f>HEN162*HEO162*HEP162</f>
        <v>#DIV/0!</v>
      </c>
      <c r="HER162" s="367" t="s">
        <v>206</v>
      </c>
      <c r="HES162" s="367"/>
      <c r="HET162" s="367"/>
      <c r="HEU162" s="368" t="s">
        <v>168</v>
      </c>
      <c r="HEV162" s="369">
        <v>0.5</v>
      </c>
      <c r="HEW162" s="370" t="e">
        <f>10/HES160</f>
        <v>#DIV/0!</v>
      </c>
      <c r="HEX162" s="371">
        <v>15.38</v>
      </c>
      <c r="HEY162" s="371" t="e">
        <f>HEV162*HEW162*HEX162</f>
        <v>#DIV/0!</v>
      </c>
      <c r="HEZ162" s="367" t="s">
        <v>206</v>
      </c>
      <c r="HFA162" s="367"/>
      <c r="HFB162" s="367"/>
      <c r="HFC162" s="368" t="s">
        <v>168</v>
      </c>
      <c r="HFD162" s="369">
        <v>0.5</v>
      </c>
      <c r="HFE162" s="370" t="e">
        <f>10/HFA160</f>
        <v>#DIV/0!</v>
      </c>
      <c r="HFF162" s="371">
        <v>15.38</v>
      </c>
      <c r="HFG162" s="371" t="e">
        <f>HFD162*HFE162*HFF162</f>
        <v>#DIV/0!</v>
      </c>
      <c r="HFH162" s="367" t="s">
        <v>206</v>
      </c>
      <c r="HFI162" s="367"/>
      <c r="HFJ162" s="367"/>
      <c r="HFK162" s="368" t="s">
        <v>168</v>
      </c>
      <c r="HFL162" s="369">
        <v>0.5</v>
      </c>
      <c r="HFM162" s="370" t="e">
        <f>10/HFI160</f>
        <v>#DIV/0!</v>
      </c>
      <c r="HFN162" s="371">
        <v>15.38</v>
      </c>
      <c r="HFO162" s="371" t="e">
        <f>HFL162*HFM162*HFN162</f>
        <v>#DIV/0!</v>
      </c>
      <c r="HFP162" s="367" t="s">
        <v>206</v>
      </c>
      <c r="HFQ162" s="367"/>
      <c r="HFR162" s="367"/>
      <c r="HFS162" s="368" t="s">
        <v>168</v>
      </c>
      <c r="HFT162" s="369">
        <v>0.5</v>
      </c>
      <c r="HFU162" s="370" t="e">
        <f>10/HFQ160</f>
        <v>#DIV/0!</v>
      </c>
      <c r="HFV162" s="371">
        <v>15.38</v>
      </c>
      <c r="HFW162" s="371" t="e">
        <f>HFT162*HFU162*HFV162</f>
        <v>#DIV/0!</v>
      </c>
      <c r="HFX162" s="367" t="s">
        <v>206</v>
      </c>
      <c r="HFY162" s="367"/>
      <c r="HFZ162" s="367"/>
      <c r="HGA162" s="368" t="s">
        <v>168</v>
      </c>
      <c r="HGB162" s="369">
        <v>0.5</v>
      </c>
      <c r="HGC162" s="370" t="e">
        <f>10/HFY160</f>
        <v>#DIV/0!</v>
      </c>
      <c r="HGD162" s="371">
        <v>15.38</v>
      </c>
      <c r="HGE162" s="371" t="e">
        <f>HGB162*HGC162*HGD162</f>
        <v>#DIV/0!</v>
      </c>
      <c r="HGF162" s="367" t="s">
        <v>206</v>
      </c>
      <c r="HGG162" s="367"/>
      <c r="HGH162" s="367"/>
      <c r="HGI162" s="368" t="s">
        <v>168</v>
      </c>
      <c r="HGJ162" s="369">
        <v>0.5</v>
      </c>
      <c r="HGK162" s="370" t="e">
        <f>10/HGG160</f>
        <v>#DIV/0!</v>
      </c>
      <c r="HGL162" s="371">
        <v>15.38</v>
      </c>
      <c r="HGM162" s="371" t="e">
        <f>HGJ162*HGK162*HGL162</f>
        <v>#DIV/0!</v>
      </c>
      <c r="HGN162" s="367" t="s">
        <v>206</v>
      </c>
      <c r="HGO162" s="367"/>
      <c r="HGP162" s="367"/>
      <c r="HGQ162" s="368" t="s">
        <v>168</v>
      </c>
      <c r="HGR162" s="369">
        <v>0.5</v>
      </c>
      <c r="HGS162" s="370" t="e">
        <f>10/HGO160</f>
        <v>#DIV/0!</v>
      </c>
      <c r="HGT162" s="371">
        <v>15.38</v>
      </c>
      <c r="HGU162" s="371" t="e">
        <f>HGR162*HGS162*HGT162</f>
        <v>#DIV/0!</v>
      </c>
      <c r="HGV162" s="367" t="s">
        <v>206</v>
      </c>
      <c r="HGW162" s="367"/>
      <c r="HGX162" s="367"/>
      <c r="HGY162" s="368" t="s">
        <v>168</v>
      </c>
      <c r="HGZ162" s="369">
        <v>0.5</v>
      </c>
      <c r="HHA162" s="370" t="e">
        <f>10/HGW160</f>
        <v>#DIV/0!</v>
      </c>
      <c r="HHB162" s="371">
        <v>15.38</v>
      </c>
      <c r="HHC162" s="371" t="e">
        <f>HGZ162*HHA162*HHB162</f>
        <v>#DIV/0!</v>
      </c>
      <c r="HHD162" s="367" t="s">
        <v>206</v>
      </c>
      <c r="HHE162" s="367"/>
      <c r="HHF162" s="367"/>
      <c r="HHG162" s="368" t="s">
        <v>168</v>
      </c>
      <c r="HHH162" s="369">
        <v>0.5</v>
      </c>
      <c r="HHI162" s="370" t="e">
        <f>10/HHE160</f>
        <v>#DIV/0!</v>
      </c>
      <c r="HHJ162" s="371">
        <v>15.38</v>
      </c>
      <c r="HHK162" s="371" t="e">
        <f>HHH162*HHI162*HHJ162</f>
        <v>#DIV/0!</v>
      </c>
      <c r="HHL162" s="367" t="s">
        <v>206</v>
      </c>
      <c r="HHM162" s="367"/>
      <c r="HHN162" s="367"/>
      <c r="HHO162" s="368" t="s">
        <v>168</v>
      </c>
      <c r="HHP162" s="369">
        <v>0.5</v>
      </c>
      <c r="HHQ162" s="370" t="e">
        <f>10/HHM160</f>
        <v>#DIV/0!</v>
      </c>
      <c r="HHR162" s="371">
        <v>15.38</v>
      </c>
      <c r="HHS162" s="371" t="e">
        <f>HHP162*HHQ162*HHR162</f>
        <v>#DIV/0!</v>
      </c>
      <c r="HHT162" s="367" t="s">
        <v>206</v>
      </c>
      <c r="HHU162" s="367"/>
      <c r="HHV162" s="367"/>
      <c r="HHW162" s="368" t="s">
        <v>168</v>
      </c>
      <c r="HHX162" s="369">
        <v>0.5</v>
      </c>
      <c r="HHY162" s="370" t="e">
        <f>10/HHU160</f>
        <v>#DIV/0!</v>
      </c>
      <c r="HHZ162" s="371">
        <v>15.38</v>
      </c>
      <c r="HIA162" s="371" t="e">
        <f>HHX162*HHY162*HHZ162</f>
        <v>#DIV/0!</v>
      </c>
      <c r="HIB162" s="367" t="s">
        <v>206</v>
      </c>
      <c r="HIC162" s="367"/>
      <c r="HID162" s="367"/>
      <c r="HIE162" s="368" t="s">
        <v>168</v>
      </c>
      <c r="HIF162" s="369">
        <v>0.5</v>
      </c>
      <c r="HIG162" s="370" t="e">
        <f>10/HIC160</f>
        <v>#DIV/0!</v>
      </c>
      <c r="HIH162" s="371">
        <v>15.38</v>
      </c>
      <c r="HII162" s="371" t="e">
        <f>HIF162*HIG162*HIH162</f>
        <v>#DIV/0!</v>
      </c>
      <c r="HIJ162" s="367" t="s">
        <v>206</v>
      </c>
      <c r="HIK162" s="367"/>
      <c r="HIL162" s="367"/>
      <c r="HIM162" s="368" t="s">
        <v>168</v>
      </c>
      <c r="HIN162" s="369">
        <v>0.5</v>
      </c>
      <c r="HIO162" s="370" t="e">
        <f>10/HIK160</f>
        <v>#DIV/0!</v>
      </c>
      <c r="HIP162" s="371">
        <v>15.38</v>
      </c>
      <c r="HIQ162" s="371" t="e">
        <f>HIN162*HIO162*HIP162</f>
        <v>#DIV/0!</v>
      </c>
      <c r="HIR162" s="367" t="s">
        <v>206</v>
      </c>
      <c r="HIS162" s="367"/>
      <c r="HIT162" s="367"/>
      <c r="HIU162" s="368" t="s">
        <v>168</v>
      </c>
      <c r="HIV162" s="369">
        <v>0.5</v>
      </c>
      <c r="HIW162" s="370" t="e">
        <f>10/HIS160</f>
        <v>#DIV/0!</v>
      </c>
      <c r="HIX162" s="371">
        <v>15.38</v>
      </c>
      <c r="HIY162" s="371" t="e">
        <f>HIV162*HIW162*HIX162</f>
        <v>#DIV/0!</v>
      </c>
      <c r="HIZ162" s="367" t="s">
        <v>206</v>
      </c>
      <c r="HJA162" s="367"/>
      <c r="HJB162" s="367"/>
      <c r="HJC162" s="368" t="s">
        <v>168</v>
      </c>
      <c r="HJD162" s="369">
        <v>0.5</v>
      </c>
      <c r="HJE162" s="370" t="e">
        <f>10/HJA160</f>
        <v>#DIV/0!</v>
      </c>
      <c r="HJF162" s="371">
        <v>15.38</v>
      </c>
      <c r="HJG162" s="371" t="e">
        <f>HJD162*HJE162*HJF162</f>
        <v>#DIV/0!</v>
      </c>
      <c r="HJH162" s="367" t="s">
        <v>206</v>
      </c>
      <c r="HJI162" s="367"/>
      <c r="HJJ162" s="367"/>
      <c r="HJK162" s="368" t="s">
        <v>168</v>
      </c>
      <c r="HJL162" s="369">
        <v>0.5</v>
      </c>
      <c r="HJM162" s="370" t="e">
        <f>10/HJI160</f>
        <v>#DIV/0!</v>
      </c>
      <c r="HJN162" s="371">
        <v>15.38</v>
      </c>
      <c r="HJO162" s="371" t="e">
        <f>HJL162*HJM162*HJN162</f>
        <v>#DIV/0!</v>
      </c>
      <c r="HJP162" s="367" t="s">
        <v>206</v>
      </c>
      <c r="HJQ162" s="367"/>
      <c r="HJR162" s="367"/>
      <c r="HJS162" s="368" t="s">
        <v>168</v>
      </c>
      <c r="HJT162" s="369">
        <v>0.5</v>
      </c>
      <c r="HJU162" s="370" t="e">
        <f>10/HJQ160</f>
        <v>#DIV/0!</v>
      </c>
      <c r="HJV162" s="371">
        <v>15.38</v>
      </c>
      <c r="HJW162" s="371" t="e">
        <f>HJT162*HJU162*HJV162</f>
        <v>#DIV/0!</v>
      </c>
      <c r="HJX162" s="367" t="s">
        <v>206</v>
      </c>
      <c r="HJY162" s="367"/>
      <c r="HJZ162" s="367"/>
      <c r="HKA162" s="368" t="s">
        <v>168</v>
      </c>
      <c r="HKB162" s="369">
        <v>0.5</v>
      </c>
      <c r="HKC162" s="370" t="e">
        <f>10/HJY160</f>
        <v>#DIV/0!</v>
      </c>
      <c r="HKD162" s="371">
        <v>15.38</v>
      </c>
      <c r="HKE162" s="371" t="e">
        <f>HKB162*HKC162*HKD162</f>
        <v>#DIV/0!</v>
      </c>
      <c r="HKF162" s="367" t="s">
        <v>206</v>
      </c>
      <c r="HKG162" s="367"/>
      <c r="HKH162" s="367"/>
      <c r="HKI162" s="368" t="s">
        <v>168</v>
      </c>
      <c r="HKJ162" s="369">
        <v>0.5</v>
      </c>
      <c r="HKK162" s="370" t="e">
        <f>10/HKG160</f>
        <v>#DIV/0!</v>
      </c>
      <c r="HKL162" s="371">
        <v>15.38</v>
      </c>
      <c r="HKM162" s="371" t="e">
        <f>HKJ162*HKK162*HKL162</f>
        <v>#DIV/0!</v>
      </c>
      <c r="HKN162" s="367" t="s">
        <v>206</v>
      </c>
      <c r="HKO162" s="367"/>
      <c r="HKP162" s="367"/>
      <c r="HKQ162" s="368" t="s">
        <v>168</v>
      </c>
      <c r="HKR162" s="369">
        <v>0.5</v>
      </c>
      <c r="HKS162" s="370" t="e">
        <f>10/HKO160</f>
        <v>#DIV/0!</v>
      </c>
      <c r="HKT162" s="371">
        <v>15.38</v>
      </c>
      <c r="HKU162" s="371" t="e">
        <f>HKR162*HKS162*HKT162</f>
        <v>#DIV/0!</v>
      </c>
      <c r="HKV162" s="367" t="s">
        <v>206</v>
      </c>
      <c r="HKW162" s="367"/>
      <c r="HKX162" s="367"/>
      <c r="HKY162" s="368" t="s">
        <v>168</v>
      </c>
      <c r="HKZ162" s="369">
        <v>0.5</v>
      </c>
      <c r="HLA162" s="370" t="e">
        <f>10/HKW160</f>
        <v>#DIV/0!</v>
      </c>
      <c r="HLB162" s="371">
        <v>15.38</v>
      </c>
      <c r="HLC162" s="371" t="e">
        <f>HKZ162*HLA162*HLB162</f>
        <v>#DIV/0!</v>
      </c>
      <c r="HLD162" s="367" t="s">
        <v>206</v>
      </c>
      <c r="HLE162" s="367"/>
      <c r="HLF162" s="367"/>
      <c r="HLG162" s="368" t="s">
        <v>168</v>
      </c>
      <c r="HLH162" s="369">
        <v>0.5</v>
      </c>
      <c r="HLI162" s="370" t="e">
        <f>10/HLE160</f>
        <v>#DIV/0!</v>
      </c>
      <c r="HLJ162" s="371">
        <v>15.38</v>
      </c>
      <c r="HLK162" s="371" t="e">
        <f>HLH162*HLI162*HLJ162</f>
        <v>#DIV/0!</v>
      </c>
      <c r="HLL162" s="367" t="s">
        <v>206</v>
      </c>
      <c r="HLM162" s="367"/>
      <c r="HLN162" s="367"/>
      <c r="HLO162" s="368" t="s">
        <v>168</v>
      </c>
      <c r="HLP162" s="369">
        <v>0.5</v>
      </c>
      <c r="HLQ162" s="370" t="e">
        <f>10/HLM160</f>
        <v>#DIV/0!</v>
      </c>
      <c r="HLR162" s="371">
        <v>15.38</v>
      </c>
      <c r="HLS162" s="371" t="e">
        <f>HLP162*HLQ162*HLR162</f>
        <v>#DIV/0!</v>
      </c>
      <c r="HLT162" s="367" t="s">
        <v>206</v>
      </c>
      <c r="HLU162" s="367"/>
      <c r="HLV162" s="367"/>
      <c r="HLW162" s="368" t="s">
        <v>168</v>
      </c>
      <c r="HLX162" s="369">
        <v>0.5</v>
      </c>
      <c r="HLY162" s="370" t="e">
        <f>10/HLU160</f>
        <v>#DIV/0!</v>
      </c>
      <c r="HLZ162" s="371">
        <v>15.38</v>
      </c>
      <c r="HMA162" s="371" t="e">
        <f>HLX162*HLY162*HLZ162</f>
        <v>#DIV/0!</v>
      </c>
      <c r="HMB162" s="367" t="s">
        <v>206</v>
      </c>
      <c r="HMC162" s="367"/>
      <c r="HMD162" s="367"/>
      <c r="HME162" s="368" t="s">
        <v>168</v>
      </c>
      <c r="HMF162" s="369">
        <v>0.5</v>
      </c>
      <c r="HMG162" s="370" t="e">
        <f>10/HMC160</f>
        <v>#DIV/0!</v>
      </c>
      <c r="HMH162" s="371">
        <v>15.38</v>
      </c>
      <c r="HMI162" s="371" t="e">
        <f>HMF162*HMG162*HMH162</f>
        <v>#DIV/0!</v>
      </c>
      <c r="HMJ162" s="367" t="s">
        <v>206</v>
      </c>
      <c r="HMK162" s="367"/>
      <c r="HML162" s="367"/>
      <c r="HMM162" s="368" t="s">
        <v>168</v>
      </c>
      <c r="HMN162" s="369">
        <v>0.5</v>
      </c>
      <c r="HMO162" s="370" t="e">
        <f>10/HMK160</f>
        <v>#DIV/0!</v>
      </c>
      <c r="HMP162" s="371">
        <v>15.38</v>
      </c>
      <c r="HMQ162" s="371" t="e">
        <f>HMN162*HMO162*HMP162</f>
        <v>#DIV/0!</v>
      </c>
      <c r="HMR162" s="367" t="s">
        <v>206</v>
      </c>
      <c r="HMS162" s="367"/>
      <c r="HMT162" s="367"/>
      <c r="HMU162" s="368" t="s">
        <v>168</v>
      </c>
      <c r="HMV162" s="369">
        <v>0.5</v>
      </c>
      <c r="HMW162" s="370" t="e">
        <f>10/HMS160</f>
        <v>#DIV/0!</v>
      </c>
      <c r="HMX162" s="371">
        <v>15.38</v>
      </c>
      <c r="HMY162" s="371" t="e">
        <f>HMV162*HMW162*HMX162</f>
        <v>#DIV/0!</v>
      </c>
      <c r="HMZ162" s="367" t="s">
        <v>206</v>
      </c>
      <c r="HNA162" s="367"/>
      <c r="HNB162" s="367"/>
      <c r="HNC162" s="368" t="s">
        <v>168</v>
      </c>
      <c r="HND162" s="369">
        <v>0.5</v>
      </c>
      <c r="HNE162" s="370" t="e">
        <f>10/HNA160</f>
        <v>#DIV/0!</v>
      </c>
      <c r="HNF162" s="371">
        <v>15.38</v>
      </c>
      <c r="HNG162" s="371" t="e">
        <f>HND162*HNE162*HNF162</f>
        <v>#DIV/0!</v>
      </c>
      <c r="HNH162" s="367" t="s">
        <v>206</v>
      </c>
      <c r="HNI162" s="367"/>
      <c r="HNJ162" s="367"/>
      <c r="HNK162" s="368" t="s">
        <v>168</v>
      </c>
      <c r="HNL162" s="369">
        <v>0.5</v>
      </c>
      <c r="HNM162" s="370" t="e">
        <f>10/HNI160</f>
        <v>#DIV/0!</v>
      </c>
      <c r="HNN162" s="371">
        <v>15.38</v>
      </c>
      <c r="HNO162" s="371" t="e">
        <f>HNL162*HNM162*HNN162</f>
        <v>#DIV/0!</v>
      </c>
      <c r="HNP162" s="367" t="s">
        <v>206</v>
      </c>
      <c r="HNQ162" s="367"/>
      <c r="HNR162" s="367"/>
      <c r="HNS162" s="368" t="s">
        <v>168</v>
      </c>
      <c r="HNT162" s="369">
        <v>0.5</v>
      </c>
      <c r="HNU162" s="370" t="e">
        <f>10/HNQ160</f>
        <v>#DIV/0!</v>
      </c>
      <c r="HNV162" s="371">
        <v>15.38</v>
      </c>
      <c r="HNW162" s="371" t="e">
        <f>HNT162*HNU162*HNV162</f>
        <v>#DIV/0!</v>
      </c>
      <c r="HNX162" s="367" t="s">
        <v>206</v>
      </c>
      <c r="HNY162" s="367"/>
      <c r="HNZ162" s="367"/>
      <c r="HOA162" s="368" t="s">
        <v>168</v>
      </c>
      <c r="HOB162" s="369">
        <v>0.5</v>
      </c>
      <c r="HOC162" s="370" t="e">
        <f>10/HNY160</f>
        <v>#DIV/0!</v>
      </c>
      <c r="HOD162" s="371">
        <v>15.38</v>
      </c>
      <c r="HOE162" s="371" t="e">
        <f>HOB162*HOC162*HOD162</f>
        <v>#DIV/0!</v>
      </c>
      <c r="HOF162" s="367" t="s">
        <v>206</v>
      </c>
      <c r="HOG162" s="367"/>
      <c r="HOH162" s="367"/>
      <c r="HOI162" s="368" t="s">
        <v>168</v>
      </c>
      <c r="HOJ162" s="369">
        <v>0.5</v>
      </c>
      <c r="HOK162" s="370" t="e">
        <f>10/HOG160</f>
        <v>#DIV/0!</v>
      </c>
      <c r="HOL162" s="371">
        <v>15.38</v>
      </c>
      <c r="HOM162" s="371" t="e">
        <f>HOJ162*HOK162*HOL162</f>
        <v>#DIV/0!</v>
      </c>
      <c r="HON162" s="367" t="s">
        <v>206</v>
      </c>
      <c r="HOO162" s="367"/>
      <c r="HOP162" s="367"/>
      <c r="HOQ162" s="368" t="s">
        <v>168</v>
      </c>
      <c r="HOR162" s="369">
        <v>0.5</v>
      </c>
      <c r="HOS162" s="370" t="e">
        <f>10/HOO160</f>
        <v>#DIV/0!</v>
      </c>
      <c r="HOT162" s="371">
        <v>15.38</v>
      </c>
      <c r="HOU162" s="371" t="e">
        <f>HOR162*HOS162*HOT162</f>
        <v>#DIV/0!</v>
      </c>
      <c r="HOV162" s="367" t="s">
        <v>206</v>
      </c>
      <c r="HOW162" s="367"/>
      <c r="HOX162" s="367"/>
      <c r="HOY162" s="368" t="s">
        <v>168</v>
      </c>
      <c r="HOZ162" s="369">
        <v>0.5</v>
      </c>
      <c r="HPA162" s="370" t="e">
        <f>10/HOW160</f>
        <v>#DIV/0!</v>
      </c>
      <c r="HPB162" s="371">
        <v>15.38</v>
      </c>
      <c r="HPC162" s="371" t="e">
        <f>HOZ162*HPA162*HPB162</f>
        <v>#DIV/0!</v>
      </c>
      <c r="HPD162" s="367" t="s">
        <v>206</v>
      </c>
      <c r="HPE162" s="367"/>
      <c r="HPF162" s="367"/>
      <c r="HPG162" s="368" t="s">
        <v>168</v>
      </c>
      <c r="HPH162" s="369">
        <v>0.5</v>
      </c>
      <c r="HPI162" s="370" t="e">
        <f>10/HPE160</f>
        <v>#DIV/0!</v>
      </c>
      <c r="HPJ162" s="371">
        <v>15.38</v>
      </c>
      <c r="HPK162" s="371" t="e">
        <f>HPH162*HPI162*HPJ162</f>
        <v>#DIV/0!</v>
      </c>
      <c r="HPL162" s="367" t="s">
        <v>206</v>
      </c>
      <c r="HPM162" s="367"/>
      <c r="HPN162" s="367"/>
      <c r="HPO162" s="368" t="s">
        <v>168</v>
      </c>
      <c r="HPP162" s="369">
        <v>0.5</v>
      </c>
      <c r="HPQ162" s="370" t="e">
        <f>10/HPM160</f>
        <v>#DIV/0!</v>
      </c>
      <c r="HPR162" s="371">
        <v>15.38</v>
      </c>
      <c r="HPS162" s="371" t="e">
        <f>HPP162*HPQ162*HPR162</f>
        <v>#DIV/0!</v>
      </c>
      <c r="HPT162" s="367" t="s">
        <v>206</v>
      </c>
      <c r="HPU162" s="367"/>
      <c r="HPV162" s="367"/>
      <c r="HPW162" s="368" t="s">
        <v>168</v>
      </c>
      <c r="HPX162" s="369">
        <v>0.5</v>
      </c>
      <c r="HPY162" s="370" t="e">
        <f>10/HPU160</f>
        <v>#DIV/0!</v>
      </c>
      <c r="HPZ162" s="371">
        <v>15.38</v>
      </c>
      <c r="HQA162" s="371" t="e">
        <f>HPX162*HPY162*HPZ162</f>
        <v>#DIV/0!</v>
      </c>
      <c r="HQB162" s="367" t="s">
        <v>206</v>
      </c>
      <c r="HQC162" s="367"/>
      <c r="HQD162" s="367"/>
      <c r="HQE162" s="368" t="s">
        <v>168</v>
      </c>
      <c r="HQF162" s="369">
        <v>0.5</v>
      </c>
      <c r="HQG162" s="370" t="e">
        <f>10/HQC160</f>
        <v>#DIV/0!</v>
      </c>
      <c r="HQH162" s="371">
        <v>15.38</v>
      </c>
      <c r="HQI162" s="371" t="e">
        <f>HQF162*HQG162*HQH162</f>
        <v>#DIV/0!</v>
      </c>
      <c r="HQJ162" s="367" t="s">
        <v>206</v>
      </c>
      <c r="HQK162" s="367"/>
      <c r="HQL162" s="367"/>
      <c r="HQM162" s="368" t="s">
        <v>168</v>
      </c>
      <c r="HQN162" s="369">
        <v>0.5</v>
      </c>
      <c r="HQO162" s="370" t="e">
        <f>10/HQK160</f>
        <v>#DIV/0!</v>
      </c>
      <c r="HQP162" s="371">
        <v>15.38</v>
      </c>
      <c r="HQQ162" s="371" t="e">
        <f>HQN162*HQO162*HQP162</f>
        <v>#DIV/0!</v>
      </c>
      <c r="HQR162" s="367" t="s">
        <v>206</v>
      </c>
      <c r="HQS162" s="367"/>
      <c r="HQT162" s="367"/>
      <c r="HQU162" s="368" t="s">
        <v>168</v>
      </c>
      <c r="HQV162" s="369">
        <v>0.5</v>
      </c>
      <c r="HQW162" s="370" t="e">
        <f>10/HQS160</f>
        <v>#DIV/0!</v>
      </c>
      <c r="HQX162" s="371">
        <v>15.38</v>
      </c>
      <c r="HQY162" s="371" t="e">
        <f>HQV162*HQW162*HQX162</f>
        <v>#DIV/0!</v>
      </c>
      <c r="HQZ162" s="367" t="s">
        <v>206</v>
      </c>
      <c r="HRA162" s="367"/>
      <c r="HRB162" s="367"/>
      <c r="HRC162" s="368" t="s">
        <v>168</v>
      </c>
      <c r="HRD162" s="369">
        <v>0.5</v>
      </c>
      <c r="HRE162" s="370" t="e">
        <f>10/HRA160</f>
        <v>#DIV/0!</v>
      </c>
      <c r="HRF162" s="371">
        <v>15.38</v>
      </c>
      <c r="HRG162" s="371" t="e">
        <f>HRD162*HRE162*HRF162</f>
        <v>#DIV/0!</v>
      </c>
      <c r="HRH162" s="367" t="s">
        <v>206</v>
      </c>
      <c r="HRI162" s="367"/>
      <c r="HRJ162" s="367"/>
      <c r="HRK162" s="368" t="s">
        <v>168</v>
      </c>
      <c r="HRL162" s="369">
        <v>0.5</v>
      </c>
      <c r="HRM162" s="370" t="e">
        <f>10/HRI160</f>
        <v>#DIV/0!</v>
      </c>
      <c r="HRN162" s="371">
        <v>15.38</v>
      </c>
      <c r="HRO162" s="371" t="e">
        <f>HRL162*HRM162*HRN162</f>
        <v>#DIV/0!</v>
      </c>
      <c r="HRP162" s="367" t="s">
        <v>206</v>
      </c>
      <c r="HRQ162" s="367"/>
      <c r="HRR162" s="367"/>
      <c r="HRS162" s="368" t="s">
        <v>168</v>
      </c>
      <c r="HRT162" s="369">
        <v>0.5</v>
      </c>
      <c r="HRU162" s="370" t="e">
        <f>10/HRQ160</f>
        <v>#DIV/0!</v>
      </c>
      <c r="HRV162" s="371">
        <v>15.38</v>
      </c>
      <c r="HRW162" s="371" t="e">
        <f>HRT162*HRU162*HRV162</f>
        <v>#DIV/0!</v>
      </c>
      <c r="HRX162" s="367" t="s">
        <v>206</v>
      </c>
      <c r="HRY162" s="367"/>
      <c r="HRZ162" s="367"/>
      <c r="HSA162" s="368" t="s">
        <v>168</v>
      </c>
      <c r="HSB162" s="369">
        <v>0.5</v>
      </c>
      <c r="HSC162" s="370" t="e">
        <f>10/HRY160</f>
        <v>#DIV/0!</v>
      </c>
      <c r="HSD162" s="371">
        <v>15.38</v>
      </c>
      <c r="HSE162" s="371" t="e">
        <f>HSB162*HSC162*HSD162</f>
        <v>#DIV/0!</v>
      </c>
      <c r="HSF162" s="367" t="s">
        <v>206</v>
      </c>
      <c r="HSG162" s="367"/>
      <c r="HSH162" s="367"/>
      <c r="HSI162" s="368" t="s">
        <v>168</v>
      </c>
      <c r="HSJ162" s="369">
        <v>0.5</v>
      </c>
      <c r="HSK162" s="370" t="e">
        <f>10/HSG160</f>
        <v>#DIV/0!</v>
      </c>
      <c r="HSL162" s="371">
        <v>15.38</v>
      </c>
      <c r="HSM162" s="371" t="e">
        <f>HSJ162*HSK162*HSL162</f>
        <v>#DIV/0!</v>
      </c>
      <c r="HSN162" s="367" t="s">
        <v>206</v>
      </c>
      <c r="HSO162" s="367"/>
      <c r="HSP162" s="367"/>
      <c r="HSQ162" s="368" t="s">
        <v>168</v>
      </c>
      <c r="HSR162" s="369">
        <v>0.5</v>
      </c>
      <c r="HSS162" s="370" t="e">
        <f>10/HSO160</f>
        <v>#DIV/0!</v>
      </c>
      <c r="HST162" s="371">
        <v>15.38</v>
      </c>
      <c r="HSU162" s="371" t="e">
        <f>HSR162*HSS162*HST162</f>
        <v>#DIV/0!</v>
      </c>
      <c r="HSV162" s="367" t="s">
        <v>206</v>
      </c>
      <c r="HSW162" s="367"/>
      <c r="HSX162" s="367"/>
      <c r="HSY162" s="368" t="s">
        <v>168</v>
      </c>
      <c r="HSZ162" s="369">
        <v>0.5</v>
      </c>
      <c r="HTA162" s="370" t="e">
        <f>10/HSW160</f>
        <v>#DIV/0!</v>
      </c>
      <c r="HTB162" s="371">
        <v>15.38</v>
      </c>
      <c r="HTC162" s="371" t="e">
        <f>HSZ162*HTA162*HTB162</f>
        <v>#DIV/0!</v>
      </c>
      <c r="HTD162" s="367" t="s">
        <v>206</v>
      </c>
      <c r="HTE162" s="367"/>
      <c r="HTF162" s="367"/>
      <c r="HTG162" s="368" t="s">
        <v>168</v>
      </c>
      <c r="HTH162" s="369">
        <v>0.5</v>
      </c>
      <c r="HTI162" s="370" t="e">
        <f>10/HTE160</f>
        <v>#DIV/0!</v>
      </c>
      <c r="HTJ162" s="371">
        <v>15.38</v>
      </c>
      <c r="HTK162" s="371" t="e">
        <f>HTH162*HTI162*HTJ162</f>
        <v>#DIV/0!</v>
      </c>
      <c r="HTL162" s="367" t="s">
        <v>206</v>
      </c>
      <c r="HTM162" s="367"/>
      <c r="HTN162" s="367"/>
      <c r="HTO162" s="368" t="s">
        <v>168</v>
      </c>
      <c r="HTP162" s="369">
        <v>0.5</v>
      </c>
      <c r="HTQ162" s="370" t="e">
        <f>10/HTM160</f>
        <v>#DIV/0!</v>
      </c>
      <c r="HTR162" s="371">
        <v>15.38</v>
      </c>
      <c r="HTS162" s="371" t="e">
        <f>HTP162*HTQ162*HTR162</f>
        <v>#DIV/0!</v>
      </c>
      <c r="HTT162" s="367" t="s">
        <v>206</v>
      </c>
      <c r="HTU162" s="367"/>
      <c r="HTV162" s="367"/>
      <c r="HTW162" s="368" t="s">
        <v>168</v>
      </c>
      <c r="HTX162" s="369">
        <v>0.5</v>
      </c>
      <c r="HTY162" s="370" t="e">
        <f>10/HTU160</f>
        <v>#DIV/0!</v>
      </c>
      <c r="HTZ162" s="371">
        <v>15.38</v>
      </c>
      <c r="HUA162" s="371" t="e">
        <f>HTX162*HTY162*HTZ162</f>
        <v>#DIV/0!</v>
      </c>
      <c r="HUB162" s="367" t="s">
        <v>206</v>
      </c>
      <c r="HUC162" s="367"/>
      <c r="HUD162" s="367"/>
      <c r="HUE162" s="368" t="s">
        <v>168</v>
      </c>
      <c r="HUF162" s="369">
        <v>0.5</v>
      </c>
      <c r="HUG162" s="370" t="e">
        <f>10/HUC160</f>
        <v>#DIV/0!</v>
      </c>
      <c r="HUH162" s="371">
        <v>15.38</v>
      </c>
      <c r="HUI162" s="371" t="e">
        <f>HUF162*HUG162*HUH162</f>
        <v>#DIV/0!</v>
      </c>
      <c r="HUJ162" s="367" t="s">
        <v>206</v>
      </c>
      <c r="HUK162" s="367"/>
      <c r="HUL162" s="367"/>
      <c r="HUM162" s="368" t="s">
        <v>168</v>
      </c>
      <c r="HUN162" s="369">
        <v>0.5</v>
      </c>
      <c r="HUO162" s="370" t="e">
        <f>10/HUK160</f>
        <v>#DIV/0!</v>
      </c>
      <c r="HUP162" s="371">
        <v>15.38</v>
      </c>
      <c r="HUQ162" s="371" t="e">
        <f>HUN162*HUO162*HUP162</f>
        <v>#DIV/0!</v>
      </c>
      <c r="HUR162" s="367" t="s">
        <v>206</v>
      </c>
      <c r="HUS162" s="367"/>
      <c r="HUT162" s="367"/>
      <c r="HUU162" s="368" t="s">
        <v>168</v>
      </c>
      <c r="HUV162" s="369">
        <v>0.5</v>
      </c>
      <c r="HUW162" s="370" t="e">
        <f>10/HUS160</f>
        <v>#DIV/0!</v>
      </c>
      <c r="HUX162" s="371">
        <v>15.38</v>
      </c>
      <c r="HUY162" s="371" t="e">
        <f>HUV162*HUW162*HUX162</f>
        <v>#DIV/0!</v>
      </c>
      <c r="HUZ162" s="367" t="s">
        <v>206</v>
      </c>
      <c r="HVA162" s="367"/>
      <c r="HVB162" s="367"/>
      <c r="HVC162" s="368" t="s">
        <v>168</v>
      </c>
      <c r="HVD162" s="369">
        <v>0.5</v>
      </c>
      <c r="HVE162" s="370" t="e">
        <f>10/HVA160</f>
        <v>#DIV/0!</v>
      </c>
      <c r="HVF162" s="371">
        <v>15.38</v>
      </c>
      <c r="HVG162" s="371" t="e">
        <f>HVD162*HVE162*HVF162</f>
        <v>#DIV/0!</v>
      </c>
      <c r="HVH162" s="367" t="s">
        <v>206</v>
      </c>
      <c r="HVI162" s="367"/>
      <c r="HVJ162" s="367"/>
      <c r="HVK162" s="368" t="s">
        <v>168</v>
      </c>
      <c r="HVL162" s="369">
        <v>0.5</v>
      </c>
      <c r="HVM162" s="370" t="e">
        <f>10/HVI160</f>
        <v>#DIV/0!</v>
      </c>
      <c r="HVN162" s="371">
        <v>15.38</v>
      </c>
      <c r="HVO162" s="371" t="e">
        <f>HVL162*HVM162*HVN162</f>
        <v>#DIV/0!</v>
      </c>
      <c r="HVP162" s="367" t="s">
        <v>206</v>
      </c>
      <c r="HVQ162" s="367"/>
      <c r="HVR162" s="367"/>
      <c r="HVS162" s="368" t="s">
        <v>168</v>
      </c>
      <c r="HVT162" s="369">
        <v>0.5</v>
      </c>
      <c r="HVU162" s="370" t="e">
        <f>10/HVQ160</f>
        <v>#DIV/0!</v>
      </c>
      <c r="HVV162" s="371">
        <v>15.38</v>
      </c>
      <c r="HVW162" s="371" t="e">
        <f>HVT162*HVU162*HVV162</f>
        <v>#DIV/0!</v>
      </c>
      <c r="HVX162" s="367" t="s">
        <v>206</v>
      </c>
      <c r="HVY162" s="367"/>
      <c r="HVZ162" s="367"/>
      <c r="HWA162" s="368" t="s">
        <v>168</v>
      </c>
      <c r="HWB162" s="369">
        <v>0.5</v>
      </c>
      <c r="HWC162" s="370" t="e">
        <f>10/HVY160</f>
        <v>#DIV/0!</v>
      </c>
      <c r="HWD162" s="371">
        <v>15.38</v>
      </c>
      <c r="HWE162" s="371" t="e">
        <f>HWB162*HWC162*HWD162</f>
        <v>#DIV/0!</v>
      </c>
      <c r="HWF162" s="367" t="s">
        <v>206</v>
      </c>
      <c r="HWG162" s="367"/>
      <c r="HWH162" s="367"/>
      <c r="HWI162" s="368" t="s">
        <v>168</v>
      </c>
      <c r="HWJ162" s="369">
        <v>0.5</v>
      </c>
      <c r="HWK162" s="370" t="e">
        <f>10/HWG160</f>
        <v>#DIV/0!</v>
      </c>
      <c r="HWL162" s="371">
        <v>15.38</v>
      </c>
      <c r="HWM162" s="371" t="e">
        <f>HWJ162*HWK162*HWL162</f>
        <v>#DIV/0!</v>
      </c>
      <c r="HWN162" s="367" t="s">
        <v>206</v>
      </c>
      <c r="HWO162" s="367"/>
      <c r="HWP162" s="367"/>
      <c r="HWQ162" s="368" t="s">
        <v>168</v>
      </c>
      <c r="HWR162" s="369">
        <v>0.5</v>
      </c>
      <c r="HWS162" s="370" t="e">
        <f>10/HWO160</f>
        <v>#DIV/0!</v>
      </c>
      <c r="HWT162" s="371">
        <v>15.38</v>
      </c>
      <c r="HWU162" s="371" t="e">
        <f>HWR162*HWS162*HWT162</f>
        <v>#DIV/0!</v>
      </c>
      <c r="HWV162" s="367" t="s">
        <v>206</v>
      </c>
      <c r="HWW162" s="367"/>
      <c r="HWX162" s="367"/>
      <c r="HWY162" s="368" t="s">
        <v>168</v>
      </c>
      <c r="HWZ162" s="369">
        <v>0.5</v>
      </c>
      <c r="HXA162" s="370" t="e">
        <f>10/HWW160</f>
        <v>#DIV/0!</v>
      </c>
      <c r="HXB162" s="371">
        <v>15.38</v>
      </c>
      <c r="HXC162" s="371" t="e">
        <f>HWZ162*HXA162*HXB162</f>
        <v>#DIV/0!</v>
      </c>
      <c r="HXD162" s="367" t="s">
        <v>206</v>
      </c>
      <c r="HXE162" s="367"/>
      <c r="HXF162" s="367"/>
      <c r="HXG162" s="368" t="s">
        <v>168</v>
      </c>
      <c r="HXH162" s="369">
        <v>0.5</v>
      </c>
      <c r="HXI162" s="370" t="e">
        <f>10/HXE160</f>
        <v>#DIV/0!</v>
      </c>
      <c r="HXJ162" s="371">
        <v>15.38</v>
      </c>
      <c r="HXK162" s="371" t="e">
        <f>HXH162*HXI162*HXJ162</f>
        <v>#DIV/0!</v>
      </c>
      <c r="HXL162" s="367" t="s">
        <v>206</v>
      </c>
      <c r="HXM162" s="367"/>
      <c r="HXN162" s="367"/>
      <c r="HXO162" s="368" t="s">
        <v>168</v>
      </c>
      <c r="HXP162" s="369">
        <v>0.5</v>
      </c>
      <c r="HXQ162" s="370" t="e">
        <f>10/HXM160</f>
        <v>#DIV/0!</v>
      </c>
      <c r="HXR162" s="371">
        <v>15.38</v>
      </c>
      <c r="HXS162" s="371" t="e">
        <f>HXP162*HXQ162*HXR162</f>
        <v>#DIV/0!</v>
      </c>
      <c r="HXT162" s="367" t="s">
        <v>206</v>
      </c>
      <c r="HXU162" s="367"/>
      <c r="HXV162" s="367"/>
      <c r="HXW162" s="368" t="s">
        <v>168</v>
      </c>
      <c r="HXX162" s="369">
        <v>0.5</v>
      </c>
      <c r="HXY162" s="370" t="e">
        <f>10/HXU160</f>
        <v>#DIV/0!</v>
      </c>
      <c r="HXZ162" s="371">
        <v>15.38</v>
      </c>
      <c r="HYA162" s="371" t="e">
        <f>HXX162*HXY162*HXZ162</f>
        <v>#DIV/0!</v>
      </c>
      <c r="HYB162" s="367" t="s">
        <v>206</v>
      </c>
      <c r="HYC162" s="367"/>
      <c r="HYD162" s="367"/>
      <c r="HYE162" s="368" t="s">
        <v>168</v>
      </c>
      <c r="HYF162" s="369">
        <v>0.5</v>
      </c>
      <c r="HYG162" s="370" t="e">
        <f>10/HYC160</f>
        <v>#DIV/0!</v>
      </c>
      <c r="HYH162" s="371">
        <v>15.38</v>
      </c>
      <c r="HYI162" s="371" t="e">
        <f>HYF162*HYG162*HYH162</f>
        <v>#DIV/0!</v>
      </c>
      <c r="HYJ162" s="367" t="s">
        <v>206</v>
      </c>
      <c r="HYK162" s="367"/>
      <c r="HYL162" s="367"/>
      <c r="HYM162" s="368" t="s">
        <v>168</v>
      </c>
      <c r="HYN162" s="369">
        <v>0.5</v>
      </c>
      <c r="HYO162" s="370" t="e">
        <f>10/HYK160</f>
        <v>#DIV/0!</v>
      </c>
      <c r="HYP162" s="371">
        <v>15.38</v>
      </c>
      <c r="HYQ162" s="371" t="e">
        <f>HYN162*HYO162*HYP162</f>
        <v>#DIV/0!</v>
      </c>
      <c r="HYR162" s="367" t="s">
        <v>206</v>
      </c>
      <c r="HYS162" s="367"/>
      <c r="HYT162" s="367"/>
      <c r="HYU162" s="368" t="s">
        <v>168</v>
      </c>
      <c r="HYV162" s="369">
        <v>0.5</v>
      </c>
      <c r="HYW162" s="370" t="e">
        <f>10/HYS160</f>
        <v>#DIV/0!</v>
      </c>
      <c r="HYX162" s="371">
        <v>15.38</v>
      </c>
      <c r="HYY162" s="371" t="e">
        <f>HYV162*HYW162*HYX162</f>
        <v>#DIV/0!</v>
      </c>
      <c r="HYZ162" s="367" t="s">
        <v>206</v>
      </c>
      <c r="HZA162" s="367"/>
      <c r="HZB162" s="367"/>
      <c r="HZC162" s="368" t="s">
        <v>168</v>
      </c>
      <c r="HZD162" s="369">
        <v>0.5</v>
      </c>
      <c r="HZE162" s="370" t="e">
        <f>10/HZA160</f>
        <v>#DIV/0!</v>
      </c>
      <c r="HZF162" s="371">
        <v>15.38</v>
      </c>
      <c r="HZG162" s="371" t="e">
        <f>HZD162*HZE162*HZF162</f>
        <v>#DIV/0!</v>
      </c>
      <c r="HZH162" s="367" t="s">
        <v>206</v>
      </c>
      <c r="HZI162" s="367"/>
      <c r="HZJ162" s="367"/>
      <c r="HZK162" s="368" t="s">
        <v>168</v>
      </c>
      <c r="HZL162" s="369">
        <v>0.5</v>
      </c>
      <c r="HZM162" s="370" t="e">
        <f>10/HZI160</f>
        <v>#DIV/0!</v>
      </c>
      <c r="HZN162" s="371">
        <v>15.38</v>
      </c>
      <c r="HZO162" s="371" t="e">
        <f>HZL162*HZM162*HZN162</f>
        <v>#DIV/0!</v>
      </c>
      <c r="HZP162" s="367" t="s">
        <v>206</v>
      </c>
      <c r="HZQ162" s="367"/>
      <c r="HZR162" s="367"/>
      <c r="HZS162" s="368" t="s">
        <v>168</v>
      </c>
      <c r="HZT162" s="369">
        <v>0.5</v>
      </c>
      <c r="HZU162" s="370" t="e">
        <f>10/HZQ160</f>
        <v>#DIV/0!</v>
      </c>
      <c r="HZV162" s="371">
        <v>15.38</v>
      </c>
      <c r="HZW162" s="371" t="e">
        <f>HZT162*HZU162*HZV162</f>
        <v>#DIV/0!</v>
      </c>
      <c r="HZX162" s="367" t="s">
        <v>206</v>
      </c>
      <c r="HZY162" s="367"/>
      <c r="HZZ162" s="367"/>
      <c r="IAA162" s="368" t="s">
        <v>168</v>
      </c>
      <c r="IAB162" s="369">
        <v>0.5</v>
      </c>
      <c r="IAC162" s="370" t="e">
        <f>10/HZY160</f>
        <v>#DIV/0!</v>
      </c>
      <c r="IAD162" s="371">
        <v>15.38</v>
      </c>
      <c r="IAE162" s="371" t="e">
        <f>IAB162*IAC162*IAD162</f>
        <v>#DIV/0!</v>
      </c>
      <c r="IAF162" s="367" t="s">
        <v>206</v>
      </c>
      <c r="IAG162" s="367"/>
      <c r="IAH162" s="367"/>
      <c r="IAI162" s="368" t="s">
        <v>168</v>
      </c>
      <c r="IAJ162" s="369">
        <v>0.5</v>
      </c>
      <c r="IAK162" s="370" t="e">
        <f>10/IAG160</f>
        <v>#DIV/0!</v>
      </c>
      <c r="IAL162" s="371">
        <v>15.38</v>
      </c>
      <c r="IAM162" s="371" t="e">
        <f>IAJ162*IAK162*IAL162</f>
        <v>#DIV/0!</v>
      </c>
      <c r="IAN162" s="367" t="s">
        <v>206</v>
      </c>
      <c r="IAO162" s="367"/>
      <c r="IAP162" s="367"/>
      <c r="IAQ162" s="368" t="s">
        <v>168</v>
      </c>
      <c r="IAR162" s="369">
        <v>0.5</v>
      </c>
      <c r="IAS162" s="370" t="e">
        <f>10/IAO160</f>
        <v>#DIV/0!</v>
      </c>
      <c r="IAT162" s="371">
        <v>15.38</v>
      </c>
      <c r="IAU162" s="371" t="e">
        <f>IAR162*IAS162*IAT162</f>
        <v>#DIV/0!</v>
      </c>
      <c r="IAV162" s="367" t="s">
        <v>206</v>
      </c>
      <c r="IAW162" s="367"/>
      <c r="IAX162" s="367"/>
      <c r="IAY162" s="368" t="s">
        <v>168</v>
      </c>
      <c r="IAZ162" s="369">
        <v>0.5</v>
      </c>
      <c r="IBA162" s="370" t="e">
        <f>10/IAW160</f>
        <v>#DIV/0!</v>
      </c>
      <c r="IBB162" s="371">
        <v>15.38</v>
      </c>
      <c r="IBC162" s="371" t="e">
        <f>IAZ162*IBA162*IBB162</f>
        <v>#DIV/0!</v>
      </c>
      <c r="IBD162" s="367" t="s">
        <v>206</v>
      </c>
      <c r="IBE162" s="367"/>
      <c r="IBF162" s="367"/>
      <c r="IBG162" s="368" t="s">
        <v>168</v>
      </c>
      <c r="IBH162" s="369">
        <v>0.5</v>
      </c>
      <c r="IBI162" s="370" t="e">
        <f>10/IBE160</f>
        <v>#DIV/0!</v>
      </c>
      <c r="IBJ162" s="371">
        <v>15.38</v>
      </c>
      <c r="IBK162" s="371" t="e">
        <f>IBH162*IBI162*IBJ162</f>
        <v>#DIV/0!</v>
      </c>
      <c r="IBL162" s="367" t="s">
        <v>206</v>
      </c>
      <c r="IBM162" s="367"/>
      <c r="IBN162" s="367"/>
      <c r="IBO162" s="368" t="s">
        <v>168</v>
      </c>
      <c r="IBP162" s="369">
        <v>0.5</v>
      </c>
      <c r="IBQ162" s="370" t="e">
        <f>10/IBM160</f>
        <v>#DIV/0!</v>
      </c>
      <c r="IBR162" s="371">
        <v>15.38</v>
      </c>
      <c r="IBS162" s="371" t="e">
        <f>IBP162*IBQ162*IBR162</f>
        <v>#DIV/0!</v>
      </c>
      <c r="IBT162" s="367" t="s">
        <v>206</v>
      </c>
      <c r="IBU162" s="367"/>
      <c r="IBV162" s="367"/>
      <c r="IBW162" s="368" t="s">
        <v>168</v>
      </c>
      <c r="IBX162" s="369">
        <v>0.5</v>
      </c>
      <c r="IBY162" s="370" t="e">
        <f>10/IBU160</f>
        <v>#DIV/0!</v>
      </c>
      <c r="IBZ162" s="371">
        <v>15.38</v>
      </c>
      <c r="ICA162" s="371" t="e">
        <f>IBX162*IBY162*IBZ162</f>
        <v>#DIV/0!</v>
      </c>
      <c r="ICB162" s="367" t="s">
        <v>206</v>
      </c>
      <c r="ICC162" s="367"/>
      <c r="ICD162" s="367"/>
      <c r="ICE162" s="368" t="s">
        <v>168</v>
      </c>
      <c r="ICF162" s="369">
        <v>0.5</v>
      </c>
      <c r="ICG162" s="370" t="e">
        <f>10/ICC160</f>
        <v>#DIV/0!</v>
      </c>
      <c r="ICH162" s="371">
        <v>15.38</v>
      </c>
      <c r="ICI162" s="371" t="e">
        <f>ICF162*ICG162*ICH162</f>
        <v>#DIV/0!</v>
      </c>
      <c r="ICJ162" s="367" t="s">
        <v>206</v>
      </c>
      <c r="ICK162" s="367"/>
      <c r="ICL162" s="367"/>
      <c r="ICM162" s="368" t="s">
        <v>168</v>
      </c>
      <c r="ICN162" s="369">
        <v>0.5</v>
      </c>
      <c r="ICO162" s="370" t="e">
        <f>10/ICK160</f>
        <v>#DIV/0!</v>
      </c>
      <c r="ICP162" s="371">
        <v>15.38</v>
      </c>
      <c r="ICQ162" s="371" t="e">
        <f>ICN162*ICO162*ICP162</f>
        <v>#DIV/0!</v>
      </c>
      <c r="ICR162" s="367" t="s">
        <v>206</v>
      </c>
      <c r="ICS162" s="367"/>
      <c r="ICT162" s="367"/>
      <c r="ICU162" s="368" t="s">
        <v>168</v>
      </c>
      <c r="ICV162" s="369">
        <v>0.5</v>
      </c>
      <c r="ICW162" s="370" t="e">
        <f>10/ICS160</f>
        <v>#DIV/0!</v>
      </c>
      <c r="ICX162" s="371">
        <v>15.38</v>
      </c>
      <c r="ICY162" s="371" t="e">
        <f>ICV162*ICW162*ICX162</f>
        <v>#DIV/0!</v>
      </c>
      <c r="ICZ162" s="367" t="s">
        <v>206</v>
      </c>
      <c r="IDA162" s="367"/>
      <c r="IDB162" s="367"/>
      <c r="IDC162" s="368" t="s">
        <v>168</v>
      </c>
      <c r="IDD162" s="369">
        <v>0.5</v>
      </c>
      <c r="IDE162" s="370" t="e">
        <f>10/IDA160</f>
        <v>#DIV/0!</v>
      </c>
      <c r="IDF162" s="371">
        <v>15.38</v>
      </c>
      <c r="IDG162" s="371" t="e">
        <f>IDD162*IDE162*IDF162</f>
        <v>#DIV/0!</v>
      </c>
      <c r="IDH162" s="367" t="s">
        <v>206</v>
      </c>
      <c r="IDI162" s="367"/>
      <c r="IDJ162" s="367"/>
      <c r="IDK162" s="368" t="s">
        <v>168</v>
      </c>
      <c r="IDL162" s="369">
        <v>0.5</v>
      </c>
      <c r="IDM162" s="370" t="e">
        <f>10/IDI160</f>
        <v>#DIV/0!</v>
      </c>
      <c r="IDN162" s="371">
        <v>15.38</v>
      </c>
      <c r="IDO162" s="371" t="e">
        <f>IDL162*IDM162*IDN162</f>
        <v>#DIV/0!</v>
      </c>
      <c r="IDP162" s="367" t="s">
        <v>206</v>
      </c>
      <c r="IDQ162" s="367"/>
      <c r="IDR162" s="367"/>
      <c r="IDS162" s="368" t="s">
        <v>168</v>
      </c>
      <c r="IDT162" s="369">
        <v>0.5</v>
      </c>
      <c r="IDU162" s="370" t="e">
        <f>10/IDQ160</f>
        <v>#DIV/0!</v>
      </c>
      <c r="IDV162" s="371">
        <v>15.38</v>
      </c>
      <c r="IDW162" s="371" t="e">
        <f>IDT162*IDU162*IDV162</f>
        <v>#DIV/0!</v>
      </c>
      <c r="IDX162" s="367" t="s">
        <v>206</v>
      </c>
      <c r="IDY162" s="367"/>
      <c r="IDZ162" s="367"/>
      <c r="IEA162" s="368" t="s">
        <v>168</v>
      </c>
      <c r="IEB162" s="369">
        <v>0.5</v>
      </c>
      <c r="IEC162" s="370" t="e">
        <f>10/IDY160</f>
        <v>#DIV/0!</v>
      </c>
      <c r="IED162" s="371">
        <v>15.38</v>
      </c>
      <c r="IEE162" s="371" t="e">
        <f>IEB162*IEC162*IED162</f>
        <v>#DIV/0!</v>
      </c>
      <c r="IEF162" s="367" t="s">
        <v>206</v>
      </c>
      <c r="IEG162" s="367"/>
      <c r="IEH162" s="367"/>
      <c r="IEI162" s="368" t="s">
        <v>168</v>
      </c>
      <c r="IEJ162" s="369">
        <v>0.5</v>
      </c>
      <c r="IEK162" s="370" t="e">
        <f>10/IEG160</f>
        <v>#DIV/0!</v>
      </c>
      <c r="IEL162" s="371">
        <v>15.38</v>
      </c>
      <c r="IEM162" s="371" t="e">
        <f>IEJ162*IEK162*IEL162</f>
        <v>#DIV/0!</v>
      </c>
      <c r="IEN162" s="367" t="s">
        <v>206</v>
      </c>
      <c r="IEO162" s="367"/>
      <c r="IEP162" s="367"/>
      <c r="IEQ162" s="368" t="s">
        <v>168</v>
      </c>
      <c r="IER162" s="369">
        <v>0.5</v>
      </c>
      <c r="IES162" s="370" t="e">
        <f>10/IEO160</f>
        <v>#DIV/0!</v>
      </c>
      <c r="IET162" s="371">
        <v>15.38</v>
      </c>
      <c r="IEU162" s="371" t="e">
        <f>IER162*IES162*IET162</f>
        <v>#DIV/0!</v>
      </c>
      <c r="IEV162" s="367" t="s">
        <v>206</v>
      </c>
      <c r="IEW162" s="367"/>
      <c r="IEX162" s="367"/>
      <c r="IEY162" s="368" t="s">
        <v>168</v>
      </c>
      <c r="IEZ162" s="369">
        <v>0.5</v>
      </c>
      <c r="IFA162" s="370" t="e">
        <f>10/IEW160</f>
        <v>#DIV/0!</v>
      </c>
      <c r="IFB162" s="371">
        <v>15.38</v>
      </c>
      <c r="IFC162" s="371" t="e">
        <f>IEZ162*IFA162*IFB162</f>
        <v>#DIV/0!</v>
      </c>
      <c r="IFD162" s="367" t="s">
        <v>206</v>
      </c>
      <c r="IFE162" s="367"/>
      <c r="IFF162" s="367"/>
      <c r="IFG162" s="368" t="s">
        <v>168</v>
      </c>
      <c r="IFH162" s="369">
        <v>0.5</v>
      </c>
      <c r="IFI162" s="370" t="e">
        <f>10/IFE160</f>
        <v>#DIV/0!</v>
      </c>
      <c r="IFJ162" s="371">
        <v>15.38</v>
      </c>
      <c r="IFK162" s="371" t="e">
        <f>IFH162*IFI162*IFJ162</f>
        <v>#DIV/0!</v>
      </c>
      <c r="IFL162" s="367" t="s">
        <v>206</v>
      </c>
      <c r="IFM162" s="367"/>
      <c r="IFN162" s="367"/>
      <c r="IFO162" s="368" t="s">
        <v>168</v>
      </c>
      <c r="IFP162" s="369">
        <v>0.5</v>
      </c>
      <c r="IFQ162" s="370" t="e">
        <f>10/IFM160</f>
        <v>#DIV/0!</v>
      </c>
      <c r="IFR162" s="371">
        <v>15.38</v>
      </c>
      <c r="IFS162" s="371" t="e">
        <f>IFP162*IFQ162*IFR162</f>
        <v>#DIV/0!</v>
      </c>
      <c r="IFT162" s="367" t="s">
        <v>206</v>
      </c>
      <c r="IFU162" s="367"/>
      <c r="IFV162" s="367"/>
      <c r="IFW162" s="368" t="s">
        <v>168</v>
      </c>
      <c r="IFX162" s="369">
        <v>0.5</v>
      </c>
      <c r="IFY162" s="370" t="e">
        <f>10/IFU160</f>
        <v>#DIV/0!</v>
      </c>
      <c r="IFZ162" s="371">
        <v>15.38</v>
      </c>
      <c r="IGA162" s="371" t="e">
        <f>IFX162*IFY162*IFZ162</f>
        <v>#DIV/0!</v>
      </c>
      <c r="IGB162" s="367" t="s">
        <v>206</v>
      </c>
      <c r="IGC162" s="367"/>
      <c r="IGD162" s="367"/>
      <c r="IGE162" s="368" t="s">
        <v>168</v>
      </c>
      <c r="IGF162" s="369">
        <v>0.5</v>
      </c>
      <c r="IGG162" s="370" t="e">
        <f>10/IGC160</f>
        <v>#DIV/0!</v>
      </c>
      <c r="IGH162" s="371">
        <v>15.38</v>
      </c>
      <c r="IGI162" s="371" t="e">
        <f>IGF162*IGG162*IGH162</f>
        <v>#DIV/0!</v>
      </c>
      <c r="IGJ162" s="367" t="s">
        <v>206</v>
      </c>
      <c r="IGK162" s="367"/>
      <c r="IGL162" s="367"/>
      <c r="IGM162" s="368" t="s">
        <v>168</v>
      </c>
      <c r="IGN162" s="369">
        <v>0.5</v>
      </c>
      <c r="IGO162" s="370" t="e">
        <f>10/IGK160</f>
        <v>#DIV/0!</v>
      </c>
      <c r="IGP162" s="371">
        <v>15.38</v>
      </c>
      <c r="IGQ162" s="371" t="e">
        <f>IGN162*IGO162*IGP162</f>
        <v>#DIV/0!</v>
      </c>
      <c r="IGR162" s="367" t="s">
        <v>206</v>
      </c>
      <c r="IGS162" s="367"/>
      <c r="IGT162" s="367"/>
      <c r="IGU162" s="368" t="s">
        <v>168</v>
      </c>
      <c r="IGV162" s="369">
        <v>0.5</v>
      </c>
      <c r="IGW162" s="370" t="e">
        <f>10/IGS160</f>
        <v>#DIV/0!</v>
      </c>
      <c r="IGX162" s="371">
        <v>15.38</v>
      </c>
      <c r="IGY162" s="371" t="e">
        <f>IGV162*IGW162*IGX162</f>
        <v>#DIV/0!</v>
      </c>
      <c r="IGZ162" s="367" t="s">
        <v>206</v>
      </c>
      <c r="IHA162" s="367"/>
      <c r="IHB162" s="367"/>
      <c r="IHC162" s="368" t="s">
        <v>168</v>
      </c>
      <c r="IHD162" s="369">
        <v>0.5</v>
      </c>
      <c r="IHE162" s="370" t="e">
        <f>10/IHA160</f>
        <v>#DIV/0!</v>
      </c>
      <c r="IHF162" s="371">
        <v>15.38</v>
      </c>
      <c r="IHG162" s="371" t="e">
        <f>IHD162*IHE162*IHF162</f>
        <v>#DIV/0!</v>
      </c>
      <c r="IHH162" s="367" t="s">
        <v>206</v>
      </c>
      <c r="IHI162" s="367"/>
      <c r="IHJ162" s="367"/>
      <c r="IHK162" s="368" t="s">
        <v>168</v>
      </c>
      <c r="IHL162" s="369">
        <v>0.5</v>
      </c>
      <c r="IHM162" s="370" t="e">
        <f>10/IHI160</f>
        <v>#DIV/0!</v>
      </c>
      <c r="IHN162" s="371">
        <v>15.38</v>
      </c>
      <c r="IHO162" s="371" t="e">
        <f>IHL162*IHM162*IHN162</f>
        <v>#DIV/0!</v>
      </c>
      <c r="IHP162" s="367" t="s">
        <v>206</v>
      </c>
      <c r="IHQ162" s="367"/>
      <c r="IHR162" s="367"/>
      <c r="IHS162" s="368" t="s">
        <v>168</v>
      </c>
      <c r="IHT162" s="369">
        <v>0.5</v>
      </c>
      <c r="IHU162" s="370" t="e">
        <f>10/IHQ160</f>
        <v>#DIV/0!</v>
      </c>
      <c r="IHV162" s="371">
        <v>15.38</v>
      </c>
      <c r="IHW162" s="371" t="e">
        <f>IHT162*IHU162*IHV162</f>
        <v>#DIV/0!</v>
      </c>
      <c r="IHX162" s="367" t="s">
        <v>206</v>
      </c>
      <c r="IHY162" s="367"/>
      <c r="IHZ162" s="367"/>
      <c r="IIA162" s="368" t="s">
        <v>168</v>
      </c>
      <c r="IIB162" s="369">
        <v>0.5</v>
      </c>
      <c r="IIC162" s="370" t="e">
        <f>10/IHY160</f>
        <v>#DIV/0!</v>
      </c>
      <c r="IID162" s="371">
        <v>15.38</v>
      </c>
      <c r="IIE162" s="371" t="e">
        <f>IIB162*IIC162*IID162</f>
        <v>#DIV/0!</v>
      </c>
      <c r="IIF162" s="367" t="s">
        <v>206</v>
      </c>
      <c r="IIG162" s="367"/>
      <c r="IIH162" s="367"/>
      <c r="III162" s="368" t="s">
        <v>168</v>
      </c>
      <c r="IIJ162" s="369">
        <v>0.5</v>
      </c>
      <c r="IIK162" s="370" t="e">
        <f>10/IIG160</f>
        <v>#DIV/0!</v>
      </c>
      <c r="IIL162" s="371">
        <v>15.38</v>
      </c>
      <c r="IIM162" s="371" t="e">
        <f>IIJ162*IIK162*IIL162</f>
        <v>#DIV/0!</v>
      </c>
      <c r="IIN162" s="367" t="s">
        <v>206</v>
      </c>
      <c r="IIO162" s="367"/>
      <c r="IIP162" s="367"/>
      <c r="IIQ162" s="368" t="s">
        <v>168</v>
      </c>
      <c r="IIR162" s="369">
        <v>0.5</v>
      </c>
      <c r="IIS162" s="370" t="e">
        <f>10/IIO160</f>
        <v>#DIV/0!</v>
      </c>
      <c r="IIT162" s="371">
        <v>15.38</v>
      </c>
      <c r="IIU162" s="371" t="e">
        <f>IIR162*IIS162*IIT162</f>
        <v>#DIV/0!</v>
      </c>
      <c r="IIV162" s="367" t="s">
        <v>206</v>
      </c>
      <c r="IIW162" s="367"/>
      <c r="IIX162" s="367"/>
      <c r="IIY162" s="368" t="s">
        <v>168</v>
      </c>
      <c r="IIZ162" s="369">
        <v>0.5</v>
      </c>
      <c r="IJA162" s="370" t="e">
        <f>10/IIW160</f>
        <v>#DIV/0!</v>
      </c>
      <c r="IJB162" s="371">
        <v>15.38</v>
      </c>
      <c r="IJC162" s="371" t="e">
        <f>IIZ162*IJA162*IJB162</f>
        <v>#DIV/0!</v>
      </c>
      <c r="IJD162" s="367" t="s">
        <v>206</v>
      </c>
      <c r="IJE162" s="367"/>
      <c r="IJF162" s="367"/>
      <c r="IJG162" s="368" t="s">
        <v>168</v>
      </c>
      <c r="IJH162" s="369">
        <v>0.5</v>
      </c>
      <c r="IJI162" s="370" t="e">
        <f>10/IJE160</f>
        <v>#DIV/0!</v>
      </c>
      <c r="IJJ162" s="371">
        <v>15.38</v>
      </c>
      <c r="IJK162" s="371" t="e">
        <f>IJH162*IJI162*IJJ162</f>
        <v>#DIV/0!</v>
      </c>
      <c r="IJL162" s="367" t="s">
        <v>206</v>
      </c>
      <c r="IJM162" s="367"/>
      <c r="IJN162" s="367"/>
      <c r="IJO162" s="368" t="s">
        <v>168</v>
      </c>
      <c r="IJP162" s="369">
        <v>0.5</v>
      </c>
      <c r="IJQ162" s="370" t="e">
        <f>10/IJM160</f>
        <v>#DIV/0!</v>
      </c>
      <c r="IJR162" s="371">
        <v>15.38</v>
      </c>
      <c r="IJS162" s="371" t="e">
        <f>IJP162*IJQ162*IJR162</f>
        <v>#DIV/0!</v>
      </c>
      <c r="IJT162" s="367" t="s">
        <v>206</v>
      </c>
      <c r="IJU162" s="367"/>
      <c r="IJV162" s="367"/>
      <c r="IJW162" s="368" t="s">
        <v>168</v>
      </c>
      <c r="IJX162" s="369">
        <v>0.5</v>
      </c>
      <c r="IJY162" s="370" t="e">
        <f>10/IJU160</f>
        <v>#DIV/0!</v>
      </c>
      <c r="IJZ162" s="371">
        <v>15.38</v>
      </c>
      <c r="IKA162" s="371" t="e">
        <f>IJX162*IJY162*IJZ162</f>
        <v>#DIV/0!</v>
      </c>
      <c r="IKB162" s="367" t="s">
        <v>206</v>
      </c>
      <c r="IKC162" s="367"/>
      <c r="IKD162" s="367"/>
      <c r="IKE162" s="368" t="s">
        <v>168</v>
      </c>
      <c r="IKF162" s="369">
        <v>0.5</v>
      </c>
      <c r="IKG162" s="370" t="e">
        <f>10/IKC160</f>
        <v>#DIV/0!</v>
      </c>
      <c r="IKH162" s="371">
        <v>15.38</v>
      </c>
      <c r="IKI162" s="371" t="e">
        <f>IKF162*IKG162*IKH162</f>
        <v>#DIV/0!</v>
      </c>
      <c r="IKJ162" s="367" t="s">
        <v>206</v>
      </c>
      <c r="IKK162" s="367"/>
      <c r="IKL162" s="367"/>
      <c r="IKM162" s="368" t="s">
        <v>168</v>
      </c>
      <c r="IKN162" s="369">
        <v>0.5</v>
      </c>
      <c r="IKO162" s="370" t="e">
        <f>10/IKK160</f>
        <v>#DIV/0!</v>
      </c>
      <c r="IKP162" s="371">
        <v>15.38</v>
      </c>
      <c r="IKQ162" s="371" t="e">
        <f>IKN162*IKO162*IKP162</f>
        <v>#DIV/0!</v>
      </c>
      <c r="IKR162" s="367" t="s">
        <v>206</v>
      </c>
      <c r="IKS162" s="367"/>
      <c r="IKT162" s="367"/>
      <c r="IKU162" s="368" t="s">
        <v>168</v>
      </c>
      <c r="IKV162" s="369">
        <v>0.5</v>
      </c>
      <c r="IKW162" s="370" t="e">
        <f>10/IKS160</f>
        <v>#DIV/0!</v>
      </c>
      <c r="IKX162" s="371">
        <v>15.38</v>
      </c>
      <c r="IKY162" s="371" t="e">
        <f>IKV162*IKW162*IKX162</f>
        <v>#DIV/0!</v>
      </c>
      <c r="IKZ162" s="367" t="s">
        <v>206</v>
      </c>
      <c r="ILA162" s="367"/>
      <c r="ILB162" s="367"/>
      <c r="ILC162" s="368" t="s">
        <v>168</v>
      </c>
      <c r="ILD162" s="369">
        <v>0.5</v>
      </c>
      <c r="ILE162" s="370" t="e">
        <f>10/ILA160</f>
        <v>#DIV/0!</v>
      </c>
      <c r="ILF162" s="371">
        <v>15.38</v>
      </c>
      <c r="ILG162" s="371" t="e">
        <f>ILD162*ILE162*ILF162</f>
        <v>#DIV/0!</v>
      </c>
      <c r="ILH162" s="367" t="s">
        <v>206</v>
      </c>
      <c r="ILI162" s="367"/>
      <c r="ILJ162" s="367"/>
      <c r="ILK162" s="368" t="s">
        <v>168</v>
      </c>
      <c r="ILL162" s="369">
        <v>0.5</v>
      </c>
      <c r="ILM162" s="370" t="e">
        <f>10/ILI160</f>
        <v>#DIV/0!</v>
      </c>
      <c r="ILN162" s="371">
        <v>15.38</v>
      </c>
      <c r="ILO162" s="371" t="e">
        <f>ILL162*ILM162*ILN162</f>
        <v>#DIV/0!</v>
      </c>
      <c r="ILP162" s="367" t="s">
        <v>206</v>
      </c>
      <c r="ILQ162" s="367"/>
      <c r="ILR162" s="367"/>
      <c r="ILS162" s="368" t="s">
        <v>168</v>
      </c>
      <c r="ILT162" s="369">
        <v>0.5</v>
      </c>
      <c r="ILU162" s="370" t="e">
        <f>10/ILQ160</f>
        <v>#DIV/0!</v>
      </c>
      <c r="ILV162" s="371">
        <v>15.38</v>
      </c>
      <c r="ILW162" s="371" t="e">
        <f>ILT162*ILU162*ILV162</f>
        <v>#DIV/0!</v>
      </c>
      <c r="ILX162" s="367" t="s">
        <v>206</v>
      </c>
      <c r="ILY162" s="367"/>
      <c r="ILZ162" s="367"/>
      <c r="IMA162" s="368" t="s">
        <v>168</v>
      </c>
      <c r="IMB162" s="369">
        <v>0.5</v>
      </c>
      <c r="IMC162" s="370" t="e">
        <f>10/ILY160</f>
        <v>#DIV/0!</v>
      </c>
      <c r="IMD162" s="371">
        <v>15.38</v>
      </c>
      <c r="IME162" s="371" t="e">
        <f>IMB162*IMC162*IMD162</f>
        <v>#DIV/0!</v>
      </c>
      <c r="IMF162" s="367" t="s">
        <v>206</v>
      </c>
      <c r="IMG162" s="367"/>
      <c r="IMH162" s="367"/>
      <c r="IMI162" s="368" t="s">
        <v>168</v>
      </c>
      <c r="IMJ162" s="369">
        <v>0.5</v>
      </c>
      <c r="IMK162" s="370" t="e">
        <f>10/IMG160</f>
        <v>#DIV/0!</v>
      </c>
      <c r="IML162" s="371">
        <v>15.38</v>
      </c>
      <c r="IMM162" s="371" t="e">
        <f>IMJ162*IMK162*IML162</f>
        <v>#DIV/0!</v>
      </c>
      <c r="IMN162" s="367" t="s">
        <v>206</v>
      </c>
      <c r="IMO162" s="367"/>
      <c r="IMP162" s="367"/>
      <c r="IMQ162" s="368" t="s">
        <v>168</v>
      </c>
      <c r="IMR162" s="369">
        <v>0.5</v>
      </c>
      <c r="IMS162" s="370" t="e">
        <f>10/IMO160</f>
        <v>#DIV/0!</v>
      </c>
      <c r="IMT162" s="371">
        <v>15.38</v>
      </c>
      <c r="IMU162" s="371" t="e">
        <f>IMR162*IMS162*IMT162</f>
        <v>#DIV/0!</v>
      </c>
      <c r="IMV162" s="367" t="s">
        <v>206</v>
      </c>
      <c r="IMW162" s="367"/>
      <c r="IMX162" s="367"/>
      <c r="IMY162" s="368" t="s">
        <v>168</v>
      </c>
      <c r="IMZ162" s="369">
        <v>0.5</v>
      </c>
      <c r="INA162" s="370" t="e">
        <f>10/IMW160</f>
        <v>#DIV/0!</v>
      </c>
      <c r="INB162" s="371">
        <v>15.38</v>
      </c>
      <c r="INC162" s="371" t="e">
        <f>IMZ162*INA162*INB162</f>
        <v>#DIV/0!</v>
      </c>
      <c r="IND162" s="367" t="s">
        <v>206</v>
      </c>
      <c r="INE162" s="367"/>
      <c r="INF162" s="367"/>
      <c r="ING162" s="368" t="s">
        <v>168</v>
      </c>
      <c r="INH162" s="369">
        <v>0.5</v>
      </c>
      <c r="INI162" s="370" t="e">
        <f>10/INE160</f>
        <v>#DIV/0!</v>
      </c>
      <c r="INJ162" s="371">
        <v>15.38</v>
      </c>
      <c r="INK162" s="371" t="e">
        <f>INH162*INI162*INJ162</f>
        <v>#DIV/0!</v>
      </c>
      <c r="INL162" s="367" t="s">
        <v>206</v>
      </c>
      <c r="INM162" s="367"/>
      <c r="INN162" s="367"/>
      <c r="INO162" s="368" t="s">
        <v>168</v>
      </c>
      <c r="INP162" s="369">
        <v>0.5</v>
      </c>
      <c r="INQ162" s="370" t="e">
        <f>10/INM160</f>
        <v>#DIV/0!</v>
      </c>
      <c r="INR162" s="371">
        <v>15.38</v>
      </c>
      <c r="INS162" s="371" t="e">
        <f>INP162*INQ162*INR162</f>
        <v>#DIV/0!</v>
      </c>
      <c r="INT162" s="367" t="s">
        <v>206</v>
      </c>
      <c r="INU162" s="367"/>
      <c r="INV162" s="367"/>
      <c r="INW162" s="368" t="s">
        <v>168</v>
      </c>
      <c r="INX162" s="369">
        <v>0.5</v>
      </c>
      <c r="INY162" s="370" t="e">
        <f>10/INU160</f>
        <v>#DIV/0!</v>
      </c>
      <c r="INZ162" s="371">
        <v>15.38</v>
      </c>
      <c r="IOA162" s="371" t="e">
        <f>INX162*INY162*INZ162</f>
        <v>#DIV/0!</v>
      </c>
      <c r="IOB162" s="367" t="s">
        <v>206</v>
      </c>
      <c r="IOC162" s="367"/>
      <c r="IOD162" s="367"/>
      <c r="IOE162" s="368" t="s">
        <v>168</v>
      </c>
      <c r="IOF162" s="369">
        <v>0.5</v>
      </c>
      <c r="IOG162" s="370" t="e">
        <f>10/IOC160</f>
        <v>#DIV/0!</v>
      </c>
      <c r="IOH162" s="371">
        <v>15.38</v>
      </c>
      <c r="IOI162" s="371" t="e">
        <f>IOF162*IOG162*IOH162</f>
        <v>#DIV/0!</v>
      </c>
      <c r="IOJ162" s="367" t="s">
        <v>206</v>
      </c>
      <c r="IOK162" s="367"/>
      <c r="IOL162" s="367"/>
      <c r="IOM162" s="368" t="s">
        <v>168</v>
      </c>
      <c r="ION162" s="369">
        <v>0.5</v>
      </c>
      <c r="IOO162" s="370" t="e">
        <f>10/IOK160</f>
        <v>#DIV/0!</v>
      </c>
      <c r="IOP162" s="371">
        <v>15.38</v>
      </c>
      <c r="IOQ162" s="371" t="e">
        <f>ION162*IOO162*IOP162</f>
        <v>#DIV/0!</v>
      </c>
      <c r="IOR162" s="367" t="s">
        <v>206</v>
      </c>
      <c r="IOS162" s="367"/>
      <c r="IOT162" s="367"/>
      <c r="IOU162" s="368" t="s">
        <v>168</v>
      </c>
      <c r="IOV162" s="369">
        <v>0.5</v>
      </c>
      <c r="IOW162" s="370" t="e">
        <f>10/IOS160</f>
        <v>#DIV/0!</v>
      </c>
      <c r="IOX162" s="371">
        <v>15.38</v>
      </c>
      <c r="IOY162" s="371" t="e">
        <f>IOV162*IOW162*IOX162</f>
        <v>#DIV/0!</v>
      </c>
      <c r="IOZ162" s="367" t="s">
        <v>206</v>
      </c>
      <c r="IPA162" s="367"/>
      <c r="IPB162" s="367"/>
      <c r="IPC162" s="368" t="s">
        <v>168</v>
      </c>
      <c r="IPD162" s="369">
        <v>0.5</v>
      </c>
      <c r="IPE162" s="370" t="e">
        <f>10/IPA160</f>
        <v>#DIV/0!</v>
      </c>
      <c r="IPF162" s="371">
        <v>15.38</v>
      </c>
      <c r="IPG162" s="371" t="e">
        <f>IPD162*IPE162*IPF162</f>
        <v>#DIV/0!</v>
      </c>
      <c r="IPH162" s="367" t="s">
        <v>206</v>
      </c>
      <c r="IPI162" s="367"/>
      <c r="IPJ162" s="367"/>
      <c r="IPK162" s="368" t="s">
        <v>168</v>
      </c>
      <c r="IPL162" s="369">
        <v>0.5</v>
      </c>
      <c r="IPM162" s="370" t="e">
        <f>10/IPI160</f>
        <v>#DIV/0!</v>
      </c>
      <c r="IPN162" s="371">
        <v>15.38</v>
      </c>
      <c r="IPO162" s="371" t="e">
        <f>IPL162*IPM162*IPN162</f>
        <v>#DIV/0!</v>
      </c>
      <c r="IPP162" s="367" t="s">
        <v>206</v>
      </c>
      <c r="IPQ162" s="367"/>
      <c r="IPR162" s="367"/>
      <c r="IPS162" s="368" t="s">
        <v>168</v>
      </c>
      <c r="IPT162" s="369">
        <v>0.5</v>
      </c>
      <c r="IPU162" s="370" t="e">
        <f>10/IPQ160</f>
        <v>#DIV/0!</v>
      </c>
      <c r="IPV162" s="371">
        <v>15.38</v>
      </c>
      <c r="IPW162" s="371" t="e">
        <f>IPT162*IPU162*IPV162</f>
        <v>#DIV/0!</v>
      </c>
      <c r="IPX162" s="367" t="s">
        <v>206</v>
      </c>
      <c r="IPY162" s="367"/>
      <c r="IPZ162" s="367"/>
      <c r="IQA162" s="368" t="s">
        <v>168</v>
      </c>
      <c r="IQB162" s="369">
        <v>0.5</v>
      </c>
      <c r="IQC162" s="370" t="e">
        <f>10/IPY160</f>
        <v>#DIV/0!</v>
      </c>
      <c r="IQD162" s="371">
        <v>15.38</v>
      </c>
      <c r="IQE162" s="371" t="e">
        <f>IQB162*IQC162*IQD162</f>
        <v>#DIV/0!</v>
      </c>
      <c r="IQF162" s="367" t="s">
        <v>206</v>
      </c>
      <c r="IQG162" s="367"/>
      <c r="IQH162" s="367"/>
      <c r="IQI162" s="368" t="s">
        <v>168</v>
      </c>
      <c r="IQJ162" s="369">
        <v>0.5</v>
      </c>
      <c r="IQK162" s="370" t="e">
        <f>10/IQG160</f>
        <v>#DIV/0!</v>
      </c>
      <c r="IQL162" s="371">
        <v>15.38</v>
      </c>
      <c r="IQM162" s="371" t="e">
        <f>IQJ162*IQK162*IQL162</f>
        <v>#DIV/0!</v>
      </c>
      <c r="IQN162" s="367" t="s">
        <v>206</v>
      </c>
      <c r="IQO162" s="367"/>
      <c r="IQP162" s="367"/>
      <c r="IQQ162" s="368" t="s">
        <v>168</v>
      </c>
      <c r="IQR162" s="369">
        <v>0.5</v>
      </c>
      <c r="IQS162" s="370" t="e">
        <f>10/IQO160</f>
        <v>#DIV/0!</v>
      </c>
      <c r="IQT162" s="371">
        <v>15.38</v>
      </c>
      <c r="IQU162" s="371" t="e">
        <f>IQR162*IQS162*IQT162</f>
        <v>#DIV/0!</v>
      </c>
      <c r="IQV162" s="367" t="s">
        <v>206</v>
      </c>
      <c r="IQW162" s="367"/>
      <c r="IQX162" s="367"/>
      <c r="IQY162" s="368" t="s">
        <v>168</v>
      </c>
      <c r="IQZ162" s="369">
        <v>0.5</v>
      </c>
      <c r="IRA162" s="370" t="e">
        <f>10/IQW160</f>
        <v>#DIV/0!</v>
      </c>
      <c r="IRB162" s="371">
        <v>15.38</v>
      </c>
      <c r="IRC162" s="371" t="e">
        <f>IQZ162*IRA162*IRB162</f>
        <v>#DIV/0!</v>
      </c>
      <c r="IRD162" s="367" t="s">
        <v>206</v>
      </c>
      <c r="IRE162" s="367"/>
      <c r="IRF162" s="367"/>
      <c r="IRG162" s="368" t="s">
        <v>168</v>
      </c>
      <c r="IRH162" s="369">
        <v>0.5</v>
      </c>
      <c r="IRI162" s="370" t="e">
        <f>10/IRE160</f>
        <v>#DIV/0!</v>
      </c>
      <c r="IRJ162" s="371">
        <v>15.38</v>
      </c>
      <c r="IRK162" s="371" t="e">
        <f>IRH162*IRI162*IRJ162</f>
        <v>#DIV/0!</v>
      </c>
      <c r="IRL162" s="367" t="s">
        <v>206</v>
      </c>
      <c r="IRM162" s="367"/>
      <c r="IRN162" s="367"/>
      <c r="IRO162" s="368" t="s">
        <v>168</v>
      </c>
      <c r="IRP162" s="369">
        <v>0.5</v>
      </c>
      <c r="IRQ162" s="370" t="e">
        <f>10/IRM160</f>
        <v>#DIV/0!</v>
      </c>
      <c r="IRR162" s="371">
        <v>15.38</v>
      </c>
      <c r="IRS162" s="371" t="e">
        <f>IRP162*IRQ162*IRR162</f>
        <v>#DIV/0!</v>
      </c>
      <c r="IRT162" s="367" t="s">
        <v>206</v>
      </c>
      <c r="IRU162" s="367"/>
      <c r="IRV162" s="367"/>
      <c r="IRW162" s="368" t="s">
        <v>168</v>
      </c>
      <c r="IRX162" s="369">
        <v>0.5</v>
      </c>
      <c r="IRY162" s="370" t="e">
        <f>10/IRU160</f>
        <v>#DIV/0!</v>
      </c>
      <c r="IRZ162" s="371">
        <v>15.38</v>
      </c>
      <c r="ISA162" s="371" t="e">
        <f>IRX162*IRY162*IRZ162</f>
        <v>#DIV/0!</v>
      </c>
      <c r="ISB162" s="367" t="s">
        <v>206</v>
      </c>
      <c r="ISC162" s="367"/>
      <c r="ISD162" s="367"/>
      <c r="ISE162" s="368" t="s">
        <v>168</v>
      </c>
      <c r="ISF162" s="369">
        <v>0.5</v>
      </c>
      <c r="ISG162" s="370" t="e">
        <f>10/ISC160</f>
        <v>#DIV/0!</v>
      </c>
      <c r="ISH162" s="371">
        <v>15.38</v>
      </c>
      <c r="ISI162" s="371" t="e">
        <f>ISF162*ISG162*ISH162</f>
        <v>#DIV/0!</v>
      </c>
      <c r="ISJ162" s="367" t="s">
        <v>206</v>
      </c>
      <c r="ISK162" s="367"/>
      <c r="ISL162" s="367"/>
      <c r="ISM162" s="368" t="s">
        <v>168</v>
      </c>
      <c r="ISN162" s="369">
        <v>0.5</v>
      </c>
      <c r="ISO162" s="370" t="e">
        <f>10/ISK160</f>
        <v>#DIV/0!</v>
      </c>
      <c r="ISP162" s="371">
        <v>15.38</v>
      </c>
      <c r="ISQ162" s="371" t="e">
        <f>ISN162*ISO162*ISP162</f>
        <v>#DIV/0!</v>
      </c>
      <c r="ISR162" s="367" t="s">
        <v>206</v>
      </c>
      <c r="ISS162" s="367"/>
      <c r="IST162" s="367"/>
      <c r="ISU162" s="368" t="s">
        <v>168</v>
      </c>
      <c r="ISV162" s="369">
        <v>0.5</v>
      </c>
      <c r="ISW162" s="370" t="e">
        <f>10/ISS160</f>
        <v>#DIV/0!</v>
      </c>
      <c r="ISX162" s="371">
        <v>15.38</v>
      </c>
      <c r="ISY162" s="371" t="e">
        <f>ISV162*ISW162*ISX162</f>
        <v>#DIV/0!</v>
      </c>
      <c r="ISZ162" s="367" t="s">
        <v>206</v>
      </c>
      <c r="ITA162" s="367"/>
      <c r="ITB162" s="367"/>
      <c r="ITC162" s="368" t="s">
        <v>168</v>
      </c>
      <c r="ITD162" s="369">
        <v>0.5</v>
      </c>
      <c r="ITE162" s="370" t="e">
        <f>10/ITA160</f>
        <v>#DIV/0!</v>
      </c>
      <c r="ITF162" s="371">
        <v>15.38</v>
      </c>
      <c r="ITG162" s="371" t="e">
        <f>ITD162*ITE162*ITF162</f>
        <v>#DIV/0!</v>
      </c>
      <c r="ITH162" s="367" t="s">
        <v>206</v>
      </c>
      <c r="ITI162" s="367"/>
      <c r="ITJ162" s="367"/>
      <c r="ITK162" s="368" t="s">
        <v>168</v>
      </c>
      <c r="ITL162" s="369">
        <v>0.5</v>
      </c>
      <c r="ITM162" s="370" t="e">
        <f>10/ITI160</f>
        <v>#DIV/0!</v>
      </c>
      <c r="ITN162" s="371">
        <v>15.38</v>
      </c>
      <c r="ITO162" s="371" t="e">
        <f>ITL162*ITM162*ITN162</f>
        <v>#DIV/0!</v>
      </c>
      <c r="ITP162" s="367" t="s">
        <v>206</v>
      </c>
      <c r="ITQ162" s="367"/>
      <c r="ITR162" s="367"/>
      <c r="ITS162" s="368" t="s">
        <v>168</v>
      </c>
      <c r="ITT162" s="369">
        <v>0.5</v>
      </c>
      <c r="ITU162" s="370" t="e">
        <f>10/ITQ160</f>
        <v>#DIV/0!</v>
      </c>
      <c r="ITV162" s="371">
        <v>15.38</v>
      </c>
      <c r="ITW162" s="371" t="e">
        <f>ITT162*ITU162*ITV162</f>
        <v>#DIV/0!</v>
      </c>
      <c r="ITX162" s="367" t="s">
        <v>206</v>
      </c>
      <c r="ITY162" s="367"/>
      <c r="ITZ162" s="367"/>
      <c r="IUA162" s="368" t="s">
        <v>168</v>
      </c>
      <c r="IUB162" s="369">
        <v>0.5</v>
      </c>
      <c r="IUC162" s="370" t="e">
        <f>10/ITY160</f>
        <v>#DIV/0!</v>
      </c>
      <c r="IUD162" s="371">
        <v>15.38</v>
      </c>
      <c r="IUE162" s="371" t="e">
        <f>IUB162*IUC162*IUD162</f>
        <v>#DIV/0!</v>
      </c>
      <c r="IUF162" s="367" t="s">
        <v>206</v>
      </c>
      <c r="IUG162" s="367"/>
      <c r="IUH162" s="367"/>
      <c r="IUI162" s="368" t="s">
        <v>168</v>
      </c>
      <c r="IUJ162" s="369">
        <v>0.5</v>
      </c>
      <c r="IUK162" s="370" t="e">
        <f>10/IUG160</f>
        <v>#DIV/0!</v>
      </c>
      <c r="IUL162" s="371">
        <v>15.38</v>
      </c>
      <c r="IUM162" s="371" t="e">
        <f>IUJ162*IUK162*IUL162</f>
        <v>#DIV/0!</v>
      </c>
      <c r="IUN162" s="367" t="s">
        <v>206</v>
      </c>
      <c r="IUO162" s="367"/>
      <c r="IUP162" s="367"/>
      <c r="IUQ162" s="368" t="s">
        <v>168</v>
      </c>
      <c r="IUR162" s="369">
        <v>0.5</v>
      </c>
      <c r="IUS162" s="370" t="e">
        <f>10/IUO160</f>
        <v>#DIV/0!</v>
      </c>
      <c r="IUT162" s="371">
        <v>15.38</v>
      </c>
      <c r="IUU162" s="371" t="e">
        <f>IUR162*IUS162*IUT162</f>
        <v>#DIV/0!</v>
      </c>
      <c r="IUV162" s="367" t="s">
        <v>206</v>
      </c>
      <c r="IUW162" s="367"/>
      <c r="IUX162" s="367"/>
      <c r="IUY162" s="368" t="s">
        <v>168</v>
      </c>
      <c r="IUZ162" s="369">
        <v>0.5</v>
      </c>
      <c r="IVA162" s="370" t="e">
        <f>10/IUW160</f>
        <v>#DIV/0!</v>
      </c>
      <c r="IVB162" s="371">
        <v>15.38</v>
      </c>
      <c r="IVC162" s="371" t="e">
        <f>IUZ162*IVA162*IVB162</f>
        <v>#DIV/0!</v>
      </c>
      <c r="IVD162" s="367" t="s">
        <v>206</v>
      </c>
      <c r="IVE162" s="367"/>
      <c r="IVF162" s="367"/>
      <c r="IVG162" s="368" t="s">
        <v>168</v>
      </c>
      <c r="IVH162" s="369">
        <v>0.5</v>
      </c>
      <c r="IVI162" s="370" t="e">
        <f>10/IVE160</f>
        <v>#DIV/0!</v>
      </c>
      <c r="IVJ162" s="371">
        <v>15.38</v>
      </c>
      <c r="IVK162" s="371" t="e">
        <f>IVH162*IVI162*IVJ162</f>
        <v>#DIV/0!</v>
      </c>
      <c r="IVL162" s="367" t="s">
        <v>206</v>
      </c>
      <c r="IVM162" s="367"/>
      <c r="IVN162" s="367"/>
      <c r="IVO162" s="368" t="s">
        <v>168</v>
      </c>
      <c r="IVP162" s="369">
        <v>0.5</v>
      </c>
      <c r="IVQ162" s="370" t="e">
        <f>10/IVM160</f>
        <v>#DIV/0!</v>
      </c>
      <c r="IVR162" s="371">
        <v>15.38</v>
      </c>
      <c r="IVS162" s="371" t="e">
        <f>IVP162*IVQ162*IVR162</f>
        <v>#DIV/0!</v>
      </c>
      <c r="IVT162" s="367" t="s">
        <v>206</v>
      </c>
      <c r="IVU162" s="367"/>
      <c r="IVV162" s="367"/>
      <c r="IVW162" s="368" t="s">
        <v>168</v>
      </c>
      <c r="IVX162" s="369">
        <v>0.5</v>
      </c>
      <c r="IVY162" s="370" t="e">
        <f>10/IVU160</f>
        <v>#DIV/0!</v>
      </c>
      <c r="IVZ162" s="371">
        <v>15.38</v>
      </c>
      <c r="IWA162" s="371" t="e">
        <f>IVX162*IVY162*IVZ162</f>
        <v>#DIV/0!</v>
      </c>
      <c r="IWB162" s="367" t="s">
        <v>206</v>
      </c>
      <c r="IWC162" s="367"/>
      <c r="IWD162" s="367"/>
      <c r="IWE162" s="368" t="s">
        <v>168</v>
      </c>
      <c r="IWF162" s="369">
        <v>0.5</v>
      </c>
      <c r="IWG162" s="370" t="e">
        <f>10/IWC160</f>
        <v>#DIV/0!</v>
      </c>
      <c r="IWH162" s="371">
        <v>15.38</v>
      </c>
      <c r="IWI162" s="371" t="e">
        <f>IWF162*IWG162*IWH162</f>
        <v>#DIV/0!</v>
      </c>
      <c r="IWJ162" s="367" t="s">
        <v>206</v>
      </c>
      <c r="IWK162" s="367"/>
      <c r="IWL162" s="367"/>
      <c r="IWM162" s="368" t="s">
        <v>168</v>
      </c>
      <c r="IWN162" s="369">
        <v>0.5</v>
      </c>
      <c r="IWO162" s="370" t="e">
        <f>10/IWK160</f>
        <v>#DIV/0!</v>
      </c>
      <c r="IWP162" s="371">
        <v>15.38</v>
      </c>
      <c r="IWQ162" s="371" t="e">
        <f>IWN162*IWO162*IWP162</f>
        <v>#DIV/0!</v>
      </c>
      <c r="IWR162" s="367" t="s">
        <v>206</v>
      </c>
      <c r="IWS162" s="367"/>
      <c r="IWT162" s="367"/>
      <c r="IWU162" s="368" t="s">
        <v>168</v>
      </c>
      <c r="IWV162" s="369">
        <v>0.5</v>
      </c>
      <c r="IWW162" s="370" t="e">
        <f>10/IWS160</f>
        <v>#DIV/0!</v>
      </c>
      <c r="IWX162" s="371">
        <v>15.38</v>
      </c>
      <c r="IWY162" s="371" t="e">
        <f>IWV162*IWW162*IWX162</f>
        <v>#DIV/0!</v>
      </c>
      <c r="IWZ162" s="367" t="s">
        <v>206</v>
      </c>
      <c r="IXA162" s="367"/>
      <c r="IXB162" s="367"/>
      <c r="IXC162" s="368" t="s">
        <v>168</v>
      </c>
      <c r="IXD162" s="369">
        <v>0.5</v>
      </c>
      <c r="IXE162" s="370" t="e">
        <f>10/IXA160</f>
        <v>#DIV/0!</v>
      </c>
      <c r="IXF162" s="371">
        <v>15.38</v>
      </c>
      <c r="IXG162" s="371" t="e">
        <f>IXD162*IXE162*IXF162</f>
        <v>#DIV/0!</v>
      </c>
      <c r="IXH162" s="367" t="s">
        <v>206</v>
      </c>
      <c r="IXI162" s="367"/>
      <c r="IXJ162" s="367"/>
      <c r="IXK162" s="368" t="s">
        <v>168</v>
      </c>
      <c r="IXL162" s="369">
        <v>0.5</v>
      </c>
      <c r="IXM162" s="370" t="e">
        <f>10/IXI160</f>
        <v>#DIV/0!</v>
      </c>
      <c r="IXN162" s="371">
        <v>15.38</v>
      </c>
      <c r="IXO162" s="371" t="e">
        <f>IXL162*IXM162*IXN162</f>
        <v>#DIV/0!</v>
      </c>
      <c r="IXP162" s="367" t="s">
        <v>206</v>
      </c>
      <c r="IXQ162" s="367"/>
      <c r="IXR162" s="367"/>
      <c r="IXS162" s="368" t="s">
        <v>168</v>
      </c>
      <c r="IXT162" s="369">
        <v>0.5</v>
      </c>
      <c r="IXU162" s="370" t="e">
        <f>10/IXQ160</f>
        <v>#DIV/0!</v>
      </c>
      <c r="IXV162" s="371">
        <v>15.38</v>
      </c>
      <c r="IXW162" s="371" t="e">
        <f>IXT162*IXU162*IXV162</f>
        <v>#DIV/0!</v>
      </c>
      <c r="IXX162" s="367" t="s">
        <v>206</v>
      </c>
      <c r="IXY162" s="367"/>
      <c r="IXZ162" s="367"/>
      <c r="IYA162" s="368" t="s">
        <v>168</v>
      </c>
      <c r="IYB162" s="369">
        <v>0.5</v>
      </c>
      <c r="IYC162" s="370" t="e">
        <f>10/IXY160</f>
        <v>#DIV/0!</v>
      </c>
      <c r="IYD162" s="371">
        <v>15.38</v>
      </c>
      <c r="IYE162" s="371" t="e">
        <f>IYB162*IYC162*IYD162</f>
        <v>#DIV/0!</v>
      </c>
      <c r="IYF162" s="367" t="s">
        <v>206</v>
      </c>
      <c r="IYG162" s="367"/>
      <c r="IYH162" s="367"/>
      <c r="IYI162" s="368" t="s">
        <v>168</v>
      </c>
      <c r="IYJ162" s="369">
        <v>0.5</v>
      </c>
      <c r="IYK162" s="370" t="e">
        <f>10/IYG160</f>
        <v>#DIV/0!</v>
      </c>
      <c r="IYL162" s="371">
        <v>15.38</v>
      </c>
      <c r="IYM162" s="371" t="e">
        <f>IYJ162*IYK162*IYL162</f>
        <v>#DIV/0!</v>
      </c>
      <c r="IYN162" s="367" t="s">
        <v>206</v>
      </c>
      <c r="IYO162" s="367"/>
      <c r="IYP162" s="367"/>
      <c r="IYQ162" s="368" t="s">
        <v>168</v>
      </c>
      <c r="IYR162" s="369">
        <v>0.5</v>
      </c>
      <c r="IYS162" s="370" t="e">
        <f>10/IYO160</f>
        <v>#DIV/0!</v>
      </c>
      <c r="IYT162" s="371">
        <v>15.38</v>
      </c>
      <c r="IYU162" s="371" t="e">
        <f>IYR162*IYS162*IYT162</f>
        <v>#DIV/0!</v>
      </c>
      <c r="IYV162" s="367" t="s">
        <v>206</v>
      </c>
      <c r="IYW162" s="367"/>
      <c r="IYX162" s="367"/>
      <c r="IYY162" s="368" t="s">
        <v>168</v>
      </c>
      <c r="IYZ162" s="369">
        <v>0.5</v>
      </c>
      <c r="IZA162" s="370" t="e">
        <f>10/IYW160</f>
        <v>#DIV/0!</v>
      </c>
      <c r="IZB162" s="371">
        <v>15.38</v>
      </c>
      <c r="IZC162" s="371" t="e">
        <f>IYZ162*IZA162*IZB162</f>
        <v>#DIV/0!</v>
      </c>
      <c r="IZD162" s="367" t="s">
        <v>206</v>
      </c>
      <c r="IZE162" s="367"/>
      <c r="IZF162" s="367"/>
      <c r="IZG162" s="368" t="s">
        <v>168</v>
      </c>
      <c r="IZH162" s="369">
        <v>0.5</v>
      </c>
      <c r="IZI162" s="370" t="e">
        <f>10/IZE160</f>
        <v>#DIV/0!</v>
      </c>
      <c r="IZJ162" s="371">
        <v>15.38</v>
      </c>
      <c r="IZK162" s="371" t="e">
        <f>IZH162*IZI162*IZJ162</f>
        <v>#DIV/0!</v>
      </c>
      <c r="IZL162" s="367" t="s">
        <v>206</v>
      </c>
      <c r="IZM162" s="367"/>
      <c r="IZN162" s="367"/>
      <c r="IZO162" s="368" t="s">
        <v>168</v>
      </c>
      <c r="IZP162" s="369">
        <v>0.5</v>
      </c>
      <c r="IZQ162" s="370" t="e">
        <f>10/IZM160</f>
        <v>#DIV/0!</v>
      </c>
      <c r="IZR162" s="371">
        <v>15.38</v>
      </c>
      <c r="IZS162" s="371" t="e">
        <f>IZP162*IZQ162*IZR162</f>
        <v>#DIV/0!</v>
      </c>
      <c r="IZT162" s="367" t="s">
        <v>206</v>
      </c>
      <c r="IZU162" s="367"/>
      <c r="IZV162" s="367"/>
      <c r="IZW162" s="368" t="s">
        <v>168</v>
      </c>
      <c r="IZX162" s="369">
        <v>0.5</v>
      </c>
      <c r="IZY162" s="370" t="e">
        <f>10/IZU160</f>
        <v>#DIV/0!</v>
      </c>
      <c r="IZZ162" s="371">
        <v>15.38</v>
      </c>
      <c r="JAA162" s="371" t="e">
        <f>IZX162*IZY162*IZZ162</f>
        <v>#DIV/0!</v>
      </c>
      <c r="JAB162" s="367" t="s">
        <v>206</v>
      </c>
      <c r="JAC162" s="367"/>
      <c r="JAD162" s="367"/>
      <c r="JAE162" s="368" t="s">
        <v>168</v>
      </c>
      <c r="JAF162" s="369">
        <v>0.5</v>
      </c>
      <c r="JAG162" s="370" t="e">
        <f>10/JAC160</f>
        <v>#DIV/0!</v>
      </c>
      <c r="JAH162" s="371">
        <v>15.38</v>
      </c>
      <c r="JAI162" s="371" t="e">
        <f>JAF162*JAG162*JAH162</f>
        <v>#DIV/0!</v>
      </c>
      <c r="JAJ162" s="367" t="s">
        <v>206</v>
      </c>
      <c r="JAK162" s="367"/>
      <c r="JAL162" s="367"/>
      <c r="JAM162" s="368" t="s">
        <v>168</v>
      </c>
      <c r="JAN162" s="369">
        <v>0.5</v>
      </c>
      <c r="JAO162" s="370" t="e">
        <f>10/JAK160</f>
        <v>#DIV/0!</v>
      </c>
      <c r="JAP162" s="371">
        <v>15.38</v>
      </c>
      <c r="JAQ162" s="371" t="e">
        <f>JAN162*JAO162*JAP162</f>
        <v>#DIV/0!</v>
      </c>
      <c r="JAR162" s="367" t="s">
        <v>206</v>
      </c>
      <c r="JAS162" s="367"/>
      <c r="JAT162" s="367"/>
      <c r="JAU162" s="368" t="s">
        <v>168</v>
      </c>
      <c r="JAV162" s="369">
        <v>0.5</v>
      </c>
      <c r="JAW162" s="370" t="e">
        <f>10/JAS160</f>
        <v>#DIV/0!</v>
      </c>
      <c r="JAX162" s="371">
        <v>15.38</v>
      </c>
      <c r="JAY162" s="371" t="e">
        <f>JAV162*JAW162*JAX162</f>
        <v>#DIV/0!</v>
      </c>
      <c r="JAZ162" s="367" t="s">
        <v>206</v>
      </c>
      <c r="JBA162" s="367"/>
      <c r="JBB162" s="367"/>
      <c r="JBC162" s="368" t="s">
        <v>168</v>
      </c>
      <c r="JBD162" s="369">
        <v>0.5</v>
      </c>
      <c r="JBE162" s="370" t="e">
        <f>10/JBA160</f>
        <v>#DIV/0!</v>
      </c>
      <c r="JBF162" s="371">
        <v>15.38</v>
      </c>
      <c r="JBG162" s="371" t="e">
        <f>JBD162*JBE162*JBF162</f>
        <v>#DIV/0!</v>
      </c>
      <c r="JBH162" s="367" t="s">
        <v>206</v>
      </c>
      <c r="JBI162" s="367"/>
      <c r="JBJ162" s="367"/>
      <c r="JBK162" s="368" t="s">
        <v>168</v>
      </c>
      <c r="JBL162" s="369">
        <v>0.5</v>
      </c>
      <c r="JBM162" s="370" t="e">
        <f>10/JBI160</f>
        <v>#DIV/0!</v>
      </c>
      <c r="JBN162" s="371">
        <v>15.38</v>
      </c>
      <c r="JBO162" s="371" t="e">
        <f>JBL162*JBM162*JBN162</f>
        <v>#DIV/0!</v>
      </c>
      <c r="JBP162" s="367" t="s">
        <v>206</v>
      </c>
      <c r="JBQ162" s="367"/>
      <c r="JBR162" s="367"/>
      <c r="JBS162" s="368" t="s">
        <v>168</v>
      </c>
      <c r="JBT162" s="369">
        <v>0.5</v>
      </c>
      <c r="JBU162" s="370" t="e">
        <f>10/JBQ160</f>
        <v>#DIV/0!</v>
      </c>
      <c r="JBV162" s="371">
        <v>15.38</v>
      </c>
      <c r="JBW162" s="371" t="e">
        <f>JBT162*JBU162*JBV162</f>
        <v>#DIV/0!</v>
      </c>
      <c r="JBX162" s="367" t="s">
        <v>206</v>
      </c>
      <c r="JBY162" s="367"/>
      <c r="JBZ162" s="367"/>
      <c r="JCA162" s="368" t="s">
        <v>168</v>
      </c>
      <c r="JCB162" s="369">
        <v>0.5</v>
      </c>
      <c r="JCC162" s="370" t="e">
        <f>10/JBY160</f>
        <v>#DIV/0!</v>
      </c>
      <c r="JCD162" s="371">
        <v>15.38</v>
      </c>
      <c r="JCE162" s="371" t="e">
        <f>JCB162*JCC162*JCD162</f>
        <v>#DIV/0!</v>
      </c>
      <c r="JCF162" s="367" t="s">
        <v>206</v>
      </c>
      <c r="JCG162" s="367"/>
      <c r="JCH162" s="367"/>
      <c r="JCI162" s="368" t="s">
        <v>168</v>
      </c>
      <c r="JCJ162" s="369">
        <v>0.5</v>
      </c>
      <c r="JCK162" s="370" t="e">
        <f>10/JCG160</f>
        <v>#DIV/0!</v>
      </c>
      <c r="JCL162" s="371">
        <v>15.38</v>
      </c>
      <c r="JCM162" s="371" t="e">
        <f>JCJ162*JCK162*JCL162</f>
        <v>#DIV/0!</v>
      </c>
      <c r="JCN162" s="367" t="s">
        <v>206</v>
      </c>
      <c r="JCO162" s="367"/>
      <c r="JCP162" s="367"/>
      <c r="JCQ162" s="368" t="s">
        <v>168</v>
      </c>
      <c r="JCR162" s="369">
        <v>0.5</v>
      </c>
      <c r="JCS162" s="370" t="e">
        <f>10/JCO160</f>
        <v>#DIV/0!</v>
      </c>
      <c r="JCT162" s="371">
        <v>15.38</v>
      </c>
      <c r="JCU162" s="371" t="e">
        <f>JCR162*JCS162*JCT162</f>
        <v>#DIV/0!</v>
      </c>
      <c r="JCV162" s="367" t="s">
        <v>206</v>
      </c>
      <c r="JCW162" s="367"/>
      <c r="JCX162" s="367"/>
      <c r="JCY162" s="368" t="s">
        <v>168</v>
      </c>
      <c r="JCZ162" s="369">
        <v>0.5</v>
      </c>
      <c r="JDA162" s="370" t="e">
        <f>10/JCW160</f>
        <v>#DIV/0!</v>
      </c>
      <c r="JDB162" s="371">
        <v>15.38</v>
      </c>
      <c r="JDC162" s="371" t="e">
        <f>JCZ162*JDA162*JDB162</f>
        <v>#DIV/0!</v>
      </c>
      <c r="JDD162" s="367" t="s">
        <v>206</v>
      </c>
      <c r="JDE162" s="367"/>
      <c r="JDF162" s="367"/>
      <c r="JDG162" s="368" t="s">
        <v>168</v>
      </c>
      <c r="JDH162" s="369">
        <v>0.5</v>
      </c>
      <c r="JDI162" s="370" t="e">
        <f>10/JDE160</f>
        <v>#DIV/0!</v>
      </c>
      <c r="JDJ162" s="371">
        <v>15.38</v>
      </c>
      <c r="JDK162" s="371" t="e">
        <f>JDH162*JDI162*JDJ162</f>
        <v>#DIV/0!</v>
      </c>
      <c r="JDL162" s="367" t="s">
        <v>206</v>
      </c>
      <c r="JDM162" s="367"/>
      <c r="JDN162" s="367"/>
      <c r="JDO162" s="368" t="s">
        <v>168</v>
      </c>
      <c r="JDP162" s="369">
        <v>0.5</v>
      </c>
      <c r="JDQ162" s="370" t="e">
        <f>10/JDM160</f>
        <v>#DIV/0!</v>
      </c>
      <c r="JDR162" s="371">
        <v>15.38</v>
      </c>
      <c r="JDS162" s="371" t="e">
        <f>JDP162*JDQ162*JDR162</f>
        <v>#DIV/0!</v>
      </c>
      <c r="JDT162" s="367" t="s">
        <v>206</v>
      </c>
      <c r="JDU162" s="367"/>
      <c r="JDV162" s="367"/>
      <c r="JDW162" s="368" t="s">
        <v>168</v>
      </c>
      <c r="JDX162" s="369">
        <v>0.5</v>
      </c>
      <c r="JDY162" s="370" t="e">
        <f>10/JDU160</f>
        <v>#DIV/0!</v>
      </c>
      <c r="JDZ162" s="371">
        <v>15.38</v>
      </c>
      <c r="JEA162" s="371" t="e">
        <f>JDX162*JDY162*JDZ162</f>
        <v>#DIV/0!</v>
      </c>
      <c r="JEB162" s="367" t="s">
        <v>206</v>
      </c>
      <c r="JEC162" s="367"/>
      <c r="JED162" s="367"/>
      <c r="JEE162" s="368" t="s">
        <v>168</v>
      </c>
      <c r="JEF162" s="369">
        <v>0.5</v>
      </c>
      <c r="JEG162" s="370" t="e">
        <f>10/JEC160</f>
        <v>#DIV/0!</v>
      </c>
      <c r="JEH162" s="371">
        <v>15.38</v>
      </c>
      <c r="JEI162" s="371" t="e">
        <f>JEF162*JEG162*JEH162</f>
        <v>#DIV/0!</v>
      </c>
      <c r="JEJ162" s="367" t="s">
        <v>206</v>
      </c>
      <c r="JEK162" s="367"/>
      <c r="JEL162" s="367"/>
      <c r="JEM162" s="368" t="s">
        <v>168</v>
      </c>
      <c r="JEN162" s="369">
        <v>0.5</v>
      </c>
      <c r="JEO162" s="370" t="e">
        <f>10/JEK160</f>
        <v>#DIV/0!</v>
      </c>
      <c r="JEP162" s="371">
        <v>15.38</v>
      </c>
      <c r="JEQ162" s="371" t="e">
        <f>JEN162*JEO162*JEP162</f>
        <v>#DIV/0!</v>
      </c>
      <c r="JER162" s="367" t="s">
        <v>206</v>
      </c>
      <c r="JES162" s="367"/>
      <c r="JET162" s="367"/>
      <c r="JEU162" s="368" t="s">
        <v>168</v>
      </c>
      <c r="JEV162" s="369">
        <v>0.5</v>
      </c>
      <c r="JEW162" s="370" t="e">
        <f>10/JES160</f>
        <v>#DIV/0!</v>
      </c>
      <c r="JEX162" s="371">
        <v>15.38</v>
      </c>
      <c r="JEY162" s="371" t="e">
        <f>JEV162*JEW162*JEX162</f>
        <v>#DIV/0!</v>
      </c>
      <c r="JEZ162" s="367" t="s">
        <v>206</v>
      </c>
      <c r="JFA162" s="367"/>
      <c r="JFB162" s="367"/>
      <c r="JFC162" s="368" t="s">
        <v>168</v>
      </c>
      <c r="JFD162" s="369">
        <v>0.5</v>
      </c>
      <c r="JFE162" s="370" t="e">
        <f>10/JFA160</f>
        <v>#DIV/0!</v>
      </c>
      <c r="JFF162" s="371">
        <v>15.38</v>
      </c>
      <c r="JFG162" s="371" t="e">
        <f>JFD162*JFE162*JFF162</f>
        <v>#DIV/0!</v>
      </c>
      <c r="JFH162" s="367" t="s">
        <v>206</v>
      </c>
      <c r="JFI162" s="367"/>
      <c r="JFJ162" s="367"/>
      <c r="JFK162" s="368" t="s">
        <v>168</v>
      </c>
      <c r="JFL162" s="369">
        <v>0.5</v>
      </c>
      <c r="JFM162" s="370" t="e">
        <f>10/JFI160</f>
        <v>#DIV/0!</v>
      </c>
      <c r="JFN162" s="371">
        <v>15.38</v>
      </c>
      <c r="JFO162" s="371" t="e">
        <f>JFL162*JFM162*JFN162</f>
        <v>#DIV/0!</v>
      </c>
      <c r="JFP162" s="367" t="s">
        <v>206</v>
      </c>
      <c r="JFQ162" s="367"/>
      <c r="JFR162" s="367"/>
      <c r="JFS162" s="368" t="s">
        <v>168</v>
      </c>
      <c r="JFT162" s="369">
        <v>0.5</v>
      </c>
      <c r="JFU162" s="370" t="e">
        <f>10/JFQ160</f>
        <v>#DIV/0!</v>
      </c>
      <c r="JFV162" s="371">
        <v>15.38</v>
      </c>
      <c r="JFW162" s="371" t="e">
        <f>JFT162*JFU162*JFV162</f>
        <v>#DIV/0!</v>
      </c>
      <c r="JFX162" s="367" t="s">
        <v>206</v>
      </c>
      <c r="JFY162" s="367"/>
      <c r="JFZ162" s="367"/>
      <c r="JGA162" s="368" t="s">
        <v>168</v>
      </c>
      <c r="JGB162" s="369">
        <v>0.5</v>
      </c>
      <c r="JGC162" s="370" t="e">
        <f>10/JFY160</f>
        <v>#DIV/0!</v>
      </c>
      <c r="JGD162" s="371">
        <v>15.38</v>
      </c>
      <c r="JGE162" s="371" t="e">
        <f>JGB162*JGC162*JGD162</f>
        <v>#DIV/0!</v>
      </c>
      <c r="JGF162" s="367" t="s">
        <v>206</v>
      </c>
      <c r="JGG162" s="367"/>
      <c r="JGH162" s="367"/>
      <c r="JGI162" s="368" t="s">
        <v>168</v>
      </c>
      <c r="JGJ162" s="369">
        <v>0.5</v>
      </c>
      <c r="JGK162" s="370" t="e">
        <f>10/JGG160</f>
        <v>#DIV/0!</v>
      </c>
      <c r="JGL162" s="371">
        <v>15.38</v>
      </c>
      <c r="JGM162" s="371" t="e">
        <f>JGJ162*JGK162*JGL162</f>
        <v>#DIV/0!</v>
      </c>
      <c r="JGN162" s="367" t="s">
        <v>206</v>
      </c>
      <c r="JGO162" s="367"/>
      <c r="JGP162" s="367"/>
      <c r="JGQ162" s="368" t="s">
        <v>168</v>
      </c>
      <c r="JGR162" s="369">
        <v>0.5</v>
      </c>
      <c r="JGS162" s="370" t="e">
        <f>10/JGO160</f>
        <v>#DIV/0!</v>
      </c>
      <c r="JGT162" s="371">
        <v>15.38</v>
      </c>
      <c r="JGU162" s="371" t="e">
        <f>JGR162*JGS162*JGT162</f>
        <v>#DIV/0!</v>
      </c>
      <c r="JGV162" s="367" t="s">
        <v>206</v>
      </c>
      <c r="JGW162" s="367"/>
      <c r="JGX162" s="367"/>
      <c r="JGY162" s="368" t="s">
        <v>168</v>
      </c>
      <c r="JGZ162" s="369">
        <v>0.5</v>
      </c>
      <c r="JHA162" s="370" t="e">
        <f>10/JGW160</f>
        <v>#DIV/0!</v>
      </c>
      <c r="JHB162" s="371">
        <v>15.38</v>
      </c>
      <c r="JHC162" s="371" t="e">
        <f>JGZ162*JHA162*JHB162</f>
        <v>#DIV/0!</v>
      </c>
      <c r="JHD162" s="367" t="s">
        <v>206</v>
      </c>
      <c r="JHE162" s="367"/>
      <c r="JHF162" s="367"/>
      <c r="JHG162" s="368" t="s">
        <v>168</v>
      </c>
      <c r="JHH162" s="369">
        <v>0.5</v>
      </c>
      <c r="JHI162" s="370" t="e">
        <f>10/JHE160</f>
        <v>#DIV/0!</v>
      </c>
      <c r="JHJ162" s="371">
        <v>15.38</v>
      </c>
      <c r="JHK162" s="371" t="e">
        <f>JHH162*JHI162*JHJ162</f>
        <v>#DIV/0!</v>
      </c>
      <c r="JHL162" s="367" t="s">
        <v>206</v>
      </c>
      <c r="JHM162" s="367"/>
      <c r="JHN162" s="367"/>
      <c r="JHO162" s="368" t="s">
        <v>168</v>
      </c>
      <c r="JHP162" s="369">
        <v>0.5</v>
      </c>
      <c r="JHQ162" s="370" t="e">
        <f>10/JHM160</f>
        <v>#DIV/0!</v>
      </c>
      <c r="JHR162" s="371">
        <v>15.38</v>
      </c>
      <c r="JHS162" s="371" t="e">
        <f>JHP162*JHQ162*JHR162</f>
        <v>#DIV/0!</v>
      </c>
      <c r="JHT162" s="367" t="s">
        <v>206</v>
      </c>
      <c r="JHU162" s="367"/>
      <c r="JHV162" s="367"/>
      <c r="JHW162" s="368" t="s">
        <v>168</v>
      </c>
      <c r="JHX162" s="369">
        <v>0.5</v>
      </c>
      <c r="JHY162" s="370" t="e">
        <f>10/JHU160</f>
        <v>#DIV/0!</v>
      </c>
      <c r="JHZ162" s="371">
        <v>15.38</v>
      </c>
      <c r="JIA162" s="371" t="e">
        <f>JHX162*JHY162*JHZ162</f>
        <v>#DIV/0!</v>
      </c>
      <c r="JIB162" s="367" t="s">
        <v>206</v>
      </c>
      <c r="JIC162" s="367"/>
      <c r="JID162" s="367"/>
      <c r="JIE162" s="368" t="s">
        <v>168</v>
      </c>
      <c r="JIF162" s="369">
        <v>0.5</v>
      </c>
      <c r="JIG162" s="370" t="e">
        <f>10/JIC160</f>
        <v>#DIV/0!</v>
      </c>
      <c r="JIH162" s="371">
        <v>15.38</v>
      </c>
      <c r="JII162" s="371" t="e">
        <f>JIF162*JIG162*JIH162</f>
        <v>#DIV/0!</v>
      </c>
      <c r="JIJ162" s="367" t="s">
        <v>206</v>
      </c>
      <c r="JIK162" s="367"/>
      <c r="JIL162" s="367"/>
      <c r="JIM162" s="368" t="s">
        <v>168</v>
      </c>
      <c r="JIN162" s="369">
        <v>0.5</v>
      </c>
      <c r="JIO162" s="370" t="e">
        <f>10/JIK160</f>
        <v>#DIV/0!</v>
      </c>
      <c r="JIP162" s="371">
        <v>15.38</v>
      </c>
      <c r="JIQ162" s="371" t="e">
        <f>JIN162*JIO162*JIP162</f>
        <v>#DIV/0!</v>
      </c>
      <c r="JIR162" s="367" t="s">
        <v>206</v>
      </c>
      <c r="JIS162" s="367"/>
      <c r="JIT162" s="367"/>
      <c r="JIU162" s="368" t="s">
        <v>168</v>
      </c>
      <c r="JIV162" s="369">
        <v>0.5</v>
      </c>
      <c r="JIW162" s="370" t="e">
        <f>10/JIS160</f>
        <v>#DIV/0!</v>
      </c>
      <c r="JIX162" s="371">
        <v>15.38</v>
      </c>
      <c r="JIY162" s="371" t="e">
        <f>JIV162*JIW162*JIX162</f>
        <v>#DIV/0!</v>
      </c>
      <c r="JIZ162" s="367" t="s">
        <v>206</v>
      </c>
      <c r="JJA162" s="367"/>
      <c r="JJB162" s="367"/>
      <c r="JJC162" s="368" t="s">
        <v>168</v>
      </c>
      <c r="JJD162" s="369">
        <v>0.5</v>
      </c>
      <c r="JJE162" s="370" t="e">
        <f>10/JJA160</f>
        <v>#DIV/0!</v>
      </c>
      <c r="JJF162" s="371">
        <v>15.38</v>
      </c>
      <c r="JJG162" s="371" t="e">
        <f>JJD162*JJE162*JJF162</f>
        <v>#DIV/0!</v>
      </c>
      <c r="JJH162" s="367" t="s">
        <v>206</v>
      </c>
      <c r="JJI162" s="367"/>
      <c r="JJJ162" s="367"/>
      <c r="JJK162" s="368" t="s">
        <v>168</v>
      </c>
      <c r="JJL162" s="369">
        <v>0.5</v>
      </c>
      <c r="JJM162" s="370" t="e">
        <f>10/JJI160</f>
        <v>#DIV/0!</v>
      </c>
      <c r="JJN162" s="371">
        <v>15.38</v>
      </c>
      <c r="JJO162" s="371" t="e">
        <f>JJL162*JJM162*JJN162</f>
        <v>#DIV/0!</v>
      </c>
      <c r="JJP162" s="367" t="s">
        <v>206</v>
      </c>
      <c r="JJQ162" s="367"/>
      <c r="JJR162" s="367"/>
      <c r="JJS162" s="368" t="s">
        <v>168</v>
      </c>
      <c r="JJT162" s="369">
        <v>0.5</v>
      </c>
      <c r="JJU162" s="370" t="e">
        <f>10/JJQ160</f>
        <v>#DIV/0!</v>
      </c>
      <c r="JJV162" s="371">
        <v>15.38</v>
      </c>
      <c r="JJW162" s="371" t="e">
        <f>JJT162*JJU162*JJV162</f>
        <v>#DIV/0!</v>
      </c>
      <c r="JJX162" s="367" t="s">
        <v>206</v>
      </c>
      <c r="JJY162" s="367"/>
      <c r="JJZ162" s="367"/>
      <c r="JKA162" s="368" t="s">
        <v>168</v>
      </c>
      <c r="JKB162" s="369">
        <v>0.5</v>
      </c>
      <c r="JKC162" s="370" t="e">
        <f>10/JJY160</f>
        <v>#DIV/0!</v>
      </c>
      <c r="JKD162" s="371">
        <v>15.38</v>
      </c>
      <c r="JKE162" s="371" t="e">
        <f>JKB162*JKC162*JKD162</f>
        <v>#DIV/0!</v>
      </c>
      <c r="JKF162" s="367" t="s">
        <v>206</v>
      </c>
      <c r="JKG162" s="367"/>
      <c r="JKH162" s="367"/>
      <c r="JKI162" s="368" t="s">
        <v>168</v>
      </c>
      <c r="JKJ162" s="369">
        <v>0.5</v>
      </c>
      <c r="JKK162" s="370" t="e">
        <f>10/JKG160</f>
        <v>#DIV/0!</v>
      </c>
      <c r="JKL162" s="371">
        <v>15.38</v>
      </c>
      <c r="JKM162" s="371" t="e">
        <f>JKJ162*JKK162*JKL162</f>
        <v>#DIV/0!</v>
      </c>
      <c r="JKN162" s="367" t="s">
        <v>206</v>
      </c>
      <c r="JKO162" s="367"/>
      <c r="JKP162" s="367"/>
      <c r="JKQ162" s="368" t="s">
        <v>168</v>
      </c>
      <c r="JKR162" s="369">
        <v>0.5</v>
      </c>
      <c r="JKS162" s="370" t="e">
        <f>10/JKO160</f>
        <v>#DIV/0!</v>
      </c>
      <c r="JKT162" s="371">
        <v>15.38</v>
      </c>
      <c r="JKU162" s="371" t="e">
        <f>JKR162*JKS162*JKT162</f>
        <v>#DIV/0!</v>
      </c>
      <c r="JKV162" s="367" t="s">
        <v>206</v>
      </c>
      <c r="JKW162" s="367"/>
      <c r="JKX162" s="367"/>
      <c r="JKY162" s="368" t="s">
        <v>168</v>
      </c>
      <c r="JKZ162" s="369">
        <v>0.5</v>
      </c>
      <c r="JLA162" s="370" t="e">
        <f>10/JKW160</f>
        <v>#DIV/0!</v>
      </c>
      <c r="JLB162" s="371">
        <v>15.38</v>
      </c>
      <c r="JLC162" s="371" t="e">
        <f>JKZ162*JLA162*JLB162</f>
        <v>#DIV/0!</v>
      </c>
      <c r="JLD162" s="367" t="s">
        <v>206</v>
      </c>
      <c r="JLE162" s="367"/>
      <c r="JLF162" s="367"/>
      <c r="JLG162" s="368" t="s">
        <v>168</v>
      </c>
      <c r="JLH162" s="369">
        <v>0.5</v>
      </c>
      <c r="JLI162" s="370" t="e">
        <f>10/JLE160</f>
        <v>#DIV/0!</v>
      </c>
      <c r="JLJ162" s="371">
        <v>15.38</v>
      </c>
      <c r="JLK162" s="371" t="e">
        <f>JLH162*JLI162*JLJ162</f>
        <v>#DIV/0!</v>
      </c>
      <c r="JLL162" s="367" t="s">
        <v>206</v>
      </c>
      <c r="JLM162" s="367"/>
      <c r="JLN162" s="367"/>
      <c r="JLO162" s="368" t="s">
        <v>168</v>
      </c>
      <c r="JLP162" s="369">
        <v>0.5</v>
      </c>
      <c r="JLQ162" s="370" t="e">
        <f>10/JLM160</f>
        <v>#DIV/0!</v>
      </c>
      <c r="JLR162" s="371">
        <v>15.38</v>
      </c>
      <c r="JLS162" s="371" t="e">
        <f>JLP162*JLQ162*JLR162</f>
        <v>#DIV/0!</v>
      </c>
      <c r="JLT162" s="367" t="s">
        <v>206</v>
      </c>
      <c r="JLU162" s="367"/>
      <c r="JLV162" s="367"/>
      <c r="JLW162" s="368" t="s">
        <v>168</v>
      </c>
      <c r="JLX162" s="369">
        <v>0.5</v>
      </c>
      <c r="JLY162" s="370" t="e">
        <f>10/JLU160</f>
        <v>#DIV/0!</v>
      </c>
      <c r="JLZ162" s="371">
        <v>15.38</v>
      </c>
      <c r="JMA162" s="371" t="e">
        <f>JLX162*JLY162*JLZ162</f>
        <v>#DIV/0!</v>
      </c>
      <c r="JMB162" s="367" t="s">
        <v>206</v>
      </c>
      <c r="JMC162" s="367"/>
      <c r="JMD162" s="367"/>
      <c r="JME162" s="368" t="s">
        <v>168</v>
      </c>
      <c r="JMF162" s="369">
        <v>0.5</v>
      </c>
      <c r="JMG162" s="370" t="e">
        <f>10/JMC160</f>
        <v>#DIV/0!</v>
      </c>
      <c r="JMH162" s="371">
        <v>15.38</v>
      </c>
      <c r="JMI162" s="371" t="e">
        <f>JMF162*JMG162*JMH162</f>
        <v>#DIV/0!</v>
      </c>
      <c r="JMJ162" s="367" t="s">
        <v>206</v>
      </c>
      <c r="JMK162" s="367"/>
      <c r="JML162" s="367"/>
      <c r="JMM162" s="368" t="s">
        <v>168</v>
      </c>
      <c r="JMN162" s="369">
        <v>0.5</v>
      </c>
      <c r="JMO162" s="370" t="e">
        <f>10/JMK160</f>
        <v>#DIV/0!</v>
      </c>
      <c r="JMP162" s="371">
        <v>15.38</v>
      </c>
      <c r="JMQ162" s="371" t="e">
        <f>JMN162*JMO162*JMP162</f>
        <v>#DIV/0!</v>
      </c>
      <c r="JMR162" s="367" t="s">
        <v>206</v>
      </c>
      <c r="JMS162" s="367"/>
      <c r="JMT162" s="367"/>
      <c r="JMU162" s="368" t="s">
        <v>168</v>
      </c>
      <c r="JMV162" s="369">
        <v>0.5</v>
      </c>
      <c r="JMW162" s="370" t="e">
        <f>10/JMS160</f>
        <v>#DIV/0!</v>
      </c>
      <c r="JMX162" s="371">
        <v>15.38</v>
      </c>
      <c r="JMY162" s="371" t="e">
        <f>JMV162*JMW162*JMX162</f>
        <v>#DIV/0!</v>
      </c>
      <c r="JMZ162" s="367" t="s">
        <v>206</v>
      </c>
      <c r="JNA162" s="367"/>
      <c r="JNB162" s="367"/>
      <c r="JNC162" s="368" t="s">
        <v>168</v>
      </c>
      <c r="JND162" s="369">
        <v>0.5</v>
      </c>
      <c r="JNE162" s="370" t="e">
        <f>10/JNA160</f>
        <v>#DIV/0!</v>
      </c>
      <c r="JNF162" s="371">
        <v>15.38</v>
      </c>
      <c r="JNG162" s="371" t="e">
        <f>JND162*JNE162*JNF162</f>
        <v>#DIV/0!</v>
      </c>
      <c r="JNH162" s="367" t="s">
        <v>206</v>
      </c>
      <c r="JNI162" s="367"/>
      <c r="JNJ162" s="367"/>
      <c r="JNK162" s="368" t="s">
        <v>168</v>
      </c>
      <c r="JNL162" s="369">
        <v>0.5</v>
      </c>
      <c r="JNM162" s="370" t="e">
        <f>10/JNI160</f>
        <v>#DIV/0!</v>
      </c>
      <c r="JNN162" s="371">
        <v>15.38</v>
      </c>
      <c r="JNO162" s="371" t="e">
        <f>JNL162*JNM162*JNN162</f>
        <v>#DIV/0!</v>
      </c>
      <c r="JNP162" s="367" t="s">
        <v>206</v>
      </c>
      <c r="JNQ162" s="367"/>
      <c r="JNR162" s="367"/>
      <c r="JNS162" s="368" t="s">
        <v>168</v>
      </c>
      <c r="JNT162" s="369">
        <v>0.5</v>
      </c>
      <c r="JNU162" s="370" t="e">
        <f>10/JNQ160</f>
        <v>#DIV/0!</v>
      </c>
      <c r="JNV162" s="371">
        <v>15.38</v>
      </c>
      <c r="JNW162" s="371" t="e">
        <f>JNT162*JNU162*JNV162</f>
        <v>#DIV/0!</v>
      </c>
      <c r="JNX162" s="367" t="s">
        <v>206</v>
      </c>
      <c r="JNY162" s="367"/>
      <c r="JNZ162" s="367"/>
      <c r="JOA162" s="368" t="s">
        <v>168</v>
      </c>
      <c r="JOB162" s="369">
        <v>0.5</v>
      </c>
      <c r="JOC162" s="370" t="e">
        <f>10/JNY160</f>
        <v>#DIV/0!</v>
      </c>
      <c r="JOD162" s="371">
        <v>15.38</v>
      </c>
      <c r="JOE162" s="371" t="e">
        <f>JOB162*JOC162*JOD162</f>
        <v>#DIV/0!</v>
      </c>
      <c r="JOF162" s="367" t="s">
        <v>206</v>
      </c>
      <c r="JOG162" s="367"/>
      <c r="JOH162" s="367"/>
      <c r="JOI162" s="368" t="s">
        <v>168</v>
      </c>
      <c r="JOJ162" s="369">
        <v>0.5</v>
      </c>
      <c r="JOK162" s="370" t="e">
        <f>10/JOG160</f>
        <v>#DIV/0!</v>
      </c>
      <c r="JOL162" s="371">
        <v>15.38</v>
      </c>
      <c r="JOM162" s="371" t="e">
        <f>JOJ162*JOK162*JOL162</f>
        <v>#DIV/0!</v>
      </c>
      <c r="JON162" s="367" t="s">
        <v>206</v>
      </c>
      <c r="JOO162" s="367"/>
      <c r="JOP162" s="367"/>
      <c r="JOQ162" s="368" t="s">
        <v>168</v>
      </c>
      <c r="JOR162" s="369">
        <v>0.5</v>
      </c>
      <c r="JOS162" s="370" t="e">
        <f>10/JOO160</f>
        <v>#DIV/0!</v>
      </c>
      <c r="JOT162" s="371">
        <v>15.38</v>
      </c>
      <c r="JOU162" s="371" t="e">
        <f>JOR162*JOS162*JOT162</f>
        <v>#DIV/0!</v>
      </c>
      <c r="JOV162" s="367" t="s">
        <v>206</v>
      </c>
      <c r="JOW162" s="367"/>
      <c r="JOX162" s="367"/>
      <c r="JOY162" s="368" t="s">
        <v>168</v>
      </c>
      <c r="JOZ162" s="369">
        <v>0.5</v>
      </c>
      <c r="JPA162" s="370" t="e">
        <f>10/JOW160</f>
        <v>#DIV/0!</v>
      </c>
      <c r="JPB162" s="371">
        <v>15.38</v>
      </c>
      <c r="JPC162" s="371" t="e">
        <f>JOZ162*JPA162*JPB162</f>
        <v>#DIV/0!</v>
      </c>
      <c r="JPD162" s="367" t="s">
        <v>206</v>
      </c>
      <c r="JPE162" s="367"/>
      <c r="JPF162" s="367"/>
      <c r="JPG162" s="368" t="s">
        <v>168</v>
      </c>
      <c r="JPH162" s="369">
        <v>0.5</v>
      </c>
      <c r="JPI162" s="370" t="e">
        <f>10/JPE160</f>
        <v>#DIV/0!</v>
      </c>
      <c r="JPJ162" s="371">
        <v>15.38</v>
      </c>
      <c r="JPK162" s="371" t="e">
        <f>JPH162*JPI162*JPJ162</f>
        <v>#DIV/0!</v>
      </c>
      <c r="JPL162" s="367" t="s">
        <v>206</v>
      </c>
      <c r="JPM162" s="367"/>
      <c r="JPN162" s="367"/>
      <c r="JPO162" s="368" t="s">
        <v>168</v>
      </c>
      <c r="JPP162" s="369">
        <v>0.5</v>
      </c>
      <c r="JPQ162" s="370" t="e">
        <f>10/JPM160</f>
        <v>#DIV/0!</v>
      </c>
      <c r="JPR162" s="371">
        <v>15.38</v>
      </c>
      <c r="JPS162" s="371" t="e">
        <f>JPP162*JPQ162*JPR162</f>
        <v>#DIV/0!</v>
      </c>
      <c r="JPT162" s="367" t="s">
        <v>206</v>
      </c>
      <c r="JPU162" s="367"/>
      <c r="JPV162" s="367"/>
      <c r="JPW162" s="368" t="s">
        <v>168</v>
      </c>
      <c r="JPX162" s="369">
        <v>0.5</v>
      </c>
      <c r="JPY162" s="370" t="e">
        <f>10/JPU160</f>
        <v>#DIV/0!</v>
      </c>
      <c r="JPZ162" s="371">
        <v>15.38</v>
      </c>
      <c r="JQA162" s="371" t="e">
        <f>JPX162*JPY162*JPZ162</f>
        <v>#DIV/0!</v>
      </c>
      <c r="JQB162" s="367" t="s">
        <v>206</v>
      </c>
      <c r="JQC162" s="367"/>
      <c r="JQD162" s="367"/>
      <c r="JQE162" s="368" t="s">
        <v>168</v>
      </c>
      <c r="JQF162" s="369">
        <v>0.5</v>
      </c>
      <c r="JQG162" s="370" t="e">
        <f>10/JQC160</f>
        <v>#DIV/0!</v>
      </c>
      <c r="JQH162" s="371">
        <v>15.38</v>
      </c>
      <c r="JQI162" s="371" t="e">
        <f>JQF162*JQG162*JQH162</f>
        <v>#DIV/0!</v>
      </c>
      <c r="JQJ162" s="367" t="s">
        <v>206</v>
      </c>
      <c r="JQK162" s="367"/>
      <c r="JQL162" s="367"/>
      <c r="JQM162" s="368" t="s">
        <v>168</v>
      </c>
      <c r="JQN162" s="369">
        <v>0.5</v>
      </c>
      <c r="JQO162" s="370" t="e">
        <f>10/JQK160</f>
        <v>#DIV/0!</v>
      </c>
      <c r="JQP162" s="371">
        <v>15.38</v>
      </c>
      <c r="JQQ162" s="371" t="e">
        <f>JQN162*JQO162*JQP162</f>
        <v>#DIV/0!</v>
      </c>
      <c r="JQR162" s="367" t="s">
        <v>206</v>
      </c>
      <c r="JQS162" s="367"/>
      <c r="JQT162" s="367"/>
      <c r="JQU162" s="368" t="s">
        <v>168</v>
      </c>
      <c r="JQV162" s="369">
        <v>0.5</v>
      </c>
      <c r="JQW162" s="370" t="e">
        <f>10/JQS160</f>
        <v>#DIV/0!</v>
      </c>
      <c r="JQX162" s="371">
        <v>15.38</v>
      </c>
      <c r="JQY162" s="371" t="e">
        <f>JQV162*JQW162*JQX162</f>
        <v>#DIV/0!</v>
      </c>
      <c r="JQZ162" s="367" t="s">
        <v>206</v>
      </c>
      <c r="JRA162" s="367"/>
      <c r="JRB162" s="367"/>
      <c r="JRC162" s="368" t="s">
        <v>168</v>
      </c>
      <c r="JRD162" s="369">
        <v>0.5</v>
      </c>
      <c r="JRE162" s="370" t="e">
        <f>10/JRA160</f>
        <v>#DIV/0!</v>
      </c>
      <c r="JRF162" s="371">
        <v>15.38</v>
      </c>
      <c r="JRG162" s="371" t="e">
        <f>JRD162*JRE162*JRF162</f>
        <v>#DIV/0!</v>
      </c>
      <c r="JRH162" s="367" t="s">
        <v>206</v>
      </c>
      <c r="JRI162" s="367"/>
      <c r="JRJ162" s="367"/>
      <c r="JRK162" s="368" t="s">
        <v>168</v>
      </c>
      <c r="JRL162" s="369">
        <v>0.5</v>
      </c>
      <c r="JRM162" s="370" t="e">
        <f>10/JRI160</f>
        <v>#DIV/0!</v>
      </c>
      <c r="JRN162" s="371">
        <v>15.38</v>
      </c>
      <c r="JRO162" s="371" t="e">
        <f>JRL162*JRM162*JRN162</f>
        <v>#DIV/0!</v>
      </c>
      <c r="JRP162" s="367" t="s">
        <v>206</v>
      </c>
      <c r="JRQ162" s="367"/>
      <c r="JRR162" s="367"/>
      <c r="JRS162" s="368" t="s">
        <v>168</v>
      </c>
      <c r="JRT162" s="369">
        <v>0.5</v>
      </c>
      <c r="JRU162" s="370" t="e">
        <f>10/JRQ160</f>
        <v>#DIV/0!</v>
      </c>
      <c r="JRV162" s="371">
        <v>15.38</v>
      </c>
      <c r="JRW162" s="371" t="e">
        <f>JRT162*JRU162*JRV162</f>
        <v>#DIV/0!</v>
      </c>
      <c r="JRX162" s="367" t="s">
        <v>206</v>
      </c>
      <c r="JRY162" s="367"/>
      <c r="JRZ162" s="367"/>
      <c r="JSA162" s="368" t="s">
        <v>168</v>
      </c>
      <c r="JSB162" s="369">
        <v>0.5</v>
      </c>
      <c r="JSC162" s="370" t="e">
        <f>10/JRY160</f>
        <v>#DIV/0!</v>
      </c>
      <c r="JSD162" s="371">
        <v>15.38</v>
      </c>
      <c r="JSE162" s="371" t="e">
        <f>JSB162*JSC162*JSD162</f>
        <v>#DIV/0!</v>
      </c>
      <c r="JSF162" s="367" t="s">
        <v>206</v>
      </c>
      <c r="JSG162" s="367"/>
      <c r="JSH162" s="367"/>
      <c r="JSI162" s="368" t="s">
        <v>168</v>
      </c>
      <c r="JSJ162" s="369">
        <v>0.5</v>
      </c>
      <c r="JSK162" s="370" t="e">
        <f>10/JSG160</f>
        <v>#DIV/0!</v>
      </c>
      <c r="JSL162" s="371">
        <v>15.38</v>
      </c>
      <c r="JSM162" s="371" t="e">
        <f>JSJ162*JSK162*JSL162</f>
        <v>#DIV/0!</v>
      </c>
      <c r="JSN162" s="367" t="s">
        <v>206</v>
      </c>
      <c r="JSO162" s="367"/>
      <c r="JSP162" s="367"/>
      <c r="JSQ162" s="368" t="s">
        <v>168</v>
      </c>
      <c r="JSR162" s="369">
        <v>0.5</v>
      </c>
      <c r="JSS162" s="370" t="e">
        <f>10/JSO160</f>
        <v>#DIV/0!</v>
      </c>
      <c r="JST162" s="371">
        <v>15.38</v>
      </c>
      <c r="JSU162" s="371" t="e">
        <f>JSR162*JSS162*JST162</f>
        <v>#DIV/0!</v>
      </c>
      <c r="JSV162" s="367" t="s">
        <v>206</v>
      </c>
      <c r="JSW162" s="367"/>
      <c r="JSX162" s="367"/>
      <c r="JSY162" s="368" t="s">
        <v>168</v>
      </c>
      <c r="JSZ162" s="369">
        <v>0.5</v>
      </c>
      <c r="JTA162" s="370" t="e">
        <f>10/JSW160</f>
        <v>#DIV/0!</v>
      </c>
      <c r="JTB162" s="371">
        <v>15.38</v>
      </c>
      <c r="JTC162" s="371" t="e">
        <f>JSZ162*JTA162*JTB162</f>
        <v>#DIV/0!</v>
      </c>
      <c r="JTD162" s="367" t="s">
        <v>206</v>
      </c>
      <c r="JTE162" s="367"/>
      <c r="JTF162" s="367"/>
      <c r="JTG162" s="368" t="s">
        <v>168</v>
      </c>
      <c r="JTH162" s="369">
        <v>0.5</v>
      </c>
      <c r="JTI162" s="370" t="e">
        <f>10/JTE160</f>
        <v>#DIV/0!</v>
      </c>
      <c r="JTJ162" s="371">
        <v>15.38</v>
      </c>
      <c r="JTK162" s="371" t="e">
        <f>JTH162*JTI162*JTJ162</f>
        <v>#DIV/0!</v>
      </c>
      <c r="JTL162" s="367" t="s">
        <v>206</v>
      </c>
      <c r="JTM162" s="367"/>
      <c r="JTN162" s="367"/>
      <c r="JTO162" s="368" t="s">
        <v>168</v>
      </c>
      <c r="JTP162" s="369">
        <v>0.5</v>
      </c>
      <c r="JTQ162" s="370" t="e">
        <f>10/JTM160</f>
        <v>#DIV/0!</v>
      </c>
      <c r="JTR162" s="371">
        <v>15.38</v>
      </c>
      <c r="JTS162" s="371" t="e">
        <f>JTP162*JTQ162*JTR162</f>
        <v>#DIV/0!</v>
      </c>
      <c r="JTT162" s="367" t="s">
        <v>206</v>
      </c>
      <c r="JTU162" s="367"/>
      <c r="JTV162" s="367"/>
      <c r="JTW162" s="368" t="s">
        <v>168</v>
      </c>
      <c r="JTX162" s="369">
        <v>0.5</v>
      </c>
      <c r="JTY162" s="370" t="e">
        <f>10/JTU160</f>
        <v>#DIV/0!</v>
      </c>
      <c r="JTZ162" s="371">
        <v>15.38</v>
      </c>
      <c r="JUA162" s="371" t="e">
        <f>JTX162*JTY162*JTZ162</f>
        <v>#DIV/0!</v>
      </c>
      <c r="JUB162" s="367" t="s">
        <v>206</v>
      </c>
      <c r="JUC162" s="367"/>
      <c r="JUD162" s="367"/>
      <c r="JUE162" s="368" t="s">
        <v>168</v>
      </c>
      <c r="JUF162" s="369">
        <v>0.5</v>
      </c>
      <c r="JUG162" s="370" t="e">
        <f>10/JUC160</f>
        <v>#DIV/0!</v>
      </c>
      <c r="JUH162" s="371">
        <v>15.38</v>
      </c>
      <c r="JUI162" s="371" t="e">
        <f>JUF162*JUG162*JUH162</f>
        <v>#DIV/0!</v>
      </c>
      <c r="JUJ162" s="367" t="s">
        <v>206</v>
      </c>
      <c r="JUK162" s="367"/>
      <c r="JUL162" s="367"/>
      <c r="JUM162" s="368" t="s">
        <v>168</v>
      </c>
      <c r="JUN162" s="369">
        <v>0.5</v>
      </c>
      <c r="JUO162" s="370" t="e">
        <f>10/JUK160</f>
        <v>#DIV/0!</v>
      </c>
      <c r="JUP162" s="371">
        <v>15.38</v>
      </c>
      <c r="JUQ162" s="371" t="e">
        <f>JUN162*JUO162*JUP162</f>
        <v>#DIV/0!</v>
      </c>
      <c r="JUR162" s="367" t="s">
        <v>206</v>
      </c>
      <c r="JUS162" s="367"/>
      <c r="JUT162" s="367"/>
      <c r="JUU162" s="368" t="s">
        <v>168</v>
      </c>
      <c r="JUV162" s="369">
        <v>0.5</v>
      </c>
      <c r="JUW162" s="370" t="e">
        <f>10/JUS160</f>
        <v>#DIV/0!</v>
      </c>
      <c r="JUX162" s="371">
        <v>15.38</v>
      </c>
      <c r="JUY162" s="371" t="e">
        <f>JUV162*JUW162*JUX162</f>
        <v>#DIV/0!</v>
      </c>
      <c r="JUZ162" s="367" t="s">
        <v>206</v>
      </c>
      <c r="JVA162" s="367"/>
      <c r="JVB162" s="367"/>
      <c r="JVC162" s="368" t="s">
        <v>168</v>
      </c>
      <c r="JVD162" s="369">
        <v>0.5</v>
      </c>
      <c r="JVE162" s="370" t="e">
        <f>10/JVA160</f>
        <v>#DIV/0!</v>
      </c>
      <c r="JVF162" s="371">
        <v>15.38</v>
      </c>
      <c r="JVG162" s="371" t="e">
        <f>JVD162*JVE162*JVF162</f>
        <v>#DIV/0!</v>
      </c>
      <c r="JVH162" s="367" t="s">
        <v>206</v>
      </c>
      <c r="JVI162" s="367"/>
      <c r="JVJ162" s="367"/>
      <c r="JVK162" s="368" t="s">
        <v>168</v>
      </c>
      <c r="JVL162" s="369">
        <v>0.5</v>
      </c>
      <c r="JVM162" s="370" t="e">
        <f>10/JVI160</f>
        <v>#DIV/0!</v>
      </c>
      <c r="JVN162" s="371">
        <v>15.38</v>
      </c>
      <c r="JVO162" s="371" t="e">
        <f>JVL162*JVM162*JVN162</f>
        <v>#DIV/0!</v>
      </c>
      <c r="JVP162" s="367" t="s">
        <v>206</v>
      </c>
      <c r="JVQ162" s="367"/>
      <c r="JVR162" s="367"/>
      <c r="JVS162" s="368" t="s">
        <v>168</v>
      </c>
      <c r="JVT162" s="369">
        <v>0.5</v>
      </c>
      <c r="JVU162" s="370" t="e">
        <f>10/JVQ160</f>
        <v>#DIV/0!</v>
      </c>
      <c r="JVV162" s="371">
        <v>15.38</v>
      </c>
      <c r="JVW162" s="371" t="e">
        <f>JVT162*JVU162*JVV162</f>
        <v>#DIV/0!</v>
      </c>
      <c r="JVX162" s="367" t="s">
        <v>206</v>
      </c>
      <c r="JVY162" s="367"/>
      <c r="JVZ162" s="367"/>
      <c r="JWA162" s="368" t="s">
        <v>168</v>
      </c>
      <c r="JWB162" s="369">
        <v>0.5</v>
      </c>
      <c r="JWC162" s="370" t="e">
        <f>10/JVY160</f>
        <v>#DIV/0!</v>
      </c>
      <c r="JWD162" s="371">
        <v>15.38</v>
      </c>
      <c r="JWE162" s="371" t="e">
        <f>JWB162*JWC162*JWD162</f>
        <v>#DIV/0!</v>
      </c>
      <c r="JWF162" s="367" t="s">
        <v>206</v>
      </c>
      <c r="JWG162" s="367"/>
      <c r="JWH162" s="367"/>
      <c r="JWI162" s="368" t="s">
        <v>168</v>
      </c>
      <c r="JWJ162" s="369">
        <v>0.5</v>
      </c>
      <c r="JWK162" s="370" t="e">
        <f>10/JWG160</f>
        <v>#DIV/0!</v>
      </c>
      <c r="JWL162" s="371">
        <v>15.38</v>
      </c>
      <c r="JWM162" s="371" t="e">
        <f>JWJ162*JWK162*JWL162</f>
        <v>#DIV/0!</v>
      </c>
      <c r="JWN162" s="367" t="s">
        <v>206</v>
      </c>
      <c r="JWO162" s="367"/>
      <c r="JWP162" s="367"/>
      <c r="JWQ162" s="368" t="s">
        <v>168</v>
      </c>
      <c r="JWR162" s="369">
        <v>0.5</v>
      </c>
      <c r="JWS162" s="370" t="e">
        <f>10/JWO160</f>
        <v>#DIV/0!</v>
      </c>
      <c r="JWT162" s="371">
        <v>15.38</v>
      </c>
      <c r="JWU162" s="371" t="e">
        <f>JWR162*JWS162*JWT162</f>
        <v>#DIV/0!</v>
      </c>
      <c r="JWV162" s="367" t="s">
        <v>206</v>
      </c>
      <c r="JWW162" s="367"/>
      <c r="JWX162" s="367"/>
      <c r="JWY162" s="368" t="s">
        <v>168</v>
      </c>
      <c r="JWZ162" s="369">
        <v>0.5</v>
      </c>
      <c r="JXA162" s="370" t="e">
        <f>10/JWW160</f>
        <v>#DIV/0!</v>
      </c>
      <c r="JXB162" s="371">
        <v>15.38</v>
      </c>
      <c r="JXC162" s="371" t="e">
        <f>JWZ162*JXA162*JXB162</f>
        <v>#DIV/0!</v>
      </c>
      <c r="JXD162" s="367" t="s">
        <v>206</v>
      </c>
      <c r="JXE162" s="367"/>
      <c r="JXF162" s="367"/>
      <c r="JXG162" s="368" t="s">
        <v>168</v>
      </c>
      <c r="JXH162" s="369">
        <v>0.5</v>
      </c>
      <c r="JXI162" s="370" t="e">
        <f>10/JXE160</f>
        <v>#DIV/0!</v>
      </c>
      <c r="JXJ162" s="371">
        <v>15.38</v>
      </c>
      <c r="JXK162" s="371" t="e">
        <f>JXH162*JXI162*JXJ162</f>
        <v>#DIV/0!</v>
      </c>
      <c r="JXL162" s="367" t="s">
        <v>206</v>
      </c>
      <c r="JXM162" s="367"/>
      <c r="JXN162" s="367"/>
      <c r="JXO162" s="368" t="s">
        <v>168</v>
      </c>
      <c r="JXP162" s="369">
        <v>0.5</v>
      </c>
      <c r="JXQ162" s="370" t="e">
        <f>10/JXM160</f>
        <v>#DIV/0!</v>
      </c>
      <c r="JXR162" s="371">
        <v>15.38</v>
      </c>
      <c r="JXS162" s="371" t="e">
        <f>JXP162*JXQ162*JXR162</f>
        <v>#DIV/0!</v>
      </c>
      <c r="JXT162" s="367" t="s">
        <v>206</v>
      </c>
      <c r="JXU162" s="367"/>
      <c r="JXV162" s="367"/>
      <c r="JXW162" s="368" t="s">
        <v>168</v>
      </c>
      <c r="JXX162" s="369">
        <v>0.5</v>
      </c>
      <c r="JXY162" s="370" t="e">
        <f>10/JXU160</f>
        <v>#DIV/0!</v>
      </c>
      <c r="JXZ162" s="371">
        <v>15.38</v>
      </c>
      <c r="JYA162" s="371" t="e">
        <f>JXX162*JXY162*JXZ162</f>
        <v>#DIV/0!</v>
      </c>
      <c r="JYB162" s="367" t="s">
        <v>206</v>
      </c>
      <c r="JYC162" s="367"/>
      <c r="JYD162" s="367"/>
      <c r="JYE162" s="368" t="s">
        <v>168</v>
      </c>
      <c r="JYF162" s="369">
        <v>0.5</v>
      </c>
      <c r="JYG162" s="370" t="e">
        <f>10/JYC160</f>
        <v>#DIV/0!</v>
      </c>
      <c r="JYH162" s="371">
        <v>15.38</v>
      </c>
      <c r="JYI162" s="371" t="e">
        <f>JYF162*JYG162*JYH162</f>
        <v>#DIV/0!</v>
      </c>
      <c r="JYJ162" s="367" t="s">
        <v>206</v>
      </c>
      <c r="JYK162" s="367"/>
      <c r="JYL162" s="367"/>
      <c r="JYM162" s="368" t="s">
        <v>168</v>
      </c>
      <c r="JYN162" s="369">
        <v>0.5</v>
      </c>
      <c r="JYO162" s="370" t="e">
        <f>10/JYK160</f>
        <v>#DIV/0!</v>
      </c>
      <c r="JYP162" s="371">
        <v>15.38</v>
      </c>
      <c r="JYQ162" s="371" t="e">
        <f>JYN162*JYO162*JYP162</f>
        <v>#DIV/0!</v>
      </c>
      <c r="JYR162" s="367" t="s">
        <v>206</v>
      </c>
      <c r="JYS162" s="367"/>
      <c r="JYT162" s="367"/>
      <c r="JYU162" s="368" t="s">
        <v>168</v>
      </c>
      <c r="JYV162" s="369">
        <v>0.5</v>
      </c>
      <c r="JYW162" s="370" t="e">
        <f>10/JYS160</f>
        <v>#DIV/0!</v>
      </c>
      <c r="JYX162" s="371">
        <v>15.38</v>
      </c>
      <c r="JYY162" s="371" t="e">
        <f>JYV162*JYW162*JYX162</f>
        <v>#DIV/0!</v>
      </c>
      <c r="JYZ162" s="367" t="s">
        <v>206</v>
      </c>
      <c r="JZA162" s="367"/>
      <c r="JZB162" s="367"/>
      <c r="JZC162" s="368" t="s">
        <v>168</v>
      </c>
      <c r="JZD162" s="369">
        <v>0.5</v>
      </c>
      <c r="JZE162" s="370" t="e">
        <f>10/JZA160</f>
        <v>#DIV/0!</v>
      </c>
      <c r="JZF162" s="371">
        <v>15.38</v>
      </c>
      <c r="JZG162" s="371" t="e">
        <f>JZD162*JZE162*JZF162</f>
        <v>#DIV/0!</v>
      </c>
      <c r="JZH162" s="367" t="s">
        <v>206</v>
      </c>
      <c r="JZI162" s="367"/>
      <c r="JZJ162" s="367"/>
      <c r="JZK162" s="368" t="s">
        <v>168</v>
      </c>
      <c r="JZL162" s="369">
        <v>0.5</v>
      </c>
      <c r="JZM162" s="370" t="e">
        <f>10/JZI160</f>
        <v>#DIV/0!</v>
      </c>
      <c r="JZN162" s="371">
        <v>15.38</v>
      </c>
      <c r="JZO162" s="371" t="e">
        <f>JZL162*JZM162*JZN162</f>
        <v>#DIV/0!</v>
      </c>
      <c r="JZP162" s="367" t="s">
        <v>206</v>
      </c>
      <c r="JZQ162" s="367"/>
      <c r="JZR162" s="367"/>
      <c r="JZS162" s="368" t="s">
        <v>168</v>
      </c>
      <c r="JZT162" s="369">
        <v>0.5</v>
      </c>
      <c r="JZU162" s="370" t="e">
        <f>10/JZQ160</f>
        <v>#DIV/0!</v>
      </c>
      <c r="JZV162" s="371">
        <v>15.38</v>
      </c>
      <c r="JZW162" s="371" t="e">
        <f>JZT162*JZU162*JZV162</f>
        <v>#DIV/0!</v>
      </c>
      <c r="JZX162" s="367" t="s">
        <v>206</v>
      </c>
      <c r="JZY162" s="367"/>
      <c r="JZZ162" s="367"/>
      <c r="KAA162" s="368" t="s">
        <v>168</v>
      </c>
      <c r="KAB162" s="369">
        <v>0.5</v>
      </c>
      <c r="KAC162" s="370" t="e">
        <f>10/JZY160</f>
        <v>#DIV/0!</v>
      </c>
      <c r="KAD162" s="371">
        <v>15.38</v>
      </c>
      <c r="KAE162" s="371" t="e">
        <f>KAB162*KAC162*KAD162</f>
        <v>#DIV/0!</v>
      </c>
      <c r="KAF162" s="367" t="s">
        <v>206</v>
      </c>
      <c r="KAG162" s="367"/>
      <c r="KAH162" s="367"/>
      <c r="KAI162" s="368" t="s">
        <v>168</v>
      </c>
      <c r="KAJ162" s="369">
        <v>0.5</v>
      </c>
      <c r="KAK162" s="370" t="e">
        <f>10/KAG160</f>
        <v>#DIV/0!</v>
      </c>
      <c r="KAL162" s="371">
        <v>15.38</v>
      </c>
      <c r="KAM162" s="371" t="e">
        <f>KAJ162*KAK162*KAL162</f>
        <v>#DIV/0!</v>
      </c>
      <c r="KAN162" s="367" t="s">
        <v>206</v>
      </c>
      <c r="KAO162" s="367"/>
      <c r="KAP162" s="367"/>
      <c r="KAQ162" s="368" t="s">
        <v>168</v>
      </c>
      <c r="KAR162" s="369">
        <v>0.5</v>
      </c>
      <c r="KAS162" s="370" t="e">
        <f>10/KAO160</f>
        <v>#DIV/0!</v>
      </c>
      <c r="KAT162" s="371">
        <v>15.38</v>
      </c>
      <c r="KAU162" s="371" t="e">
        <f>KAR162*KAS162*KAT162</f>
        <v>#DIV/0!</v>
      </c>
      <c r="KAV162" s="367" t="s">
        <v>206</v>
      </c>
      <c r="KAW162" s="367"/>
      <c r="KAX162" s="367"/>
      <c r="KAY162" s="368" t="s">
        <v>168</v>
      </c>
      <c r="KAZ162" s="369">
        <v>0.5</v>
      </c>
      <c r="KBA162" s="370" t="e">
        <f>10/KAW160</f>
        <v>#DIV/0!</v>
      </c>
      <c r="KBB162" s="371">
        <v>15.38</v>
      </c>
      <c r="KBC162" s="371" t="e">
        <f>KAZ162*KBA162*KBB162</f>
        <v>#DIV/0!</v>
      </c>
      <c r="KBD162" s="367" t="s">
        <v>206</v>
      </c>
      <c r="KBE162" s="367"/>
      <c r="KBF162" s="367"/>
      <c r="KBG162" s="368" t="s">
        <v>168</v>
      </c>
      <c r="KBH162" s="369">
        <v>0.5</v>
      </c>
      <c r="KBI162" s="370" t="e">
        <f>10/KBE160</f>
        <v>#DIV/0!</v>
      </c>
      <c r="KBJ162" s="371">
        <v>15.38</v>
      </c>
      <c r="KBK162" s="371" t="e">
        <f>KBH162*KBI162*KBJ162</f>
        <v>#DIV/0!</v>
      </c>
      <c r="KBL162" s="367" t="s">
        <v>206</v>
      </c>
      <c r="KBM162" s="367"/>
      <c r="KBN162" s="367"/>
      <c r="KBO162" s="368" t="s">
        <v>168</v>
      </c>
      <c r="KBP162" s="369">
        <v>0.5</v>
      </c>
      <c r="KBQ162" s="370" t="e">
        <f>10/KBM160</f>
        <v>#DIV/0!</v>
      </c>
      <c r="KBR162" s="371">
        <v>15.38</v>
      </c>
      <c r="KBS162" s="371" t="e">
        <f>KBP162*KBQ162*KBR162</f>
        <v>#DIV/0!</v>
      </c>
      <c r="KBT162" s="367" t="s">
        <v>206</v>
      </c>
      <c r="KBU162" s="367"/>
      <c r="KBV162" s="367"/>
      <c r="KBW162" s="368" t="s">
        <v>168</v>
      </c>
      <c r="KBX162" s="369">
        <v>0.5</v>
      </c>
      <c r="KBY162" s="370" t="e">
        <f>10/KBU160</f>
        <v>#DIV/0!</v>
      </c>
      <c r="KBZ162" s="371">
        <v>15.38</v>
      </c>
      <c r="KCA162" s="371" t="e">
        <f>KBX162*KBY162*KBZ162</f>
        <v>#DIV/0!</v>
      </c>
      <c r="KCB162" s="367" t="s">
        <v>206</v>
      </c>
      <c r="KCC162" s="367"/>
      <c r="KCD162" s="367"/>
      <c r="KCE162" s="368" t="s">
        <v>168</v>
      </c>
      <c r="KCF162" s="369">
        <v>0.5</v>
      </c>
      <c r="KCG162" s="370" t="e">
        <f>10/KCC160</f>
        <v>#DIV/0!</v>
      </c>
      <c r="KCH162" s="371">
        <v>15.38</v>
      </c>
      <c r="KCI162" s="371" t="e">
        <f>KCF162*KCG162*KCH162</f>
        <v>#DIV/0!</v>
      </c>
      <c r="KCJ162" s="367" t="s">
        <v>206</v>
      </c>
      <c r="KCK162" s="367"/>
      <c r="KCL162" s="367"/>
      <c r="KCM162" s="368" t="s">
        <v>168</v>
      </c>
      <c r="KCN162" s="369">
        <v>0.5</v>
      </c>
      <c r="KCO162" s="370" t="e">
        <f>10/KCK160</f>
        <v>#DIV/0!</v>
      </c>
      <c r="KCP162" s="371">
        <v>15.38</v>
      </c>
      <c r="KCQ162" s="371" t="e">
        <f>KCN162*KCO162*KCP162</f>
        <v>#DIV/0!</v>
      </c>
      <c r="KCR162" s="367" t="s">
        <v>206</v>
      </c>
      <c r="KCS162" s="367"/>
      <c r="KCT162" s="367"/>
      <c r="KCU162" s="368" t="s">
        <v>168</v>
      </c>
      <c r="KCV162" s="369">
        <v>0.5</v>
      </c>
      <c r="KCW162" s="370" t="e">
        <f>10/KCS160</f>
        <v>#DIV/0!</v>
      </c>
      <c r="KCX162" s="371">
        <v>15.38</v>
      </c>
      <c r="KCY162" s="371" t="e">
        <f>KCV162*KCW162*KCX162</f>
        <v>#DIV/0!</v>
      </c>
      <c r="KCZ162" s="367" t="s">
        <v>206</v>
      </c>
      <c r="KDA162" s="367"/>
      <c r="KDB162" s="367"/>
      <c r="KDC162" s="368" t="s">
        <v>168</v>
      </c>
      <c r="KDD162" s="369">
        <v>0.5</v>
      </c>
      <c r="KDE162" s="370" t="e">
        <f>10/KDA160</f>
        <v>#DIV/0!</v>
      </c>
      <c r="KDF162" s="371">
        <v>15.38</v>
      </c>
      <c r="KDG162" s="371" t="e">
        <f>KDD162*KDE162*KDF162</f>
        <v>#DIV/0!</v>
      </c>
      <c r="KDH162" s="367" t="s">
        <v>206</v>
      </c>
      <c r="KDI162" s="367"/>
      <c r="KDJ162" s="367"/>
      <c r="KDK162" s="368" t="s">
        <v>168</v>
      </c>
      <c r="KDL162" s="369">
        <v>0.5</v>
      </c>
      <c r="KDM162" s="370" t="e">
        <f>10/KDI160</f>
        <v>#DIV/0!</v>
      </c>
      <c r="KDN162" s="371">
        <v>15.38</v>
      </c>
      <c r="KDO162" s="371" t="e">
        <f>KDL162*KDM162*KDN162</f>
        <v>#DIV/0!</v>
      </c>
      <c r="KDP162" s="367" t="s">
        <v>206</v>
      </c>
      <c r="KDQ162" s="367"/>
      <c r="KDR162" s="367"/>
      <c r="KDS162" s="368" t="s">
        <v>168</v>
      </c>
      <c r="KDT162" s="369">
        <v>0.5</v>
      </c>
      <c r="KDU162" s="370" t="e">
        <f>10/KDQ160</f>
        <v>#DIV/0!</v>
      </c>
      <c r="KDV162" s="371">
        <v>15.38</v>
      </c>
      <c r="KDW162" s="371" t="e">
        <f>KDT162*KDU162*KDV162</f>
        <v>#DIV/0!</v>
      </c>
      <c r="KDX162" s="367" t="s">
        <v>206</v>
      </c>
      <c r="KDY162" s="367"/>
      <c r="KDZ162" s="367"/>
      <c r="KEA162" s="368" t="s">
        <v>168</v>
      </c>
      <c r="KEB162" s="369">
        <v>0.5</v>
      </c>
      <c r="KEC162" s="370" t="e">
        <f>10/KDY160</f>
        <v>#DIV/0!</v>
      </c>
      <c r="KED162" s="371">
        <v>15.38</v>
      </c>
      <c r="KEE162" s="371" t="e">
        <f>KEB162*KEC162*KED162</f>
        <v>#DIV/0!</v>
      </c>
      <c r="KEF162" s="367" t="s">
        <v>206</v>
      </c>
      <c r="KEG162" s="367"/>
      <c r="KEH162" s="367"/>
      <c r="KEI162" s="368" t="s">
        <v>168</v>
      </c>
      <c r="KEJ162" s="369">
        <v>0.5</v>
      </c>
      <c r="KEK162" s="370" t="e">
        <f>10/KEG160</f>
        <v>#DIV/0!</v>
      </c>
      <c r="KEL162" s="371">
        <v>15.38</v>
      </c>
      <c r="KEM162" s="371" t="e">
        <f>KEJ162*KEK162*KEL162</f>
        <v>#DIV/0!</v>
      </c>
      <c r="KEN162" s="367" t="s">
        <v>206</v>
      </c>
      <c r="KEO162" s="367"/>
      <c r="KEP162" s="367"/>
      <c r="KEQ162" s="368" t="s">
        <v>168</v>
      </c>
      <c r="KER162" s="369">
        <v>0.5</v>
      </c>
      <c r="KES162" s="370" t="e">
        <f>10/KEO160</f>
        <v>#DIV/0!</v>
      </c>
      <c r="KET162" s="371">
        <v>15.38</v>
      </c>
      <c r="KEU162" s="371" t="e">
        <f>KER162*KES162*KET162</f>
        <v>#DIV/0!</v>
      </c>
      <c r="KEV162" s="367" t="s">
        <v>206</v>
      </c>
      <c r="KEW162" s="367"/>
      <c r="KEX162" s="367"/>
      <c r="KEY162" s="368" t="s">
        <v>168</v>
      </c>
      <c r="KEZ162" s="369">
        <v>0.5</v>
      </c>
      <c r="KFA162" s="370" t="e">
        <f>10/KEW160</f>
        <v>#DIV/0!</v>
      </c>
      <c r="KFB162" s="371">
        <v>15.38</v>
      </c>
      <c r="KFC162" s="371" t="e">
        <f>KEZ162*KFA162*KFB162</f>
        <v>#DIV/0!</v>
      </c>
      <c r="KFD162" s="367" t="s">
        <v>206</v>
      </c>
      <c r="KFE162" s="367"/>
      <c r="KFF162" s="367"/>
      <c r="KFG162" s="368" t="s">
        <v>168</v>
      </c>
      <c r="KFH162" s="369">
        <v>0.5</v>
      </c>
      <c r="KFI162" s="370" t="e">
        <f>10/KFE160</f>
        <v>#DIV/0!</v>
      </c>
      <c r="KFJ162" s="371">
        <v>15.38</v>
      </c>
      <c r="KFK162" s="371" t="e">
        <f>KFH162*KFI162*KFJ162</f>
        <v>#DIV/0!</v>
      </c>
      <c r="KFL162" s="367" t="s">
        <v>206</v>
      </c>
      <c r="KFM162" s="367"/>
      <c r="KFN162" s="367"/>
      <c r="KFO162" s="368" t="s">
        <v>168</v>
      </c>
      <c r="KFP162" s="369">
        <v>0.5</v>
      </c>
      <c r="KFQ162" s="370" t="e">
        <f>10/KFM160</f>
        <v>#DIV/0!</v>
      </c>
      <c r="KFR162" s="371">
        <v>15.38</v>
      </c>
      <c r="KFS162" s="371" t="e">
        <f>KFP162*KFQ162*KFR162</f>
        <v>#DIV/0!</v>
      </c>
      <c r="KFT162" s="367" t="s">
        <v>206</v>
      </c>
      <c r="KFU162" s="367"/>
      <c r="KFV162" s="367"/>
      <c r="KFW162" s="368" t="s">
        <v>168</v>
      </c>
      <c r="KFX162" s="369">
        <v>0.5</v>
      </c>
      <c r="KFY162" s="370" t="e">
        <f>10/KFU160</f>
        <v>#DIV/0!</v>
      </c>
      <c r="KFZ162" s="371">
        <v>15.38</v>
      </c>
      <c r="KGA162" s="371" t="e">
        <f>KFX162*KFY162*KFZ162</f>
        <v>#DIV/0!</v>
      </c>
      <c r="KGB162" s="367" t="s">
        <v>206</v>
      </c>
      <c r="KGC162" s="367"/>
      <c r="KGD162" s="367"/>
      <c r="KGE162" s="368" t="s">
        <v>168</v>
      </c>
      <c r="KGF162" s="369">
        <v>0.5</v>
      </c>
      <c r="KGG162" s="370" t="e">
        <f>10/KGC160</f>
        <v>#DIV/0!</v>
      </c>
      <c r="KGH162" s="371">
        <v>15.38</v>
      </c>
      <c r="KGI162" s="371" t="e">
        <f>KGF162*KGG162*KGH162</f>
        <v>#DIV/0!</v>
      </c>
      <c r="KGJ162" s="367" t="s">
        <v>206</v>
      </c>
      <c r="KGK162" s="367"/>
      <c r="KGL162" s="367"/>
      <c r="KGM162" s="368" t="s">
        <v>168</v>
      </c>
      <c r="KGN162" s="369">
        <v>0.5</v>
      </c>
      <c r="KGO162" s="370" t="e">
        <f>10/KGK160</f>
        <v>#DIV/0!</v>
      </c>
      <c r="KGP162" s="371">
        <v>15.38</v>
      </c>
      <c r="KGQ162" s="371" t="e">
        <f>KGN162*KGO162*KGP162</f>
        <v>#DIV/0!</v>
      </c>
      <c r="KGR162" s="367" t="s">
        <v>206</v>
      </c>
      <c r="KGS162" s="367"/>
      <c r="KGT162" s="367"/>
      <c r="KGU162" s="368" t="s">
        <v>168</v>
      </c>
      <c r="KGV162" s="369">
        <v>0.5</v>
      </c>
      <c r="KGW162" s="370" t="e">
        <f>10/KGS160</f>
        <v>#DIV/0!</v>
      </c>
      <c r="KGX162" s="371">
        <v>15.38</v>
      </c>
      <c r="KGY162" s="371" t="e">
        <f>KGV162*KGW162*KGX162</f>
        <v>#DIV/0!</v>
      </c>
      <c r="KGZ162" s="367" t="s">
        <v>206</v>
      </c>
      <c r="KHA162" s="367"/>
      <c r="KHB162" s="367"/>
      <c r="KHC162" s="368" t="s">
        <v>168</v>
      </c>
      <c r="KHD162" s="369">
        <v>0.5</v>
      </c>
      <c r="KHE162" s="370" t="e">
        <f>10/KHA160</f>
        <v>#DIV/0!</v>
      </c>
      <c r="KHF162" s="371">
        <v>15.38</v>
      </c>
      <c r="KHG162" s="371" t="e">
        <f>KHD162*KHE162*KHF162</f>
        <v>#DIV/0!</v>
      </c>
      <c r="KHH162" s="367" t="s">
        <v>206</v>
      </c>
      <c r="KHI162" s="367"/>
      <c r="KHJ162" s="367"/>
      <c r="KHK162" s="368" t="s">
        <v>168</v>
      </c>
      <c r="KHL162" s="369">
        <v>0.5</v>
      </c>
      <c r="KHM162" s="370" t="e">
        <f>10/KHI160</f>
        <v>#DIV/0!</v>
      </c>
      <c r="KHN162" s="371">
        <v>15.38</v>
      </c>
      <c r="KHO162" s="371" t="e">
        <f>KHL162*KHM162*KHN162</f>
        <v>#DIV/0!</v>
      </c>
      <c r="KHP162" s="367" t="s">
        <v>206</v>
      </c>
      <c r="KHQ162" s="367"/>
      <c r="KHR162" s="367"/>
      <c r="KHS162" s="368" t="s">
        <v>168</v>
      </c>
      <c r="KHT162" s="369">
        <v>0.5</v>
      </c>
      <c r="KHU162" s="370" t="e">
        <f>10/KHQ160</f>
        <v>#DIV/0!</v>
      </c>
      <c r="KHV162" s="371">
        <v>15.38</v>
      </c>
      <c r="KHW162" s="371" t="e">
        <f>KHT162*KHU162*KHV162</f>
        <v>#DIV/0!</v>
      </c>
      <c r="KHX162" s="367" t="s">
        <v>206</v>
      </c>
      <c r="KHY162" s="367"/>
      <c r="KHZ162" s="367"/>
      <c r="KIA162" s="368" t="s">
        <v>168</v>
      </c>
      <c r="KIB162" s="369">
        <v>0.5</v>
      </c>
      <c r="KIC162" s="370" t="e">
        <f>10/KHY160</f>
        <v>#DIV/0!</v>
      </c>
      <c r="KID162" s="371">
        <v>15.38</v>
      </c>
      <c r="KIE162" s="371" t="e">
        <f>KIB162*KIC162*KID162</f>
        <v>#DIV/0!</v>
      </c>
      <c r="KIF162" s="367" t="s">
        <v>206</v>
      </c>
      <c r="KIG162" s="367"/>
      <c r="KIH162" s="367"/>
      <c r="KII162" s="368" t="s">
        <v>168</v>
      </c>
      <c r="KIJ162" s="369">
        <v>0.5</v>
      </c>
      <c r="KIK162" s="370" t="e">
        <f>10/KIG160</f>
        <v>#DIV/0!</v>
      </c>
      <c r="KIL162" s="371">
        <v>15.38</v>
      </c>
      <c r="KIM162" s="371" t="e">
        <f>KIJ162*KIK162*KIL162</f>
        <v>#DIV/0!</v>
      </c>
      <c r="KIN162" s="367" t="s">
        <v>206</v>
      </c>
      <c r="KIO162" s="367"/>
      <c r="KIP162" s="367"/>
      <c r="KIQ162" s="368" t="s">
        <v>168</v>
      </c>
      <c r="KIR162" s="369">
        <v>0.5</v>
      </c>
      <c r="KIS162" s="370" t="e">
        <f>10/KIO160</f>
        <v>#DIV/0!</v>
      </c>
      <c r="KIT162" s="371">
        <v>15.38</v>
      </c>
      <c r="KIU162" s="371" t="e">
        <f>KIR162*KIS162*KIT162</f>
        <v>#DIV/0!</v>
      </c>
      <c r="KIV162" s="367" t="s">
        <v>206</v>
      </c>
      <c r="KIW162" s="367"/>
      <c r="KIX162" s="367"/>
      <c r="KIY162" s="368" t="s">
        <v>168</v>
      </c>
      <c r="KIZ162" s="369">
        <v>0.5</v>
      </c>
      <c r="KJA162" s="370" t="e">
        <f>10/KIW160</f>
        <v>#DIV/0!</v>
      </c>
      <c r="KJB162" s="371">
        <v>15.38</v>
      </c>
      <c r="KJC162" s="371" t="e">
        <f>KIZ162*KJA162*KJB162</f>
        <v>#DIV/0!</v>
      </c>
      <c r="KJD162" s="367" t="s">
        <v>206</v>
      </c>
      <c r="KJE162" s="367"/>
      <c r="KJF162" s="367"/>
      <c r="KJG162" s="368" t="s">
        <v>168</v>
      </c>
      <c r="KJH162" s="369">
        <v>0.5</v>
      </c>
      <c r="KJI162" s="370" t="e">
        <f>10/KJE160</f>
        <v>#DIV/0!</v>
      </c>
      <c r="KJJ162" s="371">
        <v>15.38</v>
      </c>
      <c r="KJK162" s="371" t="e">
        <f>KJH162*KJI162*KJJ162</f>
        <v>#DIV/0!</v>
      </c>
      <c r="KJL162" s="367" t="s">
        <v>206</v>
      </c>
      <c r="KJM162" s="367"/>
      <c r="KJN162" s="367"/>
      <c r="KJO162" s="368" t="s">
        <v>168</v>
      </c>
      <c r="KJP162" s="369">
        <v>0.5</v>
      </c>
      <c r="KJQ162" s="370" t="e">
        <f>10/KJM160</f>
        <v>#DIV/0!</v>
      </c>
      <c r="KJR162" s="371">
        <v>15.38</v>
      </c>
      <c r="KJS162" s="371" t="e">
        <f>KJP162*KJQ162*KJR162</f>
        <v>#DIV/0!</v>
      </c>
      <c r="KJT162" s="367" t="s">
        <v>206</v>
      </c>
      <c r="KJU162" s="367"/>
      <c r="KJV162" s="367"/>
      <c r="KJW162" s="368" t="s">
        <v>168</v>
      </c>
      <c r="KJX162" s="369">
        <v>0.5</v>
      </c>
      <c r="KJY162" s="370" t="e">
        <f>10/KJU160</f>
        <v>#DIV/0!</v>
      </c>
      <c r="KJZ162" s="371">
        <v>15.38</v>
      </c>
      <c r="KKA162" s="371" t="e">
        <f>KJX162*KJY162*KJZ162</f>
        <v>#DIV/0!</v>
      </c>
      <c r="KKB162" s="367" t="s">
        <v>206</v>
      </c>
      <c r="KKC162" s="367"/>
      <c r="KKD162" s="367"/>
      <c r="KKE162" s="368" t="s">
        <v>168</v>
      </c>
      <c r="KKF162" s="369">
        <v>0.5</v>
      </c>
      <c r="KKG162" s="370" t="e">
        <f>10/KKC160</f>
        <v>#DIV/0!</v>
      </c>
      <c r="KKH162" s="371">
        <v>15.38</v>
      </c>
      <c r="KKI162" s="371" t="e">
        <f>KKF162*KKG162*KKH162</f>
        <v>#DIV/0!</v>
      </c>
      <c r="KKJ162" s="367" t="s">
        <v>206</v>
      </c>
      <c r="KKK162" s="367"/>
      <c r="KKL162" s="367"/>
      <c r="KKM162" s="368" t="s">
        <v>168</v>
      </c>
      <c r="KKN162" s="369">
        <v>0.5</v>
      </c>
      <c r="KKO162" s="370" t="e">
        <f>10/KKK160</f>
        <v>#DIV/0!</v>
      </c>
      <c r="KKP162" s="371">
        <v>15.38</v>
      </c>
      <c r="KKQ162" s="371" t="e">
        <f>KKN162*KKO162*KKP162</f>
        <v>#DIV/0!</v>
      </c>
      <c r="KKR162" s="367" t="s">
        <v>206</v>
      </c>
      <c r="KKS162" s="367"/>
      <c r="KKT162" s="367"/>
      <c r="KKU162" s="368" t="s">
        <v>168</v>
      </c>
      <c r="KKV162" s="369">
        <v>0.5</v>
      </c>
      <c r="KKW162" s="370" t="e">
        <f>10/KKS160</f>
        <v>#DIV/0!</v>
      </c>
      <c r="KKX162" s="371">
        <v>15.38</v>
      </c>
      <c r="KKY162" s="371" t="e">
        <f>KKV162*KKW162*KKX162</f>
        <v>#DIV/0!</v>
      </c>
      <c r="KKZ162" s="367" t="s">
        <v>206</v>
      </c>
      <c r="KLA162" s="367"/>
      <c r="KLB162" s="367"/>
      <c r="KLC162" s="368" t="s">
        <v>168</v>
      </c>
      <c r="KLD162" s="369">
        <v>0.5</v>
      </c>
      <c r="KLE162" s="370" t="e">
        <f>10/KLA160</f>
        <v>#DIV/0!</v>
      </c>
      <c r="KLF162" s="371">
        <v>15.38</v>
      </c>
      <c r="KLG162" s="371" t="e">
        <f>KLD162*KLE162*KLF162</f>
        <v>#DIV/0!</v>
      </c>
      <c r="KLH162" s="367" t="s">
        <v>206</v>
      </c>
      <c r="KLI162" s="367"/>
      <c r="KLJ162" s="367"/>
      <c r="KLK162" s="368" t="s">
        <v>168</v>
      </c>
      <c r="KLL162" s="369">
        <v>0.5</v>
      </c>
      <c r="KLM162" s="370" t="e">
        <f>10/KLI160</f>
        <v>#DIV/0!</v>
      </c>
      <c r="KLN162" s="371">
        <v>15.38</v>
      </c>
      <c r="KLO162" s="371" t="e">
        <f>KLL162*KLM162*KLN162</f>
        <v>#DIV/0!</v>
      </c>
      <c r="KLP162" s="367" t="s">
        <v>206</v>
      </c>
      <c r="KLQ162" s="367"/>
      <c r="KLR162" s="367"/>
      <c r="KLS162" s="368" t="s">
        <v>168</v>
      </c>
      <c r="KLT162" s="369">
        <v>0.5</v>
      </c>
      <c r="KLU162" s="370" t="e">
        <f>10/KLQ160</f>
        <v>#DIV/0!</v>
      </c>
      <c r="KLV162" s="371">
        <v>15.38</v>
      </c>
      <c r="KLW162" s="371" t="e">
        <f>KLT162*KLU162*KLV162</f>
        <v>#DIV/0!</v>
      </c>
      <c r="KLX162" s="367" t="s">
        <v>206</v>
      </c>
      <c r="KLY162" s="367"/>
      <c r="KLZ162" s="367"/>
      <c r="KMA162" s="368" t="s">
        <v>168</v>
      </c>
      <c r="KMB162" s="369">
        <v>0.5</v>
      </c>
      <c r="KMC162" s="370" t="e">
        <f>10/KLY160</f>
        <v>#DIV/0!</v>
      </c>
      <c r="KMD162" s="371">
        <v>15.38</v>
      </c>
      <c r="KME162" s="371" t="e">
        <f>KMB162*KMC162*KMD162</f>
        <v>#DIV/0!</v>
      </c>
      <c r="KMF162" s="367" t="s">
        <v>206</v>
      </c>
      <c r="KMG162" s="367"/>
      <c r="KMH162" s="367"/>
      <c r="KMI162" s="368" t="s">
        <v>168</v>
      </c>
      <c r="KMJ162" s="369">
        <v>0.5</v>
      </c>
      <c r="KMK162" s="370" t="e">
        <f>10/KMG160</f>
        <v>#DIV/0!</v>
      </c>
      <c r="KML162" s="371">
        <v>15.38</v>
      </c>
      <c r="KMM162" s="371" t="e">
        <f>KMJ162*KMK162*KML162</f>
        <v>#DIV/0!</v>
      </c>
      <c r="KMN162" s="367" t="s">
        <v>206</v>
      </c>
      <c r="KMO162" s="367"/>
      <c r="KMP162" s="367"/>
      <c r="KMQ162" s="368" t="s">
        <v>168</v>
      </c>
      <c r="KMR162" s="369">
        <v>0.5</v>
      </c>
      <c r="KMS162" s="370" t="e">
        <f>10/KMO160</f>
        <v>#DIV/0!</v>
      </c>
      <c r="KMT162" s="371">
        <v>15.38</v>
      </c>
      <c r="KMU162" s="371" t="e">
        <f>KMR162*KMS162*KMT162</f>
        <v>#DIV/0!</v>
      </c>
      <c r="KMV162" s="367" t="s">
        <v>206</v>
      </c>
      <c r="KMW162" s="367"/>
      <c r="KMX162" s="367"/>
      <c r="KMY162" s="368" t="s">
        <v>168</v>
      </c>
      <c r="KMZ162" s="369">
        <v>0.5</v>
      </c>
      <c r="KNA162" s="370" t="e">
        <f>10/KMW160</f>
        <v>#DIV/0!</v>
      </c>
      <c r="KNB162" s="371">
        <v>15.38</v>
      </c>
      <c r="KNC162" s="371" t="e">
        <f>KMZ162*KNA162*KNB162</f>
        <v>#DIV/0!</v>
      </c>
      <c r="KND162" s="367" t="s">
        <v>206</v>
      </c>
      <c r="KNE162" s="367"/>
      <c r="KNF162" s="367"/>
      <c r="KNG162" s="368" t="s">
        <v>168</v>
      </c>
      <c r="KNH162" s="369">
        <v>0.5</v>
      </c>
      <c r="KNI162" s="370" t="e">
        <f>10/KNE160</f>
        <v>#DIV/0!</v>
      </c>
      <c r="KNJ162" s="371">
        <v>15.38</v>
      </c>
      <c r="KNK162" s="371" t="e">
        <f>KNH162*KNI162*KNJ162</f>
        <v>#DIV/0!</v>
      </c>
      <c r="KNL162" s="367" t="s">
        <v>206</v>
      </c>
      <c r="KNM162" s="367"/>
      <c r="KNN162" s="367"/>
      <c r="KNO162" s="368" t="s">
        <v>168</v>
      </c>
      <c r="KNP162" s="369">
        <v>0.5</v>
      </c>
      <c r="KNQ162" s="370" t="e">
        <f>10/KNM160</f>
        <v>#DIV/0!</v>
      </c>
      <c r="KNR162" s="371">
        <v>15.38</v>
      </c>
      <c r="KNS162" s="371" t="e">
        <f>KNP162*KNQ162*KNR162</f>
        <v>#DIV/0!</v>
      </c>
      <c r="KNT162" s="367" t="s">
        <v>206</v>
      </c>
      <c r="KNU162" s="367"/>
      <c r="KNV162" s="367"/>
      <c r="KNW162" s="368" t="s">
        <v>168</v>
      </c>
      <c r="KNX162" s="369">
        <v>0.5</v>
      </c>
      <c r="KNY162" s="370" t="e">
        <f>10/KNU160</f>
        <v>#DIV/0!</v>
      </c>
      <c r="KNZ162" s="371">
        <v>15.38</v>
      </c>
      <c r="KOA162" s="371" t="e">
        <f>KNX162*KNY162*KNZ162</f>
        <v>#DIV/0!</v>
      </c>
      <c r="KOB162" s="367" t="s">
        <v>206</v>
      </c>
      <c r="KOC162" s="367"/>
      <c r="KOD162" s="367"/>
      <c r="KOE162" s="368" t="s">
        <v>168</v>
      </c>
      <c r="KOF162" s="369">
        <v>0.5</v>
      </c>
      <c r="KOG162" s="370" t="e">
        <f>10/KOC160</f>
        <v>#DIV/0!</v>
      </c>
      <c r="KOH162" s="371">
        <v>15.38</v>
      </c>
      <c r="KOI162" s="371" t="e">
        <f>KOF162*KOG162*KOH162</f>
        <v>#DIV/0!</v>
      </c>
      <c r="KOJ162" s="367" t="s">
        <v>206</v>
      </c>
      <c r="KOK162" s="367"/>
      <c r="KOL162" s="367"/>
      <c r="KOM162" s="368" t="s">
        <v>168</v>
      </c>
      <c r="KON162" s="369">
        <v>0.5</v>
      </c>
      <c r="KOO162" s="370" t="e">
        <f>10/KOK160</f>
        <v>#DIV/0!</v>
      </c>
      <c r="KOP162" s="371">
        <v>15.38</v>
      </c>
      <c r="KOQ162" s="371" t="e">
        <f>KON162*KOO162*KOP162</f>
        <v>#DIV/0!</v>
      </c>
      <c r="KOR162" s="367" t="s">
        <v>206</v>
      </c>
      <c r="KOS162" s="367"/>
      <c r="KOT162" s="367"/>
      <c r="KOU162" s="368" t="s">
        <v>168</v>
      </c>
      <c r="KOV162" s="369">
        <v>0.5</v>
      </c>
      <c r="KOW162" s="370" t="e">
        <f>10/KOS160</f>
        <v>#DIV/0!</v>
      </c>
      <c r="KOX162" s="371">
        <v>15.38</v>
      </c>
      <c r="KOY162" s="371" t="e">
        <f>KOV162*KOW162*KOX162</f>
        <v>#DIV/0!</v>
      </c>
      <c r="KOZ162" s="367" t="s">
        <v>206</v>
      </c>
      <c r="KPA162" s="367"/>
      <c r="KPB162" s="367"/>
      <c r="KPC162" s="368" t="s">
        <v>168</v>
      </c>
      <c r="KPD162" s="369">
        <v>0.5</v>
      </c>
      <c r="KPE162" s="370" t="e">
        <f>10/KPA160</f>
        <v>#DIV/0!</v>
      </c>
      <c r="KPF162" s="371">
        <v>15.38</v>
      </c>
      <c r="KPG162" s="371" t="e">
        <f>KPD162*KPE162*KPF162</f>
        <v>#DIV/0!</v>
      </c>
      <c r="KPH162" s="367" t="s">
        <v>206</v>
      </c>
      <c r="KPI162" s="367"/>
      <c r="KPJ162" s="367"/>
      <c r="KPK162" s="368" t="s">
        <v>168</v>
      </c>
      <c r="KPL162" s="369">
        <v>0.5</v>
      </c>
      <c r="KPM162" s="370" t="e">
        <f>10/KPI160</f>
        <v>#DIV/0!</v>
      </c>
      <c r="KPN162" s="371">
        <v>15.38</v>
      </c>
      <c r="KPO162" s="371" t="e">
        <f>KPL162*KPM162*KPN162</f>
        <v>#DIV/0!</v>
      </c>
      <c r="KPP162" s="367" t="s">
        <v>206</v>
      </c>
      <c r="KPQ162" s="367"/>
      <c r="KPR162" s="367"/>
      <c r="KPS162" s="368" t="s">
        <v>168</v>
      </c>
      <c r="KPT162" s="369">
        <v>0.5</v>
      </c>
      <c r="KPU162" s="370" t="e">
        <f>10/KPQ160</f>
        <v>#DIV/0!</v>
      </c>
      <c r="KPV162" s="371">
        <v>15.38</v>
      </c>
      <c r="KPW162" s="371" t="e">
        <f>KPT162*KPU162*KPV162</f>
        <v>#DIV/0!</v>
      </c>
      <c r="KPX162" s="367" t="s">
        <v>206</v>
      </c>
      <c r="KPY162" s="367"/>
      <c r="KPZ162" s="367"/>
      <c r="KQA162" s="368" t="s">
        <v>168</v>
      </c>
      <c r="KQB162" s="369">
        <v>0.5</v>
      </c>
      <c r="KQC162" s="370" t="e">
        <f>10/KPY160</f>
        <v>#DIV/0!</v>
      </c>
      <c r="KQD162" s="371">
        <v>15.38</v>
      </c>
      <c r="KQE162" s="371" t="e">
        <f>KQB162*KQC162*KQD162</f>
        <v>#DIV/0!</v>
      </c>
      <c r="KQF162" s="367" t="s">
        <v>206</v>
      </c>
      <c r="KQG162" s="367"/>
      <c r="KQH162" s="367"/>
      <c r="KQI162" s="368" t="s">
        <v>168</v>
      </c>
      <c r="KQJ162" s="369">
        <v>0.5</v>
      </c>
      <c r="KQK162" s="370" t="e">
        <f>10/KQG160</f>
        <v>#DIV/0!</v>
      </c>
      <c r="KQL162" s="371">
        <v>15.38</v>
      </c>
      <c r="KQM162" s="371" t="e">
        <f>KQJ162*KQK162*KQL162</f>
        <v>#DIV/0!</v>
      </c>
      <c r="KQN162" s="367" t="s">
        <v>206</v>
      </c>
      <c r="KQO162" s="367"/>
      <c r="KQP162" s="367"/>
      <c r="KQQ162" s="368" t="s">
        <v>168</v>
      </c>
      <c r="KQR162" s="369">
        <v>0.5</v>
      </c>
      <c r="KQS162" s="370" t="e">
        <f>10/KQO160</f>
        <v>#DIV/0!</v>
      </c>
      <c r="KQT162" s="371">
        <v>15.38</v>
      </c>
      <c r="KQU162" s="371" t="e">
        <f>KQR162*KQS162*KQT162</f>
        <v>#DIV/0!</v>
      </c>
      <c r="KQV162" s="367" t="s">
        <v>206</v>
      </c>
      <c r="KQW162" s="367"/>
      <c r="KQX162" s="367"/>
      <c r="KQY162" s="368" t="s">
        <v>168</v>
      </c>
      <c r="KQZ162" s="369">
        <v>0.5</v>
      </c>
      <c r="KRA162" s="370" t="e">
        <f>10/KQW160</f>
        <v>#DIV/0!</v>
      </c>
      <c r="KRB162" s="371">
        <v>15.38</v>
      </c>
      <c r="KRC162" s="371" t="e">
        <f>KQZ162*KRA162*KRB162</f>
        <v>#DIV/0!</v>
      </c>
      <c r="KRD162" s="367" t="s">
        <v>206</v>
      </c>
      <c r="KRE162" s="367"/>
      <c r="KRF162" s="367"/>
      <c r="KRG162" s="368" t="s">
        <v>168</v>
      </c>
      <c r="KRH162" s="369">
        <v>0.5</v>
      </c>
      <c r="KRI162" s="370" t="e">
        <f>10/KRE160</f>
        <v>#DIV/0!</v>
      </c>
      <c r="KRJ162" s="371">
        <v>15.38</v>
      </c>
      <c r="KRK162" s="371" t="e">
        <f>KRH162*KRI162*KRJ162</f>
        <v>#DIV/0!</v>
      </c>
      <c r="KRL162" s="367" t="s">
        <v>206</v>
      </c>
      <c r="KRM162" s="367"/>
      <c r="KRN162" s="367"/>
      <c r="KRO162" s="368" t="s">
        <v>168</v>
      </c>
      <c r="KRP162" s="369">
        <v>0.5</v>
      </c>
      <c r="KRQ162" s="370" t="e">
        <f>10/KRM160</f>
        <v>#DIV/0!</v>
      </c>
      <c r="KRR162" s="371">
        <v>15.38</v>
      </c>
      <c r="KRS162" s="371" t="e">
        <f>KRP162*KRQ162*KRR162</f>
        <v>#DIV/0!</v>
      </c>
      <c r="KRT162" s="367" t="s">
        <v>206</v>
      </c>
      <c r="KRU162" s="367"/>
      <c r="KRV162" s="367"/>
      <c r="KRW162" s="368" t="s">
        <v>168</v>
      </c>
      <c r="KRX162" s="369">
        <v>0.5</v>
      </c>
      <c r="KRY162" s="370" t="e">
        <f>10/KRU160</f>
        <v>#DIV/0!</v>
      </c>
      <c r="KRZ162" s="371">
        <v>15.38</v>
      </c>
      <c r="KSA162" s="371" t="e">
        <f>KRX162*KRY162*KRZ162</f>
        <v>#DIV/0!</v>
      </c>
      <c r="KSB162" s="367" t="s">
        <v>206</v>
      </c>
      <c r="KSC162" s="367"/>
      <c r="KSD162" s="367"/>
      <c r="KSE162" s="368" t="s">
        <v>168</v>
      </c>
      <c r="KSF162" s="369">
        <v>0.5</v>
      </c>
      <c r="KSG162" s="370" t="e">
        <f>10/KSC160</f>
        <v>#DIV/0!</v>
      </c>
      <c r="KSH162" s="371">
        <v>15.38</v>
      </c>
      <c r="KSI162" s="371" t="e">
        <f>KSF162*KSG162*KSH162</f>
        <v>#DIV/0!</v>
      </c>
      <c r="KSJ162" s="367" t="s">
        <v>206</v>
      </c>
      <c r="KSK162" s="367"/>
      <c r="KSL162" s="367"/>
      <c r="KSM162" s="368" t="s">
        <v>168</v>
      </c>
      <c r="KSN162" s="369">
        <v>0.5</v>
      </c>
      <c r="KSO162" s="370" t="e">
        <f>10/KSK160</f>
        <v>#DIV/0!</v>
      </c>
      <c r="KSP162" s="371">
        <v>15.38</v>
      </c>
      <c r="KSQ162" s="371" t="e">
        <f>KSN162*KSO162*KSP162</f>
        <v>#DIV/0!</v>
      </c>
      <c r="KSR162" s="367" t="s">
        <v>206</v>
      </c>
      <c r="KSS162" s="367"/>
      <c r="KST162" s="367"/>
      <c r="KSU162" s="368" t="s">
        <v>168</v>
      </c>
      <c r="KSV162" s="369">
        <v>0.5</v>
      </c>
      <c r="KSW162" s="370" t="e">
        <f>10/KSS160</f>
        <v>#DIV/0!</v>
      </c>
      <c r="KSX162" s="371">
        <v>15.38</v>
      </c>
      <c r="KSY162" s="371" t="e">
        <f>KSV162*KSW162*KSX162</f>
        <v>#DIV/0!</v>
      </c>
      <c r="KSZ162" s="367" t="s">
        <v>206</v>
      </c>
      <c r="KTA162" s="367"/>
      <c r="KTB162" s="367"/>
      <c r="KTC162" s="368" t="s">
        <v>168</v>
      </c>
      <c r="KTD162" s="369">
        <v>0.5</v>
      </c>
      <c r="KTE162" s="370" t="e">
        <f>10/KTA160</f>
        <v>#DIV/0!</v>
      </c>
      <c r="KTF162" s="371">
        <v>15.38</v>
      </c>
      <c r="KTG162" s="371" t="e">
        <f>KTD162*KTE162*KTF162</f>
        <v>#DIV/0!</v>
      </c>
      <c r="KTH162" s="367" t="s">
        <v>206</v>
      </c>
      <c r="KTI162" s="367"/>
      <c r="KTJ162" s="367"/>
      <c r="KTK162" s="368" t="s">
        <v>168</v>
      </c>
      <c r="KTL162" s="369">
        <v>0.5</v>
      </c>
      <c r="KTM162" s="370" t="e">
        <f>10/KTI160</f>
        <v>#DIV/0!</v>
      </c>
      <c r="KTN162" s="371">
        <v>15.38</v>
      </c>
      <c r="KTO162" s="371" t="e">
        <f>KTL162*KTM162*KTN162</f>
        <v>#DIV/0!</v>
      </c>
      <c r="KTP162" s="367" t="s">
        <v>206</v>
      </c>
      <c r="KTQ162" s="367"/>
      <c r="KTR162" s="367"/>
      <c r="KTS162" s="368" t="s">
        <v>168</v>
      </c>
      <c r="KTT162" s="369">
        <v>0.5</v>
      </c>
      <c r="KTU162" s="370" t="e">
        <f>10/KTQ160</f>
        <v>#DIV/0!</v>
      </c>
      <c r="KTV162" s="371">
        <v>15.38</v>
      </c>
      <c r="KTW162" s="371" t="e">
        <f>KTT162*KTU162*KTV162</f>
        <v>#DIV/0!</v>
      </c>
      <c r="KTX162" s="367" t="s">
        <v>206</v>
      </c>
      <c r="KTY162" s="367"/>
      <c r="KTZ162" s="367"/>
      <c r="KUA162" s="368" t="s">
        <v>168</v>
      </c>
      <c r="KUB162" s="369">
        <v>0.5</v>
      </c>
      <c r="KUC162" s="370" t="e">
        <f>10/KTY160</f>
        <v>#DIV/0!</v>
      </c>
      <c r="KUD162" s="371">
        <v>15.38</v>
      </c>
      <c r="KUE162" s="371" t="e">
        <f>KUB162*KUC162*KUD162</f>
        <v>#DIV/0!</v>
      </c>
      <c r="KUF162" s="367" t="s">
        <v>206</v>
      </c>
      <c r="KUG162" s="367"/>
      <c r="KUH162" s="367"/>
      <c r="KUI162" s="368" t="s">
        <v>168</v>
      </c>
      <c r="KUJ162" s="369">
        <v>0.5</v>
      </c>
      <c r="KUK162" s="370" t="e">
        <f>10/KUG160</f>
        <v>#DIV/0!</v>
      </c>
      <c r="KUL162" s="371">
        <v>15.38</v>
      </c>
      <c r="KUM162" s="371" t="e">
        <f>KUJ162*KUK162*KUL162</f>
        <v>#DIV/0!</v>
      </c>
      <c r="KUN162" s="367" t="s">
        <v>206</v>
      </c>
      <c r="KUO162" s="367"/>
      <c r="KUP162" s="367"/>
      <c r="KUQ162" s="368" t="s">
        <v>168</v>
      </c>
      <c r="KUR162" s="369">
        <v>0.5</v>
      </c>
      <c r="KUS162" s="370" t="e">
        <f>10/KUO160</f>
        <v>#DIV/0!</v>
      </c>
      <c r="KUT162" s="371">
        <v>15.38</v>
      </c>
      <c r="KUU162" s="371" t="e">
        <f>KUR162*KUS162*KUT162</f>
        <v>#DIV/0!</v>
      </c>
      <c r="KUV162" s="367" t="s">
        <v>206</v>
      </c>
      <c r="KUW162" s="367"/>
      <c r="KUX162" s="367"/>
      <c r="KUY162" s="368" t="s">
        <v>168</v>
      </c>
      <c r="KUZ162" s="369">
        <v>0.5</v>
      </c>
      <c r="KVA162" s="370" t="e">
        <f>10/KUW160</f>
        <v>#DIV/0!</v>
      </c>
      <c r="KVB162" s="371">
        <v>15.38</v>
      </c>
      <c r="KVC162" s="371" t="e">
        <f>KUZ162*KVA162*KVB162</f>
        <v>#DIV/0!</v>
      </c>
      <c r="KVD162" s="367" t="s">
        <v>206</v>
      </c>
      <c r="KVE162" s="367"/>
      <c r="KVF162" s="367"/>
      <c r="KVG162" s="368" t="s">
        <v>168</v>
      </c>
      <c r="KVH162" s="369">
        <v>0.5</v>
      </c>
      <c r="KVI162" s="370" t="e">
        <f>10/KVE160</f>
        <v>#DIV/0!</v>
      </c>
      <c r="KVJ162" s="371">
        <v>15.38</v>
      </c>
      <c r="KVK162" s="371" t="e">
        <f>KVH162*KVI162*KVJ162</f>
        <v>#DIV/0!</v>
      </c>
      <c r="KVL162" s="367" t="s">
        <v>206</v>
      </c>
      <c r="KVM162" s="367"/>
      <c r="KVN162" s="367"/>
      <c r="KVO162" s="368" t="s">
        <v>168</v>
      </c>
      <c r="KVP162" s="369">
        <v>0.5</v>
      </c>
      <c r="KVQ162" s="370" t="e">
        <f>10/KVM160</f>
        <v>#DIV/0!</v>
      </c>
      <c r="KVR162" s="371">
        <v>15.38</v>
      </c>
      <c r="KVS162" s="371" t="e">
        <f>KVP162*KVQ162*KVR162</f>
        <v>#DIV/0!</v>
      </c>
      <c r="KVT162" s="367" t="s">
        <v>206</v>
      </c>
      <c r="KVU162" s="367"/>
      <c r="KVV162" s="367"/>
      <c r="KVW162" s="368" t="s">
        <v>168</v>
      </c>
      <c r="KVX162" s="369">
        <v>0.5</v>
      </c>
      <c r="KVY162" s="370" t="e">
        <f>10/KVU160</f>
        <v>#DIV/0!</v>
      </c>
      <c r="KVZ162" s="371">
        <v>15.38</v>
      </c>
      <c r="KWA162" s="371" t="e">
        <f>KVX162*KVY162*KVZ162</f>
        <v>#DIV/0!</v>
      </c>
      <c r="KWB162" s="367" t="s">
        <v>206</v>
      </c>
      <c r="KWC162" s="367"/>
      <c r="KWD162" s="367"/>
      <c r="KWE162" s="368" t="s">
        <v>168</v>
      </c>
      <c r="KWF162" s="369">
        <v>0.5</v>
      </c>
      <c r="KWG162" s="370" t="e">
        <f>10/KWC160</f>
        <v>#DIV/0!</v>
      </c>
      <c r="KWH162" s="371">
        <v>15.38</v>
      </c>
      <c r="KWI162" s="371" t="e">
        <f>KWF162*KWG162*KWH162</f>
        <v>#DIV/0!</v>
      </c>
      <c r="KWJ162" s="367" t="s">
        <v>206</v>
      </c>
      <c r="KWK162" s="367"/>
      <c r="KWL162" s="367"/>
      <c r="KWM162" s="368" t="s">
        <v>168</v>
      </c>
      <c r="KWN162" s="369">
        <v>0.5</v>
      </c>
      <c r="KWO162" s="370" t="e">
        <f>10/KWK160</f>
        <v>#DIV/0!</v>
      </c>
      <c r="KWP162" s="371">
        <v>15.38</v>
      </c>
      <c r="KWQ162" s="371" t="e">
        <f>KWN162*KWO162*KWP162</f>
        <v>#DIV/0!</v>
      </c>
      <c r="KWR162" s="367" t="s">
        <v>206</v>
      </c>
      <c r="KWS162" s="367"/>
      <c r="KWT162" s="367"/>
      <c r="KWU162" s="368" t="s">
        <v>168</v>
      </c>
      <c r="KWV162" s="369">
        <v>0.5</v>
      </c>
      <c r="KWW162" s="370" t="e">
        <f>10/KWS160</f>
        <v>#DIV/0!</v>
      </c>
      <c r="KWX162" s="371">
        <v>15.38</v>
      </c>
      <c r="KWY162" s="371" t="e">
        <f>KWV162*KWW162*KWX162</f>
        <v>#DIV/0!</v>
      </c>
      <c r="KWZ162" s="367" t="s">
        <v>206</v>
      </c>
      <c r="KXA162" s="367"/>
      <c r="KXB162" s="367"/>
      <c r="KXC162" s="368" t="s">
        <v>168</v>
      </c>
      <c r="KXD162" s="369">
        <v>0.5</v>
      </c>
      <c r="KXE162" s="370" t="e">
        <f>10/KXA160</f>
        <v>#DIV/0!</v>
      </c>
      <c r="KXF162" s="371">
        <v>15.38</v>
      </c>
      <c r="KXG162" s="371" t="e">
        <f>KXD162*KXE162*KXF162</f>
        <v>#DIV/0!</v>
      </c>
      <c r="KXH162" s="367" t="s">
        <v>206</v>
      </c>
      <c r="KXI162" s="367"/>
      <c r="KXJ162" s="367"/>
      <c r="KXK162" s="368" t="s">
        <v>168</v>
      </c>
      <c r="KXL162" s="369">
        <v>0.5</v>
      </c>
      <c r="KXM162" s="370" t="e">
        <f>10/KXI160</f>
        <v>#DIV/0!</v>
      </c>
      <c r="KXN162" s="371">
        <v>15.38</v>
      </c>
      <c r="KXO162" s="371" t="e">
        <f>KXL162*KXM162*KXN162</f>
        <v>#DIV/0!</v>
      </c>
      <c r="KXP162" s="367" t="s">
        <v>206</v>
      </c>
      <c r="KXQ162" s="367"/>
      <c r="KXR162" s="367"/>
      <c r="KXS162" s="368" t="s">
        <v>168</v>
      </c>
      <c r="KXT162" s="369">
        <v>0.5</v>
      </c>
      <c r="KXU162" s="370" t="e">
        <f>10/KXQ160</f>
        <v>#DIV/0!</v>
      </c>
      <c r="KXV162" s="371">
        <v>15.38</v>
      </c>
      <c r="KXW162" s="371" t="e">
        <f>KXT162*KXU162*KXV162</f>
        <v>#DIV/0!</v>
      </c>
      <c r="KXX162" s="367" t="s">
        <v>206</v>
      </c>
      <c r="KXY162" s="367"/>
      <c r="KXZ162" s="367"/>
      <c r="KYA162" s="368" t="s">
        <v>168</v>
      </c>
      <c r="KYB162" s="369">
        <v>0.5</v>
      </c>
      <c r="KYC162" s="370" t="e">
        <f>10/KXY160</f>
        <v>#DIV/0!</v>
      </c>
      <c r="KYD162" s="371">
        <v>15.38</v>
      </c>
      <c r="KYE162" s="371" t="e">
        <f>KYB162*KYC162*KYD162</f>
        <v>#DIV/0!</v>
      </c>
      <c r="KYF162" s="367" t="s">
        <v>206</v>
      </c>
      <c r="KYG162" s="367"/>
      <c r="KYH162" s="367"/>
      <c r="KYI162" s="368" t="s">
        <v>168</v>
      </c>
      <c r="KYJ162" s="369">
        <v>0.5</v>
      </c>
      <c r="KYK162" s="370" t="e">
        <f>10/KYG160</f>
        <v>#DIV/0!</v>
      </c>
      <c r="KYL162" s="371">
        <v>15.38</v>
      </c>
      <c r="KYM162" s="371" t="e">
        <f>KYJ162*KYK162*KYL162</f>
        <v>#DIV/0!</v>
      </c>
      <c r="KYN162" s="367" t="s">
        <v>206</v>
      </c>
      <c r="KYO162" s="367"/>
      <c r="KYP162" s="367"/>
      <c r="KYQ162" s="368" t="s">
        <v>168</v>
      </c>
      <c r="KYR162" s="369">
        <v>0.5</v>
      </c>
      <c r="KYS162" s="370" t="e">
        <f>10/KYO160</f>
        <v>#DIV/0!</v>
      </c>
      <c r="KYT162" s="371">
        <v>15.38</v>
      </c>
      <c r="KYU162" s="371" t="e">
        <f>KYR162*KYS162*KYT162</f>
        <v>#DIV/0!</v>
      </c>
      <c r="KYV162" s="367" t="s">
        <v>206</v>
      </c>
      <c r="KYW162" s="367"/>
      <c r="KYX162" s="367"/>
      <c r="KYY162" s="368" t="s">
        <v>168</v>
      </c>
      <c r="KYZ162" s="369">
        <v>0.5</v>
      </c>
      <c r="KZA162" s="370" t="e">
        <f>10/KYW160</f>
        <v>#DIV/0!</v>
      </c>
      <c r="KZB162" s="371">
        <v>15.38</v>
      </c>
      <c r="KZC162" s="371" t="e">
        <f>KYZ162*KZA162*KZB162</f>
        <v>#DIV/0!</v>
      </c>
      <c r="KZD162" s="367" t="s">
        <v>206</v>
      </c>
      <c r="KZE162" s="367"/>
      <c r="KZF162" s="367"/>
      <c r="KZG162" s="368" t="s">
        <v>168</v>
      </c>
      <c r="KZH162" s="369">
        <v>0.5</v>
      </c>
      <c r="KZI162" s="370" t="e">
        <f>10/KZE160</f>
        <v>#DIV/0!</v>
      </c>
      <c r="KZJ162" s="371">
        <v>15.38</v>
      </c>
      <c r="KZK162" s="371" t="e">
        <f>KZH162*KZI162*KZJ162</f>
        <v>#DIV/0!</v>
      </c>
      <c r="KZL162" s="367" t="s">
        <v>206</v>
      </c>
      <c r="KZM162" s="367"/>
      <c r="KZN162" s="367"/>
      <c r="KZO162" s="368" t="s">
        <v>168</v>
      </c>
      <c r="KZP162" s="369">
        <v>0.5</v>
      </c>
      <c r="KZQ162" s="370" t="e">
        <f>10/KZM160</f>
        <v>#DIV/0!</v>
      </c>
      <c r="KZR162" s="371">
        <v>15.38</v>
      </c>
      <c r="KZS162" s="371" t="e">
        <f>KZP162*KZQ162*KZR162</f>
        <v>#DIV/0!</v>
      </c>
      <c r="KZT162" s="367" t="s">
        <v>206</v>
      </c>
      <c r="KZU162" s="367"/>
      <c r="KZV162" s="367"/>
      <c r="KZW162" s="368" t="s">
        <v>168</v>
      </c>
      <c r="KZX162" s="369">
        <v>0.5</v>
      </c>
      <c r="KZY162" s="370" t="e">
        <f>10/KZU160</f>
        <v>#DIV/0!</v>
      </c>
      <c r="KZZ162" s="371">
        <v>15.38</v>
      </c>
      <c r="LAA162" s="371" t="e">
        <f>KZX162*KZY162*KZZ162</f>
        <v>#DIV/0!</v>
      </c>
      <c r="LAB162" s="367" t="s">
        <v>206</v>
      </c>
      <c r="LAC162" s="367"/>
      <c r="LAD162" s="367"/>
      <c r="LAE162" s="368" t="s">
        <v>168</v>
      </c>
      <c r="LAF162" s="369">
        <v>0.5</v>
      </c>
      <c r="LAG162" s="370" t="e">
        <f>10/LAC160</f>
        <v>#DIV/0!</v>
      </c>
      <c r="LAH162" s="371">
        <v>15.38</v>
      </c>
      <c r="LAI162" s="371" t="e">
        <f>LAF162*LAG162*LAH162</f>
        <v>#DIV/0!</v>
      </c>
      <c r="LAJ162" s="367" t="s">
        <v>206</v>
      </c>
      <c r="LAK162" s="367"/>
      <c r="LAL162" s="367"/>
      <c r="LAM162" s="368" t="s">
        <v>168</v>
      </c>
      <c r="LAN162" s="369">
        <v>0.5</v>
      </c>
      <c r="LAO162" s="370" t="e">
        <f>10/LAK160</f>
        <v>#DIV/0!</v>
      </c>
      <c r="LAP162" s="371">
        <v>15.38</v>
      </c>
      <c r="LAQ162" s="371" t="e">
        <f>LAN162*LAO162*LAP162</f>
        <v>#DIV/0!</v>
      </c>
      <c r="LAR162" s="367" t="s">
        <v>206</v>
      </c>
      <c r="LAS162" s="367"/>
      <c r="LAT162" s="367"/>
      <c r="LAU162" s="368" t="s">
        <v>168</v>
      </c>
      <c r="LAV162" s="369">
        <v>0.5</v>
      </c>
      <c r="LAW162" s="370" t="e">
        <f>10/LAS160</f>
        <v>#DIV/0!</v>
      </c>
      <c r="LAX162" s="371">
        <v>15.38</v>
      </c>
      <c r="LAY162" s="371" t="e">
        <f>LAV162*LAW162*LAX162</f>
        <v>#DIV/0!</v>
      </c>
      <c r="LAZ162" s="367" t="s">
        <v>206</v>
      </c>
      <c r="LBA162" s="367"/>
      <c r="LBB162" s="367"/>
      <c r="LBC162" s="368" t="s">
        <v>168</v>
      </c>
      <c r="LBD162" s="369">
        <v>0.5</v>
      </c>
      <c r="LBE162" s="370" t="e">
        <f>10/LBA160</f>
        <v>#DIV/0!</v>
      </c>
      <c r="LBF162" s="371">
        <v>15.38</v>
      </c>
      <c r="LBG162" s="371" t="e">
        <f>LBD162*LBE162*LBF162</f>
        <v>#DIV/0!</v>
      </c>
      <c r="LBH162" s="367" t="s">
        <v>206</v>
      </c>
      <c r="LBI162" s="367"/>
      <c r="LBJ162" s="367"/>
      <c r="LBK162" s="368" t="s">
        <v>168</v>
      </c>
      <c r="LBL162" s="369">
        <v>0.5</v>
      </c>
      <c r="LBM162" s="370" t="e">
        <f>10/LBI160</f>
        <v>#DIV/0!</v>
      </c>
      <c r="LBN162" s="371">
        <v>15.38</v>
      </c>
      <c r="LBO162" s="371" t="e">
        <f>LBL162*LBM162*LBN162</f>
        <v>#DIV/0!</v>
      </c>
      <c r="LBP162" s="367" t="s">
        <v>206</v>
      </c>
      <c r="LBQ162" s="367"/>
      <c r="LBR162" s="367"/>
      <c r="LBS162" s="368" t="s">
        <v>168</v>
      </c>
      <c r="LBT162" s="369">
        <v>0.5</v>
      </c>
      <c r="LBU162" s="370" t="e">
        <f>10/LBQ160</f>
        <v>#DIV/0!</v>
      </c>
      <c r="LBV162" s="371">
        <v>15.38</v>
      </c>
      <c r="LBW162" s="371" t="e">
        <f>LBT162*LBU162*LBV162</f>
        <v>#DIV/0!</v>
      </c>
      <c r="LBX162" s="367" t="s">
        <v>206</v>
      </c>
      <c r="LBY162" s="367"/>
      <c r="LBZ162" s="367"/>
      <c r="LCA162" s="368" t="s">
        <v>168</v>
      </c>
      <c r="LCB162" s="369">
        <v>0.5</v>
      </c>
      <c r="LCC162" s="370" t="e">
        <f>10/LBY160</f>
        <v>#DIV/0!</v>
      </c>
      <c r="LCD162" s="371">
        <v>15.38</v>
      </c>
      <c r="LCE162" s="371" t="e">
        <f>LCB162*LCC162*LCD162</f>
        <v>#DIV/0!</v>
      </c>
      <c r="LCF162" s="367" t="s">
        <v>206</v>
      </c>
      <c r="LCG162" s="367"/>
      <c r="LCH162" s="367"/>
      <c r="LCI162" s="368" t="s">
        <v>168</v>
      </c>
      <c r="LCJ162" s="369">
        <v>0.5</v>
      </c>
      <c r="LCK162" s="370" t="e">
        <f>10/LCG160</f>
        <v>#DIV/0!</v>
      </c>
      <c r="LCL162" s="371">
        <v>15.38</v>
      </c>
      <c r="LCM162" s="371" t="e">
        <f>LCJ162*LCK162*LCL162</f>
        <v>#DIV/0!</v>
      </c>
      <c r="LCN162" s="367" t="s">
        <v>206</v>
      </c>
      <c r="LCO162" s="367"/>
      <c r="LCP162" s="367"/>
      <c r="LCQ162" s="368" t="s">
        <v>168</v>
      </c>
      <c r="LCR162" s="369">
        <v>0.5</v>
      </c>
      <c r="LCS162" s="370" t="e">
        <f>10/LCO160</f>
        <v>#DIV/0!</v>
      </c>
      <c r="LCT162" s="371">
        <v>15.38</v>
      </c>
      <c r="LCU162" s="371" t="e">
        <f>LCR162*LCS162*LCT162</f>
        <v>#DIV/0!</v>
      </c>
      <c r="LCV162" s="367" t="s">
        <v>206</v>
      </c>
      <c r="LCW162" s="367"/>
      <c r="LCX162" s="367"/>
      <c r="LCY162" s="368" t="s">
        <v>168</v>
      </c>
      <c r="LCZ162" s="369">
        <v>0.5</v>
      </c>
      <c r="LDA162" s="370" t="e">
        <f>10/LCW160</f>
        <v>#DIV/0!</v>
      </c>
      <c r="LDB162" s="371">
        <v>15.38</v>
      </c>
      <c r="LDC162" s="371" t="e">
        <f>LCZ162*LDA162*LDB162</f>
        <v>#DIV/0!</v>
      </c>
      <c r="LDD162" s="367" t="s">
        <v>206</v>
      </c>
      <c r="LDE162" s="367"/>
      <c r="LDF162" s="367"/>
      <c r="LDG162" s="368" t="s">
        <v>168</v>
      </c>
      <c r="LDH162" s="369">
        <v>0.5</v>
      </c>
      <c r="LDI162" s="370" t="e">
        <f>10/LDE160</f>
        <v>#DIV/0!</v>
      </c>
      <c r="LDJ162" s="371">
        <v>15.38</v>
      </c>
      <c r="LDK162" s="371" t="e">
        <f>LDH162*LDI162*LDJ162</f>
        <v>#DIV/0!</v>
      </c>
      <c r="LDL162" s="367" t="s">
        <v>206</v>
      </c>
      <c r="LDM162" s="367"/>
      <c r="LDN162" s="367"/>
      <c r="LDO162" s="368" t="s">
        <v>168</v>
      </c>
      <c r="LDP162" s="369">
        <v>0.5</v>
      </c>
      <c r="LDQ162" s="370" t="e">
        <f>10/LDM160</f>
        <v>#DIV/0!</v>
      </c>
      <c r="LDR162" s="371">
        <v>15.38</v>
      </c>
      <c r="LDS162" s="371" t="e">
        <f>LDP162*LDQ162*LDR162</f>
        <v>#DIV/0!</v>
      </c>
      <c r="LDT162" s="367" t="s">
        <v>206</v>
      </c>
      <c r="LDU162" s="367"/>
      <c r="LDV162" s="367"/>
      <c r="LDW162" s="368" t="s">
        <v>168</v>
      </c>
      <c r="LDX162" s="369">
        <v>0.5</v>
      </c>
      <c r="LDY162" s="370" t="e">
        <f>10/LDU160</f>
        <v>#DIV/0!</v>
      </c>
      <c r="LDZ162" s="371">
        <v>15.38</v>
      </c>
      <c r="LEA162" s="371" t="e">
        <f>LDX162*LDY162*LDZ162</f>
        <v>#DIV/0!</v>
      </c>
      <c r="LEB162" s="367" t="s">
        <v>206</v>
      </c>
      <c r="LEC162" s="367"/>
      <c r="LED162" s="367"/>
      <c r="LEE162" s="368" t="s">
        <v>168</v>
      </c>
      <c r="LEF162" s="369">
        <v>0.5</v>
      </c>
      <c r="LEG162" s="370" t="e">
        <f>10/LEC160</f>
        <v>#DIV/0!</v>
      </c>
      <c r="LEH162" s="371">
        <v>15.38</v>
      </c>
      <c r="LEI162" s="371" t="e">
        <f>LEF162*LEG162*LEH162</f>
        <v>#DIV/0!</v>
      </c>
      <c r="LEJ162" s="367" t="s">
        <v>206</v>
      </c>
      <c r="LEK162" s="367"/>
      <c r="LEL162" s="367"/>
      <c r="LEM162" s="368" t="s">
        <v>168</v>
      </c>
      <c r="LEN162" s="369">
        <v>0.5</v>
      </c>
      <c r="LEO162" s="370" t="e">
        <f>10/LEK160</f>
        <v>#DIV/0!</v>
      </c>
      <c r="LEP162" s="371">
        <v>15.38</v>
      </c>
      <c r="LEQ162" s="371" t="e">
        <f>LEN162*LEO162*LEP162</f>
        <v>#DIV/0!</v>
      </c>
      <c r="LER162" s="367" t="s">
        <v>206</v>
      </c>
      <c r="LES162" s="367"/>
      <c r="LET162" s="367"/>
      <c r="LEU162" s="368" t="s">
        <v>168</v>
      </c>
      <c r="LEV162" s="369">
        <v>0.5</v>
      </c>
      <c r="LEW162" s="370" t="e">
        <f>10/LES160</f>
        <v>#DIV/0!</v>
      </c>
      <c r="LEX162" s="371">
        <v>15.38</v>
      </c>
      <c r="LEY162" s="371" t="e">
        <f>LEV162*LEW162*LEX162</f>
        <v>#DIV/0!</v>
      </c>
      <c r="LEZ162" s="367" t="s">
        <v>206</v>
      </c>
      <c r="LFA162" s="367"/>
      <c r="LFB162" s="367"/>
      <c r="LFC162" s="368" t="s">
        <v>168</v>
      </c>
      <c r="LFD162" s="369">
        <v>0.5</v>
      </c>
      <c r="LFE162" s="370" t="e">
        <f>10/LFA160</f>
        <v>#DIV/0!</v>
      </c>
      <c r="LFF162" s="371">
        <v>15.38</v>
      </c>
      <c r="LFG162" s="371" t="e">
        <f>LFD162*LFE162*LFF162</f>
        <v>#DIV/0!</v>
      </c>
      <c r="LFH162" s="367" t="s">
        <v>206</v>
      </c>
      <c r="LFI162" s="367"/>
      <c r="LFJ162" s="367"/>
      <c r="LFK162" s="368" t="s">
        <v>168</v>
      </c>
      <c r="LFL162" s="369">
        <v>0.5</v>
      </c>
      <c r="LFM162" s="370" t="e">
        <f>10/LFI160</f>
        <v>#DIV/0!</v>
      </c>
      <c r="LFN162" s="371">
        <v>15.38</v>
      </c>
      <c r="LFO162" s="371" t="e">
        <f>LFL162*LFM162*LFN162</f>
        <v>#DIV/0!</v>
      </c>
      <c r="LFP162" s="367" t="s">
        <v>206</v>
      </c>
      <c r="LFQ162" s="367"/>
      <c r="LFR162" s="367"/>
      <c r="LFS162" s="368" t="s">
        <v>168</v>
      </c>
      <c r="LFT162" s="369">
        <v>0.5</v>
      </c>
      <c r="LFU162" s="370" t="e">
        <f>10/LFQ160</f>
        <v>#DIV/0!</v>
      </c>
      <c r="LFV162" s="371">
        <v>15.38</v>
      </c>
      <c r="LFW162" s="371" t="e">
        <f>LFT162*LFU162*LFV162</f>
        <v>#DIV/0!</v>
      </c>
      <c r="LFX162" s="367" t="s">
        <v>206</v>
      </c>
      <c r="LFY162" s="367"/>
      <c r="LFZ162" s="367"/>
      <c r="LGA162" s="368" t="s">
        <v>168</v>
      </c>
      <c r="LGB162" s="369">
        <v>0.5</v>
      </c>
      <c r="LGC162" s="370" t="e">
        <f>10/LFY160</f>
        <v>#DIV/0!</v>
      </c>
      <c r="LGD162" s="371">
        <v>15.38</v>
      </c>
      <c r="LGE162" s="371" t="e">
        <f>LGB162*LGC162*LGD162</f>
        <v>#DIV/0!</v>
      </c>
      <c r="LGF162" s="367" t="s">
        <v>206</v>
      </c>
      <c r="LGG162" s="367"/>
      <c r="LGH162" s="367"/>
      <c r="LGI162" s="368" t="s">
        <v>168</v>
      </c>
      <c r="LGJ162" s="369">
        <v>0.5</v>
      </c>
      <c r="LGK162" s="370" t="e">
        <f>10/LGG160</f>
        <v>#DIV/0!</v>
      </c>
      <c r="LGL162" s="371">
        <v>15.38</v>
      </c>
      <c r="LGM162" s="371" t="e">
        <f>LGJ162*LGK162*LGL162</f>
        <v>#DIV/0!</v>
      </c>
      <c r="LGN162" s="367" t="s">
        <v>206</v>
      </c>
      <c r="LGO162" s="367"/>
      <c r="LGP162" s="367"/>
      <c r="LGQ162" s="368" t="s">
        <v>168</v>
      </c>
      <c r="LGR162" s="369">
        <v>0.5</v>
      </c>
      <c r="LGS162" s="370" t="e">
        <f>10/LGO160</f>
        <v>#DIV/0!</v>
      </c>
      <c r="LGT162" s="371">
        <v>15.38</v>
      </c>
      <c r="LGU162" s="371" t="e">
        <f>LGR162*LGS162*LGT162</f>
        <v>#DIV/0!</v>
      </c>
      <c r="LGV162" s="367" t="s">
        <v>206</v>
      </c>
      <c r="LGW162" s="367"/>
      <c r="LGX162" s="367"/>
      <c r="LGY162" s="368" t="s">
        <v>168</v>
      </c>
      <c r="LGZ162" s="369">
        <v>0.5</v>
      </c>
      <c r="LHA162" s="370" t="e">
        <f>10/LGW160</f>
        <v>#DIV/0!</v>
      </c>
      <c r="LHB162" s="371">
        <v>15.38</v>
      </c>
      <c r="LHC162" s="371" t="e">
        <f>LGZ162*LHA162*LHB162</f>
        <v>#DIV/0!</v>
      </c>
      <c r="LHD162" s="367" t="s">
        <v>206</v>
      </c>
      <c r="LHE162" s="367"/>
      <c r="LHF162" s="367"/>
      <c r="LHG162" s="368" t="s">
        <v>168</v>
      </c>
      <c r="LHH162" s="369">
        <v>0.5</v>
      </c>
      <c r="LHI162" s="370" t="e">
        <f>10/LHE160</f>
        <v>#DIV/0!</v>
      </c>
      <c r="LHJ162" s="371">
        <v>15.38</v>
      </c>
      <c r="LHK162" s="371" t="e">
        <f>LHH162*LHI162*LHJ162</f>
        <v>#DIV/0!</v>
      </c>
      <c r="LHL162" s="367" t="s">
        <v>206</v>
      </c>
      <c r="LHM162" s="367"/>
      <c r="LHN162" s="367"/>
      <c r="LHO162" s="368" t="s">
        <v>168</v>
      </c>
      <c r="LHP162" s="369">
        <v>0.5</v>
      </c>
      <c r="LHQ162" s="370" t="e">
        <f>10/LHM160</f>
        <v>#DIV/0!</v>
      </c>
      <c r="LHR162" s="371">
        <v>15.38</v>
      </c>
      <c r="LHS162" s="371" t="e">
        <f>LHP162*LHQ162*LHR162</f>
        <v>#DIV/0!</v>
      </c>
      <c r="LHT162" s="367" t="s">
        <v>206</v>
      </c>
      <c r="LHU162" s="367"/>
      <c r="LHV162" s="367"/>
      <c r="LHW162" s="368" t="s">
        <v>168</v>
      </c>
      <c r="LHX162" s="369">
        <v>0.5</v>
      </c>
      <c r="LHY162" s="370" t="e">
        <f>10/LHU160</f>
        <v>#DIV/0!</v>
      </c>
      <c r="LHZ162" s="371">
        <v>15.38</v>
      </c>
      <c r="LIA162" s="371" t="e">
        <f>LHX162*LHY162*LHZ162</f>
        <v>#DIV/0!</v>
      </c>
      <c r="LIB162" s="367" t="s">
        <v>206</v>
      </c>
      <c r="LIC162" s="367"/>
      <c r="LID162" s="367"/>
      <c r="LIE162" s="368" t="s">
        <v>168</v>
      </c>
      <c r="LIF162" s="369">
        <v>0.5</v>
      </c>
      <c r="LIG162" s="370" t="e">
        <f>10/LIC160</f>
        <v>#DIV/0!</v>
      </c>
      <c r="LIH162" s="371">
        <v>15.38</v>
      </c>
      <c r="LII162" s="371" t="e">
        <f>LIF162*LIG162*LIH162</f>
        <v>#DIV/0!</v>
      </c>
      <c r="LIJ162" s="367" t="s">
        <v>206</v>
      </c>
      <c r="LIK162" s="367"/>
      <c r="LIL162" s="367"/>
      <c r="LIM162" s="368" t="s">
        <v>168</v>
      </c>
      <c r="LIN162" s="369">
        <v>0.5</v>
      </c>
      <c r="LIO162" s="370" t="e">
        <f>10/LIK160</f>
        <v>#DIV/0!</v>
      </c>
      <c r="LIP162" s="371">
        <v>15.38</v>
      </c>
      <c r="LIQ162" s="371" t="e">
        <f>LIN162*LIO162*LIP162</f>
        <v>#DIV/0!</v>
      </c>
      <c r="LIR162" s="367" t="s">
        <v>206</v>
      </c>
      <c r="LIS162" s="367"/>
      <c r="LIT162" s="367"/>
      <c r="LIU162" s="368" t="s">
        <v>168</v>
      </c>
      <c r="LIV162" s="369">
        <v>0.5</v>
      </c>
      <c r="LIW162" s="370" t="e">
        <f>10/LIS160</f>
        <v>#DIV/0!</v>
      </c>
      <c r="LIX162" s="371">
        <v>15.38</v>
      </c>
      <c r="LIY162" s="371" t="e">
        <f>LIV162*LIW162*LIX162</f>
        <v>#DIV/0!</v>
      </c>
      <c r="LIZ162" s="367" t="s">
        <v>206</v>
      </c>
      <c r="LJA162" s="367"/>
      <c r="LJB162" s="367"/>
      <c r="LJC162" s="368" t="s">
        <v>168</v>
      </c>
      <c r="LJD162" s="369">
        <v>0.5</v>
      </c>
      <c r="LJE162" s="370" t="e">
        <f>10/LJA160</f>
        <v>#DIV/0!</v>
      </c>
      <c r="LJF162" s="371">
        <v>15.38</v>
      </c>
      <c r="LJG162" s="371" t="e">
        <f>LJD162*LJE162*LJF162</f>
        <v>#DIV/0!</v>
      </c>
      <c r="LJH162" s="367" t="s">
        <v>206</v>
      </c>
      <c r="LJI162" s="367"/>
      <c r="LJJ162" s="367"/>
      <c r="LJK162" s="368" t="s">
        <v>168</v>
      </c>
      <c r="LJL162" s="369">
        <v>0.5</v>
      </c>
      <c r="LJM162" s="370" t="e">
        <f>10/LJI160</f>
        <v>#DIV/0!</v>
      </c>
      <c r="LJN162" s="371">
        <v>15.38</v>
      </c>
      <c r="LJO162" s="371" t="e">
        <f>LJL162*LJM162*LJN162</f>
        <v>#DIV/0!</v>
      </c>
      <c r="LJP162" s="367" t="s">
        <v>206</v>
      </c>
      <c r="LJQ162" s="367"/>
      <c r="LJR162" s="367"/>
      <c r="LJS162" s="368" t="s">
        <v>168</v>
      </c>
      <c r="LJT162" s="369">
        <v>0.5</v>
      </c>
      <c r="LJU162" s="370" t="e">
        <f>10/LJQ160</f>
        <v>#DIV/0!</v>
      </c>
      <c r="LJV162" s="371">
        <v>15.38</v>
      </c>
      <c r="LJW162" s="371" t="e">
        <f>LJT162*LJU162*LJV162</f>
        <v>#DIV/0!</v>
      </c>
      <c r="LJX162" s="367" t="s">
        <v>206</v>
      </c>
      <c r="LJY162" s="367"/>
      <c r="LJZ162" s="367"/>
      <c r="LKA162" s="368" t="s">
        <v>168</v>
      </c>
      <c r="LKB162" s="369">
        <v>0.5</v>
      </c>
      <c r="LKC162" s="370" t="e">
        <f>10/LJY160</f>
        <v>#DIV/0!</v>
      </c>
      <c r="LKD162" s="371">
        <v>15.38</v>
      </c>
      <c r="LKE162" s="371" t="e">
        <f>LKB162*LKC162*LKD162</f>
        <v>#DIV/0!</v>
      </c>
      <c r="LKF162" s="367" t="s">
        <v>206</v>
      </c>
      <c r="LKG162" s="367"/>
      <c r="LKH162" s="367"/>
      <c r="LKI162" s="368" t="s">
        <v>168</v>
      </c>
      <c r="LKJ162" s="369">
        <v>0.5</v>
      </c>
      <c r="LKK162" s="370" t="e">
        <f>10/LKG160</f>
        <v>#DIV/0!</v>
      </c>
      <c r="LKL162" s="371">
        <v>15.38</v>
      </c>
      <c r="LKM162" s="371" t="e">
        <f>LKJ162*LKK162*LKL162</f>
        <v>#DIV/0!</v>
      </c>
      <c r="LKN162" s="367" t="s">
        <v>206</v>
      </c>
      <c r="LKO162" s="367"/>
      <c r="LKP162" s="367"/>
      <c r="LKQ162" s="368" t="s">
        <v>168</v>
      </c>
      <c r="LKR162" s="369">
        <v>0.5</v>
      </c>
      <c r="LKS162" s="370" t="e">
        <f>10/LKO160</f>
        <v>#DIV/0!</v>
      </c>
      <c r="LKT162" s="371">
        <v>15.38</v>
      </c>
      <c r="LKU162" s="371" t="e">
        <f>LKR162*LKS162*LKT162</f>
        <v>#DIV/0!</v>
      </c>
      <c r="LKV162" s="367" t="s">
        <v>206</v>
      </c>
      <c r="LKW162" s="367"/>
      <c r="LKX162" s="367"/>
      <c r="LKY162" s="368" t="s">
        <v>168</v>
      </c>
      <c r="LKZ162" s="369">
        <v>0.5</v>
      </c>
      <c r="LLA162" s="370" t="e">
        <f>10/LKW160</f>
        <v>#DIV/0!</v>
      </c>
      <c r="LLB162" s="371">
        <v>15.38</v>
      </c>
      <c r="LLC162" s="371" t="e">
        <f>LKZ162*LLA162*LLB162</f>
        <v>#DIV/0!</v>
      </c>
      <c r="LLD162" s="367" t="s">
        <v>206</v>
      </c>
      <c r="LLE162" s="367"/>
      <c r="LLF162" s="367"/>
      <c r="LLG162" s="368" t="s">
        <v>168</v>
      </c>
      <c r="LLH162" s="369">
        <v>0.5</v>
      </c>
      <c r="LLI162" s="370" t="e">
        <f>10/LLE160</f>
        <v>#DIV/0!</v>
      </c>
      <c r="LLJ162" s="371">
        <v>15.38</v>
      </c>
      <c r="LLK162" s="371" t="e">
        <f>LLH162*LLI162*LLJ162</f>
        <v>#DIV/0!</v>
      </c>
      <c r="LLL162" s="367" t="s">
        <v>206</v>
      </c>
      <c r="LLM162" s="367"/>
      <c r="LLN162" s="367"/>
      <c r="LLO162" s="368" t="s">
        <v>168</v>
      </c>
      <c r="LLP162" s="369">
        <v>0.5</v>
      </c>
      <c r="LLQ162" s="370" t="e">
        <f>10/LLM160</f>
        <v>#DIV/0!</v>
      </c>
      <c r="LLR162" s="371">
        <v>15.38</v>
      </c>
      <c r="LLS162" s="371" t="e">
        <f>LLP162*LLQ162*LLR162</f>
        <v>#DIV/0!</v>
      </c>
      <c r="LLT162" s="367" t="s">
        <v>206</v>
      </c>
      <c r="LLU162" s="367"/>
      <c r="LLV162" s="367"/>
      <c r="LLW162" s="368" t="s">
        <v>168</v>
      </c>
      <c r="LLX162" s="369">
        <v>0.5</v>
      </c>
      <c r="LLY162" s="370" t="e">
        <f>10/LLU160</f>
        <v>#DIV/0!</v>
      </c>
      <c r="LLZ162" s="371">
        <v>15.38</v>
      </c>
      <c r="LMA162" s="371" t="e">
        <f>LLX162*LLY162*LLZ162</f>
        <v>#DIV/0!</v>
      </c>
      <c r="LMB162" s="367" t="s">
        <v>206</v>
      </c>
      <c r="LMC162" s="367"/>
      <c r="LMD162" s="367"/>
      <c r="LME162" s="368" t="s">
        <v>168</v>
      </c>
      <c r="LMF162" s="369">
        <v>0.5</v>
      </c>
      <c r="LMG162" s="370" t="e">
        <f>10/LMC160</f>
        <v>#DIV/0!</v>
      </c>
      <c r="LMH162" s="371">
        <v>15.38</v>
      </c>
      <c r="LMI162" s="371" t="e">
        <f>LMF162*LMG162*LMH162</f>
        <v>#DIV/0!</v>
      </c>
      <c r="LMJ162" s="367" t="s">
        <v>206</v>
      </c>
      <c r="LMK162" s="367"/>
      <c r="LML162" s="367"/>
      <c r="LMM162" s="368" t="s">
        <v>168</v>
      </c>
      <c r="LMN162" s="369">
        <v>0.5</v>
      </c>
      <c r="LMO162" s="370" t="e">
        <f>10/LMK160</f>
        <v>#DIV/0!</v>
      </c>
      <c r="LMP162" s="371">
        <v>15.38</v>
      </c>
      <c r="LMQ162" s="371" t="e">
        <f>LMN162*LMO162*LMP162</f>
        <v>#DIV/0!</v>
      </c>
      <c r="LMR162" s="367" t="s">
        <v>206</v>
      </c>
      <c r="LMS162" s="367"/>
      <c r="LMT162" s="367"/>
      <c r="LMU162" s="368" t="s">
        <v>168</v>
      </c>
      <c r="LMV162" s="369">
        <v>0.5</v>
      </c>
      <c r="LMW162" s="370" t="e">
        <f>10/LMS160</f>
        <v>#DIV/0!</v>
      </c>
      <c r="LMX162" s="371">
        <v>15.38</v>
      </c>
      <c r="LMY162" s="371" t="e">
        <f>LMV162*LMW162*LMX162</f>
        <v>#DIV/0!</v>
      </c>
      <c r="LMZ162" s="367" t="s">
        <v>206</v>
      </c>
      <c r="LNA162" s="367"/>
      <c r="LNB162" s="367"/>
      <c r="LNC162" s="368" t="s">
        <v>168</v>
      </c>
      <c r="LND162" s="369">
        <v>0.5</v>
      </c>
      <c r="LNE162" s="370" t="e">
        <f>10/LNA160</f>
        <v>#DIV/0!</v>
      </c>
      <c r="LNF162" s="371">
        <v>15.38</v>
      </c>
      <c r="LNG162" s="371" t="e">
        <f>LND162*LNE162*LNF162</f>
        <v>#DIV/0!</v>
      </c>
      <c r="LNH162" s="367" t="s">
        <v>206</v>
      </c>
      <c r="LNI162" s="367"/>
      <c r="LNJ162" s="367"/>
      <c r="LNK162" s="368" t="s">
        <v>168</v>
      </c>
      <c r="LNL162" s="369">
        <v>0.5</v>
      </c>
      <c r="LNM162" s="370" t="e">
        <f>10/LNI160</f>
        <v>#DIV/0!</v>
      </c>
      <c r="LNN162" s="371">
        <v>15.38</v>
      </c>
      <c r="LNO162" s="371" t="e">
        <f>LNL162*LNM162*LNN162</f>
        <v>#DIV/0!</v>
      </c>
      <c r="LNP162" s="367" t="s">
        <v>206</v>
      </c>
      <c r="LNQ162" s="367"/>
      <c r="LNR162" s="367"/>
      <c r="LNS162" s="368" t="s">
        <v>168</v>
      </c>
      <c r="LNT162" s="369">
        <v>0.5</v>
      </c>
      <c r="LNU162" s="370" t="e">
        <f>10/LNQ160</f>
        <v>#DIV/0!</v>
      </c>
      <c r="LNV162" s="371">
        <v>15.38</v>
      </c>
      <c r="LNW162" s="371" t="e">
        <f>LNT162*LNU162*LNV162</f>
        <v>#DIV/0!</v>
      </c>
      <c r="LNX162" s="367" t="s">
        <v>206</v>
      </c>
      <c r="LNY162" s="367"/>
      <c r="LNZ162" s="367"/>
      <c r="LOA162" s="368" t="s">
        <v>168</v>
      </c>
      <c r="LOB162" s="369">
        <v>0.5</v>
      </c>
      <c r="LOC162" s="370" t="e">
        <f>10/LNY160</f>
        <v>#DIV/0!</v>
      </c>
      <c r="LOD162" s="371">
        <v>15.38</v>
      </c>
      <c r="LOE162" s="371" t="e">
        <f>LOB162*LOC162*LOD162</f>
        <v>#DIV/0!</v>
      </c>
      <c r="LOF162" s="367" t="s">
        <v>206</v>
      </c>
      <c r="LOG162" s="367"/>
      <c r="LOH162" s="367"/>
      <c r="LOI162" s="368" t="s">
        <v>168</v>
      </c>
      <c r="LOJ162" s="369">
        <v>0.5</v>
      </c>
      <c r="LOK162" s="370" t="e">
        <f>10/LOG160</f>
        <v>#DIV/0!</v>
      </c>
      <c r="LOL162" s="371">
        <v>15.38</v>
      </c>
      <c r="LOM162" s="371" t="e">
        <f>LOJ162*LOK162*LOL162</f>
        <v>#DIV/0!</v>
      </c>
      <c r="LON162" s="367" t="s">
        <v>206</v>
      </c>
      <c r="LOO162" s="367"/>
      <c r="LOP162" s="367"/>
      <c r="LOQ162" s="368" t="s">
        <v>168</v>
      </c>
      <c r="LOR162" s="369">
        <v>0.5</v>
      </c>
      <c r="LOS162" s="370" t="e">
        <f>10/LOO160</f>
        <v>#DIV/0!</v>
      </c>
      <c r="LOT162" s="371">
        <v>15.38</v>
      </c>
      <c r="LOU162" s="371" t="e">
        <f>LOR162*LOS162*LOT162</f>
        <v>#DIV/0!</v>
      </c>
      <c r="LOV162" s="367" t="s">
        <v>206</v>
      </c>
      <c r="LOW162" s="367"/>
      <c r="LOX162" s="367"/>
      <c r="LOY162" s="368" t="s">
        <v>168</v>
      </c>
      <c r="LOZ162" s="369">
        <v>0.5</v>
      </c>
      <c r="LPA162" s="370" t="e">
        <f>10/LOW160</f>
        <v>#DIV/0!</v>
      </c>
      <c r="LPB162" s="371">
        <v>15.38</v>
      </c>
      <c r="LPC162" s="371" t="e">
        <f>LOZ162*LPA162*LPB162</f>
        <v>#DIV/0!</v>
      </c>
      <c r="LPD162" s="367" t="s">
        <v>206</v>
      </c>
      <c r="LPE162" s="367"/>
      <c r="LPF162" s="367"/>
      <c r="LPG162" s="368" t="s">
        <v>168</v>
      </c>
      <c r="LPH162" s="369">
        <v>0.5</v>
      </c>
      <c r="LPI162" s="370" t="e">
        <f>10/LPE160</f>
        <v>#DIV/0!</v>
      </c>
      <c r="LPJ162" s="371">
        <v>15.38</v>
      </c>
      <c r="LPK162" s="371" t="e">
        <f>LPH162*LPI162*LPJ162</f>
        <v>#DIV/0!</v>
      </c>
      <c r="LPL162" s="367" t="s">
        <v>206</v>
      </c>
      <c r="LPM162" s="367"/>
      <c r="LPN162" s="367"/>
      <c r="LPO162" s="368" t="s">
        <v>168</v>
      </c>
      <c r="LPP162" s="369">
        <v>0.5</v>
      </c>
      <c r="LPQ162" s="370" t="e">
        <f>10/LPM160</f>
        <v>#DIV/0!</v>
      </c>
      <c r="LPR162" s="371">
        <v>15.38</v>
      </c>
      <c r="LPS162" s="371" t="e">
        <f>LPP162*LPQ162*LPR162</f>
        <v>#DIV/0!</v>
      </c>
      <c r="LPT162" s="367" t="s">
        <v>206</v>
      </c>
      <c r="LPU162" s="367"/>
      <c r="LPV162" s="367"/>
      <c r="LPW162" s="368" t="s">
        <v>168</v>
      </c>
      <c r="LPX162" s="369">
        <v>0.5</v>
      </c>
      <c r="LPY162" s="370" t="e">
        <f>10/LPU160</f>
        <v>#DIV/0!</v>
      </c>
      <c r="LPZ162" s="371">
        <v>15.38</v>
      </c>
      <c r="LQA162" s="371" t="e">
        <f>LPX162*LPY162*LPZ162</f>
        <v>#DIV/0!</v>
      </c>
      <c r="LQB162" s="367" t="s">
        <v>206</v>
      </c>
      <c r="LQC162" s="367"/>
      <c r="LQD162" s="367"/>
      <c r="LQE162" s="368" t="s">
        <v>168</v>
      </c>
      <c r="LQF162" s="369">
        <v>0.5</v>
      </c>
      <c r="LQG162" s="370" t="e">
        <f>10/LQC160</f>
        <v>#DIV/0!</v>
      </c>
      <c r="LQH162" s="371">
        <v>15.38</v>
      </c>
      <c r="LQI162" s="371" t="e">
        <f>LQF162*LQG162*LQH162</f>
        <v>#DIV/0!</v>
      </c>
      <c r="LQJ162" s="367" t="s">
        <v>206</v>
      </c>
      <c r="LQK162" s="367"/>
      <c r="LQL162" s="367"/>
      <c r="LQM162" s="368" t="s">
        <v>168</v>
      </c>
      <c r="LQN162" s="369">
        <v>0.5</v>
      </c>
      <c r="LQO162" s="370" t="e">
        <f>10/LQK160</f>
        <v>#DIV/0!</v>
      </c>
      <c r="LQP162" s="371">
        <v>15.38</v>
      </c>
      <c r="LQQ162" s="371" t="e">
        <f>LQN162*LQO162*LQP162</f>
        <v>#DIV/0!</v>
      </c>
      <c r="LQR162" s="367" t="s">
        <v>206</v>
      </c>
      <c r="LQS162" s="367"/>
      <c r="LQT162" s="367"/>
      <c r="LQU162" s="368" t="s">
        <v>168</v>
      </c>
      <c r="LQV162" s="369">
        <v>0.5</v>
      </c>
      <c r="LQW162" s="370" t="e">
        <f>10/LQS160</f>
        <v>#DIV/0!</v>
      </c>
      <c r="LQX162" s="371">
        <v>15.38</v>
      </c>
      <c r="LQY162" s="371" t="e">
        <f>LQV162*LQW162*LQX162</f>
        <v>#DIV/0!</v>
      </c>
      <c r="LQZ162" s="367" t="s">
        <v>206</v>
      </c>
      <c r="LRA162" s="367"/>
      <c r="LRB162" s="367"/>
      <c r="LRC162" s="368" t="s">
        <v>168</v>
      </c>
      <c r="LRD162" s="369">
        <v>0.5</v>
      </c>
      <c r="LRE162" s="370" t="e">
        <f>10/LRA160</f>
        <v>#DIV/0!</v>
      </c>
      <c r="LRF162" s="371">
        <v>15.38</v>
      </c>
      <c r="LRG162" s="371" t="e">
        <f>LRD162*LRE162*LRF162</f>
        <v>#DIV/0!</v>
      </c>
      <c r="LRH162" s="367" t="s">
        <v>206</v>
      </c>
      <c r="LRI162" s="367"/>
      <c r="LRJ162" s="367"/>
      <c r="LRK162" s="368" t="s">
        <v>168</v>
      </c>
      <c r="LRL162" s="369">
        <v>0.5</v>
      </c>
      <c r="LRM162" s="370" t="e">
        <f>10/LRI160</f>
        <v>#DIV/0!</v>
      </c>
      <c r="LRN162" s="371">
        <v>15.38</v>
      </c>
      <c r="LRO162" s="371" t="e">
        <f>LRL162*LRM162*LRN162</f>
        <v>#DIV/0!</v>
      </c>
      <c r="LRP162" s="367" t="s">
        <v>206</v>
      </c>
      <c r="LRQ162" s="367"/>
      <c r="LRR162" s="367"/>
      <c r="LRS162" s="368" t="s">
        <v>168</v>
      </c>
      <c r="LRT162" s="369">
        <v>0.5</v>
      </c>
      <c r="LRU162" s="370" t="e">
        <f>10/LRQ160</f>
        <v>#DIV/0!</v>
      </c>
      <c r="LRV162" s="371">
        <v>15.38</v>
      </c>
      <c r="LRW162" s="371" t="e">
        <f>LRT162*LRU162*LRV162</f>
        <v>#DIV/0!</v>
      </c>
      <c r="LRX162" s="367" t="s">
        <v>206</v>
      </c>
      <c r="LRY162" s="367"/>
      <c r="LRZ162" s="367"/>
      <c r="LSA162" s="368" t="s">
        <v>168</v>
      </c>
      <c r="LSB162" s="369">
        <v>0.5</v>
      </c>
      <c r="LSC162" s="370" t="e">
        <f>10/LRY160</f>
        <v>#DIV/0!</v>
      </c>
      <c r="LSD162" s="371">
        <v>15.38</v>
      </c>
      <c r="LSE162" s="371" t="e">
        <f>LSB162*LSC162*LSD162</f>
        <v>#DIV/0!</v>
      </c>
      <c r="LSF162" s="367" t="s">
        <v>206</v>
      </c>
      <c r="LSG162" s="367"/>
      <c r="LSH162" s="367"/>
      <c r="LSI162" s="368" t="s">
        <v>168</v>
      </c>
      <c r="LSJ162" s="369">
        <v>0.5</v>
      </c>
      <c r="LSK162" s="370" t="e">
        <f>10/LSG160</f>
        <v>#DIV/0!</v>
      </c>
      <c r="LSL162" s="371">
        <v>15.38</v>
      </c>
      <c r="LSM162" s="371" t="e">
        <f>LSJ162*LSK162*LSL162</f>
        <v>#DIV/0!</v>
      </c>
      <c r="LSN162" s="367" t="s">
        <v>206</v>
      </c>
      <c r="LSO162" s="367"/>
      <c r="LSP162" s="367"/>
      <c r="LSQ162" s="368" t="s">
        <v>168</v>
      </c>
      <c r="LSR162" s="369">
        <v>0.5</v>
      </c>
      <c r="LSS162" s="370" t="e">
        <f>10/LSO160</f>
        <v>#DIV/0!</v>
      </c>
      <c r="LST162" s="371">
        <v>15.38</v>
      </c>
      <c r="LSU162" s="371" t="e">
        <f>LSR162*LSS162*LST162</f>
        <v>#DIV/0!</v>
      </c>
      <c r="LSV162" s="367" t="s">
        <v>206</v>
      </c>
      <c r="LSW162" s="367"/>
      <c r="LSX162" s="367"/>
      <c r="LSY162" s="368" t="s">
        <v>168</v>
      </c>
      <c r="LSZ162" s="369">
        <v>0.5</v>
      </c>
      <c r="LTA162" s="370" t="e">
        <f>10/LSW160</f>
        <v>#DIV/0!</v>
      </c>
      <c r="LTB162" s="371">
        <v>15.38</v>
      </c>
      <c r="LTC162" s="371" t="e">
        <f>LSZ162*LTA162*LTB162</f>
        <v>#DIV/0!</v>
      </c>
      <c r="LTD162" s="367" t="s">
        <v>206</v>
      </c>
      <c r="LTE162" s="367"/>
      <c r="LTF162" s="367"/>
      <c r="LTG162" s="368" t="s">
        <v>168</v>
      </c>
      <c r="LTH162" s="369">
        <v>0.5</v>
      </c>
      <c r="LTI162" s="370" t="e">
        <f>10/LTE160</f>
        <v>#DIV/0!</v>
      </c>
      <c r="LTJ162" s="371">
        <v>15.38</v>
      </c>
      <c r="LTK162" s="371" t="e">
        <f>LTH162*LTI162*LTJ162</f>
        <v>#DIV/0!</v>
      </c>
      <c r="LTL162" s="367" t="s">
        <v>206</v>
      </c>
      <c r="LTM162" s="367"/>
      <c r="LTN162" s="367"/>
      <c r="LTO162" s="368" t="s">
        <v>168</v>
      </c>
      <c r="LTP162" s="369">
        <v>0.5</v>
      </c>
      <c r="LTQ162" s="370" t="e">
        <f>10/LTM160</f>
        <v>#DIV/0!</v>
      </c>
      <c r="LTR162" s="371">
        <v>15.38</v>
      </c>
      <c r="LTS162" s="371" t="e">
        <f>LTP162*LTQ162*LTR162</f>
        <v>#DIV/0!</v>
      </c>
      <c r="LTT162" s="367" t="s">
        <v>206</v>
      </c>
      <c r="LTU162" s="367"/>
      <c r="LTV162" s="367"/>
      <c r="LTW162" s="368" t="s">
        <v>168</v>
      </c>
      <c r="LTX162" s="369">
        <v>0.5</v>
      </c>
      <c r="LTY162" s="370" t="e">
        <f>10/LTU160</f>
        <v>#DIV/0!</v>
      </c>
      <c r="LTZ162" s="371">
        <v>15.38</v>
      </c>
      <c r="LUA162" s="371" t="e">
        <f>LTX162*LTY162*LTZ162</f>
        <v>#DIV/0!</v>
      </c>
      <c r="LUB162" s="367" t="s">
        <v>206</v>
      </c>
      <c r="LUC162" s="367"/>
      <c r="LUD162" s="367"/>
      <c r="LUE162" s="368" t="s">
        <v>168</v>
      </c>
      <c r="LUF162" s="369">
        <v>0.5</v>
      </c>
      <c r="LUG162" s="370" t="e">
        <f>10/LUC160</f>
        <v>#DIV/0!</v>
      </c>
      <c r="LUH162" s="371">
        <v>15.38</v>
      </c>
      <c r="LUI162" s="371" t="e">
        <f>LUF162*LUG162*LUH162</f>
        <v>#DIV/0!</v>
      </c>
      <c r="LUJ162" s="367" t="s">
        <v>206</v>
      </c>
      <c r="LUK162" s="367"/>
      <c r="LUL162" s="367"/>
      <c r="LUM162" s="368" t="s">
        <v>168</v>
      </c>
      <c r="LUN162" s="369">
        <v>0.5</v>
      </c>
      <c r="LUO162" s="370" t="e">
        <f>10/LUK160</f>
        <v>#DIV/0!</v>
      </c>
      <c r="LUP162" s="371">
        <v>15.38</v>
      </c>
      <c r="LUQ162" s="371" t="e">
        <f>LUN162*LUO162*LUP162</f>
        <v>#DIV/0!</v>
      </c>
      <c r="LUR162" s="367" t="s">
        <v>206</v>
      </c>
      <c r="LUS162" s="367"/>
      <c r="LUT162" s="367"/>
      <c r="LUU162" s="368" t="s">
        <v>168</v>
      </c>
      <c r="LUV162" s="369">
        <v>0.5</v>
      </c>
      <c r="LUW162" s="370" t="e">
        <f>10/LUS160</f>
        <v>#DIV/0!</v>
      </c>
      <c r="LUX162" s="371">
        <v>15.38</v>
      </c>
      <c r="LUY162" s="371" t="e">
        <f>LUV162*LUW162*LUX162</f>
        <v>#DIV/0!</v>
      </c>
      <c r="LUZ162" s="367" t="s">
        <v>206</v>
      </c>
      <c r="LVA162" s="367"/>
      <c r="LVB162" s="367"/>
      <c r="LVC162" s="368" t="s">
        <v>168</v>
      </c>
      <c r="LVD162" s="369">
        <v>0.5</v>
      </c>
      <c r="LVE162" s="370" t="e">
        <f>10/LVA160</f>
        <v>#DIV/0!</v>
      </c>
      <c r="LVF162" s="371">
        <v>15.38</v>
      </c>
      <c r="LVG162" s="371" t="e">
        <f>LVD162*LVE162*LVF162</f>
        <v>#DIV/0!</v>
      </c>
      <c r="LVH162" s="367" t="s">
        <v>206</v>
      </c>
      <c r="LVI162" s="367"/>
      <c r="LVJ162" s="367"/>
      <c r="LVK162" s="368" t="s">
        <v>168</v>
      </c>
      <c r="LVL162" s="369">
        <v>0.5</v>
      </c>
      <c r="LVM162" s="370" t="e">
        <f>10/LVI160</f>
        <v>#DIV/0!</v>
      </c>
      <c r="LVN162" s="371">
        <v>15.38</v>
      </c>
      <c r="LVO162" s="371" t="e">
        <f>LVL162*LVM162*LVN162</f>
        <v>#DIV/0!</v>
      </c>
      <c r="LVP162" s="367" t="s">
        <v>206</v>
      </c>
      <c r="LVQ162" s="367"/>
      <c r="LVR162" s="367"/>
      <c r="LVS162" s="368" t="s">
        <v>168</v>
      </c>
      <c r="LVT162" s="369">
        <v>0.5</v>
      </c>
      <c r="LVU162" s="370" t="e">
        <f>10/LVQ160</f>
        <v>#DIV/0!</v>
      </c>
      <c r="LVV162" s="371">
        <v>15.38</v>
      </c>
      <c r="LVW162" s="371" t="e">
        <f>LVT162*LVU162*LVV162</f>
        <v>#DIV/0!</v>
      </c>
      <c r="LVX162" s="367" t="s">
        <v>206</v>
      </c>
      <c r="LVY162" s="367"/>
      <c r="LVZ162" s="367"/>
      <c r="LWA162" s="368" t="s">
        <v>168</v>
      </c>
      <c r="LWB162" s="369">
        <v>0.5</v>
      </c>
      <c r="LWC162" s="370" t="e">
        <f>10/LVY160</f>
        <v>#DIV/0!</v>
      </c>
      <c r="LWD162" s="371">
        <v>15.38</v>
      </c>
      <c r="LWE162" s="371" t="e">
        <f>LWB162*LWC162*LWD162</f>
        <v>#DIV/0!</v>
      </c>
      <c r="LWF162" s="367" t="s">
        <v>206</v>
      </c>
      <c r="LWG162" s="367"/>
      <c r="LWH162" s="367"/>
      <c r="LWI162" s="368" t="s">
        <v>168</v>
      </c>
      <c r="LWJ162" s="369">
        <v>0.5</v>
      </c>
      <c r="LWK162" s="370" t="e">
        <f>10/LWG160</f>
        <v>#DIV/0!</v>
      </c>
      <c r="LWL162" s="371">
        <v>15.38</v>
      </c>
      <c r="LWM162" s="371" t="e">
        <f>LWJ162*LWK162*LWL162</f>
        <v>#DIV/0!</v>
      </c>
      <c r="LWN162" s="367" t="s">
        <v>206</v>
      </c>
      <c r="LWO162" s="367"/>
      <c r="LWP162" s="367"/>
      <c r="LWQ162" s="368" t="s">
        <v>168</v>
      </c>
      <c r="LWR162" s="369">
        <v>0.5</v>
      </c>
      <c r="LWS162" s="370" t="e">
        <f>10/LWO160</f>
        <v>#DIV/0!</v>
      </c>
      <c r="LWT162" s="371">
        <v>15.38</v>
      </c>
      <c r="LWU162" s="371" t="e">
        <f>LWR162*LWS162*LWT162</f>
        <v>#DIV/0!</v>
      </c>
      <c r="LWV162" s="367" t="s">
        <v>206</v>
      </c>
      <c r="LWW162" s="367"/>
      <c r="LWX162" s="367"/>
      <c r="LWY162" s="368" t="s">
        <v>168</v>
      </c>
      <c r="LWZ162" s="369">
        <v>0.5</v>
      </c>
      <c r="LXA162" s="370" t="e">
        <f>10/LWW160</f>
        <v>#DIV/0!</v>
      </c>
      <c r="LXB162" s="371">
        <v>15.38</v>
      </c>
      <c r="LXC162" s="371" t="e">
        <f>LWZ162*LXA162*LXB162</f>
        <v>#DIV/0!</v>
      </c>
      <c r="LXD162" s="367" t="s">
        <v>206</v>
      </c>
      <c r="LXE162" s="367"/>
      <c r="LXF162" s="367"/>
      <c r="LXG162" s="368" t="s">
        <v>168</v>
      </c>
      <c r="LXH162" s="369">
        <v>0.5</v>
      </c>
      <c r="LXI162" s="370" t="e">
        <f>10/LXE160</f>
        <v>#DIV/0!</v>
      </c>
      <c r="LXJ162" s="371">
        <v>15.38</v>
      </c>
      <c r="LXK162" s="371" t="e">
        <f>LXH162*LXI162*LXJ162</f>
        <v>#DIV/0!</v>
      </c>
      <c r="LXL162" s="367" t="s">
        <v>206</v>
      </c>
      <c r="LXM162" s="367"/>
      <c r="LXN162" s="367"/>
      <c r="LXO162" s="368" t="s">
        <v>168</v>
      </c>
      <c r="LXP162" s="369">
        <v>0.5</v>
      </c>
      <c r="LXQ162" s="370" t="e">
        <f>10/LXM160</f>
        <v>#DIV/0!</v>
      </c>
      <c r="LXR162" s="371">
        <v>15.38</v>
      </c>
      <c r="LXS162" s="371" t="e">
        <f>LXP162*LXQ162*LXR162</f>
        <v>#DIV/0!</v>
      </c>
      <c r="LXT162" s="367" t="s">
        <v>206</v>
      </c>
      <c r="LXU162" s="367"/>
      <c r="LXV162" s="367"/>
      <c r="LXW162" s="368" t="s">
        <v>168</v>
      </c>
      <c r="LXX162" s="369">
        <v>0.5</v>
      </c>
      <c r="LXY162" s="370" t="e">
        <f>10/LXU160</f>
        <v>#DIV/0!</v>
      </c>
      <c r="LXZ162" s="371">
        <v>15.38</v>
      </c>
      <c r="LYA162" s="371" t="e">
        <f>LXX162*LXY162*LXZ162</f>
        <v>#DIV/0!</v>
      </c>
      <c r="LYB162" s="367" t="s">
        <v>206</v>
      </c>
      <c r="LYC162" s="367"/>
      <c r="LYD162" s="367"/>
      <c r="LYE162" s="368" t="s">
        <v>168</v>
      </c>
      <c r="LYF162" s="369">
        <v>0.5</v>
      </c>
      <c r="LYG162" s="370" t="e">
        <f>10/LYC160</f>
        <v>#DIV/0!</v>
      </c>
      <c r="LYH162" s="371">
        <v>15.38</v>
      </c>
      <c r="LYI162" s="371" t="e">
        <f>LYF162*LYG162*LYH162</f>
        <v>#DIV/0!</v>
      </c>
      <c r="LYJ162" s="367" t="s">
        <v>206</v>
      </c>
      <c r="LYK162" s="367"/>
      <c r="LYL162" s="367"/>
      <c r="LYM162" s="368" t="s">
        <v>168</v>
      </c>
      <c r="LYN162" s="369">
        <v>0.5</v>
      </c>
      <c r="LYO162" s="370" t="e">
        <f>10/LYK160</f>
        <v>#DIV/0!</v>
      </c>
      <c r="LYP162" s="371">
        <v>15.38</v>
      </c>
      <c r="LYQ162" s="371" t="e">
        <f>LYN162*LYO162*LYP162</f>
        <v>#DIV/0!</v>
      </c>
      <c r="LYR162" s="367" t="s">
        <v>206</v>
      </c>
      <c r="LYS162" s="367"/>
      <c r="LYT162" s="367"/>
      <c r="LYU162" s="368" t="s">
        <v>168</v>
      </c>
      <c r="LYV162" s="369">
        <v>0.5</v>
      </c>
      <c r="LYW162" s="370" t="e">
        <f>10/LYS160</f>
        <v>#DIV/0!</v>
      </c>
      <c r="LYX162" s="371">
        <v>15.38</v>
      </c>
      <c r="LYY162" s="371" t="e">
        <f>LYV162*LYW162*LYX162</f>
        <v>#DIV/0!</v>
      </c>
      <c r="LYZ162" s="367" t="s">
        <v>206</v>
      </c>
      <c r="LZA162" s="367"/>
      <c r="LZB162" s="367"/>
      <c r="LZC162" s="368" t="s">
        <v>168</v>
      </c>
      <c r="LZD162" s="369">
        <v>0.5</v>
      </c>
      <c r="LZE162" s="370" t="e">
        <f>10/LZA160</f>
        <v>#DIV/0!</v>
      </c>
      <c r="LZF162" s="371">
        <v>15.38</v>
      </c>
      <c r="LZG162" s="371" t="e">
        <f>LZD162*LZE162*LZF162</f>
        <v>#DIV/0!</v>
      </c>
      <c r="LZH162" s="367" t="s">
        <v>206</v>
      </c>
      <c r="LZI162" s="367"/>
      <c r="LZJ162" s="367"/>
      <c r="LZK162" s="368" t="s">
        <v>168</v>
      </c>
      <c r="LZL162" s="369">
        <v>0.5</v>
      </c>
      <c r="LZM162" s="370" t="e">
        <f>10/LZI160</f>
        <v>#DIV/0!</v>
      </c>
      <c r="LZN162" s="371">
        <v>15.38</v>
      </c>
      <c r="LZO162" s="371" t="e">
        <f>LZL162*LZM162*LZN162</f>
        <v>#DIV/0!</v>
      </c>
      <c r="LZP162" s="367" t="s">
        <v>206</v>
      </c>
      <c r="LZQ162" s="367"/>
      <c r="LZR162" s="367"/>
      <c r="LZS162" s="368" t="s">
        <v>168</v>
      </c>
      <c r="LZT162" s="369">
        <v>0.5</v>
      </c>
      <c r="LZU162" s="370" t="e">
        <f>10/LZQ160</f>
        <v>#DIV/0!</v>
      </c>
      <c r="LZV162" s="371">
        <v>15.38</v>
      </c>
      <c r="LZW162" s="371" t="e">
        <f>LZT162*LZU162*LZV162</f>
        <v>#DIV/0!</v>
      </c>
      <c r="LZX162" s="367" t="s">
        <v>206</v>
      </c>
      <c r="LZY162" s="367"/>
      <c r="LZZ162" s="367"/>
      <c r="MAA162" s="368" t="s">
        <v>168</v>
      </c>
      <c r="MAB162" s="369">
        <v>0.5</v>
      </c>
      <c r="MAC162" s="370" t="e">
        <f>10/LZY160</f>
        <v>#DIV/0!</v>
      </c>
      <c r="MAD162" s="371">
        <v>15.38</v>
      </c>
      <c r="MAE162" s="371" t="e">
        <f>MAB162*MAC162*MAD162</f>
        <v>#DIV/0!</v>
      </c>
      <c r="MAF162" s="367" t="s">
        <v>206</v>
      </c>
      <c r="MAG162" s="367"/>
      <c r="MAH162" s="367"/>
      <c r="MAI162" s="368" t="s">
        <v>168</v>
      </c>
      <c r="MAJ162" s="369">
        <v>0.5</v>
      </c>
      <c r="MAK162" s="370" t="e">
        <f>10/MAG160</f>
        <v>#DIV/0!</v>
      </c>
      <c r="MAL162" s="371">
        <v>15.38</v>
      </c>
      <c r="MAM162" s="371" t="e">
        <f>MAJ162*MAK162*MAL162</f>
        <v>#DIV/0!</v>
      </c>
      <c r="MAN162" s="367" t="s">
        <v>206</v>
      </c>
      <c r="MAO162" s="367"/>
      <c r="MAP162" s="367"/>
      <c r="MAQ162" s="368" t="s">
        <v>168</v>
      </c>
      <c r="MAR162" s="369">
        <v>0.5</v>
      </c>
      <c r="MAS162" s="370" t="e">
        <f>10/MAO160</f>
        <v>#DIV/0!</v>
      </c>
      <c r="MAT162" s="371">
        <v>15.38</v>
      </c>
      <c r="MAU162" s="371" t="e">
        <f>MAR162*MAS162*MAT162</f>
        <v>#DIV/0!</v>
      </c>
      <c r="MAV162" s="367" t="s">
        <v>206</v>
      </c>
      <c r="MAW162" s="367"/>
      <c r="MAX162" s="367"/>
      <c r="MAY162" s="368" t="s">
        <v>168</v>
      </c>
      <c r="MAZ162" s="369">
        <v>0.5</v>
      </c>
      <c r="MBA162" s="370" t="e">
        <f>10/MAW160</f>
        <v>#DIV/0!</v>
      </c>
      <c r="MBB162" s="371">
        <v>15.38</v>
      </c>
      <c r="MBC162" s="371" t="e">
        <f>MAZ162*MBA162*MBB162</f>
        <v>#DIV/0!</v>
      </c>
      <c r="MBD162" s="367" t="s">
        <v>206</v>
      </c>
      <c r="MBE162" s="367"/>
      <c r="MBF162" s="367"/>
      <c r="MBG162" s="368" t="s">
        <v>168</v>
      </c>
      <c r="MBH162" s="369">
        <v>0.5</v>
      </c>
      <c r="MBI162" s="370" t="e">
        <f>10/MBE160</f>
        <v>#DIV/0!</v>
      </c>
      <c r="MBJ162" s="371">
        <v>15.38</v>
      </c>
      <c r="MBK162" s="371" t="e">
        <f>MBH162*MBI162*MBJ162</f>
        <v>#DIV/0!</v>
      </c>
      <c r="MBL162" s="367" t="s">
        <v>206</v>
      </c>
      <c r="MBM162" s="367"/>
      <c r="MBN162" s="367"/>
      <c r="MBO162" s="368" t="s">
        <v>168</v>
      </c>
      <c r="MBP162" s="369">
        <v>0.5</v>
      </c>
      <c r="MBQ162" s="370" t="e">
        <f>10/MBM160</f>
        <v>#DIV/0!</v>
      </c>
      <c r="MBR162" s="371">
        <v>15.38</v>
      </c>
      <c r="MBS162" s="371" t="e">
        <f>MBP162*MBQ162*MBR162</f>
        <v>#DIV/0!</v>
      </c>
      <c r="MBT162" s="367" t="s">
        <v>206</v>
      </c>
      <c r="MBU162" s="367"/>
      <c r="MBV162" s="367"/>
      <c r="MBW162" s="368" t="s">
        <v>168</v>
      </c>
      <c r="MBX162" s="369">
        <v>0.5</v>
      </c>
      <c r="MBY162" s="370" t="e">
        <f>10/MBU160</f>
        <v>#DIV/0!</v>
      </c>
      <c r="MBZ162" s="371">
        <v>15.38</v>
      </c>
      <c r="MCA162" s="371" t="e">
        <f>MBX162*MBY162*MBZ162</f>
        <v>#DIV/0!</v>
      </c>
      <c r="MCB162" s="367" t="s">
        <v>206</v>
      </c>
      <c r="MCC162" s="367"/>
      <c r="MCD162" s="367"/>
      <c r="MCE162" s="368" t="s">
        <v>168</v>
      </c>
      <c r="MCF162" s="369">
        <v>0.5</v>
      </c>
      <c r="MCG162" s="370" t="e">
        <f>10/MCC160</f>
        <v>#DIV/0!</v>
      </c>
      <c r="MCH162" s="371">
        <v>15.38</v>
      </c>
      <c r="MCI162" s="371" t="e">
        <f>MCF162*MCG162*MCH162</f>
        <v>#DIV/0!</v>
      </c>
      <c r="MCJ162" s="367" t="s">
        <v>206</v>
      </c>
      <c r="MCK162" s="367"/>
      <c r="MCL162" s="367"/>
      <c r="MCM162" s="368" t="s">
        <v>168</v>
      </c>
      <c r="MCN162" s="369">
        <v>0.5</v>
      </c>
      <c r="MCO162" s="370" t="e">
        <f>10/MCK160</f>
        <v>#DIV/0!</v>
      </c>
      <c r="MCP162" s="371">
        <v>15.38</v>
      </c>
      <c r="MCQ162" s="371" t="e">
        <f>MCN162*MCO162*MCP162</f>
        <v>#DIV/0!</v>
      </c>
      <c r="MCR162" s="367" t="s">
        <v>206</v>
      </c>
      <c r="MCS162" s="367"/>
      <c r="MCT162" s="367"/>
      <c r="MCU162" s="368" t="s">
        <v>168</v>
      </c>
      <c r="MCV162" s="369">
        <v>0.5</v>
      </c>
      <c r="MCW162" s="370" t="e">
        <f>10/MCS160</f>
        <v>#DIV/0!</v>
      </c>
      <c r="MCX162" s="371">
        <v>15.38</v>
      </c>
      <c r="MCY162" s="371" t="e">
        <f>MCV162*MCW162*MCX162</f>
        <v>#DIV/0!</v>
      </c>
      <c r="MCZ162" s="367" t="s">
        <v>206</v>
      </c>
      <c r="MDA162" s="367"/>
      <c r="MDB162" s="367"/>
      <c r="MDC162" s="368" t="s">
        <v>168</v>
      </c>
      <c r="MDD162" s="369">
        <v>0.5</v>
      </c>
      <c r="MDE162" s="370" t="e">
        <f>10/MDA160</f>
        <v>#DIV/0!</v>
      </c>
      <c r="MDF162" s="371">
        <v>15.38</v>
      </c>
      <c r="MDG162" s="371" t="e">
        <f>MDD162*MDE162*MDF162</f>
        <v>#DIV/0!</v>
      </c>
      <c r="MDH162" s="367" t="s">
        <v>206</v>
      </c>
      <c r="MDI162" s="367"/>
      <c r="MDJ162" s="367"/>
      <c r="MDK162" s="368" t="s">
        <v>168</v>
      </c>
      <c r="MDL162" s="369">
        <v>0.5</v>
      </c>
      <c r="MDM162" s="370" t="e">
        <f>10/MDI160</f>
        <v>#DIV/0!</v>
      </c>
      <c r="MDN162" s="371">
        <v>15.38</v>
      </c>
      <c r="MDO162" s="371" t="e">
        <f>MDL162*MDM162*MDN162</f>
        <v>#DIV/0!</v>
      </c>
      <c r="MDP162" s="367" t="s">
        <v>206</v>
      </c>
      <c r="MDQ162" s="367"/>
      <c r="MDR162" s="367"/>
      <c r="MDS162" s="368" t="s">
        <v>168</v>
      </c>
      <c r="MDT162" s="369">
        <v>0.5</v>
      </c>
      <c r="MDU162" s="370" t="e">
        <f>10/MDQ160</f>
        <v>#DIV/0!</v>
      </c>
      <c r="MDV162" s="371">
        <v>15.38</v>
      </c>
      <c r="MDW162" s="371" t="e">
        <f>MDT162*MDU162*MDV162</f>
        <v>#DIV/0!</v>
      </c>
      <c r="MDX162" s="367" t="s">
        <v>206</v>
      </c>
      <c r="MDY162" s="367"/>
      <c r="MDZ162" s="367"/>
      <c r="MEA162" s="368" t="s">
        <v>168</v>
      </c>
      <c r="MEB162" s="369">
        <v>0.5</v>
      </c>
      <c r="MEC162" s="370" t="e">
        <f>10/MDY160</f>
        <v>#DIV/0!</v>
      </c>
      <c r="MED162" s="371">
        <v>15.38</v>
      </c>
      <c r="MEE162" s="371" t="e">
        <f>MEB162*MEC162*MED162</f>
        <v>#DIV/0!</v>
      </c>
      <c r="MEF162" s="367" t="s">
        <v>206</v>
      </c>
      <c r="MEG162" s="367"/>
      <c r="MEH162" s="367"/>
      <c r="MEI162" s="368" t="s">
        <v>168</v>
      </c>
      <c r="MEJ162" s="369">
        <v>0.5</v>
      </c>
      <c r="MEK162" s="370" t="e">
        <f>10/MEG160</f>
        <v>#DIV/0!</v>
      </c>
      <c r="MEL162" s="371">
        <v>15.38</v>
      </c>
      <c r="MEM162" s="371" t="e">
        <f>MEJ162*MEK162*MEL162</f>
        <v>#DIV/0!</v>
      </c>
      <c r="MEN162" s="367" t="s">
        <v>206</v>
      </c>
      <c r="MEO162" s="367"/>
      <c r="MEP162" s="367"/>
      <c r="MEQ162" s="368" t="s">
        <v>168</v>
      </c>
      <c r="MER162" s="369">
        <v>0.5</v>
      </c>
      <c r="MES162" s="370" t="e">
        <f>10/MEO160</f>
        <v>#DIV/0!</v>
      </c>
      <c r="MET162" s="371">
        <v>15.38</v>
      </c>
      <c r="MEU162" s="371" t="e">
        <f>MER162*MES162*MET162</f>
        <v>#DIV/0!</v>
      </c>
      <c r="MEV162" s="367" t="s">
        <v>206</v>
      </c>
      <c r="MEW162" s="367"/>
      <c r="MEX162" s="367"/>
      <c r="MEY162" s="368" t="s">
        <v>168</v>
      </c>
      <c r="MEZ162" s="369">
        <v>0.5</v>
      </c>
      <c r="MFA162" s="370" t="e">
        <f>10/MEW160</f>
        <v>#DIV/0!</v>
      </c>
      <c r="MFB162" s="371">
        <v>15.38</v>
      </c>
      <c r="MFC162" s="371" t="e">
        <f>MEZ162*MFA162*MFB162</f>
        <v>#DIV/0!</v>
      </c>
      <c r="MFD162" s="367" t="s">
        <v>206</v>
      </c>
      <c r="MFE162" s="367"/>
      <c r="MFF162" s="367"/>
      <c r="MFG162" s="368" t="s">
        <v>168</v>
      </c>
      <c r="MFH162" s="369">
        <v>0.5</v>
      </c>
      <c r="MFI162" s="370" t="e">
        <f>10/MFE160</f>
        <v>#DIV/0!</v>
      </c>
      <c r="MFJ162" s="371">
        <v>15.38</v>
      </c>
      <c r="MFK162" s="371" t="e">
        <f>MFH162*MFI162*MFJ162</f>
        <v>#DIV/0!</v>
      </c>
      <c r="MFL162" s="367" t="s">
        <v>206</v>
      </c>
      <c r="MFM162" s="367"/>
      <c r="MFN162" s="367"/>
      <c r="MFO162" s="368" t="s">
        <v>168</v>
      </c>
      <c r="MFP162" s="369">
        <v>0.5</v>
      </c>
      <c r="MFQ162" s="370" t="e">
        <f>10/MFM160</f>
        <v>#DIV/0!</v>
      </c>
      <c r="MFR162" s="371">
        <v>15.38</v>
      </c>
      <c r="MFS162" s="371" t="e">
        <f>MFP162*MFQ162*MFR162</f>
        <v>#DIV/0!</v>
      </c>
      <c r="MFT162" s="367" t="s">
        <v>206</v>
      </c>
      <c r="MFU162" s="367"/>
      <c r="MFV162" s="367"/>
      <c r="MFW162" s="368" t="s">
        <v>168</v>
      </c>
      <c r="MFX162" s="369">
        <v>0.5</v>
      </c>
      <c r="MFY162" s="370" t="e">
        <f>10/MFU160</f>
        <v>#DIV/0!</v>
      </c>
      <c r="MFZ162" s="371">
        <v>15.38</v>
      </c>
      <c r="MGA162" s="371" t="e">
        <f>MFX162*MFY162*MFZ162</f>
        <v>#DIV/0!</v>
      </c>
      <c r="MGB162" s="367" t="s">
        <v>206</v>
      </c>
      <c r="MGC162" s="367"/>
      <c r="MGD162" s="367"/>
      <c r="MGE162" s="368" t="s">
        <v>168</v>
      </c>
      <c r="MGF162" s="369">
        <v>0.5</v>
      </c>
      <c r="MGG162" s="370" t="e">
        <f>10/MGC160</f>
        <v>#DIV/0!</v>
      </c>
      <c r="MGH162" s="371">
        <v>15.38</v>
      </c>
      <c r="MGI162" s="371" t="e">
        <f>MGF162*MGG162*MGH162</f>
        <v>#DIV/0!</v>
      </c>
      <c r="MGJ162" s="367" t="s">
        <v>206</v>
      </c>
      <c r="MGK162" s="367"/>
      <c r="MGL162" s="367"/>
      <c r="MGM162" s="368" t="s">
        <v>168</v>
      </c>
      <c r="MGN162" s="369">
        <v>0.5</v>
      </c>
      <c r="MGO162" s="370" t="e">
        <f>10/MGK160</f>
        <v>#DIV/0!</v>
      </c>
      <c r="MGP162" s="371">
        <v>15.38</v>
      </c>
      <c r="MGQ162" s="371" t="e">
        <f>MGN162*MGO162*MGP162</f>
        <v>#DIV/0!</v>
      </c>
      <c r="MGR162" s="367" t="s">
        <v>206</v>
      </c>
      <c r="MGS162" s="367"/>
      <c r="MGT162" s="367"/>
      <c r="MGU162" s="368" t="s">
        <v>168</v>
      </c>
      <c r="MGV162" s="369">
        <v>0.5</v>
      </c>
      <c r="MGW162" s="370" t="e">
        <f>10/MGS160</f>
        <v>#DIV/0!</v>
      </c>
      <c r="MGX162" s="371">
        <v>15.38</v>
      </c>
      <c r="MGY162" s="371" t="e">
        <f>MGV162*MGW162*MGX162</f>
        <v>#DIV/0!</v>
      </c>
      <c r="MGZ162" s="367" t="s">
        <v>206</v>
      </c>
      <c r="MHA162" s="367"/>
      <c r="MHB162" s="367"/>
      <c r="MHC162" s="368" t="s">
        <v>168</v>
      </c>
      <c r="MHD162" s="369">
        <v>0.5</v>
      </c>
      <c r="MHE162" s="370" t="e">
        <f>10/MHA160</f>
        <v>#DIV/0!</v>
      </c>
      <c r="MHF162" s="371">
        <v>15.38</v>
      </c>
      <c r="MHG162" s="371" t="e">
        <f>MHD162*MHE162*MHF162</f>
        <v>#DIV/0!</v>
      </c>
      <c r="MHH162" s="367" t="s">
        <v>206</v>
      </c>
      <c r="MHI162" s="367"/>
      <c r="MHJ162" s="367"/>
      <c r="MHK162" s="368" t="s">
        <v>168</v>
      </c>
      <c r="MHL162" s="369">
        <v>0.5</v>
      </c>
      <c r="MHM162" s="370" t="e">
        <f>10/MHI160</f>
        <v>#DIV/0!</v>
      </c>
      <c r="MHN162" s="371">
        <v>15.38</v>
      </c>
      <c r="MHO162" s="371" t="e">
        <f>MHL162*MHM162*MHN162</f>
        <v>#DIV/0!</v>
      </c>
      <c r="MHP162" s="367" t="s">
        <v>206</v>
      </c>
      <c r="MHQ162" s="367"/>
      <c r="MHR162" s="367"/>
      <c r="MHS162" s="368" t="s">
        <v>168</v>
      </c>
      <c r="MHT162" s="369">
        <v>0.5</v>
      </c>
      <c r="MHU162" s="370" t="e">
        <f>10/MHQ160</f>
        <v>#DIV/0!</v>
      </c>
      <c r="MHV162" s="371">
        <v>15.38</v>
      </c>
      <c r="MHW162" s="371" t="e">
        <f>MHT162*MHU162*MHV162</f>
        <v>#DIV/0!</v>
      </c>
      <c r="MHX162" s="367" t="s">
        <v>206</v>
      </c>
      <c r="MHY162" s="367"/>
      <c r="MHZ162" s="367"/>
      <c r="MIA162" s="368" t="s">
        <v>168</v>
      </c>
      <c r="MIB162" s="369">
        <v>0.5</v>
      </c>
      <c r="MIC162" s="370" t="e">
        <f>10/MHY160</f>
        <v>#DIV/0!</v>
      </c>
      <c r="MID162" s="371">
        <v>15.38</v>
      </c>
      <c r="MIE162" s="371" t="e">
        <f>MIB162*MIC162*MID162</f>
        <v>#DIV/0!</v>
      </c>
      <c r="MIF162" s="367" t="s">
        <v>206</v>
      </c>
      <c r="MIG162" s="367"/>
      <c r="MIH162" s="367"/>
      <c r="MII162" s="368" t="s">
        <v>168</v>
      </c>
      <c r="MIJ162" s="369">
        <v>0.5</v>
      </c>
      <c r="MIK162" s="370" t="e">
        <f>10/MIG160</f>
        <v>#DIV/0!</v>
      </c>
      <c r="MIL162" s="371">
        <v>15.38</v>
      </c>
      <c r="MIM162" s="371" t="e">
        <f>MIJ162*MIK162*MIL162</f>
        <v>#DIV/0!</v>
      </c>
      <c r="MIN162" s="367" t="s">
        <v>206</v>
      </c>
      <c r="MIO162" s="367"/>
      <c r="MIP162" s="367"/>
      <c r="MIQ162" s="368" t="s">
        <v>168</v>
      </c>
      <c r="MIR162" s="369">
        <v>0.5</v>
      </c>
      <c r="MIS162" s="370" t="e">
        <f>10/MIO160</f>
        <v>#DIV/0!</v>
      </c>
      <c r="MIT162" s="371">
        <v>15.38</v>
      </c>
      <c r="MIU162" s="371" t="e">
        <f>MIR162*MIS162*MIT162</f>
        <v>#DIV/0!</v>
      </c>
      <c r="MIV162" s="367" t="s">
        <v>206</v>
      </c>
      <c r="MIW162" s="367"/>
      <c r="MIX162" s="367"/>
      <c r="MIY162" s="368" t="s">
        <v>168</v>
      </c>
      <c r="MIZ162" s="369">
        <v>0.5</v>
      </c>
      <c r="MJA162" s="370" t="e">
        <f>10/MIW160</f>
        <v>#DIV/0!</v>
      </c>
      <c r="MJB162" s="371">
        <v>15.38</v>
      </c>
      <c r="MJC162" s="371" t="e">
        <f>MIZ162*MJA162*MJB162</f>
        <v>#DIV/0!</v>
      </c>
      <c r="MJD162" s="367" t="s">
        <v>206</v>
      </c>
      <c r="MJE162" s="367"/>
      <c r="MJF162" s="367"/>
      <c r="MJG162" s="368" t="s">
        <v>168</v>
      </c>
      <c r="MJH162" s="369">
        <v>0.5</v>
      </c>
      <c r="MJI162" s="370" t="e">
        <f>10/MJE160</f>
        <v>#DIV/0!</v>
      </c>
      <c r="MJJ162" s="371">
        <v>15.38</v>
      </c>
      <c r="MJK162" s="371" t="e">
        <f>MJH162*MJI162*MJJ162</f>
        <v>#DIV/0!</v>
      </c>
      <c r="MJL162" s="367" t="s">
        <v>206</v>
      </c>
      <c r="MJM162" s="367"/>
      <c r="MJN162" s="367"/>
      <c r="MJO162" s="368" t="s">
        <v>168</v>
      </c>
      <c r="MJP162" s="369">
        <v>0.5</v>
      </c>
      <c r="MJQ162" s="370" t="e">
        <f>10/MJM160</f>
        <v>#DIV/0!</v>
      </c>
      <c r="MJR162" s="371">
        <v>15.38</v>
      </c>
      <c r="MJS162" s="371" t="e">
        <f>MJP162*MJQ162*MJR162</f>
        <v>#DIV/0!</v>
      </c>
      <c r="MJT162" s="367" t="s">
        <v>206</v>
      </c>
      <c r="MJU162" s="367"/>
      <c r="MJV162" s="367"/>
      <c r="MJW162" s="368" t="s">
        <v>168</v>
      </c>
      <c r="MJX162" s="369">
        <v>0.5</v>
      </c>
      <c r="MJY162" s="370" t="e">
        <f>10/MJU160</f>
        <v>#DIV/0!</v>
      </c>
      <c r="MJZ162" s="371">
        <v>15.38</v>
      </c>
      <c r="MKA162" s="371" t="e">
        <f>MJX162*MJY162*MJZ162</f>
        <v>#DIV/0!</v>
      </c>
      <c r="MKB162" s="367" t="s">
        <v>206</v>
      </c>
      <c r="MKC162" s="367"/>
      <c r="MKD162" s="367"/>
      <c r="MKE162" s="368" t="s">
        <v>168</v>
      </c>
      <c r="MKF162" s="369">
        <v>0.5</v>
      </c>
      <c r="MKG162" s="370" t="e">
        <f>10/MKC160</f>
        <v>#DIV/0!</v>
      </c>
      <c r="MKH162" s="371">
        <v>15.38</v>
      </c>
      <c r="MKI162" s="371" t="e">
        <f>MKF162*MKG162*MKH162</f>
        <v>#DIV/0!</v>
      </c>
      <c r="MKJ162" s="367" t="s">
        <v>206</v>
      </c>
      <c r="MKK162" s="367"/>
      <c r="MKL162" s="367"/>
      <c r="MKM162" s="368" t="s">
        <v>168</v>
      </c>
      <c r="MKN162" s="369">
        <v>0.5</v>
      </c>
      <c r="MKO162" s="370" t="e">
        <f>10/MKK160</f>
        <v>#DIV/0!</v>
      </c>
      <c r="MKP162" s="371">
        <v>15.38</v>
      </c>
      <c r="MKQ162" s="371" t="e">
        <f>MKN162*MKO162*MKP162</f>
        <v>#DIV/0!</v>
      </c>
      <c r="MKR162" s="367" t="s">
        <v>206</v>
      </c>
      <c r="MKS162" s="367"/>
      <c r="MKT162" s="367"/>
      <c r="MKU162" s="368" t="s">
        <v>168</v>
      </c>
      <c r="MKV162" s="369">
        <v>0.5</v>
      </c>
      <c r="MKW162" s="370" t="e">
        <f>10/MKS160</f>
        <v>#DIV/0!</v>
      </c>
      <c r="MKX162" s="371">
        <v>15.38</v>
      </c>
      <c r="MKY162" s="371" t="e">
        <f>MKV162*MKW162*MKX162</f>
        <v>#DIV/0!</v>
      </c>
      <c r="MKZ162" s="367" t="s">
        <v>206</v>
      </c>
      <c r="MLA162" s="367"/>
      <c r="MLB162" s="367"/>
      <c r="MLC162" s="368" t="s">
        <v>168</v>
      </c>
      <c r="MLD162" s="369">
        <v>0.5</v>
      </c>
      <c r="MLE162" s="370" t="e">
        <f>10/MLA160</f>
        <v>#DIV/0!</v>
      </c>
      <c r="MLF162" s="371">
        <v>15.38</v>
      </c>
      <c r="MLG162" s="371" t="e">
        <f>MLD162*MLE162*MLF162</f>
        <v>#DIV/0!</v>
      </c>
      <c r="MLH162" s="367" t="s">
        <v>206</v>
      </c>
      <c r="MLI162" s="367"/>
      <c r="MLJ162" s="367"/>
      <c r="MLK162" s="368" t="s">
        <v>168</v>
      </c>
      <c r="MLL162" s="369">
        <v>0.5</v>
      </c>
      <c r="MLM162" s="370" t="e">
        <f>10/MLI160</f>
        <v>#DIV/0!</v>
      </c>
      <c r="MLN162" s="371">
        <v>15.38</v>
      </c>
      <c r="MLO162" s="371" t="e">
        <f>MLL162*MLM162*MLN162</f>
        <v>#DIV/0!</v>
      </c>
      <c r="MLP162" s="367" t="s">
        <v>206</v>
      </c>
      <c r="MLQ162" s="367"/>
      <c r="MLR162" s="367"/>
      <c r="MLS162" s="368" t="s">
        <v>168</v>
      </c>
      <c r="MLT162" s="369">
        <v>0.5</v>
      </c>
      <c r="MLU162" s="370" t="e">
        <f>10/MLQ160</f>
        <v>#DIV/0!</v>
      </c>
      <c r="MLV162" s="371">
        <v>15.38</v>
      </c>
      <c r="MLW162" s="371" t="e">
        <f>MLT162*MLU162*MLV162</f>
        <v>#DIV/0!</v>
      </c>
      <c r="MLX162" s="367" t="s">
        <v>206</v>
      </c>
      <c r="MLY162" s="367"/>
      <c r="MLZ162" s="367"/>
      <c r="MMA162" s="368" t="s">
        <v>168</v>
      </c>
      <c r="MMB162" s="369">
        <v>0.5</v>
      </c>
      <c r="MMC162" s="370" t="e">
        <f>10/MLY160</f>
        <v>#DIV/0!</v>
      </c>
      <c r="MMD162" s="371">
        <v>15.38</v>
      </c>
      <c r="MME162" s="371" t="e">
        <f>MMB162*MMC162*MMD162</f>
        <v>#DIV/0!</v>
      </c>
      <c r="MMF162" s="367" t="s">
        <v>206</v>
      </c>
      <c r="MMG162" s="367"/>
      <c r="MMH162" s="367"/>
      <c r="MMI162" s="368" t="s">
        <v>168</v>
      </c>
      <c r="MMJ162" s="369">
        <v>0.5</v>
      </c>
      <c r="MMK162" s="370" t="e">
        <f>10/MMG160</f>
        <v>#DIV/0!</v>
      </c>
      <c r="MML162" s="371">
        <v>15.38</v>
      </c>
      <c r="MMM162" s="371" t="e">
        <f>MMJ162*MMK162*MML162</f>
        <v>#DIV/0!</v>
      </c>
      <c r="MMN162" s="367" t="s">
        <v>206</v>
      </c>
      <c r="MMO162" s="367"/>
      <c r="MMP162" s="367"/>
      <c r="MMQ162" s="368" t="s">
        <v>168</v>
      </c>
      <c r="MMR162" s="369">
        <v>0.5</v>
      </c>
      <c r="MMS162" s="370" t="e">
        <f>10/MMO160</f>
        <v>#DIV/0!</v>
      </c>
      <c r="MMT162" s="371">
        <v>15.38</v>
      </c>
      <c r="MMU162" s="371" t="e">
        <f>MMR162*MMS162*MMT162</f>
        <v>#DIV/0!</v>
      </c>
      <c r="MMV162" s="367" t="s">
        <v>206</v>
      </c>
      <c r="MMW162" s="367"/>
      <c r="MMX162" s="367"/>
      <c r="MMY162" s="368" t="s">
        <v>168</v>
      </c>
      <c r="MMZ162" s="369">
        <v>0.5</v>
      </c>
      <c r="MNA162" s="370" t="e">
        <f>10/MMW160</f>
        <v>#DIV/0!</v>
      </c>
      <c r="MNB162" s="371">
        <v>15.38</v>
      </c>
      <c r="MNC162" s="371" t="e">
        <f>MMZ162*MNA162*MNB162</f>
        <v>#DIV/0!</v>
      </c>
      <c r="MND162" s="367" t="s">
        <v>206</v>
      </c>
      <c r="MNE162" s="367"/>
      <c r="MNF162" s="367"/>
      <c r="MNG162" s="368" t="s">
        <v>168</v>
      </c>
      <c r="MNH162" s="369">
        <v>0.5</v>
      </c>
      <c r="MNI162" s="370" t="e">
        <f>10/MNE160</f>
        <v>#DIV/0!</v>
      </c>
      <c r="MNJ162" s="371">
        <v>15.38</v>
      </c>
      <c r="MNK162" s="371" t="e">
        <f>MNH162*MNI162*MNJ162</f>
        <v>#DIV/0!</v>
      </c>
      <c r="MNL162" s="367" t="s">
        <v>206</v>
      </c>
      <c r="MNM162" s="367"/>
      <c r="MNN162" s="367"/>
      <c r="MNO162" s="368" t="s">
        <v>168</v>
      </c>
      <c r="MNP162" s="369">
        <v>0.5</v>
      </c>
      <c r="MNQ162" s="370" t="e">
        <f>10/MNM160</f>
        <v>#DIV/0!</v>
      </c>
      <c r="MNR162" s="371">
        <v>15.38</v>
      </c>
      <c r="MNS162" s="371" t="e">
        <f>MNP162*MNQ162*MNR162</f>
        <v>#DIV/0!</v>
      </c>
      <c r="MNT162" s="367" t="s">
        <v>206</v>
      </c>
      <c r="MNU162" s="367"/>
      <c r="MNV162" s="367"/>
      <c r="MNW162" s="368" t="s">
        <v>168</v>
      </c>
      <c r="MNX162" s="369">
        <v>0.5</v>
      </c>
      <c r="MNY162" s="370" t="e">
        <f>10/MNU160</f>
        <v>#DIV/0!</v>
      </c>
      <c r="MNZ162" s="371">
        <v>15.38</v>
      </c>
      <c r="MOA162" s="371" t="e">
        <f>MNX162*MNY162*MNZ162</f>
        <v>#DIV/0!</v>
      </c>
      <c r="MOB162" s="367" t="s">
        <v>206</v>
      </c>
      <c r="MOC162" s="367"/>
      <c r="MOD162" s="367"/>
      <c r="MOE162" s="368" t="s">
        <v>168</v>
      </c>
      <c r="MOF162" s="369">
        <v>0.5</v>
      </c>
      <c r="MOG162" s="370" t="e">
        <f>10/MOC160</f>
        <v>#DIV/0!</v>
      </c>
      <c r="MOH162" s="371">
        <v>15.38</v>
      </c>
      <c r="MOI162" s="371" t="e">
        <f>MOF162*MOG162*MOH162</f>
        <v>#DIV/0!</v>
      </c>
      <c r="MOJ162" s="367" t="s">
        <v>206</v>
      </c>
      <c r="MOK162" s="367"/>
      <c r="MOL162" s="367"/>
      <c r="MOM162" s="368" t="s">
        <v>168</v>
      </c>
      <c r="MON162" s="369">
        <v>0.5</v>
      </c>
      <c r="MOO162" s="370" t="e">
        <f>10/MOK160</f>
        <v>#DIV/0!</v>
      </c>
      <c r="MOP162" s="371">
        <v>15.38</v>
      </c>
      <c r="MOQ162" s="371" t="e">
        <f>MON162*MOO162*MOP162</f>
        <v>#DIV/0!</v>
      </c>
      <c r="MOR162" s="367" t="s">
        <v>206</v>
      </c>
      <c r="MOS162" s="367"/>
      <c r="MOT162" s="367"/>
      <c r="MOU162" s="368" t="s">
        <v>168</v>
      </c>
      <c r="MOV162" s="369">
        <v>0.5</v>
      </c>
      <c r="MOW162" s="370" t="e">
        <f>10/MOS160</f>
        <v>#DIV/0!</v>
      </c>
      <c r="MOX162" s="371">
        <v>15.38</v>
      </c>
      <c r="MOY162" s="371" t="e">
        <f>MOV162*MOW162*MOX162</f>
        <v>#DIV/0!</v>
      </c>
      <c r="MOZ162" s="367" t="s">
        <v>206</v>
      </c>
      <c r="MPA162" s="367"/>
      <c r="MPB162" s="367"/>
      <c r="MPC162" s="368" t="s">
        <v>168</v>
      </c>
      <c r="MPD162" s="369">
        <v>0.5</v>
      </c>
      <c r="MPE162" s="370" t="e">
        <f>10/MPA160</f>
        <v>#DIV/0!</v>
      </c>
      <c r="MPF162" s="371">
        <v>15.38</v>
      </c>
      <c r="MPG162" s="371" t="e">
        <f>MPD162*MPE162*MPF162</f>
        <v>#DIV/0!</v>
      </c>
      <c r="MPH162" s="367" t="s">
        <v>206</v>
      </c>
      <c r="MPI162" s="367"/>
      <c r="MPJ162" s="367"/>
      <c r="MPK162" s="368" t="s">
        <v>168</v>
      </c>
      <c r="MPL162" s="369">
        <v>0.5</v>
      </c>
      <c r="MPM162" s="370" t="e">
        <f>10/MPI160</f>
        <v>#DIV/0!</v>
      </c>
      <c r="MPN162" s="371">
        <v>15.38</v>
      </c>
      <c r="MPO162" s="371" t="e">
        <f>MPL162*MPM162*MPN162</f>
        <v>#DIV/0!</v>
      </c>
      <c r="MPP162" s="367" t="s">
        <v>206</v>
      </c>
      <c r="MPQ162" s="367"/>
      <c r="MPR162" s="367"/>
      <c r="MPS162" s="368" t="s">
        <v>168</v>
      </c>
      <c r="MPT162" s="369">
        <v>0.5</v>
      </c>
      <c r="MPU162" s="370" t="e">
        <f>10/MPQ160</f>
        <v>#DIV/0!</v>
      </c>
      <c r="MPV162" s="371">
        <v>15.38</v>
      </c>
      <c r="MPW162" s="371" t="e">
        <f>MPT162*MPU162*MPV162</f>
        <v>#DIV/0!</v>
      </c>
      <c r="MPX162" s="367" t="s">
        <v>206</v>
      </c>
      <c r="MPY162" s="367"/>
      <c r="MPZ162" s="367"/>
      <c r="MQA162" s="368" t="s">
        <v>168</v>
      </c>
      <c r="MQB162" s="369">
        <v>0.5</v>
      </c>
      <c r="MQC162" s="370" t="e">
        <f>10/MPY160</f>
        <v>#DIV/0!</v>
      </c>
      <c r="MQD162" s="371">
        <v>15.38</v>
      </c>
      <c r="MQE162" s="371" t="e">
        <f>MQB162*MQC162*MQD162</f>
        <v>#DIV/0!</v>
      </c>
      <c r="MQF162" s="367" t="s">
        <v>206</v>
      </c>
      <c r="MQG162" s="367"/>
      <c r="MQH162" s="367"/>
      <c r="MQI162" s="368" t="s">
        <v>168</v>
      </c>
      <c r="MQJ162" s="369">
        <v>0.5</v>
      </c>
      <c r="MQK162" s="370" t="e">
        <f>10/MQG160</f>
        <v>#DIV/0!</v>
      </c>
      <c r="MQL162" s="371">
        <v>15.38</v>
      </c>
      <c r="MQM162" s="371" t="e">
        <f>MQJ162*MQK162*MQL162</f>
        <v>#DIV/0!</v>
      </c>
      <c r="MQN162" s="367" t="s">
        <v>206</v>
      </c>
      <c r="MQO162" s="367"/>
      <c r="MQP162" s="367"/>
      <c r="MQQ162" s="368" t="s">
        <v>168</v>
      </c>
      <c r="MQR162" s="369">
        <v>0.5</v>
      </c>
      <c r="MQS162" s="370" t="e">
        <f>10/MQO160</f>
        <v>#DIV/0!</v>
      </c>
      <c r="MQT162" s="371">
        <v>15.38</v>
      </c>
      <c r="MQU162" s="371" t="e">
        <f>MQR162*MQS162*MQT162</f>
        <v>#DIV/0!</v>
      </c>
      <c r="MQV162" s="367" t="s">
        <v>206</v>
      </c>
      <c r="MQW162" s="367"/>
      <c r="MQX162" s="367"/>
      <c r="MQY162" s="368" t="s">
        <v>168</v>
      </c>
      <c r="MQZ162" s="369">
        <v>0.5</v>
      </c>
      <c r="MRA162" s="370" t="e">
        <f>10/MQW160</f>
        <v>#DIV/0!</v>
      </c>
      <c r="MRB162" s="371">
        <v>15.38</v>
      </c>
      <c r="MRC162" s="371" t="e">
        <f>MQZ162*MRA162*MRB162</f>
        <v>#DIV/0!</v>
      </c>
      <c r="MRD162" s="367" t="s">
        <v>206</v>
      </c>
      <c r="MRE162" s="367"/>
      <c r="MRF162" s="367"/>
      <c r="MRG162" s="368" t="s">
        <v>168</v>
      </c>
      <c r="MRH162" s="369">
        <v>0.5</v>
      </c>
      <c r="MRI162" s="370" t="e">
        <f>10/MRE160</f>
        <v>#DIV/0!</v>
      </c>
      <c r="MRJ162" s="371">
        <v>15.38</v>
      </c>
      <c r="MRK162" s="371" t="e">
        <f>MRH162*MRI162*MRJ162</f>
        <v>#DIV/0!</v>
      </c>
      <c r="MRL162" s="367" t="s">
        <v>206</v>
      </c>
      <c r="MRM162" s="367"/>
      <c r="MRN162" s="367"/>
      <c r="MRO162" s="368" t="s">
        <v>168</v>
      </c>
      <c r="MRP162" s="369">
        <v>0.5</v>
      </c>
      <c r="MRQ162" s="370" t="e">
        <f>10/MRM160</f>
        <v>#DIV/0!</v>
      </c>
      <c r="MRR162" s="371">
        <v>15.38</v>
      </c>
      <c r="MRS162" s="371" t="e">
        <f>MRP162*MRQ162*MRR162</f>
        <v>#DIV/0!</v>
      </c>
      <c r="MRT162" s="367" t="s">
        <v>206</v>
      </c>
      <c r="MRU162" s="367"/>
      <c r="MRV162" s="367"/>
      <c r="MRW162" s="368" t="s">
        <v>168</v>
      </c>
      <c r="MRX162" s="369">
        <v>0.5</v>
      </c>
      <c r="MRY162" s="370" t="e">
        <f>10/MRU160</f>
        <v>#DIV/0!</v>
      </c>
      <c r="MRZ162" s="371">
        <v>15.38</v>
      </c>
      <c r="MSA162" s="371" t="e">
        <f>MRX162*MRY162*MRZ162</f>
        <v>#DIV/0!</v>
      </c>
      <c r="MSB162" s="367" t="s">
        <v>206</v>
      </c>
      <c r="MSC162" s="367"/>
      <c r="MSD162" s="367"/>
      <c r="MSE162" s="368" t="s">
        <v>168</v>
      </c>
      <c r="MSF162" s="369">
        <v>0.5</v>
      </c>
      <c r="MSG162" s="370" t="e">
        <f>10/MSC160</f>
        <v>#DIV/0!</v>
      </c>
      <c r="MSH162" s="371">
        <v>15.38</v>
      </c>
      <c r="MSI162" s="371" t="e">
        <f>MSF162*MSG162*MSH162</f>
        <v>#DIV/0!</v>
      </c>
      <c r="MSJ162" s="367" t="s">
        <v>206</v>
      </c>
      <c r="MSK162" s="367"/>
      <c r="MSL162" s="367"/>
      <c r="MSM162" s="368" t="s">
        <v>168</v>
      </c>
      <c r="MSN162" s="369">
        <v>0.5</v>
      </c>
      <c r="MSO162" s="370" t="e">
        <f>10/MSK160</f>
        <v>#DIV/0!</v>
      </c>
      <c r="MSP162" s="371">
        <v>15.38</v>
      </c>
      <c r="MSQ162" s="371" t="e">
        <f>MSN162*MSO162*MSP162</f>
        <v>#DIV/0!</v>
      </c>
      <c r="MSR162" s="367" t="s">
        <v>206</v>
      </c>
      <c r="MSS162" s="367"/>
      <c r="MST162" s="367"/>
      <c r="MSU162" s="368" t="s">
        <v>168</v>
      </c>
      <c r="MSV162" s="369">
        <v>0.5</v>
      </c>
      <c r="MSW162" s="370" t="e">
        <f>10/MSS160</f>
        <v>#DIV/0!</v>
      </c>
      <c r="MSX162" s="371">
        <v>15.38</v>
      </c>
      <c r="MSY162" s="371" t="e">
        <f>MSV162*MSW162*MSX162</f>
        <v>#DIV/0!</v>
      </c>
      <c r="MSZ162" s="367" t="s">
        <v>206</v>
      </c>
      <c r="MTA162" s="367"/>
      <c r="MTB162" s="367"/>
      <c r="MTC162" s="368" t="s">
        <v>168</v>
      </c>
      <c r="MTD162" s="369">
        <v>0.5</v>
      </c>
      <c r="MTE162" s="370" t="e">
        <f>10/MTA160</f>
        <v>#DIV/0!</v>
      </c>
      <c r="MTF162" s="371">
        <v>15.38</v>
      </c>
      <c r="MTG162" s="371" t="e">
        <f>MTD162*MTE162*MTF162</f>
        <v>#DIV/0!</v>
      </c>
      <c r="MTH162" s="367" t="s">
        <v>206</v>
      </c>
      <c r="MTI162" s="367"/>
      <c r="MTJ162" s="367"/>
      <c r="MTK162" s="368" t="s">
        <v>168</v>
      </c>
      <c r="MTL162" s="369">
        <v>0.5</v>
      </c>
      <c r="MTM162" s="370" t="e">
        <f>10/MTI160</f>
        <v>#DIV/0!</v>
      </c>
      <c r="MTN162" s="371">
        <v>15.38</v>
      </c>
      <c r="MTO162" s="371" t="e">
        <f>MTL162*MTM162*MTN162</f>
        <v>#DIV/0!</v>
      </c>
      <c r="MTP162" s="367" t="s">
        <v>206</v>
      </c>
      <c r="MTQ162" s="367"/>
      <c r="MTR162" s="367"/>
      <c r="MTS162" s="368" t="s">
        <v>168</v>
      </c>
      <c r="MTT162" s="369">
        <v>0.5</v>
      </c>
      <c r="MTU162" s="370" t="e">
        <f>10/MTQ160</f>
        <v>#DIV/0!</v>
      </c>
      <c r="MTV162" s="371">
        <v>15.38</v>
      </c>
      <c r="MTW162" s="371" t="e">
        <f>MTT162*MTU162*MTV162</f>
        <v>#DIV/0!</v>
      </c>
      <c r="MTX162" s="367" t="s">
        <v>206</v>
      </c>
      <c r="MTY162" s="367"/>
      <c r="MTZ162" s="367"/>
      <c r="MUA162" s="368" t="s">
        <v>168</v>
      </c>
      <c r="MUB162" s="369">
        <v>0.5</v>
      </c>
      <c r="MUC162" s="370" t="e">
        <f>10/MTY160</f>
        <v>#DIV/0!</v>
      </c>
      <c r="MUD162" s="371">
        <v>15.38</v>
      </c>
      <c r="MUE162" s="371" t="e">
        <f>MUB162*MUC162*MUD162</f>
        <v>#DIV/0!</v>
      </c>
      <c r="MUF162" s="367" t="s">
        <v>206</v>
      </c>
      <c r="MUG162" s="367"/>
      <c r="MUH162" s="367"/>
      <c r="MUI162" s="368" t="s">
        <v>168</v>
      </c>
      <c r="MUJ162" s="369">
        <v>0.5</v>
      </c>
      <c r="MUK162" s="370" t="e">
        <f>10/MUG160</f>
        <v>#DIV/0!</v>
      </c>
      <c r="MUL162" s="371">
        <v>15.38</v>
      </c>
      <c r="MUM162" s="371" t="e">
        <f>MUJ162*MUK162*MUL162</f>
        <v>#DIV/0!</v>
      </c>
      <c r="MUN162" s="367" t="s">
        <v>206</v>
      </c>
      <c r="MUO162" s="367"/>
      <c r="MUP162" s="367"/>
      <c r="MUQ162" s="368" t="s">
        <v>168</v>
      </c>
      <c r="MUR162" s="369">
        <v>0.5</v>
      </c>
      <c r="MUS162" s="370" t="e">
        <f>10/MUO160</f>
        <v>#DIV/0!</v>
      </c>
      <c r="MUT162" s="371">
        <v>15.38</v>
      </c>
      <c r="MUU162" s="371" t="e">
        <f>MUR162*MUS162*MUT162</f>
        <v>#DIV/0!</v>
      </c>
      <c r="MUV162" s="367" t="s">
        <v>206</v>
      </c>
      <c r="MUW162" s="367"/>
      <c r="MUX162" s="367"/>
      <c r="MUY162" s="368" t="s">
        <v>168</v>
      </c>
      <c r="MUZ162" s="369">
        <v>0.5</v>
      </c>
      <c r="MVA162" s="370" t="e">
        <f>10/MUW160</f>
        <v>#DIV/0!</v>
      </c>
      <c r="MVB162" s="371">
        <v>15.38</v>
      </c>
      <c r="MVC162" s="371" t="e">
        <f>MUZ162*MVA162*MVB162</f>
        <v>#DIV/0!</v>
      </c>
      <c r="MVD162" s="367" t="s">
        <v>206</v>
      </c>
      <c r="MVE162" s="367"/>
      <c r="MVF162" s="367"/>
      <c r="MVG162" s="368" t="s">
        <v>168</v>
      </c>
      <c r="MVH162" s="369">
        <v>0.5</v>
      </c>
      <c r="MVI162" s="370" t="e">
        <f>10/MVE160</f>
        <v>#DIV/0!</v>
      </c>
      <c r="MVJ162" s="371">
        <v>15.38</v>
      </c>
      <c r="MVK162" s="371" t="e">
        <f>MVH162*MVI162*MVJ162</f>
        <v>#DIV/0!</v>
      </c>
      <c r="MVL162" s="367" t="s">
        <v>206</v>
      </c>
      <c r="MVM162" s="367"/>
      <c r="MVN162" s="367"/>
      <c r="MVO162" s="368" t="s">
        <v>168</v>
      </c>
      <c r="MVP162" s="369">
        <v>0.5</v>
      </c>
      <c r="MVQ162" s="370" t="e">
        <f>10/MVM160</f>
        <v>#DIV/0!</v>
      </c>
      <c r="MVR162" s="371">
        <v>15.38</v>
      </c>
      <c r="MVS162" s="371" t="e">
        <f>MVP162*MVQ162*MVR162</f>
        <v>#DIV/0!</v>
      </c>
      <c r="MVT162" s="367" t="s">
        <v>206</v>
      </c>
      <c r="MVU162" s="367"/>
      <c r="MVV162" s="367"/>
      <c r="MVW162" s="368" t="s">
        <v>168</v>
      </c>
      <c r="MVX162" s="369">
        <v>0.5</v>
      </c>
      <c r="MVY162" s="370" t="e">
        <f>10/MVU160</f>
        <v>#DIV/0!</v>
      </c>
      <c r="MVZ162" s="371">
        <v>15.38</v>
      </c>
      <c r="MWA162" s="371" t="e">
        <f>MVX162*MVY162*MVZ162</f>
        <v>#DIV/0!</v>
      </c>
      <c r="MWB162" s="367" t="s">
        <v>206</v>
      </c>
      <c r="MWC162" s="367"/>
      <c r="MWD162" s="367"/>
      <c r="MWE162" s="368" t="s">
        <v>168</v>
      </c>
      <c r="MWF162" s="369">
        <v>0.5</v>
      </c>
      <c r="MWG162" s="370" t="e">
        <f>10/MWC160</f>
        <v>#DIV/0!</v>
      </c>
      <c r="MWH162" s="371">
        <v>15.38</v>
      </c>
      <c r="MWI162" s="371" t="e">
        <f>MWF162*MWG162*MWH162</f>
        <v>#DIV/0!</v>
      </c>
      <c r="MWJ162" s="367" t="s">
        <v>206</v>
      </c>
      <c r="MWK162" s="367"/>
      <c r="MWL162" s="367"/>
      <c r="MWM162" s="368" t="s">
        <v>168</v>
      </c>
      <c r="MWN162" s="369">
        <v>0.5</v>
      </c>
      <c r="MWO162" s="370" t="e">
        <f>10/MWK160</f>
        <v>#DIV/0!</v>
      </c>
      <c r="MWP162" s="371">
        <v>15.38</v>
      </c>
      <c r="MWQ162" s="371" t="e">
        <f>MWN162*MWO162*MWP162</f>
        <v>#DIV/0!</v>
      </c>
      <c r="MWR162" s="367" t="s">
        <v>206</v>
      </c>
      <c r="MWS162" s="367"/>
      <c r="MWT162" s="367"/>
      <c r="MWU162" s="368" t="s">
        <v>168</v>
      </c>
      <c r="MWV162" s="369">
        <v>0.5</v>
      </c>
      <c r="MWW162" s="370" t="e">
        <f>10/MWS160</f>
        <v>#DIV/0!</v>
      </c>
      <c r="MWX162" s="371">
        <v>15.38</v>
      </c>
      <c r="MWY162" s="371" t="e">
        <f>MWV162*MWW162*MWX162</f>
        <v>#DIV/0!</v>
      </c>
      <c r="MWZ162" s="367" t="s">
        <v>206</v>
      </c>
      <c r="MXA162" s="367"/>
      <c r="MXB162" s="367"/>
      <c r="MXC162" s="368" t="s">
        <v>168</v>
      </c>
      <c r="MXD162" s="369">
        <v>0.5</v>
      </c>
      <c r="MXE162" s="370" t="e">
        <f>10/MXA160</f>
        <v>#DIV/0!</v>
      </c>
      <c r="MXF162" s="371">
        <v>15.38</v>
      </c>
      <c r="MXG162" s="371" t="e">
        <f>MXD162*MXE162*MXF162</f>
        <v>#DIV/0!</v>
      </c>
      <c r="MXH162" s="367" t="s">
        <v>206</v>
      </c>
      <c r="MXI162" s="367"/>
      <c r="MXJ162" s="367"/>
      <c r="MXK162" s="368" t="s">
        <v>168</v>
      </c>
      <c r="MXL162" s="369">
        <v>0.5</v>
      </c>
      <c r="MXM162" s="370" t="e">
        <f>10/MXI160</f>
        <v>#DIV/0!</v>
      </c>
      <c r="MXN162" s="371">
        <v>15.38</v>
      </c>
      <c r="MXO162" s="371" t="e">
        <f>MXL162*MXM162*MXN162</f>
        <v>#DIV/0!</v>
      </c>
      <c r="MXP162" s="367" t="s">
        <v>206</v>
      </c>
      <c r="MXQ162" s="367"/>
      <c r="MXR162" s="367"/>
      <c r="MXS162" s="368" t="s">
        <v>168</v>
      </c>
      <c r="MXT162" s="369">
        <v>0.5</v>
      </c>
      <c r="MXU162" s="370" t="e">
        <f>10/MXQ160</f>
        <v>#DIV/0!</v>
      </c>
      <c r="MXV162" s="371">
        <v>15.38</v>
      </c>
      <c r="MXW162" s="371" t="e">
        <f>MXT162*MXU162*MXV162</f>
        <v>#DIV/0!</v>
      </c>
      <c r="MXX162" s="367" t="s">
        <v>206</v>
      </c>
      <c r="MXY162" s="367"/>
      <c r="MXZ162" s="367"/>
      <c r="MYA162" s="368" t="s">
        <v>168</v>
      </c>
      <c r="MYB162" s="369">
        <v>0.5</v>
      </c>
      <c r="MYC162" s="370" t="e">
        <f>10/MXY160</f>
        <v>#DIV/0!</v>
      </c>
      <c r="MYD162" s="371">
        <v>15.38</v>
      </c>
      <c r="MYE162" s="371" t="e">
        <f>MYB162*MYC162*MYD162</f>
        <v>#DIV/0!</v>
      </c>
      <c r="MYF162" s="367" t="s">
        <v>206</v>
      </c>
      <c r="MYG162" s="367"/>
      <c r="MYH162" s="367"/>
      <c r="MYI162" s="368" t="s">
        <v>168</v>
      </c>
      <c r="MYJ162" s="369">
        <v>0.5</v>
      </c>
      <c r="MYK162" s="370" t="e">
        <f>10/MYG160</f>
        <v>#DIV/0!</v>
      </c>
      <c r="MYL162" s="371">
        <v>15.38</v>
      </c>
      <c r="MYM162" s="371" t="e">
        <f>MYJ162*MYK162*MYL162</f>
        <v>#DIV/0!</v>
      </c>
      <c r="MYN162" s="367" t="s">
        <v>206</v>
      </c>
      <c r="MYO162" s="367"/>
      <c r="MYP162" s="367"/>
      <c r="MYQ162" s="368" t="s">
        <v>168</v>
      </c>
      <c r="MYR162" s="369">
        <v>0.5</v>
      </c>
      <c r="MYS162" s="370" t="e">
        <f>10/MYO160</f>
        <v>#DIV/0!</v>
      </c>
      <c r="MYT162" s="371">
        <v>15.38</v>
      </c>
      <c r="MYU162" s="371" t="e">
        <f>MYR162*MYS162*MYT162</f>
        <v>#DIV/0!</v>
      </c>
      <c r="MYV162" s="367" t="s">
        <v>206</v>
      </c>
      <c r="MYW162" s="367"/>
      <c r="MYX162" s="367"/>
      <c r="MYY162" s="368" t="s">
        <v>168</v>
      </c>
      <c r="MYZ162" s="369">
        <v>0.5</v>
      </c>
      <c r="MZA162" s="370" t="e">
        <f>10/MYW160</f>
        <v>#DIV/0!</v>
      </c>
      <c r="MZB162" s="371">
        <v>15.38</v>
      </c>
      <c r="MZC162" s="371" t="e">
        <f>MYZ162*MZA162*MZB162</f>
        <v>#DIV/0!</v>
      </c>
      <c r="MZD162" s="367" t="s">
        <v>206</v>
      </c>
      <c r="MZE162" s="367"/>
      <c r="MZF162" s="367"/>
      <c r="MZG162" s="368" t="s">
        <v>168</v>
      </c>
      <c r="MZH162" s="369">
        <v>0.5</v>
      </c>
      <c r="MZI162" s="370" t="e">
        <f>10/MZE160</f>
        <v>#DIV/0!</v>
      </c>
      <c r="MZJ162" s="371">
        <v>15.38</v>
      </c>
      <c r="MZK162" s="371" t="e">
        <f>MZH162*MZI162*MZJ162</f>
        <v>#DIV/0!</v>
      </c>
      <c r="MZL162" s="367" t="s">
        <v>206</v>
      </c>
      <c r="MZM162" s="367"/>
      <c r="MZN162" s="367"/>
      <c r="MZO162" s="368" t="s">
        <v>168</v>
      </c>
      <c r="MZP162" s="369">
        <v>0.5</v>
      </c>
      <c r="MZQ162" s="370" t="e">
        <f>10/MZM160</f>
        <v>#DIV/0!</v>
      </c>
      <c r="MZR162" s="371">
        <v>15.38</v>
      </c>
      <c r="MZS162" s="371" t="e">
        <f>MZP162*MZQ162*MZR162</f>
        <v>#DIV/0!</v>
      </c>
      <c r="MZT162" s="367" t="s">
        <v>206</v>
      </c>
      <c r="MZU162" s="367"/>
      <c r="MZV162" s="367"/>
      <c r="MZW162" s="368" t="s">
        <v>168</v>
      </c>
      <c r="MZX162" s="369">
        <v>0.5</v>
      </c>
      <c r="MZY162" s="370" t="e">
        <f>10/MZU160</f>
        <v>#DIV/0!</v>
      </c>
      <c r="MZZ162" s="371">
        <v>15.38</v>
      </c>
      <c r="NAA162" s="371" t="e">
        <f>MZX162*MZY162*MZZ162</f>
        <v>#DIV/0!</v>
      </c>
      <c r="NAB162" s="367" t="s">
        <v>206</v>
      </c>
      <c r="NAC162" s="367"/>
      <c r="NAD162" s="367"/>
      <c r="NAE162" s="368" t="s">
        <v>168</v>
      </c>
      <c r="NAF162" s="369">
        <v>0.5</v>
      </c>
      <c r="NAG162" s="370" t="e">
        <f>10/NAC160</f>
        <v>#DIV/0!</v>
      </c>
      <c r="NAH162" s="371">
        <v>15.38</v>
      </c>
      <c r="NAI162" s="371" t="e">
        <f>NAF162*NAG162*NAH162</f>
        <v>#DIV/0!</v>
      </c>
      <c r="NAJ162" s="367" t="s">
        <v>206</v>
      </c>
      <c r="NAK162" s="367"/>
      <c r="NAL162" s="367"/>
      <c r="NAM162" s="368" t="s">
        <v>168</v>
      </c>
      <c r="NAN162" s="369">
        <v>0.5</v>
      </c>
      <c r="NAO162" s="370" t="e">
        <f>10/NAK160</f>
        <v>#DIV/0!</v>
      </c>
      <c r="NAP162" s="371">
        <v>15.38</v>
      </c>
      <c r="NAQ162" s="371" t="e">
        <f>NAN162*NAO162*NAP162</f>
        <v>#DIV/0!</v>
      </c>
      <c r="NAR162" s="367" t="s">
        <v>206</v>
      </c>
      <c r="NAS162" s="367"/>
      <c r="NAT162" s="367"/>
      <c r="NAU162" s="368" t="s">
        <v>168</v>
      </c>
      <c r="NAV162" s="369">
        <v>0.5</v>
      </c>
      <c r="NAW162" s="370" t="e">
        <f>10/NAS160</f>
        <v>#DIV/0!</v>
      </c>
      <c r="NAX162" s="371">
        <v>15.38</v>
      </c>
      <c r="NAY162" s="371" t="e">
        <f>NAV162*NAW162*NAX162</f>
        <v>#DIV/0!</v>
      </c>
      <c r="NAZ162" s="367" t="s">
        <v>206</v>
      </c>
      <c r="NBA162" s="367"/>
      <c r="NBB162" s="367"/>
      <c r="NBC162" s="368" t="s">
        <v>168</v>
      </c>
      <c r="NBD162" s="369">
        <v>0.5</v>
      </c>
      <c r="NBE162" s="370" t="e">
        <f>10/NBA160</f>
        <v>#DIV/0!</v>
      </c>
      <c r="NBF162" s="371">
        <v>15.38</v>
      </c>
      <c r="NBG162" s="371" t="e">
        <f>NBD162*NBE162*NBF162</f>
        <v>#DIV/0!</v>
      </c>
      <c r="NBH162" s="367" t="s">
        <v>206</v>
      </c>
      <c r="NBI162" s="367"/>
      <c r="NBJ162" s="367"/>
      <c r="NBK162" s="368" t="s">
        <v>168</v>
      </c>
      <c r="NBL162" s="369">
        <v>0.5</v>
      </c>
      <c r="NBM162" s="370" t="e">
        <f>10/NBI160</f>
        <v>#DIV/0!</v>
      </c>
      <c r="NBN162" s="371">
        <v>15.38</v>
      </c>
      <c r="NBO162" s="371" t="e">
        <f>NBL162*NBM162*NBN162</f>
        <v>#DIV/0!</v>
      </c>
      <c r="NBP162" s="367" t="s">
        <v>206</v>
      </c>
      <c r="NBQ162" s="367"/>
      <c r="NBR162" s="367"/>
      <c r="NBS162" s="368" t="s">
        <v>168</v>
      </c>
      <c r="NBT162" s="369">
        <v>0.5</v>
      </c>
      <c r="NBU162" s="370" t="e">
        <f>10/NBQ160</f>
        <v>#DIV/0!</v>
      </c>
      <c r="NBV162" s="371">
        <v>15.38</v>
      </c>
      <c r="NBW162" s="371" t="e">
        <f>NBT162*NBU162*NBV162</f>
        <v>#DIV/0!</v>
      </c>
      <c r="NBX162" s="367" t="s">
        <v>206</v>
      </c>
      <c r="NBY162" s="367"/>
      <c r="NBZ162" s="367"/>
      <c r="NCA162" s="368" t="s">
        <v>168</v>
      </c>
      <c r="NCB162" s="369">
        <v>0.5</v>
      </c>
      <c r="NCC162" s="370" t="e">
        <f>10/NBY160</f>
        <v>#DIV/0!</v>
      </c>
      <c r="NCD162" s="371">
        <v>15.38</v>
      </c>
      <c r="NCE162" s="371" t="e">
        <f>NCB162*NCC162*NCD162</f>
        <v>#DIV/0!</v>
      </c>
      <c r="NCF162" s="367" t="s">
        <v>206</v>
      </c>
      <c r="NCG162" s="367"/>
      <c r="NCH162" s="367"/>
      <c r="NCI162" s="368" t="s">
        <v>168</v>
      </c>
      <c r="NCJ162" s="369">
        <v>0.5</v>
      </c>
      <c r="NCK162" s="370" t="e">
        <f>10/NCG160</f>
        <v>#DIV/0!</v>
      </c>
      <c r="NCL162" s="371">
        <v>15.38</v>
      </c>
      <c r="NCM162" s="371" t="e">
        <f>NCJ162*NCK162*NCL162</f>
        <v>#DIV/0!</v>
      </c>
      <c r="NCN162" s="367" t="s">
        <v>206</v>
      </c>
      <c r="NCO162" s="367"/>
      <c r="NCP162" s="367"/>
      <c r="NCQ162" s="368" t="s">
        <v>168</v>
      </c>
      <c r="NCR162" s="369">
        <v>0.5</v>
      </c>
      <c r="NCS162" s="370" t="e">
        <f>10/NCO160</f>
        <v>#DIV/0!</v>
      </c>
      <c r="NCT162" s="371">
        <v>15.38</v>
      </c>
      <c r="NCU162" s="371" t="e">
        <f>NCR162*NCS162*NCT162</f>
        <v>#DIV/0!</v>
      </c>
      <c r="NCV162" s="367" t="s">
        <v>206</v>
      </c>
      <c r="NCW162" s="367"/>
      <c r="NCX162" s="367"/>
      <c r="NCY162" s="368" t="s">
        <v>168</v>
      </c>
      <c r="NCZ162" s="369">
        <v>0.5</v>
      </c>
      <c r="NDA162" s="370" t="e">
        <f>10/NCW160</f>
        <v>#DIV/0!</v>
      </c>
      <c r="NDB162" s="371">
        <v>15.38</v>
      </c>
      <c r="NDC162" s="371" t="e">
        <f>NCZ162*NDA162*NDB162</f>
        <v>#DIV/0!</v>
      </c>
      <c r="NDD162" s="367" t="s">
        <v>206</v>
      </c>
      <c r="NDE162" s="367"/>
      <c r="NDF162" s="367"/>
      <c r="NDG162" s="368" t="s">
        <v>168</v>
      </c>
      <c r="NDH162" s="369">
        <v>0.5</v>
      </c>
      <c r="NDI162" s="370" t="e">
        <f>10/NDE160</f>
        <v>#DIV/0!</v>
      </c>
      <c r="NDJ162" s="371">
        <v>15.38</v>
      </c>
      <c r="NDK162" s="371" t="e">
        <f>NDH162*NDI162*NDJ162</f>
        <v>#DIV/0!</v>
      </c>
      <c r="NDL162" s="367" t="s">
        <v>206</v>
      </c>
      <c r="NDM162" s="367"/>
      <c r="NDN162" s="367"/>
      <c r="NDO162" s="368" t="s">
        <v>168</v>
      </c>
      <c r="NDP162" s="369">
        <v>0.5</v>
      </c>
      <c r="NDQ162" s="370" t="e">
        <f>10/NDM160</f>
        <v>#DIV/0!</v>
      </c>
      <c r="NDR162" s="371">
        <v>15.38</v>
      </c>
      <c r="NDS162" s="371" t="e">
        <f>NDP162*NDQ162*NDR162</f>
        <v>#DIV/0!</v>
      </c>
      <c r="NDT162" s="367" t="s">
        <v>206</v>
      </c>
      <c r="NDU162" s="367"/>
      <c r="NDV162" s="367"/>
      <c r="NDW162" s="368" t="s">
        <v>168</v>
      </c>
      <c r="NDX162" s="369">
        <v>0.5</v>
      </c>
      <c r="NDY162" s="370" t="e">
        <f>10/NDU160</f>
        <v>#DIV/0!</v>
      </c>
      <c r="NDZ162" s="371">
        <v>15.38</v>
      </c>
      <c r="NEA162" s="371" t="e">
        <f>NDX162*NDY162*NDZ162</f>
        <v>#DIV/0!</v>
      </c>
      <c r="NEB162" s="367" t="s">
        <v>206</v>
      </c>
      <c r="NEC162" s="367"/>
      <c r="NED162" s="367"/>
      <c r="NEE162" s="368" t="s">
        <v>168</v>
      </c>
      <c r="NEF162" s="369">
        <v>0.5</v>
      </c>
      <c r="NEG162" s="370" t="e">
        <f>10/NEC160</f>
        <v>#DIV/0!</v>
      </c>
      <c r="NEH162" s="371">
        <v>15.38</v>
      </c>
      <c r="NEI162" s="371" t="e">
        <f>NEF162*NEG162*NEH162</f>
        <v>#DIV/0!</v>
      </c>
      <c r="NEJ162" s="367" t="s">
        <v>206</v>
      </c>
      <c r="NEK162" s="367"/>
      <c r="NEL162" s="367"/>
      <c r="NEM162" s="368" t="s">
        <v>168</v>
      </c>
      <c r="NEN162" s="369">
        <v>0.5</v>
      </c>
      <c r="NEO162" s="370" t="e">
        <f>10/NEK160</f>
        <v>#DIV/0!</v>
      </c>
      <c r="NEP162" s="371">
        <v>15.38</v>
      </c>
      <c r="NEQ162" s="371" t="e">
        <f>NEN162*NEO162*NEP162</f>
        <v>#DIV/0!</v>
      </c>
      <c r="NER162" s="367" t="s">
        <v>206</v>
      </c>
      <c r="NES162" s="367"/>
      <c r="NET162" s="367"/>
      <c r="NEU162" s="368" t="s">
        <v>168</v>
      </c>
      <c r="NEV162" s="369">
        <v>0.5</v>
      </c>
      <c r="NEW162" s="370" t="e">
        <f>10/NES160</f>
        <v>#DIV/0!</v>
      </c>
      <c r="NEX162" s="371">
        <v>15.38</v>
      </c>
      <c r="NEY162" s="371" t="e">
        <f>NEV162*NEW162*NEX162</f>
        <v>#DIV/0!</v>
      </c>
      <c r="NEZ162" s="367" t="s">
        <v>206</v>
      </c>
      <c r="NFA162" s="367"/>
      <c r="NFB162" s="367"/>
      <c r="NFC162" s="368" t="s">
        <v>168</v>
      </c>
      <c r="NFD162" s="369">
        <v>0.5</v>
      </c>
      <c r="NFE162" s="370" t="e">
        <f>10/NFA160</f>
        <v>#DIV/0!</v>
      </c>
      <c r="NFF162" s="371">
        <v>15.38</v>
      </c>
      <c r="NFG162" s="371" t="e">
        <f>NFD162*NFE162*NFF162</f>
        <v>#DIV/0!</v>
      </c>
      <c r="NFH162" s="367" t="s">
        <v>206</v>
      </c>
      <c r="NFI162" s="367"/>
      <c r="NFJ162" s="367"/>
      <c r="NFK162" s="368" t="s">
        <v>168</v>
      </c>
      <c r="NFL162" s="369">
        <v>0.5</v>
      </c>
      <c r="NFM162" s="370" t="e">
        <f>10/NFI160</f>
        <v>#DIV/0!</v>
      </c>
      <c r="NFN162" s="371">
        <v>15.38</v>
      </c>
      <c r="NFO162" s="371" t="e">
        <f>NFL162*NFM162*NFN162</f>
        <v>#DIV/0!</v>
      </c>
      <c r="NFP162" s="367" t="s">
        <v>206</v>
      </c>
      <c r="NFQ162" s="367"/>
      <c r="NFR162" s="367"/>
      <c r="NFS162" s="368" t="s">
        <v>168</v>
      </c>
      <c r="NFT162" s="369">
        <v>0.5</v>
      </c>
      <c r="NFU162" s="370" t="e">
        <f>10/NFQ160</f>
        <v>#DIV/0!</v>
      </c>
      <c r="NFV162" s="371">
        <v>15.38</v>
      </c>
      <c r="NFW162" s="371" t="e">
        <f>NFT162*NFU162*NFV162</f>
        <v>#DIV/0!</v>
      </c>
      <c r="NFX162" s="367" t="s">
        <v>206</v>
      </c>
      <c r="NFY162" s="367"/>
      <c r="NFZ162" s="367"/>
      <c r="NGA162" s="368" t="s">
        <v>168</v>
      </c>
      <c r="NGB162" s="369">
        <v>0.5</v>
      </c>
      <c r="NGC162" s="370" t="e">
        <f>10/NFY160</f>
        <v>#DIV/0!</v>
      </c>
      <c r="NGD162" s="371">
        <v>15.38</v>
      </c>
      <c r="NGE162" s="371" t="e">
        <f>NGB162*NGC162*NGD162</f>
        <v>#DIV/0!</v>
      </c>
      <c r="NGF162" s="367" t="s">
        <v>206</v>
      </c>
      <c r="NGG162" s="367"/>
      <c r="NGH162" s="367"/>
      <c r="NGI162" s="368" t="s">
        <v>168</v>
      </c>
      <c r="NGJ162" s="369">
        <v>0.5</v>
      </c>
      <c r="NGK162" s="370" t="e">
        <f>10/NGG160</f>
        <v>#DIV/0!</v>
      </c>
      <c r="NGL162" s="371">
        <v>15.38</v>
      </c>
      <c r="NGM162" s="371" t="e">
        <f>NGJ162*NGK162*NGL162</f>
        <v>#DIV/0!</v>
      </c>
      <c r="NGN162" s="367" t="s">
        <v>206</v>
      </c>
      <c r="NGO162" s="367"/>
      <c r="NGP162" s="367"/>
      <c r="NGQ162" s="368" t="s">
        <v>168</v>
      </c>
      <c r="NGR162" s="369">
        <v>0.5</v>
      </c>
      <c r="NGS162" s="370" t="e">
        <f>10/NGO160</f>
        <v>#DIV/0!</v>
      </c>
      <c r="NGT162" s="371">
        <v>15.38</v>
      </c>
      <c r="NGU162" s="371" t="e">
        <f>NGR162*NGS162*NGT162</f>
        <v>#DIV/0!</v>
      </c>
      <c r="NGV162" s="367" t="s">
        <v>206</v>
      </c>
      <c r="NGW162" s="367"/>
      <c r="NGX162" s="367"/>
      <c r="NGY162" s="368" t="s">
        <v>168</v>
      </c>
      <c r="NGZ162" s="369">
        <v>0.5</v>
      </c>
      <c r="NHA162" s="370" t="e">
        <f>10/NGW160</f>
        <v>#DIV/0!</v>
      </c>
      <c r="NHB162" s="371">
        <v>15.38</v>
      </c>
      <c r="NHC162" s="371" t="e">
        <f>NGZ162*NHA162*NHB162</f>
        <v>#DIV/0!</v>
      </c>
      <c r="NHD162" s="367" t="s">
        <v>206</v>
      </c>
      <c r="NHE162" s="367"/>
      <c r="NHF162" s="367"/>
      <c r="NHG162" s="368" t="s">
        <v>168</v>
      </c>
      <c r="NHH162" s="369">
        <v>0.5</v>
      </c>
      <c r="NHI162" s="370" t="e">
        <f>10/NHE160</f>
        <v>#DIV/0!</v>
      </c>
      <c r="NHJ162" s="371">
        <v>15.38</v>
      </c>
      <c r="NHK162" s="371" t="e">
        <f>NHH162*NHI162*NHJ162</f>
        <v>#DIV/0!</v>
      </c>
      <c r="NHL162" s="367" t="s">
        <v>206</v>
      </c>
      <c r="NHM162" s="367"/>
      <c r="NHN162" s="367"/>
      <c r="NHO162" s="368" t="s">
        <v>168</v>
      </c>
      <c r="NHP162" s="369">
        <v>0.5</v>
      </c>
      <c r="NHQ162" s="370" t="e">
        <f>10/NHM160</f>
        <v>#DIV/0!</v>
      </c>
      <c r="NHR162" s="371">
        <v>15.38</v>
      </c>
      <c r="NHS162" s="371" t="e">
        <f>NHP162*NHQ162*NHR162</f>
        <v>#DIV/0!</v>
      </c>
      <c r="NHT162" s="367" t="s">
        <v>206</v>
      </c>
      <c r="NHU162" s="367"/>
      <c r="NHV162" s="367"/>
      <c r="NHW162" s="368" t="s">
        <v>168</v>
      </c>
      <c r="NHX162" s="369">
        <v>0.5</v>
      </c>
      <c r="NHY162" s="370" t="e">
        <f>10/NHU160</f>
        <v>#DIV/0!</v>
      </c>
      <c r="NHZ162" s="371">
        <v>15.38</v>
      </c>
      <c r="NIA162" s="371" t="e">
        <f>NHX162*NHY162*NHZ162</f>
        <v>#DIV/0!</v>
      </c>
      <c r="NIB162" s="367" t="s">
        <v>206</v>
      </c>
      <c r="NIC162" s="367"/>
      <c r="NID162" s="367"/>
      <c r="NIE162" s="368" t="s">
        <v>168</v>
      </c>
      <c r="NIF162" s="369">
        <v>0.5</v>
      </c>
      <c r="NIG162" s="370" t="e">
        <f>10/NIC160</f>
        <v>#DIV/0!</v>
      </c>
      <c r="NIH162" s="371">
        <v>15.38</v>
      </c>
      <c r="NII162" s="371" t="e">
        <f>NIF162*NIG162*NIH162</f>
        <v>#DIV/0!</v>
      </c>
      <c r="NIJ162" s="367" t="s">
        <v>206</v>
      </c>
      <c r="NIK162" s="367"/>
      <c r="NIL162" s="367"/>
      <c r="NIM162" s="368" t="s">
        <v>168</v>
      </c>
      <c r="NIN162" s="369">
        <v>0.5</v>
      </c>
      <c r="NIO162" s="370" t="e">
        <f>10/NIK160</f>
        <v>#DIV/0!</v>
      </c>
      <c r="NIP162" s="371">
        <v>15.38</v>
      </c>
      <c r="NIQ162" s="371" t="e">
        <f>NIN162*NIO162*NIP162</f>
        <v>#DIV/0!</v>
      </c>
      <c r="NIR162" s="367" t="s">
        <v>206</v>
      </c>
      <c r="NIS162" s="367"/>
      <c r="NIT162" s="367"/>
      <c r="NIU162" s="368" t="s">
        <v>168</v>
      </c>
      <c r="NIV162" s="369">
        <v>0.5</v>
      </c>
      <c r="NIW162" s="370" t="e">
        <f>10/NIS160</f>
        <v>#DIV/0!</v>
      </c>
      <c r="NIX162" s="371">
        <v>15.38</v>
      </c>
      <c r="NIY162" s="371" t="e">
        <f>NIV162*NIW162*NIX162</f>
        <v>#DIV/0!</v>
      </c>
      <c r="NIZ162" s="367" t="s">
        <v>206</v>
      </c>
      <c r="NJA162" s="367"/>
      <c r="NJB162" s="367"/>
      <c r="NJC162" s="368" t="s">
        <v>168</v>
      </c>
      <c r="NJD162" s="369">
        <v>0.5</v>
      </c>
      <c r="NJE162" s="370" t="e">
        <f>10/NJA160</f>
        <v>#DIV/0!</v>
      </c>
      <c r="NJF162" s="371">
        <v>15.38</v>
      </c>
      <c r="NJG162" s="371" t="e">
        <f>NJD162*NJE162*NJF162</f>
        <v>#DIV/0!</v>
      </c>
      <c r="NJH162" s="367" t="s">
        <v>206</v>
      </c>
      <c r="NJI162" s="367"/>
      <c r="NJJ162" s="367"/>
      <c r="NJK162" s="368" t="s">
        <v>168</v>
      </c>
      <c r="NJL162" s="369">
        <v>0.5</v>
      </c>
      <c r="NJM162" s="370" t="e">
        <f>10/NJI160</f>
        <v>#DIV/0!</v>
      </c>
      <c r="NJN162" s="371">
        <v>15.38</v>
      </c>
      <c r="NJO162" s="371" t="e">
        <f>NJL162*NJM162*NJN162</f>
        <v>#DIV/0!</v>
      </c>
      <c r="NJP162" s="367" t="s">
        <v>206</v>
      </c>
      <c r="NJQ162" s="367"/>
      <c r="NJR162" s="367"/>
      <c r="NJS162" s="368" t="s">
        <v>168</v>
      </c>
      <c r="NJT162" s="369">
        <v>0.5</v>
      </c>
      <c r="NJU162" s="370" t="e">
        <f>10/NJQ160</f>
        <v>#DIV/0!</v>
      </c>
      <c r="NJV162" s="371">
        <v>15.38</v>
      </c>
      <c r="NJW162" s="371" t="e">
        <f>NJT162*NJU162*NJV162</f>
        <v>#DIV/0!</v>
      </c>
      <c r="NJX162" s="367" t="s">
        <v>206</v>
      </c>
      <c r="NJY162" s="367"/>
      <c r="NJZ162" s="367"/>
      <c r="NKA162" s="368" t="s">
        <v>168</v>
      </c>
      <c r="NKB162" s="369">
        <v>0.5</v>
      </c>
      <c r="NKC162" s="370" t="e">
        <f>10/NJY160</f>
        <v>#DIV/0!</v>
      </c>
      <c r="NKD162" s="371">
        <v>15.38</v>
      </c>
      <c r="NKE162" s="371" t="e">
        <f>NKB162*NKC162*NKD162</f>
        <v>#DIV/0!</v>
      </c>
      <c r="NKF162" s="367" t="s">
        <v>206</v>
      </c>
      <c r="NKG162" s="367"/>
      <c r="NKH162" s="367"/>
      <c r="NKI162" s="368" t="s">
        <v>168</v>
      </c>
      <c r="NKJ162" s="369">
        <v>0.5</v>
      </c>
      <c r="NKK162" s="370" t="e">
        <f>10/NKG160</f>
        <v>#DIV/0!</v>
      </c>
      <c r="NKL162" s="371">
        <v>15.38</v>
      </c>
      <c r="NKM162" s="371" t="e">
        <f>NKJ162*NKK162*NKL162</f>
        <v>#DIV/0!</v>
      </c>
      <c r="NKN162" s="367" t="s">
        <v>206</v>
      </c>
      <c r="NKO162" s="367"/>
      <c r="NKP162" s="367"/>
      <c r="NKQ162" s="368" t="s">
        <v>168</v>
      </c>
      <c r="NKR162" s="369">
        <v>0.5</v>
      </c>
      <c r="NKS162" s="370" t="e">
        <f>10/NKO160</f>
        <v>#DIV/0!</v>
      </c>
      <c r="NKT162" s="371">
        <v>15.38</v>
      </c>
      <c r="NKU162" s="371" t="e">
        <f>NKR162*NKS162*NKT162</f>
        <v>#DIV/0!</v>
      </c>
      <c r="NKV162" s="367" t="s">
        <v>206</v>
      </c>
      <c r="NKW162" s="367"/>
      <c r="NKX162" s="367"/>
      <c r="NKY162" s="368" t="s">
        <v>168</v>
      </c>
      <c r="NKZ162" s="369">
        <v>0.5</v>
      </c>
      <c r="NLA162" s="370" t="e">
        <f>10/NKW160</f>
        <v>#DIV/0!</v>
      </c>
      <c r="NLB162" s="371">
        <v>15.38</v>
      </c>
      <c r="NLC162" s="371" t="e">
        <f>NKZ162*NLA162*NLB162</f>
        <v>#DIV/0!</v>
      </c>
      <c r="NLD162" s="367" t="s">
        <v>206</v>
      </c>
      <c r="NLE162" s="367"/>
      <c r="NLF162" s="367"/>
      <c r="NLG162" s="368" t="s">
        <v>168</v>
      </c>
      <c r="NLH162" s="369">
        <v>0.5</v>
      </c>
      <c r="NLI162" s="370" t="e">
        <f>10/NLE160</f>
        <v>#DIV/0!</v>
      </c>
      <c r="NLJ162" s="371">
        <v>15.38</v>
      </c>
      <c r="NLK162" s="371" t="e">
        <f>NLH162*NLI162*NLJ162</f>
        <v>#DIV/0!</v>
      </c>
      <c r="NLL162" s="367" t="s">
        <v>206</v>
      </c>
      <c r="NLM162" s="367"/>
      <c r="NLN162" s="367"/>
      <c r="NLO162" s="368" t="s">
        <v>168</v>
      </c>
      <c r="NLP162" s="369">
        <v>0.5</v>
      </c>
      <c r="NLQ162" s="370" t="e">
        <f>10/NLM160</f>
        <v>#DIV/0!</v>
      </c>
      <c r="NLR162" s="371">
        <v>15.38</v>
      </c>
      <c r="NLS162" s="371" t="e">
        <f>NLP162*NLQ162*NLR162</f>
        <v>#DIV/0!</v>
      </c>
      <c r="NLT162" s="367" t="s">
        <v>206</v>
      </c>
      <c r="NLU162" s="367"/>
      <c r="NLV162" s="367"/>
      <c r="NLW162" s="368" t="s">
        <v>168</v>
      </c>
      <c r="NLX162" s="369">
        <v>0.5</v>
      </c>
      <c r="NLY162" s="370" t="e">
        <f>10/NLU160</f>
        <v>#DIV/0!</v>
      </c>
      <c r="NLZ162" s="371">
        <v>15.38</v>
      </c>
      <c r="NMA162" s="371" t="e">
        <f>NLX162*NLY162*NLZ162</f>
        <v>#DIV/0!</v>
      </c>
      <c r="NMB162" s="367" t="s">
        <v>206</v>
      </c>
      <c r="NMC162" s="367"/>
      <c r="NMD162" s="367"/>
      <c r="NME162" s="368" t="s">
        <v>168</v>
      </c>
      <c r="NMF162" s="369">
        <v>0.5</v>
      </c>
      <c r="NMG162" s="370" t="e">
        <f>10/NMC160</f>
        <v>#DIV/0!</v>
      </c>
      <c r="NMH162" s="371">
        <v>15.38</v>
      </c>
      <c r="NMI162" s="371" t="e">
        <f>NMF162*NMG162*NMH162</f>
        <v>#DIV/0!</v>
      </c>
      <c r="NMJ162" s="367" t="s">
        <v>206</v>
      </c>
      <c r="NMK162" s="367"/>
      <c r="NML162" s="367"/>
      <c r="NMM162" s="368" t="s">
        <v>168</v>
      </c>
      <c r="NMN162" s="369">
        <v>0.5</v>
      </c>
      <c r="NMO162" s="370" t="e">
        <f>10/NMK160</f>
        <v>#DIV/0!</v>
      </c>
      <c r="NMP162" s="371">
        <v>15.38</v>
      </c>
      <c r="NMQ162" s="371" t="e">
        <f>NMN162*NMO162*NMP162</f>
        <v>#DIV/0!</v>
      </c>
      <c r="NMR162" s="367" t="s">
        <v>206</v>
      </c>
      <c r="NMS162" s="367"/>
      <c r="NMT162" s="367"/>
      <c r="NMU162" s="368" t="s">
        <v>168</v>
      </c>
      <c r="NMV162" s="369">
        <v>0.5</v>
      </c>
      <c r="NMW162" s="370" t="e">
        <f>10/NMS160</f>
        <v>#DIV/0!</v>
      </c>
      <c r="NMX162" s="371">
        <v>15.38</v>
      </c>
      <c r="NMY162" s="371" t="e">
        <f>NMV162*NMW162*NMX162</f>
        <v>#DIV/0!</v>
      </c>
      <c r="NMZ162" s="367" t="s">
        <v>206</v>
      </c>
      <c r="NNA162" s="367"/>
      <c r="NNB162" s="367"/>
      <c r="NNC162" s="368" t="s">
        <v>168</v>
      </c>
      <c r="NND162" s="369">
        <v>0.5</v>
      </c>
      <c r="NNE162" s="370" t="e">
        <f>10/NNA160</f>
        <v>#DIV/0!</v>
      </c>
      <c r="NNF162" s="371">
        <v>15.38</v>
      </c>
      <c r="NNG162" s="371" t="e">
        <f>NND162*NNE162*NNF162</f>
        <v>#DIV/0!</v>
      </c>
      <c r="NNH162" s="367" t="s">
        <v>206</v>
      </c>
      <c r="NNI162" s="367"/>
      <c r="NNJ162" s="367"/>
      <c r="NNK162" s="368" t="s">
        <v>168</v>
      </c>
      <c r="NNL162" s="369">
        <v>0.5</v>
      </c>
      <c r="NNM162" s="370" t="e">
        <f>10/NNI160</f>
        <v>#DIV/0!</v>
      </c>
      <c r="NNN162" s="371">
        <v>15.38</v>
      </c>
      <c r="NNO162" s="371" t="e">
        <f>NNL162*NNM162*NNN162</f>
        <v>#DIV/0!</v>
      </c>
      <c r="NNP162" s="367" t="s">
        <v>206</v>
      </c>
      <c r="NNQ162" s="367"/>
      <c r="NNR162" s="367"/>
      <c r="NNS162" s="368" t="s">
        <v>168</v>
      </c>
      <c r="NNT162" s="369">
        <v>0.5</v>
      </c>
      <c r="NNU162" s="370" t="e">
        <f>10/NNQ160</f>
        <v>#DIV/0!</v>
      </c>
      <c r="NNV162" s="371">
        <v>15.38</v>
      </c>
      <c r="NNW162" s="371" t="e">
        <f>NNT162*NNU162*NNV162</f>
        <v>#DIV/0!</v>
      </c>
      <c r="NNX162" s="367" t="s">
        <v>206</v>
      </c>
      <c r="NNY162" s="367"/>
      <c r="NNZ162" s="367"/>
      <c r="NOA162" s="368" t="s">
        <v>168</v>
      </c>
      <c r="NOB162" s="369">
        <v>0.5</v>
      </c>
      <c r="NOC162" s="370" t="e">
        <f>10/NNY160</f>
        <v>#DIV/0!</v>
      </c>
      <c r="NOD162" s="371">
        <v>15.38</v>
      </c>
      <c r="NOE162" s="371" t="e">
        <f>NOB162*NOC162*NOD162</f>
        <v>#DIV/0!</v>
      </c>
      <c r="NOF162" s="367" t="s">
        <v>206</v>
      </c>
      <c r="NOG162" s="367"/>
      <c r="NOH162" s="367"/>
      <c r="NOI162" s="368" t="s">
        <v>168</v>
      </c>
      <c r="NOJ162" s="369">
        <v>0.5</v>
      </c>
      <c r="NOK162" s="370" t="e">
        <f>10/NOG160</f>
        <v>#DIV/0!</v>
      </c>
      <c r="NOL162" s="371">
        <v>15.38</v>
      </c>
      <c r="NOM162" s="371" t="e">
        <f>NOJ162*NOK162*NOL162</f>
        <v>#DIV/0!</v>
      </c>
      <c r="NON162" s="367" t="s">
        <v>206</v>
      </c>
      <c r="NOO162" s="367"/>
      <c r="NOP162" s="367"/>
      <c r="NOQ162" s="368" t="s">
        <v>168</v>
      </c>
      <c r="NOR162" s="369">
        <v>0.5</v>
      </c>
      <c r="NOS162" s="370" t="e">
        <f>10/NOO160</f>
        <v>#DIV/0!</v>
      </c>
      <c r="NOT162" s="371">
        <v>15.38</v>
      </c>
      <c r="NOU162" s="371" t="e">
        <f>NOR162*NOS162*NOT162</f>
        <v>#DIV/0!</v>
      </c>
      <c r="NOV162" s="367" t="s">
        <v>206</v>
      </c>
      <c r="NOW162" s="367"/>
      <c r="NOX162" s="367"/>
      <c r="NOY162" s="368" t="s">
        <v>168</v>
      </c>
      <c r="NOZ162" s="369">
        <v>0.5</v>
      </c>
      <c r="NPA162" s="370" t="e">
        <f>10/NOW160</f>
        <v>#DIV/0!</v>
      </c>
      <c r="NPB162" s="371">
        <v>15.38</v>
      </c>
      <c r="NPC162" s="371" t="e">
        <f>NOZ162*NPA162*NPB162</f>
        <v>#DIV/0!</v>
      </c>
      <c r="NPD162" s="367" t="s">
        <v>206</v>
      </c>
      <c r="NPE162" s="367"/>
      <c r="NPF162" s="367"/>
      <c r="NPG162" s="368" t="s">
        <v>168</v>
      </c>
      <c r="NPH162" s="369">
        <v>0.5</v>
      </c>
      <c r="NPI162" s="370" t="e">
        <f>10/NPE160</f>
        <v>#DIV/0!</v>
      </c>
      <c r="NPJ162" s="371">
        <v>15.38</v>
      </c>
      <c r="NPK162" s="371" t="e">
        <f>NPH162*NPI162*NPJ162</f>
        <v>#DIV/0!</v>
      </c>
      <c r="NPL162" s="367" t="s">
        <v>206</v>
      </c>
      <c r="NPM162" s="367"/>
      <c r="NPN162" s="367"/>
      <c r="NPO162" s="368" t="s">
        <v>168</v>
      </c>
      <c r="NPP162" s="369">
        <v>0.5</v>
      </c>
      <c r="NPQ162" s="370" t="e">
        <f>10/NPM160</f>
        <v>#DIV/0!</v>
      </c>
      <c r="NPR162" s="371">
        <v>15.38</v>
      </c>
      <c r="NPS162" s="371" t="e">
        <f>NPP162*NPQ162*NPR162</f>
        <v>#DIV/0!</v>
      </c>
      <c r="NPT162" s="367" t="s">
        <v>206</v>
      </c>
      <c r="NPU162" s="367"/>
      <c r="NPV162" s="367"/>
      <c r="NPW162" s="368" t="s">
        <v>168</v>
      </c>
      <c r="NPX162" s="369">
        <v>0.5</v>
      </c>
      <c r="NPY162" s="370" t="e">
        <f>10/NPU160</f>
        <v>#DIV/0!</v>
      </c>
      <c r="NPZ162" s="371">
        <v>15.38</v>
      </c>
      <c r="NQA162" s="371" t="e">
        <f>NPX162*NPY162*NPZ162</f>
        <v>#DIV/0!</v>
      </c>
      <c r="NQB162" s="367" t="s">
        <v>206</v>
      </c>
      <c r="NQC162" s="367"/>
      <c r="NQD162" s="367"/>
      <c r="NQE162" s="368" t="s">
        <v>168</v>
      </c>
      <c r="NQF162" s="369">
        <v>0.5</v>
      </c>
      <c r="NQG162" s="370" t="e">
        <f>10/NQC160</f>
        <v>#DIV/0!</v>
      </c>
      <c r="NQH162" s="371">
        <v>15.38</v>
      </c>
      <c r="NQI162" s="371" t="e">
        <f>NQF162*NQG162*NQH162</f>
        <v>#DIV/0!</v>
      </c>
      <c r="NQJ162" s="367" t="s">
        <v>206</v>
      </c>
      <c r="NQK162" s="367"/>
      <c r="NQL162" s="367"/>
      <c r="NQM162" s="368" t="s">
        <v>168</v>
      </c>
      <c r="NQN162" s="369">
        <v>0.5</v>
      </c>
      <c r="NQO162" s="370" t="e">
        <f>10/NQK160</f>
        <v>#DIV/0!</v>
      </c>
      <c r="NQP162" s="371">
        <v>15.38</v>
      </c>
      <c r="NQQ162" s="371" t="e">
        <f>NQN162*NQO162*NQP162</f>
        <v>#DIV/0!</v>
      </c>
      <c r="NQR162" s="367" t="s">
        <v>206</v>
      </c>
      <c r="NQS162" s="367"/>
      <c r="NQT162" s="367"/>
      <c r="NQU162" s="368" t="s">
        <v>168</v>
      </c>
      <c r="NQV162" s="369">
        <v>0.5</v>
      </c>
      <c r="NQW162" s="370" t="e">
        <f>10/NQS160</f>
        <v>#DIV/0!</v>
      </c>
      <c r="NQX162" s="371">
        <v>15.38</v>
      </c>
      <c r="NQY162" s="371" t="e">
        <f>NQV162*NQW162*NQX162</f>
        <v>#DIV/0!</v>
      </c>
      <c r="NQZ162" s="367" t="s">
        <v>206</v>
      </c>
      <c r="NRA162" s="367"/>
      <c r="NRB162" s="367"/>
      <c r="NRC162" s="368" t="s">
        <v>168</v>
      </c>
      <c r="NRD162" s="369">
        <v>0.5</v>
      </c>
      <c r="NRE162" s="370" t="e">
        <f>10/NRA160</f>
        <v>#DIV/0!</v>
      </c>
      <c r="NRF162" s="371">
        <v>15.38</v>
      </c>
      <c r="NRG162" s="371" t="e">
        <f>NRD162*NRE162*NRF162</f>
        <v>#DIV/0!</v>
      </c>
      <c r="NRH162" s="367" t="s">
        <v>206</v>
      </c>
      <c r="NRI162" s="367"/>
      <c r="NRJ162" s="367"/>
      <c r="NRK162" s="368" t="s">
        <v>168</v>
      </c>
      <c r="NRL162" s="369">
        <v>0.5</v>
      </c>
      <c r="NRM162" s="370" t="e">
        <f>10/NRI160</f>
        <v>#DIV/0!</v>
      </c>
      <c r="NRN162" s="371">
        <v>15.38</v>
      </c>
      <c r="NRO162" s="371" t="e">
        <f>NRL162*NRM162*NRN162</f>
        <v>#DIV/0!</v>
      </c>
      <c r="NRP162" s="367" t="s">
        <v>206</v>
      </c>
      <c r="NRQ162" s="367"/>
      <c r="NRR162" s="367"/>
      <c r="NRS162" s="368" t="s">
        <v>168</v>
      </c>
      <c r="NRT162" s="369">
        <v>0.5</v>
      </c>
      <c r="NRU162" s="370" t="e">
        <f>10/NRQ160</f>
        <v>#DIV/0!</v>
      </c>
      <c r="NRV162" s="371">
        <v>15.38</v>
      </c>
      <c r="NRW162" s="371" t="e">
        <f>NRT162*NRU162*NRV162</f>
        <v>#DIV/0!</v>
      </c>
      <c r="NRX162" s="367" t="s">
        <v>206</v>
      </c>
      <c r="NRY162" s="367"/>
      <c r="NRZ162" s="367"/>
      <c r="NSA162" s="368" t="s">
        <v>168</v>
      </c>
      <c r="NSB162" s="369">
        <v>0.5</v>
      </c>
      <c r="NSC162" s="370" t="e">
        <f>10/NRY160</f>
        <v>#DIV/0!</v>
      </c>
      <c r="NSD162" s="371">
        <v>15.38</v>
      </c>
      <c r="NSE162" s="371" t="e">
        <f>NSB162*NSC162*NSD162</f>
        <v>#DIV/0!</v>
      </c>
      <c r="NSF162" s="367" t="s">
        <v>206</v>
      </c>
      <c r="NSG162" s="367"/>
      <c r="NSH162" s="367"/>
      <c r="NSI162" s="368" t="s">
        <v>168</v>
      </c>
      <c r="NSJ162" s="369">
        <v>0.5</v>
      </c>
      <c r="NSK162" s="370" t="e">
        <f>10/NSG160</f>
        <v>#DIV/0!</v>
      </c>
      <c r="NSL162" s="371">
        <v>15.38</v>
      </c>
      <c r="NSM162" s="371" t="e">
        <f>NSJ162*NSK162*NSL162</f>
        <v>#DIV/0!</v>
      </c>
      <c r="NSN162" s="367" t="s">
        <v>206</v>
      </c>
      <c r="NSO162" s="367"/>
      <c r="NSP162" s="367"/>
      <c r="NSQ162" s="368" t="s">
        <v>168</v>
      </c>
      <c r="NSR162" s="369">
        <v>0.5</v>
      </c>
      <c r="NSS162" s="370" t="e">
        <f>10/NSO160</f>
        <v>#DIV/0!</v>
      </c>
      <c r="NST162" s="371">
        <v>15.38</v>
      </c>
      <c r="NSU162" s="371" t="e">
        <f>NSR162*NSS162*NST162</f>
        <v>#DIV/0!</v>
      </c>
      <c r="NSV162" s="367" t="s">
        <v>206</v>
      </c>
      <c r="NSW162" s="367"/>
      <c r="NSX162" s="367"/>
      <c r="NSY162" s="368" t="s">
        <v>168</v>
      </c>
      <c r="NSZ162" s="369">
        <v>0.5</v>
      </c>
      <c r="NTA162" s="370" t="e">
        <f>10/NSW160</f>
        <v>#DIV/0!</v>
      </c>
      <c r="NTB162" s="371">
        <v>15.38</v>
      </c>
      <c r="NTC162" s="371" t="e">
        <f>NSZ162*NTA162*NTB162</f>
        <v>#DIV/0!</v>
      </c>
      <c r="NTD162" s="367" t="s">
        <v>206</v>
      </c>
      <c r="NTE162" s="367"/>
      <c r="NTF162" s="367"/>
      <c r="NTG162" s="368" t="s">
        <v>168</v>
      </c>
      <c r="NTH162" s="369">
        <v>0.5</v>
      </c>
      <c r="NTI162" s="370" t="e">
        <f>10/NTE160</f>
        <v>#DIV/0!</v>
      </c>
      <c r="NTJ162" s="371">
        <v>15.38</v>
      </c>
      <c r="NTK162" s="371" t="e">
        <f>NTH162*NTI162*NTJ162</f>
        <v>#DIV/0!</v>
      </c>
      <c r="NTL162" s="367" t="s">
        <v>206</v>
      </c>
      <c r="NTM162" s="367"/>
      <c r="NTN162" s="367"/>
      <c r="NTO162" s="368" t="s">
        <v>168</v>
      </c>
      <c r="NTP162" s="369">
        <v>0.5</v>
      </c>
      <c r="NTQ162" s="370" t="e">
        <f>10/NTM160</f>
        <v>#DIV/0!</v>
      </c>
      <c r="NTR162" s="371">
        <v>15.38</v>
      </c>
      <c r="NTS162" s="371" t="e">
        <f>NTP162*NTQ162*NTR162</f>
        <v>#DIV/0!</v>
      </c>
      <c r="NTT162" s="367" t="s">
        <v>206</v>
      </c>
      <c r="NTU162" s="367"/>
      <c r="NTV162" s="367"/>
      <c r="NTW162" s="368" t="s">
        <v>168</v>
      </c>
      <c r="NTX162" s="369">
        <v>0.5</v>
      </c>
      <c r="NTY162" s="370" t="e">
        <f>10/NTU160</f>
        <v>#DIV/0!</v>
      </c>
      <c r="NTZ162" s="371">
        <v>15.38</v>
      </c>
      <c r="NUA162" s="371" t="e">
        <f>NTX162*NTY162*NTZ162</f>
        <v>#DIV/0!</v>
      </c>
      <c r="NUB162" s="367" t="s">
        <v>206</v>
      </c>
      <c r="NUC162" s="367"/>
      <c r="NUD162" s="367"/>
      <c r="NUE162" s="368" t="s">
        <v>168</v>
      </c>
      <c r="NUF162" s="369">
        <v>0.5</v>
      </c>
      <c r="NUG162" s="370" t="e">
        <f>10/NUC160</f>
        <v>#DIV/0!</v>
      </c>
      <c r="NUH162" s="371">
        <v>15.38</v>
      </c>
      <c r="NUI162" s="371" t="e">
        <f>NUF162*NUG162*NUH162</f>
        <v>#DIV/0!</v>
      </c>
      <c r="NUJ162" s="367" t="s">
        <v>206</v>
      </c>
      <c r="NUK162" s="367"/>
      <c r="NUL162" s="367"/>
      <c r="NUM162" s="368" t="s">
        <v>168</v>
      </c>
      <c r="NUN162" s="369">
        <v>0.5</v>
      </c>
      <c r="NUO162" s="370" t="e">
        <f>10/NUK160</f>
        <v>#DIV/0!</v>
      </c>
      <c r="NUP162" s="371">
        <v>15.38</v>
      </c>
      <c r="NUQ162" s="371" t="e">
        <f>NUN162*NUO162*NUP162</f>
        <v>#DIV/0!</v>
      </c>
      <c r="NUR162" s="367" t="s">
        <v>206</v>
      </c>
      <c r="NUS162" s="367"/>
      <c r="NUT162" s="367"/>
      <c r="NUU162" s="368" t="s">
        <v>168</v>
      </c>
      <c r="NUV162" s="369">
        <v>0.5</v>
      </c>
      <c r="NUW162" s="370" t="e">
        <f>10/NUS160</f>
        <v>#DIV/0!</v>
      </c>
      <c r="NUX162" s="371">
        <v>15.38</v>
      </c>
      <c r="NUY162" s="371" t="e">
        <f>NUV162*NUW162*NUX162</f>
        <v>#DIV/0!</v>
      </c>
      <c r="NUZ162" s="367" t="s">
        <v>206</v>
      </c>
      <c r="NVA162" s="367"/>
      <c r="NVB162" s="367"/>
      <c r="NVC162" s="368" t="s">
        <v>168</v>
      </c>
      <c r="NVD162" s="369">
        <v>0.5</v>
      </c>
      <c r="NVE162" s="370" t="e">
        <f>10/NVA160</f>
        <v>#DIV/0!</v>
      </c>
      <c r="NVF162" s="371">
        <v>15.38</v>
      </c>
      <c r="NVG162" s="371" t="e">
        <f>NVD162*NVE162*NVF162</f>
        <v>#DIV/0!</v>
      </c>
      <c r="NVH162" s="367" t="s">
        <v>206</v>
      </c>
      <c r="NVI162" s="367"/>
      <c r="NVJ162" s="367"/>
      <c r="NVK162" s="368" t="s">
        <v>168</v>
      </c>
      <c r="NVL162" s="369">
        <v>0.5</v>
      </c>
      <c r="NVM162" s="370" t="e">
        <f>10/NVI160</f>
        <v>#DIV/0!</v>
      </c>
      <c r="NVN162" s="371">
        <v>15.38</v>
      </c>
      <c r="NVO162" s="371" t="e">
        <f>NVL162*NVM162*NVN162</f>
        <v>#DIV/0!</v>
      </c>
      <c r="NVP162" s="367" t="s">
        <v>206</v>
      </c>
      <c r="NVQ162" s="367"/>
      <c r="NVR162" s="367"/>
      <c r="NVS162" s="368" t="s">
        <v>168</v>
      </c>
      <c r="NVT162" s="369">
        <v>0.5</v>
      </c>
      <c r="NVU162" s="370" t="e">
        <f>10/NVQ160</f>
        <v>#DIV/0!</v>
      </c>
      <c r="NVV162" s="371">
        <v>15.38</v>
      </c>
      <c r="NVW162" s="371" t="e">
        <f>NVT162*NVU162*NVV162</f>
        <v>#DIV/0!</v>
      </c>
      <c r="NVX162" s="367" t="s">
        <v>206</v>
      </c>
      <c r="NVY162" s="367"/>
      <c r="NVZ162" s="367"/>
      <c r="NWA162" s="368" t="s">
        <v>168</v>
      </c>
      <c r="NWB162" s="369">
        <v>0.5</v>
      </c>
      <c r="NWC162" s="370" t="e">
        <f>10/NVY160</f>
        <v>#DIV/0!</v>
      </c>
      <c r="NWD162" s="371">
        <v>15.38</v>
      </c>
      <c r="NWE162" s="371" t="e">
        <f>NWB162*NWC162*NWD162</f>
        <v>#DIV/0!</v>
      </c>
      <c r="NWF162" s="367" t="s">
        <v>206</v>
      </c>
      <c r="NWG162" s="367"/>
      <c r="NWH162" s="367"/>
      <c r="NWI162" s="368" t="s">
        <v>168</v>
      </c>
      <c r="NWJ162" s="369">
        <v>0.5</v>
      </c>
      <c r="NWK162" s="370" t="e">
        <f>10/NWG160</f>
        <v>#DIV/0!</v>
      </c>
      <c r="NWL162" s="371">
        <v>15.38</v>
      </c>
      <c r="NWM162" s="371" t="e">
        <f>NWJ162*NWK162*NWL162</f>
        <v>#DIV/0!</v>
      </c>
      <c r="NWN162" s="367" t="s">
        <v>206</v>
      </c>
      <c r="NWO162" s="367"/>
      <c r="NWP162" s="367"/>
      <c r="NWQ162" s="368" t="s">
        <v>168</v>
      </c>
      <c r="NWR162" s="369">
        <v>0.5</v>
      </c>
      <c r="NWS162" s="370" t="e">
        <f>10/NWO160</f>
        <v>#DIV/0!</v>
      </c>
      <c r="NWT162" s="371">
        <v>15.38</v>
      </c>
      <c r="NWU162" s="371" t="e">
        <f>NWR162*NWS162*NWT162</f>
        <v>#DIV/0!</v>
      </c>
      <c r="NWV162" s="367" t="s">
        <v>206</v>
      </c>
      <c r="NWW162" s="367"/>
      <c r="NWX162" s="367"/>
      <c r="NWY162" s="368" t="s">
        <v>168</v>
      </c>
      <c r="NWZ162" s="369">
        <v>0.5</v>
      </c>
      <c r="NXA162" s="370" t="e">
        <f>10/NWW160</f>
        <v>#DIV/0!</v>
      </c>
      <c r="NXB162" s="371">
        <v>15.38</v>
      </c>
      <c r="NXC162" s="371" t="e">
        <f>NWZ162*NXA162*NXB162</f>
        <v>#DIV/0!</v>
      </c>
      <c r="NXD162" s="367" t="s">
        <v>206</v>
      </c>
      <c r="NXE162" s="367"/>
      <c r="NXF162" s="367"/>
      <c r="NXG162" s="368" t="s">
        <v>168</v>
      </c>
      <c r="NXH162" s="369">
        <v>0.5</v>
      </c>
      <c r="NXI162" s="370" t="e">
        <f>10/NXE160</f>
        <v>#DIV/0!</v>
      </c>
      <c r="NXJ162" s="371">
        <v>15.38</v>
      </c>
      <c r="NXK162" s="371" t="e">
        <f>NXH162*NXI162*NXJ162</f>
        <v>#DIV/0!</v>
      </c>
      <c r="NXL162" s="367" t="s">
        <v>206</v>
      </c>
      <c r="NXM162" s="367"/>
      <c r="NXN162" s="367"/>
      <c r="NXO162" s="368" t="s">
        <v>168</v>
      </c>
      <c r="NXP162" s="369">
        <v>0.5</v>
      </c>
      <c r="NXQ162" s="370" t="e">
        <f>10/NXM160</f>
        <v>#DIV/0!</v>
      </c>
      <c r="NXR162" s="371">
        <v>15.38</v>
      </c>
      <c r="NXS162" s="371" t="e">
        <f>NXP162*NXQ162*NXR162</f>
        <v>#DIV/0!</v>
      </c>
      <c r="NXT162" s="367" t="s">
        <v>206</v>
      </c>
      <c r="NXU162" s="367"/>
      <c r="NXV162" s="367"/>
      <c r="NXW162" s="368" t="s">
        <v>168</v>
      </c>
      <c r="NXX162" s="369">
        <v>0.5</v>
      </c>
      <c r="NXY162" s="370" t="e">
        <f>10/NXU160</f>
        <v>#DIV/0!</v>
      </c>
      <c r="NXZ162" s="371">
        <v>15.38</v>
      </c>
      <c r="NYA162" s="371" t="e">
        <f>NXX162*NXY162*NXZ162</f>
        <v>#DIV/0!</v>
      </c>
      <c r="NYB162" s="367" t="s">
        <v>206</v>
      </c>
      <c r="NYC162" s="367"/>
      <c r="NYD162" s="367"/>
      <c r="NYE162" s="368" t="s">
        <v>168</v>
      </c>
      <c r="NYF162" s="369">
        <v>0.5</v>
      </c>
      <c r="NYG162" s="370" t="e">
        <f>10/NYC160</f>
        <v>#DIV/0!</v>
      </c>
      <c r="NYH162" s="371">
        <v>15.38</v>
      </c>
      <c r="NYI162" s="371" t="e">
        <f>NYF162*NYG162*NYH162</f>
        <v>#DIV/0!</v>
      </c>
      <c r="NYJ162" s="367" t="s">
        <v>206</v>
      </c>
      <c r="NYK162" s="367"/>
      <c r="NYL162" s="367"/>
      <c r="NYM162" s="368" t="s">
        <v>168</v>
      </c>
      <c r="NYN162" s="369">
        <v>0.5</v>
      </c>
      <c r="NYO162" s="370" t="e">
        <f>10/NYK160</f>
        <v>#DIV/0!</v>
      </c>
      <c r="NYP162" s="371">
        <v>15.38</v>
      </c>
      <c r="NYQ162" s="371" t="e">
        <f>NYN162*NYO162*NYP162</f>
        <v>#DIV/0!</v>
      </c>
      <c r="NYR162" s="367" t="s">
        <v>206</v>
      </c>
      <c r="NYS162" s="367"/>
      <c r="NYT162" s="367"/>
      <c r="NYU162" s="368" t="s">
        <v>168</v>
      </c>
      <c r="NYV162" s="369">
        <v>0.5</v>
      </c>
      <c r="NYW162" s="370" t="e">
        <f>10/NYS160</f>
        <v>#DIV/0!</v>
      </c>
      <c r="NYX162" s="371">
        <v>15.38</v>
      </c>
      <c r="NYY162" s="371" t="e">
        <f>NYV162*NYW162*NYX162</f>
        <v>#DIV/0!</v>
      </c>
      <c r="NYZ162" s="367" t="s">
        <v>206</v>
      </c>
      <c r="NZA162" s="367"/>
      <c r="NZB162" s="367"/>
      <c r="NZC162" s="368" t="s">
        <v>168</v>
      </c>
      <c r="NZD162" s="369">
        <v>0.5</v>
      </c>
      <c r="NZE162" s="370" t="e">
        <f>10/NZA160</f>
        <v>#DIV/0!</v>
      </c>
      <c r="NZF162" s="371">
        <v>15.38</v>
      </c>
      <c r="NZG162" s="371" t="e">
        <f>NZD162*NZE162*NZF162</f>
        <v>#DIV/0!</v>
      </c>
      <c r="NZH162" s="367" t="s">
        <v>206</v>
      </c>
      <c r="NZI162" s="367"/>
      <c r="NZJ162" s="367"/>
      <c r="NZK162" s="368" t="s">
        <v>168</v>
      </c>
      <c r="NZL162" s="369">
        <v>0.5</v>
      </c>
      <c r="NZM162" s="370" t="e">
        <f>10/NZI160</f>
        <v>#DIV/0!</v>
      </c>
      <c r="NZN162" s="371">
        <v>15.38</v>
      </c>
      <c r="NZO162" s="371" t="e">
        <f>NZL162*NZM162*NZN162</f>
        <v>#DIV/0!</v>
      </c>
      <c r="NZP162" s="367" t="s">
        <v>206</v>
      </c>
      <c r="NZQ162" s="367"/>
      <c r="NZR162" s="367"/>
      <c r="NZS162" s="368" t="s">
        <v>168</v>
      </c>
      <c r="NZT162" s="369">
        <v>0.5</v>
      </c>
      <c r="NZU162" s="370" t="e">
        <f>10/NZQ160</f>
        <v>#DIV/0!</v>
      </c>
      <c r="NZV162" s="371">
        <v>15.38</v>
      </c>
      <c r="NZW162" s="371" t="e">
        <f>NZT162*NZU162*NZV162</f>
        <v>#DIV/0!</v>
      </c>
      <c r="NZX162" s="367" t="s">
        <v>206</v>
      </c>
      <c r="NZY162" s="367"/>
      <c r="NZZ162" s="367"/>
      <c r="OAA162" s="368" t="s">
        <v>168</v>
      </c>
      <c r="OAB162" s="369">
        <v>0.5</v>
      </c>
      <c r="OAC162" s="370" t="e">
        <f>10/NZY160</f>
        <v>#DIV/0!</v>
      </c>
      <c r="OAD162" s="371">
        <v>15.38</v>
      </c>
      <c r="OAE162" s="371" t="e">
        <f>OAB162*OAC162*OAD162</f>
        <v>#DIV/0!</v>
      </c>
      <c r="OAF162" s="367" t="s">
        <v>206</v>
      </c>
      <c r="OAG162" s="367"/>
      <c r="OAH162" s="367"/>
      <c r="OAI162" s="368" t="s">
        <v>168</v>
      </c>
      <c r="OAJ162" s="369">
        <v>0.5</v>
      </c>
      <c r="OAK162" s="370" t="e">
        <f>10/OAG160</f>
        <v>#DIV/0!</v>
      </c>
      <c r="OAL162" s="371">
        <v>15.38</v>
      </c>
      <c r="OAM162" s="371" t="e">
        <f>OAJ162*OAK162*OAL162</f>
        <v>#DIV/0!</v>
      </c>
      <c r="OAN162" s="367" t="s">
        <v>206</v>
      </c>
      <c r="OAO162" s="367"/>
      <c r="OAP162" s="367"/>
      <c r="OAQ162" s="368" t="s">
        <v>168</v>
      </c>
      <c r="OAR162" s="369">
        <v>0.5</v>
      </c>
      <c r="OAS162" s="370" t="e">
        <f>10/OAO160</f>
        <v>#DIV/0!</v>
      </c>
      <c r="OAT162" s="371">
        <v>15.38</v>
      </c>
      <c r="OAU162" s="371" t="e">
        <f>OAR162*OAS162*OAT162</f>
        <v>#DIV/0!</v>
      </c>
      <c r="OAV162" s="367" t="s">
        <v>206</v>
      </c>
      <c r="OAW162" s="367"/>
      <c r="OAX162" s="367"/>
      <c r="OAY162" s="368" t="s">
        <v>168</v>
      </c>
      <c r="OAZ162" s="369">
        <v>0.5</v>
      </c>
      <c r="OBA162" s="370" t="e">
        <f>10/OAW160</f>
        <v>#DIV/0!</v>
      </c>
      <c r="OBB162" s="371">
        <v>15.38</v>
      </c>
      <c r="OBC162" s="371" t="e">
        <f>OAZ162*OBA162*OBB162</f>
        <v>#DIV/0!</v>
      </c>
      <c r="OBD162" s="367" t="s">
        <v>206</v>
      </c>
      <c r="OBE162" s="367"/>
      <c r="OBF162" s="367"/>
      <c r="OBG162" s="368" t="s">
        <v>168</v>
      </c>
      <c r="OBH162" s="369">
        <v>0.5</v>
      </c>
      <c r="OBI162" s="370" t="e">
        <f>10/OBE160</f>
        <v>#DIV/0!</v>
      </c>
      <c r="OBJ162" s="371">
        <v>15.38</v>
      </c>
      <c r="OBK162" s="371" t="e">
        <f>OBH162*OBI162*OBJ162</f>
        <v>#DIV/0!</v>
      </c>
      <c r="OBL162" s="367" t="s">
        <v>206</v>
      </c>
      <c r="OBM162" s="367"/>
      <c r="OBN162" s="367"/>
      <c r="OBO162" s="368" t="s">
        <v>168</v>
      </c>
      <c r="OBP162" s="369">
        <v>0.5</v>
      </c>
      <c r="OBQ162" s="370" t="e">
        <f>10/OBM160</f>
        <v>#DIV/0!</v>
      </c>
      <c r="OBR162" s="371">
        <v>15.38</v>
      </c>
      <c r="OBS162" s="371" t="e">
        <f>OBP162*OBQ162*OBR162</f>
        <v>#DIV/0!</v>
      </c>
      <c r="OBT162" s="367" t="s">
        <v>206</v>
      </c>
      <c r="OBU162" s="367"/>
      <c r="OBV162" s="367"/>
      <c r="OBW162" s="368" t="s">
        <v>168</v>
      </c>
      <c r="OBX162" s="369">
        <v>0.5</v>
      </c>
      <c r="OBY162" s="370" t="e">
        <f>10/OBU160</f>
        <v>#DIV/0!</v>
      </c>
      <c r="OBZ162" s="371">
        <v>15.38</v>
      </c>
      <c r="OCA162" s="371" t="e">
        <f>OBX162*OBY162*OBZ162</f>
        <v>#DIV/0!</v>
      </c>
      <c r="OCB162" s="367" t="s">
        <v>206</v>
      </c>
      <c r="OCC162" s="367"/>
      <c r="OCD162" s="367"/>
      <c r="OCE162" s="368" t="s">
        <v>168</v>
      </c>
      <c r="OCF162" s="369">
        <v>0.5</v>
      </c>
      <c r="OCG162" s="370" t="e">
        <f>10/OCC160</f>
        <v>#DIV/0!</v>
      </c>
      <c r="OCH162" s="371">
        <v>15.38</v>
      </c>
      <c r="OCI162" s="371" t="e">
        <f>OCF162*OCG162*OCH162</f>
        <v>#DIV/0!</v>
      </c>
      <c r="OCJ162" s="367" t="s">
        <v>206</v>
      </c>
      <c r="OCK162" s="367"/>
      <c r="OCL162" s="367"/>
      <c r="OCM162" s="368" t="s">
        <v>168</v>
      </c>
      <c r="OCN162" s="369">
        <v>0.5</v>
      </c>
      <c r="OCO162" s="370" t="e">
        <f>10/OCK160</f>
        <v>#DIV/0!</v>
      </c>
      <c r="OCP162" s="371">
        <v>15.38</v>
      </c>
      <c r="OCQ162" s="371" t="e">
        <f>OCN162*OCO162*OCP162</f>
        <v>#DIV/0!</v>
      </c>
      <c r="OCR162" s="367" t="s">
        <v>206</v>
      </c>
      <c r="OCS162" s="367"/>
      <c r="OCT162" s="367"/>
      <c r="OCU162" s="368" t="s">
        <v>168</v>
      </c>
      <c r="OCV162" s="369">
        <v>0.5</v>
      </c>
      <c r="OCW162" s="370" t="e">
        <f>10/OCS160</f>
        <v>#DIV/0!</v>
      </c>
      <c r="OCX162" s="371">
        <v>15.38</v>
      </c>
      <c r="OCY162" s="371" t="e">
        <f>OCV162*OCW162*OCX162</f>
        <v>#DIV/0!</v>
      </c>
      <c r="OCZ162" s="367" t="s">
        <v>206</v>
      </c>
      <c r="ODA162" s="367"/>
      <c r="ODB162" s="367"/>
      <c r="ODC162" s="368" t="s">
        <v>168</v>
      </c>
      <c r="ODD162" s="369">
        <v>0.5</v>
      </c>
      <c r="ODE162" s="370" t="e">
        <f>10/ODA160</f>
        <v>#DIV/0!</v>
      </c>
      <c r="ODF162" s="371">
        <v>15.38</v>
      </c>
      <c r="ODG162" s="371" t="e">
        <f>ODD162*ODE162*ODF162</f>
        <v>#DIV/0!</v>
      </c>
      <c r="ODH162" s="367" t="s">
        <v>206</v>
      </c>
      <c r="ODI162" s="367"/>
      <c r="ODJ162" s="367"/>
      <c r="ODK162" s="368" t="s">
        <v>168</v>
      </c>
      <c r="ODL162" s="369">
        <v>0.5</v>
      </c>
      <c r="ODM162" s="370" t="e">
        <f>10/ODI160</f>
        <v>#DIV/0!</v>
      </c>
      <c r="ODN162" s="371">
        <v>15.38</v>
      </c>
      <c r="ODO162" s="371" t="e">
        <f>ODL162*ODM162*ODN162</f>
        <v>#DIV/0!</v>
      </c>
      <c r="ODP162" s="367" t="s">
        <v>206</v>
      </c>
      <c r="ODQ162" s="367"/>
      <c r="ODR162" s="367"/>
      <c r="ODS162" s="368" t="s">
        <v>168</v>
      </c>
      <c r="ODT162" s="369">
        <v>0.5</v>
      </c>
      <c r="ODU162" s="370" t="e">
        <f>10/ODQ160</f>
        <v>#DIV/0!</v>
      </c>
      <c r="ODV162" s="371">
        <v>15.38</v>
      </c>
      <c r="ODW162" s="371" t="e">
        <f>ODT162*ODU162*ODV162</f>
        <v>#DIV/0!</v>
      </c>
      <c r="ODX162" s="367" t="s">
        <v>206</v>
      </c>
      <c r="ODY162" s="367"/>
      <c r="ODZ162" s="367"/>
      <c r="OEA162" s="368" t="s">
        <v>168</v>
      </c>
      <c r="OEB162" s="369">
        <v>0.5</v>
      </c>
      <c r="OEC162" s="370" t="e">
        <f>10/ODY160</f>
        <v>#DIV/0!</v>
      </c>
      <c r="OED162" s="371">
        <v>15.38</v>
      </c>
      <c r="OEE162" s="371" t="e">
        <f>OEB162*OEC162*OED162</f>
        <v>#DIV/0!</v>
      </c>
      <c r="OEF162" s="367" t="s">
        <v>206</v>
      </c>
      <c r="OEG162" s="367"/>
      <c r="OEH162" s="367"/>
      <c r="OEI162" s="368" t="s">
        <v>168</v>
      </c>
      <c r="OEJ162" s="369">
        <v>0.5</v>
      </c>
      <c r="OEK162" s="370" t="e">
        <f>10/OEG160</f>
        <v>#DIV/0!</v>
      </c>
      <c r="OEL162" s="371">
        <v>15.38</v>
      </c>
      <c r="OEM162" s="371" t="e">
        <f>OEJ162*OEK162*OEL162</f>
        <v>#DIV/0!</v>
      </c>
      <c r="OEN162" s="367" t="s">
        <v>206</v>
      </c>
      <c r="OEO162" s="367"/>
      <c r="OEP162" s="367"/>
      <c r="OEQ162" s="368" t="s">
        <v>168</v>
      </c>
      <c r="OER162" s="369">
        <v>0.5</v>
      </c>
      <c r="OES162" s="370" t="e">
        <f>10/OEO160</f>
        <v>#DIV/0!</v>
      </c>
      <c r="OET162" s="371">
        <v>15.38</v>
      </c>
      <c r="OEU162" s="371" t="e">
        <f>OER162*OES162*OET162</f>
        <v>#DIV/0!</v>
      </c>
      <c r="OEV162" s="367" t="s">
        <v>206</v>
      </c>
      <c r="OEW162" s="367"/>
      <c r="OEX162" s="367"/>
      <c r="OEY162" s="368" t="s">
        <v>168</v>
      </c>
      <c r="OEZ162" s="369">
        <v>0.5</v>
      </c>
      <c r="OFA162" s="370" t="e">
        <f>10/OEW160</f>
        <v>#DIV/0!</v>
      </c>
      <c r="OFB162" s="371">
        <v>15.38</v>
      </c>
      <c r="OFC162" s="371" t="e">
        <f>OEZ162*OFA162*OFB162</f>
        <v>#DIV/0!</v>
      </c>
      <c r="OFD162" s="367" t="s">
        <v>206</v>
      </c>
      <c r="OFE162" s="367"/>
      <c r="OFF162" s="367"/>
      <c r="OFG162" s="368" t="s">
        <v>168</v>
      </c>
      <c r="OFH162" s="369">
        <v>0.5</v>
      </c>
      <c r="OFI162" s="370" t="e">
        <f>10/OFE160</f>
        <v>#DIV/0!</v>
      </c>
      <c r="OFJ162" s="371">
        <v>15.38</v>
      </c>
      <c r="OFK162" s="371" t="e">
        <f>OFH162*OFI162*OFJ162</f>
        <v>#DIV/0!</v>
      </c>
      <c r="OFL162" s="367" t="s">
        <v>206</v>
      </c>
      <c r="OFM162" s="367"/>
      <c r="OFN162" s="367"/>
      <c r="OFO162" s="368" t="s">
        <v>168</v>
      </c>
      <c r="OFP162" s="369">
        <v>0.5</v>
      </c>
      <c r="OFQ162" s="370" t="e">
        <f>10/OFM160</f>
        <v>#DIV/0!</v>
      </c>
      <c r="OFR162" s="371">
        <v>15.38</v>
      </c>
      <c r="OFS162" s="371" t="e">
        <f>OFP162*OFQ162*OFR162</f>
        <v>#DIV/0!</v>
      </c>
      <c r="OFT162" s="367" t="s">
        <v>206</v>
      </c>
      <c r="OFU162" s="367"/>
      <c r="OFV162" s="367"/>
      <c r="OFW162" s="368" t="s">
        <v>168</v>
      </c>
      <c r="OFX162" s="369">
        <v>0.5</v>
      </c>
      <c r="OFY162" s="370" t="e">
        <f>10/OFU160</f>
        <v>#DIV/0!</v>
      </c>
      <c r="OFZ162" s="371">
        <v>15.38</v>
      </c>
      <c r="OGA162" s="371" t="e">
        <f>OFX162*OFY162*OFZ162</f>
        <v>#DIV/0!</v>
      </c>
      <c r="OGB162" s="367" t="s">
        <v>206</v>
      </c>
      <c r="OGC162" s="367"/>
      <c r="OGD162" s="367"/>
      <c r="OGE162" s="368" t="s">
        <v>168</v>
      </c>
      <c r="OGF162" s="369">
        <v>0.5</v>
      </c>
      <c r="OGG162" s="370" t="e">
        <f>10/OGC160</f>
        <v>#DIV/0!</v>
      </c>
      <c r="OGH162" s="371">
        <v>15.38</v>
      </c>
      <c r="OGI162" s="371" t="e">
        <f>OGF162*OGG162*OGH162</f>
        <v>#DIV/0!</v>
      </c>
      <c r="OGJ162" s="367" t="s">
        <v>206</v>
      </c>
      <c r="OGK162" s="367"/>
      <c r="OGL162" s="367"/>
      <c r="OGM162" s="368" t="s">
        <v>168</v>
      </c>
      <c r="OGN162" s="369">
        <v>0.5</v>
      </c>
      <c r="OGO162" s="370" t="e">
        <f>10/OGK160</f>
        <v>#DIV/0!</v>
      </c>
      <c r="OGP162" s="371">
        <v>15.38</v>
      </c>
      <c r="OGQ162" s="371" t="e">
        <f>OGN162*OGO162*OGP162</f>
        <v>#DIV/0!</v>
      </c>
      <c r="OGR162" s="367" t="s">
        <v>206</v>
      </c>
      <c r="OGS162" s="367"/>
      <c r="OGT162" s="367"/>
      <c r="OGU162" s="368" t="s">
        <v>168</v>
      </c>
      <c r="OGV162" s="369">
        <v>0.5</v>
      </c>
      <c r="OGW162" s="370" t="e">
        <f>10/OGS160</f>
        <v>#DIV/0!</v>
      </c>
      <c r="OGX162" s="371">
        <v>15.38</v>
      </c>
      <c r="OGY162" s="371" t="e">
        <f>OGV162*OGW162*OGX162</f>
        <v>#DIV/0!</v>
      </c>
      <c r="OGZ162" s="367" t="s">
        <v>206</v>
      </c>
      <c r="OHA162" s="367"/>
      <c r="OHB162" s="367"/>
      <c r="OHC162" s="368" t="s">
        <v>168</v>
      </c>
      <c r="OHD162" s="369">
        <v>0.5</v>
      </c>
      <c r="OHE162" s="370" t="e">
        <f>10/OHA160</f>
        <v>#DIV/0!</v>
      </c>
      <c r="OHF162" s="371">
        <v>15.38</v>
      </c>
      <c r="OHG162" s="371" t="e">
        <f>OHD162*OHE162*OHF162</f>
        <v>#DIV/0!</v>
      </c>
      <c r="OHH162" s="367" t="s">
        <v>206</v>
      </c>
      <c r="OHI162" s="367"/>
      <c r="OHJ162" s="367"/>
      <c r="OHK162" s="368" t="s">
        <v>168</v>
      </c>
      <c r="OHL162" s="369">
        <v>0.5</v>
      </c>
      <c r="OHM162" s="370" t="e">
        <f>10/OHI160</f>
        <v>#DIV/0!</v>
      </c>
      <c r="OHN162" s="371">
        <v>15.38</v>
      </c>
      <c r="OHO162" s="371" t="e">
        <f>OHL162*OHM162*OHN162</f>
        <v>#DIV/0!</v>
      </c>
      <c r="OHP162" s="367" t="s">
        <v>206</v>
      </c>
      <c r="OHQ162" s="367"/>
      <c r="OHR162" s="367"/>
      <c r="OHS162" s="368" t="s">
        <v>168</v>
      </c>
      <c r="OHT162" s="369">
        <v>0.5</v>
      </c>
      <c r="OHU162" s="370" t="e">
        <f>10/OHQ160</f>
        <v>#DIV/0!</v>
      </c>
      <c r="OHV162" s="371">
        <v>15.38</v>
      </c>
      <c r="OHW162" s="371" t="e">
        <f>OHT162*OHU162*OHV162</f>
        <v>#DIV/0!</v>
      </c>
      <c r="OHX162" s="367" t="s">
        <v>206</v>
      </c>
      <c r="OHY162" s="367"/>
      <c r="OHZ162" s="367"/>
      <c r="OIA162" s="368" t="s">
        <v>168</v>
      </c>
      <c r="OIB162" s="369">
        <v>0.5</v>
      </c>
      <c r="OIC162" s="370" t="e">
        <f>10/OHY160</f>
        <v>#DIV/0!</v>
      </c>
      <c r="OID162" s="371">
        <v>15.38</v>
      </c>
      <c r="OIE162" s="371" t="e">
        <f>OIB162*OIC162*OID162</f>
        <v>#DIV/0!</v>
      </c>
      <c r="OIF162" s="367" t="s">
        <v>206</v>
      </c>
      <c r="OIG162" s="367"/>
      <c r="OIH162" s="367"/>
      <c r="OII162" s="368" t="s">
        <v>168</v>
      </c>
      <c r="OIJ162" s="369">
        <v>0.5</v>
      </c>
      <c r="OIK162" s="370" t="e">
        <f>10/OIG160</f>
        <v>#DIV/0!</v>
      </c>
      <c r="OIL162" s="371">
        <v>15.38</v>
      </c>
      <c r="OIM162" s="371" t="e">
        <f>OIJ162*OIK162*OIL162</f>
        <v>#DIV/0!</v>
      </c>
      <c r="OIN162" s="367" t="s">
        <v>206</v>
      </c>
      <c r="OIO162" s="367"/>
      <c r="OIP162" s="367"/>
      <c r="OIQ162" s="368" t="s">
        <v>168</v>
      </c>
      <c r="OIR162" s="369">
        <v>0.5</v>
      </c>
      <c r="OIS162" s="370" t="e">
        <f>10/OIO160</f>
        <v>#DIV/0!</v>
      </c>
      <c r="OIT162" s="371">
        <v>15.38</v>
      </c>
      <c r="OIU162" s="371" t="e">
        <f>OIR162*OIS162*OIT162</f>
        <v>#DIV/0!</v>
      </c>
      <c r="OIV162" s="367" t="s">
        <v>206</v>
      </c>
      <c r="OIW162" s="367"/>
      <c r="OIX162" s="367"/>
      <c r="OIY162" s="368" t="s">
        <v>168</v>
      </c>
      <c r="OIZ162" s="369">
        <v>0.5</v>
      </c>
      <c r="OJA162" s="370" t="e">
        <f>10/OIW160</f>
        <v>#DIV/0!</v>
      </c>
      <c r="OJB162" s="371">
        <v>15.38</v>
      </c>
      <c r="OJC162" s="371" t="e">
        <f>OIZ162*OJA162*OJB162</f>
        <v>#DIV/0!</v>
      </c>
      <c r="OJD162" s="367" t="s">
        <v>206</v>
      </c>
      <c r="OJE162" s="367"/>
      <c r="OJF162" s="367"/>
      <c r="OJG162" s="368" t="s">
        <v>168</v>
      </c>
      <c r="OJH162" s="369">
        <v>0.5</v>
      </c>
      <c r="OJI162" s="370" t="e">
        <f>10/OJE160</f>
        <v>#DIV/0!</v>
      </c>
      <c r="OJJ162" s="371">
        <v>15.38</v>
      </c>
      <c r="OJK162" s="371" t="e">
        <f>OJH162*OJI162*OJJ162</f>
        <v>#DIV/0!</v>
      </c>
      <c r="OJL162" s="367" t="s">
        <v>206</v>
      </c>
      <c r="OJM162" s="367"/>
      <c r="OJN162" s="367"/>
      <c r="OJO162" s="368" t="s">
        <v>168</v>
      </c>
      <c r="OJP162" s="369">
        <v>0.5</v>
      </c>
      <c r="OJQ162" s="370" t="e">
        <f>10/OJM160</f>
        <v>#DIV/0!</v>
      </c>
      <c r="OJR162" s="371">
        <v>15.38</v>
      </c>
      <c r="OJS162" s="371" t="e">
        <f>OJP162*OJQ162*OJR162</f>
        <v>#DIV/0!</v>
      </c>
      <c r="OJT162" s="367" t="s">
        <v>206</v>
      </c>
      <c r="OJU162" s="367"/>
      <c r="OJV162" s="367"/>
      <c r="OJW162" s="368" t="s">
        <v>168</v>
      </c>
      <c r="OJX162" s="369">
        <v>0.5</v>
      </c>
      <c r="OJY162" s="370" t="e">
        <f>10/OJU160</f>
        <v>#DIV/0!</v>
      </c>
      <c r="OJZ162" s="371">
        <v>15.38</v>
      </c>
      <c r="OKA162" s="371" t="e">
        <f>OJX162*OJY162*OJZ162</f>
        <v>#DIV/0!</v>
      </c>
      <c r="OKB162" s="367" t="s">
        <v>206</v>
      </c>
      <c r="OKC162" s="367"/>
      <c r="OKD162" s="367"/>
      <c r="OKE162" s="368" t="s">
        <v>168</v>
      </c>
      <c r="OKF162" s="369">
        <v>0.5</v>
      </c>
      <c r="OKG162" s="370" t="e">
        <f>10/OKC160</f>
        <v>#DIV/0!</v>
      </c>
      <c r="OKH162" s="371">
        <v>15.38</v>
      </c>
      <c r="OKI162" s="371" t="e">
        <f>OKF162*OKG162*OKH162</f>
        <v>#DIV/0!</v>
      </c>
      <c r="OKJ162" s="367" t="s">
        <v>206</v>
      </c>
      <c r="OKK162" s="367"/>
      <c r="OKL162" s="367"/>
      <c r="OKM162" s="368" t="s">
        <v>168</v>
      </c>
      <c r="OKN162" s="369">
        <v>0.5</v>
      </c>
      <c r="OKO162" s="370" t="e">
        <f>10/OKK160</f>
        <v>#DIV/0!</v>
      </c>
      <c r="OKP162" s="371">
        <v>15.38</v>
      </c>
      <c r="OKQ162" s="371" t="e">
        <f>OKN162*OKO162*OKP162</f>
        <v>#DIV/0!</v>
      </c>
      <c r="OKR162" s="367" t="s">
        <v>206</v>
      </c>
      <c r="OKS162" s="367"/>
      <c r="OKT162" s="367"/>
      <c r="OKU162" s="368" t="s">
        <v>168</v>
      </c>
      <c r="OKV162" s="369">
        <v>0.5</v>
      </c>
      <c r="OKW162" s="370" t="e">
        <f>10/OKS160</f>
        <v>#DIV/0!</v>
      </c>
      <c r="OKX162" s="371">
        <v>15.38</v>
      </c>
      <c r="OKY162" s="371" t="e">
        <f>OKV162*OKW162*OKX162</f>
        <v>#DIV/0!</v>
      </c>
      <c r="OKZ162" s="367" t="s">
        <v>206</v>
      </c>
      <c r="OLA162" s="367"/>
      <c r="OLB162" s="367"/>
      <c r="OLC162" s="368" t="s">
        <v>168</v>
      </c>
      <c r="OLD162" s="369">
        <v>0.5</v>
      </c>
      <c r="OLE162" s="370" t="e">
        <f>10/OLA160</f>
        <v>#DIV/0!</v>
      </c>
      <c r="OLF162" s="371">
        <v>15.38</v>
      </c>
      <c r="OLG162" s="371" t="e">
        <f>OLD162*OLE162*OLF162</f>
        <v>#DIV/0!</v>
      </c>
      <c r="OLH162" s="367" t="s">
        <v>206</v>
      </c>
      <c r="OLI162" s="367"/>
      <c r="OLJ162" s="367"/>
      <c r="OLK162" s="368" t="s">
        <v>168</v>
      </c>
      <c r="OLL162" s="369">
        <v>0.5</v>
      </c>
      <c r="OLM162" s="370" t="e">
        <f>10/OLI160</f>
        <v>#DIV/0!</v>
      </c>
      <c r="OLN162" s="371">
        <v>15.38</v>
      </c>
      <c r="OLO162" s="371" t="e">
        <f>OLL162*OLM162*OLN162</f>
        <v>#DIV/0!</v>
      </c>
      <c r="OLP162" s="367" t="s">
        <v>206</v>
      </c>
      <c r="OLQ162" s="367"/>
      <c r="OLR162" s="367"/>
      <c r="OLS162" s="368" t="s">
        <v>168</v>
      </c>
      <c r="OLT162" s="369">
        <v>0.5</v>
      </c>
      <c r="OLU162" s="370" t="e">
        <f>10/OLQ160</f>
        <v>#DIV/0!</v>
      </c>
      <c r="OLV162" s="371">
        <v>15.38</v>
      </c>
      <c r="OLW162" s="371" t="e">
        <f>OLT162*OLU162*OLV162</f>
        <v>#DIV/0!</v>
      </c>
      <c r="OLX162" s="367" t="s">
        <v>206</v>
      </c>
      <c r="OLY162" s="367"/>
      <c r="OLZ162" s="367"/>
      <c r="OMA162" s="368" t="s">
        <v>168</v>
      </c>
      <c r="OMB162" s="369">
        <v>0.5</v>
      </c>
      <c r="OMC162" s="370" t="e">
        <f>10/OLY160</f>
        <v>#DIV/0!</v>
      </c>
      <c r="OMD162" s="371">
        <v>15.38</v>
      </c>
      <c r="OME162" s="371" t="e">
        <f>OMB162*OMC162*OMD162</f>
        <v>#DIV/0!</v>
      </c>
      <c r="OMF162" s="367" t="s">
        <v>206</v>
      </c>
      <c r="OMG162" s="367"/>
      <c r="OMH162" s="367"/>
      <c r="OMI162" s="368" t="s">
        <v>168</v>
      </c>
      <c r="OMJ162" s="369">
        <v>0.5</v>
      </c>
      <c r="OMK162" s="370" t="e">
        <f>10/OMG160</f>
        <v>#DIV/0!</v>
      </c>
      <c r="OML162" s="371">
        <v>15.38</v>
      </c>
      <c r="OMM162" s="371" t="e">
        <f>OMJ162*OMK162*OML162</f>
        <v>#DIV/0!</v>
      </c>
      <c r="OMN162" s="367" t="s">
        <v>206</v>
      </c>
      <c r="OMO162" s="367"/>
      <c r="OMP162" s="367"/>
      <c r="OMQ162" s="368" t="s">
        <v>168</v>
      </c>
      <c r="OMR162" s="369">
        <v>0.5</v>
      </c>
      <c r="OMS162" s="370" t="e">
        <f>10/OMO160</f>
        <v>#DIV/0!</v>
      </c>
      <c r="OMT162" s="371">
        <v>15.38</v>
      </c>
      <c r="OMU162" s="371" t="e">
        <f>OMR162*OMS162*OMT162</f>
        <v>#DIV/0!</v>
      </c>
      <c r="OMV162" s="367" t="s">
        <v>206</v>
      </c>
      <c r="OMW162" s="367"/>
      <c r="OMX162" s="367"/>
      <c r="OMY162" s="368" t="s">
        <v>168</v>
      </c>
      <c r="OMZ162" s="369">
        <v>0.5</v>
      </c>
      <c r="ONA162" s="370" t="e">
        <f>10/OMW160</f>
        <v>#DIV/0!</v>
      </c>
      <c r="ONB162" s="371">
        <v>15.38</v>
      </c>
      <c r="ONC162" s="371" t="e">
        <f>OMZ162*ONA162*ONB162</f>
        <v>#DIV/0!</v>
      </c>
      <c r="OND162" s="367" t="s">
        <v>206</v>
      </c>
      <c r="ONE162" s="367"/>
      <c r="ONF162" s="367"/>
      <c r="ONG162" s="368" t="s">
        <v>168</v>
      </c>
      <c r="ONH162" s="369">
        <v>0.5</v>
      </c>
      <c r="ONI162" s="370" t="e">
        <f>10/ONE160</f>
        <v>#DIV/0!</v>
      </c>
      <c r="ONJ162" s="371">
        <v>15.38</v>
      </c>
      <c r="ONK162" s="371" t="e">
        <f>ONH162*ONI162*ONJ162</f>
        <v>#DIV/0!</v>
      </c>
      <c r="ONL162" s="367" t="s">
        <v>206</v>
      </c>
      <c r="ONM162" s="367"/>
      <c r="ONN162" s="367"/>
      <c r="ONO162" s="368" t="s">
        <v>168</v>
      </c>
      <c r="ONP162" s="369">
        <v>0.5</v>
      </c>
      <c r="ONQ162" s="370" t="e">
        <f>10/ONM160</f>
        <v>#DIV/0!</v>
      </c>
      <c r="ONR162" s="371">
        <v>15.38</v>
      </c>
      <c r="ONS162" s="371" t="e">
        <f>ONP162*ONQ162*ONR162</f>
        <v>#DIV/0!</v>
      </c>
      <c r="ONT162" s="367" t="s">
        <v>206</v>
      </c>
      <c r="ONU162" s="367"/>
      <c r="ONV162" s="367"/>
      <c r="ONW162" s="368" t="s">
        <v>168</v>
      </c>
      <c r="ONX162" s="369">
        <v>0.5</v>
      </c>
      <c r="ONY162" s="370" t="e">
        <f>10/ONU160</f>
        <v>#DIV/0!</v>
      </c>
      <c r="ONZ162" s="371">
        <v>15.38</v>
      </c>
      <c r="OOA162" s="371" t="e">
        <f>ONX162*ONY162*ONZ162</f>
        <v>#DIV/0!</v>
      </c>
      <c r="OOB162" s="367" t="s">
        <v>206</v>
      </c>
      <c r="OOC162" s="367"/>
      <c r="OOD162" s="367"/>
      <c r="OOE162" s="368" t="s">
        <v>168</v>
      </c>
      <c r="OOF162" s="369">
        <v>0.5</v>
      </c>
      <c r="OOG162" s="370" t="e">
        <f>10/OOC160</f>
        <v>#DIV/0!</v>
      </c>
      <c r="OOH162" s="371">
        <v>15.38</v>
      </c>
      <c r="OOI162" s="371" t="e">
        <f>OOF162*OOG162*OOH162</f>
        <v>#DIV/0!</v>
      </c>
      <c r="OOJ162" s="367" t="s">
        <v>206</v>
      </c>
      <c r="OOK162" s="367"/>
      <c r="OOL162" s="367"/>
      <c r="OOM162" s="368" t="s">
        <v>168</v>
      </c>
      <c r="OON162" s="369">
        <v>0.5</v>
      </c>
      <c r="OOO162" s="370" t="e">
        <f>10/OOK160</f>
        <v>#DIV/0!</v>
      </c>
      <c r="OOP162" s="371">
        <v>15.38</v>
      </c>
      <c r="OOQ162" s="371" t="e">
        <f>OON162*OOO162*OOP162</f>
        <v>#DIV/0!</v>
      </c>
      <c r="OOR162" s="367" t="s">
        <v>206</v>
      </c>
      <c r="OOS162" s="367"/>
      <c r="OOT162" s="367"/>
      <c r="OOU162" s="368" t="s">
        <v>168</v>
      </c>
      <c r="OOV162" s="369">
        <v>0.5</v>
      </c>
      <c r="OOW162" s="370" t="e">
        <f>10/OOS160</f>
        <v>#DIV/0!</v>
      </c>
      <c r="OOX162" s="371">
        <v>15.38</v>
      </c>
      <c r="OOY162" s="371" t="e">
        <f>OOV162*OOW162*OOX162</f>
        <v>#DIV/0!</v>
      </c>
      <c r="OOZ162" s="367" t="s">
        <v>206</v>
      </c>
      <c r="OPA162" s="367"/>
      <c r="OPB162" s="367"/>
      <c r="OPC162" s="368" t="s">
        <v>168</v>
      </c>
      <c r="OPD162" s="369">
        <v>0.5</v>
      </c>
      <c r="OPE162" s="370" t="e">
        <f>10/OPA160</f>
        <v>#DIV/0!</v>
      </c>
      <c r="OPF162" s="371">
        <v>15.38</v>
      </c>
      <c r="OPG162" s="371" t="e">
        <f>OPD162*OPE162*OPF162</f>
        <v>#DIV/0!</v>
      </c>
      <c r="OPH162" s="367" t="s">
        <v>206</v>
      </c>
      <c r="OPI162" s="367"/>
      <c r="OPJ162" s="367"/>
      <c r="OPK162" s="368" t="s">
        <v>168</v>
      </c>
      <c r="OPL162" s="369">
        <v>0.5</v>
      </c>
      <c r="OPM162" s="370" t="e">
        <f>10/OPI160</f>
        <v>#DIV/0!</v>
      </c>
      <c r="OPN162" s="371">
        <v>15.38</v>
      </c>
      <c r="OPO162" s="371" t="e">
        <f>OPL162*OPM162*OPN162</f>
        <v>#DIV/0!</v>
      </c>
      <c r="OPP162" s="367" t="s">
        <v>206</v>
      </c>
      <c r="OPQ162" s="367"/>
      <c r="OPR162" s="367"/>
      <c r="OPS162" s="368" t="s">
        <v>168</v>
      </c>
      <c r="OPT162" s="369">
        <v>0.5</v>
      </c>
      <c r="OPU162" s="370" t="e">
        <f>10/OPQ160</f>
        <v>#DIV/0!</v>
      </c>
      <c r="OPV162" s="371">
        <v>15.38</v>
      </c>
      <c r="OPW162" s="371" t="e">
        <f>OPT162*OPU162*OPV162</f>
        <v>#DIV/0!</v>
      </c>
      <c r="OPX162" s="367" t="s">
        <v>206</v>
      </c>
      <c r="OPY162" s="367"/>
      <c r="OPZ162" s="367"/>
      <c r="OQA162" s="368" t="s">
        <v>168</v>
      </c>
      <c r="OQB162" s="369">
        <v>0.5</v>
      </c>
      <c r="OQC162" s="370" t="e">
        <f>10/OPY160</f>
        <v>#DIV/0!</v>
      </c>
      <c r="OQD162" s="371">
        <v>15.38</v>
      </c>
      <c r="OQE162" s="371" t="e">
        <f>OQB162*OQC162*OQD162</f>
        <v>#DIV/0!</v>
      </c>
      <c r="OQF162" s="367" t="s">
        <v>206</v>
      </c>
      <c r="OQG162" s="367"/>
      <c r="OQH162" s="367"/>
      <c r="OQI162" s="368" t="s">
        <v>168</v>
      </c>
      <c r="OQJ162" s="369">
        <v>0.5</v>
      </c>
      <c r="OQK162" s="370" t="e">
        <f>10/OQG160</f>
        <v>#DIV/0!</v>
      </c>
      <c r="OQL162" s="371">
        <v>15.38</v>
      </c>
      <c r="OQM162" s="371" t="e">
        <f>OQJ162*OQK162*OQL162</f>
        <v>#DIV/0!</v>
      </c>
      <c r="OQN162" s="367" t="s">
        <v>206</v>
      </c>
      <c r="OQO162" s="367"/>
      <c r="OQP162" s="367"/>
      <c r="OQQ162" s="368" t="s">
        <v>168</v>
      </c>
      <c r="OQR162" s="369">
        <v>0.5</v>
      </c>
      <c r="OQS162" s="370" t="e">
        <f>10/OQO160</f>
        <v>#DIV/0!</v>
      </c>
      <c r="OQT162" s="371">
        <v>15.38</v>
      </c>
      <c r="OQU162" s="371" t="e">
        <f>OQR162*OQS162*OQT162</f>
        <v>#DIV/0!</v>
      </c>
      <c r="OQV162" s="367" t="s">
        <v>206</v>
      </c>
      <c r="OQW162" s="367"/>
      <c r="OQX162" s="367"/>
      <c r="OQY162" s="368" t="s">
        <v>168</v>
      </c>
      <c r="OQZ162" s="369">
        <v>0.5</v>
      </c>
      <c r="ORA162" s="370" t="e">
        <f>10/OQW160</f>
        <v>#DIV/0!</v>
      </c>
      <c r="ORB162" s="371">
        <v>15.38</v>
      </c>
      <c r="ORC162" s="371" t="e">
        <f>OQZ162*ORA162*ORB162</f>
        <v>#DIV/0!</v>
      </c>
      <c r="ORD162" s="367" t="s">
        <v>206</v>
      </c>
      <c r="ORE162" s="367"/>
      <c r="ORF162" s="367"/>
      <c r="ORG162" s="368" t="s">
        <v>168</v>
      </c>
      <c r="ORH162" s="369">
        <v>0.5</v>
      </c>
      <c r="ORI162" s="370" t="e">
        <f>10/ORE160</f>
        <v>#DIV/0!</v>
      </c>
      <c r="ORJ162" s="371">
        <v>15.38</v>
      </c>
      <c r="ORK162" s="371" t="e">
        <f>ORH162*ORI162*ORJ162</f>
        <v>#DIV/0!</v>
      </c>
      <c r="ORL162" s="367" t="s">
        <v>206</v>
      </c>
      <c r="ORM162" s="367"/>
      <c r="ORN162" s="367"/>
      <c r="ORO162" s="368" t="s">
        <v>168</v>
      </c>
      <c r="ORP162" s="369">
        <v>0.5</v>
      </c>
      <c r="ORQ162" s="370" t="e">
        <f>10/ORM160</f>
        <v>#DIV/0!</v>
      </c>
      <c r="ORR162" s="371">
        <v>15.38</v>
      </c>
      <c r="ORS162" s="371" t="e">
        <f>ORP162*ORQ162*ORR162</f>
        <v>#DIV/0!</v>
      </c>
      <c r="ORT162" s="367" t="s">
        <v>206</v>
      </c>
      <c r="ORU162" s="367"/>
      <c r="ORV162" s="367"/>
      <c r="ORW162" s="368" t="s">
        <v>168</v>
      </c>
      <c r="ORX162" s="369">
        <v>0.5</v>
      </c>
      <c r="ORY162" s="370" t="e">
        <f>10/ORU160</f>
        <v>#DIV/0!</v>
      </c>
      <c r="ORZ162" s="371">
        <v>15.38</v>
      </c>
      <c r="OSA162" s="371" t="e">
        <f>ORX162*ORY162*ORZ162</f>
        <v>#DIV/0!</v>
      </c>
      <c r="OSB162" s="367" t="s">
        <v>206</v>
      </c>
      <c r="OSC162" s="367"/>
      <c r="OSD162" s="367"/>
      <c r="OSE162" s="368" t="s">
        <v>168</v>
      </c>
      <c r="OSF162" s="369">
        <v>0.5</v>
      </c>
      <c r="OSG162" s="370" t="e">
        <f>10/OSC160</f>
        <v>#DIV/0!</v>
      </c>
      <c r="OSH162" s="371">
        <v>15.38</v>
      </c>
      <c r="OSI162" s="371" t="e">
        <f>OSF162*OSG162*OSH162</f>
        <v>#DIV/0!</v>
      </c>
      <c r="OSJ162" s="367" t="s">
        <v>206</v>
      </c>
      <c r="OSK162" s="367"/>
      <c r="OSL162" s="367"/>
      <c r="OSM162" s="368" t="s">
        <v>168</v>
      </c>
      <c r="OSN162" s="369">
        <v>0.5</v>
      </c>
      <c r="OSO162" s="370" t="e">
        <f>10/OSK160</f>
        <v>#DIV/0!</v>
      </c>
      <c r="OSP162" s="371">
        <v>15.38</v>
      </c>
      <c r="OSQ162" s="371" t="e">
        <f>OSN162*OSO162*OSP162</f>
        <v>#DIV/0!</v>
      </c>
      <c r="OSR162" s="367" t="s">
        <v>206</v>
      </c>
      <c r="OSS162" s="367"/>
      <c r="OST162" s="367"/>
      <c r="OSU162" s="368" t="s">
        <v>168</v>
      </c>
      <c r="OSV162" s="369">
        <v>0.5</v>
      </c>
      <c r="OSW162" s="370" t="e">
        <f>10/OSS160</f>
        <v>#DIV/0!</v>
      </c>
      <c r="OSX162" s="371">
        <v>15.38</v>
      </c>
      <c r="OSY162" s="371" t="e">
        <f>OSV162*OSW162*OSX162</f>
        <v>#DIV/0!</v>
      </c>
      <c r="OSZ162" s="367" t="s">
        <v>206</v>
      </c>
      <c r="OTA162" s="367"/>
      <c r="OTB162" s="367"/>
      <c r="OTC162" s="368" t="s">
        <v>168</v>
      </c>
      <c r="OTD162" s="369">
        <v>0.5</v>
      </c>
      <c r="OTE162" s="370" t="e">
        <f>10/OTA160</f>
        <v>#DIV/0!</v>
      </c>
      <c r="OTF162" s="371">
        <v>15.38</v>
      </c>
      <c r="OTG162" s="371" t="e">
        <f>OTD162*OTE162*OTF162</f>
        <v>#DIV/0!</v>
      </c>
      <c r="OTH162" s="367" t="s">
        <v>206</v>
      </c>
      <c r="OTI162" s="367"/>
      <c r="OTJ162" s="367"/>
      <c r="OTK162" s="368" t="s">
        <v>168</v>
      </c>
      <c r="OTL162" s="369">
        <v>0.5</v>
      </c>
      <c r="OTM162" s="370" t="e">
        <f>10/OTI160</f>
        <v>#DIV/0!</v>
      </c>
      <c r="OTN162" s="371">
        <v>15.38</v>
      </c>
      <c r="OTO162" s="371" t="e">
        <f>OTL162*OTM162*OTN162</f>
        <v>#DIV/0!</v>
      </c>
      <c r="OTP162" s="367" t="s">
        <v>206</v>
      </c>
      <c r="OTQ162" s="367"/>
      <c r="OTR162" s="367"/>
      <c r="OTS162" s="368" t="s">
        <v>168</v>
      </c>
      <c r="OTT162" s="369">
        <v>0.5</v>
      </c>
      <c r="OTU162" s="370" t="e">
        <f>10/OTQ160</f>
        <v>#DIV/0!</v>
      </c>
      <c r="OTV162" s="371">
        <v>15.38</v>
      </c>
      <c r="OTW162" s="371" t="e">
        <f>OTT162*OTU162*OTV162</f>
        <v>#DIV/0!</v>
      </c>
      <c r="OTX162" s="367" t="s">
        <v>206</v>
      </c>
      <c r="OTY162" s="367"/>
      <c r="OTZ162" s="367"/>
      <c r="OUA162" s="368" t="s">
        <v>168</v>
      </c>
      <c r="OUB162" s="369">
        <v>0.5</v>
      </c>
      <c r="OUC162" s="370" t="e">
        <f>10/OTY160</f>
        <v>#DIV/0!</v>
      </c>
      <c r="OUD162" s="371">
        <v>15.38</v>
      </c>
      <c r="OUE162" s="371" t="e">
        <f>OUB162*OUC162*OUD162</f>
        <v>#DIV/0!</v>
      </c>
      <c r="OUF162" s="367" t="s">
        <v>206</v>
      </c>
      <c r="OUG162" s="367"/>
      <c r="OUH162" s="367"/>
      <c r="OUI162" s="368" t="s">
        <v>168</v>
      </c>
      <c r="OUJ162" s="369">
        <v>0.5</v>
      </c>
      <c r="OUK162" s="370" t="e">
        <f>10/OUG160</f>
        <v>#DIV/0!</v>
      </c>
      <c r="OUL162" s="371">
        <v>15.38</v>
      </c>
      <c r="OUM162" s="371" t="e">
        <f>OUJ162*OUK162*OUL162</f>
        <v>#DIV/0!</v>
      </c>
      <c r="OUN162" s="367" t="s">
        <v>206</v>
      </c>
      <c r="OUO162" s="367"/>
      <c r="OUP162" s="367"/>
      <c r="OUQ162" s="368" t="s">
        <v>168</v>
      </c>
      <c r="OUR162" s="369">
        <v>0.5</v>
      </c>
      <c r="OUS162" s="370" t="e">
        <f>10/OUO160</f>
        <v>#DIV/0!</v>
      </c>
      <c r="OUT162" s="371">
        <v>15.38</v>
      </c>
      <c r="OUU162" s="371" t="e">
        <f>OUR162*OUS162*OUT162</f>
        <v>#DIV/0!</v>
      </c>
      <c r="OUV162" s="367" t="s">
        <v>206</v>
      </c>
      <c r="OUW162" s="367"/>
      <c r="OUX162" s="367"/>
      <c r="OUY162" s="368" t="s">
        <v>168</v>
      </c>
      <c r="OUZ162" s="369">
        <v>0.5</v>
      </c>
      <c r="OVA162" s="370" t="e">
        <f>10/OUW160</f>
        <v>#DIV/0!</v>
      </c>
      <c r="OVB162" s="371">
        <v>15.38</v>
      </c>
      <c r="OVC162" s="371" t="e">
        <f>OUZ162*OVA162*OVB162</f>
        <v>#DIV/0!</v>
      </c>
      <c r="OVD162" s="367" t="s">
        <v>206</v>
      </c>
      <c r="OVE162" s="367"/>
      <c r="OVF162" s="367"/>
      <c r="OVG162" s="368" t="s">
        <v>168</v>
      </c>
      <c r="OVH162" s="369">
        <v>0.5</v>
      </c>
      <c r="OVI162" s="370" t="e">
        <f>10/OVE160</f>
        <v>#DIV/0!</v>
      </c>
      <c r="OVJ162" s="371">
        <v>15.38</v>
      </c>
      <c r="OVK162" s="371" t="e">
        <f>OVH162*OVI162*OVJ162</f>
        <v>#DIV/0!</v>
      </c>
      <c r="OVL162" s="367" t="s">
        <v>206</v>
      </c>
      <c r="OVM162" s="367"/>
      <c r="OVN162" s="367"/>
      <c r="OVO162" s="368" t="s">
        <v>168</v>
      </c>
      <c r="OVP162" s="369">
        <v>0.5</v>
      </c>
      <c r="OVQ162" s="370" t="e">
        <f>10/OVM160</f>
        <v>#DIV/0!</v>
      </c>
      <c r="OVR162" s="371">
        <v>15.38</v>
      </c>
      <c r="OVS162" s="371" t="e">
        <f>OVP162*OVQ162*OVR162</f>
        <v>#DIV/0!</v>
      </c>
      <c r="OVT162" s="367" t="s">
        <v>206</v>
      </c>
      <c r="OVU162" s="367"/>
      <c r="OVV162" s="367"/>
      <c r="OVW162" s="368" t="s">
        <v>168</v>
      </c>
      <c r="OVX162" s="369">
        <v>0.5</v>
      </c>
      <c r="OVY162" s="370" t="e">
        <f>10/OVU160</f>
        <v>#DIV/0!</v>
      </c>
      <c r="OVZ162" s="371">
        <v>15.38</v>
      </c>
      <c r="OWA162" s="371" t="e">
        <f>OVX162*OVY162*OVZ162</f>
        <v>#DIV/0!</v>
      </c>
      <c r="OWB162" s="367" t="s">
        <v>206</v>
      </c>
      <c r="OWC162" s="367"/>
      <c r="OWD162" s="367"/>
      <c r="OWE162" s="368" t="s">
        <v>168</v>
      </c>
      <c r="OWF162" s="369">
        <v>0.5</v>
      </c>
      <c r="OWG162" s="370" t="e">
        <f>10/OWC160</f>
        <v>#DIV/0!</v>
      </c>
      <c r="OWH162" s="371">
        <v>15.38</v>
      </c>
      <c r="OWI162" s="371" t="e">
        <f>OWF162*OWG162*OWH162</f>
        <v>#DIV/0!</v>
      </c>
      <c r="OWJ162" s="367" t="s">
        <v>206</v>
      </c>
      <c r="OWK162" s="367"/>
      <c r="OWL162" s="367"/>
      <c r="OWM162" s="368" t="s">
        <v>168</v>
      </c>
      <c r="OWN162" s="369">
        <v>0.5</v>
      </c>
      <c r="OWO162" s="370" t="e">
        <f>10/OWK160</f>
        <v>#DIV/0!</v>
      </c>
      <c r="OWP162" s="371">
        <v>15.38</v>
      </c>
      <c r="OWQ162" s="371" t="e">
        <f>OWN162*OWO162*OWP162</f>
        <v>#DIV/0!</v>
      </c>
      <c r="OWR162" s="367" t="s">
        <v>206</v>
      </c>
      <c r="OWS162" s="367"/>
      <c r="OWT162" s="367"/>
      <c r="OWU162" s="368" t="s">
        <v>168</v>
      </c>
      <c r="OWV162" s="369">
        <v>0.5</v>
      </c>
      <c r="OWW162" s="370" t="e">
        <f>10/OWS160</f>
        <v>#DIV/0!</v>
      </c>
      <c r="OWX162" s="371">
        <v>15.38</v>
      </c>
      <c r="OWY162" s="371" t="e">
        <f>OWV162*OWW162*OWX162</f>
        <v>#DIV/0!</v>
      </c>
      <c r="OWZ162" s="367" t="s">
        <v>206</v>
      </c>
      <c r="OXA162" s="367"/>
      <c r="OXB162" s="367"/>
      <c r="OXC162" s="368" t="s">
        <v>168</v>
      </c>
      <c r="OXD162" s="369">
        <v>0.5</v>
      </c>
      <c r="OXE162" s="370" t="e">
        <f>10/OXA160</f>
        <v>#DIV/0!</v>
      </c>
      <c r="OXF162" s="371">
        <v>15.38</v>
      </c>
      <c r="OXG162" s="371" t="e">
        <f>OXD162*OXE162*OXF162</f>
        <v>#DIV/0!</v>
      </c>
      <c r="OXH162" s="367" t="s">
        <v>206</v>
      </c>
      <c r="OXI162" s="367"/>
      <c r="OXJ162" s="367"/>
      <c r="OXK162" s="368" t="s">
        <v>168</v>
      </c>
      <c r="OXL162" s="369">
        <v>0.5</v>
      </c>
      <c r="OXM162" s="370" t="e">
        <f>10/OXI160</f>
        <v>#DIV/0!</v>
      </c>
      <c r="OXN162" s="371">
        <v>15.38</v>
      </c>
      <c r="OXO162" s="371" t="e">
        <f>OXL162*OXM162*OXN162</f>
        <v>#DIV/0!</v>
      </c>
      <c r="OXP162" s="367" t="s">
        <v>206</v>
      </c>
      <c r="OXQ162" s="367"/>
      <c r="OXR162" s="367"/>
      <c r="OXS162" s="368" t="s">
        <v>168</v>
      </c>
      <c r="OXT162" s="369">
        <v>0.5</v>
      </c>
      <c r="OXU162" s="370" t="e">
        <f>10/OXQ160</f>
        <v>#DIV/0!</v>
      </c>
      <c r="OXV162" s="371">
        <v>15.38</v>
      </c>
      <c r="OXW162" s="371" t="e">
        <f>OXT162*OXU162*OXV162</f>
        <v>#DIV/0!</v>
      </c>
      <c r="OXX162" s="367" t="s">
        <v>206</v>
      </c>
      <c r="OXY162" s="367"/>
      <c r="OXZ162" s="367"/>
      <c r="OYA162" s="368" t="s">
        <v>168</v>
      </c>
      <c r="OYB162" s="369">
        <v>0.5</v>
      </c>
      <c r="OYC162" s="370" t="e">
        <f>10/OXY160</f>
        <v>#DIV/0!</v>
      </c>
      <c r="OYD162" s="371">
        <v>15.38</v>
      </c>
      <c r="OYE162" s="371" t="e">
        <f>OYB162*OYC162*OYD162</f>
        <v>#DIV/0!</v>
      </c>
      <c r="OYF162" s="367" t="s">
        <v>206</v>
      </c>
      <c r="OYG162" s="367"/>
      <c r="OYH162" s="367"/>
      <c r="OYI162" s="368" t="s">
        <v>168</v>
      </c>
      <c r="OYJ162" s="369">
        <v>0.5</v>
      </c>
      <c r="OYK162" s="370" t="e">
        <f>10/OYG160</f>
        <v>#DIV/0!</v>
      </c>
      <c r="OYL162" s="371">
        <v>15.38</v>
      </c>
      <c r="OYM162" s="371" t="e">
        <f>OYJ162*OYK162*OYL162</f>
        <v>#DIV/0!</v>
      </c>
      <c r="OYN162" s="367" t="s">
        <v>206</v>
      </c>
      <c r="OYO162" s="367"/>
      <c r="OYP162" s="367"/>
      <c r="OYQ162" s="368" t="s">
        <v>168</v>
      </c>
      <c r="OYR162" s="369">
        <v>0.5</v>
      </c>
      <c r="OYS162" s="370" t="e">
        <f>10/OYO160</f>
        <v>#DIV/0!</v>
      </c>
      <c r="OYT162" s="371">
        <v>15.38</v>
      </c>
      <c r="OYU162" s="371" t="e">
        <f>OYR162*OYS162*OYT162</f>
        <v>#DIV/0!</v>
      </c>
      <c r="OYV162" s="367" t="s">
        <v>206</v>
      </c>
      <c r="OYW162" s="367"/>
      <c r="OYX162" s="367"/>
      <c r="OYY162" s="368" t="s">
        <v>168</v>
      </c>
      <c r="OYZ162" s="369">
        <v>0.5</v>
      </c>
      <c r="OZA162" s="370" t="e">
        <f>10/OYW160</f>
        <v>#DIV/0!</v>
      </c>
      <c r="OZB162" s="371">
        <v>15.38</v>
      </c>
      <c r="OZC162" s="371" t="e">
        <f>OYZ162*OZA162*OZB162</f>
        <v>#DIV/0!</v>
      </c>
      <c r="OZD162" s="367" t="s">
        <v>206</v>
      </c>
      <c r="OZE162" s="367"/>
      <c r="OZF162" s="367"/>
      <c r="OZG162" s="368" t="s">
        <v>168</v>
      </c>
      <c r="OZH162" s="369">
        <v>0.5</v>
      </c>
      <c r="OZI162" s="370" t="e">
        <f>10/OZE160</f>
        <v>#DIV/0!</v>
      </c>
      <c r="OZJ162" s="371">
        <v>15.38</v>
      </c>
      <c r="OZK162" s="371" t="e">
        <f>OZH162*OZI162*OZJ162</f>
        <v>#DIV/0!</v>
      </c>
      <c r="OZL162" s="367" t="s">
        <v>206</v>
      </c>
      <c r="OZM162" s="367"/>
      <c r="OZN162" s="367"/>
      <c r="OZO162" s="368" t="s">
        <v>168</v>
      </c>
      <c r="OZP162" s="369">
        <v>0.5</v>
      </c>
      <c r="OZQ162" s="370" t="e">
        <f>10/OZM160</f>
        <v>#DIV/0!</v>
      </c>
      <c r="OZR162" s="371">
        <v>15.38</v>
      </c>
      <c r="OZS162" s="371" t="e">
        <f>OZP162*OZQ162*OZR162</f>
        <v>#DIV/0!</v>
      </c>
      <c r="OZT162" s="367" t="s">
        <v>206</v>
      </c>
      <c r="OZU162" s="367"/>
      <c r="OZV162" s="367"/>
      <c r="OZW162" s="368" t="s">
        <v>168</v>
      </c>
      <c r="OZX162" s="369">
        <v>0.5</v>
      </c>
      <c r="OZY162" s="370" t="e">
        <f>10/OZU160</f>
        <v>#DIV/0!</v>
      </c>
      <c r="OZZ162" s="371">
        <v>15.38</v>
      </c>
      <c r="PAA162" s="371" t="e">
        <f>OZX162*OZY162*OZZ162</f>
        <v>#DIV/0!</v>
      </c>
      <c r="PAB162" s="367" t="s">
        <v>206</v>
      </c>
      <c r="PAC162" s="367"/>
      <c r="PAD162" s="367"/>
      <c r="PAE162" s="368" t="s">
        <v>168</v>
      </c>
      <c r="PAF162" s="369">
        <v>0.5</v>
      </c>
      <c r="PAG162" s="370" t="e">
        <f>10/PAC160</f>
        <v>#DIV/0!</v>
      </c>
      <c r="PAH162" s="371">
        <v>15.38</v>
      </c>
      <c r="PAI162" s="371" t="e">
        <f>PAF162*PAG162*PAH162</f>
        <v>#DIV/0!</v>
      </c>
      <c r="PAJ162" s="367" t="s">
        <v>206</v>
      </c>
      <c r="PAK162" s="367"/>
      <c r="PAL162" s="367"/>
      <c r="PAM162" s="368" t="s">
        <v>168</v>
      </c>
      <c r="PAN162" s="369">
        <v>0.5</v>
      </c>
      <c r="PAO162" s="370" t="e">
        <f>10/PAK160</f>
        <v>#DIV/0!</v>
      </c>
      <c r="PAP162" s="371">
        <v>15.38</v>
      </c>
      <c r="PAQ162" s="371" t="e">
        <f>PAN162*PAO162*PAP162</f>
        <v>#DIV/0!</v>
      </c>
      <c r="PAR162" s="367" t="s">
        <v>206</v>
      </c>
      <c r="PAS162" s="367"/>
      <c r="PAT162" s="367"/>
      <c r="PAU162" s="368" t="s">
        <v>168</v>
      </c>
      <c r="PAV162" s="369">
        <v>0.5</v>
      </c>
      <c r="PAW162" s="370" t="e">
        <f>10/PAS160</f>
        <v>#DIV/0!</v>
      </c>
      <c r="PAX162" s="371">
        <v>15.38</v>
      </c>
      <c r="PAY162" s="371" t="e">
        <f>PAV162*PAW162*PAX162</f>
        <v>#DIV/0!</v>
      </c>
      <c r="PAZ162" s="367" t="s">
        <v>206</v>
      </c>
      <c r="PBA162" s="367"/>
      <c r="PBB162" s="367"/>
      <c r="PBC162" s="368" t="s">
        <v>168</v>
      </c>
      <c r="PBD162" s="369">
        <v>0.5</v>
      </c>
      <c r="PBE162" s="370" t="e">
        <f>10/PBA160</f>
        <v>#DIV/0!</v>
      </c>
      <c r="PBF162" s="371">
        <v>15.38</v>
      </c>
      <c r="PBG162" s="371" t="e">
        <f>PBD162*PBE162*PBF162</f>
        <v>#DIV/0!</v>
      </c>
      <c r="PBH162" s="367" t="s">
        <v>206</v>
      </c>
      <c r="PBI162" s="367"/>
      <c r="PBJ162" s="367"/>
      <c r="PBK162" s="368" t="s">
        <v>168</v>
      </c>
      <c r="PBL162" s="369">
        <v>0.5</v>
      </c>
      <c r="PBM162" s="370" t="e">
        <f>10/PBI160</f>
        <v>#DIV/0!</v>
      </c>
      <c r="PBN162" s="371">
        <v>15.38</v>
      </c>
      <c r="PBO162" s="371" t="e">
        <f>PBL162*PBM162*PBN162</f>
        <v>#DIV/0!</v>
      </c>
      <c r="PBP162" s="367" t="s">
        <v>206</v>
      </c>
      <c r="PBQ162" s="367"/>
      <c r="PBR162" s="367"/>
      <c r="PBS162" s="368" t="s">
        <v>168</v>
      </c>
      <c r="PBT162" s="369">
        <v>0.5</v>
      </c>
      <c r="PBU162" s="370" t="e">
        <f>10/PBQ160</f>
        <v>#DIV/0!</v>
      </c>
      <c r="PBV162" s="371">
        <v>15.38</v>
      </c>
      <c r="PBW162" s="371" t="e">
        <f>PBT162*PBU162*PBV162</f>
        <v>#DIV/0!</v>
      </c>
      <c r="PBX162" s="367" t="s">
        <v>206</v>
      </c>
      <c r="PBY162" s="367"/>
      <c r="PBZ162" s="367"/>
      <c r="PCA162" s="368" t="s">
        <v>168</v>
      </c>
      <c r="PCB162" s="369">
        <v>0.5</v>
      </c>
      <c r="PCC162" s="370" t="e">
        <f>10/PBY160</f>
        <v>#DIV/0!</v>
      </c>
      <c r="PCD162" s="371">
        <v>15.38</v>
      </c>
      <c r="PCE162" s="371" t="e">
        <f>PCB162*PCC162*PCD162</f>
        <v>#DIV/0!</v>
      </c>
      <c r="PCF162" s="367" t="s">
        <v>206</v>
      </c>
      <c r="PCG162" s="367"/>
      <c r="PCH162" s="367"/>
      <c r="PCI162" s="368" t="s">
        <v>168</v>
      </c>
      <c r="PCJ162" s="369">
        <v>0.5</v>
      </c>
      <c r="PCK162" s="370" t="e">
        <f>10/PCG160</f>
        <v>#DIV/0!</v>
      </c>
      <c r="PCL162" s="371">
        <v>15.38</v>
      </c>
      <c r="PCM162" s="371" t="e">
        <f>PCJ162*PCK162*PCL162</f>
        <v>#DIV/0!</v>
      </c>
      <c r="PCN162" s="367" t="s">
        <v>206</v>
      </c>
      <c r="PCO162" s="367"/>
      <c r="PCP162" s="367"/>
      <c r="PCQ162" s="368" t="s">
        <v>168</v>
      </c>
      <c r="PCR162" s="369">
        <v>0.5</v>
      </c>
      <c r="PCS162" s="370" t="e">
        <f>10/PCO160</f>
        <v>#DIV/0!</v>
      </c>
      <c r="PCT162" s="371">
        <v>15.38</v>
      </c>
      <c r="PCU162" s="371" t="e">
        <f>PCR162*PCS162*PCT162</f>
        <v>#DIV/0!</v>
      </c>
      <c r="PCV162" s="367" t="s">
        <v>206</v>
      </c>
      <c r="PCW162" s="367"/>
      <c r="PCX162" s="367"/>
      <c r="PCY162" s="368" t="s">
        <v>168</v>
      </c>
      <c r="PCZ162" s="369">
        <v>0.5</v>
      </c>
      <c r="PDA162" s="370" t="e">
        <f>10/PCW160</f>
        <v>#DIV/0!</v>
      </c>
      <c r="PDB162" s="371">
        <v>15.38</v>
      </c>
      <c r="PDC162" s="371" t="e">
        <f>PCZ162*PDA162*PDB162</f>
        <v>#DIV/0!</v>
      </c>
      <c r="PDD162" s="367" t="s">
        <v>206</v>
      </c>
      <c r="PDE162" s="367"/>
      <c r="PDF162" s="367"/>
      <c r="PDG162" s="368" t="s">
        <v>168</v>
      </c>
      <c r="PDH162" s="369">
        <v>0.5</v>
      </c>
      <c r="PDI162" s="370" t="e">
        <f>10/PDE160</f>
        <v>#DIV/0!</v>
      </c>
      <c r="PDJ162" s="371">
        <v>15.38</v>
      </c>
      <c r="PDK162" s="371" t="e">
        <f>PDH162*PDI162*PDJ162</f>
        <v>#DIV/0!</v>
      </c>
      <c r="PDL162" s="367" t="s">
        <v>206</v>
      </c>
      <c r="PDM162" s="367"/>
      <c r="PDN162" s="367"/>
      <c r="PDO162" s="368" t="s">
        <v>168</v>
      </c>
      <c r="PDP162" s="369">
        <v>0.5</v>
      </c>
      <c r="PDQ162" s="370" t="e">
        <f>10/PDM160</f>
        <v>#DIV/0!</v>
      </c>
      <c r="PDR162" s="371">
        <v>15.38</v>
      </c>
      <c r="PDS162" s="371" t="e">
        <f>PDP162*PDQ162*PDR162</f>
        <v>#DIV/0!</v>
      </c>
      <c r="PDT162" s="367" t="s">
        <v>206</v>
      </c>
      <c r="PDU162" s="367"/>
      <c r="PDV162" s="367"/>
      <c r="PDW162" s="368" t="s">
        <v>168</v>
      </c>
      <c r="PDX162" s="369">
        <v>0.5</v>
      </c>
      <c r="PDY162" s="370" t="e">
        <f>10/PDU160</f>
        <v>#DIV/0!</v>
      </c>
      <c r="PDZ162" s="371">
        <v>15.38</v>
      </c>
      <c r="PEA162" s="371" t="e">
        <f>PDX162*PDY162*PDZ162</f>
        <v>#DIV/0!</v>
      </c>
      <c r="PEB162" s="367" t="s">
        <v>206</v>
      </c>
      <c r="PEC162" s="367"/>
      <c r="PED162" s="367"/>
      <c r="PEE162" s="368" t="s">
        <v>168</v>
      </c>
      <c r="PEF162" s="369">
        <v>0.5</v>
      </c>
      <c r="PEG162" s="370" t="e">
        <f>10/PEC160</f>
        <v>#DIV/0!</v>
      </c>
      <c r="PEH162" s="371">
        <v>15.38</v>
      </c>
      <c r="PEI162" s="371" t="e">
        <f>PEF162*PEG162*PEH162</f>
        <v>#DIV/0!</v>
      </c>
      <c r="PEJ162" s="367" t="s">
        <v>206</v>
      </c>
      <c r="PEK162" s="367"/>
      <c r="PEL162" s="367"/>
      <c r="PEM162" s="368" t="s">
        <v>168</v>
      </c>
      <c r="PEN162" s="369">
        <v>0.5</v>
      </c>
      <c r="PEO162" s="370" t="e">
        <f>10/PEK160</f>
        <v>#DIV/0!</v>
      </c>
      <c r="PEP162" s="371">
        <v>15.38</v>
      </c>
      <c r="PEQ162" s="371" t="e">
        <f>PEN162*PEO162*PEP162</f>
        <v>#DIV/0!</v>
      </c>
      <c r="PER162" s="367" t="s">
        <v>206</v>
      </c>
      <c r="PES162" s="367"/>
      <c r="PET162" s="367"/>
      <c r="PEU162" s="368" t="s">
        <v>168</v>
      </c>
      <c r="PEV162" s="369">
        <v>0.5</v>
      </c>
      <c r="PEW162" s="370" t="e">
        <f>10/PES160</f>
        <v>#DIV/0!</v>
      </c>
      <c r="PEX162" s="371">
        <v>15.38</v>
      </c>
      <c r="PEY162" s="371" t="e">
        <f>PEV162*PEW162*PEX162</f>
        <v>#DIV/0!</v>
      </c>
      <c r="PEZ162" s="367" t="s">
        <v>206</v>
      </c>
      <c r="PFA162" s="367"/>
      <c r="PFB162" s="367"/>
      <c r="PFC162" s="368" t="s">
        <v>168</v>
      </c>
      <c r="PFD162" s="369">
        <v>0.5</v>
      </c>
      <c r="PFE162" s="370" t="e">
        <f>10/PFA160</f>
        <v>#DIV/0!</v>
      </c>
      <c r="PFF162" s="371">
        <v>15.38</v>
      </c>
      <c r="PFG162" s="371" t="e">
        <f>PFD162*PFE162*PFF162</f>
        <v>#DIV/0!</v>
      </c>
      <c r="PFH162" s="367" t="s">
        <v>206</v>
      </c>
      <c r="PFI162" s="367"/>
      <c r="PFJ162" s="367"/>
      <c r="PFK162" s="368" t="s">
        <v>168</v>
      </c>
      <c r="PFL162" s="369">
        <v>0.5</v>
      </c>
      <c r="PFM162" s="370" t="e">
        <f>10/PFI160</f>
        <v>#DIV/0!</v>
      </c>
      <c r="PFN162" s="371">
        <v>15.38</v>
      </c>
      <c r="PFO162" s="371" t="e">
        <f>PFL162*PFM162*PFN162</f>
        <v>#DIV/0!</v>
      </c>
      <c r="PFP162" s="367" t="s">
        <v>206</v>
      </c>
      <c r="PFQ162" s="367"/>
      <c r="PFR162" s="367"/>
      <c r="PFS162" s="368" t="s">
        <v>168</v>
      </c>
      <c r="PFT162" s="369">
        <v>0.5</v>
      </c>
      <c r="PFU162" s="370" t="e">
        <f>10/PFQ160</f>
        <v>#DIV/0!</v>
      </c>
      <c r="PFV162" s="371">
        <v>15.38</v>
      </c>
      <c r="PFW162" s="371" t="e">
        <f>PFT162*PFU162*PFV162</f>
        <v>#DIV/0!</v>
      </c>
      <c r="PFX162" s="367" t="s">
        <v>206</v>
      </c>
      <c r="PFY162" s="367"/>
      <c r="PFZ162" s="367"/>
      <c r="PGA162" s="368" t="s">
        <v>168</v>
      </c>
      <c r="PGB162" s="369">
        <v>0.5</v>
      </c>
      <c r="PGC162" s="370" t="e">
        <f>10/PFY160</f>
        <v>#DIV/0!</v>
      </c>
      <c r="PGD162" s="371">
        <v>15.38</v>
      </c>
      <c r="PGE162" s="371" t="e">
        <f>PGB162*PGC162*PGD162</f>
        <v>#DIV/0!</v>
      </c>
      <c r="PGF162" s="367" t="s">
        <v>206</v>
      </c>
      <c r="PGG162" s="367"/>
      <c r="PGH162" s="367"/>
      <c r="PGI162" s="368" t="s">
        <v>168</v>
      </c>
      <c r="PGJ162" s="369">
        <v>0.5</v>
      </c>
      <c r="PGK162" s="370" t="e">
        <f>10/PGG160</f>
        <v>#DIV/0!</v>
      </c>
      <c r="PGL162" s="371">
        <v>15.38</v>
      </c>
      <c r="PGM162" s="371" t="e">
        <f>PGJ162*PGK162*PGL162</f>
        <v>#DIV/0!</v>
      </c>
      <c r="PGN162" s="367" t="s">
        <v>206</v>
      </c>
      <c r="PGO162" s="367"/>
      <c r="PGP162" s="367"/>
      <c r="PGQ162" s="368" t="s">
        <v>168</v>
      </c>
      <c r="PGR162" s="369">
        <v>0.5</v>
      </c>
      <c r="PGS162" s="370" t="e">
        <f>10/PGO160</f>
        <v>#DIV/0!</v>
      </c>
      <c r="PGT162" s="371">
        <v>15.38</v>
      </c>
      <c r="PGU162" s="371" t="e">
        <f>PGR162*PGS162*PGT162</f>
        <v>#DIV/0!</v>
      </c>
      <c r="PGV162" s="367" t="s">
        <v>206</v>
      </c>
      <c r="PGW162" s="367"/>
      <c r="PGX162" s="367"/>
      <c r="PGY162" s="368" t="s">
        <v>168</v>
      </c>
      <c r="PGZ162" s="369">
        <v>0.5</v>
      </c>
      <c r="PHA162" s="370" t="e">
        <f>10/PGW160</f>
        <v>#DIV/0!</v>
      </c>
      <c r="PHB162" s="371">
        <v>15.38</v>
      </c>
      <c r="PHC162" s="371" t="e">
        <f>PGZ162*PHA162*PHB162</f>
        <v>#DIV/0!</v>
      </c>
      <c r="PHD162" s="367" t="s">
        <v>206</v>
      </c>
      <c r="PHE162" s="367"/>
      <c r="PHF162" s="367"/>
      <c r="PHG162" s="368" t="s">
        <v>168</v>
      </c>
      <c r="PHH162" s="369">
        <v>0.5</v>
      </c>
      <c r="PHI162" s="370" t="e">
        <f>10/PHE160</f>
        <v>#DIV/0!</v>
      </c>
      <c r="PHJ162" s="371">
        <v>15.38</v>
      </c>
      <c r="PHK162" s="371" t="e">
        <f>PHH162*PHI162*PHJ162</f>
        <v>#DIV/0!</v>
      </c>
      <c r="PHL162" s="367" t="s">
        <v>206</v>
      </c>
      <c r="PHM162" s="367"/>
      <c r="PHN162" s="367"/>
      <c r="PHO162" s="368" t="s">
        <v>168</v>
      </c>
      <c r="PHP162" s="369">
        <v>0.5</v>
      </c>
      <c r="PHQ162" s="370" t="e">
        <f>10/PHM160</f>
        <v>#DIV/0!</v>
      </c>
      <c r="PHR162" s="371">
        <v>15.38</v>
      </c>
      <c r="PHS162" s="371" t="e">
        <f>PHP162*PHQ162*PHR162</f>
        <v>#DIV/0!</v>
      </c>
      <c r="PHT162" s="367" t="s">
        <v>206</v>
      </c>
      <c r="PHU162" s="367"/>
      <c r="PHV162" s="367"/>
      <c r="PHW162" s="368" t="s">
        <v>168</v>
      </c>
      <c r="PHX162" s="369">
        <v>0.5</v>
      </c>
      <c r="PHY162" s="370" t="e">
        <f>10/PHU160</f>
        <v>#DIV/0!</v>
      </c>
      <c r="PHZ162" s="371">
        <v>15.38</v>
      </c>
      <c r="PIA162" s="371" t="e">
        <f>PHX162*PHY162*PHZ162</f>
        <v>#DIV/0!</v>
      </c>
      <c r="PIB162" s="367" t="s">
        <v>206</v>
      </c>
      <c r="PIC162" s="367"/>
      <c r="PID162" s="367"/>
      <c r="PIE162" s="368" t="s">
        <v>168</v>
      </c>
      <c r="PIF162" s="369">
        <v>0.5</v>
      </c>
      <c r="PIG162" s="370" t="e">
        <f>10/PIC160</f>
        <v>#DIV/0!</v>
      </c>
      <c r="PIH162" s="371">
        <v>15.38</v>
      </c>
      <c r="PII162" s="371" t="e">
        <f>PIF162*PIG162*PIH162</f>
        <v>#DIV/0!</v>
      </c>
      <c r="PIJ162" s="367" t="s">
        <v>206</v>
      </c>
      <c r="PIK162" s="367"/>
      <c r="PIL162" s="367"/>
      <c r="PIM162" s="368" t="s">
        <v>168</v>
      </c>
      <c r="PIN162" s="369">
        <v>0.5</v>
      </c>
      <c r="PIO162" s="370" t="e">
        <f>10/PIK160</f>
        <v>#DIV/0!</v>
      </c>
      <c r="PIP162" s="371">
        <v>15.38</v>
      </c>
      <c r="PIQ162" s="371" t="e">
        <f>PIN162*PIO162*PIP162</f>
        <v>#DIV/0!</v>
      </c>
      <c r="PIR162" s="367" t="s">
        <v>206</v>
      </c>
      <c r="PIS162" s="367"/>
      <c r="PIT162" s="367"/>
      <c r="PIU162" s="368" t="s">
        <v>168</v>
      </c>
      <c r="PIV162" s="369">
        <v>0.5</v>
      </c>
      <c r="PIW162" s="370" t="e">
        <f>10/PIS160</f>
        <v>#DIV/0!</v>
      </c>
      <c r="PIX162" s="371">
        <v>15.38</v>
      </c>
      <c r="PIY162" s="371" t="e">
        <f>PIV162*PIW162*PIX162</f>
        <v>#DIV/0!</v>
      </c>
      <c r="PIZ162" s="367" t="s">
        <v>206</v>
      </c>
      <c r="PJA162" s="367"/>
      <c r="PJB162" s="367"/>
      <c r="PJC162" s="368" t="s">
        <v>168</v>
      </c>
      <c r="PJD162" s="369">
        <v>0.5</v>
      </c>
      <c r="PJE162" s="370" t="e">
        <f>10/PJA160</f>
        <v>#DIV/0!</v>
      </c>
      <c r="PJF162" s="371">
        <v>15.38</v>
      </c>
      <c r="PJG162" s="371" t="e">
        <f>PJD162*PJE162*PJF162</f>
        <v>#DIV/0!</v>
      </c>
      <c r="PJH162" s="367" t="s">
        <v>206</v>
      </c>
      <c r="PJI162" s="367"/>
      <c r="PJJ162" s="367"/>
      <c r="PJK162" s="368" t="s">
        <v>168</v>
      </c>
      <c r="PJL162" s="369">
        <v>0.5</v>
      </c>
      <c r="PJM162" s="370" t="e">
        <f>10/PJI160</f>
        <v>#DIV/0!</v>
      </c>
      <c r="PJN162" s="371">
        <v>15.38</v>
      </c>
      <c r="PJO162" s="371" t="e">
        <f>PJL162*PJM162*PJN162</f>
        <v>#DIV/0!</v>
      </c>
      <c r="PJP162" s="367" t="s">
        <v>206</v>
      </c>
      <c r="PJQ162" s="367"/>
      <c r="PJR162" s="367"/>
      <c r="PJS162" s="368" t="s">
        <v>168</v>
      </c>
      <c r="PJT162" s="369">
        <v>0.5</v>
      </c>
      <c r="PJU162" s="370" t="e">
        <f>10/PJQ160</f>
        <v>#DIV/0!</v>
      </c>
      <c r="PJV162" s="371">
        <v>15.38</v>
      </c>
      <c r="PJW162" s="371" t="e">
        <f>PJT162*PJU162*PJV162</f>
        <v>#DIV/0!</v>
      </c>
      <c r="PJX162" s="367" t="s">
        <v>206</v>
      </c>
      <c r="PJY162" s="367"/>
      <c r="PJZ162" s="367"/>
      <c r="PKA162" s="368" t="s">
        <v>168</v>
      </c>
      <c r="PKB162" s="369">
        <v>0.5</v>
      </c>
      <c r="PKC162" s="370" t="e">
        <f>10/PJY160</f>
        <v>#DIV/0!</v>
      </c>
      <c r="PKD162" s="371">
        <v>15.38</v>
      </c>
      <c r="PKE162" s="371" t="e">
        <f>PKB162*PKC162*PKD162</f>
        <v>#DIV/0!</v>
      </c>
      <c r="PKF162" s="367" t="s">
        <v>206</v>
      </c>
      <c r="PKG162" s="367"/>
      <c r="PKH162" s="367"/>
      <c r="PKI162" s="368" t="s">
        <v>168</v>
      </c>
      <c r="PKJ162" s="369">
        <v>0.5</v>
      </c>
      <c r="PKK162" s="370" t="e">
        <f>10/PKG160</f>
        <v>#DIV/0!</v>
      </c>
      <c r="PKL162" s="371">
        <v>15.38</v>
      </c>
      <c r="PKM162" s="371" t="e">
        <f>PKJ162*PKK162*PKL162</f>
        <v>#DIV/0!</v>
      </c>
      <c r="PKN162" s="367" t="s">
        <v>206</v>
      </c>
      <c r="PKO162" s="367"/>
      <c r="PKP162" s="367"/>
      <c r="PKQ162" s="368" t="s">
        <v>168</v>
      </c>
      <c r="PKR162" s="369">
        <v>0.5</v>
      </c>
      <c r="PKS162" s="370" t="e">
        <f>10/PKO160</f>
        <v>#DIV/0!</v>
      </c>
      <c r="PKT162" s="371">
        <v>15.38</v>
      </c>
      <c r="PKU162" s="371" t="e">
        <f>PKR162*PKS162*PKT162</f>
        <v>#DIV/0!</v>
      </c>
      <c r="PKV162" s="367" t="s">
        <v>206</v>
      </c>
      <c r="PKW162" s="367"/>
      <c r="PKX162" s="367"/>
      <c r="PKY162" s="368" t="s">
        <v>168</v>
      </c>
      <c r="PKZ162" s="369">
        <v>0.5</v>
      </c>
      <c r="PLA162" s="370" t="e">
        <f>10/PKW160</f>
        <v>#DIV/0!</v>
      </c>
      <c r="PLB162" s="371">
        <v>15.38</v>
      </c>
      <c r="PLC162" s="371" t="e">
        <f>PKZ162*PLA162*PLB162</f>
        <v>#DIV/0!</v>
      </c>
      <c r="PLD162" s="367" t="s">
        <v>206</v>
      </c>
      <c r="PLE162" s="367"/>
      <c r="PLF162" s="367"/>
      <c r="PLG162" s="368" t="s">
        <v>168</v>
      </c>
      <c r="PLH162" s="369">
        <v>0.5</v>
      </c>
      <c r="PLI162" s="370" t="e">
        <f>10/PLE160</f>
        <v>#DIV/0!</v>
      </c>
      <c r="PLJ162" s="371">
        <v>15.38</v>
      </c>
      <c r="PLK162" s="371" t="e">
        <f>PLH162*PLI162*PLJ162</f>
        <v>#DIV/0!</v>
      </c>
      <c r="PLL162" s="367" t="s">
        <v>206</v>
      </c>
      <c r="PLM162" s="367"/>
      <c r="PLN162" s="367"/>
      <c r="PLO162" s="368" t="s">
        <v>168</v>
      </c>
      <c r="PLP162" s="369">
        <v>0.5</v>
      </c>
      <c r="PLQ162" s="370" t="e">
        <f>10/PLM160</f>
        <v>#DIV/0!</v>
      </c>
      <c r="PLR162" s="371">
        <v>15.38</v>
      </c>
      <c r="PLS162" s="371" t="e">
        <f>PLP162*PLQ162*PLR162</f>
        <v>#DIV/0!</v>
      </c>
      <c r="PLT162" s="367" t="s">
        <v>206</v>
      </c>
      <c r="PLU162" s="367"/>
      <c r="PLV162" s="367"/>
      <c r="PLW162" s="368" t="s">
        <v>168</v>
      </c>
      <c r="PLX162" s="369">
        <v>0.5</v>
      </c>
      <c r="PLY162" s="370" t="e">
        <f>10/PLU160</f>
        <v>#DIV/0!</v>
      </c>
      <c r="PLZ162" s="371">
        <v>15.38</v>
      </c>
      <c r="PMA162" s="371" t="e">
        <f>PLX162*PLY162*PLZ162</f>
        <v>#DIV/0!</v>
      </c>
      <c r="PMB162" s="367" t="s">
        <v>206</v>
      </c>
      <c r="PMC162" s="367"/>
      <c r="PMD162" s="367"/>
      <c r="PME162" s="368" t="s">
        <v>168</v>
      </c>
      <c r="PMF162" s="369">
        <v>0.5</v>
      </c>
      <c r="PMG162" s="370" t="e">
        <f>10/PMC160</f>
        <v>#DIV/0!</v>
      </c>
      <c r="PMH162" s="371">
        <v>15.38</v>
      </c>
      <c r="PMI162" s="371" t="e">
        <f>PMF162*PMG162*PMH162</f>
        <v>#DIV/0!</v>
      </c>
      <c r="PMJ162" s="367" t="s">
        <v>206</v>
      </c>
      <c r="PMK162" s="367"/>
      <c r="PML162" s="367"/>
      <c r="PMM162" s="368" t="s">
        <v>168</v>
      </c>
      <c r="PMN162" s="369">
        <v>0.5</v>
      </c>
      <c r="PMO162" s="370" t="e">
        <f>10/PMK160</f>
        <v>#DIV/0!</v>
      </c>
      <c r="PMP162" s="371">
        <v>15.38</v>
      </c>
      <c r="PMQ162" s="371" t="e">
        <f>PMN162*PMO162*PMP162</f>
        <v>#DIV/0!</v>
      </c>
      <c r="PMR162" s="367" t="s">
        <v>206</v>
      </c>
      <c r="PMS162" s="367"/>
      <c r="PMT162" s="367"/>
      <c r="PMU162" s="368" t="s">
        <v>168</v>
      </c>
      <c r="PMV162" s="369">
        <v>0.5</v>
      </c>
      <c r="PMW162" s="370" t="e">
        <f>10/PMS160</f>
        <v>#DIV/0!</v>
      </c>
      <c r="PMX162" s="371">
        <v>15.38</v>
      </c>
      <c r="PMY162" s="371" t="e">
        <f>PMV162*PMW162*PMX162</f>
        <v>#DIV/0!</v>
      </c>
      <c r="PMZ162" s="367" t="s">
        <v>206</v>
      </c>
      <c r="PNA162" s="367"/>
      <c r="PNB162" s="367"/>
      <c r="PNC162" s="368" t="s">
        <v>168</v>
      </c>
      <c r="PND162" s="369">
        <v>0.5</v>
      </c>
      <c r="PNE162" s="370" t="e">
        <f>10/PNA160</f>
        <v>#DIV/0!</v>
      </c>
      <c r="PNF162" s="371">
        <v>15.38</v>
      </c>
      <c r="PNG162" s="371" t="e">
        <f>PND162*PNE162*PNF162</f>
        <v>#DIV/0!</v>
      </c>
      <c r="PNH162" s="367" t="s">
        <v>206</v>
      </c>
      <c r="PNI162" s="367"/>
      <c r="PNJ162" s="367"/>
      <c r="PNK162" s="368" t="s">
        <v>168</v>
      </c>
      <c r="PNL162" s="369">
        <v>0.5</v>
      </c>
      <c r="PNM162" s="370" t="e">
        <f>10/PNI160</f>
        <v>#DIV/0!</v>
      </c>
      <c r="PNN162" s="371">
        <v>15.38</v>
      </c>
      <c r="PNO162" s="371" t="e">
        <f>PNL162*PNM162*PNN162</f>
        <v>#DIV/0!</v>
      </c>
      <c r="PNP162" s="367" t="s">
        <v>206</v>
      </c>
      <c r="PNQ162" s="367"/>
      <c r="PNR162" s="367"/>
      <c r="PNS162" s="368" t="s">
        <v>168</v>
      </c>
      <c r="PNT162" s="369">
        <v>0.5</v>
      </c>
      <c r="PNU162" s="370" t="e">
        <f>10/PNQ160</f>
        <v>#DIV/0!</v>
      </c>
      <c r="PNV162" s="371">
        <v>15.38</v>
      </c>
      <c r="PNW162" s="371" t="e">
        <f>PNT162*PNU162*PNV162</f>
        <v>#DIV/0!</v>
      </c>
      <c r="PNX162" s="367" t="s">
        <v>206</v>
      </c>
      <c r="PNY162" s="367"/>
      <c r="PNZ162" s="367"/>
      <c r="POA162" s="368" t="s">
        <v>168</v>
      </c>
      <c r="POB162" s="369">
        <v>0.5</v>
      </c>
      <c r="POC162" s="370" t="e">
        <f>10/PNY160</f>
        <v>#DIV/0!</v>
      </c>
      <c r="POD162" s="371">
        <v>15.38</v>
      </c>
      <c r="POE162" s="371" t="e">
        <f>POB162*POC162*POD162</f>
        <v>#DIV/0!</v>
      </c>
      <c r="POF162" s="367" t="s">
        <v>206</v>
      </c>
      <c r="POG162" s="367"/>
      <c r="POH162" s="367"/>
      <c r="POI162" s="368" t="s">
        <v>168</v>
      </c>
      <c r="POJ162" s="369">
        <v>0.5</v>
      </c>
      <c r="POK162" s="370" t="e">
        <f>10/POG160</f>
        <v>#DIV/0!</v>
      </c>
      <c r="POL162" s="371">
        <v>15.38</v>
      </c>
      <c r="POM162" s="371" t="e">
        <f>POJ162*POK162*POL162</f>
        <v>#DIV/0!</v>
      </c>
      <c r="PON162" s="367" t="s">
        <v>206</v>
      </c>
      <c r="POO162" s="367"/>
      <c r="POP162" s="367"/>
      <c r="POQ162" s="368" t="s">
        <v>168</v>
      </c>
      <c r="POR162" s="369">
        <v>0.5</v>
      </c>
      <c r="POS162" s="370" t="e">
        <f>10/POO160</f>
        <v>#DIV/0!</v>
      </c>
      <c r="POT162" s="371">
        <v>15.38</v>
      </c>
      <c r="POU162" s="371" t="e">
        <f>POR162*POS162*POT162</f>
        <v>#DIV/0!</v>
      </c>
      <c r="POV162" s="367" t="s">
        <v>206</v>
      </c>
      <c r="POW162" s="367"/>
      <c r="POX162" s="367"/>
      <c r="POY162" s="368" t="s">
        <v>168</v>
      </c>
      <c r="POZ162" s="369">
        <v>0.5</v>
      </c>
      <c r="PPA162" s="370" t="e">
        <f>10/POW160</f>
        <v>#DIV/0!</v>
      </c>
      <c r="PPB162" s="371">
        <v>15.38</v>
      </c>
      <c r="PPC162" s="371" t="e">
        <f>POZ162*PPA162*PPB162</f>
        <v>#DIV/0!</v>
      </c>
      <c r="PPD162" s="367" t="s">
        <v>206</v>
      </c>
      <c r="PPE162" s="367"/>
      <c r="PPF162" s="367"/>
      <c r="PPG162" s="368" t="s">
        <v>168</v>
      </c>
      <c r="PPH162" s="369">
        <v>0.5</v>
      </c>
      <c r="PPI162" s="370" t="e">
        <f>10/PPE160</f>
        <v>#DIV/0!</v>
      </c>
      <c r="PPJ162" s="371">
        <v>15.38</v>
      </c>
      <c r="PPK162" s="371" t="e">
        <f>PPH162*PPI162*PPJ162</f>
        <v>#DIV/0!</v>
      </c>
      <c r="PPL162" s="367" t="s">
        <v>206</v>
      </c>
      <c r="PPM162" s="367"/>
      <c r="PPN162" s="367"/>
      <c r="PPO162" s="368" t="s">
        <v>168</v>
      </c>
      <c r="PPP162" s="369">
        <v>0.5</v>
      </c>
      <c r="PPQ162" s="370" t="e">
        <f>10/PPM160</f>
        <v>#DIV/0!</v>
      </c>
      <c r="PPR162" s="371">
        <v>15.38</v>
      </c>
      <c r="PPS162" s="371" t="e">
        <f>PPP162*PPQ162*PPR162</f>
        <v>#DIV/0!</v>
      </c>
      <c r="PPT162" s="367" t="s">
        <v>206</v>
      </c>
      <c r="PPU162" s="367"/>
      <c r="PPV162" s="367"/>
      <c r="PPW162" s="368" t="s">
        <v>168</v>
      </c>
      <c r="PPX162" s="369">
        <v>0.5</v>
      </c>
      <c r="PPY162" s="370" t="e">
        <f>10/PPU160</f>
        <v>#DIV/0!</v>
      </c>
      <c r="PPZ162" s="371">
        <v>15.38</v>
      </c>
      <c r="PQA162" s="371" t="e">
        <f>PPX162*PPY162*PPZ162</f>
        <v>#DIV/0!</v>
      </c>
      <c r="PQB162" s="367" t="s">
        <v>206</v>
      </c>
      <c r="PQC162" s="367"/>
      <c r="PQD162" s="367"/>
      <c r="PQE162" s="368" t="s">
        <v>168</v>
      </c>
      <c r="PQF162" s="369">
        <v>0.5</v>
      </c>
      <c r="PQG162" s="370" t="e">
        <f>10/PQC160</f>
        <v>#DIV/0!</v>
      </c>
      <c r="PQH162" s="371">
        <v>15.38</v>
      </c>
      <c r="PQI162" s="371" t="e">
        <f>PQF162*PQG162*PQH162</f>
        <v>#DIV/0!</v>
      </c>
      <c r="PQJ162" s="367" t="s">
        <v>206</v>
      </c>
      <c r="PQK162" s="367"/>
      <c r="PQL162" s="367"/>
      <c r="PQM162" s="368" t="s">
        <v>168</v>
      </c>
      <c r="PQN162" s="369">
        <v>0.5</v>
      </c>
      <c r="PQO162" s="370" t="e">
        <f>10/PQK160</f>
        <v>#DIV/0!</v>
      </c>
      <c r="PQP162" s="371">
        <v>15.38</v>
      </c>
      <c r="PQQ162" s="371" t="e">
        <f>PQN162*PQO162*PQP162</f>
        <v>#DIV/0!</v>
      </c>
      <c r="PQR162" s="367" t="s">
        <v>206</v>
      </c>
      <c r="PQS162" s="367"/>
      <c r="PQT162" s="367"/>
      <c r="PQU162" s="368" t="s">
        <v>168</v>
      </c>
      <c r="PQV162" s="369">
        <v>0.5</v>
      </c>
      <c r="PQW162" s="370" t="e">
        <f>10/PQS160</f>
        <v>#DIV/0!</v>
      </c>
      <c r="PQX162" s="371">
        <v>15.38</v>
      </c>
      <c r="PQY162" s="371" t="e">
        <f>PQV162*PQW162*PQX162</f>
        <v>#DIV/0!</v>
      </c>
      <c r="PQZ162" s="367" t="s">
        <v>206</v>
      </c>
      <c r="PRA162" s="367"/>
      <c r="PRB162" s="367"/>
      <c r="PRC162" s="368" t="s">
        <v>168</v>
      </c>
      <c r="PRD162" s="369">
        <v>0.5</v>
      </c>
      <c r="PRE162" s="370" t="e">
        <f>10/PRA160</f>
        <v>#DIV/0!</v>
      </c>
      <c r="PRF162" s="371">
        <v>15.38</v>
      </c>
      <c r="PRG162" s="371" t="e">
        <f>PRD162*PRE162*PRF162</f>
        <v>#DIV/0!</v>
      </c>
      <c r="PRH162" s="367" t="s">
        <v>206</v>
      </c>
      <c r="PRI162" s="367"/>
      <c r="PRJ162" s="367"/>
      <c r="PRK162" s="368" t="s">
        <v>168</v>
      </c>
      <c r="PRL162" s="369">
        <v>0.5</v>
      </c>
      <c r="PRM162" s="370" t="e">
        <f>10/PRI160</f>
        <v>#DIV/0!</v>
      </c>
      <c r="PRN162" s="371">
        <v>15.38</v>
      </c>
      <c r="PRO162" s="371" t="e">
        <f>PRL162*PRM162*PRN162</f>
        <v>#DIV/0!</v>
      </c>
      <c r="PRP162" s="367" t="s">
        <v>206</v>
      </c>
      <c r="PRQ162" s="367"/>
      <c r="PRR162" s="367"/>
      <c r="PRS162" s="368" t="s">
        <v>168</v>
      </c>
      <c r="PRT162" s="369">
        <v>0.5</v>
      </c>
      <c r="PRU162" s="370" t="e">
        <f>10/PRQ160</f>
        <v>#DIV/0!</v>
      </c>
      <c r="PRV162" s="371">
        <v>15.38</v>
      </c>
      <c r="PRW162" s="371" t="e">
        <f>PRT162*PRU162*PRV162</f>
        <v>#DIV/0!</v>
      </c>
      <c r="PRX162" s="367" t="s">
        <v>206</v>
      </c>
      <c r="PRY162" s="367"/>
      <c r="PRZ162" s="367"/>
      <c r="PSA162" s="368" t="s">
        <v>168</v>
      </c>
      <c r="PSB162" s="369">
        <v>0.5</v>
      </c>
      <c r="PSC162" s="370" t="e">
        <f>10/PRY160</f>
        <v>#DIV/0!</v>
      </c>
      <c r="PSD162" s="371">
        <v>15.38</v>
      </c>
      <c r="PSE162" s="371" t="e">
        <f>PSB162*PSC162*PSD162</f>
        <v>#DIV/0!</v>
      </c>
      <c r="PSF162" s="367" t="s">
        <v>206</v>
      </c>
      <c r="PSG162" s="367"/>
      <c r="PSH162" s="367"/>
      <c r="PSI162" s="368" t="s">
        <v>168</v>
      </c>
      <c r="PSJ162" s="369">
        <v>0.5</v>
      </c>
      <c r="PSK162" s="370" t="e">
        <f>10/PSG160</f>
        <v>#DIV/0!</v>
      </c>
      <c r="PSL162" s="371">
        <v>15.38</v>
      </c>
      <c r="PSM162" s="371" t="e">
        <f>PSJ162*PSK162*PSL162</f>
        <v>#DIV/0!</v>
      </c>
      <c r="PSN162" s="367" t="s">
        <v>206</v>
      </c>
      <c r="PSO162" s="367"/>
      <c r="PSP162" s="367"/>
      <c r="PSQ162" s="368" t="s">
        <v>168</v>
      </c>
      <c r="PSR162" s="369">
        <v>0.5</v>
      </c>
      <c r="PSS162" s="370" t="e">
        <f>10/PSO160</f>
        <v>#DIV/0!</v>
      </c>
      <c r="PST162" s="371">
        <v>15.38</v>
      </c>
      <c r="PSU162" s="371" t="e">
        <f>PSR162*PSS162*PST162</f>
        <v>#DIV/0!</v>
      </c>
      <c r="PSV162" s="367" t="s">
        <v>206</v>
      </c>
      <c r="PSW162" s="367"/>
      <c r="PSX162" s="367"/>
      <c r="PSY162" s="368" t="s">
        <v>168</v>
      </c>
      <c r="PSZ162" s="369">
        <v>0.5</v>
      </c>
      <c r="PTA162" s="370" t="e">
        <f>10/PSW160</f>
        <v>#DIV/0!</v>
      </c>
      <c r="PTB162" s="371">
        <v>15.38</v>
      </c>
      <c r="PTC162" s="371" t="e">
        <f>PSZ162*PTA162*PTB162</f>
        <v>#DIV/0!</v>
      </c>
      <c r="PTD162" s="367" t="s">
        <v>206</v>
      </c>
      <c r="PTE162" s="367"/>
      <c r="PTF162" s="367"/>
      <c r="PTG162" s="368" t="s">
        <v>168</v>
      </c>
      <c r="PTH162" s="369">
        <v>0.5</v>
      </c>
      <c r="PTI162" s="370" t="e">
        <f>10/PTE160</f>
        <v>#DIV/0!</v>
      </c>
      <c r="PTJ162" s="371">
        <v>15.38</v>
      </c>
      <c r="PTK162" s="371" t="e">
        <f>PTH162*PTI162*PTJ162</f>
        <v>#DIV/0!</v>
      </c>
      <c r="PTL162" s="367" t="s">
        <v>206</v>
      </c>
      <c r="PTM162" s="367"/>
      <c r="PTN162" s="367"/>
      <c r="PTO162" s="368" t="s">
        <v>168</v>
      </c>
      <c r="PTP162" s="369">
        <v>0.5</v>
      </c>
      <c r="PTQ162" s="370" t="e">
        <f>10/PTM160</f>
        <v>#DIV/0!</v>
      </c>
      <c r="PTR162" s="371">
        <v>15.38</v>
      </c>
      <c r="PTS162" s="371" t="e">
        <f>PTP162*PTQ162*PTR162</f>
        <v>#DIV/0!</v>
      </c>
      <c r="PTT162" s="367" t="s">
        <v>206</v>
      </c>
      <c r="PTU162" s="367"/>
      <c r="PTV162" s="367"/>
      <c r="PTW162" s="368" t="s">
        <v>168</v>
      </c>
      <c r="PTX162" s="369">
        <v>0.5</v>
      </c>
      <c r="PTY162" s="370" t="e">
        <f>10/PTU160</f>
        <v>#DIV/0!</v>
      </c>
      <c r="PTZ162" s="371">
        <v>15.38</v>
      </c>
      <c r="PUA162" s="371" t="e">
        <f>PTX162*PTY162*PTZ162</f>
        <v>#DIV/0!</v>
      </c>
      <c r="PUB162" s="367" t="s">
        <v>206</v>
      </c>
      <c r="PUC162" s="367"/>
      <c r="PUD162" s="367"/>
      <c r="PUE162" s="368" t="s">
        <v>168</v>
      </c>
      <c r="PUF162" s="369">
        <v>0.5</v>
      </c>
      <c r="PUG162" s="370" t="e">
        <f>10/PUC160</f>
        <v>#DIV/0!</v>
      </c>
      <c r="PUH162" s="371">
        <v>15.38</v>
      </c>
      <c r="PUI162" s="371" t="e">
        <f>PUF162*PUG162*PUH162</f>
        <v>#DIV/0!</v>
      </c>
      <c r="PUJ162" s="367" t="s">
        <v>206</v>
      </c>
      <c r="PUK162" s="367"/>
      <c r="PUL162" s="367"/>
      <c r="PUM162" s="368" t="s">
        <v>168</v>
      </c>
      <c r="PUN162" s="369">
        <v>0.5</v>
      </c>
      <c r="PUO162" s="370" t="e">
        <f>10/PUK160</f>
        <v>#DIV/0!</v>
      </c>
      <c r="PUP162" s="371">
        <v>15.38</v>
      </c>
      <c r="PUQ162" s="371" t="e">
        <f>PUN162*PUO162*PUP162</f>
        <v>#DIV/0!</v>
      </c>
      <c r="PUR162" s="367" t="s">
        <v>206</v>
      </c>
      <c r="PUS162" s="367"/>
      <c r="PUT162" s="367"/>
      <c r="PUU162" s="368" t="s">
        <v>168</v>
      </c>
      <c r="PUV162" s="369">
        <v>0.5</v>
      </c>
      <c r="PUW162" s="370" t="e">
        <f>10/PUS160</f>
        <v>#DIV/0!</v>
      </c>
      <c r="PUX162" s="371">
        <v>15.38</v>
      </c>
      <c r="PUY162" s="371" t="e">
        <f>PUV162*PUW162*PUX162</f>
        <v>#DIV/0!</v>
      </c>
      <c r="PUZ162" s="367" t="s">
        <v>206</v>
      </c>
      <c r="PVA162" s="367"/>
      <c r="PVB162" s="367"/>
      <c r="PVC162" s="368" t="s">
        <v>168</v>
      </c>
      <c r="PVD162" s="369">
        <v>0.5</v>
      </c>
      <c r="PVE162" s="370" t="e">
        <f>10/PVA160</f>
        <v>#DIV/0!</v>
      </c>
      <c r="PVF162" s="371">
        <v>15.38</v>
      </c>
      <c r="PVG162" s="371" t="e">
        <f>PVD162*PVE162*PVF162</f>
        <v>#DIV/0!</v>
      </c>
      <c r="PVH162" s="367" t="s">
        <v>206</v>
      </c>
      <c r="PVI162" s="367"/>
      <c r="PVJ162" s="367"/>
      <c r="PVK162" s="368" t="s">
        <v>168</v>
      </c>
      <c r="PVL162" s="369">
        <v>0.5</v>
      </c>
      <c r="PVM162" s="370" t="e">
        <f>10/PVI160</f>
        <v>#DIV/0!</v>
      </c>
      <c r="PVN162" s="371">
        <v>15.38</v>
      </c>
      <c r="PVO162" s="371" t="e">
        <f>PVL162*PVM162*PVN162</f>
        <v>#DIV/0!</v>
      </c>
      <c r="PVP162" s="367" t="s">
        <v>206</v>
      </c>
      <c r="PVQ162" s="367"/>
      <c r="PVR162" s="367"/>
      <c r="PVS162" s="368" t="s">
        <v>168</v>
      </c>
      <c r="PVT162" s="369">
        <v>0.5</v>
      </c>
      <c r="PVU162" s="370" t="e">
        <f>10/PVQ160</f>
        <v>#DIV/0!</v>
      </c>
      <c r="PVV162" s="371">
        <v>15.38</v>
      </c>
      <c r="PVW162" s="371" t="e">
        <f>PVT162*PVU162*PVV162</f>
        <v>#DIV/0!</v>
      </c>
      <c r="PVX162" s="367" t="s">
        <v>206</v>
      </c>
      <c r="PVY162" s="367"/>
      <c r="PVZ162" s="367"/>
      <c r="PWA162" s="368" t="s">
        <v>168</v>
      </c>
      <c r="PWB162" s="369">
        <v>0.5</v>
      </c>
      <c r="PWC162" s="370" t="e">
        <f>10/PVY160</f>
        <v>#DIV/0!</v>
      </c>
      <c r="PWD162" s="371">
        <v>15.38</v>
      </c>
      <c r="PWE162" s="371" t="e">
        <f>PWB162*PWC162*PWD162</f>
        <v>#DIV/0!</v>
      </c>
      <c r="PWF162" s="367" t="s">
        <v>206</v>
      </c>
      <c r="PWG162" s="367"/>
      <c r="PWH162" s="367"/>
      <c r="PWI162" s="368" t="s">
        <v>168</v>
      </c>
      <c r="PWJ162" s="369">
        <v>0.5</v>
      </c>
      <c r="PWK162" s="370" t="e">
        <f>10/PWG160</f>
        <v>#DIV/0!</v>
      </c>
      <c r="PWL162" s="371">
        <v>15.38</v>
      </c>
      <c r="PWM162" s="371" t="e">
        <f>PWJ162*PWK162*PWL162</f>
        <v>#DIV/0!</v>
      </c>
      <c r="PWN162" s="367" t="s">
        <v>206</v>
      </c>
      <c r="PWO162" s="367"/>
      <c r="PWP162" s="367"/>
      <c r="PWQ162" s="368" t="s">
        <v>168</v>
      </c>
      <c r="PWR162" s="369">
        <v>0.5</v>
      </c>
      <c r="PWS162" s="370" t="e">
        <f>10/PWO160</f>
        <v>#DIV/0!</v>
      </c>
      <c r="PWT162" s="371">
        <v>15.38</v>
      </c>
      <c r="PWU162" s="371" t="e">
        <f>PWR162*PWS162*PWT162</f>
        <v>#DIV/0!</v>
      </c>
      <c r="PWV162" s="367" t="s">
        <v>206</v>
      </c>
      <c r="PWW162" s="367"/>
      <c r="PWX162" s="367"/>
      <c r="PWY162" s="368" t="s">
        <v>168</v>
      </c>
      <c r="PWZ162" s="369">
        <v>0.5</v>
      </c>
      <c r="PXA162" s="370" t="e">
        <f>10/PWW160</f>
        <v>#DIV/0!</v>
      </c>
      <c r="PXB162" s="371">
        <v>15.38</v>
      </c>
      <c r="PXC162" s="371" t="e">
        <f>PWZ162*PXA162*PXB162</f>
        <v>#DIV/0!</v>
      </c>
      <c r="PXD162" s="367" t="s">
        <v>206</v>
      </c>
      <c r="PXE162" s="367"/>
      <c r="PXF162" s="367"/>
      <c r="PXG162" s="368" t="s">
        <v>168</v>
      </c>
      <c r="PXH162" s="369">
        <v>0.5</v>
      </c>
      <c r="PXI162" s="370" t="e">
        <f>10/PXE160</f>
        <v>#DIV/0!</v>
      </c>
      <c r="PXJ162" s="371">
        <v>15.38</v>
      </c>
      <c r="PXK162" s="371" t="e">
        <f>PXH162*PXI162*PXJ162</f>
        <v>#DIV/0!</v>
      </c>
      <c r="PXL162" s="367" t="s">
        <v>206</v>
      </c>
      <c r="PXM162" s="367"/>
      <c r="PXN162" s="367"/>
      <c r="PXO162" s="368" t="s">
        <v>168</v>
      </c>
      <c r="PXP162" s="369">
        <v>0.5</v>
      </c>
      <c r="PXQ162" s="370" t="e">
        <f>10/PXM160</f>
        <v>#DIV/0!</v>
      </c>
      <c r="PXR162" s="371">
        <v>15.38</v>
      </c>
      <c r="PXS162" s="371" t="e">
        <f>PXP162*PXQ162*PXR162</f>
        <v>#DIV/0!</v>
      </c>
      <c r="PXT162" s="367" t="s">
        <v>206</v>
      </c>
      <c r="PXU162" s="367"/>
      <c r="PXV162" s="367"/>
      <c r="PXW162" s="368" t="s">
        <v>168</v>
      </c>
      <c r="PXX162" s="369">
        <v>0.5</v>
      </c>
      <c r="PXY162" s="370" t="e">
        <f>10/PXU160</f>
        <v>#DIV/0!</v>
      </c>
      <c r="PXZ162" s="371">
        <v>15.38</v>
      </c>
      <c r="PYA162" s="371" t="e">
        <f>PXX162*PXY162*PXZ162</f>
        <v>#DIV/0!</v>
      </c>
      <c r="PYB162" s="367" t="s">
        <v>206</v>
      </c>
      <c r="PYC162" s="367"/>
      <c r="PYD162" s="367"/>
      <c r="PYE162" s="368" t="s">
        <v>168</v>
      </c>
      <c r="PYF162" s="369">
        <v>0.5</v>
      </c>
      <c r="PYG162" s="370" t="e">
        <f>10/PYC160</f>
        <v>#DIV/0!</v>
      </c>
      <c r="PYH162" s="371">
        <v>15.38</v>
      </c>
      <c r="PYI162" s="371" t="e">
        <f>PYF162*PYG162*PYH162</f>
        <v>#DIV/0!</v>
      </c>
      <c r="PYJ162" s="367" t="s">
        <v>206</v>
      </c>
      <c r="PYK162" s="367"/>
      <c r="PYL162" s="367"/>
      <c r="PYM162" s="368" t="s">
        <v>168</v>
      </c>
      <c r="PYN162" s="369">
        <v>0.5</v>
      </c>
      <c r="PYO162" s="370" t="e">
        <f>10/PYK160</f>
        <v>#DIV/0!</v>
      </c>
      <c r="PYP162" s="371">
        <v>15.38</v>
      </c>
      <c r="PYQ162" s="371" t="e">
        <f>PYN162*PYO162*PYP162</f>
        <v>#DIV/0!</v>
      </c>
      <c r="PYR162" s="367" t="s">
        <v>206</v>
      </c>
      <c r="PYS162" s="367"/>
      <c r="PYT162" s="367"/>
      <c r="PYU162" s="368" t="s">
        <v>168</v>
      </c>
      <c r="PYV162" s="369">
        <v>0.5</v>
      </c>
      <c r="PYW162" s="370" t="e">
        <f>10/PYS160</f>
        <v>#DIV/0!</v>
      </c>
      <c r="PYX162" s="371">
        <v>15.38</v>
      </c>
      <c r="PYY162" s="371" t="e">
        <f>PYV162*PYW162*PYX162</f>
        <v>#DIV/0!</v>
      </c>
      <c r="PYZ162" s="367" t="s">
        <v>206</v>
      </c>
      <c r="PZA162" s="367"/>
      <c r="PZB162" s="367"/>
      <c r="PZC162" s="368" t="s">
        <v>168</v>
      </c>
      <c r="PZD162" s="369">
        <v>0.5</v>
      </c>
      <c r="PZE162" s="370" t="e">
        <f>10/PZA160</f>
        <v>#DIV/0!</v>
      </c>
      <c r="PZF162" s="371">
        <v>15.38</v>
      </c>
      <c r="PZG162" s="371" t="e">
        <f>PZD162*PZE162*PZF162</f>
        <v>#DIV/0!</v>
      </c>
      <c r="PZH162" s="367" t="s">
        <v>206</v>
      </c>
      <c r="PZI162" s="367"/>
      <c r="PZJ162" s="367"/>
      <c r="PZK162" s="368" t="s">
        <v>168</v>
      </c>
      <c r="PZL162" s="369">
        <v>0.5</v>
      </c>
      <c r="PZM162" s="370" t="e">
        <f>10/PZI160</f>
        <v>#DIV/0!</v>
      </c>
      <c r="PZN162" s="371">
        <v>15.38</v>
      </c>
      <c r="PZO162" s="371" t="e">
        <f>PZL162*PZM162*PZN162</f>
        <v>#DIV/0!</v>
      </c>
      <c r="PZP162" s="367" t="s">
        <v>206</v>
      </c>
      <c r="PZQ162" s="367"/>
      <c r="PZR162" s="367"/>
      <c r="PZS162" s="368" t="s">
        <v>168</v>
      </c>
      <c r="PZT162" s="369">
        <v>0.5</v>
      </c>
      <c r="PZU162" s="370" t="e">
        <f>10/PZQ160</f>
        <v>#DIV/0!</v>
      </c>
      <c r="PZV162" s="371">
        <v>15.38</v>
      </c>
      <c r="PZW162" s="371" t="e">
        <f>PZT162*PZU162*PZV162</f>
        <v>#DIV/0!</v>
      </c>
      <c r="PZX162" s="367" t="s">
        <v>206</v>
      </c>
      <c r="PZY162" s="367"/>
      <c r="PZZ162" s="367"/>
      <c r="QAA162" s="368" t="s">
        <v>168</v>
      </c>
      <c r="QAB162" s="369">
        <v>0.5</v>
      </c>
      <c r="QAC162" s="370" t="e">
        <f>10/PZY160</f>
        <v>#DIV/0!</v>
      </c>
      <c r="QAD162" s="371">
        <v>15.38</v>
      </c>
      <c r="QAE162" s="371" t="e">
        <f>QAB162*QAC162*QAD162</f>
        <v>#DIV/0!</v>
      </c>
      <c r="QAF162" s="367" t="s">
        <v>206</v>
      </c>
      <c r="QAG162" s="367"/>
      <c r="QAH162" s="367"/>
      <c r="QAI162" s="368" t="s">
        <v>168</v>
      </c>
      <c r="QAJ162" s="369">
        <v>0.5</v>
      </c>
      <c r="QAK162" s="370" t="e">
        <f>10/QAG160</f>
        <v>#DIV/0!</v>
      </c>
      <c r="QAL162" s="371">
        <v>15.38</v>
      </c>
      <c r="QAM162" s="371" t="e">
        <f>QAJ162*QAK162*QAL162</f>
        <v>#DIV/0!</v>
      </c>
      <c r="QAN162" s="367" t="s">
        <v>206</v>
      </c>
      <c r="QAO162" s="367"/>
      <c r="QAP162" s="367"/>
      <c r="QAQ162" s="368" t="s">
        <v>168</v>
      </c>
      <c r="QAR162" s="369">
        <v>0.5</v>
      </c>
      <c r="QAS162" s="370" t="e">
        <f>10/QAO160</f>
        <v>#DIV/0!</v>
      </c>
      <c r="QAT162" s="371">
        <v>15.38</v>
      </c>
      <c r="QAU162" s="371" t="e">
        <f>QAR162*QAS162*QAT162</f>
        <v>#DIV/0!</v>
      </c>
      <c r="QAV162" s="367" t="s">
        <v>206</v>
      </c>
      <c r="QAW162" s="367"/>
      <c r="QAX162" s="367"/>
      <c r="QAY162" s="368" t="s">
        <v>168</v>
      </c>
      <c r="QAZ162" s="369">
        <v>0.5</v>
      </c>
      <c r="QBA162" s="370" t="e">
        <f>10/QAW160</f>
        <v>#DIV/0!</v>
      </c>
      <c r="QBB162" s="371">
        <v>15.38</v>
      </c>
      <c r="QBC162" s="371" t="e">
        <f>QAZ162*QBA162*QBB162</f>
        <v>#DIV/0!</v>
      </c>
      <c r="QBD162" s="367" t="s">
        <v>206</v>
      </c>
      <c r="QBE162" s="367"/>
      <c r="QBF162" s="367"/>
      <c r="QBG162" s="368" t="s">
        <v>168</v>
      </c>
      <c r="QBH162" s="369">
        <v>0.5</v>
      </c>
      <c r="QBI162" s="370" t="e">
        <f>10/QBE160</f>
        <v>#DIV/0!</v>
      </c>
      <c r="QBJ162" s="371">
        <v>15.38</v>
      </c>
      <c r="QBK162" s="371" t="e">
        <f>QBH162*QBI162*QBJ162</f>
        <v>#DIV/0!</v>
      </c>
      <c r="QBL162" s="367" t="s">
        <v>206</v>
      </c>
      <c r="QBM162" s="367"/>
      <c r="QBN162" s="367"/>
      <c r="QBO162" s="368" t="s">
        <v>168</v>
      </c>
      <c r="QBP162" s="369">
        <v>0.5</v>
      </c>
      <c r="QBQ162" s="370" t="e">
        <f>10/QBM160</f>
        <v>#DIV/0!</v>
      </c>
      <c r="QBR162" s="371">
        <v>15.38</v>
      </c>
      <c r="QBS162" s="371" t="e">
        <f>QBP162*QBQ162*QBR162</f>
        <v>#DIV/0!</v>
      </c>
      <c r="QBT162" s="367" t="s">
        <v>206</v>
      </c>
      <c r="QBU162" s="367"/>
      <c r="QBV162" s="367"/>
      <c r="QBW162" s="368" t="s">
        <v>168</v>
      </c>
      <c r="QBX162" s="369">
        <v>0.5</v>
      </c>
      <c r="QBY162" s="370" t="e">
        <f>10/QBU160</f>
        <v>#DIV/0!</v>
      </c>
      <c r="QBZ162" s="371">
        <v>15.38</v>
      </c>
      <c r="QCA162" s="371" t="e">
        <f>QBX162*QBY162*QBZ162</f>
        <v>#DIV/0!</v>
      </c>
      <c r="QCB162" s="367" t="s">
        <v>206</v>
      </c>
      <c r="QCC162" s="367"/>
      <c r="QCD162" s="367"/>
      <c r="QCE162" s="368" t="s">
        <v>168</v>
      </c>
      <c r="QCF162" s="369">
        <v>0.5</v>
      </c>
      <c r="QCG162" s="370" t="e">
        <f>10/QCC160</f>
        <v>#DIV/0!</v>
      </c>
      <c r="QCH162" s="371">
        <v>15.38</v>
      </c>
      <c r="QCI162" s="371" t="e">
        <f>QCF162*QCG162*QCH162</f>
        <v>#DIV/0!</v>
      </c>
      <c r="QCJ162" s="367" t="s">
        <v>206</v>
      </c>
      <c r="QCK162" s="367"/>
      <c r="QCL162" s="367"/>
      <c r="QCM162" s="368" t="s">
        <v>168</v>
      </c>
      <c r="QCN162" s="369">
        <v>0.5</v>
      </c>
      <c r="QCO162" s="370" t="e">
        <f>10/QCK160</f>
        <v>#DIV/0!</v>
      </c>
      <c r="QCP162" s="371">
        <v>15.38</v>
      </c>
      <c r="QCQ162" s="371" t="e">
        <f>QCN162*QCO162*QCP162</f>
        <v>#DIV/0!</v>
      </c>
      <c r="QCR162" s="367" t="s">
        <v>206</v>
      </c>
      <c r="QCS162" s="367"/>
      <c r="QCT162" s="367"/>
      <c r="QCU162" s="368" t="s">
        <v>168</v>
      </c>
      <c r="QCV162" s="369">
        <v>0.5</v>
      </c>
      <c r="QCW162" s="370" t="e">
        <f>10/QCS160</f>
        <v>#DIV/0!</v>
      </c>
      <c r="QCX162" s="371">
        <v>15.38</v>
      </c>
      <c r="QCY162" s="371" t="e">
        <f>QCV162*QCW162*QCX162</f>
        <v>#DIV/0!</v>
      </c>
      <c r="QCZ162" s="367" t="s">
        <v>206</v>
      </c>
      <c r="QDA162" s="367"/>
      <c r="QDB162" s="367"/>
      <c r="QDC162" s="368" t="s">
        <v>168</v>
      </c>
      <c r="QDD162" s="369">
        <v>0.5</v>
      </c>
      <c r="QDE162" s="370" t="e">
        <f>10/QDA160</f>
        <v>#DIV/0!</v>
      </c>
      <c r="QDF162" s="371">
        <v>15.38</v>
      </c>
      <c r="QDG162" s="371" t="e">
        <f>QDD162*QDE162*QDF162</f>
        <v>#DIV/0!</v>
      </c>
      <c r="QDH162" s="367" t="s">
        <v>206</v>
      </c>
      <c r="QDI162" s="367"/>
      <c r="QDJ162" s="367"/>
      <c r="QDK162" s="368" t="s">
        <v>168</v>
      </c>
      <c r="QDL162" s="369">
        <v>0.5</v>
      </c>
      <c r="QDM162" s="370" t="e">
        <f>10/QDI160</f>
        <v>#DIV/0!</v>
      </c>
      <c r="QDN162" s="371">
        <v>15.38</v>
      </c>
      <c r="QDO162" s="371" t="e">
        <f>QDL162*QDM162*QDN162</f>
        <v>#DIV/0!</v>
      </c>
      <c r="QDP162" s="367" t="s">
        <v>206</v>
      </c>
      <c r="QDQ162" s="367"/>
      <c r="QDR162" s="367"/>
      <c r="QDS162" s="368" t="s">
        <v>168</v>
      </c>
      <c r="QDT162" s="369">
        <v>0.5</v>
      </c>
      <c r="QDU162" s="370" t="e">
        <f>10/QDQ160</f>
        <v>#DIV/0!</v>
      </c>
      <c r="QDV162" s="371">
        <v>15.38</v>
      </c>
      <c r="QDW162" s="371" t="e">
        <f>QDT162*QDU162*QDV162</f>
        <v>#DIV/0!</v>
      </c>
      <c r="QDX162" s="367" t="s">
        <v>206</v>
      </c>
      <c r="QDY162" s="367"/>
      <c r="QDZ162" s="367"/>
      <c r="QEA162" s="368" t="s">
        <v>168</v>
      </c>
      <c r="QEB162" s="369">
        <v>0.5</v>
      </c>
      <c r="QEC162" s="370" t="e">
        <f>10/QDY160</f>
        <v>#DIV/0!</v>
      </c>
      <c r="QED162" s="371">
        <v>15.38</v>
      </c>
      <c r="QEE162" s="371" t="e">
        <f>QEB162*QEC162*QED162</f>
        <v>#DIV/0!</v>
      </c>
      <c r="QEF162" s="367" t="s">
        <v>206</v>
      </c>
      <c r="QEG162" s="367"/>
      <c r="QEH162" s="367"/>
      <c r="QEI162" s="368" t="s">
        <v>168</v>
      </c>
      <c r="QEJ162" s="369">
        <v>0.5</v>
      </c>
      <c r="QEK162" s="370" t="e">
        <f>10/QEG160</f>
        <v>#DIV/0!</v>
      </c>
      <c r="QEL162" s="371">
        <v>15.38</v>
      </c>
      <c r="QEM162" s="371" t="e">
        <f>QEJ162*QEK162*QEL162</f>
        <v>#DIV/0!</v>
      </c>
      <c r="QEN162" s="367" t="s">
        <v>206</v>
      </c>
      <c r="QEO162" s="367"/>
      <c r="QEP162" s="367"/>
      <c r="QEQ162" s="368" t="s">
        <v>168</v>
      </c>
      <c r="QER162" s="369">
        <v>0.5</v>
      </c>
      <c r="QES162" s="370" t="e">
        <f>10/QEO160</f>
        <v>#DIV/0!</v>
      </c>
      <c r="QET162" s="371">
        <v>15.38</v>
      </c>
      <c r="QEU162" s="371" t="e">
        <f>QER162*QES162*QET162</f>
        <v>#DIV/0!</v>
      </c>
      <c r="QEV162" s="367" t="s">
        <v>206</v>
      </c>
      <c r="QEW162" s="367"/>
      <c r="QEX162" s="367"/>
      <c r="QEY162" s="368" t="s">
        <v>168</v>
      </c>
      <c r="QEZ162" s="369">
        <v>0.5</v>
      </c>
      <c r="QFA162" s="370" t="e">
        <f>10/QEW160</f>
        <v>#DIV/0!</v>
      </c>
      <c r="QFB162" s="371">
        <v>15.38</v>
      </c>
      <c r="QFC162" s="371" t="e">
        <f>QEZ162*QFA162*QFB162</f>
        <v>#DIV/0!</v>
      </c>
      <c r="QFD162" s="367" t="s">
        <v>206</v>
      </c>
      <c r="QFE162" s="367"/>
      <c r="QFF162" s="367"/>
      <c r="QFG162" s="368" t="s">
        <v>168</v>
      </c>
      <c r="QFH162" s="369">
        <v>0.5</v>
      </c>
      <c r="QFI162" s="370" t="e">
        <f>10/QFE160</f>
        <v>#DIV/0!</v>
      </c>
      <c r="QFJ162" s="371">
        <v>15.38</v>
      </c>
      <c r="QFK162" s="371" t="e">
        <f>QFH162*QFI162*QFJ162</f>
        <v>#DIV/0!</v>
      </c>
      <c r="QFL162" s="367" t="s">
        <v>206</v>
      </c>
      <c r="QFM162" s="367"/>
      <c r="QFN162" s="367"/>
      <c r="QFO162" s="368" t="s">
        <v>168</v>
      </c>
      <c r="QFP162" s="369">
        <v>0.5</v>
      </c>
      <c r="QFQ162" s="370" t="e">
        <f>10/QFM160</f>
        <v>#DIV/0!</v>
      </c>
      <c r="QFR162" s="371">
        <v>15.38</v>
      </c>
      <c r="QFS162" s="371" t="e">
        <f>QFP162*QFQ162*QFR162</f>
        <v>#DIV/0!</v>
      </c>
      <c r="QFT162" s="367" t="s">
        <v>206</v>
      </c>
      <c r="QFU162" s="367"/>
      <c r="QFV162" s="367"/>
      <c r="QFW162" s="368" t="s">
        <v>168</v>
      </c>
      <c r="QFX162" s="369">
        <v>0.5</v>
      </c>
      <c r="QFY162" s="370" t="e">
        <f>10/QFU160</f>
        <v>#DIV/0!</v>
      </c>
      <c r="QFZ162" s="371">
        <v>15.38</v>
      </c>
      <c r="QGA162" s="371" t="e">
        <f>QFX162*QFY162*QFZ162</f>
        <v>#DIV/0!</v>
      </c>
      <c r="QGB162" s="367" t="s">
        <v>206</v>
      </c>
      <c r="QGC162" s="367"/>
      <c r="QGD162" s="367"/>
      <c r="QGE162" s="368" t="s">
        <v>168</v>
      </c>
      <c r="QGF162" s="369">
        <v>0.5</v>
      </c>
      <c r="QGG162" s="370" t="e">
        <f>10/QGC160</f>
        <v>#DIV/0!</v>
      </c>
      <c r="QGH162" s="371">
        <v>15.38</v>
      </c>
      <c r="QGI162" s="371" t="e">
        <f>QGF162*QGG162*QGH162</f>
        <v>#DIV/0!</v>
      </c>
      <c r="QGJ162" s="367" t="s">
        <v>206</v>
      </c>
      <c r="QGK162" s="367"/>
      <c r="QGL162" s="367"/>
      <c r="QGM162" s="368" t="s">
        <v>168</v>
      </c>
      <c r="QGN162" s="369">
        <v>0.5</v>
      </c>
      <c r="QGO162" s="370" t="e">
        <f>10/QGK160</f>
        <v>#DIV/0!</v>
      </c>
      <c r="QGP162" s="371">
        <v>15.38</v>
      </c>
      <c r="QGQ162" s="371" t="e">
        <f>QGN162*QGO162*QGP162</f>
        <v>#DIV/0!</v>
      </c>
      <c r="QGR162" s="367" t="s">
        <v>206</v>
      </c>
      <c r="QGS162" s="367"/>
      <c r="QGT162" s="367"/>
      <c r="QGU162" s="368" t="s">
        <v>168</v>
      </c>
      <c r="QGV162" s="369">
        <v>0.5</v>
      </c>
      <c r="QGW162" s="370" t="e">
        <f>10/QGS160</f>
        <v>#DIV/0!</v>
      </c>
      <c r="QGX162" s="371">
        <v>15.38</v>
      </c>
      <c r="QGY162" s="371" t="e">
        <f>QGV162*QGW162*QGX162</f>
        <v>#DIV/0!</v>
      </c>
      <c r="QGZ162" s="367" t="s">
        <v>206</v>
      </c>
      <c r="QHA162" s="367"/>
      <c r="QHB162" s="367"/>
      <c r="QHC162" s="368" t="s">
        <v>168</v>
      </c>
      <c r="QHD162" s="369">
        <v>0.5</v>
      </c>
      <c r="QHE162" s="370" t="e">
        <f>10/QHA160</f>
        <v>#DIV/0!</v>
      </c>
      <c r="QHF162" s="371">
        <v>15.38</v>
      </c>
      <c r="QHG162" s="371" t="e">
        <f>QHD162*QHE162*QHF162</f>
        <v>#DIV/0!</v>
      </c>
      <c r="QHH162" s="367" t="s">
        <v>206</v>
      </c>
      <c r="QHI162" s="367"/>
      <c r="QHJ162" s="367"/>
      <c r="QHK162" s="368" t="s">
        <v>168</v>
      </c>
      <c r="QHL162" s="369">
        <v>0.5</v>
      </c>
      <c r="QHM162" s="370" t="e">
        <f>10/QHI160</f>
        <v>#DIV/0!</v>
      </c>
      <c r="QHN162" s="371">
        <v>15.38</v>
      </c>
      <c r="QHO162" s="371" t="e">
        <f>QHL162*QHM162*QHN162</f>
        <v>#DIV/0!</v>
      </c>
      <c r="QHP162" s="367" t="s">
        <v>206</v>
      </c>
      <c r="QHQ162" s="367"/>
      <c r="QHR162" s="367"/>
      <c r="QHS162" s="368" t="s">
        <v>168</v>
      </c>
      <c r="QHT162" s="369">
        <v>0.5</v>
      </c>
      <c r="QHU162" s="370" t="e">
        <f>10/QHQ160</f>
        <v>#DIV/0!</v>
      </c>
      <c r="QHV162" s="371">
        <v>15.38</v>
      </c>
      <c r="QHW162" s="371" t="e">
        <f>QHT162*QHU162*QHV162</f>
        <v>#DIV/0!</v>
      </c>
      <c r="QHX162" s="367" t="s">
        <v>206</v>
      </c>
      <c r="QHY162" s="367"/>
      <c r="QHZ162" s="367"/>
      <c r="QIA162" s="368" t="s">
        <v>168</v>
      </c>
      <c r="QIB162" s="369">
        <v>0.5</v>
      </c>
      <c r="QIC162" s="370" t="e">
        <f>10/QHY160</f>
        <v>#DIV/0!</v>
      </c>
      <c r="QID162" s="371">
        <v>15.38</v>
      </c>
      <c r="QIE162" s="371" t="e">
        <f>QIB162*QIC162*QID162</f>
        <v>#DIV/0!</v>
      </c>
      <c r="QIF162" s="367" t="s">
        <v>206</v>
      </c>
      <c r="QIG162" s="367"/>
      <c r="QIH162" s="367"/>
      <c r="QII162" s="368" t="s">
        <v>168</v>
      </c>
      <c r="QIJ162" s="369">
        <v>0.5</v>
      </c>
      <c r="QIK162" s="370" t="e">
        <f>10/QIG160</f>
        <v>#DIV/0!</v>
      </c>
      <c r="QIL162" s="371">
        <v>15.38</v>
      </c>
      <c r="QIM162" s="371" t="e">
        <f>QIJ162*QIK162*QIL162</f>
        <v>#DIV/0!</v>
      </c>
      <c r="QIN162" s="367" t="s">
        <v>206</v>
      </c>
      <c r="QIO162" s="367"/>
      <c r="QIP162" s="367"/>
      <c r="QIQ162" s="368" t="s">
        <v>168</v>
      </c>
      <c r="QIR162" s="369">
        <v>0.5</v>
      </c>
      <c r="QIS162" s="370" t="e">
        <f>10/QIO160</f>
        <v>#DIV/0!</v>
      </c>
      <c r="QIT162" s="371">
        <v>15.38</v>
      </c>
      <c r="QIU162" s="371" t="e">
        <f>QIR162*QIS162*QIT162</f>
        <v>#DIV/0!</v>
      </c>
      <c r="QIV162" s="367" t="s">
        <v>206</v>
      </c>
      <c r="QIW162" s="367"/>
      <c r="QIX162" s="367"/>
      <c r="QIY162" s="368" t="s">
        <v>168</v>
      </c>
      <c r="QIZ162" s="369">
        <v>0.5</v>
      </c>
      <c r="QJA162" s="370" t="e">
        <f>10/QIW160</f>
        <v>#DIV/0!</v>
      </c>
      <c r="QJB162" s="371">
        <v>15.38</v>
      </c>
      <c r="QJC162" s="371" t="e">
        <f>QIZ162*QJA162*QJB162</f>
        <v>#DIV/0!</v>
      </c>
      <c r="QJD162" s="367" t="s">
        <v>206</v>
      </c>
      <c r="QJE162" s="367"/>
      <c r="QJF162" s="367"/>
      <c r="QJG162" s="368" t="s">
        <v>168</v>
      </c>
      <c r="QJH162" s="369">
        <v>0.5</v>
      </c>
      <c r="QJI162" s="370" t="e">
        <f>10/QJE160</f>
        <v>#DIV/0!</v>
      </c>
      <c r="QJJ162" s="371">
        <v>15.38</v>
      </c>
      <c r="QJK162" s="371" t="e">
        <f>QJH162*QJI162*QJJ162</f>
        <v>#DIV/0!</v>
      </c>
      <c r="QJL162" s="367" t="s">
        <v>206</v>
      </c>
      <c r="QJM162" s="367"/>
      <c r="QJN162" s="367"/>
      <c r="QJO162" s="368" t="s">
        <v>168</v>
      </c>
      <c r="QJP162" s="369">
        <v>0.5</v>
      </c>
      <c r="QJQ162" s="370" t="e">
        <f>10/QJM160</f>
        <v>#DIV/0!</v>
      </c>
      <c r="QJR162" s="371">
        <v>15.38</v>
      </c>
      <c r="QJS162" s="371" t="e">
        <f>QJP162*QJQ162*QJR162</f>
        <v>#DIV/0!</v>
      </c>
      <c r="QJT162" s="367" t="s">
        <v>206</v>
      </c>
      <c r="QJU162" s="367"/>
      <c r="QJV162" s="367"/>
      <c r="QJW162" s="368" t="s">
        <v>168</v>
      </c>
      <c r="QJX162" s="369">
        <v>0.5</v>
      </c>
      <c r="QJY162" s="370" t="e">
        <f>10/QJU160</f>
        <v>#DIV/0!</v>
      </c>
      <c r="QJZ162" s="371">
        <v>15.38</v>
      </c>
      <c r="QKA162" s="371" t="e">
        <f>QJX162*QJY162*QJZ162</f>
        <v>#DIV/0!</v>
      </c>
      <c r="QKB162" s="367" t="s">
        <v>206</v>
      </c>
      <c r="QKC162" s="367"/>
      <c r="QKD162" s="367"/>
      <c r="QKE162" s="368" t="s">
        <v>168</v>
      </c>
      <c r="QKF162" s="369">
        <v>0.5</v>
      </c>
      <c r="QKG162" s="370" t="e">
        <f>10/QKC160</f>
        <v>#DIV/0!</v>
      </c>
      <c r="QKH162" s="371">
        <v>15.38</v>
      </c>
      <c r="QKI162" s="371" t="e">
        <f>QKF162*QKG162*QKH162</f>
        <v>#DIV/0!</v>
      </c>
      <c r="QKJ162" s="367" t="s">
        <v>206</v>
      </c>
      <c r="QKK162" s="367"/>
      <c r="QKL162" s="367"/>
      <c r="QKM162" s="368" t="s">
        <v>168</v>
      </c>
      <c r="QKN162" s="369">
        <v>0.5</v>
      </c>
      <c r="QKO162" s="370" t="e">
        <f>10/QKK160</f>
        <v>#DIV/0!</v>
      </c>
      <c r="QKP162" s="371">
        <v>15.38</v>
      </c>
      <c r="QKQ162" s="371" t="e">
        <f>QKN162*QKO162*QKP162</f>
        <v>#DIV/0!</v>
      </c>
      <c r="QKR162" s="367" t="s">
        <v>206</v>
      </c>
      <c r="QKS162" s="367"/>
      <c r="QKT162" s="367"/>
      <c r="QKU162" s="368" t="s">
        <v>168</v>
      </c>
      <c r="QKV162" s="369">
        <v>0.5</v>
      </c>
      <c r="QKW162" s="370" t="e">
        <f>10/QKS160</f>
        <v>#DIV/0!</v>
      </c>
      <c r="QKX162" s="371">
        <v>15.38</v>
      </c>
      <c r="QKY162" s="371" t="e">
        <f>QKV162*QKW162*QKX162</f>
        <v>#DIV/0!</v>
      </c>
      <c r="QKZ162" s="367" t="s">
        <v>206</v>
      </c>
      <c r="QLA162" s="367"/>
      <c r="QLB162" s="367"/>
      <c r="QLC162" s="368" t="s">
        <v>168</v>
      </c>
      <c r="QLD162" s="369">
        <v>0.5</v>
      </c>
      <c r="QLE162" s="370" t="e">
        <f>10/QLA160</f>
        <v>#DIV/0!</v>
      </c>
      <c r="QLF162" s="371">
        <v>15.38</v>
      </c>
      <c r="QLG162" s="371" t="e">
        <f>QLD162*QLE162*QLF162</f>
        <v>#DIV/0!</v>
      </c>
      <c r="QLH162" s="367" t="s">
        <v>206</v>
      </c>
      <c r="QLI162" s="367"/>
      <c r="QLJ162" s="367"/>
      <c r="QLK162" s="368" t="s">
        <v>168</v>
      </c>
      <c r="QLL162" s="369">
        <v>0.5</v>
      </c>
      <c r="QLM162" s="370" t="e">
        <f>10/QLI160</f>
        <v>#DIV/0!</v>
      </c>
      <c r="QLN162" s="371">
        <v>15.38</v>
      </c>
      <c r="QLO162" s="371" t="e">
        <f>QLL162*QLM162*QLN162</f>
        <v>#DIV/0!</v>
      </c>
      <c r="QLP162" s="367" t="s">
        <v>206</v>
      </c>
      <c r="QLQ162" s="367"/>
      <c r="QLR162" s="367"/>
      <c r="QLS162" s="368" t="s">
        <v>168</v>
      </c>
      <c r="QLT162" s="369">
        <v>0.5</v>
      </c>
      <c r="QLU162" s="370" t="e">
        <f>10/QLQ160</f>
        <v>#DIV/0!</v>
      </c>
      <c r="QLV162" s="371">
        <v>15.38</v>
      </c>
      <c r="QLW162" s="371" t="e">
        <f>QLT162*QLU162*QLV162</f>
        <v>#DIV/0!</v>
      </c>
      <c r="QLX162" s="367" t="s">
        <v>206</v>
      </c>
      <c r="QLY162" s="367"/>
      <c r="QLZ162" s="367"/>
      <c r="QMA162" s="368" t="s">
        <v>168</v>
      </c>
      <c r="QMB162" s="369">
        <v>0.5</v>
      </c>
      <c r="QMC162" s="370" t="e">
        <f>10/QLY160</f>
        <v>#DIV/0!</v>
      </c>
      <c r="QMD162" s="371">
        <v>15.38</v>
      </c>
      <c r="QME162" s="371" t="e">
        <f>QMB162*QMC162*QMD162</f>
        <v>#DIV/0!</v>
      </c>
      <c r="QMF162" s="367" t="s">
        <v>206</v>
      </c>
      <c r="QMG162" s="367"/>
      <c r="QMH162" s="367"/>
      <c r="QMI162" s="368" t="s">
        <v>168</v>
      </c>
      <c r="QMJ162" s="369">
        <v>0.5</v>
      </c>
      <c r="QMK162" s="370" t="e">
        <f>10/QMG160</f>
        <v>#DIV/0!</v>
      </c>
      <c r="QML162" s="371">
        <v>15.38</v>
      </c>
      <c r="QMM162" s="371" t="e">
        <f>QMJ162*QMK162*QML162</f>
        <v>#DIV/0!</v>
      </c>
      <c r="QMN162" s="367" t="s">
        <v>206</v>
      </c>
      <c r="QMO162" s="367"/>
      <c r="QMP162" s="367"/>
      <c r="QMQ162" s="368" t="s">
        <v>168</v>
      </c>
      <c r="QMR162" s="369">
        <v>0.5</v>
      </c>
      <c r="QMS162" s="370" t="e">
        <f>10/QMO160</f>
        <v>#DIV/0!</v>
      </c>
      <c r="QMT162" s="371">
        <v>15.38</v>
      </c>
      <c r="QMU162" s="371" t="e">
        <f>QMR162*QMS162*QMT162</f>
        <v>#DIV/0!</v>
      </c>
      <c r="QMV162" s="367" t="s">
        <v>206</v>
      </c>
      <c r="QMW162" s="367"/>
      <c r="QMX162" s="367"/>
      <c r="QMY162" s="368" t="s">
        <v>168</v>
      </c>
      <c r="QMZ162" s="369">
        <v>0.5</v>
      </c>
      <c r="QNA162" s="370" t="e">
        <f>10/QMW160</f>
        <v>#DIV/0!</v>
      </c>
      <c r="QNB162" s="371">
        <v>15.38</v>
      </c>
      <c r="QNC162" s="371" t="e">
        <f>QMZ162*QNA162*QNB162</f>
        <v>#DIV/0!</v>
      </c>
      <c r="QND162" s="367" t="s">
        <v>206</v>
      </c>
      <c r="QNE162" s="367"/>
      <c r="QNF162" s="367"/>
      <c r="QNG162" s="368" t="s">
        <v>168</v>
      </c>
      <c r="QNH162" s="369">
        <v>0.5</v>
      </c>
      <c r="QNI162" s="370" t="e">
        <f>10/QNE160</f>
        <v>#DIV/0!</v>
      </c>
      <c r="QNJ162" s="371">
        <v>15.38</v>
      </c>
      <c r="QNK162" s="371" t="e">
        <f>QNH162*QNI162*QNJ162</f>
        <v>#DIV/0!</v>
      </c>
      <c r="QNL162" s="367" t="s">
        <v>206</v>
      </c>
      <c r="QNM162" s="367"/>
      <c r="QNN162" s="367"/>
      <c r="QNO162" s="368" t="s">
        <v>168</v>
      </c>
      <c r="QNP162" s="369">
        <v>0.5</v>
      </c>
      <c r="QNQ162" s="370" t="e">
        <f>10/QNM160</f>
        <v>#DIV/0!</v>
      </c>
      <c r="QNR162" s="371">
        <v>15.38</v>
      </c>
      <c r="QNS162" s="371" t="e">
        <f>QNP162*QNQ162*QNR162</f>
        <v>#DIV/0!</v>
      </c>
      <c r="QNT162" s="367" t="s">
        <v>206</v>
      </c>
      <c r="QNU162" s="367"/>
      <c r="QNV162" s="367"/>
      <c r="QNW162" s="368" t="s">
        <v>168</v>
      </c>
      <c r="QNX162" s="369">
        <v>0.5</v>
      </c>
      <c r="QNY162" s="370" t="e">
        <f>10/QNU160</f>
        <v>#DIV/0!</v>
      </c>
      <c r="QNZ162" s="371">
        <v>15.38</v>
      </c>
      <c r="QOA162" s="371" t="e">
        <f>QNX162*QNY162*QNZ162</f>
        <v>#DIV/0!</v>
      </c>
      <c r="QOB162" s="367" t="s">
        <v>206</v>
      </c>
      <c r="QOC162" s="367"/>
      <c r="QOD162" s="367"/>
      <c r="QOE162" s="368" t="s">
        <v>168</v>
      </c>
      <c r="QOF162" s="369">
        <v>0.5</v>
      </c>
      <c r="QOG162" s="370" t="e">
        <f>10/QOC160</f>
        <v>#DIV/0!</v>
      </c>
      <c r="QOH162" s="371">
        <v>15.38</v>
      </c>
      <c r="QOI162" s="371" t="e">
        <f>QOF162*QOG162*QOH162</f>
        <v>#DIV/0!</v>
      </c>
      <c r="QOJ162" s="367" t="s">
        <v>206</v>
      </c>
      <c r="QOK162" s="367"/>
      <c r="QOL162" s="367"/>
      <c r="QOM162" s="368" t="s">
        <v>168</v>
      </c>
      <c r="QON162" s="369">
        <v>0.5</v>
      </c>
      <c r="QOO162" s="370" t="e">
        <f>10/QOK160</f>
        <v>#DIV/0!</v>
      </c>
      <c r="QOP162" s="371">
        <v>15.38</v>
      </c>
      <c r="QOQ162" s="371" t="e">
        <f>QON162*QOO162*QOP162</f>
        <v>#DIV/0!</v>
      </c>
      <c r="QOR162" s="367" t="s">
        <v>206</v>
      </c>
      <c r="QOS162" s="367"/>
      <c r="QOT162" s="367"/>
      <c r="QOU162" s="368" t="s">
        <v>168</v>
      </c>
      <c r="QOV162" s="369">
        <v>0.5</v>
      </c>
      <c r="QOW162" s="370" t="e">
        <f>10/QOS160</f>
        <v>#DIV/0!</v>
      </c>
      <c r="QOX162" s="371">
        <v>15.38</v>
      </c>
      <c r="QOY162" s="371" t="e">
        <f>QOV162*QOW162*QOX162</f>
        <v>#DIV/0!</v>
      </c>
      <c r="QOZ162" s="367" t="s">
        <v>206</v>
      </c>
      <c r="QPA162" s="367"/>
      <c r="QPB162" s="367"/>
      <c r="QPC162" s="368" t="s">
        <v>168</v>
      </c>
      <c r="QPD162" s="369">
        <v>0.5</v>
      </c>
      <c r="QPE162" s="370" t="e">
        <f>10/QPA160</f>
        <v>#DIV/0!</v>
      </c>
      <c r="QPF162" s="371">
        <v>15.38</v>
      </c>
      <c r="QPG162" s="371" t="e">
        <f>QPD162*QPE162*QPF162</f>
        <v>#DIV/0!</v>
      </c>
      <c r="QPH162" s="367" t="s">
        <v>206</v>
      </c>
      <c r="QPI162" s="367"/>
      <c r="QPJ162" s="367"/>
      <c r="QPK162" s="368" t="s">
        <v>168</v>
      </c>
      <c r="QPL162" s="369">
        <v>0.5</v>
      </c>
      <c r="QPM162" s="370" t="e">
        <f>10/QPI160</f>
        <v>#DIV/0!</v>
      </c>
      <c r="QPN162" s="371">
        <v>15.38</v>
      </c>
      <c r="QPO162" s="371" t="e">
        <f>QPL162*QPM162*QPN162</f>
        <v>#DIV/0!</v>
      </c>
      <c r="QPP162" s="367" t="s">
        <v>206</v>
      </c>
      <c r="QPQ162" s="367"/>
      <c r="QPR162" s="367"/>
      <c r="QPS162" s="368" t="s">
        <v>168</v>
      </c>
      <c r="QPT162" s="369">
        <v>0.5</v>
      </c>
      <c r="QPU162" s="370" t="e">
        <f>10/QPQ160</f>
        <v>#DIV/0!</v>
      </c>
      <c r="QPV162" s="371">
        <v>15.38</v>
      </c>
      <c r="QPW162" s="371" t="e">
        <f>QPT162*QPU162*QPV162</f>
        <v>#DIV/0!</v>
      </c>
      <c r="QPX162" s="367" t="s">
        <v>206</v>
      </c>
      <c r="QPY162" s="367"/>
      <c r="QPZ162" s="367"/>
      <c r="QQA162" s="368" t="s">
        <v>168</v>
      </c>
      <c r="QQB162" s="369">
        <v>0.5</v>
      </c>
      <c r="QQC162" s="370" t="e">
        <f>10/QPY160</f>
        <v>#DIV/0!</v>
      </c>
      <c r="QQD162" s="371">
        <v>15.38</v>
      </c>
      <c r="QQE162" s="371" t="e">
        <f>QQB162*QQC162*QQD162</f>
        <v>#DIV/0!</v>
      </c>
      <c r="QQF162" s="367" t="s">
        <v>206</v>
      </c>
      <c r="QQG162" s="367"/>
      <c r="QQH162" s="367"/>
      <c r="QQI162" s="368" t="s">
        <v>168</v>
      </c>
      <c r="QQJ162" s="369">
        <v>0.5</v>
      </c>
      <c r="QQK162" s="370" t="e">
        <f>10/QQG160</f>
        <v>#DIV/0!</v>
      </c>
      <c r="QQL162" s="371">
        <v>15.38</v>
      </c>
      <c r="QQM162" s="371" t="e">
        <f>QQJ162*QQK162*QQL162</f>
        <v>#DIV/0!</v>
      </c>
      <c r="QQN162" s="367" t="s">
        <v>206</v>
      </c>
      <c r="QQO162" s="367"/>
      <c r="QQP162" s="367"/>
      <c r="QQQ162" s="368" t="s">
        <v>168</v>
      </c>
      <c r="QQR162" s="369">
        <v>0.5</v>
      </c>
      <c r="QQS162" s="370" t="e">
        <f>10/QQO160</f>
        <v>#DIV/0!</v>
      </c>
      <c r="QQT162" s="371">
        <v>15.38</v>
      </c>
      <c r="QQU162" s="371" t="e">
        <f>QQR162*QQS162*QQT162</f>
        <v>#DIV/0!</v>
      </c>
      <c r="QQV162" s="367" t="s">
        <v>206</v>
      </c>
      <c r="QQW162" s="367"/>
      <c r="QQX162" s="367"/>
      <c r="QQY162" s="368" t="s">
        <v>168</v>
      </c>
      <c r="QQZ162" s="369">
        <v>0.5</v>
      </c>
      <c r="QRA162" s="370" t="e">
        <f>10/QQW160</f>
        <v>#DIV/0!</v>
      </c>
      <c r="QRB162" s="371">
        <v>15.38</v>
      </c>
      <c r="QRC162" s="371" t="e">
        <f>QQZ162*QRA162*QRB162</f>
        <v>#DIV/0!</v>
      </c>
      <c r="QRD162" s="367" t="s">
        <v>206</v>
      </c>
      <c r="QRE162" s="367"/>
      <c r="QRF162" s="367"/>
      <c r="QRG162" s="368" t="s">
        <v>168</v>
      </c>
      <c r="QRH162" s="369">
        <v>0.5</v>
      </c>
      <c r="QRI162" s="370" t="e">
        <f>10/QRE160</f>
        <v>#DIV/0!</v>
      </c>
      <c r="QRJ162" s="371">
        <v>15.38</v>
      </c>
      <c r="QRK162" s="371" t="e">
        <f>QRH162*QRI162*QRJ162</f>
        <v>#DIV/0!</v>
      </c>
      <c r="QRL162" s="367" t="s">
        <v>206</v>
      </c>
      <c r="QRM162" s="367"/>
      <c r="QRN162" s="367"/>
      <c r="QRO162" s="368" t="s">
        <v>168</v>
      </c>
      <c r="QRP162" s="369">
        <v>0.5</v>
      </c>
      <c r="QRQ162" s="370" t="e">
        <f>10/QRM160</f>
        <v>#DIV/0!</v>
      </c>
      <c r="QRR162" s="371">
        <v>15.38</v>
      </c>
      <c r="QRS162" s="371" t="e">
        <f>QRP162*QRQ162*QRR162</f>
        <v>#DIV/0!</v>
      </c>
      <c r="QRT162" s="367" t="s">
        <v>206</v>
      </c>
      <c r="QRU162" s="367"/>
      <c r="QRV162" s="367"/>
      <c r="QRW162" s="368" t="s">
        <v>168</v>
      </c>
      <c r="QRX162" s="369">
        <v>0.5</v>
      </c>
      <c r="QRY162" s="370" t="e">
        <f>10/QRU160</f>
        <v>#DIV/0!</v>
      </c>
      <c r="QRZ162" s="371">
        <v>15.38</v>
      </c>
      <c r="QSA162" s="371" t="e">
        <f>QRX162*QRY162*QRZ162</f>
        <v>#DIV/0!</v>
      </c>
      <c r="QSB162" s="367" t="s">
        <v>206</v>
      </c>
      <c r="QSC162" s="367"/>
      <c r="QSD162" s="367"/>
      <c r="QSE162" s="368" t="s">
        <v>168</v>
      </c>
      <c r="QSF162" s="369">
        <v>0.5</v>
      </c>
      <c r="QSG162" s="370" t="e">
        <f>10/QSC160</f>
        <v>#DIV/0!</v>
      </c>
      <c r="QSH162" s="371">
        <v>15.38</v>
      </c>
      <c r="QSI162" s="371" t="e">
        <f>QSF162*QSG162*QSH162</f>
        <v>#DIV/0!</v>
      </c>
      <c r="QSJ162" s="367" t="s">
        <v>206</v>
      </c>
      <c r="QSK162" s="367"/>
      <c r="QSL162" s="367"/>
      <c r="QSM162" s="368" t="s">
        <v>168</v>
      </c>
      <c r="QSN162" s="369">
        <v>0.5</v>
      </c>
      <c r="QSO162" s="370" t="e">
        <f>10/QSK160</f>
        <v>#DIV/0!</v>
      </c>
      <c r="QSP162" s="371">
        <v>15.38</v>
      </c>
      <c r="QSQ162" s="371" t="e">
        <f>QSN162*QSO162*QSP162</f>
        <v>#DIV/0!</v>
      </c>
      <c r="QSR162" s="367" t="s">
        <v>206</v>
      </c>
      <c r="QSS162" s="367"/>
      <c r="QST162" s="367"/>
      <c r="QSU162" s="368" t="s">
        <v>168</v>
      </c>
      <c r="QSV162" s="369">
        <v>0.5</v>
      </c>
      <c r="QSW162" s="370" t="e">
        <f>10/QSS160</f>
        <v>#DIV/0!</v>
      </c>
      <c r="QSX162" s="371">
        <v>15.38</v>
      </c>
      <c r="QSY162" s="371" t="e">
        <f>QSV162*QSW162*QSX162</f>
        <v>#DIV/0!</v>
      </c>
      <c r="QSZ162" s="367" t="s">
        <v>206</v>
      </c>
      <c r="QTA162" s="367"/>
      <c r="QTB162" s="367"/>
      <c r="QTC162" s="368" t="s">
        <v>168</v>
      </c>
      <c r="QTD162" s="369">
        <v>0.5</v>
      </c>
      <c r="QTE162" s="370" t="e">
        <f>10/QTA160</f>
        <v>#DIV/0!</v>
      </c>
      <c r="QTF162" s="371">
        <v>15.38</v>
      </c>
      <c r="QTG162" s="371" t="e">
        <f>QTD162*QTE162*QTF162</f>
        <v>#DIV/0!</v>
      </c>
      <c r="QTH162" s="367" t="s">
        <v>206</v>
      </c>
      <c r="QTI162" s="367"/>
      <c r="QTJ162" s="367"/>
      <c r="QTK162" s="368" t="s">
        <v>168</v>
      </c>
      <c r="QTL162" s="369">
        <v>0.5</v>
      </c>
      <c r="QTM162" s="370" t="e">
        <f>10/QTI160</f>
        <v>#DIV/0!</v>
      </c>
      <c r="QTN162" s="371">
        <v>15.38</v>
      </c>
      <c r="QTO162" s="371" t="e">
        <f>QTL162*QTM162*QTN162</f>
        <v>#DIV/0!</v>
      </c>
      <c r="QTP162" s="367" t="s">
        <v>206</v>
      </c>
      <c r="QTQ162" s="367"/>
      <c r="QTR162" s="367"/>
      <c r="QTS162" s="368" t="s">
        <v>168</v>
      </c>
      <c r="QTT162" s="369">
        <v>0.5</v>
      </c>
      <c r="QTU162" s="370" t="e">
        <f>10/QTQ160</f>
        <v>#DIV/0!</v>
      </c>
      <c r="QTV162" s="371">
        <v>15.38</v>
      </c>
      <c r="QTW162" s="371" t="e">
        <f>QTT162*QTU162*QTV162</f>
        <v>#DIV/0!</v>
      </c>
      <c r="QTX162" s="367" t="s">
        <v>206</v>
      </c>
      <c r="QTY162" s="367"/>
      <c r="QTZ162" s="367"/>
      <c r="QUA162" s="368" t="s">
        <v>168</v>
      </c>
      <c r="QUB162" s="369">
        <v>0.5</v>
      </c>
      <c r="QUC162" s="370" t="e">
        <f>10/QTY160</f>
        <v>#DIV/0!</v>
      </c>
      <c r="QUD162" s="371">
        <v>15.38</v>
      </c>
      <c r="QUE162" s="371" t="e">
        <f>QUB162*QUC162*QUD162</f>
        <v>#DIV/0!</v>
      </c>
      <c r="QUF162" s="367" t="s">
        <v>206</v>
      </c>
      <c r="QUG162" s="367"/>
      <c r="QUH162" s="367"/>
      <c r="QUI162" s="368" t="s">
        <v>168</v>
      </c>
      <c r="QUJ162" s="369">
        <v>0.5</v>
      </c>
      <c r="QUK162" s="370" t="e">
        <f>10/QUG160</f>
        <v>#DIV/0!</v>
      </c>
      <c r="QUL162" s="371">
        <v>15.38</v>
      </c>
      <c r="QUM162" s="371" t="e">
        <f>QUJ162*QUK162*QUL162</f>
        <v>#DIV/0!</v>
      </c>
      <c r="QUN162" s="367" t="s">
        <v>206</v>
      </c>
      <c r="QUO162" s="367"/>
      <c r="QUP162" s="367"/>
      <c r="QUQ162" s="368" t="s">
        <v>168</v>
      </c>
      <c r="QUR162" s="369">
        <v>0.5</v>
      </c>
      <c r="QUS162" s="370" t="e">
        <f>10/QUO160</f>
        <v>#DIV/0!</v>
      </c>
      <c r="QUT162" s="371">
        <v>15.38</v>
      </c>
      <c r="QUU162" s="371" t="e">
        <f>QUR162*QUS162*QUT162</f>
        <v>#DIV/0!</v>
      </c>
      <c r="QUV162" s="367" t="s">
        <v>206</v>
      </c>
      <c r="QUW162" s="367"/>
      <c r="QUX162" s="367"/>
      <c r="QUY162" s="368" t="s">
        <v>168</v>
      </c>
      <c r="QUZ162" s="369">
        <v>0.5</v>
      </c>
      <c r="QVA162" s="370" t="e">
        <f>10/QUW160</f>
        <v>#DIV/0!</v>
      </c>
      <c r="QVB162" s="371">
        <v>15.38</v>
      </c>
      <c r="QVC162" s="371" t="e">
        <f>QUZ162*QVA162*QVB162</f>
        <v>#DIV/0!</v>
      </c>
      <c r="QVD162" s="367" t="s">
        <v>206</v>
      </c>
      <c r="QVE162" s="367"/>
      <c r="QVF162" s="367"/>
      <c r="QVG162" s="368" t="s">
        <v>168</v>
      </c>
      <c r="QVH162" s="369">
        <v>0.5</v>
      </c>
      <c r="QVI162" s="370" t="e">
        <f>10/QVE160</f>
        <v>#DIV/0!</v>
      </c>
      <c r="QVJ162" s="371">
        <v>15.38</v>
      </c>
      <c r="QVK162" s="371" t="e">
        <f>QVH162*QVI162*QVJ162</f>
        <v>#DIV/0!</v>
      </c>
      <c r="QVL162" s="367" t="s">
        <v>206</v>
      </c>
      <c r="QVM162" s="367"/>
      <c r="QVN162" s="367"/>
      <c r="QVO162" s="368" t="s">
        <v>168</v>
      </c>
      <c r="QVP162" s="369">
        <v>0.5</v>
      </c>
      <c r="QVQ162" s="370" t="e">
        <f>10/QVM160</f>
        <v>#DIV/0!</v>
      </c>
      <c r="QVR162" s="371">
        <v>15.38</v>
      </c>
      <c r="QVS162" s="371" t="e">
        <f>QVP162*QVQ162*QVR162</f>
        <v>#DIV/0!</v>
      </c>
      <c r="QVT162" s="367" t="s">
        <v>206</v>
      </c>
      <c r="QVU162" s="367"/>
      <c r="QVV162" s="367"/>
      <c r="QVW162" s="368" t="s">
        <v>168</v>
      </c>
      <c r="QVX162" s="369">
        <v>0.5</v>
      </c>
      <c r="QVY162" s="370" t="e">
        <f>10/QVU160</f>
        <v>#DIV/0!</v>
      </c>
      <c r="QVZ162" s="371">
        <v>15.38</v>
      </c>
      <c r="QWA162" s="371" t="e">
        <f>QVX162*QVY162*QVZ162</f>
        <v>#DIV/0!</v>
      </c>
      <c r="QWB162" s="367" t="s">
        <v>206</v>
      </c>
      <c r="QWC162" s="367"/>
      <c r="QWD162" s="367"/>
      <c r="QWE162" s="368" t="s">
        <v>168</v>
      </c>
      <c r="QWF162" s="369">
        <v>0.5</v>
      </c>
      <c r="QWG162" s="370" t="e">
        <f>10/QWC160</f>
        <v>#DIV/0!</v>
      </c>
      <c r="QWH162" s="371">
        <v>15.38</v>
      </c>
      <c r="QWI162" s="371" t="e">
        <f>QWF162*QWG162*QWH162</f>
        <v>#DIV/0!</v>
      </c>
      <c r="QWJ162" s="367" t="s">
        <v>206</v>
      </c>
      <c r="QWK162" s="367"/>
      <c r="QWL162" s="367"/>
      <c r="QWM162" s="368" t="s">
        <v>168</v>
      </c>
      <c r="QWN162" s="369">
        <v>0.5</v>
      </c>
      <c r="QWO162" s="370" t="e">
        <f>10/QWK160</f>
        <v>#DIV/0!</v>
      </c>
      <c r="QWP162" s="371">
        <v>15.38</v>
      </c>
      <c r="QWQ162" s="371" t="e">
        <f>QWN162*QWO162*QWP162</f>
        <v>#DIV/0!</v>
      </c>
      <c r="QWR162" s="367" t="s">
        <v>206</v>
      </c>
      <c r="QWS162" s="367"/>
      <c r="QWT162" s="367"/>
      <c r="QWU162" s="368" t="s">
        <v>168</v>
      </c>
      <c r="QWV162" s="369">
        <v>0.5</v>
      </c>
      <c r="QWW162" s="370" t="e">
        <f>10/QWS160</f>
        <v>#DIV/0!</v>
      </c>
      <c r="QWX162" s="371">
        <v>15.38</v>
      </c>
      <c r="QWY162" s="371" t="e">
        <f>QWV162*QWW162*QWX162</f>
        <v>#DIV/0!</v>
      </c>
      <c r="QWZ162" s="367" t="s">
        <v>206</v>
      </c>
      <c r="QXA162" s="367"/>
      <c r="QXB162" s="367"/>
      <c r="QXC162" s="368" t="s">
        <v>168</v>
      </c>
      <c r="QXD162" s="369">
        <v>0.5</v>
      </c>
      <c r="QXE162" s="370" t="e">
        <f>10/QXA160</f>
        <v>#DIV/0!</v>
      </c>
      <c r="QXF162" s="371">
        <v>15.38</v>
      </c>
      <c r="QXG162" s="371" t="e">
        <f>QXD162*QXE162*QXF162</f>
        <v>#DIV/0!</v>
      </c>
      <c r="QXH162" s="367" t="s">
        <v>206</v>
      </c>
      <c r="QXI162" s="367"/>
      <c r="QXJ162" s="367"/>
      <c r="QXK162" s="368" t="s">
        <v>168</v>
      </c>
      <c r="QXL162" s="369">
        <v>0.5</v>
      </c>
      <c r="QXM162" s="370" t="e">
        <f>10/QXI160</f>
        <v>#DIV/0!</v>
      </c>
      <c r="QXN162" s="371">
        <v>15.38</v>
      </c>
      <c r="QXO162" s="371" t="e">
        <f>QXL162*QXM162*QXN162</f>
        <v>#DIV/0!</v>
      </c>
      <c r="QXP162" s="367" t="s">
        <v>206</v>
      </c>
      <c r="QXQ162" s="367"/>
      <c r="QXR162" s="367"/>
      <c r="QXS162" s="368" t="s">
        <v>168</v>
      </c>
      <c r="QXT162" s="369">
        <v>0.5</v>
      </c>
      <c r="QXU162" s="370" t="e">
        <f>10/QXQ160</f>
        <v>#DIV/0!</v>
      </c>
      <c r="QXV162" s="371">
        <v>15.38</v>
      </c>
      <c r="QXW162" s="371" t="e">
        <f>QXT162*QXU162*QXV162</f>
        <v>#DIV/0!</v>
      </c>
      <c r="QXX162" s="367" t="s">
        <v>206</v>
      </c>
      <c r="QXY162" s="367"/>
      <c r="QXZ162" s="367"/>
      <c r="QYA162" s="368" t="s">
        <v>168</v>
      </c>
      <c r="QYB162" s="369">
        <v>0.5</v>
      </c>
      <c r="QYC162" s="370" t="e">
        <f>10/QXY160</f>
        <v>#DIV/0!</v>
      </c>
      <c r="QYD162" s="371">
        <v>15.38</v>
      </c>
      <c r="QYE162" s="371" t="e">
        <f>QYB162*QYC162*QYD162</f>
        <v>#DIV/0!</v>
      </c>
      <c r="QYF162" s="367" t="s">
        <v>206</v>
      </c>
      <c r="QYG162" s="367"/>
      <c r="QYH162" s="367"/>
      <c r="QYI162" s="368" t="s">
        <v>168</v>
      </c>
      <c r="QYJ162" s="369">
        <v>0.5</v>
      </c>
      <c r="QYK162" s="370" t="e">
        <f>10/QYG160</f>
        <v>#DIV/0!</v>
      </c>
      <c r="QYL162" s="371">
        <v>15.38</v>
      </c>
      <c r="QYM162" s="371" t="e">
        <f>QYJ162*QYK162*QYL162</f>
        <v>#DIV/0!</v>
      </c>
      <c r="QYN162" s="367" t="s">
        <v>206</v>
      </c>
      <c r="QYO162" s="367"/>
      <c r="QYP162" s="367"/>
      <c r="QYQ162" s="368" t="s">
        <v>168</v>
      </c>
      <c r="QYR162" s="369">
        <v>0.5</v>
      </c>
      <c r="QYS162" s="370" t="e">
        <f>10/QYO160</f>
        <v>#DIV/0!</v>
      </c>
      <c r="QYT162" s="371">
        <v>15.38</v>
      </c>
      <c r="QYU162" s="371" t="e">
        <f>QYR162*QYS162*QYT162</f>
        <v>#DIV/0!</v>
      </c>
      <c r="QYV162" s="367" t="s">
        <v>206</v>
      </c>
      <c r="QYW162" s="367"/>
      <c r="QYX162" s="367"/>
      <c r="QYY162" s="368" t="s">
        <v>168</v>
      </c>
      <c r="QYZ162" s="369">
        <v>0.5</v>
      </c>
      <c r="QZA162" s="370" t="e">
        <f>10/QYW160</f>
        <v>#DIV/0!</v>
      </c>
      <c r="QZB162" s="371">
        <v>15.38</v>
      </c>
      <c r="QZC162" s="371" t="e">
        <f>QYZ162*QZA162*QZB162</f>
        <v>#DIV/0!</v>
      </c>
      <c r="QZD162" s="367" t="s">
        <v>206</v>
      </c>
      <c r="QZE162" s="367"/>
      <c r="QZF162" s="367"/>
      <c r="QZG162" s="368" t="s">
        <v>168</v>
      </c>
      <c r="QZH162" s="369">
        <v>0.5</v>
      </c>
      <c r="QZI162" s="370" t="e">
        <f>10/QZE160</f>
        <v>#DIV/0!</v>
      </c>
      <c r="QZJ162" s="371">
        <v>15.38</v>
      </c>
      <c r="QZK162" s="371" t="e">
        <f>QZH162*QZI162*QZJ162</f>
        <v>#DIV/0!</v>
      </c>
      <c r="QZL162" s="367" t="s">
        <v>206</v>
      </c>
      <c r="QZM162" s="367"/>
      <c r="QZN162" s="367"/>
      <c r="QZO162" s="368" t="s">
        <v>168</v>
      </c>
      <c r="QZP162" s="369">
        <v>0.5</v>
      </c>
      <c r="QZQ162" s="370" t="e">
        <f>10/QZM160</f>
        <v>#DIV/0!</v>
      </c>
      <c r="QZR162" s="371">
        <v>15.38</v>
      </c>
      <c r="QZS162" s="371" t="e">
        <f>QZP162*QZQ162*QZR162</f>
        <v>#DIV/0!</v>
      </c>
      <c r="QZT162" s="367" t="s">
        <v>206</v>
      </c>
      <c r="QZU162" s="367"/>
      <c r="QZV162" s="367"/>
      <c r="QZW162" s="368" t="s">
        <v>168</v>
      </c>
      <c r="QZX162" s="369">
        <v>0.5</v>
      </c>
      <c r="QZY162" s="370" t="e">
        <f>10/QZU160</f>
        <v>#DIV/0!</v>
      </c>
      <c r="QZZ162" s="371">
        <v>15.38</v>
      </c>
      <c r="RAA162" s="371" t="e">
        <f>QZX162*QZY162*QZZ162</f>
        <v>#DIV/0!</v>
      </c>
      <c r="RAB162" s="367" t="s">
        <v>206</v>
      </c>
      <c r="RAC162" s="367"/>
      <c r="RAD162" s="367"/>
      <c r="RAE162" s="368" t="s">
        <v>168</v>
      </c>
      <c r="RAF162" s="369">
        <v>0.5</v>
      </c>
      <c r="RAG162" s="370" t="e">
        <f>10/RAC160</f>
        <v>#DIV/0!</v>
      </c>
      <c r="RAH162" s="371">
        <v>15.38</v>
      </c>
      <c r="RAI162" s="371" t="e">
        <f>RAF162*RAG162*RAH162</f>
        <v>#DIV/0!</v>
      </c>
      <c r="RAJ162" s="367" t="s">
        <v>206</v>
      </c>
      <c r="RAK162" s="367"/>
      <c r="RAL162" s="367"/>
      <c r="RAM162" s="368" t="s">
        <v>168</v>
      </c>
      <c r="RAN162" s="369">
        <v>0.5</v>
      </c>
      <c r="RAO162" s="370" t="e">
        <f>10/RAK160</f>
        <v>#DIV/0!</v>
      </c>
      <c r="RAP162" s="371">
        <v>15.38</v>
      </c>
      <c r="RAQ162" s="371" t="e">
        <f>RAN162*RAO162*RAP162</f>
        <v>#DIV/0!</v>
      </c>
      <c r="RAR162" s="367" t="s">
        <v>206</v>
      </c>
      <c r="RAS162" s="367"/>
      <c r="RAT162" s="367"/>
      <c r="RAU162" s="368" t="s">
        <v>168</v>
      </c>
      <c r="RAV162" s="369">
        <v>0.5</v>
      </c>
      <c r="RAW162" s="370" t="e">
        <f>10/RAS160</f>
        <v>#DIV/0!</v>
      </c>
      <c r="RAX162" s="371">
        <v>15.38</v>
      </c>
      <c r="RAY162" s="371" t="e">
        <f>RAV162*RAW162*RAX162</f>
        <v>#DIV/0!</v>
      </c>
      <c r="RAZ162" s="367" t="s">
        <v>206</v>
      </c>
      <c r="RBA162" s="367"/>
      <c r="RBB162" s="367"/>
      <c r="RBC162" s="368" t="s">
        <v>168</v>
      </c>
      <c r="RBD162" s="369">
        <v>0.5</v>
      </c>
      <c r="RBE162" s="370" t="e">
        <f>10/RBA160</f>
        <v>#DIV/0!</v>
      </c>
      <c r="RBF162" s="371">
        <v>15.38</v>
      </c>
      <c r="RBG162" s="371" t="e">
        <f>RBD162*RBE162*RBF162</f>
        <v>#DIV/0!</v>
      </c>
      <c r="RBH162" s="367" t="s">
        <v>206</v>
      </c>
      <c r="RBI162" s="367"/>
      <c r="RBJ162" s="367"/>
      <c r="RBK162" s="368" t="s">
        <v>168</v>
      </c>
      <c r="RBL162" s="369">
        <v>0.5</v>
      </c>
      <c r="RBM162" s="370" t="e">
        <f>10/RBI160</f>
        <v>#DIV/0!</v>
      </c>
      <c r="RBN162" s="371">
        <v>15.38</v>
      </c>
      <c r="RBO162" s="371" t="e">
        <f>RBL162*RBM162*RBN162</f>
        <v>#DIV/0!</v>
      </c>
      <c r="RBP162" s="367" t="s">
        <v>206</v>
      </c>
      <c r="RBQ162" s="367"/>
      <c r="RBR162" s="367"/>
      <c r="RBS162" s="368" t="s">
        <v>168</v>
      </c>
      <c r="RBT162" s="369">
        <v>0.5</v>
      </c>
      <c r="RBU162" s="370" t="e">
        <f>10/RBQ160</f>
        <v>#DIV/0!</v>
      </c>
      <c r="RBV162" s="371">
        <v>15.38</v>
      </c>
      <c r="RBW162" s="371" t="e">
        <f>RBT162*RBU162*RBV162</f>
        <v>#DIV/0!</v>
      </c>
      <c r="RBX162" s="367" t="s">
        <v>206</v>
      </c>
      <c r="RBY162" s="367"/>
      <c r="RBZ162" s="367"/>
      <c r="RCA162" s="368" t="s">
        <v>168</v>
      </c>
      <c r="RCB162" s="369">
        <v>0.5</v>
      </c>
      <c r="RCC162" s="370" t="e">
        <f>10/RBY160</f>
        <v>#DIV/0!</v>
      </c>
      <c r="RCD162" s="371">
        <v>15.38</v>
      </c>
      <c r="RCE162" s="371" t="e">
        <f>RCB162*RCC162*RCD162</f>
        <v>#DIV/0!</v>
      </c>
      <c r="RCF162" s="367" t="s">
        <v>206</v>
      </c>
      <c r="RCG162" s="367"/>
      <c r="RCH162" s="367"/>
      <c r="RCI162" s="368" t="s">
        <v>168</v>
      </c>
      <c r="RCJ162" s="369">
        <v>0.5</v>
      </c>
      <c r="RCK162" s="370" t="e">
        <f>10/RCG160</f>
        <v>#DIV/0!</v>
      </c>
      <c r="RCL162" s="371">
        <v>15.38</v>
      </c>
      <c r="RCM162" s="371" t="e">
        <f>RCJ162*RCK162*RCL162</f>
        <v>#DIV/0!</v>
      </c>
      <c r="RCN162" s="367" t="s">
        <v>206</v>
      </c>
      <c r="RCO162" s="367"/>
      <c r="RCP162" s="367"/>
      <c r="RCQ162" s="368" t="s">
        <v>168</v>
      </c>
      <c r="RCR162" s="369">
        <v>0.5</v>
      </c>
      <c r="RCS162" s="370" t="e">
        <f>10/RCO160</f>
        <v>#DIV/0!</v>
      </c>
      <c r="RCT162" s="371">
        <v>15.38</v>
      </c>
      <c r="RCU162" s="371" t="e">
        <f>RCR162*RCS162*RCT162</f>
        <v>#DIV/0!</v>
      </c>
      <c r="RCV162" s="367" t="s">
        <v>206</v>
      </c>
      <c r="RCW162" s="367"/>
      <c r="RCX162" s="367"/>
      <c r="RCY162" s="368" t="s">
        <v>168</v>
      </c>
      <c r="RCZ162" s="369">
        <v>0.5</v>
      </c>
      <c r="RDA162" s="370" t="e">
        <f>10/RCW160</f>
        <v>#DIV/0!</v>
      </c>
      <c r="RDB162" s="371">
        <v>15.38</v>
      </c>
      <c r="RDC162" s="371" t="e">
        <f>RCZ162*RDA162*RDB162</f>
        <v>#DIV/0!</v>
      </c>
      <c r="RDD162" s="367" t="s">
        <v>206</v>
      </c>
      <c r="RDE162" s="367"/>
      <c r="RDF162" s="367"/>
      <c r="RDG162" s="368" t="s">
        <v>168</v>
      </c>
      <c r="RDH162" s="369">
        <v>0.5</v>
      </c>
      <c r="RDI162" s="370" t="e">
        <f>10/RDE160</f>
        <v>#DIV/0!</v>
      </c>
      <c r="RDJ162" s="371">
        <v>15.38</v>
      </c>
      <c r="RDK162" s="371" t="e">
        <f>RDH162*RDI162*RDJ162</f>
        <v>#DIV/0!</v>
      </c>
      <c r="RDL162" s="367" t="s">
        <v>206</v>
      </c>
      <c r="RDM162" s="367"/>
      <c r="RDN162" s="367"/>
      <c r="RDO162" s="368" t="s">
        <v>168</v>
      </c>
      <c r="RDP162" s="369">
        <v>0.5</v>
      </c>
      <c r="RDQ162" s="370" t="e">
        <f>10/RDM160</f>
        <v>#DIV/0!</v>
      </c>
      <c r="RDR162" s="371">
        <v>15.38</v>
      </c>
      <c r="RDS162" s="371" t="e">
        <f>RDP162*RDQ162*RDR162</f>
        <v>#DIV/0!</v>
      </c>
      <c r="RDT162" s="367" t="s">
        <v>206</v>
      </c>
      <c r="RDU162" s="367"/>
      <c r="RDV162" s="367"/>
      <c r="RDW162" s="368" t="s">
        <v>168</v>
      </c>
      <c r="RDX162" s="369">
        <v>0.5</v>
      </c>
      <c r="RDY162" s="370" t="e">
        <f>10/RDU160</f>
        <v>#DIV/0!</v>
      </c>
      <c r="RDZ162" s="371">
        <v>15.38</v>
      </c>
      <c r="REA162" s="371" t="e">
        <f>RDX162*RDY162*RDZ162</f>
        <v>#DIV/0!</v>
      </c>
      <c r="REB162" s="367" t="s">
        <v>206</v>
      </c>
      <c r="REC162" s="367"/>
      <c r="RED162" s="367"/>
      <c r="REE162" s="368" t="s">
        <v>168</v>
      </c>
      <c r="REF162" s="369">
        <v>0.5</v>
      </c>
      <c r="REG162" s="370" t="e">
        <f>10/REC160</f>
        <v>#DIV/0!</v>
      </c>
      <c r="REH162" s="371">
        <v>15.38</v>
      </c>
      <c r="REI162" s="371" t="e">
        <f>REF162*REG162*REH162</f>
        <v>#DIV/0!</v>
      </c>
      <c r="REJ162" s="367" t="s">
        <v>206</v>
      </c>
      <c r="REK162" s="367"/>
      <c r="REL162" s="367"/>
      <c r="REM162" s="368" t="s">
        <v>168</v>
      </c>
      <c r="REN162" s="369">
        <v>0.5</v>
      </c>
      <c r="REO162" s="370" t="e">
        <f>10/REK160</f>
        <v>#DIV/0!</v>
      </c>
      <c r="REP162" s="371">
        <v>15.38</v>
      </c>
      <c r="REQ162" s="371" t="e">
        <f>REN162*REO162*REP162</f>
        <v>#DIV/0!</v>
      </c>
      <c r="RER162" s="367" t="s">
        <v>206</v>
      </c>
      <c r="RES162" s="367"/>
      <c r="RET162" s="367"/>
      <c r="REU162" s="368" t="s">
        <v>168</v>
      </c>
      <c r="REV162" s="369">
        <v>0.5</v>
      </c>
      <c r="REW162" s="370" t="e">
        <f>10/RES160</f>
        <v>#DIV/0!</v>
      </c>
      <c r="REX162" s="371">
        <v>15.38</v>
      </c>
      <c r="REY162" s="371" t="e">
        <f>REV162*REW162*REX162</f>
        <v>#DIV/0!</v>
      </c>
      <c r="REZ162" s="367" t="s">
        <v>206</v>
      </c>
      <c r="RFA162" s="367"/>
      <c r="RFB162" s="367"/>
      <c r="RFC162" s="368" t="s">
        <v>168</v>
      </c>
      <c r="RFD162" s="369">
        <v>0.5</v>
      </c>
      <c r="RFE162" s="370" t="e">
        <f>10/RFA160</f>
        <v>#DIV/0!</v>
      </c>
      <c r="RFF162" s="371">
        <v>15.38</v>
      </c>
      <c r="RFG162" s="371" t="e">
        <f>RFD162*RFE162*RFF162</f>
        <v>#DIV/0!</v>
      </c>
      <c r="RFH162" s="367" t="s">
        <v>206</v>
      </c>
      <c r="RFI162" s="367"/>
      <c r="RFJ162" s="367"/>
      <c r="RFK162" s="368" t="s">
        <v>168</v>
      </c>
      <c r="RFL162" s="369">
        <v>0.5</v>
      </c>
      <c r="RFM162" s="370" t="e">
        <f>10/RFI160</f>
        <v>#DIV/0!</v>
      </c>
      <c r="RFN162" s="371">
        <v>15.38</v>
      </c>
      <c r="RFO162" s="371" t="e">
        <f>RFL162*RFM162*RFN162</f>
        <v>#DIV/0!</v>
      </c>
      <c r="RFP162" s="367" t="s">
        <v>206</v>
      </c>
      <c r="RFQ162" s="367"/>
      <c r="RFR162" s="367"/>
      <c r="RFS162" s="368" t="s">
        <v>168</v>
      </c>
      <c r="RFT162" s="369">
        <v>0.5</v>
      </c>
      <c r="RFU162" s="370" t="e">
        <f>10/RFQ160</f>
        <v>#DIV/0!</v>
      </c>
      <c r="RFV162" s="371">
        <v>15.38</v>
      </c>
      <c r="RFW162" s="371" t="e">
        <f>RFT162*RFU162*RFV162</f>
        <v>#DIV/0!</v>
      </c>
      <c r="RFX162" s="367" t="s">
        <v>206</v>
      </c>
      <c r="RFY162" s="367"/>
      <c r="RFZ162" s="367"/>
      <c r="RGA162" s="368" t="s">
        <v>168</v>
      </c>
      <c r="RGB162" s="369">
        <v>0.5</v>
      </c>
      <c r="RGC162" s="370" t="e">
        <f>10/RFY160</f>
        <v>#DIV/0!</v>
      </c>
      <c r="RGD162" s="371">
        <v>15.38</v>
      </c>
      <c r="RGE162" s="371" t="e">
        <f>RGB162*RGC162*RGD162</f>
        <v>#DIV/0!</v>
      </c>
      <c r="RGF162" s="367" t="s">
        <v>206</v>
      </c>
      <c r="RGG162" s="367"/>
      <c r="RGH162" s="367"/>
      <c r="RGI162" s="368" t="s">
        <v>168</v>
      </c>
      <c r="RGJ162" s="369">
        <v>0.5</v>
      </c>
      <c r="RGK162" s="370" t="e">
        <f>10/RGG160</f>
        <v>#DIV/0!</v>
      </c>
      <c r="RGL162" s="371">
        <v>15.38</v>
      </c>
      <c r="RGM162" s="371" t="e">
        <f>RGJ162*RGK162*RGL162</f>
        <v>#DIV/0!</v>
      </c>
      <c r="RGN162" s="367" t="s">
        <v>206</v>
      </c>
      <c r="RGO162" s="367"/>
      <c r="RGP162" s="367"/>
      <c r="RGQ162" s="368" t="s">
        <v>168</v>
      </c>
      <c r="RGR162" s="369">
        <v>0.5</v>
      </c>
      <c r="RGS162" s="370" t="e">
        <f>10/RGO160</f>
        <v>#DIV/0!</v>
      </c>
      <c r="RGT162" s="371">
        <v>15.38</v>
      </c>
      <c r="RGU162" s="371" t="e">
        <f>RGR162*RGS162*RGT162</f>
        <v>#DIV/0!</v>
      </c>
      <c r="RGV162" s="367" t="s">
        <v>206</v>
      </c>
      <c r="RGW162" s="367"/>
      <c r="RGX162" s="367"/>
      <c r="RGY162" s="368" t="s">
        <v>168</v>
      </c>
      <c r="RGZ162" s="369">
        <v>0.5</v>
      </c>
      <c r="RHA162" s="370" t="e">
        <f>10/RGW160</f>
        <v>#DIV/0!</v>
      </c>
      <c r="RHB162" s="371">
        <v>15.38</v>
      </c>
      <c r="RHC162" s="371" t="e">
        <f>RGZ162*RHA162*RHB162</f>
        <v>#DIV/0!</v>
      </c>
      <c r="RHD162" s="367" t="s">
        <v>206</v>
      </c>
      <c r="RHE162" s="367"/>
      <c r="RHF162" s="367"/>
      <c r="RHG162" s="368" t="s">
        <v>168</v>
      </c>
      <c r="RHH162" s="369">
        <v>0.5</v>
      </c>
      <c r="RHI162" s="370" t="e">
        <f>10/RHE160</f>
        <v>#DIV/0!</v>
      </c>
      <c r="RHJ162" s="371">
        <v>15.38</v>
      </c>
      <c r="RHK162" s="371" t="e">
        <f>RHH162*RHI162*RHJ162</f>
        <v>#DIV/0!</v>
      </c>
      <c r="RHL162" s="367" t="s">
        <v>206</v>
      </c>
      <c r="RHM162" s="367"/>
      <c r="RHN162" s="367"/>
      <c r="RHO162" s="368" t="s">
        <v>168</v>
      </c>
      <c r="RHP162" s="369">
        <v>0.5</v>
      </c>
      <c r="RHQ162" s="370" t="e">
        <f>10/RHM160</f>
        <v>#DIV/0!</v>
      </c>
      <c r="RHR162" s="371">
        <v>15.38</v>
      </c>
      <c r="RHS162" s="371" t="e">
        <f>RHP162*RHQ162*RHR162</f>
        <v>#DIV/0!</v>
      </c>
      <c r="RHT162" s="367" t="s">
        <v>206</v>
      </c>
      <c r="RHU162" s="367"/>
      <c r="RHV162" s="367"/>
      <c r="RHW162" s="368" t="s">
        <v>168</v>
      </c>
      <c r="RHX162" s="369">
        <v>0.5</v>
      </c>
      <c r="RHY162" s="370" t="e">
        <f>10/RHU160</f>
        <v>#DIV/0!</v>
      </c>
      <c r="RHZ162" s="371">
        <v>15.38</v>
      </c>
      <c r="RIA162" s="371" t="e">
        <f>RHX162*RHY162*RHZ162</f>
        <v>#DIV/0!</v>
      </c>
      <c r="RIB162" s="367" t="s">
        <v>206</v>
      </c>
      <c r="RIC162" s="367"/>
      <c r="RID162" s="367"/>
      <c r="RIE162" s="368" t="s">
        <v>168</v>
      </c>
      <c r="RIF162" s="369">
        <v>0.5</v>
      </c>
      <c r="RIG162" s="370" t="e">
        <f>10/RIC160</f>
        <v>#DIV/0!</v>
      </c>
      <c r="RIH162" s="371">
        <v>15.38</v>
      </c>
      <c r="RII162" s="371" t="e">
        <f>RIF162*RIG162*RIH162</f>
        <v>#DIV/0!</v>
      </c>
      <c r="RIJ162" s="367" t="s">
        <v>206</v>
      </c>
      <c r="RIK162" s="367"/>
      <c r="RIL162" s="367"/>
      <c r="RIM162" s="368" t="s">
        <v>168</v>
      </c>
      <c r="RIN162" s="369">
        <v>0.5</v>
      </c>
      <c r="RIO162" s="370" t="e">
        <f>10/RIK160</f>
        <v>#DIV/0!</v>
      </c>
      <c r="RIP162" s="371">
        <v>15.38</v>
      </c>
      <c r="RIQ162" s="371" t="e">
        <f>RIN162*RIO162*RIP162</f>
        <v>#DIV/0!</v>
      </c>
      <c r="RIR162" s="367" t="s">
        <v>206</v>
      </c>
      <c r="RIS162" s="367"/>
      <c r="RIT162" s="367"/>
      <c r="RIU162" s="368" t="s">
        <v>168</v>
      </c>
      <c r="RIV162" s="369">
        <v>0.5</v>
      </c>
      <c r="RIW162" s="370" t="e">
        <f>10/RIS160</f>
        <v>#DIV/0!</v>
      </c>
      <c r="RIX162" s="371">
        <v>15.38</v>
      </c>
      <c r="RIY162" s="371" t="e">
        <f>RIV162*RIW162*RIX162</f>
        <v>#DIV/0!</v>
      </c>
      <c r="RIZ162" s="367" t="s">
        <v>206</v>
      </c>
      <c r="RJA162" s="367"/>
      <c r="RJB162" s="367"/>
      <c r="RJC162" s="368" t="s">
        <v>168</v>
      </c>
      <c r="RJD162" s="369">
        <v>0.5</v>
      </c>
      <c r="RJE162" s="370" t="e">
        <f>10/RJA160</f>
        <v>#DIV/0!</v>
      </c>
      <c r="RJF162" s="371">
        <v>15.38</v>
      </c>
      <c r="RJG162" s="371" t="e">
        <f>RJD162*RJE162*RJF162</f>
        <v>#DIV/0!</v>
      </c>
      <c r="RJH162" s="367" t="s">
        <v>206</v>
      </c>
      <c r="RJI162" s="367"/>
      <c r="RJJ162" s="367"/>
      <c r="RJK162" s="368" t="s">
        <v>168</v>
      </c>
      <c r="RJL162" s="369">
        <v>0.5</v>
      </c>
      <c r="RJM162" s="370" t="e">
        <f>10/RJI160</f>
        <v>#DIV/0!</v>
      </c>
      <c r="RJN162" s="371">
        <v>15.38</v>
      </c>
      <c r="RJO162" s="371" t="e">
        <f>RJL162*RJM162*RJN162</f>
        <v>#DIV/0!</v>
      </c>
      <c r="RJP162" s="367" t="s">
        <v>206</v>
      </c>
      <c r="RJQ162" s="367"/>
      <c r="RJR162" s="367"/>
      <c r="RJS162" s="368" t="s">
        <v>168</v>
      </c>
      <c r="RJT162" s="369">
        <v>0.5</v>
      </c>
      <c r="RJU162" s="370" t="e">
        <f>10/RJQ160</f>
        <v>#DIV/0!</v>
      </c>
      <c r="RJV162" s="371">
        <v>15.38</v>
      </c>
      <c r="RJW162" s="371" t="e">
        <f>RJT162*RJU162*RJV162</f>
        <v>#DIV/0!</v>
      </c>
      <c r="RJX162" s="367" t="s">
        <v>206</v>
      </c>
      <c r="RJY162" s="367"/>
      <c r="RJZ162" s="367"/>
      <c r="RKA162" s="368" t="s">
        <v>168</v>
      </c>
      <c r="RKB162" s="369">
        <v>0.5</v>
      </c>
      <c r="RKC162" s="370" t="e">
        <f>10/RJY160</f>
        <v>#DIV/0!</v>
      </c>
      <c r="RKD162" s="371">
        <v>15.38</v>
      </c>
      <c r="RKE162" s="371" t="e">
        <f>RKB162*RKC162*RKD162</f>
        <v>#DIV/0!</v>
      </c>
      <c r="RKF162" s="367" t="s">
        <v>206</v>
      </c>
      <c r="RKG162" s="367"/>
      <c r="RKH162" s="367"/>
      <c r="RKI162" s="368" t="s">
        <v>168</v>
      </c>
      <c r="RKJ162" s="369">
        <v>0.5</v>
      </c>
      <c r="RKK162" s="370" t="e">
        <f>10/RKG160</f>
        <v>#DIV/0!</v>
      </c>
      <c r="RKL162" s="371">
        <v>15.38</v>
      </c>
      <c r="RKM162" s="371" t="e">
        <f>RKJ162*RKK162*RKL162</f>
        <v>#DIV/0!</v>
      </c>
      <c r="RKN162" s="367" t="s">
        <v>206</v>
      </c>
      <c r="RKO162" s="367"/>
      <c r="RKP162" s="367"/>
      <c r="RKQ162" s="368" t="s">
        <v>168</v>
      </c>
      <c r="RKR162" s="369">
        <v>0.5</v>
      </c>
      <c r="RKS162" s="370" t="e">
        <f>10/RKO160</f>
        <v>#DIV/0!</v>
      </c>
      <c r="RKT162" s="371">
        <v>15.38</v>
      </c>
      <c r="RKU162" s="371" t="e">
        <f>RKR162*RKS162*RKT162</f>
        <v>#DIV/0!</v>
      </c>
      <c r="RKV162" s="367" t="s">
        <v>206</v>
      </c>
      <c r="RKW162" s="367"/>
      <c r="RKX162" s="367"/>
      <c r="RKY162" s="368" t="s">
        <v>168</v>
      </c>
      <c r="RKZ162" s="369">
        <v>0.5</v>
      </c>
      <c r="RLA162" s="370" t="e">
        <f>10/RKW160</f>
        <v>#DIV/0!</v>
      </c>
      <c r="RLB162" s="371">
        <v>15.38</v>
      </c>
      <c r="RLC162" s="371" t="e">
        <f>RKZ162*RLA162*RLB162</f>
        <v>#DIV/0!</v>
      </c>
      <c r="RLD162" s="367" t="s">
        <v>206</v>
      </c>
      <c r="RLE162" s="367"/>
      <c r="RLF162" s="367"/>
      <c r="RLG162" s="368" t="s">
        <v>168</v>
      </c>
      <c r="RLH162" s="369">
        <v>0.5</v>
      </c>
      <c r="RLI162" s="370" t="e">
        <f>10/RLE160</f>
        <v>#DIV/0!</v>
      </c>
      <c r="RLJ162" s="371">
        <v>15.38</v>
      </c>
      <c r="RLK162" s="371" t="e">
        <f>RLH162*RLI162*RLJ162</f>
        <v>#DIV/0!</v>
      </c>
      <c r="RLL162" s="367" t="s">
        <v>206</v>
      </c>
      <c r="RLM162" s="367"/>
      <c r="RLN162" s="367"/>
      <c r="RLO162" s="368" t="s">
        <v>168</v>
      </c>
      <c r="RLP162" s="369">
        <v>0.5</v>
      </c>
      <c r="RLQ162" s="370" t="e">
        <f>10/RLM160</f>
        <v>#DIV/0!</v>
      </c>
      <c r="RLR162" s="371">
        <v>15.38</v>
      </c>
      <c r="RLS162" s="371" t="e">
        <f>RLP162*RLQ162*RLR162</f>
        <v>#DIV/0!</v>
      </c>
      <c r="RLT162" s="367" t="s">
        <v>206</v>
      </c>
      <c r="RLU162" s="367"/>
      <c r="RLV162" s="367"/>
      <c r="RLW162" s="368" t="s">
        <v>168</v>
      </c>
      <c r="RLX162" s="369">
        <v>0.5</v>
      </c>
      <c r="RLY162" s="370" t="e">
        <f>10/RLU160</f>
        <v>#DIV/0!</v>
      </c>
      <c r="RLZ162" s="371">
        <v>15.38</v>
      </c>
      <c r="RMA162" s="371" t="e">
        <f>RLX162*RLY162*RLZ162</f>
        <v>#DIV/0!</v>
      </c>
      <c r="RMB162" s="367" t="s">
        <v>206</v>
      </c>
      <c r="RMC162" s="367"/>
      <c r="RMD162" s="367"/>
      <c r="RME162" s="368" t="s">
        <v>168</v>
      </c>
      <c r="RMF162" s="369">
        <v>0.5</v>
      </c>
      <c r="RMG162" s="370" t="e">
        <f>10/RMC160</f>
        <v>#DIV/0!</v>
      </c>
      <c r="RMH162" s="371">
        <v>15.38</v>
      </c>
      <c r="RMI162" s="371" t="e">
        <f>RMF162*RMG162*RMH162</f>
        <v>#DIV/0!</v>
      </c>
      <c r="RMJ162" s="367" t="s">
        <v>206</v>
      </c>
      <c r="RMK162" s="367"/>
      <c r="RML162" s="367"/>
      <c r="RMM162" s="368" t="s">
        <v>168</v>
      </c>
      <c r="RMN162" s="369">
        <v>0.5</v>
      </c>
      <c r="RMO162" s="370" t="e">
        <f>10/RMK160</f>
        <v>#DIV/0!</v>
      </c>
      <c r="RMP162" s="371">
        <v>15.38</v>
      </c>
      <c r="RMQ162" s="371" t="e">
        <f>RMN162*RMO162*RMP162</f>
        <v>#DIV/0!</v>
      </c>
      <c r="RMR162" s="367" t="s">
        <v>206</v>
      </c>
      <c r="RMS162" s="367"/>
      <c r="RMT162" s="367"/>
      <c r="RMU162" s="368" t="s">
        <v>168</v>
      </c>
      <c r="RMV162" s="369">
        <v>0.5</v>
      </c>
      <c r="RMW162" s="370" t="e">
        <f>10/RMS160</f>
        <v>#DIV/0!</v>
      </c>
      <c r="RMX162" s="371">
        <v>15.38</v>
      </c>
      <c r="RMY162" s="371" t="e">
        <f>RMV162*RMW162*RMX162</f>
        <v>#DIV/0!</v>
      </c>
      <c r="RMZ162" s="367" t="s">
        <v>206</v>
      </c>
      <c r="RNA162" s="367"/>
      <c r="RNB162" s="367"/>
      <c r="RNC162" s="368" t="s">
        <v>168</v>
      </c>
      <c r="RND162" s="369">
        <v>0.5</v>
      </c>
      <c r="RNE162" s="370" t="e">
        <f>10/RNA160</f>
        <v>#DIV/0!</v>
      </c>
      <c r="RNF162" s="371">
        <v>15.38</v>
      </c>
      <c r="RNG162" s="371" t="e">
        <f>RND162*RNE162*RNF162</f>
        <v>#DIV/0!</v>
      </c>
      <c r="RNH162" s="367" t="s">
        <v>206</v>
      </c>
      <c r="RNI162" s="367"/>
      <c r="RNJ162" s="367"/>
      <c r="RNK162" s="368" t="s">
        <v>168</v>
      </c>
      <c r="RNL162" s="369">
        <v>0.5</v>
      </c>
      <c r="RNM162" s="370" t="e">
        <f>10/RNI160</f>
        <v>#DIV/0!</v>
      </c>
      <c r="RNN162" s="371">
        <v>15.38</v>
      </c>
      <c r="RNO162" s="371" t="e">
        <f>RNL162*RNM162*RNN162</f>
        <v>#DIV/0!</v>
      </c>
      <c r="RNP162" s="367" t="s">
        <v>206</v>
      </c>
      <c r="RNQ162" s="367"/>
      <c r="RNR162" s="367"/>
      <c r="RNS162" s="368" t="s">
        <v>168</v>
      </c>
      <c r="RNT162" s="369">
        <v>0.5</v>
      </c>
      <c r="RNU162" s="370" t="e">
        <f>10/RNQ160</f>
        <v>#DIV/0!</v>
      </c>
      <c r="RNV162" s="371">
        <v>15.38</v>
      </c>
      <c r="RNW162" s="371" t="e">
        <f>RNT162*RNU162*RNV162</f>
        <v>#DIV/0!</v>
      </c>
      <c r="RNX162" s="367" t="s">
        <v>206</v>
      </c>
      <c r="RNY162" s="367"/>
      <c r="RNZ162" s="367"/>
      <c r="ROA162" s="368" t="s">
        <v>168</v>
      </c>
      <c r="ROB162" s="369">
        <v>0.5</v>
      </c>
      <c r="ROC162" s="370" t="e">
        <f>10/RNY160</f>
        <v>#DIV/0!</v>
      </c>
      <c r="ROD162" s="371">
        <v>15.38</v>
      </c>
      <c r="ROE162" s="371" t="e">
        <f>ROB162*ROC162*ROD162</f>
        <v>#DIV/0!</v>
      </c>
      <c r="ROF162" s="367" t="s">
        <v>206</v>
      </c>
      <c r="ROG162" s="367"/>
      <c r="ROH162" s="367"/>
      <c r="ROI162" s="368" t="s">
        <v>168</v>
      </c>
      <c r="ROJ162" s="369">
        <v>0.5</v>
      </c>
      <c r="ROK162" s="370" t="e">
        <f>10/ROG160</f>
        <v>#DIV/0!</v>
      </c>
      <c r="ROL162" s="371">
        <v>15.38</v>
      </c>
      <c r="ROM162" s="371" t="e">
        <f>ROJ162*ROK162*ROL162</f>
        <v>#DIV/0!</v>
      </c>
      <c r="RON162" s="367" t="s">
        <v>206</v>
      </c>
      <c r="ROO162" s="367"/>
      <c r="ROP162" s="367"/>
      <c r="ROQ162" s="368" t="s">
        <v>168</v>
      </c>
      <c r="ROR162" s="369">
        <v>0.5</v>
      </c>
      <c r="ROS162" s="370" t="e">
        <f>10/ROO160</f>
        <v>#DIV/0!</v>
      </c>
      <c r="ROT162" s="371">
        <v>15.38</v>
      </c>
      <c r="ROU162" s="371" t="e">
        <f>ROR162*ROS162*ROT162</f>
        <v>#DIV/0!</v>
      </c>
      <c r="ROV162" s="367" t="s">
        <v>206</v>
      </c>
      <c r="ROW162" s="367"/>
      <c r="ROX162" s="367"/>
      <c r="ROY162" s="368" t="s">
        <v>168</v>
      </c>
      <c r="ROZ162" s="369">
        <v>0.5</v>
      </c>
      <c r="RPA162" s="370" t="e">
        <f>10/ROW160</f>
        <v>#DIV/0!</v>
      </c>
      <c r="RPB162" s="371">
        <v>15.38</v>
      </c>
      <c r="RPC162" s="371" t="e">
        <f>ROZ162*RPA162*RPB162</f>
        <v>#DIV/0!</v>
      </c>
      <c r="RPD162" s="367" t="s">
        <v>206</v>
      </c>
      <c r="RPE162" s="367"/>
      <c r="RPF162" s="367"/>
      <c r="RPG162" s="368" t="s">
        <v>168</v>
      </c>
      <c r="RPH162" s="369">
        <v>0.5</v>
      </c>
      <c r="RPI162" s="370" t="e">
        <f>10/RPE160</f>
        <v>#DIV/0!</v>
      </c>
      <c r="RPJ162" s="371">
        <v>15.38</v>
      </c>
      <c r="RPK162" s="371" t="e">
        <f>RPH162*RPI162*RPJ162</f>
        <v>#DIV/0!</v>
      </c>
      <c r="RPL162" s="367" t="s">
        <v>206</v>
      </c>
      <c r="RPM162" s="367"/>
      <c r="RPN162" s="367"/>
      <c r="RPO162" s="368" t="s">
        <v>168</v>
      </c>
      <c r="RPP162" s="369">
        <v>0.5</v>
      </c>
      <c r="RPQ162" s="370" t="e">
        <f>10/RPM160</f>
        <v>#DIV/0!</v>
      </c>
      <c r="RPR162" s="371">
        <v>15.38</v>
      </c>
      <c r="RPS162" s="371" t="e">
        <f>RPP162*RPQ162*RPR162</f>
        <v>#DIV/0!</v>
      </c>
      <c r="RPT162" s="367" t="s">
        <v>206</v>
      </c>
      <c r="RPU162" s="367"/>
      <c r="RPV162" s="367"/>
      <c r="RPW162" s="368" t="s">
        <v>168</v>
      </c>
      <c r="RPX162" s="369">
        <v>0.5</v>
      </c>
      <c r="RPY162" s="370" t="e">
        <f>10/RPU160</f>
        <v>#DIV/0!</v>
      </c>
      <c r="RPZ162" s="371">
        <v>15.38</v>
      </c>
      <c r="RQA162" s="371" t="e">
        <f>RPX162*RPY162*RPZ162</f>
        <v>#DIV/0!</v>
      </c>
      <c r="RQB162" s="367" t="s">
        <v>206</v>
      </c>
      <c r="RQC162" s="367"/>
      <c r="RQD162" s="367"/>
      <c r="RQE162" s="368" t="s">
        <v>168</v>
      </c>
      <c r="RQF162" s="369">
        <v>0.5</v>
      </c>
      <c r="RQG162" s="370" t="e">
        <f>10/RQC160</f>
        <v>#DIV/0!</v>
      </c>
      <c r="RQH162" s="371">
        <v>15.38</v>
      </c>
      <c r="RQI162" s="371" t="e">
        <f>RQF162*RQG162*RQH162</f>
        <v>#DIV/0!</v>
      </c>
      <c r="RQJ162" s="367" t="s">
        <v>206</v>
      </c>
      <c r="RQK162" s="367"/>
      <c r="RQL162" s="367"/>
      <c r="RQM162" s="368" t="s">
        <v>168</v>
      </c>
      <c r="RQN162" s="369">
        <v>0.5</v>
      </c>
      <c r="RQO162" s="370" t="e">
        <f>10/RQK160</f>
        <v>#DIV/0!</v>
      </c>
      <c r="RQP162" s="371">
        <v>15.38</v>
      </c>
      <c r="RQQ162" s="371" t="e">
        <f>RQN162*RQO162*RQP162</f>
        <v>#DIV/0!</v>
      </c>
      <c r="RQR162" s="367" t="s">
        <v>206</v>
      </c>
      <c r="RQS162" s="367"/>
      <c r="RQT162" s="367"/>
      <c r="RQU162" s="368" t="s">
        <v>168</v>
      </c>
      <c r="RQV162" s="369">
        <v>0.5</v>
      </c>
      <c r="RQW162" s="370" t="e">
        <f>10/RQS160</f>
        <v>#DIV/0!</v>
      </c>
      <c r="RQX162" s="371">
        <v>15.38</v>
      </c>
      <c r="RQY162" s="371" t="e">
        <f>RQV162*RQW162*RQX162</f>
        <v>#DIV/0!</v>
      </c>
      <c r="RQZ162" s="367" t="s">
        <v>206</v>
      </c>
      <c r="RRA162" s="367"/>
      <c r="RRB162" s="367"/>
      <c r="RRC162" s="368" t="s">
        <v>168</v>
      </c>
      <c r="RRD162" s="369">
        <v>0.5</v>
      </c>
      <c r="RRE162" s="370" t="e">
        <f>10/RRA160</f>
        <v>#DIV/0!</v>
      </c>
      <c r="RRF162" s="371">
        <v>15.38</v>
      </c>
      <c r="RRG162" s="371" t="e">
        <f>RRD162*RRE162*RRF162</f>
        <v>#DIV/0!</v>
      </c>
      <c r="RRH162" s="367" t="s">
        <v>206</v>
      </c>
      <c r="RRI162" s="367"/>
      <c r="RRJ162" s="367"/>
      <c r="RRK162" s="368" t="s">
        <v>168</v>
      </c>
      <c r="RRL162" s="369">
        <v>0.5</v>
      </c>
      <c r="RRM162" s="370" t="e">
        <f>10/RRI160</f>
        <v>#DIV/0!</v>
      </c>
      <c r="RRN162" s="371">
        <v>15.38</v>
      </c>
      <c r="RRO162" s="371" t="e">
        <f>RRL162*RRM162*RRN162</f>
        <v>#DIV/0!</v>
      </c>
      <c r="RRP162" s="367" t="s">
        <v>206</v>
      </c>
      <c r="RRQ162" s="367"/>
      <c r="RRR162" s="367"/>
      <c r="RRS162" s="368" t="s">
        <v>168</v>
      </c>
      <c r="RRT162" s="369">
        <v>0.5</v>
      </c>
      <c r="RRU162" s="370" t="e">
        <f>10/RRQ160</f>
        <v>#DIV/0!</v>
      </c>
      <c r="RRV162" s="371">
        <v>15.38</v>
      </c>
      <c r="RRW162" s="371" t="e">
        <f>RRT162*RRU162*RRV162</f>
        <v>#DIV/0!</v>
      </c>
      <c r="RRX162" s="367" t="s">
        <v>206</v>
      </c>
      <c r="RRY162" s="367"/>
      <c r="RRZ162" s="367"/>
      <c r="RSA162" s="368" t="s">
        <v>168</v>
      </c>
      <c r="RSB162" s="369">
        <v>0.5</v>
      </c>
      <c r="RSC162" s="370" t="e">
        <f>10/RRY160</f>
        <v>#DIV/0!</v>
      </c>
      <c r="RSD162" s="371">
        <v>15.38</v>
      </c>
      <c r="RSE162" s="371" t="e">
        <f>RSB162*RSC162*RSD162</f>
        <v>#DIV/0!</v>
      </c>
      <c r="RSF162" s="367" t="s">
        <v>206</v>
      </c>
      <c r="RSG162" s="367"/>
      <c r="RSH162" s="367"/>
      <c r="RSI162" s="368" t="s">
        <v>168</v>
      </c>
      <c r="RSJ162" s="369">
        <v>0.5</v>
      </c>
      <c r="RSK162" s="370" t="e">
        <f>10/RSG160</f>
        <v>#DIV/0!</v>
      </c>
      <c r="RSL162" s="371">
        <v>15.38</v>
      </c>
      <c r="RSM162" s="371" t="e">
        <f>RSJ162*RSK162*RSL162</f>
        <v>#DIV/0!</v>
      </c>
      <c r="RSN162" s="367" t="s">
        <v>206</v>
      </c>
      <c r="RSO162" s="367"/>
      <c r="RSP162" s="367"/>
      <c r="RSQ162" s="368" t="s">
        <v>168</v>
      </c>
      <c r="RSR162" s="369">
        <v>0.5</v>
      </c>
      <c r="RSS162" s="370" t="e">
        <f>10/RSO160</f>
        <v>#DIV/0!</v>
      </c>
      <c r="RST162" s="371">
        <v>15.38</v>
      </c>
      <c r="RSU162" s="371" t="e">
        <f>RSR162*RSS162*RST162</f>
        <v>#DIV/0!</v>
      </c>
      <c r="RSV162" s="367" t="s">
        <v>206</v>
      </c>
      <c r="RSW162" s="367"/>
      <c r="RSX162" s="367"/>
      <c r="RSY162" s="368" t="s">
        <v>168</v>
      </c>
      <c r="RSZ162" s="369">
        <v>0.5</v>
      </c>
      <c r="RTA162" s="370" t="e">
        <f>10/RSW160</f>
        <v>#DIV/0!</v>
      </c>
      <c r="RTB162" s="371">
        <v>15.38</v>
      </c>
      <c r="RTC162" s="371" t="e">
        <f>RSZ162*RTA162*RTB162</f>
        <v>#DIV/0!</v>
      </c>
      <c r="RTD162" s="367" t="s">
        <v>206</v>
      </c>
      <c r="RTE162" s="367"/>
      <c r="RTF162" s="367"/>
      <c r="RTG162" s="368" t="s">
        <v>168</v>
      </c>
      <c r="RTH162" s="369">
        <v>0.5</v>
      </c>
      <c r="RTI162" s="370" t="e">
        <f>10/RTE160</f>
        <v>#DIV/0!</v>
      </c>
      <c r="RTJ162" s="371">
        <v>15.38</v>
      </c>
      <c r="RTK162" s="371" t="e">
        <f>RTH162*RTI162*RTJ162</f>
        <v>#DIV/0!</v>
      </c>
      <c r="RTL162" s="367" t="s">
        <v>206</v>
      </c>
      <c r="RTM162" s="367"/>
      <c r="RTN162" s="367"/>
      <c r="RTO162" s="368" t="s">
        <v>168</v>
      </c>
      <c r="RTP162" s="369">
        <v>0.5</v>
      </c>
      <c r="RTQ162" s="370" t="e">
        <f>10/RTM160</f>
        <v>#DIV/0!</v>
      </c>
      <c r="RTR162" s="371">
        <v>15.38</v>
      </c>
      <c r="RTS162" s="371" t="e">
        <f>RTP162*RTQ162*RTR162</f>
        <v>#DIV/0!</v>
      </c>
      <c r="RTT162" s="367" t="s">
        <v>206</v>
      </c>
      <c r="RTU162" s="367"/>
      <c r="RTV162" s="367"/>
      <c r="RTW162" s="368" t="s">
        <v>168</v>
      </c>
      <c r="RTX162" s="369">
        <v>0.5</v>
      </c>
      <c r="RTY162" s="370" t="e">
        <f>10/RTU160</f>
        <v>#DIV/0!</v>
      </c>
      <c r="RTZ162" s="371">
        <v>15.38</v>
      </c>
      <c r="RUA162" s="371" t="e">
        <f>RTX162*RTY162*RTZ162</f>
        <v>#DIV/0!</v>
      </c>
      <c r="RUB162" s="367" t="s">
        <v>206</v>
      </c>
      <c r="RUC162" s="367"/>
      <c r="RUD162" s="367"/>
      <c r="RUE162" s="368" t="s">
        <v>168</v>
      </c>
      <c r="RUF162" s="369">
        <v>0.5</v>
      </c>
      <c r="RUG162" s="370" t="e">
        <f>10/RUC160</f>
        <v>#DIV/0!</v>
      </c>
      <c r="RUH162" s="371">
        <v>15.38</v>
      </c>
      <c r="RUI162" s="371" t="e">
        <f>RUF162*RUG162*RUH162</f>
        <v>#DIV/0!</v>
      </c>
      <c r="RUJ162" s="367" t="s">
        <v>206</v>
      </c>
      <c r="RUK162" s="367"/>
      <c r="RUL162" s="367"/>
      <c r="RUM162" s="368" t="s">
        <v>168</v>
      </c>
      <c r="RUN162" s="369">
        <v>0.5</v>
      </c>
      <c r="RUO162" s="370" t="e">
        <f>10/RUK160</f>
        <v>#DIV/0!</v>
      </c>
      <c r="RUP162" s="371">
        <v>15.38</v>
      </c>
      <c r="RUQ162" s="371" t="e">
        <f>RUN162*RUO162*RUP162</f>
        <v>#DIV/0!</v>
      </c>
      <c r="RUR162" s="367" t="s">
        <v>206</v>
      </c>
      <c r="RUS162" s="367"/>
      <c r="RUT162" s="367"/>
      <c r="RUU162" s="368" t="s">
        <v>168</v>
      </c>
      <c r="RUV162" s="369">
        <v>0.5</v>
      </c>
      <c r="RUW162" s="370" t="e">
        <f>10/RUS160</f>
        <v>#DIV/0!</v>
      </c>
      <c r="RUX162" s="371">
        <v>15.38</v>
      </c>
      <c r="RUY162" s="371" t="e">
        <f>RUV162*RUW162*RUX162</f>
        <v>#DIV/0!</v>
      </c>
      <c r="RUZ162" s="367" t="s">
        <v>206</v>
      </c>
      <c r="RVA162" s="367"/>
      <c r="RVB162" s="367"/>
      <c r="RVC162" s="368" t="s">
        <v>168</v>
      </c>
      <c r="RVD162" s="369">
        <v>0.5</v>
      </c>
      <c r="RVE162" s="370" t="e">
        <f>10/RVA160</f>
        <v>#DIV/0!</v>
      </c>
      <c r="RVF162" s="371">
        <v>15.38</v>
      </c>
      <c r="RVG162" s="371" t="e">
        <f>RVD162*RVE162*RVF162</f>
        <v>#DIV/0!</v>
      </c>
      <c r="RVH162" s="367" t="s">
        <v>206</v>
      </c>
      <c r="RVI162" s="367"/>
      <c r="RVJ162" s="367"/>
      <c r="RVK162" s="368" t="s">
        <v>168</v>
      </c>
      <c r="RVL162" s="369">
        <v>0.5</v>
      </c>
      <c r="RVM162" s="370" t="e">
        <f>10/RVI160</f>
        <v>#DIV/0!</v>
      </c>
      <c r="RVN162" s="371">
        <v>15.38</v>
      </c>
      <c r="RVO162" s="371" t="e">
        <f>RVL162*RVM162*RVN162</f>
        <v>#DIV/0!</v>
      </c>
      <c r="RVP162" s="367" t="s">
        <v>206</v>
      </c>
      <c r="RVQ162" s="367"/>
      <c r="RVR162" s="367"/>
      <c r="RVS162" s="368" t="s">
        <v>168</v>
      </c>
      <c r="RVT162" s="369">
        <v>0.5</v>
      </c>
      <c r="RVU162" s="370" t="e">
        <f>10/RVQ160</f>
        <v>#DIV/0!</v>
      </c>
      <c r="RVV162" s="371">
        <v>15.38</v>
      </c>
      <c r="RVW162" s="371" t="e">
        <f>RVT162*RVU162*RVV162</f>
        <v>#DIV/0!</v>
      </c>
      <c r="RVX162" s="367" t="s">
        <v>206</v>
      </c>
      <c r="RVY162" s="367"/>
      <c r="RVZ162" s="367"/>
      <c r="RWA162" s="368" t="s">
        <v>168</v>
      </c>
      <c r="RWB162" s="369">
        <v>0.5</v>
      </c>
      <c r="RWC162" s="370" t="e">
        <f>10/RVY160</f>
        <v>#DIV/0!</v>
      </c>
      <c r="RWD162" s="371">
        <v>15.38</v>
      </c>
      <c r="RWE162" s="371" t="e">
        <f>RWB162*RWC162*RWD162</f>
        <v>#DIV/0!</v>
      </c>
      <c r="RWF162" s="367" t="s">
        <v>206</v>
      </c>
      <c r="RWG162" s="367"/>
      <c r="RWH162" s="367"/>
      <c r="RWI162" s="368" t="s">
        <v>168</v>
      </c>
      <c r="RWJ162" s="369">
        <v>0.5</v>
      </c>
      <c r="RWK162" s="370" t="e">
        <f>10/RWG160</f>
        <v>#DIV/0!</v>
      </c>
      <c r="RWL162" s="371">
        <v>15.38</v>
      </c>
      <c r="RWM162" s="371" t="e">
        <f>RWJ162*RWK162*RWL162</f>
        <v>#DIV/0!</v>
      </c>
      <c r="RWN162" s="367" t="s">
        <v>206</v>
      </c>
      <c r="RWO162" s="367"/>
      <c r="RWP162" s="367"/>
      <c r="RWQ162" s="368" t="s">
        <v>168</v>
      </c>
      <c r="RWR162" s="369">
        <v>0.5</v>
      </c>
      <c r="RWS162" s="370" t="e">
        <f>10/RWO160</f>
        <v>#DIV/0!</v>
      </c>
      <c r="RWT162" s="371">
        <v>15.38</v>
      </c>
      <c r="RWU162" s="371" t="e">
        <f>RWR162*RWS162*RWT162</f>
        <v>#DIV/0!</v>
      </c>
      <c r="RWV162" s="367" t="s">
        <v>206</v>
      </c>
      <c r="RWW162" s="367"/>
      <c r="RWX162" s="367"/>
      <c r="RWY162" s="368" t="s">
        <v>168</v>
      </c>
      <c r="RWZ162" s="369">
        <v>0.5</v>
      </c>
      <c r="RXA162" s="370" t="e">
        <f>10/RWW160</f>
        <v>#DIV/0!</v>
      </c>
      <c r="RXB162" s="371">
        <v>15.38</v>
      </c>
      <c r="RXC162" s="371" t="e">
        <f>RWZ162*RXA162*RXB162</f>
        <v>#DIV/0!</v>
      </c>
      <c r="RXD162" s="367" t="s">
        <v>206</v>
      </c>
      <c r="RXE162" s="367"/>
      <c r="RXF162" s="367"/>
      <c r="RXG162" s="368" t="s">
        <v>168</v>
      </c>
      <c r="RXH162" s="369">
        <v>0.5</v>
      </c>
      <c r="RXI162" s="370" t="e">
        <f>10/RXE160</f>
        <v>#DIV/0!</v>
      </c>
      <c r="RXJ162" s="371">
        <v>15.38</v>
      </c>
      <c r="RXK162" s="371" t="e">
        <f>RXH162*RXI162*RXJ162</f>
        <v>#DIV/0!</v>
      </c>
      <c r="RXL162" s="367" t="s">
        <v>206</v>
      </c>
      <c r="RXM162" s="367"/>
      <c r="RXN162" s="367"/>
      <c r="RXO162" s="368" t="s">
        <v>168</v>
      </c>
      <c r="RXP162" s="369">
        <v>0.5</v>
      </c>
      <c r="RXQ162" s="370" t="e">
        <f>10/RXM160</f>
        <v>#DIV/0!</v>
      </c>
      <c r="RXR162" s="371">
        <v>15.38</v>
      </c>
      <c r="RXS162" s="371" t="e">
        <f>RXP162*RXQ162*RXR162</f>
        <v>#DIV/0!</v>
      </c>
      <c r="RXT162" s="367" t="s">
        <v>206</v>
      </c>
      <c r="RXU162" s="367"/>
      <c r="RXV162" s="367"/>
      <c r="RXW162" s="368" t="s">
        <v>168</v>
      </c>
      <c r="RXX162" s="369">
        <v>0.5</v>
      </c>
      <c r="RXY162" s="370" t="e">
        <f>10/RXU160</f>
        <v>#DIV/0!</v>
      </c>
      <c r="RXZ162" s="371">
        <v>15.38</v>
      </c>
      <c r="RYA162" s="371" t="e">
        <f>RXX162*RXY162*RXZ162</f>
        <v>#DIV/0!</v>
      </c>
      <c r="RYB162" s="367" t="s">
        <v>206</v>
      </c>
      <c r="RYC162" s="367"/>
      <c r="RYD162" s="367"/>
      <c r="RYE162" s="368" t="s">
        <v>168</v>
      </c>
      <c r="RYF162" s="369">
        <v>0.5</v>
      </c>
      <c r="RYG162" s="370" t="e">
        <f>10/RYC160</f>
        <v>#DIV/0!</v>
      </c>
      <c r="RYH162" s="371">
        <v>15.38</v>
      </c>
      <c r="RYI162" s="371" t="e">
        <f>RYF162*RYG162*RYH162</f>
        <v>#DIV/0!</v>
      </c>
      <c r="RYJ162" s="367" t="s">
        <v>206</v>
      </c>
      <c r="RYK162" s="367"/>
      <c r="RYL162" s="367"/>
      <c r="RYM162" s="368" t="s">
        <v>168</v>
      </c>
      <c r="RYN162" s="369">
        <v>0.5</v>
      </c>
      <c r="RYO162" s="370" t="e">
        <f>10/RYK160</f>
        <v>#DIV/0!</v>
      </c>
      <c r="RYP162" s="371">
        <v>15.38</v>
      </c>
      <c r="RYQ162" s="371" t="e">
        <f>RYN162*RYO162*RYP162</f>
        <v>#DIV/0!</v>
      </c>
      <c r="RYR162" s="367" t="s">
        <v>206</v>
      </c>
      <c r="RYS162" s="367"/>
      <c r="RYT162" s="367"/>
      <c r="RYU162" s="368" t="s">
        <v>168</v>
      </c>
      <c r="RYV162" s="369">
        <v>0.5</v>
      </c>
      <c r="RYW162" s="370" t="e">
        <f>10/RYS160</f>
        <v>#DIV/0!</v>
      </c>
      <c r="RYX162" s="371">
        <v>15.38</v>
      </c>
      <c r="RYY162" s="371" t="e">
        <f>RYV162*RYW162*RYX162</f>
        <v>#DIV/0!</v>
      </c>
      <c r="RYZ162" s="367" t="s">
        <v>206</v>
      </c>
      <c r="RZA162" s="367"/>
      <c r="RZB162" s="367"/>
      <c r="RZC162" s="368" t="s">
        <v>168</v>
      </c>
      <c r="RZD162" s="369">
        <v>0.5</v>
      </c>
      <c r="RZE162" s="370" t="e">
        <f>10/RZA160</f>
        <v>#DIV/0!</v>
      </c>
      <c r="RZF162" s="371">
        <v>15.38</v>
      </c>
      <c r="RZG162" s="371" t="e">
        <f>RZD162*RZE162*RZF162</f>
        <v>#DIV/0!</v>
      </c>
      <c r="RZH162" s="367" t="s">
        <v>206</v>
      </c>
      <c r="RZI162" s="367"/>
      <c r="RZJ162" s="367"/>
      <c r="RZK162" s="368" t="s">
        <v>168</v>
      </c>
      <c r="RZL162" s="369">
        <v>0.5</v>
      </c>
      <c r="RZM162" s="370" t="e">
        <f>10/RZI160</f>
        <v>#DIV/0!</v>
      </c>
      <c r="RZN162" s="371">
        <v>15.38</v>
      </c>
      <c r="RZO162" s="371" t="e">
        <f>RZL162*RZM162*RZN162</f>
        <v>#DIV/0!</v>
      </c>
      <c r="RZP162" s="367" t="s">
        <v>206</v>
      </c>
      <c r="RZQ162" s="367"/>
      <c r="RZR162" s="367"/>
      <c r="RZS162" s="368" t="s">
        <v>168</v>
      </c>
      <c r="RZT162" s="369">
        <v>0.5</v>
      </c>
      <c r="RZU162" s="370" t="e">
        <f>10/RZQ160</f>
        <v>#DIV/0!</v>
      </c>
      <c r="RZV162" s="371">
        <v>15.38</v>
      </c>
      <c r="RZW162" s="371" t="e">
        <f>RZT162*RZU162*RZV162</f>
        <v>#DIV/0!</v>
      </c>
      <c r="RZX162" s="367" t="s">
        <v>206</v>
      </c>
      <c r="RZY162" s="367"/>
      <c r="RZZ162" s="367"/>
      <c r="SAA162" s="368" t="s">
        <v>168</v>
      </c>
      <c r="SAB162" s="369">
        <v>0.5</v>
      </c>
      <c r="SAC162" s="370" t="e">
        <f>10/RZY160</f>
        <v>#DIV/0!</v>
      </c>
      <c r="SAD162" s="371">
        <v>15.38</v>
      </c>
      <c r="SAE162" s="371" t="e">
        <f>SAB162*SAC162*SAD162</f>
        <v>#DIV/0!</v>
      </c>
      <c r="SAF162" s="367" t="s">
        <v>206</v>
      </c>
      <c r="SAG162" s="367"/>
      <c r="SAH162" s="367"/>
      <c r="SAI162" s="368" t="s">
        <v>168</v>
      </c>
      <c r="SAJ162" s="369">
        <v>0.5</v>
      </c>
      <c r="SAK162" s="370" t="e">
        <f>10/SAG160</f>
        <v>#DIV/0!</v>
      </c>
      <c r="SAL162" s="371">
        <v>15.38</v>
      </c>
      <c r="SAM162" s="371" t="e">
        <f>SAJ162*SAK162*SAL162</f>
        <v>#DIV/0!</v>
      </c>
      <c r="SAN162" s="367" t="s">
        <v>206</v>
      </c>
      <c r="SAO162" s="367"/>
      <c r="SAP162" s="367"/>
      <c r="SAQ162" s="368" t="s">
        <v>168</v>
      </c>
      <c r="SAR162" s="369">
        <v>0.5</v>
      </c>
      <c r="SAS162" s="370" t="e">
        <f>10/SAO160</f>
        <v>#DIV/0!</v>
      </c>
      <c r="SAT162" s="371">
        <v>15.38</v>
      </c>
      <c r="SAU162" s="371" t="e">
        <f>SAR162*SAS162*SAT162</f>
        <v>#DIV/0!</v>
      </c>
      <c r="SAV162" s="367" t="s">
        <v>206</v>
      </c>
      <c r="SAW162" s="367"/>
      <c r="SAX162" s="367"/>
      <c r="SAY162" s="368" t="s">
        <v>168</v>
      </c>
      <c r="SAZ162" s="369">
        <v>0.5</v>
      </c>
      <c r="SBA162" s="370" t="e">
        <f>10/SAW160</f>
        <v>#DIV/0!</v>
      </c>
      <c r="SBB162" s="371">
        <v>15.38</v>
      </c>
      <c r="SBC162" s="371" t="e">
        <f>SAZ162*SBA162*SBB162</f>
        <v>#DIV/0!</v>
      </c>
      <c r="SBD162" s="367" t="s">
        <v>206</v>
      </c>
      <c r="SBE162" s="367"/>
      <c r="SBF162" s="367"/>
      <c r="SBG162" s="368" t="s">
        <v>168</v>
      </c>
      <c r="SBH162" s="369">
        <v>0.5</v>
      </c>
      <c r="SBI162" s="370" t="e">
        <f>10/SBE160</f>
        <v>#DIV/0!</v>
      </c>
      <c r="SBJ162" s="371">
        <v>15.38</v>
      </c>
      <c r="SBK162" s="371" t="e">
        <f>SBH162*SBI162*SBJ162</f>
        <v>#DIV/0!</v>
      </c>
      <c r="SBL162" s="367" t="s">
        <v>206</v>
      </c>
      <c r="SBM162" s="367"/>
      <c r="SBN162" s="367"/>
      <c r="SBO162" s="368" t="s">
        <v>168</v>
      </c>
      <c r="SBP162" s="369">
        <v>0.5</v>
      </c>
      <c r="SBQ162" s="370" t="e">
        <f>10/SBM160</f>
        <v>#DIV/0!</v>
      </c>
      <c r="SBR162" s="371">
        <v>15.38</v>
      </c>
      <c r="SBS162" s="371" t="e">
        <f>SBP162*SBQ162*SBR162</f>
        <v>#DIV/0!</v>
      </c>
      <c r="SBT162" s="367" t="s">
        <v>206</v>
      </c>
      <c r="SBU162" s="367"/>
      <c r="SBV162" s="367"/>
      <c r="SBW162" s="368" t="s">
        <v>168</v>
      </c>
      <c r="SBX162" s="369">
        <v>0.5</v>
      </c>
      <c r="SBY162" s="370" t="e">
        <f>10/SBU160</f>
        <v>#DIV/0!</v>
      </c>
      <c r="SBZ162" s="371">
        <v>15.38</v>
      </c>
      <c r="SCA162" s="371" t="e">
        <f>SBX162*SBY162*SBZ162</f>
        <v>#DIV/0!</v>
      </c>
      <c r="SCB162" s="367" t="s">
        <v>206</v>
      </c>
      <c r="SCC162" s="367"/>
      <c r="SCD162" s="367"/>
      <c r="SCE162" s="368" t="s">
        <v>168</v>
      </c>
      <c r="SCF162" s="369">
        <v>0.5</v>
      </c>
      <c r="SCG162" s="370" t="e">
        <f>10/SCC160</f>
        <v>#DIV/0!</v>
      </c>
      <c r="SCH162" s="371">
        <v>15.38</v>
      </c>
      <c r="SCI162" s="371" t="e">
        <f>SCF162*SCG162*SCH162</f>
        <v>#DIV/0!</v>
      </c>
      <c r="SCJ162" s="367" t="s">
        <v>206</v>
      </c>
      <c r="SCK162" s="367"/>
      <c r="SCL162" s="367"/>
      <c r="SCM162" s="368" t="s">
        <v>168</v>
      </c>
      <c r="SCN162" s="369">
        <v>0.5</v>
      </c>
      <c r="SCO162" s="370" t="e">
        <f>10/SCK160</f>
        <v>#DIV/0!</v>
      </c>
      <c r="SCP162" s="371">
        <v>15.38</v>
      </c>
      <c r="SCQ162" s="371" t="e">
        <f>SCN162*SCO162*SCP162</f>
        <v>#DIV/0!</v>
      </c>
      <c r="SCR162" s="367" t="s">
        <v>206</v>
      </c>
      <c r="SCS162" s="367"/>
      <c r="SCT162" s="367"/>
      <c r="SCU162" s="368" t="s">
        <v>168</v>
      </c>
      <c r="SCV162" s="369">
        <v>0.5</v>
      </c>
      <c r="SCW162" s="370" t="e">
        <f>10/SCS160</f>
        <v>#DIV/0!</v>
      </c>
      <c r="SCX162" s="371">
        <v>15.38</v>
      </c>
      <c r="SCY162" s="371" t="e">
        <f>SCV162*SCW162*SCX162</f>
        <v>#DIV/0!</v>
      </c>
      <c r="SCZ162" s="367" t="s">
        <v>206</v>
      </c>
      <c r="SDA162" s="367"/>
      <c r="SDB162" s="367"/>
      <c r="SDC162" s="368" t="s">
        <v>168</v>
      </c>
      <c r="SDD162" s="369">
        <v>0.5</v>
      </c>
      <c r="SDE162" s="370" t="e">
        <f>10/SDA160</f>
        <v>#DIV/0!</v>
      </c>
      <c r="SDF162" s="371">
        <v>15.38</v>
      </c>
      <c r="SDG162" s="371" t="e">
        <f>SDD162*SDE162*SDF162</f>
        <v>#DIV/0!</v>
      </c>
      <c r="SDH162" s="367" t="s">
        <v>206</v>
      </c>
      <c r="SDI162" s="367"/>
      <c r="SDJ162" s="367"/>
      <c r="SDK162" s="368" t="s">
        <v>168</v>
      </c>
      <c r="SDL162" s="369">
        <v>0.5</v>
      </c>
      <c r="SDM162" s="370" t="e">
        <f>10/SDI160</f>
        <v>#DIV/0!</v>
      </c>
      <c r="SDN162" s="371">
        <v>15.38</v>
      </c>
      <c r="SDO162" s="371" t="e">
        <f>SDL162*SDM162*SDN162</f>
        <v>#DIV/0!</v>
      </c>
      <c r="SDP162" s="367" t="s">
        <v>206</v>
      </c>
      <c r="SDQ162" s="367"/>
      <c r="SDR162" s="367"/>
      <c r="SDS162" s="368" t="s">
        <v>168</v>
      </c>
      <c r="SDT162" s="369">
        <v>0.5</v>
      </c>
      <c r="SDU162" s="370" t="e">
        <f>10/SDQ160</f>
        <v>#DIV/0!</v>
      </c>
      <c r="SDV162" s="371">
        <v>15.38</v>
      </c>
      <c r="SDW162" s="371" t="e">
        <f>SDT162*SDU162*SDV162</f>
        <v>#DIV/0!</v>
      </c>
      <c r="SDX162" s="367" t="s">
        <v>206</v>
      </c>
      <c r="SDY162" s="367"/>
      <c r="SDZ162" s="367"/>
      <c r="SEA162" s="368" t="s">
        <v>168</v>
      </c>
      <c r="SEB162" s="369">
        <v>0.5</v>
      </c>
      <c r="SEC162" s="370" t="e">
        <f>10/SDY160</f>
        <v>#DIV/0!</v>
      </c>
      <c r="SED162" s="371">
        <v>15.38</v>
      </c>
      <c r="SEE162" s="371" t="e">
        <f>SEB162*SEC162*SED162</f>
        <v>#DIV/0!</v>
      </c>
      <c r="SEF162" s="367" t="s">
        <v>206</v>
      </c>
      <c r="SEG162" s="367"/>
      <c r="SEH162" s="367"/>
      <c r="SEI162" s="368" t="s">
        <v>168</v>
      </c>
      <c r="SEJ162" s="369">
        <v>0.5</v>
      </c>
      <c r="SEK162" s="370" t="e">
        <f>10/SEG160</f>
        <v>#DIV/0!</v>
      </c>
      <c r="SEL162" s="371">
        <v>15.38</v>
      </c>
      <c r="SEM162" s="371" t="e">
        <f>SEJ162*SEK162*SEL162</f>
        <v>#DIV/0!</v>
      </c>
      <c r="SEN162" s="367" t="s">
        <v>206</v>
      </c>
      <c r="SEO162" s="367"/>
      <c r="SEP162" s="367"/>
      <c r="SEQ162" s="368" t="s">
        <v>168</v>
      </c>
      <c r="SER162" s="369">
        <v>0.5</v>
      </c>
      <c r="SES162" s="370" t="e">
        <f>10/SEO160</f>
        <v>#DIV/0!</v>
      </c>
      <c r="SET162" s="371">
        <v>15.38</v>
      </c>
      <c r="SEU162" s="371" t="e">
        <f>SER162*SES162*SET162</f>
        <v>#DIV/0!</v>
      </c>
      <c r="SEV162" s="367" t="s">
        <v>206</v>
      </c>
      <c r="SEW162" s="367"/>
      <c r="SEX162" s="367"/>
      <c r="SEY162" s="368" t="s">
        <v>168</v>
      </c>
      <c r="SEZ162" s="369">
        <v>0.5</v>
      </c>
      <c r="SFA162" s="370" t="e">
        <f>10/SEW160</f>
        <v>#DIV/0!</v>
      </c>
      <c r="SFB162" s="371">
        <v>15.38</v>
      </c>
      <c r="SFC162" s="371" t="e">
        <f>SEZ162*SFA162*SFB162</f>
        <v>#DIV/0!</v>
      </c>
      <c r="SFD162" s="367" t="s">
        <v>206</v>
      </c>
      <c r="SFE162" s="367"/>
      <c r="SFF162" s="367"/>
      <c r="SFG162" s="368" t="s">
        <v>168</v>
      </c>
      <c r="SFH162" s="369">
        <v>0.5</v>
      </c>
      <c r="SFI162" s="370" t="e">
        <f>10/SFE160</f>
        <v>#DIV/0!</v>
      </c>
      <c r="SFJ162" s="371">
        <v>15.38</v>
      </c>
      <c r="SFK162" s="371" t="e">
        <f>SFH162*SFI162*SFJ162</f>
        <v>#DIV/0!</v>
      </c>
      <c r="SFL162" s="367" t="s">
        <v>206</v>
      </c>
      <c r="SFM162" s="367"/>
      <c r="SFN162" s="367"/>
      <c r="SFO162" s="368" t="s">
        <v>168</v>
      </c>
      <c r="SFP162" s="369">
        <v>0.5</v>
      </c>
      <c r="SFQ162" s="370" t="e">
        <f>10/SFM160</f>
        <v>#DIV/0!</v>
      </c>
      <c r="SFR162" s="371">
        <v>15.38</v>
      </c>
      <c r="SFS162" s="371" t="e">
        <f>SFP162*SFQ162*SFR162</f>
        <v>#DIV/0!</v>
      </c>
      <c r="SFT162" s="367" t="s">
        <v>206</v>
      </c>
      <c r="SFU162" s="367"/>
      <c r="SFV162" s="367"/>
      <c r="SFW162" s="368" t="s">
        <v>168</v>
      </c>
      <c r="SFX162" s="369">
        <v>0.5</v>
      </c>
      <c r="SFY162" s="370" t="e">
        <f>10/SFU160</f>
        <v>#DIV/0!</v>
      </c>
      <c r="SFZ162" s="371">
        <v>15.38</v>
      </c>
      <c r="SGA162" s="371" t="e">
        <f>SFX162*SFY162*SFZ162</f>
        <v>#DIV/0!</v>
      </c>
      <c r="SGB162" s="367" t="s">
        <v>206</v>
      </c>
      <c r="SGC162" s="367"/>
      <c r="SGD162" s="367"/>
      <c r="SGE162" s="368" t="s">
        <v>168</v>
      </c>
      <c r="SGF162" s="369">
        <v>0.5</v>
      </c>
      <c r="SGG162" s="370" t="e">
        <f>10/SGC160</f>
        <v>#DIV/0!</v>
      </c>
      <c r="SGH162" s="371">
        <v>15.38</v>
      </c>
      <c r="SGI162" s="371" t="e">
        <f>SGF162*SGG162*SGH162</f>
        <v>#DIV/0!</v>
      </c>
      <c r="SGJ162" s="367" t="s">
        <v>206</v>
      </c>
      <c r="SGK162" s="367"/>
      <c r="SGL162" s="367"/>
      <c r="SGM162" s="368" t="s">
        <v>168</v>
      </c>
      <c r="SGN162" s="369">
        <v>0.5</v>
      </c>
      <c r="SGO162" s="370" t="e">
        <f>10/SGK160</f>
        <v>#DIV/0!</v>
      </c>
      <c r="SGP162" s="371">
        <v>15.38</v>
      </c>
      <c r="SGQ162" s="371" t="e">
        <f>SGN162*SGO162*SGP162</f>
        <v>#DIV/0!</v>
      </c>
      <c r="SGR162" s="367" t="s">
        <v>206</v>
      </c>
      <c r="SGS162" s="367"/>
      <c r="SGT162" s="367"/>
      <c r="SGU162" s="368" t="s">
        <v>168</v>
      </c>
      <c r="SGV162" s="369">
        <v>0.5</v>
      </c>
      <c r="SGW162" s="370" t="e">
        <f>10/SGS160</f>
        <v>#DIV/0!</v>
      </c>
      <c r="SGX162" s="371">
        <v>15.38</v>
      </c>
      <c r="SGY162" s="371" t="e">
        <f>SGV162*SGW162*SGX162</f>
        <v>#DIV/0!</v>
      </c>
      <c r="SGZ162" s="367" t="s">
        <v>206</v>
      </c>
      <c r="SHA162" s="367"/>
      <c r="SHB162" s="367"/>
      <c r="SHC162" s="368" t="s">
        <v>168</v>
      </c>
      <c r="SHD162" s="369">
        <v>0.5</v>
      </c>
      <c r="SHE162" s="370" t="e">
        <f>10/SHA160</f>
        <v>#DIV/0!</v>
      </c>
      <c r="SHF162" s="371">
        <v>15.38</v>
      </c>
      <c r="SHG162" s="371" t="e">
        <f>SHD162*SHE162*SHF162</f>
        <v>#DIV/0!</v>
      </c>
      <c r="SHH162" s="367" t="s">
        <v>206</v>
      </c>
      <c r="SHI162" s="367"/>
      <c r="SHJ162" s="367"/>
      <c r="SHK162" s="368" t="s">
        <v>168</v>
      </c>
      <c r="SHL162" s="369">
        <v>0.5</v>
      </c>
      <c r="SHM162" s="370" t="e">
        <f>10/SHI160</f>
        <v>#DIV/0!</v>
      </c>
      <c r="SHN162" s="371">
        <v>15.38</v>
      </c>
      <c r="SHO162" s="371" t="e">
        <f>SHL162*SHM162*SHN162</f>
        <v>#DIV/0!</v>
      </c>
      <c r="SHP162" s="367" t="s">
        <v>206</v>
      </c>
      <c r="SHQ162" s="367"/>
      <c r="SHR162" s="367"/>
      <c r="SHS162" s="368" t="s">
        <v>168</v>
      </c>
      <c r="SHT162" s="369">
        <v>0.5</v>
      </c>
      <c r="SHU162" s="370" t="e">
        <f>10/SHQ160</f>
        <v>#DIV/0!</v>
      </c>
      <c r="SHV162" s="371">
        <v>15.38</v>
      </c>
      <c r="SHW162" s="371" t="e">
        <f>SHT162*SHU162*SHV162</f>
        <v>#DIV/0!</v>
      </c>
      <c r="SHX162" s="367" t="s">
        <v>206</v>
      </c>
      <c r="SHY162" s="367"/>
      <c r="SHZ162" s="367"/>
      <c r="SIA162" s="368" t="s">
        <v>168</v>
      </c>
      <c r="SIB162" s="369">
        <v>0.5</v>
      </c>
      <c r="SIC162" s="370" t="e">
        <f>10/SHY160</f>
        <v>#DIV/0!</v>
      </c>
      <c r="SID162" s="371">
        <v>15.38</v>
      </c>
      <c r="SIE162" s="371" t="e">
        <f>SIB162*SIC162*SID162</f>
        <v>#DIV/0!</v>
      </c>
      <c r="SIF162" s="367" t="s">
        <v>206</v>
      </c>
      <c r="SIG162" s="367"/>
      <c r="SIH162" s="367"/>
      <c r="SII162" s="368" t="s">
        <v>168</v>
      </c>
      <c r="SIJ162" s="369">
        <v>0.5</v>
      </c>
      <c r="SIK162" s="370" t="e">
        <f>10/SIG160</f>
        <v>#DIV/0!</v>
      </c>
      <c r="SIL162" s="371">
        <v>15.38</v>
      </c>
      <c r="SIM162" s="371" t="e">
        <f>SIJ162*SIK162*SIL162</f>
        <v>#DIV/0!</v>
      </c>
      <c r="SIN162" s="367" t="s">
        <v>206</v>
      </c>
      <c r="SIO162" s="367"/>
      <c r="SIP162" s="367"/>
      <c r="SIQ162" s="368" t="s">
        <v>168</v>
      </c>
      <c r="SIR162" s="369">
        <v>0.5</v>
      </c>
      <c r="SIS162" s="370" t="e">
        <f>10/SIO160</f>
        <v>#DIV/0!</v>
      </c>
      <c r="SIT162" s="371">
        <v>15.38</v>
      </c>
      <c r="SIU162" s="371" t="e">
        <f>SIR162*SIS162*SIT162</f>
        <v>#DIV/0!</v>
      </c>
      <c r="SIV162" s="367" t="s">
        <v>206</v>
      </c>
      <c r="SIW162" s="367"/>
      <c r="SIX162" s="367"/>
      <c r="SIY162" s="368" t="s">
        <v>168</v>
      </c>
      <c r="SIZ162" s="369">
        <v>0.5</v>
      </c>
      <c r="SJA162" s="370" t="e">
        <f>10/SIW160</f>
        <v>#DIV/0!</v>
      </c>
      <c r="SJB162" s="371">
        <v>15.38</v>
      </c>
      <c r="SJC162" s="371" t="e">
        <f>SIZ162*SJA162*SJB162</f>
        <v>#DIV/0!</v>
      </c>
      <c r="SJD162" s="367" t="s">
        <v>206</v>
      </c>
      <c r="SJE162" s="367"/>
      <c r="SJF162" s="367"/>
      <c r="SJG162" s="368" t="s">
        <v>168</v>
      </c>
      <c r="SJH162" s="369">
        <v>0.5</v>
      </c>
      <c r="SJI162" s="370" t="e">
        <f>10/SJE160</f>
        <v>#DIV/0!</v>
      </c>
      <c r="SJJ162" s="371">
        <v>15.38</v>
      </c>
      <c r="SJK162" s="371" t="e">
        <f>SJH162*SJI162*SJJ162</f>
        <v>#DIV/0!</v>
      </c>
      <c r="SJL162" s="367" t="s">
        <v>206</v>
      </c>
      <c r="SJM162" s="367"/>
      <c r="SJN162" s="367"/>
      <c r="SJO162" s="368" t="s">
        <v>168</v>
      </c>
      <c r="SJP162" s="369">
        <v>0.5</v>
      </c>
      <c r="SJQ162" s="370" t="e">
        <f>10/SJM160</f>
        <v>#DIV/0!</v>
      </c>
      <c r="SJR162" s="371">
        <v>15.38</v>
      </c>
      <c r="SJS162" s="371" t="e">
        <f>SJP162*SJQ162*SJR162</f>
        <v>#DIV/0!</v>
      </c>
      <c r="SJT162" s="367" t="s">
        <v>206</v>
      </c>
      <c r="SJU162" s="367"/>
      <c r="SJV162" s="367"/>
      <c r="SJW162" s="368" t="s">
        <v>168</v>
      </c>
      <c r="SJX162" s="369">
        <v>0.5</v>
      </c>
      <c r="SJY162" s="370" t="e">
        <f>10/SJU160</f>
        <v>#DIV/0!</v>
      </c>
      <c r="SJZ162" s="371">
        <v>15.38</v>
      </c>
      <c r="SKA162" s="371" t="e">
        <f>SJX162*SJY162*SJZ162</f>
        <v>#DIV/0!</v>
      </c>
      <c r="SKB162" s="367" t="s">
        <v>206</v>
      </c>
      <c r="SKC162" s="367"/>
      <c r="SKD162" s="367"/>
      <c r="SKE162" s="368" t="s">
        <v>168</v>
      </c>
      <c r="SKF162" s="369">
        <v>0.5</v>
      </c>
      <c r="SKG162" s="370" t="e">
        <f>10/SKC160</f>
        <v>#DIV/0!</v>
      </c>
      <c r="SKH162" s="371">
        <v>15.38</v>
      </c>
      <c r="SKI162" s="371" t="e">
        <f>SKF162*SKG162*SKH162</f>
        <v>#DIV/0!</v>
      </c>
      <c r="SKJ162" s="367" t="s">
        <v>206</v>
      </c>
      <c r="SKK162" s="367"/>
      <c r="SKL162" s="367"/>
      <c r="SKM162" s="368" t="s">
        <v>168</v>
      </c>
      <c r="SKN162" s="369">
        <v>0.5</v>
      </c>
      <c r="SKO162" s="370" t="e">
        <f>10/SKK160</f>
        <v>#DIV/0!</v>
      </c>
      <c r="SKP162" s="371">
        <v>15.38</v>
      </c>
      <c r="SKQ162" s="371" t="e">
        <f>SKN162*SKO162*SKP162</f>
        <v>#DIV/0!</v>
      </c>
      <c r="SKR162" s="367" t="s">
        <v>206</v>
      </c>
      <c r="SKS162" s="367"/>
      <c r="SKT162" s="367"/>
      <c r="SKU162" s="368" t="s">
        <v>168</v>
      </c>
      <c r="SKV162" s="369">
        <v>0.5</v>
      </c>
      <c r="SKW162" s="370" t="e">
        <f>10/SKS160</f>
        <v>#DIV/0!</v>
      </c>
      <c r="SKX162" s="371">
        <v>15.38</v>
      </c>
      <c r="SKY162" s="371" t="e">
        <f>SKV162*SKW162*SKX162</f>
        <v>#DIV/0!</v>
      </c>
      <c r="SKZ162" s="367" t="s">
        <v>206</v>
      </c>
      <c r="SLA162" s="367"/>
      <c r="SLB162" s="367"/>
      <c r="SLC162" s="368" t="s">
        <v>168</v>
      </c>
      <c r="SLD162" s="369">
        <v>0.5</v>
      </c>
      <c r="SLE162" s="370" t="e">
        <f>10/SLA160</f>
        <v>#DIV/0!</v>
      </c>
      <c r="SLF162" s="371">
        <v>15.38</v>
      </c>
      <c r="SLG162" s="371" t="e">
        <f>SLD162*SLE162*SLF162</f>
        <v>#DIV/0!</v>
      </c>
      <c r="SLH162" s="367" t="s">
        <v>206</v>
      </c>
      <c r="SLI162" s="367"/>
      <c r="SLJ162" s="367"/>
      <c r="SLK162" s="368" t="s">
        <v>168</v>
      </c>
      <c r="SLL162" s="369">
        <v>0.5</v>
      </c>
      <c r="SLM162" s="370" t="e">
        <f>10/SLI160</f>
        <v>#DIV/0!</v>
      </c>
      <c r="SLN162" s="371">
        <v>15.38</v>
      </c>
      <c r="SLO162" s="371" t="e">
        <f>SLL162*SLM162*SLN162</f>
        <v>#DIV/0!</v>
      </c>
      <c r="SLP162" s="367" t="s">
        <v>206</v>
      </c>
      <c r="SLQ162" s="367"/>
      <c r="SLR162" s="367"/>
      <c r="SLS162" s="368" t="s">
        <v>168</v>
      </c>
      <c r="SLT162" s="369">
        <v>0.5</v>
      </c>
      <c r="SLU162" s="370" t="e">
        <f>10/SLQ160</f>
        <v>#DIV/0!</v>
      </c>
      <c r="SLV162" s="371">
        <v>15.38</v>
      </c>
      <c r="SLW162" s="371" t="e">
        <f>SLT162*SLU162*SLV162</f>
        <v>#DIV/0!</v>
      </c>
      <c r="SLX162" s="367" t="s">
        <v>206</v>
      </c>
      <c r="SLY162" s="367"/>
      <c r="SLZ162" s="367"/>
      <c r="SMA162" s="368" t="s">
        <v>168</v>
      </c>
      <c r="SMB162" s="369">
        <v>0.5</v>
      </c>
      <c r="SMC162" s="370" t="e">
        <f>10/SLY160</f>
        <v>#DIV/0!</v>
      </c>
      <c r="SMD162" s="371">
        <v>15.38</v>
      </c>
      <c r="SME162" s="371" t="e">
        <f>SMB162*SMC162*SMD162</f>
        <v>#DIV/0!</v>
      </c>
      <c r="SMF162" s="367" t="s">
        <v>206</v>
      </c>
      <c r="SMG162" s="367"/>
      <c r="SMH162" s="367"/>
      <c r="SMI162" s="368" t="s">
        <v>168</v>
      </c>
      <c r="SMJ162" s="369">
        <v>0.5</v>
      </c>
      <c r="SMK162" s="370" t="e">
        <f>10/SMG160</f>
        <v>#DIV/0!</v>
      </c>
      <c r="SML162" s="371">
        <v>15.38</v>
      </c>
      <c r="SMM162" s="371" t="e">
        <f>SMJ162*SMK162*SML162</f>
        <v>#DIV/0!</v>
      </c>
      <c r="SMN162" s="367" t="s">
        <v>206</v>
      </c>
      <c r="SMO162" s="367"/>
      <c r="SMP162" s="367"/>
      <c r="SMQ162" s="368" t="s">
        <v>168</v>
      </c>
      <c r="SMR162" s="369">
        <v>0.5</v>
      </c>
      <c r="SMS162" s="370" t="e">
        <f>10/SMO160</f>
        <v>#DIV/0!</v>
      </c>
      <c r="SMT162" s="371">
        <v>15.38</v>
      </c>
      <c r="SMU162" s="371" t="e">
        <f>SMR162*SMS162*SMT162</f>
        <v>#DIV/0!</v>
      </c>
      <c r="SMV162" s="367" t="s">
        <v>206</v>
      </c>
      <c r="SMW162" s="367"/>
      <c r="SMX162" s="367"/>
      <c r="SMY162" s="368" t="s">
        <v>168</v>
      </c>
      <c r="SMZ162" s="369">
        <v>0.5</v>
      </c>
      <c r="SNA162" s="370" t="e">
        <f>10/SMW160</f>
        <v>#DIV/0!</v>
      </c>
      <c r="SNB162" s="371">
        <v>15.38</v>
      </c>
      <c r="SNC162" s="371" t="e">
        <f>SMZ162*SNA162*SNB162</f>
        <v>#DIV/0!</v>
      </c>
      <c r="SND162" s="367" t="s">
        <v>206</v>
      </c>
      <c r="SNE162" s="367"/>
      <c r="SNF162" s="367"/>
      <c r="SNG162" s="368" t="s">
        <v>168</v>
      </c>
      <c r="SNH162" s="369">
        <v>0.5</v>
      </c>
      <c r="SNI162" s="370" t="e">
        <f>10/SNE160</f>
        <v>#DIV/0!</v>
      </c>
      <c r="SNJ162" s="371">
        <v>15.38</v>
      </c>
      <c r="SNK162" s="371" t="e">
        <f>SNH162*SNI162*SNJ162</f>
        <v>#DIV/0!</v>
      </c>
      <c r="SNL162" s="367" t="s">
        <v>206</v>
      </c>
      <c r="SNM162" s="367"/>
      <c r="SNN162" s="367"/>
      <c r="SNO162" s="368" t="s">
        <v>168</v>
      </c>
      <c r="SNP162" s="369">
        <v>0.5</v>
      </c>
      <c r="SNQ162" s="370" t="e">
        <f>10/SNM160</f>
        <v>#DIV/0!</v>
      </c>
      <c r="SNR162" s="371">
        <v>15.38</v>
      </c>
      <c r="SNS162" s="371" t="e">
        <f>SNP162*SNQ162*SNR162</f>
        <v>#DIV/0!</v>
      </c>
      <c r="SNT162" s="367" t="s">
        <v>206</v>
      </c>
      <c r="SNU162" s="367"/>
      <c r="SNV162" s="367"/>
      <c r="SNW162" s="368" t="s">
        <v>168</v>
      </c>
      <c r="SNX162" s="369">
        <v>0.5</v>
      </c>
      <c r="SNY162" s="370" t="e">
        <f>10/SNU160</f>
        <v>#DIV/0!</v>
      </c>
      <c r="SNZ162" s="371">
        <v>15.38</v>
      </c>
      <c r="SOA162" s="371" t="e">
        <f>SNX162*SNY162*SNZ162</f>
        <v>#DIV/0!</v>
      </c>
      <c r="SOB162" s="367" t="s">
        <v>206</v>
      </c>
      <c r="SOC162" s="367"/>
      <c r="SOD162" s="367"/>
      <c r="SOE162" s="368" t="s">
        <v>168</v>
      </c>
      <c r="SOF162" s="369">
        <v>0.5</v>
      </c>
      <c r="SOG162" s="370" t="e">
        <f>10/SOC160</f>
        <v>#DIV/0!</v>
      </c>
      <c r="SOH162" s="371">
        <v>15.38</v>
      </c>
      <c r="SOI162" s="371" t="e">
        <f>SOF162*SOG162*SOH162</f>
        <v>#DIV/0!</v>
      </c>
      <c r="SOJ162" s="367" t="s">
        <v>206</v>
      </c>
      <c r="SOK162" s="367"/>
      <c r="SOL162" s="367"/>
      <c r="SOM162" s="368" t="s">
        <v>168</v>
      </c>
      <c r="SON162" s="369">
        <v>0.5</v>
      </c>
      <c r="SOO162" s="370" t="e">
        <f>10/SOK160</f>
        <v>#DIV/0!</v>
      </c>
      <c r="SOP162" s="371">
        <v>15.38</v>
      </c>
      <c r="SOQ162" s="371" t="e">
        <f>SON162*SOO162*SOP162</f>
        <v>#DIV/0!</v>
      </c>
      <c r="SOR162" s="367" t="s">
        <v>206</v>
      </c>
      <c r="SOS162" s="367"/>
      <c r="SOT162" s="367"/>
      <c r="SOU162" s="368" t="s">
        <v>168</v>
      </c>
      <c r="SOV162" s="369">
        <v>0.5</v>
      </c>
      <c r="SOW162" s="370" t="e">
        <f>10/SOS160</f>
        <v>#DIV/0!</v>
      </c>
      <c r="SOX162" s="371">
        <v>15.38</v>
      </c>
      <c r="SOY162" s="371" t="e">
        <f>SOV162*SOW162*SOX162</f>
        <v>#DIV/0!</v>
      </c>
      <c r="SOZ162" s="367" t="s">
        <v>206</v>
      </c>
      <c r="SPA162" s="367"/>
      <c r="SPB162" s="367"/>
      <c r="SPC162" s="368" t="s">
        <v>168</v>
      </c>
      <c r="SPD162" s="369">
        <v>0.5</v>
      </c>
      <c r="SPE162" s="370" t="e">
        <f>10/SPA160</f>
        <v>#DIV/0!</v>
      </c>
      <c r="SPF162" s="371">
        <v>15.38</v>
      </c>
      <c r="SPG162" s="371" t="e">
        <f>SPD162*SPE162*SPF162</f>
        <v>#DIV/0!</v>
      </c>
      <c r="SPH162" s="367" t="s">
        <v>206</v>
      </c>
      <c r="SPI162" s="367"/>
      <c r="SPJ162" s="367"/>
      <c r="SPK162" s="368" t="s">
        <v>168</v>
      </c>
      <c r="SPL162" s="369">
        <v>0.5</v>
      </c>
      <c r="SPM162" s="370" t="e">
        <f>10/SPI160</f>
        <v>#DIV/0!</v>
      </c>
      <c r="SPN162" s="371">
        <v>15.38</v>
      </c>
      <c r="SPO162" s="371" t="e">
        <f>SPL162*SPM162*SPN162</f>
        <v>#DIV/0!</v>
      </c>
      <c r="SPP162" s="367" t="s">
        <v>206</v>
      </c>
      <c r="SPQ162" s="367"/>
      <c r="SPR162" s="367"/>
      <c r="SPS162" s="368" t="s">
        <v>168</v>
      </c>
      <c r="SPT162" s="369">
        <v>0.5</v>
      </c>
      <c r="SPU162" s="370" t="e">
        <f>10/SPQ160</f>
        <v>#DIV/0!</v>
      </c>
      <c r="SPV162" s="371">
        <v>15.38</v>
      </c>
      <c r="SPW162" s="371" t="e">
        <f>SPT162*SPU162*SPV162</f>
        <v>#DIV/0!</v>
      </c>
      <c r="SPX162" s="367" t="s">
        <v>206</v>
      </c>
      <c r="SPY162" s="367"/>
      <c r="SPZ162" s="367"/>
      <c r="SQA162" s="368" t="s">
        <v>168</v>
      </c>
      <c r="SQB162" s="369">
        <v>0.5</v>
      </c>
      <c r="SQC162" s="370" t="e">
        <f>10/SPY160</f>
        <v>#DIV/0!</v>
      </c>
      <c r="SQD162" s="371">
        <v>15.38</v>
      </c>
      <c r="SQE162" s="371" t="e">
        <f>SQB162*SQC162*SQD162</f>
        <v>#DIV/0!</v>
      </c>
      <c r="SQF162" s="367" t="s">
        <v>206</v>
      </c>
      <c r="SQG162" s="367"/>
      <c r="SQH162" s="367"/>
      <c r="SQI162" s="368" t="s">
        <v>168</v>
      </c>
      <c r="SQJ162" s="369">
        <v>0.5</v>
      </c>
      <c r="SQK162" s="370" t="e">
        <f>10/SQG160</f>
        <v>#DIV/0!</v>
      </c>
      <c r="SQL162" s="371">
        <v>15.38</v>
      </c>
      <c r="SQM162" s="371" t="e">
        <f>SQJ162*SQK162*SQL162</f>
        <v>#DIV/0!</v>
      </c>
      <c r="SQN162" s="367" t="s">
        <v>206</v>
      </c>
      <c r="SQO162" s="367"/>
      <c r="SQP162" s="367"/>
      <c r="SQQ162" s="368" t="s">
        <v>168</v>
      </c>
      <c r="SQR162" s="369">
        <v>0.5</v>
      </c>
      <c r="SQS162" s="370" t="e">
        <f>10/SQO160</f>
        <v>#DIV/0!</v>
      </c>
      <c r="SQT162" s="371">
        <v>15.38</v>
      </c>
      <c r="SQU162" s="371" t="e">
        <f>SQR162*SQS162*SQT162</f>
        <v>#DIV/0!</v>
      </c>
      <c r="SQV162" s="367" t="s">
        <v>206</v>
      </c>
      <c r="SQW162" s="367"/>
      <c r="SQX162" s="367"/>
      <c r="SQY162" s="368" t="s">
        <v>168</v>
      </c>
      <c r="SQZ162" s="369">
        <v>0.5</v>
      </c>
      <c r="SRA162" s="370" t="e">
        <f>10/SQW160</f>
        <v>#DIV/0!</v>
      </c>
      <c r="SRB162" s="371">
        <v>15.38</v>
      </c>
      <c r="SRC162" s="371" t="e">
        <f>SQZ162*SRA162*SRB162</f>
        <v>#DIV/0!</v>
      </c>
      <c r="SRD162" s="367" t="s">
        <v>206</v>
      </c>
      <c r="SRE162" s="367"/>
      <c r="SRF162" s="367"/>
      <c r="SRG162" s="368" t="s">
        <v>168</v>
      </c>
      <c r="SRH162" s="369">
        <v>0.5</v>
      </c>
      <c r="SRI162" s="370" t="e">
        <f>10/SRE160</f>
        <v>#DIV/0!</v>
      </c>
      <c r="SRJ162" s="371">
        <v>15.38</v>
      </c>
      <c r="SRK162" s="371" t="e">
        <f>SRH162*SRI162*SRJ162</f>
        <v>#DIV/0!</v>
      </c>
      <c r="SRL162" s="367" t="s">
        <v>206</v>
      </c>
      <c r="SRM162" s="367"/>
      <c r="SRN162" s="367"/>
      <c r="SRO162" s="368" t="s">
        <v>168</v>
      </c>
      <c r="SRP162" s="369">
        <v>0.5</v>
      </c>
      <c r="SRQ162" s="370" t="e">
        <f>10/SRM160</f>
        <v>#DIV/0!</v>
      </c>
      <c r="SRR162" s="371">
        <v>15.38</v>
      </c>
      <c r="SRS162" s="371" t="e">
        <f>SRP162*SRQ162*SRR162</f>
        <v>#DIV/0!</v>
      </c>
      <c r="SRT162" s="367" t="s">
        <v>206</v>
      </c>
      <c r="SRU162" s="367"/>
      <c r="SRV162" s="367"/>
      <c r="SRW162" s="368" t="s">
        <v>168</v>
      </c>
      <c r="SRX162" s="369">
        <v>0.5</v>
      </c>
      <c r="SRY162" s="370" t="e">
        <f>10/SRU160</f>
        <v>#DIV/0!</v>
      </c>
      <c r="SRZ162" s="371">
        <v>15.38</v>
      </c>
      <c r="SSA162" s="371" t="e">
        <f>SRX162*SRY162*SRZ162</f>
        <v>#DIV/0!</v>
      </c>
      <c r="SSB162" s="367" t="s">
        <v>206</v>
      </c>
      <c r="SSC162" s="367"/>
      <c r="SSD162" s="367"/>
      <c r="SSE162" s="368" t="s">
        <v>168</v>
      </c>
      <c r="SSF162" s="369">
        <v>0.5</v>
      </c>
      <c r="SSG162" s="370" t="e">
        <f>10/SSC160</f>
        <v>#DIV/0!</v>
      </c>
      <c r="SSH162" s="371">
        <v>15.38</v>
      </c>
      <c r="SSI162" s="371" t="e">
        <f>SSF162*SSG162*SSH162</f>
        <v>#DIV/0!</v>
      </c>
      <c r="SSJ162" s="367" t="s">
        <v>206</v>
      </c>
      <c r="SSK162" s="367"/>
      <c r="SSL162" s="367"/>
      <c r="SSM162" s="368" t="s">
        <v>168</v>
      </c>
      <c r="SSN162" s="369">
        <v>0.5</v>
      </c>
      <c r="SSO162" s="370" t="e">
        <f>10/SSK160</f>
        <v>#DIV/0!</v>
      </c>
      <c r="SSP162" s="371">
        <v>15.38</v>
      </c>
      <c r="SSQ162" s="371" t="e">
        <f>SSN162*SSO162*SSP162</f>
        <v>#DIV/0!</v>
      </c>
      <c r="SSR162" s="367" t="s">
        <v>206</v>
      </c>
      <c r="SSS162" s="367"/>
      <c r="SST162" s="367"/>
      <c r="SSU162" s="368" t="s">
        <v>168</v>
      </c>
      <c r="SSV162" s="369">
        <v>0.5</v>
      </c>
      <c r="SSW162" s="370" t="e">
        <f>10/SSS160</f>
        <v>#DIV/0!</v>
      </c>
      <c r="SSX162" s="371">
        <v>15.38</v>
      </c>
      <c r="SSY162" s="371" t="e">
        <f>SSV162*SSW162*SSX162</f>
        <v>#DIV/0!</v>
      </c>
      <c r="SSZ162" s="367" t="s">
        <v>206</v>
      </c>
      <c r="STA162" s="367"/>
      <c r="STB162" s="367"/>
      <c r="STC162" s="368" t="s">
        <v>168</v>
      </c>
      <c r="STD162" s="369">
        <v>0.5</v>
      </c>
      <c r="STE162" s="370" t="e">
        <f>10/STA160</f>
        <v>#DIV/0!</v>
      </c>
      <c r="STF162" s="371">
        <v>15.38</v>
      </c>
      <c r="STG162" s="371" t="e">
        <f>STD162*STE162*STF162</f>
        <v>#DIV/0!</v>
      </c>
      <c r="STH162" s="367" t="s">
        <v>206</v>
      </c>
      <c r="STI162" s="367"/>
      <c r="STJ162" s="367"/>
      <c r="STK162" s="368" t="s">
        <v>168</v>
      </c>
      <c r="STL162" s="369">
        <v>0.5</v>
      </c>
      <c r="STM162" s="370" t="e">
        <f>10/STI160</f>
        <v>#DIV/0!</v>
      </c>
      <c r="STN162" s="371">
        <v>15.38</v>
      </c>
      <c r="STO162" s="371" t="e">
        <f>STL162*STM162*STN162</f>
        <v>#DIV/0!</v>
      </c>
      <c r="STP162" s="367" t="s">
        <v>206</v>
      </c>
      <c r="STQ162" s="367"/>
      <c r="STR162" s="367"/>
      <c r="STS162" s="368" t="s">
        <v>168</v>
      </c>
      <c r="STT162" s="369">
        <v>0.5</v>
      </c>
      <c r="STU162" s="370" t="e">
        <f>10/STQ160</f>
        <v>#DIV/0!</v>
      </c>
      <c r="STV162" s="371">
        <v>15.38</v>
      </c>
      <c r="STW162" s="371" t="e">
        <f>STT162*STU162*STV162</f>
        <v>#DIV/0!</v>
      </c>
      <c r="STX162" s="367" t="s">
        <v>206</v>
      </c>
      <c r="STY162" s="367"/>
      <c r="STZ162" s="367"/>
      <c r="SUA162" s="368" t="s">
        <v>168</v>
      </c>
      <c r="SUB162" s="369">
        <v>0.5</v>
      </c>
      <c r="SUC162" s="370" t="e">
        <f>10/STY160</f>
        <v>#DIV/0!</v>
      </c>
      <c r="SUD162" s="371">
        <v>15.38</v>
      </c>
      <c r="SUE162" s="371" t="e">
        <f>SUB162*SUC162*SUD162</f>
        <v>#DIV/0!</v>
      </c>
      <c r="SUF162" s="367" t="s">
        <v>206</v>
      </c>
      <c r="SUG162" s="367"/>
      <c r="SUH162" s="367"/>
      <c r="SUI162" s="368" t="s">
        <v>168</v>
      </c>
      <c r="SUJ162" s="369">
        <v>0.5</v>
      </c>
      <c r="SUK162" s="370" t="e">
        <f>10/SUG160</f>
        <v>#DIV/0!</v>
      </c>
      <c r="SUL162" s="371">
        <v>15.38</v>
      </c>
      <c r="SUM162" s="371" t="e">
        <f>SUJ162*SUK162*SUL162</f>
        <v>#DIV/0!</v>
      </c>
      <c r="SUN162" s="367" t="s">
        <v>206</v>
      </c>
      <c r="SUO162" s="367"/>
      <c r="SUP162" s="367"/>
      <c r="SUQ162" s="368" t="s">
        <v>168</v>
      </c>
      <c r="SUR162" s="369">
        <v>0.5</v>
      </c>
      <c r="SUS162" s="370" t="e">
        <f>10/SUO160</f>
        <v>#DIV/0!</v>
      </c>
      <c r="SUT162" s="371">
        <v>15.38</v>
      </c>
      <c r="SUU162" s="371" t="e">
        <f>SUR162*SUS162*SUT162</f>
        <v>#DIV/0!</v>
      </c>
      <c r="SUV162" s="367" t="s">
        <v>206</v>
      </c>
      <c r="SUW162" s="367"/>
      <c r="SUX162" s="367"/>
      <c r="SUY162" s="368" t="s">
        <v>168</v>
      </c>
      <c r="SUZ162" s="369">
        <v>0.5</v>
      </c>
      <c r="SVA162" s="370" t="e">
        <f>10/SUW160</f>
        <v>#DIV/0!</v>
      </c>
      <c r="SVB162" s="371">
        <v>15.38</v>
      </c>
      <c r="SVC162" s="371" t="e">
        <f>SUZ162*SVA162*SVB162</f>
        <v>#DIV/0!</v>
      </c>
      <c r="SVD162" s="367" t="s">
        <v>206</v>
      </c>
      <c r="SVE162" s="367"/>
      <c r="SVF162" s="367"/>
      <c r="SVG162" s="368" t="s">
        <v>168</v>
      </c>
      <c r="SVH162" s="369">
        <v>0.5</v>
      </c>
      <c r="SVI162" s="370" t="e">
        <f>10/SVE160</f>
        <v>#DIV/0!</v>
      </c>
      <c r="SVJ162" s="371">
        <v>15.38</v>
      </c>
      <c r="SVK162" s="371" t="e">
        <f>SVH162*SVI162*SVJ162</f>
        <v>#DIV/0!</v>
      </c>
      <c r="SVL162" s="367" t="s">
        <v>206</v>
      </c>
      <c r="SVM162" s="367"/>
      <c r="SVN162" s="367"/>
      <c r="SVO162" s="368" t="s">
        <v>168</v>
      </c>
      <c r="SVP162" s="369">
        <v>0.5</v>
      </c>
      <c r="SVQ162" s="370" t="e">
        <f>10/SVM160</f>
        <v>#DIV/0!</v>
      </c>
      <c r="SVR162" s="371">
        <v>15.38</v>
      </c>
      <c r="SVS162" s="371" t="e">
        <f>SVP162*SVQ162*SVR162</f>
        <v>#DIV/0!</v>
      </c>
      <c r="SVT162" s="367" t="s">
        <v>206</v>
      </c>
      <c r="SVU162" s="367"/>
      <c r="SVV162" s="367"/>
      <c r="SVW162" s="368" t="s">
        <v>168</v>
      </c>
      <c r="SVX162" s="369">
        <v>0.5</v>
      </c>
      <c r="SVY162" s="370" t="e">
        <f>10/SVU160</f>
        <v>#DIV/0!</v>
      </c>
      <c r="SVZ162" s="371">
        <v>15.38</v>
      </c>
      <c r="SWA162" s="371" t="e">
        <f>SVX162*SVY162*SVZ162</f>
        <v>#DIV/0!</v>
      </c>
      <c r="SWB162" s="367" t="s">
        <v>206</v>
      </c>
      <c r="SWC162" s="367"/>
      <c r="SWD162" s="367"/>
      <c r="SWE162" s="368" t="s">
        <v>168</v>
      </c>
      <c r="SWF162" s="369">
        <v>0.5</v>
      </c>
      <c r="SWG162" s="370" t="e">
        <f>10/SWC160</f>
        <v>#DIV/0!</v>
      </c>
      <c r="SWH162" s="371">
        <v>15.38</v>
      </c>
      <c r="SWI162" s="371" t="e">
        <f>SWF162*SWG162*SWH162</f>
        <v>#DIV/0!</v>
      </c>
      <c r="SWJ162" s="367" t="s">
        <v>206</v>
      </c>
      <c r="SWK162" s="367"/>
      <c r="SWL162" s="367"/>
      <c r="SWM162" s="368" t="s">
        <v>168</v>
      </c>
      <c r="SWN162" s="369">
        <v>0.5</v>
      </c>
      <c r="SWO162" s="370" t="e">
        <f>10/SWK160</f>
        <v>#DIV/0!</v>
      </c>
      <c r="SWP162" s="371">
        <v>15.38</v>
      </c>
      <c r="SWQ162" s="371" t="e">
        <f>SWN162*SWO162*SWP162</f>
        <v>#DIV/0!</v>
      </c>
      <c r="SWR162" s="367" t="s">
        <v>206</v>
      </c>
      <c r="SWS162" s="367"/>
      <c r="SWT162" s="367"/>
      <c r="SWU162" s="368" t="s">
        <v>168</v>
      </c>
      <c r="SWV162" s="369">
        <v>0.5</v>
      </c>
      <c r="SWW162" s="370" t="e">
        <f>10/SWS160</f>
        <v>#DIV/0!</v>
      </c>
      <c r="SWX162" s="371">
        <v>15.38</v>
      </c>
      <c r="SWY162" s="371" t="e">
        <f>SWV162*SWW162*SWX162</f>
        <v>#DIV/0!</v>
      </c>
      <c r="SWZ162" s="367" t="s">
        <v>206</v>
      </c>
      <c r="SXA162" s="367"/>
      <c r="SXB162" s="367"/>
      <c r="SXC162" s="368" t="s">
        <v>168</v>
      </c>
      <c r="SXD162" s="369">
        <v>0.5</v>
      </c>
      <c r="SXE162" s="370" t="e">
        <f>10/SXA160</f>
        <v>#DIV/0!</v>
      </c>
      <c r="SXF162" s="371">
        <v>15.38</v>
      </c>
      <c r="SXG162" s="371" t="e">
        <f>SXD162*SXE162*SXF162</f>
        <v>#DIV/0!</v>
      </c>
      <c r="SXH162" s="367" t="s">
        <v>206</v>
      </c>
      <c r="SXI162" s="367"/>
      <c r="SXJ162" s="367"/>
      <c r="SXK162" s="368" t="s">
        <v>168</v>
      </c>
      <c r="SXL162" s="369">
        <v>0.5</v>
      </c>
      <c r="SXM162" s="370" t="e">
        <f>10/SXI160</f>
        <v>#DIV/0!</v>
      </c>
      <c r="SXN162" s="371">
        <v>15.38</v>
      </c>
      <c r="SXO162" s="371" t="e">
        <f>SXL162*SXM162*SXN162</f>
        <v>#DIV/0!</v>
      </c>
      <c r="SXP162" s="367" t="s">
        <v>206</v>
      </c>
      <c r="SXQ162" s="367"/>
      <c r="SXR162" s="367"/>
      <c r="SXS162" s="368" t="s">
        <v>168</v>
      </c>
      <c r="SXT162" s="369">
        <v>0.5</v>
      </c>
      <c r="SXU162" s="370" t="e">
        <f>10/SXQ160</f>
        <v>#DIV/0!</v>
      </c>
      <c r="SXV162" s="371">
        <v>15.38</v>
      </c>
      <c r="SXW162" s="371" t="e">
        <f>SXT162*SXU162*SXV162</f>
        <v>#DIV/0!</v>
      </c>
      <c r="SXX162" s="367" t="s">
        <v>206</v>
      </c>
      <c r="SXY162" s="367"/>
      <c r="SXZ162" s="367"/>
      <c r="SYA162" s="368" t="s">
        <v>168</v>
      </c>
      <c r="SYB162" s="369">
        <v>0.5</v>
      </c>
      <c r="SYC162" s="370" t="e">
        <f>10/SXY160</f>
        <v>#DIV/0!</v>
      </c>
      <c r="SYD162" s="371">
        <v>15.38</v>
      </c>
      <c r="SYE162" s="371" t="e">
        <f>SYB162*SYC162*SYD162</f>
        <v>#DIV/0!</v>
      </c>
      <c r="SYF162" s="367" t="s">
        <v>206</v>
      </c>
      <c r="SYG162" s="367"/>
      <c r="SYH162" s="367"/>
      <c r="SYI162" s="368" t="s">
        <v>168</v>
      </c>
      <c r="SYJ162" s="369">
        <v>0.5</v>
      </c>
      <c r="SYK162" s="370" t="e">
        <f>10/SYG160</f>
        <v>#DIV/0!</v>
      </c>
      <c r="SYL162" s="371">
        <v>15.38</v>
      </c>
      <c r="SYM162" s="371" t="e">
        <f>SYJ162*SYK162*SYL162</f>
        <v>#DIV/0!</v>
      </c>
      <c r="SYN162" s="367" t="s">
        <v>206</v>
      </c>
      <c r="SYO162" s="367"/>
      <c r="SYP162" s="367"/>
      <c r="SYQ162" s="368" t="s">
        <v>168</v>
      </c>
      <c r="SYR162" s="369">
        <v>0.5</v>
      </c>
      <c r="SYS162" s="370" t="e">
        <f>10/SYO160</f>
        <v>#DIV/0!</v>
      </c>
      <c r="SYT162" s="371">
        <v>15.38</v>
      </c>
      <c r="SYU162" s="371" t="e">
        <f>SYR162*SYS162*SYT162</f>
        <v>#DIV/0!</v>
      </c>
      <c r="SYV162" s="367" t="s">
        <v>206</v>
      </c>
      <c r="SYW162" s="367"/>
      <c r="SYX162" s="367"/>
      <c r="SYY162" s="368" t="s">
        <v>168</v>
      </c>
      <c r="SYZ162" s="369">
        <v>0.5</v>
      </c>
      <c r="SZA162" s="370" t="e">
        <f>10/SYW160</f>
        <v>#DIV/0!</v>
      </c>
      <c r="SZB162" s="371">
        <v>15.38</v>
      </c>
      <c r="SZC162" s="371" t="e">
        <f>SYZ162*SZA162*SZB162</f>
        <v>#DIV/0!</v>
      </c>
      <c r="SZD162" s="367" t="s">
        <v>206</v>
      </c>
      <c r="SZE162" s="367"/>
      <c r="SZF162" s="367"/>
      <c r="SZG162" s="368" t="s">
        <v>168</v>
      </c>
      <c r="SZH162" s="369">
        <v>0.5</v>
      </c>
      <c r="SZI162" s="370" t="e">
        <f>10/SZE160</f>
        <v>#DIV/0!</v>
      </c>
      <c r="SZJ162" s="371">
        <v>15.38</v>
      </c>
      <c r="SZK162" s="371" t="e">
        <f>SZH162*SZI162*SZJ162</f>
        <v>#DIV/0!</v>
      </c>
      <c r="SZL162" s="367" t="s">
        <v>206</v>
      </c>
      <c r="SZM162" s="367"/>
      <c r="SZN162" s="367"/>
      <c r="SZO162" s="368" t="s">
        <v>168</v>
      </c>
      <c r="SZP162" s="369">
        <v>0.5</v>
      </c>
      <c r="SZQ162" s="370" t="e">
        <f>10/SZM160</f>
        <v>#DIV/0!</v>
      </c>
      <c r="SZR162" s="371">
        <v>15.38</v>
      </c>
      <c r="SZS162" s="371" t="e">
        <f>SZP162*SZQ162*SZR162</f>
        <v>#DIV/0!</v>
      </c>
      <c r="SZT162" s="367" t="s">
        <v>206</v>
      </c>
      <c r="SZU162" s="367"/>
      <c r="SZV162" s="367"/>
      <c r="SZW162" s="368" t="s">
        <v>168</v>
      </c>
      <c r="SZX162" s="369">
        <v>0.5</v>
      </c>
      <c r="SZY162" s="370" t="e">
        <f>10/SZU160</f>
        <v>#DIV/0!</v>
      </c>
      <c r="SZZ162" s="371">
        <v>15.38</v>
      </c>
      <c r="TAA162" s="371" t="e">
        <f>SZX162*SZY162*SZZ162</f>
        <v>#DIV/0!</v>
      </c>
      <c r="TAB162" s="367" t="s">
        <v>206</v>
      </c>
      <c r="TAC162" s="367"/>
      <c r="TAD162" s="367"/>
      <c r="TAE162" s="368" t="s">
        <v>168</v>
      </c>
      <c r="TAF162" s="369">
        <v>0.5</v>
      </c>
      <c r="TAG162" s="370" t="e">
        <f>10/TAC160</f>
        <v>#DIV/0!</v>
      </c>
      <c r="TAH162" s="371">
        <v>15.38</v>
      </c>
      <c r="TAI162" s="371" t="e">
        <f>TAF162*TAG162*TAH162</f>
        <v>#DIV/0!</v>
      </c>
      <c r="TAJ162" s="367" t="s">
        <v>206</v>
      </c>
      <c r="TAK162" s="367"/>
      <c r="TAL162" s="367"/>
      <c r="TAM162" s="368" t="s">
        <v>168</v>
      </c>
      <c r="TAN162" s="369">
        <v>0.5</v>
      </c>
      <c r="TAO162" s="370" t="e">
        <f>10/TAK160</f>
        <v>#DIV/0!</v>
      </c>
      <c r="TAP162" s="371">
        <v>15.38</v>
      </c>
      <c r="TAQ162" s="371" t="e">
        <f>TAN162*TAO162*TAP162</f>
        <v>#DIV/0!</v>
      </c>
      <c r="TAR162" s="367" t="s">
        <v>206</v>
      </c>
      <c r="TAS162" s="367"/>
      <c r="TAT162" s="367"/>
      <c r="TAU162" s="368" t="s">
        <v>168</v>
      </c>
      <c r="TAV162" s="369">
        <v>0.5</v>
      </c>
      <c r="TAW162" s="370" t="e">
        <f>10/TAS160</f>
        <v>#DIV/0!</v>
      </c>
      <c r="TAX162" s="371">
        <v>15.38</v>
      </c>
      <c r="TAY162" s="371" t="e">
        <f>TAV162*TAW162*TAX162</f>
        <v>#DIV/0!</v>
      </c>
      <c r="TAZ162" s="367" t="s">
        <v>206</v>
      </c>
      <c r="TBA162" s="367"/>
      <c r="TBB162" s="367"/>
      <c r="TBC162" s="368" t="s">
        <v>168</v>
      </c>
      <c r="TBD162" s="369">
        <v>0.5</v>
      </c>
      <c r="TBE162" s="370" t="e">
        <f>10/TBA160</f>
        <v>#DIV/0!</v>
      </c>
      <c r="TBF162" s="371">
        <v>15.38</v>
      </c>
      <c r="TBG162" s="371" t="e">
        <f>TBD162*TBE162*TBF162</f>
        <v>#DIV/0!</v>
      </c>
      <c r="TBH162" s="367" t="s">
        <v>206</v>
      </c>
      <c r="TBI162" s="367"/>
      <c r="TBJ162" s="367"/>
      <c r="TBK162" s="368" t="s">
        <v>168</v>
      </c>
      <c r="TBL162" s="369">
        <v>0.5</v>
      </c>
      <c r="TBM162" s="370" t="e">
        <f>10/TBI160</f>
        <v>#DIV/0!</v>
      </c>
      <c r="TBN162" s="371">
        <v>15.38</v>
      </c>
      <c r="TBO162" s="371" t="e">
        <f>TBL162*TBM162*TBN162</f>
        <v>#DIV/0!</v>
      </c>
      <c r="TBP162" s="367" t="s">
        <v>206</v>
      </c>
      <c r="TBQ162" s="367"/>
      <c r="TBR162" s="367"/>
      <c r="TBS162" s="368" t="s">
        <v>168</v>
      </c>
      <c r="TBT162" s="369">
        <v>0.5</v>
      </c>
      <c r="TBU162" s="370" t="e">
        <f>10/TBQ160</f>
        <v>#DIV/0!</v>
      </c>
      <c r="TBV162" s="371">
        <v>15.38</v>
      </c>
      <c r="TBW162" s="371" t="e">
        <f>TBT162*TBU162*TBV162</f>
        <v>#DIV/0!</v>
      </c>
      <c r="TBX162" s="367" t="s">
        <v>206</v>
      </c>
      <c r="TBY162" s="367"/>
      <c r="TBZ162" s="367"/>
      <c r="TCA162" s="368" t="s">
        <v>168</v>
      </c>
      <c r="TCB162" s="369">
        <v>0.5</v>
      </c>
      <c r="TCC162" s="370" t="e">
        <f>10/TBY160</f>
        <v>#DIV/0!</v>
      </c>
      <c r="TCD162" s="371">
        <v>15.38</v>
      </c>
      <c r="TCE162" s="371" t="e">
        <f>TCB162*TCC162*TCD162</f>
        <v>#DIV/0!</v>
      </c>
      <c r="TCF162" s="367" t="s">
        <v>206</v>
      </c>
      <c r="TCG162" s="367"/>
      <c r="TCH162" s="367"/>
      <c r="TCI162" s="368" t="s">
        <v>168</v>
      </c>
      <c r="TCJ162" s="369">
        <v>0.5</v>
      </c>
      <c r="TCK162" s="370" t="e">
        <f>10/TCG160</f>
        <v>#DIV/0!</v>
      </c>
      <c r="TCL162" s="371">
        <v>15.38</v>
      </c>
      <c r="TCM162" s="371" t="e">
        <f>TCJ162*TCK162*TCL162</f>
        <v>#DIV/0!</v>
      </c>
      <c r="TCN162" s="367" t="s">
        <v>206</v>
      </c>
      <c r="TCO162" s="367"/>
      <c r="TCP162" s="367"/>
      <c r="TCQ162" s="368" t="s">
        <v>168</v>
      </c>
      <c r="TCR162" s="369">
        <v>0.5</v>
      </c>
      <c r="TCS162" s="370" t="e">
        <f>10/TCO160</f>
        <v>#DIV/0!</v>
      </c>
      <c r="TCT162" s="371">
        <v>15.38</v>
      </c>
      <c r="TCU162" s="371" t="e">
        <f>TCR162*TCS162*TCT162</f>
        <v>#DIV/0!</v>
      </c>
      <c r="TCV162" s="367" t="s">
        <v>206</v>
      </c>
      <c r="TCW162" s="367"/>
      <c r="TCX162" s="367"/>
      <c r="TCY162" s="368" t="s">
        <v>168</v>
      </c>
      <c r="TCZ162" s="369">
        <v>0.5</v>
      </c>
      <c r="TDA162" s="370" t="e">
        <f>10/TCW160</f>
        <v>#DIV/0!</v>
      </c>
      <c r="TDB162" s="371">
        <v>15.38</v>
      </c>
      <c r="TDC162" s="371" t="e">
        <f>TCZ162*TDA162*TDB162</f>
        <v>#DIV/0!</v>
      </c>
      <c r="TDD162" s="367" t="s">
        <v>206</v>
      </c>
      <c r="TDE162" s="367"/>
      <c r="TDF162" s="367"/>
      <c r="TDG162" s="368" t="s">
        <v>168</v>
      </c>
      <c r="TDH162" s="369">
        <v>0.5</v>
      </c>
      <c r="TDI162" s="370" t="e">
        <f>10/TDE160</f>
        <v>#DIV/0!</v>
      </c>
      <c r="TDJ162" s="371">
        <v>15.38</v>
      </c>
      <c r="TDK162" s="371" t="e">
        <f>TDH162*TDI162*TDJ162</f>
        <v>#DIV/0!</v>
      </c>
      <c r="TDL162" s="367" t="s">
        <v>206</v>
      </c>
      <c r="TDM162" s="367"/>
      <c r="TDN162" s="367"/>
      <c r="TDO162" s="368" t="s">
        <v>168</v>
      </c>
      <c r="TDP162" s="369">
        <v>0.5</v>
      </c>
      <c r="TDQ162" s="370" t="e">
        <f>10/TDM160</f>
        <v>#DIV/0!</v>
      </c>
      <c r="TDR162" s="371">
        <v>15.38</v>
      </c>
      <c r="TDS162" s="371" t="e">
        <f>TDP162*TDQ162*TDR162</f>
        <v>#DIV/0!</v>
      </c>
      <c r="TDT162" s="367" t="s">
        <v>206</v>
      </c>
      <c r="TDU162" s="367"/>
      <c r="TDV162" s="367"/>
      <c r="TDW162" s="368" t="s">
        <v>168</v>
      </c>
      <c r="TDX162" s="369">
        <v>0.5</v>
      </c>
      <c r="TDY162" s="370" t="e">
        <f>10/TDU160</f>
        <v>#DIV/0!</v>
      </c>
      <c r="TDZ162" s="371">
        <v>15.38</v>
      </c>
      <c r="TEA162" s="371" t="e">
        <f>TDX162*TDY162*TDZ162</f>
        <v>#DIV/0!</v>
      </c>
      <c r="TEB162" s="367" t="s">
        <v>206</v>
      </c>
      <c r="TEC162" s="367"/>
      <c r="TED162" s="367"/>
      <c r="TEE162" s="368" t="s">
        <v>168</v>
      </c>
      <c r="TEF162" s="369">
        <v>0.5</v>
      </c>
      <c r="TEG162" s="370" t="e">
        <f>10/TEC160</f>
        <v>#DIV/0!</v>
      </c>
      <c r="TEH162" s="371">
        <v>15.38</v>
      </c>
      <c r="TEI162" s="371" t="e">
        <f>TEF162*TEG162*TEH162</f>
        <v>#DIV/0!</v>
      </c>
      <c r="TEJ162" s="367" t="s">
        <v>206</v>
      </c>
      <c r="TEK162" s="367"/>
      <c r="TEL162" s="367"/>
      <c r="TEM162" s="368" t="s">
        <v>168</v>
      </c>
      <c r="TEN162" s="369">
        <v>0.5</v>
      </c>
      <c r="TEO162" s="370" t="e">
        <f>10/TEK160</f>
        <v>#DIV/0!</v>
      </c>
      <c r="TEP162" s="371">
        <v>15.38</v>
      </c>
      <c r="TEQ162" s="371" t="e">
        <f>TEN162*TEO162*TEP162</f>
        <v>#DIV/0!</v>
      </c>
      <c r="TER162" s="367" t="s">
        <v>206</v>
      </c>
      <c r="TES162" s="367"/>
      <c r="TET162" s="367"/>
      <c r="TEU162" s="368" t="s">
        <v>168</v>
      </c>
      <c r="TEV162" s="369">
        <v>0.5</v>
      </c>
      <c r="TEW162" s="370" t="e">
        <f>10/TES160</f>
        <v>#DIV/0!</v>
      </c>
      <c r="TEX162" s="371">
        <v>15.38</v>
      </c>
      <c r="TEY162" s="371" t="e">
        <f>TEV162*TEW162*TEX162</f>
        <v>#DIV/0!</v>
      </c>
      <c r="TEZ162" s="367" t="s">
        <v>206</v>
      </c>
      <c r="TFA162" s="367"/>
      <c r="TFB162" s="367"/>
      <c r="TFC162" s="368" t="s">
        <v>168</v>
      </c>
      <c r="TFD162" s="369">
        <v>0.5</v>
      </c>
      <c r="TFE162" s="370" t="e">
        <f>10/TFA160</f>
        <v>#DIV/0!</v>
      </c>
      <c r="TFF162" s="371">
        <v>15.38</v>
      </c>
      <c r="TFG162" s="371" t="e">
        <f>TFD162*TFE162*TFF162</f>
        <v>#DIV/0!</v>
      </c>
      <c r="TFH162" s="367" t="s">
        <v>206</v>
      </c>
      <c r="TFI162" s="367"/>
      <c r="TFJ162" s="367"/>
      <c r="TFK162" s="368" t="s">
        <v>168</v>
      </c>
      <c r="TFL162" s="369">
        <v>0.5</v>
      </c>
      <c r="TFM162" s="370" t="e">
        <f>10/TFI160</f>
        <v>#DIV/0!</v>
      </c>
      <c r="TFN162" s="371">
        <v>15.38</v>
      </c>
      <c r="TFO162" s="371" t="e">
        <f>TFL162*TFM162*TFN162</f>
        <v>#DIV/0!</v>
      </c>
      <c r="TFP162" s="367" t="s">
        <v>206</v>
      </c>
      <c r="TFQ162" s="367"/>
      <c r="TFR162" s="367"/>
      <c r="TFS162" s="368" t="s">
        <v>168</v>
      </c>
      <c r="TFT162" s="369">
        <v>0.5</v>
      </c>
      <c r="TFU162" s="370" t="e">
        <f>10/TFQ160</f>
        <v>#DIV/0!</v>
      </c>
      <c r="TFV162" s="371">
        <v>15.38</v>
      </c>
      <c r="TFW162" s="371" t="e">
        <f>TFT162*TFU162*TFV162</f>
        <v>#DIV/0!</v>
      </c>
      <c r="TFX162" s="367" t="s">
        <v>206</v>
      </c>
      <c r="TFY162" s="367"/>
      <c r="TFZ162" s="367"/>
      <c r="TGA162" s="368" t="s">
        <v>168</v>
      </c>
      <c r="TGB162" s="369">
        <v>0.5</v>
      </c>
      <c r="TGC162" s="370" t="e">
        <f>10/TFY160</f>
        <v>#DIV/0!</v>
      </c>
      <c r="TGD162" s="371">
        <v>15.38</v>
      </c>
      <c r="TGE162" s="371" t="e">
        <f>TGB162*TGC162*TGD162</f>
        <v>#DIV/0!</v>
      </c>
      <c r="TGF162" s="367" t="s">
        <v>206</v>
      </c>
      <c r="TGG162" s="367"/>
      <c r="TGH162" s="367"/>
      <c r="TGI162" s="368" t="s">
        <v>168</v>
      </c>
      <c r="TGJ162" s="369">
        <v>0.5</v>
      </c>
      <c r="TGK162" s="370" t="e">
        <f>10/TGG160</f>
        <v>#DIV/0!</v>
      </c>
      <c r="TGL162" s="371">
        <v>15.38</v>
      </c>
      <c r="TGM162" s="371" t="e">
        <f>TGJ162*TGK162*TGL162</f>
        <v>#DIV/0!</v>
      </c>
      <c r="TGN162" s="367" t="s">
        <v>206</v>
      </c>
      <c r="TGO162" s="367"/>
      <c r="TGP162" s="367"/>
      <c r="TGQ162" s="368" t="s">
        <v>168</v>
      </c>
      <c r="TGR162" s="369">
        <v>0.5</v>
      </c>
      <c r="TGS162" s="370" t="e">
        <f>10/TGO160</f>
        <v>#DIV/0!</v>
      </c>
      <c r="TGT162" s="371">
        <v>15.38</v>
      </c>
      <c r="TGU162" s="371" t="e">
        <f>TGR162*TGS162*TGT162</f>
        <v>#DIV/0!</v>
      </c>
      <c r="TGV162" s="367" t="s">
        <v>206</v>
      </c>
      <c r="TGW162" s="367"/>
      <c r="TGX162" s="367"/>
      <c r="TGY162" s="368" t="s">
        <v>168</v>
      </c>
      <c r="TGZ162" s="369">
        <v>0.5</v>
      </c>
      <c r="THA162" s="370" t="e">
        <f>10/TGW160</f>
        <v>#DIV/0!</v>
      </c>
      <c r="THB162" s="371">
        <v>15.38</v>
      </c>
      <c r="THC162" s="371" t="e">
        <f>TGZ162*THA162*THB162</f>
        <v>#DIV/0!</v>
      </c>
      <c r="THD162" s="367" t="s">
        <v>206</v>
      </c>
      <c r="THE162" s="367"/>
      <c r="THF162" s="367"/>
      <c r="THG162" s="368" t="s">
        <v>168</v>
      </c>
      <c r="THH162" s="369">
        <v>0.5</v>
      </c>
      <c r="THI162" s="370" t="e">
        <f>10/THE160</f>
        <v>#DIV/0!</v>
      </c>
      <c r="THJ162" s="371">
        <v>15.38</v>
      </c>
      <c r="THK162" s="371" t="e">
        <f>THH162*THI162*THJ162</f>
        <v>#DIV/0!</v>
      </c>
      <c r="THL162" s="367" t="s">
        <v>206</v>
      </c>
      <c r="THM162" s="367"/>
      <c r="THN162" s="367"/>
      <c r="THO162" s="368" t="s">
        <v>168</v>
      </c>
      <c r="THP162" s="369">
        <v>0.5</v>
      </c>
      <c r="THQ162" s="370" t="e">
        <f>10/THM160</f>
        <v>#DIV/0!</v>
      </c>
      <c r="THR162" s="371">
        <v>15.38</v>
      </c>
      <c r="THS162" s="371" t="e">
        <f>THP162*THQ162*THR162</f>
        <v>#DIV/0!</v>
      </c>
      <c r="THT162" s="367" t="s">
        <v>206</v>
      </c>
      <c r="THU162" s="367"/>
      <c r="THV162" s="367"/>
      <c r="THW162" s="368" t="s">
        <v>168</v>
      </c>
      <c r="THX162" s="369">
        <v>0.5</v>
      </c>
      <c r="THY162" s="370" t="e">
        <f>10/THU160</f>
        <v>#DIV/0!</v>
      </c>
      <c r="THZ162" s="371">
        <v>15.38</v>
      </c>
      <c r="TIA162" s="371" t="e">
        <f>THX162*THY162*THZ162</f>
        <v>#DIV/0!</v>
      </c>
      <c r="TIB162" s="367" t="s">
        <v>206</v>
      </c>
      <c r="TIC162" s="367"/>
      <c r="TID162" s="367"/>
      <c r="TIE162" s="368" t="s">
        <v>168</v>
      </c>
      <c r="TIF162" s="369">
        <v>0.5</v>
      </c>
      <c r="TIG162" s="370" t="e">
        <f>10/TIC160</f>
        <v>#DIV/0!</v>
      </c>
      <c r="TIH162" s="371">
        <v>15.38</v>
      </c>
      <c r="TII162" s="371" t="e">
        <f>TIF162*TIG162*TIH162</f>
        <v>#DIV/0!</v>
      </c>
      <c r="TIJ162" s="367" t="s">
        <v>206</v>
      </c>
      <c r="TIK162" s="367"/>
      <c r="TIL162" s="367"/>
      <c r="TIM162" s="368" t="s">
        <v>168</v>
      </c>
      <c r="TIN162" s="369">
        <v>0.5</v>
      </c>
      <c r="TIO162" s="370" t="e">
        <f>10/TIK160</f>
        <v>#DIV/0!</v>
      </c>
      <c r="TIP162" s="371">
        <v>15.38</v>
      </c>
      <c r="TIQ162" s="371" t="e">
        <f>TIN162*TIO162*TIP162</f>
        <v>#DIV/0!</v>
      </c>
      <c r="TIR162" s="367" t="s">
        <v>206</v>
      </c>
      <c r="TIS162" s="367"/>
      <c r="TIT162" s="367"/>
      <c r="TIU162" s="368" t="s">
        <v>168</v>
      </c>
      <c r="TIV162" s="369">
        <v>0.5</v>
      </c>
      <c r="TIW162" s="370" t="e">
        <f>10/TIS160</f>
        <v>#DIV/0!</v>
      </c>
      <c r="TIX162" s="371">
        <v>15.38</v>
      </c>
      <c r="TIY162" s="371" t="e">
        <f>TIV162*TIW162*TIX162</f>
        <v>#DIV/0!</v>
      </c>
      <c r="TIZ162" s="367" t="s">
        <v>206</v>
      </c>
      <c r="TJA162" s="367"/>
      <c r="TJB162" s="367"/>
      <c r="TJC162" s="368" t="s">
        <v>168</v>
      </c>
      <c r="TJD162" s="369">
        <v>0.5</v>
      </c>
      <c r="TJE162" s="370" t="e">
        <f>10/TJA160</f>
        <v>#DIV/0!</v>
      </c>
      <c r="TJF162" s="371">
        <v>15.38</v>
      </c>
      <c r="TJG162" s="371" t="e">
        <f>TJD162*TJE162*TJF162</f>
        <v>#DIV/0!</v>
      </c>
      <c r="TJH162" s="367" t="s">
        <v>206</v>
      </c>
      <c r="TJI162" s="367"/>
      <c r="TJJ162" s="367"/>
      <c r="TJK162" s="368" t="s">
        <v>168</v>
      </c>
      <c r="TJL162" s="369">
        <v>0.5</v>
      </c>
      <c r="TJM162" s="370" t="e">
        <f>10/TJI160</f>
        <v>#DIV/0!</v>
      </c>
      <c r="TJN162" s="371">
        <v>15.38</v>
      </c>
      <c r="TJO162" s="371" t="e">
        <f>TJL162*TJM162*TJN162</f>
        <v>#DIV/0!</v>
      </c>
      <c r="TJP162" s="367" t="s">
        <v>206</v>
      </c>
      <c r="TJQ162" s="367"/>
      <c r="TJR162" s="367"/>
      <c r="TJS162" s="368" t="s">
        <v>168</v>
      </c>
      <c r="TJT162" s="369">
        <v>0.5</v>
      </c>
      <c r="TJU162" s="370" t="e">
        <f>10/TJQ160</f>
        <v>#DIV/0!</v>
      </c>
      <c r="TJV162" s="371">
        <v>15.38</v>
      </c>
      <c r="TJW162" s="371" t="e">
        <f>TJT162*TJU162*TJV162</f>
        <v>#DIV/0!</v>
      </c>
      <c r="TJX162" s="367" t="s">
        <v>206</v>
      </c>
      <c r="TJY162" s="367"/>
      <c r="TJZ162" s="367"/>
      <c r="TKA162" s="368" t="s">
        <v>168</v>
      </c>
      <c r="TKB162" s="369">
        <v>0.5</v>
      </c>
      <c r="TKC162" s="370" t="e">
        <f>10/TJY160</f>
        <v>#DIV/0!</v>
      </c>
      <c r="TKD162" s="371">
        <v>15.38</v>
      </c>
      <c r="TKE162" s="371" t="e">
        <f>TKB162*TKC162*TKD162</f>
        <v>#DIV/0!</v>
      </c>
      <c r="TKF162" s="367" t="s">
        <v>206</v>
      </c>
      <c r="TKG162" s="367"/>
      <c r="TKH162" s="367"/>
      <c r="TKI162" s="368" t="s">
        <v>168</v>
      </c>
      <c r="TKJ162" s="369">
        <v>0.5</v>
      </c>
      <c r="TKK162" s="370" t="e">
        <f>10/TKG160</f>
        <v>#DIV/0!</v>
      </c>
      <c r="TKL162" s="371">
        <v>15.38</v>
      </c>
      <c r="TKM162" s="371" t="e">
        <f>TKJ162*TKK162*TKL162</f>
        <v>#DIV/0!</v>
      </c>
      <c r="TKN162" s="367" t="s">
        <v>206</v>
      </c>
      <c r="TKO162" s="367"/>
      <c r="TKP162" s="367"/>
      <c r="TKQ162" s="368" t="s">
        <v>168</v>
      </c>
      <c r="TKR162" s="369">
        <v>0.5</v>
      </c>
      <c r="TKS162" s="370" t="e">
        <f>10/TKO160</f>
        <v>#DIV/0!</v>
      </c>
      <c r="TKT162" s="371">
        <v>15.38</v>
      </c>
      <c r="TKU162" s="371" t="e">
        <f>TKR162*TKS162*TKT162</f>
        <v>#DIV/0!</v>
      </c>
      <c r="TKV162" s="367" t="s">
        <v>206</v>
      </c>
      <c r="TKW162" s="367"/>
      <c r="TKX162" s="367"/>
      <c r="TKY162" s="368" t="s">
        <v>168</v>
      </c>
      <c r="TKZ162" s="369">
        <v>0.5</v>
      </c>
      <c r="TLA162" s="370" t="e">
        <f>10/TKW160</f>
        <v>#DIV/0!</v>
      </c>
      <c r="TLB162" s="371">
        <v>15.38</v>
      </c>
      <c r="TLC162" s="371" t="e">
        <f>TKZ162*TLA162*TLB162</f>
        <v>#DIV/0!</v>
      </c>
      <c r="TLD162" s="367" t="s">
        <v>206</v>
      </c>
      <c r="TLE162" s="367"/>
      <c r="TLF162" s="367"/>
      <c r="TLG162" s="368" t="s">
        <v>168</v>
      </c>
      <c r="TLH162" s="369">
        <v>0.5</v>
      </c>
      <c r="TLI162" s="370" t="e">
        <f>10/TLE160</f>
        <v>#DIV/0!</v>
      </c>
      <c r="TLJ162" s="371">
        <v>15.38</v>
      </c>
      <c r="TLK162" s="371" t="e">
        <f>TLH162*TLI162*TLJ162</f>
        <v>#DIV/0!</v>
      </c>
      <c r="TLL162" s="367" t="s">
        <v>206</v>
      </c>
      <c r="TLM162" s="367"/>
      <c r="TLN162" s="367"/>
      <c r="TLO162" s="368" t="s">
        <v>168</v>
      </c>
      <c r="TLP162" s="369">
        <v>0.5</v>
      </c>
      <c r="TLQ162" s="370" t="e">
        <f>10/TLM160</f>
        <v>#DIV/0!</v>
      </c>
      <c r="TLR162" s="371">
        <v>15.38</v>
      </c>
      <c r="TLS162" s="371" t="e">
        <f>TLP162*TLQ162*TLR162</f>
        <v>#DIV/0!</v>
      </c>
      <c r="TLT162" s="367" t="s">
        <v>206</v>
      </c>
      <c r="TLU162" s="367"/>
      <c r="TLV162" s="367"/>
      <c r="TLW162" s="368" t="s">
        <v>168</v>
      </c>
      <c r="TLX162" s="369">
        <v>0.5</v>
      </c>
      <c r="TLY162" s="370" t="e">
        <f>10/TLU160</f>
        <v>#DIV/0!</v>
      </c>
      <c r="TLZ162" s="371">
        <v>15.38</v>
      </c>
      <c r="TMA162" s="371" t="e">
        <f>TLX162*TLY162*TLZ162</f>
        <v>#DIV/0!</v>
      </c>
      <c r="TMB162" s="367" t="s">
        <v>206</v>
      </c>
      <c r="TMC162" s="367"/>
      <c r="TMD162" s="367"/>
      <c r="TME162" s="368" t="s">
        <v>168</v>
      </c>
      <c r="TMF162" s="369">
        <v>0.5</v>
      </c>
      <c r="TMG162" s="370" t="e">
        <f>10/TMC160</f>
        <v>#DIV/0!</v>
      </c>
      <c r="TMH162" s="371">
        <v>15.38</v>
      </c>
      <c r="TMI162" s="371" t="e">
        <f>TMF162*TMG162*TMH162</f>
        <v>#DIV/0!</v>
      </c>
      <c r="TMJ162" s="367" t="s">
        <v>206</v>
      </c>
      <c r="TMK162" s="367"/>
      <c r="TML162" s="367"/>
      <c r="TMM162" s="368" t="s">
        <v>168</v>
      </c>
      <c r="TMN162" s="369">
        <v>0.5</v>
      </c>
      <c r="TMO162" s="370" t="e">
        <f>10/TMK160</f>
        <v>#DIV/0!</v>
      </c>
      <c r="TMP162" s="371">
        <v>15.38</v>
      </c>
      <c r="TMQ162" s="371" t="e">
        <f>TMN162*TMO162*TMP162</f>
        <v>#DIV/0!</v>
      </c>
      <c r="TMR162" s="367" t="s">
        <v>206</v>
      </c>
      <c r="TMS162" s="367"/>
      <c r="TMT162" s="367"/>
      <c r="TMU162" s="368" t="s">
        <v>168</v>
      </c>
      <c r="TMV162" s="369">
        <v>0.5</v>
      </c>
      <c r="TMW162" s="370" t="e">
        <f>10/TMS160</f>
        <v>#DIV/0!</v>
      </c>
      <c r="TMX162" s="371">
        <v>15.38</v>
      </c>
      <c r="TMY162" s="371" t="e">
        <f>TMV162*TMW162*TMX162</f>
        <v>#DIV/0!</v>
      </c>
      <c r="TMZ162" s="367" t="s">
        <v>206</v>
      </c>
      <c r="TNA162" s="367"/>
      <c r="TNB162" s="367"/>
      <c r="TNC162" s="368" t="s">
        <v>168</v>
      </c>
      <c r="TND162" s="369">
        <v>0.5</v>
      </c>
      <c r="TNE162" s="370" t="e">
        <f>10/TNA160</f>
        <v>#DIV/0!</v>
      </c>
      <c r="TNF162" s="371">
        <v>15.38</v>
      </c>
      <c r="TNG162" s="371" t="e">
        <f>TND162*TNE162*TNF162</f>
        <v>#DIV/0!</v>
      </c>
      <c r="TNH162" s="367" t="s">
        <v>206</v>
      </c>
      <c r="TNI162" s="367"/>
      <c r="TNJ162" s="367"/>
      <c r="TNK162" s="368" t="s">
        <v>168</v>
      </c>
      <c r="TNL162" s="369">
        <v>0.5</v>
      </c>
      <c r="TNM162" s="370" t="e">
        <f>10/TNI160</f>
        <v>#DIV/0!</v>
      </c>
      <c r="TNN162" s="371">
        <v>15.38</v>
      </c>
      <c r="TNO162" s="371" t="e">
        <f>TNL162*TNM162*TNN162</f>
        <v>#DIV/0!</v>
      </c>
      <c r="TNP162" s="367" t="s">
        <v>206</v>
      </c>
      <c r="TNQ162" s="367"/>
      <c r="TNR162" s="367"/>
      <c r="TNS162" s="368" t="s">
        <v>168</v>
      </c>
      <c r="TNT162" s="369">
        <v>0.5</v>
      </c>
      <c r="TNU162" s="370" t="e">
        <f>10/TNQ160</f>
        <v>#DIV/0!</v>
      </c>
      <c r="TNV162" s="371">
        <v>15.38</v>
      </c>
      <c r="TNW162" s="371" t="e">
        <f>TNT162*TNU162*TNV162</f>
        <v>#DIV/0!</v>
      </c>
      <c r="TNX162" s="367" t="s">
        <v>206</v>
      </c>
      <c r="TNY162" s="367"/>
      <c r="TNZ162" s="367"/>
      <c r="TOA162" s="368" t="s">
        <v>168</v>
      </c>
      <c r="TOB162" s="369">
        <v>0.5</v>
      </c>
      <c r="TOC162" s="370" t="e">
        <f>10/TNY160</f>
        <v>#DIV/0!</v>
      </c>
      <c r="TOD162" s="371">
        <v>15.38</v>
      </c>
      <c r="TOE162" s="371" t="e">
        <f>TOB162*TOC162*TOD162</f>
        <v>#DIV/0!</v>
      </c>
      <c r="TOF162" s="367" t="s">
        <v>206</v>
      </c>
      <c r="TOG162" s="367"/>
      <c r="TOH162" s="367"/>
      <c r="TOI162" s="368" t="s">
        <v>168</v>
      </c>
      <c r="TOJ162" s="369">
        <v>0.5</v>
      </c>
      <c r="TOK162" s="370" t="e">
        <f>10/TOG160</f>
        <v>#DIV/0!</v>
      </c>
      <c r="TOL162" s="371">
        <v>15.38</v>
      </c>
      <c r="TOM162" s="371" t="e">
        <f>TOJ162*TOK162*TOL162</f>
        <v>#DIV/0!</v>
      </c>
      <c r="TON162" s="367" t="s">
        <v>206</v>
      </c>
      <c r="TOO162" s="367"/>
      <c r="TOP162" s="367"/>
      <c r="TOQ162" s="368" t="s">
        <v>168</v>
      </c>
      <c r="TOR162" s="369">
        <v>0.5</v>
      </c>
      <c r="TOS162" s="370" t="e">
        <f>10/TOO160</f>
        <v>#DIV/0!</v>
      </c>
      <c r="TOT162" s="371">
        <v>15.38</v>
      </c>
      <c r="TOU162" s="371" t="e">
        <f>TOR162*TOS162*TOT162</f>
        <v>#DIV/0!</v>
      </c>
      <c r="TOV162" s="367" t="s">
        <v>206</v>
      </c>
      <c r="TOW162" s="367"/>
      <c r="TOX162" s="367"/>
      <c r="TOY162" s="368" t="s">
        <v>168</v>
      </c>
      <c r="TOZ162" s="369">
        <v>0.5</v>
      </c>
      <c r="TPA162" s="370" t="e">
        <f>10/TOW160</f>
        <v>#DIV/0!</v>
      </c>
      <c r="TPB162" s="371">
        <v>15.38</v>
      </c>
      <c r="TPC162" s="371" t="e">
        <f>TOZ162*TPA162*TPB162</f>
        <v>#DIV/0!</v>
      </c>
      <c r="TPD162" s="367" t="s">
        <v>206</v>
      </c>
      <c r="TPE162" s="367"/>
      <c r="TPF162" s="367"/>
      <c r="TPG162" s="368" t="s">
        <v>168</v>
      </c>
      <c r="TPH162" s="369">
        <v>0.5</v>
      </c>
      <c r="TPI162" s="370" t="e">
        <f>10/TPE160</f>
        <v>#DIV/0!</v>
      </c>
      <c r="TPJ162" s="371">
        <v>15.38</v>
      </c>
      <c r="TPK162" s="371" t="e">
        <f>TPH162*TPI162*TPJ162</f>
        <v>#DIV/0!</v>
      </c>
      <c r="TPL162" s="367" t="s">
        <v>206</v>
      </c>
      <c r="TPM162" s="367"/>
      <c r="TPN162" s="367"/>
      <c r="TPO162" s="368" t="s">
        <v>168</v>
      </c>
      <c r="TPP162" s="369">
        <v>0.5</v>
      </c>
      <c r="TPQ162" s="370" t="e">
        <f>10/TPM160</f>
        <v>#DIV/0!</v>
      </c>
      <c r="TPR162" s="371">
        <v>15.38</v>
      </c>
      <c r="TPS162" s="371" t="e">
        <f>TPP162*TPQ162*TPR162</f>
        <v>#DIV/0!</v>
      </c>
      <c r="TPT162" s="367" t="s">
        <v>206</v>
      </c>
      <c r="TPU162" s="367"/>
      <c r="TPV162" s="367"/>
      <c r="TPW162" s="368" t="s">
        <v>168</v>
      </c>
      <c r="TPX162" s="369">
        <v>0.5</v>
      </c>
      <c r="TPY162" s="370" t="e">
        <f>10/TPU160</f>
        <v>#DIV/0!</v>
      </c>
      <c r="TPZ162" s="371">
        <v>15.38</v>
      </c>
      <c r="TQA162" s="371" t="e">
        <f>TPX162*TPY162*TPZ162</f>
        <v>#DIV/0!</v>
      </c>
      <c r="TQB162" s="367" t="s">
        <v>206</v>
      </c>
      <c r="TQC162" s="367"/>
      <c r="TQD162" s="367"/>
      <c r="TQE162" s="368" t="s">
        <v>168</v>
      </c>
      <c r="TQF162" s="369">
        <v>0.5</v>
      </c>
      <c r="TQG162" s="370" t="e">
        <f>10/TQC160</f>
        <v>#DIV/0!</v>
      </c>
      <c r="TQH162" s="371">
        <v>15.38</v>
      </c>
      <c r="TQI162" s="371" t="e">
        <f>TQF162*TQG162*TQH162</f>
        <v>#DIV/0!</v>
      </c>
      <c r="TQJ162" s="367" t="s">
        <v>206</v>
      </c>
      <c r="TQK162" s="367"/>
      <c r="TQL162" s="367"/>
      <c r="TQM162" s="368" t="s">
        <v>168</v>
      </c>
      <c r="TQN162" s="369">
        <v>0.5</v>
      </c>
      <c r="TQO162" s="370" t="e">
        <f>10/TQK160</f>
        <v>#DIV/0!</v>
      </c>
      <c r="TQP162" s="371">
        <v>15.38</v>
      </c>
      <c r="TQQ162" s="371" t="e">
        <f>TQN162*TQO162*TQP162</f>
        <v>#DIV/0!</v>
      </c>
      <c r="TQR162" s="367" t="s">
        <v>206</v>
      </c>
      <c r="TQS162" s="367"/>
      <c r="TQT162" s="367"/>
      <c r="TQU162" s="368" t="s">
        <v>168</v>
      </c>
      <c r="TQV162" s="369">
        <v>0.5</v>
      </c>
      <c r="TQW162" s="370" t="e">
        <f>10/TQS160</f>
        <v>#DIV/0!</v>
      </c>
      <c r="TQX162" s="371">
        <v>15.38</v>
      </c>
      <c r="TQY162" s="371" t="e">
        <f>TQV162*TQW162*TQX162</f>
        <v>#DIV/0!</v>
      </c>
      <c r="TQZ162" s="367" t="s">
        <v>206</v>
      </c>
      <c r="TRA162" s="367"/>
      <c r="TRB162" s="367"/>
      <c r="TRC162" s="368" t="s">
        <v>168</v>
      </c>
      <c r="TRD162" s="369">
        <v>0.5</v>
      </c>
      <c r="TRE162" s="370" t="e">
        <f>10/TRA160</f>
        <v>#DIV/0!</v>
      </c>
      <c r="TRF162" s="371">
        <v>15.38</v>
      </c>
      <c r="TRG162" s="371" t="e">
        <f>TRD162*TRE162*TRF162</f>
        <v>#DIV/0!</v>
      </c>
      <c r="TRH162" s="367" t="s">
        <v>206</v>
      </c>
      <c r="TRI162" s="367"/>
      <c r="TRJ162" s="367"/>
      <c r="TRK162" s="368" t="s">
        <v>168</v>
      </c>
      <c r="TRL162" s="369">
        <v>0.5</v>
      </c>
      <c r="TRM162" s="370" t="e">
        <f>10/TRI160</f>
        <v>#DIV/0!</v>
      </c>
      <c r="TRN162" s="371">
        <v>15.38</v>
      </c>
      <c r="TRO162" s="371" t="e">
        <f>TRL162*TRM162*TRN162</f>
        <v>#DIV/0!</v>
      </c>
      <c r="TRP162" s="367" t="s">
        <v>206</v>
      </c>
      <c r="TRQ162" s="367"/>
      <c r="TRR162" s="367"/>
      <c r="TRS162" s="368" t="s">
        <v>168</v>
      </c>
      <c r="TRT162" s="369">
        <v>0.5</v>
      </c>
      <c r="TRU162" s="370" t="e">
        <f>10/TRQ160</f>
        <v>#DIV/0!</v>
      </c>
      <c r="TRV162" s="371">
        <v>15.38</v>
      </c>
      <c r="TRW162" s="371" t="e">
        <f>TRT162*TRU162*TRV162</f>
        <v>#DIV/0!</v>
      </c>
      <c r="TRX162" s="367" t="s">
        <v>206</v>
      </c>
      <c r="TRY162" s="367"/>
      <c r="TRZ162" s="367"/>
      <c r="TSA162" s="368" t="s">
        <v>168</v>
      </c>
      <c r="TSB162" s="369">
        <v>0.5</v>
      </c>
      <c r="TSC162" s="370" t="e">
        <f>10/TRY160</f>
        <v>#DIV/0!</v>
      </c>
      <c r="TSD162" s="371">
        <v>15.38</v>
      </c>
      <c r="TSE162" s="371" t="e">
        <f>TSB162*TSC162*TSD162</f>
        <v>#DIV/0!</v>
      </c>
      <c r="TSF162" s="367" t="s">
        <v>206</v>
      </c>
      <c r="TSG162" s="367"/>
      <c r="TSH162" s="367"/>
      <c r="TSI162" s="368" t="s">
        <v>168</v>
      </c>
      <c r="TSJ162" s="369">
        <v>0.5</v>
      </c>
      <c r="TSK162" s="370" t="e">
        <f>10/TSG160</f>
        <v>#DIV/0!</v>
      </c>
      <c r="TSL162" s="371">
        <v>15.38</v>
      </c>
      <c r="TSM162" s="371" t="e">
        <f>TSJ162*TSK162*TSL162</f>
        <v>#DIV/0!</v>
      </c>
      <c r="TSN162" s="367" t="s">
        <v>206</v>
      </c>
      <c r="TSO162" s="367"/>
      <c r="TSP162" s="367"/>
      <c r="TSQ162" s="368" t="s">
        <v>168</v>
      </c>
      <c r="TSR162" s="369">
        <v>0.5</v>
      </c>
      <c r="TSS162" s="370" t="e">
        <f>10/TSO160</f>
        <v>#DIV/0!</v>
      </c>
      <c r="TST162" s="371">
        <v>15.38</v>
      </c>
      <c r="TSU162" s="371" t="e">
        <f>TSR162*TSS162*TST162</f>
        <v>#DIV/0!</v>
      </c>
      <c r="TSV162" s="367" t="s">
        <v>206</v>
      </c>
      <c r="TSW162" s="367"/>
      <c r="TSX162" s="367"/>
      <c r="TSY162" s="368" t="s">
        <v>168</v>
      </c>
      <c r="TSZ162" s="369">
        <v>0.5</v>
      </c>
      <c r="TTA162" s="370" t="e">
        <f>10/TSW160</f>
        <v>#DIV/0!</v>
      </c>
      <c r="TTB162" s="371">
        <v>15.38</v>
      </c>
      <c r="TTC162" s="371" t="e">
        <f>TSZ162*TTA162*TTB162</f>
        <v>#DIV/0!</v>
      </c>
      <c r="TTD162" s="367" t="s">
        <v>206</v>
      </c>
      <c r="TTE162" s="367"/>
      <c r="TTF162" s="367"/>
      <c r="TTG162" s="368" t="s">
        <v>168</v>
      </c>
      <c r="TTH162" s="369">
        <v>0.5</v>
      </c>
      <c r="TTI162" s="370" t="e">
        <f>10/TTE160</f>
        <v>#DIV/0!</v>
      </c>
      <c r="TTJ162" s="371">
        <v>15.38</v>
      </c>
      <c r="TTK162" s="371" t="e">
        <f>TTH162*TTI162*TTJ162</f>
        <v>#DIV/0!</v>
      </c>
      <c r="TTL162" s="367" t="s">
        <v>206</v>
      </c>
      <c r="TTM162" s="367"/>
      <c r="TTN162" s="367"/>
      <c r="TTO162" s="368" t="s">
        <v>168</v>
      </c>
      <c r="TTP162" s="369">
        <v>0.5</v>
      </c>
      <c r="TTQ162" s="370" t="e">
        <f>10/TTM160</f>
        <v>#DIV/0!</v>
      </c>
      <c r="TTR162" s="371">
        <v>15.38</v>
      </c>
      <c r="TTS162" s="371" t="e">
        <f>TTP162*TTQ162*TTR162</f>
        <v>#DIV/0!</v>
      </c>
      <c r="TTT162" s="367" t="s">
        <v>206</v>
      </c>
      <c r="TTU162" s="367"/>
      <c r="TTV162" s="367"/>
      <c r="TTW162" s="368" t="s">
        <v>168</v>
      </c>
      <c r="TTX162" s="369">
        <v>0.5</v>
      </c>
      <c r="TTY162" s="370" t="e">
        <f>10/TTU160</f>
        <v>#DIV/0!</v>
      </c>
      <c r="TTZ162" s="371">
        <v>15.38</v>
      </c>
      <c r="TUA162" s="371" t="e">
        <f>TTX162*TTY162*TTZ162</f>
        <v>#DIV/0!</v>
      </c>
      <c r="TUB162" s="367" t="s">
        <v>206</v>
      </c>
      <c r="TUC162" s="367"/>
      <c r="TUD162" s="367"/>
      <c r="TUE162" s="368" t="s">
        <v>168</v>
      </c>
      <c r="TUF162" s="369">
        <v>0.5</v>
      </c>
      <c r="TUG162" s="370" t="e">
        <f>10/TUC160</f>
        <v>#DIV/0!</v>
      </c>
      <c r="TUH162" s="371">
        <v>15.38</v>
      </c>
      <c r="TUI162" s="371" t="e">
        <f>TUF162*TUG162*TUH162</f>
        <v>#DIV/0!</v>
      </c>
      <c r="TUJ162" s="367" t="s">
        <v>206</v>
      </c>
      <c r="TUK162" s="367"/>
      <c r="TUL162" s="367"/>
      <c r="TUM162" s="368" t="s">
        <v>168</v>
      </c>
      <c r="TUN162" s="369">
        <v>0.5</v>
      </c>
      <c r="TUO162" s="370" t="e">
        <f>10/TUK160</f>
        <v>#DIV/0!</v>
      </c>
      <c r="TUP162" s="371">
        <v>15.38</v>
      </c>
      <c r="TUQ162" s="371" t="e">
        <f>TUN162*TUO162*TUP162</f>
        <v>#DIV/0!</v>
      </c>
      <c r="TUR162" s="367" t="s">
        <v>206</v>
      </c>
      <c r="TUS162" s="367"/>
      <c r="TUT162" s="367"/>
      <c r="TUU162" s="368" t="s">
        <v>168</v>
      </c>
      <c r="TUV162" s="369">
        <v>0.5</v>
      </c>
      <c r="TUW162" s="370" t="e">
        <f>10/TUS160</f>
        <v>#DIV/0!</v>
      </c>
      <c r="TUX162" s="371">
        <v>15.38</v>
      </c>
      <c r="TUY162" s="371" t="e">
        <f>TUV162*TUW162*TUX162</f>
        <v>#DIV/0!</v>
      </c>
      <c r="TUZ162" s="367" t="s">
        <v>206</v>
      </c>
      <c r="TVA162" s="367"/>
      <c r="TVB162" s="367"/>
      <c r="TVC162" s="368" t="s">
        <v>168</v>
      </c>
      <c r="TVD162" s="369">
        <v>0.5</v>
      </c>
      <c r="TVE162" s="370" t="e">
        <f>10/TVA160</f>
        <v>#DIV/0!</v>
      </c>
      <c r="TVF162" s="371">
        <v>15.38</v>
      </c>
      <c r="TVG162" s="371" t="e">
        <f>TVD162*TVE162*TVF162</f>
        <v>#DIV/0!</v>
      </c>
      <c r="TVH162" s="367" t="s">
        <v>206</v>
      </c>
      <c r="TVI162" s="367"/>
      <c r="TVJ162" s="367"/>
      <c r="TVK162" s="368" t="s">
        <v>168</v>
      </c>
      <c r="TVL162" s="369">
        <v>0.5</v>
      </c>
      <c r="TVM162" s="370" t="e">
        <f>10/TVI160</f>
        <v>#DIV/0!</v>
      </c>
      <c r="TVN162" s="371">
        <v>15.38</v>
      </c>
      <c r="TVO162" s="371" t="e">
        <f>TVL162*TVM162*TVN162</f>
        <v>#DIV/0!</v>
      </c>
      <c r="TVP162" s="367" t="s">
        <v>206</v>
      </c>
      <c r="TVQ162" s="367"/>
      <c r="TVR162" s="367"/>
      <c r="TVS162" s="368" t="s">
        <v>168</v>
      </c>
      <c r="TVT162" s="369">
        <v>0.5</v>
      </c>
      <c r="TVU162" s="370" t="e">
        <f>10/TVQ160</f>
        <v>#DIV/0!</v>
      </c>
      <c r="TVV162" s="371">
        <v>15.38</v>
      </c>
      <c r="TVW162" s="371" t="e">
        <f>TVT162*TVU162*TVV162</f>
        <v>#DIV/0!</v>
      </c>
      <c r="TVX162" s="367" t="s">
        <v>206</v>
      </c>
      <c r="TVY162" s="367"/>
      <c r="TVZ162" s="367"/>
      <c r="TWA162" s="368" t="s">
        <v>168</v>
      </c>
      <c r="TWB162" s="369">
        <v>0.5</v>
      </c>
      <c r="TWC162" s="370" t="e">
        <f>10/TVY160</f>
        <v>#DIV/0!</v>
      </c>
      <c r="TWD162" s="371">
        <v>15.38</v>
      </c>
      <c r="TWE162" s="371" t="e">
        <f>TWB162*TWC162*TWD162</f>
        <v>#DIV/0!</v>
      </c>
      <c r="TWF162" s="367" t="s">
        <v>206</v>
      </c>
      <c r="TWG162" s="367"/>
      <c r="TWH162" s="367"/>
      <c r="TWI162" s="368" t="s">
        <v>168</v>
      </c>
      <c r="TWJ162" s="369">
        <v>0.5</v>
      </c>
      <c r="TWK162" s="370" t="e">
        <f>10/TWG160</f>
        <v>#DIV/0!</v>
      </c>
      <c r="TWL162" s="371">
        <v>15.38</v>
      </c>
      <c r="TWM162" s="371" t="e">
        <f>TWJ162*TWK162*TWL162</f>
        <v>#DIV/0!</v>
      </c>
      <c r="TWN162" s="367" t="s">
        <v>206</v>
      </c>
      <c r="TWO162" s="367"/>
      <c r="TWP162" s="367"/>
      <c r="TWQ162" s="368" t="s">
        <v>168</v>
      </c>
      <c r="TWR162" s="369">
        <v>0.5</v>
      </c>
      <c r="TWS162" s="370" t="e">
        <f>10/TWO160</f>
        <v>#DIV/0!</v>
      </c>
      <c r="TWT162" s="371">
        <v>15.38</v>
      </c>
      <c r="TWU162" s="371" t="e">
        <f>TWR162*TWS162*TWT162</f>
        <v>#DIV/0!</v>
      </c>
      <c r="TWV162" s="367" t="s">
        <v>206</v>
      </c>
      <c r="TWW162" s="367"/>
      <c r="TWX162" s="367"/>
      <c r="TWY162" s="368" t="s">
        <v>168</v>
      </c>
      <c r="TWZ162" s="369">
        <v>0.5</v>
      </c>
      <c r="TXA162" s="370" t="e">
        <f>10/TWW160</f>
        <v>#DIV/0!</v>
      </c>
      <c r="TXB162" s="371">
        <v>15.38</v>
      </c>
      <c r="TXC162" s="371" t="e">
        <f>TWZ162*TXA162*TXB162</f>
        <v>#DIV/0!</v>
      </c>
      <c r="TXD162" s="367" t="s">
        <v>206</v>
      </c>
      <c r="TXE162" s="367"/>
      <c r="TXF162" s="367"/>
      <c r="TXG162" s="368" t="s">
        <v>168</v>
      </c>
      <c r="TXH162" s="369">
        <v>0.5</v>
      </c>
      <c r="TXI162" s="370" t="e">
        <f>10/TXE160</f>
        <v>#DIV/0!</v>
      </c>
      <c r="TXJ162" s="371">
        <v>15.38</v>
      </c>
      <c r="TXK162" s="371" t="e">
        <f>TXH162*TXI162*TXJ162</f>
        <v>#DIV/0!</v>
      </c>
      <c r="TXL162" s="367" t="s">
        <v>206</v>
      </c>
      <c r="TXM162" s="367"/>
      <c r="TXN162" s="367"/>
      <c r="TXO162" s="368" t="s">
        <v>168</v>
      </c>
      <c r="TXP162" s="369">
        <v>0.5</v>
      </c>
      <c r="TXQ162" s="370" t="e">
        <f>10/TXM160</f>
        <v>#DIV/0!</v>
      </c>
      <c r="TXR162" s="371">
        <v>15.38</v>
      </c>
      <c r="TXS162" s="371" t="e">
        <f>TXP162*TXQ162*TXR162</f>
        <v>#DIV/0!</v>
      </c>
      <c r="TXT162" s="367" t="s">
        <v>206</v>
      </c>
      <c r="TXU162" s="367"/>
      <c r="TXV162" s="367"/>
      <c r="TXW162" s="368" t="s">
        <v>168</v>
      </c>
      <c r="TXX162" s="369">
        <v>0.5</v>
      </c>
      <c r="TXY162" s="370" t="e">
        <f>10/TXU160</f>
        <v>#DIV/0!</v>
      </c>
      <c r="TXZ162" s="371">
        <v>15.38</v>
      </c>
      <c r="TYA162" s="371" t="e">
        <f>TXX162*TXY162*TXZ162</f>
        <v>#DIV/0!</v>
      </c>
      <c r="TYB162" s="367" t="s">
        <v>206</v>
      </c>
      <c r="TYC162" s="367"/>
      <c r="TYD162" s="367"/>
      <c r="TYE162" s="368" t="s">
        <v>168</v>
      </c>
      <c r="TYF162" s="369">
        <v>0.5</v>
      </c>
      <c r="TYG162" s="370" t="e">
        <f>10/TYC160</f>
        <v>#DIV/0!</v>
      </c>
      <c r="TYH162" s="371">
        <v>15.38</v>
      </c>
      <c r="TYI162" s="371" t="e">
        <f>TYF162*TYG162*TYH162</f>
        <v>#DIV/0!</v>
      </c>
      <c r="TYJ162" s="367" t="s">
        <v>206</v>
      </c>
      <c r="TYK162" s="367"/>
      <c r="TYL162" s="367"/>
      <c r="TYM162" s="368" t="s">
        <v>168</v>
      </c>
      <c r="TYN162" s="369">
        <v>0.5</v>
      </c>
      <c r="TYO162" s="370" t="e">
        <f>10/TYK160</f>
        <v>#DIV/0!</v>
      </c>
      <c r="TYP162" s="371">
        <v>15.38</v>
      </c>
      <c r="TYQ162" s="371" t="e">
        <f>TYN162*TYO162*TYP162</f>
        <v>#DIV/0!</v>
      </c>
      <c r="TYR162" s="367" t="s">
        <v>206</v>
      </c>
      <c r="TYS162" s="367"/>
      <c r="TYT162" s="367"/>
      <c r="TYU162" s="368" t="s">
        <v>168</v>
      </c>
      <c r="TYV162" s="369">
        <v>0.5</v>
      </c>
      <c r="TYW162" s="370" t="e">
        <f>10/TYS160</f>
        <v>#DIV/0!</v>
      </c>
      <c r="TYX162" s="371">
        <v>15.38</v>
      </c>
      <c r="TYY162" s="371" t="e">
        <f>TYV162*TYW162*TYX162</f>
        <v>#DIV/0!</v>
      </c>
      <c r="TYZ162" s="367" t="s">
        <v>206</v>
      </c>
      <c r="TZA162" s="367"/>
      <c r="TZB162" s="367"/>
      <c r="TZC162" s="368" t="s">
        <v>168</v>
      </c>
      <c r="TZD162" s="369">
        <v>0.5</v>
      </c>
      <c r="TZE162" s="370" t="e">
        <f>10/TZA160</f>
        <v>#DIV/0!</v>
      </c>
      <c r="TZF162" s="371">
        <v>15.38</v>
      </c>
      <c r="TZG162" s="371" t="e">
        <f>TZD162*TZE162*TZF162</f>
        <v>#DIV/0!</v>
      </c>
      <c r="TZH162" s="367" t="s">
        <v>206</v>
      </c>
      <c r="TZI162" s="367"/>
      <c r="TZJ162" s="367"/>
      <c r="TZK162" s="368" t="s">
        <v>168</v>
      </c>
      <c r="TZL162" s="369">
        <v>0.5</v>
      </c>
      <c r="TZM162" s="370" t="e">
        <f>10/TZI160</f>
        <v>#DIV/0!</v>
      </c>
      <c r="TZN162" s="371">
        <v>15.38</v>
      </c>
      <c r="TZO162" s="371" t="e">
        <f>TZL162*TZM162*TZN162</f>
        <v>#DIV/0!</v>
      </c>
      <c r="TZP162" s="367" t="s">
        <v>206</v>
      </c>
      <c r="TZQ162" s="367"/>
      <c r="TZR162" s="367"/>
      <c r="TZS162" s="368" t="s">
        <v>168</v>
      </c>
      <c r="TZT162" s="369">
        <v>0.5</v>
      </c>
      <c r="TZU162" s="370" t="e">
        <f>10/TZQ160</f>
        <v>#DIV/0!</v>
      </c>
      <c r="TZV162" s="371">
        <v>15.38</v>
      </c>
      <c r="TZW162" s="371" t="e">
        <f>TZT162*TZU162*TZV162</f>
        <v>#DIV/0!</v>
      </c>
      <c r="TZX162" s="367" t="s">
        <v>206</v>
      </c>
      <c r="TZY162" s="367"/>
      <c r="TZZ162" s="367"/>
      <c r="UAA162" s="368" t="s">
        <v>168</v>
      </c>
      <c r="UAB162" s="369">
        <v>0.5</v>
      </c>
      <c r="UAC162" s="370" t="e">
        <f>10/TZY160</f>
        <v>#DIV/0!</v>
      </c>
      <c r="UAD162" s="371">
        <v>15.38</v>
      </c>
      <c r="UAE162" s="371" t="e">
        <f>UAB162*UAC162*UAD162</f>
        <v>#DIV/0!</v>
      </c>
      <c r="UAF162" s="367" t="s">
        <v>206</v>
      </c>
      <c r="UAG162" s="367"/>
      <c r="UAH162" s="367"/>
      <c r="UAI162" s="368" t="s">
        <v>168</v>
      </c>
      <c r="UAJ162" s="369">
        <v>0.5</v>
      </c>
      <c r="UAK162" s="370" t="e">
        <f>10/UAG160</f>
        <v>#DIV/0!</v>
      </c>
      <c r="UAL162" s="371">
        <v>15.38</v>
      </c>
      <c r="UAM162" s="371" t="e">
        <f>UAJ162*UAK162*UAL162</f>
        <v>#DIV/0!</v>
      </c>
      <c r="UAN162" s="367" t="s">
        <v>206</v>
      </c>
      <c r="UAO162" s="367"/>
      <c r="UAP162" s="367"/>
      <c r="UAQ162" s="368" t="s">
        <v>168</v>
      </c>
      <c r="UAR162" s="369">
        <v>0.5</v>
      </c>
      <c r="UAS162" s="370" t="e">
        <f>10/UAO160</f>
        <v>#DIV/0!</v>
      </c>
      <c r="UAT162" s="371">
        <v>15.38</v>
      </c>
      <c r="UAU162" s="371" t="e">
        <f>UAR162*UAS162*UAT162</f>
        <v>#DIV/0!</v>
      </c>
      <c r="UAV162" s="367" t="s">
        <v>206</v>
      </c>
      <c r="UAW162" s="367"/>
      <c r="UAX162" s="367"/>
      <c r="UAY162" s="368" t="s">
        <v>168</v>
      </c>
      <c r="UAZ162" s="369">
        <v>0.5</v>
      </c>
      <c r="UBA162" s="370" t="e">
        <f>10/UAW160</f>
        <v>#DIV/0!</v>
      </c>
      <c r="UBB162" s="371">
        <v>15.38</v>
      </c>
      <c r="UBC162" s="371" t="e">
        <f>UAZ162*UBA162*UBB162</f>
        <v>#DIV/0!</v>
      </c>
      <c r="UBD162" s="367" t="s">
        <v>206</v>
      </c>
      <c r="UBE162" s="367"/>
      <c r="UBF162" s="367"/>
      <c r="UBG162" s="368" t="s">
        <v>168</v>
      </c>
      <c r="UBH162" s="369">
        <v>0.5</v>
      </c>
      <c r="UBI162" s="370" t="e">
        <f>10/UBE160</f>
        <v>#DIV/0!</v>
      </c>
      <c r="UBJ162" s="371">
        <v>15.38</v>
      </c>
      <c r="UBK162" s="371" t="e">
        <f>UBH162*UBI162*UBJ162</f>
        <v>#DIV/0!</v>
      </c>
      <c r="UBL162" s="367" t="s">
        <v>206</v>
      </c>
      <c r="UBM162" s="367"/>
      <c r="UBN162" s="367"/>
      <c r="UBO162" s="368" t="s">
        <v>168</v>
      </c>
      <c r="UBP162" s="369">
        <v>0.5</v>
      </c>
      <c r="UBQ162" s="370" t="e">
        <f>10/UBM160</f>
        <v>#DIV/0!</v>
      </c>
      <c r="UBR162" s="371">
        <v>15.38</v>
      </c>
      <c r="UBS162" s="371" t="e">
        <f>UBP162*UBQ162*UBR162</f>
        <v>#DIV/0!</v>
      </c>
      <c r="UBT162" s="367" t="s">
        <v>206</v>
      </c>
      <c r="UBU162" s="367"/>
      <c r="UBV162" s="367"/>
      <c r="UBW162" s="368" t="s">
        <v>168</v>
      </c>
      <c r="UBX162" s="369">
        <v>0.5</v>
      </c>
      <c r="UBY162" s="370" t="e">
        <f>10/UBU160</f>
        <v>#DIV/0!</v>
      </c>
      <c r="UBZ162" s="371">
        <v>15.38</v>
      </c>
      <c r="UCA162" s="371" t="e">
        <f>UBX162*UBY162*UBZ162</f>
        <v>#DIV/0!</v>
      </c>
      <c r="UCB162" s="367" t="s">
        <v>206</v>
      </c>
      <c r="UCC162" s="367"/>
      <c r="UCD162" s="367"/>
      <c r="UCE162" s="368" t="s">
        <v>168</v>
      </c>
      <c r="UCF162" s="369">
        <v>0.5</v>
      </c>
      <c r="UCG162" s="370" t="e">
        <f>10/UCC160</f>
        <v>#DIV/0!</v>
      </c>
      <c r="UCH162" s="371">
        <v>15.38</v>
      </c>
      <c r="UCI162" s="371" t="e">
        <f>UCF162*UCG162*UCH162</f>
        <v>#DIV/0!</v>
      </c>
      <c r="UCJ162" s="367" t="s">
        <v>206</v>
      </c>
      <c r="UCK162" s="367"/>
      <c r="UCL162" s="367"/>
      <c r="UCM162" s="368" t="s">
        <v>168</v>
      </c>
      <c r="UCN162" s="369">
        <v>0.5</v>
      </c>
      <c r="UCO162" s="370" t="e">
        <f>10/UCK160</f>
        <v>#DIV/0!</v>
      </c>
      <c r="UCP162" s="371">
        <v>15.38</v>
      </c>
      <c r="UCQ162" s="371" t="e">
        <f>UCN162*UCO162*UCP162</f>
        <v>#DIV/0!</v>
      </c>
      <c r="UCR162" s="367" t="s">
        <v>206</v>
      </c>
      <c r="UCS162" s="367"/>
      <c r="UCT162" s="367"/>
      <c r="UCU162" s="368" t="s">
        <v>168</v>
      </c>
      <c r="UCV162" s="369">
        <v>0.5</v>
      </c>
      <c r="UCW162" s="370" t="e">
        <f>10/UCS160</f>
        <v>#DIV/0!</v>
      </c>
      <c r="UCX162" s="371">
        <v>15.38</v>
      </c>
      <c r="UCY162" s="371" t="e">
        <f>UCV162*UCW162*UCX162</f>
        <v>#DIV/0!</v>
      </c>
      <c r="UCZ162" s="367" t="s">
        <v>206</v>
      </c>
      <c r="UDA162" s="367"/>
      <c r="UDB162" s="367"/>
      <c r="UDC162" s="368" t="s">
        <v>168</v>
      </c>
      <c r="UDD162" s="369">
        <v>0.5</v>
      </c>
      <c r="UDE162" s="370" t="e">
        <f>10/UDA160</f>
        <v>#DIV/0!</v>
      </c>
      <c r="UDF162" s="371">
        <v>15.38</v>
      </c>
      <c r="UDG162" s="371" t="e">
        <f>UDD162*UDE162*UDF162</f>
        <v>#DIV/0!</v>
      </c>
      <c r="UDH162" s="367" t="s">
        <v>206</v>
      </c>
      <c r="UDI162" s="367"/>
      <c r="UDJ162" s="367"/>
      <c r="UDK162" s="368" t="s">
        <v>168</v>
      </c>
      <c r="UDL162" s="369">
        <v>0.5</v>
      </c>
      <c r="UDM162" s="370" t="e">
        <f>10/UDI160</f>
        <v>#DIV/0!</v>
      </c>
      <c r="UDN162" s="371">
        <v>15.38</v>
      </c>
      <c r="UDO162" s="371" t="e">
        <f>UDL162*UDM162*UDN162</f>
        <v>#DIV/0!</v>
      </c>
      <c r="UDP162" s="367" t="s">
        <v>206</v>
      </c>
      <c r="UDQ162" s="367"/>
      <c r="UDR162" s="367"/>
      <c r="UDS162" s="368" t="s">
        <v>168</v>
      </c>
      <c r="UDT162" s="369">
        <v>0.5</v>
      </c>
      <c r="UDU162" s="370" t="e">
        <f>10/UDQ160</f>
        <v>#DIV/0!</v>
      </c>
      <c r="UDV162" s="371">
        <v>15.38</v>
      </c>
      <c r="UDW162" s="371" t="e">
        <f>UDT162*UDU162*UDV162</f>
        <v>#DIV/0!</v>
      </c>
      <c r="UDX162" s="367" t="s">
        <v>206</v>
      </c>
      <c r="UDY162" s="367"/>
      <c r="UDZ162" s="367"/>
      <c r="UEA162" s="368" t="s">
        <v>168</v>
      </c>
      <c r="UEB162" s="369">
        <v>0.5</v>
      </c>
      <c r="UEC162" s="370" t="e">
        <f>10/UDY160</f>
        <v>#DIV/0!</v>
      </c>
      <c r="UED162" s="371">
        <v>15.38</v>
      </c>
      <c r="UEE162" s="371" t="e">
        <f>UEB162*UEC162*UED162</f>
        <v>#DIV/0!</v>
      </c>
      <c r="UEF162" s="367" t="s">
        <v>206</v>
      </c>
      <c r="UEG162" s="367"/>
      <c r="UEH162" s="367"/>
      <c r="UEI162" s="368" t="s">
        <v>168</v>
      </c>
      <c r="UEJ162" s="369">
        <v>0.5</v>
      </c>
      <c r="UEK162" s="370" t="e">
        <f>10/UEG160</f>
        <v>#DIV/0!</v>
      </c>
      <c r="UEL162" s="371">
        <v>15.38</v>
      </c>
      <c r="UEM162" s="371" t="e">
        <f>UEJ162*UEK162*UEL162</f>
        <v>#DIV/0!</v>
      </c>
      <c r="UEN162" s="367" t="s">
        <v>206</v>
      </c>
      <c r="UEO162" s="367"/>
      <c r="UEP162" s="367"/>
      <c r="UEQ162" s="368" t="s">
        <v>168</v>
      </c>
      <c r="UER162" s="369">
        <v>0.5</v>
      </c>
      <c r="UES162" s="370" t="e">
        <f>10/UEO160</f>
        <v>#DIV/0!</v>
      </c>
      <c r="UET162" s="371">
        <v>15.38</v>
      </c>
      <c r="UEU162" s="371" t="e">
        <f>UER162*UES162*UET162</f>
        <v>#DIV/0!</v>
      </c>
      <c r="UEV162" s="367" t="s">
        <v>206</v>
      </c>
      <c r="UEW162" s="367"/>
      <c r="UEX162" s="367"/>
      <c r="UEY162" s="368" t="s">
        <v>168</v>
      </c>
      <c r="UEZ162" s="369">
        <v>0.5</v>
      </c>
      <c r="UFA162" s="370" t="e">
        <f>10/UEW160</f>
        <v>#DIV/0!</v>
      </c>
      <c r="UFB162" s="371">
        <v>15.38</v>
      </c>
      <c r="UFC162" s="371" t="e">
        <f>UEZ162*UFA162*UFB162</f>
        <v>#DIV/0!</v>
      </c>
      <c r="UFD162" s="367" t="s">
        <v>206</v>
      </c>
      <c r="UFE162" s="367"/>
      <c r="UFF162" s="367"/>
      <c r="UFG162" s="368" t="s">
        <v>168</v>
      </c>
      <c r="UFH162" s="369">
        <v>0.5</v>
      </c>
      <c r="UFI162" s="370" t="e">
        <f>10/UFE160</f>
        <v>#DIV/0!</v>
      </c>
      <c r="UFJ162" s="371">
        <v>15.38</v>
      </c>
      <c r="UFK162" s="371" t="e">
        <f>UFH162*UFI162*UFJ162</f>
        <v>#DIV/0!</v>
      </c>
      <c r="UFL162" s="367" t="s">
        <v>206</v>
      </c>
      <c r="UFM162" s="367"/>
      <c r="UFN162" s="367"/>
      <c r="UFO162" s="368" t="s">
        <v>168</v>
      </c>
      <c r="UFP162" s="369">
        <v>0.5</v>
      </c>
      <c r="UFQ162" s="370" t="e">
        <f>10/UFM160</f>
        <v>#DIV/0!</v>
      </c>
      <c r="UFR162" s="371">
        <v>15.38</v>
      </c>
      <c r="UFS162" s="371" t="e">
        <f>UFP162*UFQ162*UFR162</f>
        <v>#DIV/0!</v>
      </c>
      <c r="UFT162" s="367" t="s">
        <v>206</v>
      </c>
      <c r="UFU162" s="367"/>
      <c r="UFV162" s="367"/>
      <c r="UFW162" s="368" t="s">
        <v>168</v>
      </c>
      <c r="UFX162" s="369">
        <v>0.5</v>
      </c>
      <c r="UFY162" s="370" t="e">
        <f>10/UFU160</f>
        <v>#DIV/0!</v>
      </c>
      <c r="UFZ162" s="371">
        <v>15.38</v>
      </c>
      <c r="UGA162" s="371" t="e">
        <f>UFX162*UFY162*UFZ162</f>
        <v>#DIV/0!</v>
      </c>
      <c r="UGB162" s="367" t="s">
        <v>206</v>
      </c>
      <c r="UGC162" s="367"/>
      <c r="UGD162" s="367"/>
      <c r="UGE162" s="368" t="s">
        <v>168</v>
      </c>
      <c r="UGF162" s="369">
        <v>0.5</v>
      </c>
      <c r="UGG162" s="370" t="e">
        <f>10/UGC160</f>
        <v>#DIV/0!</v>
      </c>
      <c r="UGH162" s="371">
        <v>15.38</v>
      </c>
      <c r="UGI162" s="371" t="e">
        <f>UGF162*UGG162*UGH162</f>
        <v>#DIV/0!</v>
      </c>
      <c r="UGJ162" s="367" t="s">
        <v>206</v>
      </c>
      <c r="UGK162" s="367"/>
      <c r="UGL162" s="367"/>
      <c r="UGM162" s="368" t="s">
        <v>168</v>
      </c>
      <c r="UGN162" s="369">
        <v>0.5</v>
      </c>
      <c r="UGO162" s="370" t="e">
        <f>10/UGK160</f>
        <v>#DIV/0!</v>
      </c>
      <c r="UGP162" s="371">
        <v>15.38</v>
      </c>
      <c r="UGQ162" s="371" t="e">
        <f>UGN162*UGO162*UGP162</f>
        <v>#DIV/0!</v>
      </c>
      <c r="UGR162" s="367" t="s">
        <v>206</v>
      </c>
      <c r="UGS162" s="367"/>
      <c r="UGT162" s="367"/>
      <c r="UGU162" s="368" t="s">
        <v>168</v>
      </c>
      <c r="UGV162" s="369">
        <v>0.5</v>
      </c>
      <c r="UGW162" s="370" t="e">
        <f>10/UGS160</f>
        <v>#DIV/0!</v>
      </c>
      <c r="UGX162" s="371">
        <v>15.38</v>
      </c>
      <c r="UGY162" s="371" t="e">
        <f>UGV162*UGW162*UGX162</f>
        <v>#DIV/0!</v>
      </c>
      <c r="UGZ162" s="367" t="s">
        <v>206</v>
      </c>
      <c r="UHA162" s="367"/>
      <c r="UHB162" s="367"/>
      <c r="UHC162" s="368" t="s">
        <v>168</v>
      </c>
      <c r="UHD162" s="369">
        <v>0.5</v>
      </c>
      <c r="UHE162" s="370" t="e">
        <f>10/UHA160</f>
        <v>#DIV/0!</v>
      </c>
      <c r="UHF162" s="371">
        <v>15.38</v>
      </c>
      <c r="UHG162" s="371" t="e">
        <f>UHD162*UHE162*UHF162</f>
        <v>#DIV/0!</v>
      </c>
      <c r="UHH162" s="367" t="s">
        <v>206</v>
      </c>
      <c r="UHI162" s="367"/>
      <c r="UHJ162" s="367"/>
      <c r="UHK162" s="368" t="s">
        <v>168</v>
      </c>
      <c r="UHL162" s="369">
        <v>0.5</v>
      </c>
      <c r="UHM162" s="370" t="e">
        <f>10/UHI160</f>
        <v>#DIV/0!</v>
      </c>
      <c r="UHN162" s="371">
        <v>15.38</v>
      </c>
      <c r="UHO162" s="371" t="e">
        <f>UHL162*UHM162*UHN162</f>
        <v>#DIV/0!</v>
      </c>
      <c r="UHP162" s="367" t="s">
        <v>206</v>
      </c>
      <c r="UHQ162" s="367"/>
      <c r="UHR162" s="367"/>
      <c r="UHS162" s="368" t="s">
        <v>168</v>
      </c>
      <c r="UHT162" s="369">
        <v>0.5</v>
      </c>
      <c r="UHU162" s="370" t="e">
        <f>10/UHQ160</f>
        <v>#DIV/0!</v>
      </c>
      <c r="UHV162" s="371">
        <v>15.38</v>
      </c>
      <c r="UHW162" s="371" t="e">
        <f>UHT162*UHU162*UHV162</f>
        <v>#DIV/0!</v>
      </c>
      <c r="UHX162" s="367" t="s">
        <v>206</v>
      </c>
      <c r="UHY162" s="367"/>
      <c r="UHZ162" s="367"/>
      <c r="UIA162" s="368" t="s">
        <v>168</v>
      </c>
      <c r="UIB162" s="369">
        <v>0.5</v>
      </c>
      <c r="UIC162" s="370" t="e">
        <f>10/UHY160</f>
        <v>#DIV/0!</v>
      </c>
      <c r="UID162" s="371">
        <v>15.38</v>
      </c>
      <c r="UIE162" s="371" t="e">
        <f>UIB162*UIC162*UID162</f>
        <v>#DIV/0!</v>
      </c>
      <c r="UIF162" s="367" t="s">
        <v>206</v>
      </c>
      <c r="UIG162" s="367"/>
      <c r="UIH162" s="367"/>
      <c r="UII162" s="368" t="s">
        <v>168</v>
      </c>
      <c r="UIJ162" s="369">
        <v>0.5</v>
      </c>
      <c r="UIK162" s="370" t="e">
        <f>10/UIG160</f>
        <v>#DIV/0!</v>
      </c>
      <c r="UIL162" s="371">
        <v>15.38</v>
      </c>
      <c r="UIM162" s="371" t="e">
        <f>UIJ162*UIK162*UIL162</f>
        <v>#DIV/0!</v>
      </c>
      <c r="UIN162" s="367" t="s">
        <v>206</v>
      </c>
      <c r="UIO162" s="367"/>
      <c r="UIP162" s="367"/>
      <c r="UIQ162" s="368" t="s">
        <v>168</v>
      </c>
      <c r="UIR162" s="369">
        <v>0.5</v>
      </c>
      <c r="UIS162" s="370" t="e">
        <f>10/UIO160</f>
        <v>#DIV/0!</v>
      </c>
      <c r="UIT162" s="371">
        <v>15.38</v>
      </c>
      <c r="UIU162" s="371" t="e">
        <f>UIR162*UIS162*UIT162</f>
        <v>#DIV/0!</v>
      </c>
      <c r="UIV162" s="367" t="s">
        <v>206</v>
      </c>
      <c r="UIW162" s="367"/>
      <c r="UIX162" s="367"/>
      <c r="UIY162" s="368" t="s">
        <v>168</v>
      </c>
      <c r="UIZ162" s="369">
        <v>0.5</v>
      </c>
      <c r="UJA162" s="370" t="e">
        <f>10/UIW160</f>
        <v>#DIV/0!</v>
      </c>
      <c r="UJB162" s="371">
        <v>15.38</v>
      </c>
      <c r="UJC162" s="371" t="e">
        <f>UIZ162*UJA162*UJB162</f>
        <v>#DIV/0!</v>
      </c>
      <c r="UJD162" s="367" t="s">
        <v>206</v>
      </c>
      <c r="UJE162" s="367"/>
      <c r="UJF162" s="367"/>
      <c r="UJG162" s="368" t="s">
        <v>168</v>
      </c>
      <c r="UJH162" s="369">
        <v>0.5</v>
      </c>
      <c r="UJI162" s="370" t="e">
        <f>10/UJE160</f>
        <v>#DIV/0!</v>
      </c>
      <c r="UJJ162" s="371">
        <v>15.38</v>
      </c>
      <c r="UJK162" s="371" t="e">
        <f>UJH162*UJI162*UJJ162</f>
        <v>#DIV/0!</v>
      </c>
      <c r="UJL162" s="367" t="s">
        <v>206</v>
      </c>
      <c r="UJM162" s="367"/>
      <c r="UJN162" s="367"/>
      <c r="UJO162" s="368" t="s">
        <v>168</v>
      </c>
      <c r="UJP162" s="369">
        <v>0.5</v>
      </c>
      <c r="UJQ162" s="370" t="e">
        <f>10/UJM160</f>
        <v>#DIV/0!</v>
      </c>
      <c r="UJR162" s="371">
        <v>15.38</v>
      </c>
      <c r="UJS162" s="371" t="e">
        <f>UJP162*UJQ162*UJR162</f>
        <v>#DIV/0!</v>
      </c>
      <c r="UJT162" s="367" t="s">
        <v>206</v>
      </c>
      <c r="UJU162" s="367"/>
      <c r="UJV162" s="367"/>
      <c r="UJW162" s="368" t="s">
        <v>168</v>
      </c>
      <c r="UJX162" s="369">
        <v>0.5</v>
      </c>
      <c r="UJY162" s="370" t="e">
        <f>10/UJU160</f>
        <v>#DIV/0!</v>
      </c>
      <c r="UJZ162" s="371">
        <v>15.38</v>
      </c>
      <c r="UKA162" s="371" t="e">
        <f>UJX162*UJY162*UJZ162</f>
        <v>#DIV/0!</v>
      </c>
      <c r="UKB162" s="367" t="s">
        <v>206</v>
      </c>
      <c r="UKC162" s="367"/>
      <c r="UKD162" s="367"/>
      <c r="UKE162" s="368" t="s">
        <v>168</v>
      </c>
      <c r="UKF162" s="369">
        <v>0.5</v>
      </c>
      <c r="UKG162" s="370" t="e">
        <f>10/UKC160</f>
        <v>#DIV/0!</v>
      </c>
      <c r="UKH162" s="371">
        <v>15.38</v>
      </c>
      <c r="UKI162" s="371" t="e">
        <f>UKF162*UKG162*UKH162</f>
        <v>#DIV/0!</v>
      </c>
      <c r="UKJ162" s="367" t="s">
        <v>206</v>
      </c>
      <c r="UKK162" s="367"/>
      <c r="UKL162" s="367"/>
      <c r="UKM162" s="368" t="s">
        <v>168</v>
      </c>
      <c r="UKN162" s="369">
        <v>0.5</v>
      </c>
      <c r="UKO162" s="370" t="e">
        <f>10/UKK160</f>
        <v>#DIV/0!</v>
      </c>
      <c r="UKP162" s="371">
        <v>15.38</v>
      </c>
      <c r="UKQ162" s="371" t="e">
        <f>UKN162*UKO162*UKP162</f>
        <v>#DIV/0!</v>
      </c>
      <c r="UKR162" s="367" t="s">
        <v>206</v>
      </c>
      <c r="UKS162" s="367"/>
      <c r="UKT162" s="367"/>
      <c r="UKU162" s="368" t="s">
        <v>168</v>
      </c>
      <c r="UKV162" s="369">
        <v>0.5</v>
      </c>
      <c r="UKW162" s="370" t="e">
        <f>10/UKS160</f>
        <v>#DIV/0!</v>
      </c>
      <c r="UKX162" s="371">
        <v>15.38</v>
      </c>
      <c r="UKY162" s="371" t="e">
        <f>UKV162*UKW162*UKX162</f>
        <v>#DIV/0!</v>
      </c>
      <c r="UKZ162" s="367" t="s">
        <v>206</v>
      </c>
      <c r="ULA162" s="367"/>
      <c r="ULB162" s="367"/>
      <c r="ULC162" s="368" t="s">
        <v>168</v>
      </c>
      <c r="ULD162" s="369">
        <v>0.5</v>
      </c>
      <c r="ULE162" s="370" t="e">
        <f>10/ULA160</f>
        <v>#DIV/0!</v>
      </c>
      <c r="ULF162" s="371">
        <v>15.38</v>
      </c>
      <c r="ULG162" s="371" t="e">
        <f>ULD162*ULE162*ULF162</f>
        <v>#DIV/0!</v>
      </c>
      <c r="ULH162" s="367" t="s">
        <v>206</v>
      </c>
      <c r="ULI162" s="367"/>
      <c r="ULJ162" s="367"/>
      <c r="ULK162" s="368" t="s">
        <v>168</v>
      </c>
      <c r="ULL162" s="369">
        <v>0.5</v>
      </c>
      <c r="ULM162" s="370" t="e">
        <f>10/ULI160</f>
        <v>#DIV/0!</v>
      </c>
      <c r="ULN162" s="371">
        <v>15.38</v>
      </c>
      <c r="ULO162" s="371" t="e">
        <f>ULL162*ULM162*ULN162</f>
        <v>#DIV/0!</v>
      </c>
      <c r="ULP162" s="367" t="s">
        <v>206</v>
      </c>
      <c r="ULQ162" s="367"/>
      <c r="ULR162" s="367"/>
      <c r="ULS162" s="368" t="s">
        <v>168</v>
      </c>
      <c r="ULT162" s="369">
        <v>0.5</v>
      </c>
      <c r="ULU162" s="370" t="e">
        <f>10/ULQ160</f>
        <v>#DIV/0!</v>
      </c>
      <c r="ULV162" s="371">
        <v>15.38</v>
      </c>
      <c r="ULW162" s="371" t="e">
        <f>ULT162*ULU162*ULV162</f>
        <v>#DIV/0!</v>
      </c>
      <c r="ULX162" s="367" t="s">
        <v>206</v>
      </c>
      <c r="ULY162" s="367"/>
      <c r="ULZ162" s="367"/>
      <c r="UMA162" s="368" t="s">
        <v>168</v>
      </c>
      <c r="UMB162" s="369">
        <v>0.5</v>
      </c>
      <c r="UMC162" s="370" t="e">
        <f>10/ULY160</f>
        <v>#DIV/0!</v>
      </c>
      <c r="UMD162" s="371">
        <v>15.38</v>
      </c>
      <c r="UME162" s="371" t="e">
        <f>UMB162*UMC162*UMD162</f>
        <v>#DIV/0!</v>
      </c>
      <c r="UMF162" s="367" t="s">
        <v>206</v>
      </c>
      <c r="UMG162" s="367"/>
      <c r="UMH162" s="367"/>
      <c r="UMI162" s="368" t="s">
        <v>168</v>
      </c>
      <c r="UMJ162" s="369">
        <v>0.5</v>
      </c>
      <c r="UMK162" s="370" t="e">
        <f>10/UMG160</f>
        <v>#DIV/0!</v>
      </c>
      <c r="UML162" s="371">
        <v>15.38</v>
      </c>
      <c r="UMM162" s="371" t="e">
        <f>UMJ162*UMK162*UML162</f>
        <v>#DIV/0!</v>
      </c>
      <c r="UMN162" s="367" t="s">
        <v>206</v>
      </c>
      <c r="UMO162" s="367"/>
      <c r="UMP162" s="367"/>
      <c r="UMQ162" s="368" t="s">
        <v>168</v>
      </c>
      <c r="UMR162" s="369">
        <v>0.5</v>
      </c>
      <c r="UMS162" s="370" t="e">
        <f>10/UMO160</f>
        <v>#DIV/0!</v>
      </c>
      <c r="UMT162" s="371">
        <v>15.38</v>
      </c>
      <c r="UMU162" s="371" t="e">
        <f>UMR162*UMS162*UMT162</f>
        <v>#DIV/0!</v>
      </c>
      <c r="UMV162" s="367" t="s">
        <v>206</v>
      </c>
      <c r="UMW162" s="367"/>
      <c r="UMX162" s="367"/>
      <c r="UMY162" s="368" t="s">
        <v>168</v>
      </c>
      <c r="UMZ162" s="369">
        <v>0.5</v>
      </c>
      <c r="UNA162" s="370" t="e">
        <f>10/UMW160</f>
        <v>#DIV/0!</v>
      </c>
      <c r="UNB162" s="371">
        <v>15.38</v>
      </c>
      <c r="UNC162" s="371" t="e">
        <f>UMZ162*UNA162*UNB162</f>
        <v>#DIV/0!</v>
      </c>
      <c r="UND162" s="367" t="s">
        <v>206</v>
      </c>
      <c r="UNE162" s="367"/>
      <c r="UNF162" s="367"/>
      <c r="UNG162" s="368" t="s">
        <v>168</v>
      </c>
      <c r="UNH162" s="369">
        <v>0.5</v>
      </c>
      <c r="UNI162" s="370" t="e">
        <f>10/UNE160</f>
        <v>#DIV/0!</v>
      </c>
      <c r="UNJ162" s="371">
        <v>15.38</v>
      </c>
      <c r="UNK162" s="371" t="e">
        <f>UNH162*UNI162*UNJ162</f>
        <v>#DIV/0!</v>
      </c>
      <c r="UNL162" s="367" t="s">
        <v>206</v>
      </c>
      <c r="UNM162" s="367"/>
      <c r="UNN162" s="367"/>
      <c r="UNO162" s="368" t="s">
        <v>168</v>
      </c>
      <c r="UNP162" s="369">
        <v>0.5</v>
      </c>
      <c r="UNQ162" s="370" t="e">
        <f>10/UNM160</f>
        <v>#DIV/0!</v>
      </c>
      <c r="UNR162" s="371">
        <v>15.38</v>
      </c>
      <c r="UNS162" s="371" t="e">
        <f>UNP162*UNQ162*UNR162</f>
        <v>#DIV/0!</v>
      </c>
      <c r="UNT162" s="367" t="s">
        <v>206</v>
      </c>
      <c r="UNU162" s="367"/>
      <c r="UNV162" s="367"/>
      <c r="UNW162" s="368" t="s">
        <v>168</v>
      </c>
      <c r="UNX162" s="369">
        <v>0.5</v>
      </c>
      <c r="UNY162" s="370" t="e">
        <f>10/UNU160</f>
        <v>#DIV/0!</v>
      </c>
      <c r="UNZ162" s="371">
        <v>15.38</v>
      </c>
      <c r="UOA162" s="371" t="e">
        <f>UNX162*UNY162*UNZ162</f>
        <v>#DIV/0!</v>
      </c>
      <c r="UOB162" s="367" t="s">
        <v>206</v>
      </c>
      <c r="UOC162" s="367"/>
      <c r="UOD162" s="367"/>
      <c r="UOE162" s="368" t="s">
        <v>168</v>
      </c>
      <c r="UOF162" s="369">
        <v>0.5</v>
      </c>
      <c r="UOG162" s="370" t="e">
        <f>10/UOC160</f>
        <v>#DIV/0!</v>
      </c>
      <c r="UOH162" s="371">
        <v>15.38</v>
      </c>
      <c r="UOI162" s="371" t="e">
        <f>UOF162*UOG162*UOH162</f>
        <v>#DIV/0!</v>
      </c>
      <c r="UOJ162" s="367" t="s">
        <v>206</v>
      </c>
      <c r="UOK162" s="367"/>
      <c r="UOL162" s="367"/>
      <c r="UOM162" s="368" t="s">
        <v>168</v>
      </c>
      <c r="UON162" s="369">
        <v>0.5</v>
      </c>
      <c r="UOO162" s="370" t="e">
        <f>10/UOK160</f>
        <v>#DIV/0!</v>
      </c>
      <c r="UOP162" s="371">
        <v>15.38</v>
      </c>
      <c r="UOQ162" s="371" t="e">
        <f>UON162*UOO162*UOP162</f>
        <v>#DIV/0!</v>
      </c>
      <c r="UOR162" s="367" t="s">
        <v>206</v>
      </c>
      <c r="UOS162" s="367"/>
      <c r="UOT162" s="367"/>
      <c r="UOU162" s="368" t="s">
        <v>168</v>
      </c>
      <c r="UOV162" s="369">
        <v>0.5</v>
      </c>
      <c r="UOW162" s="370" t="e">
        <f>10/UOS160</f>
        <v>#DIV/0!</v>
      </c>
      <c r="UOX162" s="371">
        <v>15.38</v>
      </c>
      <c r="UOY162" s="371" t="e">
        <f>UOV162*UOW162*UOX162</f>
        <v>#DIV/0!</v>
      </c>
      <c r="UOZ162" s="367" t="s">
        <v>206</v>
      </c>
      <c r="UPA162" s="367"/>
      <c r="UPB162" s="367"/>
      <c r="UPC162" s="368" t="s">
        <v>168</v>
      </c>
      <c r="UPD162" s="369">
        <v>0.5</v>
      </c>
      <c r="UPE162" s="370" t="e">
        <f>10/UPA160</f>
        <v>#DIV/0!</v>
      </c>
      <c r="UPF162" s="371">
        <v>15.38</v>
      </c>
      <c r="UPG162" s="371" t="e">
        <f>UPD162*UPE162*UPF162</f>
        <v>#DIV/0!</v>
      </c>
      <c r="UPH162" s="367" t="s">
        <v>206</v>
      </c>
      <c r="UPI162" s="367"/>
      <c r="UPJ162" s="367"/>
      <c r="UPK162" s="368" t="s">
        <v>168</v>
      </c>
      <c r="UPL162" s="369">
        <v>0.5</v>
      </c>
      <c r="UPM162" s="370" t="e">
        <f>10/UPI160</f>
        <v>#DIV/0!</v>
      </c>
      <c r="UPN162" s="371">
        <v>15.38</v>
      </c>
      <c r="UPO162" s="371" t="e">
        <f>UPL162*UPM162*UPN162</f>
        <v>#DIV/0!</v>
      </c>
      <c r="UPP162" s="367" t="s">
        <v>206</v>
      </c>
      <c r="UPQ162" s="367"/>
      <c r="UPR162" s="367"/>
      <c r="UPS162" s="368" t="s">
        <v>168</v>
      </c>
      <c r="UPT162" s="369">
        <v>0.5</v>
      </c>
      <c r="UPU162" s="370" t="e">
        <f>10/UPQ160</f>
        <v>#DIV/0!</v>
      </c>
      <c r="UPV162" s="371">
        <v>15.38</v>
      </c>
      <c r="UPW162" s="371" t="e">
        <f>UPT162*UPU162*UPV162</f>
        <v>#DIV/0!</v>
      </c>
      <c r="UPX162" s="367" t="s">
        <v>206</v>
      </c>
      <c r="UPY162" s="367"/>
      <c r="UPZ162" s="367"/>
      <c r="UQA162" s="368" t="s">
        <v>168</v>
      </c>
      <c r="UQB162" s="369">
        <v>0.5</v>
      </c>
      <c r="UQC162" s="370" t="e">
        <f>10/UPY160</f>
        <v>#DIV/0!</v>
      </c>
      <c r="UQD162" s="371">
        <v>15.38</v>
      </c>
      <c r="UQE162" s="371" t="e">
        <f>UQB162*UQC162*UQD162</f>
        <v>#DIV/0!</v>
      </c>
      <c r="UQF162" s="367" t="s">
        <v>206</v>
      </c>
      <c r="UQG162" s="367"/>
      <c r="UQH162" s="367"/>
      <c r="UQI162" s="368" t="s">
        <v>168</v>
      </c>
      <c r="UQJ162" s="369">
        <v>0.5</v>
      </c>
      <c r="UQK162" s="370" t="e">
        <f>10/UQG160</f>
        <v>#DIV/0!</v>
      </c>
      <c r="UQL162" s="371">
        <v>15.38</v>
      </c>
      <c r="UQM162" s="371" t="e">
        <f>UQJ162*UQK162*UQL162</f>
        <v>#DIV/0!</v>
      </c>
      <c r="UQN162" s="367" t="s">
        <v>206</v>
      </c>
      <c r="UQO162" s="367"/>
      <c r="UQP162" s="367"/>
      <c r="UQQ162" s="368" t="s">
        <v>168</v>
      </c>
      <c r="UQR162" s="369">
        <v>0.5</v>
      </c>
      <c r="UQS162" s="370" t="e">
        <f>10/UQO160</f>
        <v>#DIV/0!</v>
      </c>
      <c r="UQT162" s="371">
        <v>15.38</v>
      </c>
      <c r="UQU162" s="371" t="e">
        <f>UQR162*UQS162*UQT162</f>
        <v>#DIV/0!</v>
      </c>
      <c r="UQV162" s="367" t="s">
        <v>206</v>
      </c>
      <c r="UQW162" s="367"/>
      <c r="UQX162" s="367"/>
      <c r="UQY162" s="368" t="s">
        <v>168</v>
      </c>
      <c r="UQZ162" s="369">
        <v>0.5</v>
      </c>
      <c r="URA162" s="370" t="e">
        <f>10/UQW160</f>
        <v>#DIV/0!</v>
      </c>
      <c r="URB162" s="371">
        <v>15.38</v>
      </c>
      <c r="URC162" s="371" t="e">
        <f>UQZ162*URA162*URB162</f>
        <v>#DIV/0!</v>
      </c>
      <c r="URD162" s="367" t="s">
        <v>206</v>
      </c>
      <c r="URE162" s="367"/>
      <c r="URF162" s="367"/>
      <c r="URG162" s="368" t="s">
        <v>168</v>
      </c>
      <c r="URH162" s="369">
        <v>0.5</v>
      </c>
      <c r="URI162" s="370" t="e">
        <f>10/URE160</f>
        <v>#DIV/0!</v>
      </c>
      <c r="URJ162" s="371">
        <v>15.38</v>
      </c>
      <c r="URK162" s="371" t="e">
        <f>URH162*URI162*URJ162</f>
        <v>#DIV/0!</v>
      </c>
      <c r="URL162" s="367" t="s">
        <v>206</v>
      </c>
      <c r="URM162" s="367"/>
      <c r="URN162" s="367"/>
      <c r="URO162" s="368" t="s">
        <v>168</v>
      </c>
      <c r="URP162" s="369">
        <v>0.5</v>
      </c>
      <c r="URQ162" s="370" t="e">
        <f>10/URM160</f>
        <v>#DIV/0!</v>
      </c>
      <c r="URR162" s="371">
        <v>15.38</v>
      </c>
      <c r="URS162" s="371" t="e">
        <f>URP162*URQ162*URR162</f>
        <v>#DIV/0!</v>
      </c>
      <c r="URT162" s="367" t="s">
        <v>206</v>
      </c>
      <c r="URU162" s="367"/>
      <c r="URV162" s="367"/>
      <c r="URW162" s="368" t="s">
        <v>168</v>
      </c>
      <c r="URX162" s="369">
        <v>0.5</v>
      </c>
      <c r="URY162" s="370" t="e">
        <f>10/URU160</f>
        <v>#DIV/0!</v>
      </c>
      <c r="URZ162" s="371">
        <v>15.38</v>
      </c>
      <c r="USA162" s="371" t="e">
        <f>URX162*URY162*URZ162</f>
        <v>#DIV/0!</v>
      </c>
      <c r="USB162" s="367" t="s">
        <v>206</v>
      </c>
      <c r="USC162" s="367"/>
      <c r="USD162" s="367"/>
      <c r="USE162" s="368" t="s">
        <v>168</v>
      </c>
      <c r="USF162" s="369">
        <v>0.5</v>
      </c>
      <c r="USG162" s="370" t="e">
        <f>10/USC160</f>
        <v>#DIV/0!</v>
      </c>
      <c r="USH162" s="371">
        <v>15.38</v>
      </c>
      <c r="USI162" s="371" t="e">
        <f>USF162*USG162*USH162</f>
        <v>#DIV/0!</v>
      </c>
      <c r="USJ162" s="367" t="s">
        <v>206</v>
      </c>
      <c r="USK162" s="367"/>
      <c r="USL162" s="367"/>
      <c r="USM162" s="368" t="s">
        <v>168</v>
      </c>
      <c r="USN162" s="369">
        <v>0.5</v>
      </c>
      <c r="USO162" s="370" t="e">
        <f>10/USK160</f>
        <v>#DIV/0!</v>
      </c>
      <c r="USP162" s="371">
        <v>15.38</v>
      </c>
      <c r="USQ162" s="371" t="e">
        <f>USN162*USO162*USP162</f>
        <v>#DIV/0!</v>
      </c>
      <c r="USR162" s="367" t="s">
        <v>206</v>
      </c>
      <c r="USS162" s="367"/>
      <c r="UST162" s="367"/>
      <c r="USU162" s="368" t="s">
        <v>168</v>
      </c>
      <c r="USV162" s="369">
        <v>0.5</v>
      </c>
      <c r="USW162" s="370" t="e">
        <f>10/USS160</f>
        <v>#DIV/0!</v>
      </c>
      <c r="USX162" s="371">
        <v>15.38</v>
      </c>
      <c r="USY162" s="371" t="e">
        <f>USV162*USW162*USX162</f>
        <v>#DIV/0!</v>
      </c>
      <c r="USZ162" s="367" t="s">
        <v>206</v>
      </c>
      <c r="UTA162" s="367"/>
      <c r="UTB162" s="367"/>
      <c r="UTC162" s="368" t="s">
        <v>168</v>
      </c>
      <c r="UTD162" s="369">
        <v>0.5</v>
      </c>
      <c r="UTE162" s="370" t="e">
        <f>10/UTA160</f>
        <v>#DIV/0!</v>
      </c>
      <c r="UTF162" s="371">
        <v>15.38</v>
      </c>
      <c r="UTG162" s="371" t="e">
        <f>UTD162*UTE162*UTF162</f>
        <v>#DIV/0!</v>
      </c>
      <c r="UTH162" s="367" t="s">
        <v>206</v>
      </c>
      <c r="UTI162" s="367"/>
      <c r="UTJ162" s="367"/>
      <c r="UTK162" s="368" t="s">
        <v>168</v>
      </c>
      <c r="UTL162" s="369">
        <v>0.5</v>
      </c>
      <c r="UTM162" s="370" t="e">
        <f>10/UTI160</f>
        <v>#DIV/0!</v>
      </c>
      <c r="UTN162" s="371">
        <v>15.38</v>
      </c>
      <c r="UTO162" s="371" t="e">
        <f>UTL162*UTM162*UTN162</f>
        <v>#DIV/0!</v>
      </c>
      <c r="UTP162" s="367" t="s">
        <v>206</v>
      </c>
      <c r="UTQ162" s="367"/>
      <c r="UTR162" s="367"/>
      <c r="UTS162" s="368" t="s">
        <v>168</v>
      </c>
      <c r="UTT162" s="369">
        <v>0.5</v>
      </c>
      <c r="UTU162" s="370" t="e">
        <f>10/UTQ160</f>
        <v>#DIV/0!</v>
      </c>
      <c r="UTV162" s="371">
        <v>15.38</v>
      </c>
      <c r="UTW162" s="371" t="e">
        <f>UTT162*UTU162*UTV162</f>
        <v>#DIV/0!</v>
      </c>
      <c r="UTX162" s="367" t="s">
        <v>206</v>
      </c>
      <c r="UTY162" s="367"/>
      <c r="UTZ162" s="367"/>
      <c r="UUA162" s="368" t="s">
        <v>168</v>
      </c>
      <c r="UUB162" s="369">
        <v>0.5</v>
      </c>
      <c r="UUC162" s="370" t="e">
        <f>10/UTY160</f>
        <v>#DIV/0!</v>
      </c>
      <c r="UUD162" s="371">
        <v>15.38</v>
      </c>
      <c r="UUE162" s="371" t="e">
        <f>UUB162*UUC162*UUD162</f>
        <v>#DIV/0!</v>
      </c>
      <c r="UUF162" s="367" t="s">
        <v>206</v>
      </c>
      <c r="UUG162" s="367"/>
      <c r="UUH162" s="367"/>
      <c r="UUI162" s="368" t="s">
        <v>168</v>
      </c>
      <c r="UUJ162" s="369">
        <v>0.5</v>
      </c>
      <c r="UUK162" s="370" t="e">
        <f>10/UUG160</f>
        <v>#DIV/0!</v>
      </c>
      <c r="UUL162" s="371">
        <v>15.38</v>
      </c>
      <c r="UUM162" s="371" t="e">
        <f>UUJ162*UUK162*UUL162</f>
        <v>#DIV/0!</v>
      </c>
      <c r="UUN162" s="367" t="s">
        <v>206</v>
      </c>
      <c r="UUO162" s="367"/>
      <c r="UUP162" s="367"/>
      <c r="UUQ162" s="368" t="s">
        <v>168</v>
      </c>
      <c r="UUR162" s="369">
        <v>0.5</v>
      </c>
      <c r="UUS162" s="370" t="e">
        <f>10/UUO160</f>
        <v>#DIV/0!</v>
      </c>
      <c r="UUT162" s="371">
        <v>15.38</v>
      </c>
      <c r="UUU162" s="371" t="e">
        <f>UUR162*UUS162*UUT162</f>
        <v>#DIV/0!</v>
      </c>
      <c r="UUV162" s="367" t="s">
        <v>206</v>
      </c>
      <c r="UUW162" s="367"/>
      <c r="UUX162" s="367"/>
      <c r="UUY162" s="368" t="s">
        <v>168</v>
      </c>
      <c r="UUZ162" s="369">
        <v>0.5</v>
      </c>
      <c r="UVA162" s="370" t="e">
        <f>10/UUW160</f>
        <v>#DIV/0!</v>
      </c>
      <c r="UVB162" s="371">
        <v>15.38</v>
      </c>
      <c r="UVC162" s="371" t="e">
        <f>UUZ162*UVA162*UVB162</f>
        <v>#DIV/0!</v>
      </c>
      <c r="UVD162" s="367" t="s">
        <v>206</v>
      </c>
      <c r="UVE162" s="367"/>
      <c r="UVF162" s="367"/>
      <c r="UVG162" s="368" t="s">
        <v>168</v>
      </c>
      <c r="UVH162" s="369">
        <v>0.5</v>
      </c>
      <c r="UVI162" s="370" t="e">
        <f>10/UVE160</f>
        <v>#DIV/0!</v>
      </c>
      <c r="UVJ162" s="371">
        <v>15.38</v>
      </c>
      <c r="UVK162" s="371" t="e">
        <f>UVH162*UVI162*UVJ162</f>
        <v>#DIV/0!</v>
      </c>
      <c r="UVL162" s="367" t="s">
        <v>206</v>
      </c>
      <c r="UVM162" s="367"/>
      <c r="UVN162" s="367"/>
      <c r="UVO162" s="368" t="s">
        <v>168</v>
      </c>
      <c r="UVP162" s="369">
        <v>0.5</v>
      </c>
      <c r="UVQ162" s="370" t="e">
        <f>10/UVM160</f>
        <v>#DIV/0!</v>
      </c>
      <c r="UVR162" s="371">
        <v>15.38</v>
      </c>
      <c r="UVS162" s="371" t="e">
        <f>UVP162*UVQ162*UVR162</f>
        <v>#DIV/0!</v>
      </c>
      <c r="UVT162" s="367" t="s">
        <v>206</v>
      </c>
      <c r="UVU162" s="367"/>
      <c r="UVV162" s="367"/>
      <c r="UVW162" s="368" t="s">
        <v>168</v>
      </c>
      <c r="UVX162" s="369">
        <v>0.5</v>
      </c>
      <c r="UVY162" s="370" t="e">
        <f>10/UVU160</f>
        <v>#DIV/0!</v>
      </c>
      <c r="UVZ162" s="371">
        <v>15.38</v>
      </c>
      <c r="UWA162" s="371" t="e">
        <f>UVX162*UVY162*UVZ162</f>
        <v>#DIV/0!</v>
      </c>
      <c r="UWB162" s="367" t="s">
        <v>206</v>
      </c>
      <c r="UWC162" s="367"/>
      <c r="UWD162" s="367"/>
      <c r="UWE162" s="368" t="s">
        <v>168</v>
      </c>
      <c r="UWF162" s="369">
        <v>0.5</v>
      </c>
      <c r="UWG162" s="370" t="e">
        <f>10/UWC160</f>
        <v>#DIV/0!</v>
      </c>
      <c r="UWH162" s="371">
        <v>15.38</v>
      </c>
      <c r="UWI162" s="371" t="e">
        <f>UWF162*UWG162*UWH162</f>
        <v>#DIV/0!</v>
      </c>
      <c r="UWJ162" s="367" t="s">
        <v>206</v>
      </c>
      <c r="UWK162" s="367"/>
      <c r="UWL162" s="367"/>
      <c r="UWM162" s="368" t="s">
        <v>168</v>
      </c>
      <c r="UWN162" s="369">
        <v>0.5</v>
      </c>
      <c r="UWO162" s="370" t="e">
        <f>10/UWK160</f>
        <v>#DIV/0!</v>
      </c>
      <c r="UWP162" s="371">
        <v>15.38</v>
      </c>
      <c r="UWQ162" s="371" t="e">
        <f>UWN162*UWO162*UWP162</f>
        <v>#DIV/0!</v>
      </c>
      <c r="UWR162" s="367" t="s">
        <v>206</v>
      </c>
      <c r="UWS162" s="367"/>
      <c r="UWT162" s="367"/>
      <c r="UWU162" s="368" t="s">
        <v>168</v>
      </c>
      <c r="UWV162" s="369">
        <v>0.5</v>
      </c>
      <c r="UWW162" s="370" t="e">
        <f>10/UWS160</f>
        <v>#DIV/0!</v>
      </c>
      <c r="UWX162" s="371">
        <v>15.38</v>
      </c>
      <c r="UWY162" s="371" t="e">
        <f>UWV162*UWW162*UWX162</f>
        <v>#DIV/0!</v>
      </c>
      <c r="UWZ162" s="367" t="s">
        <v>206</v>
      </c>
      <c r="UXA162" s="367"/>
      <c r="UXB162" s="367"/>
      <c r="UXC162" s="368" t="s">
        <v>168</v>
      </c>
      <c r="UXD162" s="369">
        <v>0.5</v>
      </c>
      <c r="UXE162" s="370" t="e">
        <f>10/UXA160</f>
        <v>#DIV/0!</v>
      </c>
      <c r="UXF162" s="371">
        <v>15.38</v>
      </c>
      <c r="UXG162" s="371" t="e">
        <f>UXD162*UXE162*UXF162</f>
        <v>#DIV/0!</v>
      </c>
      <c r="UXH162" s="367" t="s">
        <v>206</v>
      </c>
      <c r="UXI162" s="367"/>
      <c r="UXJ162" s="367"/>
      <c r="UXK162" s="368" t="s">
        <v>168</v>
      </c>
      <c r="UXL162" s="369">
        <v>0.5</v>
      </c>
      <c r="UXM162" s="370" t="e">
        <f>10/UXI160</f>
        <v>#DIV/0!</v>
      </c>
      <c r="UXN162" s="371">
        <v>15.38</v>
      </c>
      <c r="UXO162" s="371" t="e">
        <f>UXL162*UXM162*UXN162</f>
        <v>#DIV/0!</v>
      </c>
      <c r="UXP162" s="367" t="s">
        <v>206</v>
      </c>
      <c r="UXQ162" s="367"/>
      <c r="UXR162" s="367"/>
      <c r="UXS162" s="368" t="s">
        <v>168</v>
      </c>
      <c r="UXT162" s="369">
        <v>0.5</v>
      </c>
      <c r="UXU162" s="370" t="e">
        <f>10/UXQ160</f>
        <v>#DIV/0!</v>
      </c>
      <c r="UXV162" s="371">
        <v>15.38</v>
      </c>
      <c r="UXW162" s="371" t="e">
        <f>UXT162*UXU162*UXV162</f>
        <v>#DIV/0!</v>
      </c>
      <c r="UXX162" s="367" t="s">
        <v>206</v>
      </c>
      <c r="UXY162" s="367"/>
      <c r="UXZ162" s="367"/>
      <c r="UYA162" s="368" t="s">
        <v>168</v>
      </c>
      <c r="UYB162" s="369">
        <v>0.5</v>
      </c>
      <c r="UYC162" s="370" t="e">
        <f>10/UXY160</f>
        <v>#DIV/0!</v>
      </c>
      <c r="UYD162" s="371">
        <v>15.38</v>
      </c>
      <c r="UYE162" s="371" t="e">
        <f>UYB162*UYC162*UYD162</f>
        <v>#DIV/0!</v>
      </c>
      <c r="UYF162" s="367" t="s">
        <v>206</v>
      </c>
      <c r="UYG162" s="367"/>
      <c r="UYH162" s="367"/>
      <c r="UYI162" s="368" t="s">
        <v>168</v>
      </c>
      <c r="UYJ162" s="369">
        <v>0.5</v>
      </c>
      <c r="UYK162" s="370" t="e">
        <f>10/UYG160</f>
        <v>#DIV/0!</v>
      </c>
      <c r="UYL162" s="371">
        <v>15.38</v>
      </c>
      <c r="UYM162" s="371" t="e">
        <f>UYJ162*UYK162*UYL162</f>
        <v>#DIV/0!</v>
      </c>
      <c r="UYN162" s="367" t="s">
        <v>206</v>
      </c>
      <c r="UYO162" s="367"/>
      <c r="UYP162" s="367"/>
      <c r="UYQ162" s="368" t="s">
        <v>168</v>
      </c>
      <c r="UYR162" s="369">
        <v>0.5</v>
      </c>
      <c r="UYS162" s="370" t="e">
        <f>10/UYO160</f>
        <v>#DIV/0!</v>
      </c>
      <c r="UYT162" s="371">
        <v>15.38</v>
      </c>
      <c r="UYU162" s="371" t="e">
        <f>UYR162*UYS162*UYT162</f>
        <v>#DIV/0!</v>
      </c>
      <c r="UYV162" s="367" t="s">
        <v>206</v>
      </c>
      <c r="UYW162" s="367"/>
      <c r="UYX162" s="367"/>
      <c r="UYY162" s="368" t="s">
        <v>168</v>
      </c>
      <c r="UYZ162" s="369">
        <v>0.5</v>
      </c>
      <c r="UZA162" s="370" t="e">
        <f>10/UYW160</f>
        <v>#DIV/0!</v>
      </c>
      <c r="UZB162" s="371">
        <v>15.38</v>
      </c>
      <c r="UZC162" s="371" t="e">
        <f>UYZ162*UZA162*UZB162</f>
        <v>#DIV/0!</v>
      </c>
      <c r="UZD162" s="367" t="s">
        <v>206</v>
      </c>
      <c r="UZE162" s="367"/>
      <c r="UZF162" s="367"/>
      <c r="UZG162" s="368" t="s">
        <v>168</v>
      </c>
      <c r="UZH162" s="369">
        <v>0.5</v>
      </c>
      <c r="UZI162" s="370" t="e">
        <f>10/UZE160</f>
        <v>#DIV/0!</v>
      </c>
      <c r="UZJ162" s="371">
        <v>15.38</v>
      </c>
      <c r="UZK162" s="371" t="e">
        <f>UZH162*UZI162*UZJ162</f>
        <v>#DIV/0!</v>
      </c>
      <c r="UZL162" s="367" t="s">
        <v>206</v>
      </c>
      <c r="UZM162" s="367"/>
      <c r="UZN162" s="367"/>
      <c r="UZO162" s="368" t="s">
        <v>168</v>
      </c>
      <c r="UZP162" s="369">
        <v>0.5</v>
      </c>
      <c r="UZQ162" s="370" t="e">
        <f>10/UZM160</f>
        <v>#DIV/0!</v>
      </c>
      <c r="UZR162" s="371">
        <v>15.38</v>
      </c>
      <c r="UZS162" s="371" t="e">
        <f>UZP162*UZQ162*UZR162</f>
        <v>#DIV/0!</v>
      </c>
      <c r="UZT162" s="367" t="s">
        <v>206</v>
      </c>
      <c r="UZU162" s="367"/>
      <c r="UZV162" s="367"/>
      <c r="UZW162" s="368" t="s">
        <v>168</v>
      </c>
      <c r="UZX162" s="369">
        <v>0.5</v>
      </c>
      <c r="UZY162" s="370" t="e">
        <f>10/UZU160</f>
        <v>#DIV/0!</v>
      </c>
      <c r="UZZ162" s="371">
        <v>15.38</v>
      </c>
      <c r="VAA162" s="371" t="e">
        <f>UZX162*UZY162*UZZ162</f>
        <v>#DIV/0!</v>
      </c>
      <c r="VAB162" s="367" t="s">
        <v>206</v>
      </c>
      <c r="VAC162" s="367"/>
      <c r="VAD162" s="367"/>
      <c r="VAE162" s="368" t="s">
        <v>168</v>
      </c>
      <c r="VAF162" s="369">
        <v>0.5</v>
      </c>
      <c r="VAG162" s="370" t="e">
        <f>10/VAC160</f>
        <v>#DIV/0!</v>
      </c>
      <c r="VAH162" s="371">
        <v>15.38</v>
      </c>
      <c r="VAI162" s="371" t="e">
        <f>VAF162*VAG162*VAH162</f>
        <v>#DIV/0!</v>
      </c>
      <c r="VAJ162" s="367" t="s">
        <v>206</v>
      </c>
      <c r="VAK162" s="367"/>
      <c r="VAL162" s="367"/>
      <c r="VAM162" s="368" t="s">
        <v>168</v>
      </c>
      <c r="VAN162" s="369">
        <v>0.5</v>
      </c>
      <c r="VAO162" s="370" t="e">
        <f>10/VAK160</f>
        <v>#DIV/0!</v>
      </c>
      <c r="VAP162" s="371">
        <v>15.38</v>
      </c>
      <c r="VAQ162" s="371" t="e">
        <f>VAN162*VAO162*VAP162</f>
        <v>#DIV/0!</v>
      </c>
      <c r="VAR162" s="367" t="s">
        <v>206</v>
      </c>
      <c r="VAS162" s="367"/>
      <c r="VAT162" s="367"/>
      <c r="VAU162" s="368" t="s">
        <v>168</v>
      </c>
      <c r="VAV162" s="369">
        <v>0.5</v>
      </c>
      <c r="VAW162" s="370" t="e">
        <f>10/VAS160</f>
        <v>#DIV/0!</v>
      </c>
      <c r="VAX162" s="371">
        <v>15.38</v>
      </c>
      <c r="VAY162" s="371" t="e">
        <f>VAV162*VAW162*VAX162</f>
        <v>#DIV/0!</v>
      </c>
      <c r="VAZ162" s="367" t="s">
        <v>206</v>
      </c>
      <c r="VBA162" s="367"/>
      <c r="VBB162" s="367"/>
      <c r="VBC162" s="368" t="s">
        <v>168</v>
      </c>
      <c r="VBD162" s="369">
        <v>0.5</v>
      </c>
      <c r="VBE162" s="370" t="e">
        <f>10/VBA160</f>
        <v>#DIV/0!</v>
      </c>
      <c r="VBF162" s="371">
        <v>15.38</v>
      </c>
      <c r="VBG162" s="371" t="e">
        <f>VBD162*VBE162*VBF162</f>
        <v>#DIV/0!</v>
      </c>
      <c r="VBH162" s="367" t="s">
        <v>206</v>
      </c>
      <c r="VBI162" s="367"/>
      <c r="VBJ162" s="367"/>
      <c r="VBK162" s="368" t="s">
        <v>168</v>
      </c>
      <c r="VBL162" s="369">
        <v>0.5</v>
      </c>
      <c r="VBM162" s="370" t="e">
        <f>10/VBI160</f>
        <v>#DIV/0!</v>
      </c>
      <c r="VBN162" s="371">
        <v>15.38</v>
      </c>
      <c r="VBO162" s="371" t="e">
        <f>VBL162*VBM162*VBN162</f>
        <v>#DIV/0!</v>
      </c>
      <c r="VBP162" s="367" t="s">
        <v>206</v>
      </c>
      <c r="VBQ162" s="367"/>
      <c r="VBR162" s="367"/>
      <c r="VBS162" s="368" t="s">
        <v>168</v>
      </c>
      <c r="VBT162" s="369">
        <v>0.5</v>
      </c>
      <c r="VBU162" s="370" t="e">
        <f>10/VBQ160</f>
        <v>#DIV/0!</v>
      </c>
      <c r="VBV162" s="371">
        <v>15.38</v>
      </c>
      <c r="VBW162" s="371" t="e">
        <f>VBT162*VBU162*VBV162</f>
        <v>#DIV/0!</v>
      </c>
      <c r="VBX162" s="367" t="s">
        <v>206</v>
      </c>
      <c r="VBY162" s="367"/>
      <c r="VBZ162" s="367"/>
      <c r="VCA162" s="368" t="s">
        <v>168</v>
      </c>
      <c r="VCB162" s="369">
        <v>0.5</v>
      </c>
      <c r="VCC162" s="370" t="e">
        <f>10/VBY160</f>
        <v>#DIV/0!</v>
      </c>
      <c r="VCD162" s="371">
        <v>15.38</v>
      </c>
      <c r="VCE162" s="371" t="e">
        <f>VCB162*VCC162*VCD162</f>
        <v>#DIV/0!</v>
      </c>
      <c r="VCF162" s="367" t="s">
        <v>206</v>
      </c>
      <c r="VCG162" s="367"/>
      <c r="VCH162" s="367"/>
      <c r="VCI162" s="368" t="s">
        <v>168</v>
      </c>
      <c r="VCJ162" s="369">
        <v>0.5</v>
      </c>
      <c r="VCK162" s="370" t="e">
        <f>10/VCG160</f>
        <v>#DIV/0!</v>
      </c>
      <c r="VCL162" s="371">
        <v>15.38</v>
      </c>
      <c r="VCM162" s="371" t="e">
        <f>VCJ162*VCK162*VCL162</f>
        <v>#DIV/0!</v>
      </c>
      <c r="VCN162" s="367" t="s">
        <v>206</v>
      </c>
      <c r="VCO162" s="367"/>
      <c r="VCP162" s="367"/>
      <c r="VCQ162" s="368" t="s">
        <v>168</v>
      </c>
      <c r="VCR162" s="369">
        <v>0.5</v>
      </c>
      <c r="VCS162" s="370" t="e">
        <f>10/VCO160</f>
        <v>#DIV/0!</v>
      </c>
      <c r="VCT162" s="371">
        <v>15.38</v>
      </c>
      <c r="VCU162" s="371" t="e">
        <f>VCR162*VCS162*VCT162</f>
        <v>#DIV/0!</v>
      </c>
      <c r="VCV162" s="367" t="s">
        <v>206</v>
      </c>
      <c r="VCW162" s="367"/>
      <c r="VCX162" s="367"/>
      <c r="VCY162" s="368" t="s">
        <v>168</v>
      </c>
      <c r="VCZ162" s="369">
        <v>0.5</v>
      </c>
      <c r="VDA162" s="370" t="e">
        <f>10/VCW160</f>
        <v>#DIV/0!</v>
      </c>
      <c r="VDB162" s="371">
        <v>15.38</v>
      </c>
      <c r="VDC162" s="371" t="e">
        <f>VCZ162*VDA162*VDB162</f>
        <v>#DIV/0!</v>
      </c>
      <c r="VDD162" s="367" t="s">
        <v>206</v>
      </c>
      <c r="VDE162" s="367"/>
      <c r="VDF162" s="367"/>
      <c r="VDG162" s="368" t="s">
        <v>168</v>
      </c>
      <c r="VDH162" s="369">
        <v>0.5</v>
      </c>
      <c r="VDI162" s="370" t="e">
        <f>10/VDE160</f>
        <v>#DIV/0!</v>
      </c>
      <c r="VDJ162" s="371">
        <v>15.38</v>
      </c>
      <c r="VDK162" s="371" t="e">
        <f>VDH162*VDI162*VDJ162</f>
        <v>#DIV/0!</v>
      </c>
      <c r="VDL162" s="367" t="s">
        <v>206</v>
      </c>
      <c r="VDM162" s="367"/>
      <c r="VDN162" s="367"/>
      <c r="VDO162" s="368" t="s">
        <v>168</v>
      </c>
      <c r="VDP162" s="369">
        <v>0.5</v>
      </c>
      <c r="VDQ162" s="370" t="e">
        <f>10/VDM160</f>
        <v>#DIV/0!</v>
      </c>
      <c r="VDR162" s="371">
        <v>15.38</v>
      </c>
      <c r="VDS162" s="371" t="e">
        <f>VDP162*VDQ162*VDR162</f>
        <v>#DIV/0!</v>
      </c>
      <c r="VDT162" s="367" t="s">
        <v>206</v>
      </c>
      <c r="VDU162" s="367"/>
      <c r="VDV162" s="367"/>
      <c r="VDW162" s="368" t="s">
        <v>168</v>
      </c>
      <c r="VDX162" s="369">
        <v>0.5</v>
      </c>
      <c r="VDY162" s="370" t="e">
        <f>10/VDU160</f>
        <v>#DIV/0!</v>
      </c>
      <c r="VDZ162" s="371">
        <v>15.38</v>
      </c>
      <c r="VEA162" s="371" t="e">
        <f>VDX162*VDY162*VDZ162</f>
        <v>#DIV/0!</v>
      </c>
      <c r="VEB162" s="367" t="s">
        <v>206</v>
      </c>
      <c r="VEC162" s="367"/>
      <c r="VED162" s="367"/>
      <c r="VEE162" s="368" t="s">
        <v>168</v>
      </c>
      <c r="VEF162" s="369">
        <v>0.5</v>
      </c>
      <c r="VEG162" s="370" t="e">
        <f>10/VEC160</f>
        <v>#DIV/0!</v>
      </c>
      <c r="VEH162" s="371">
        <v>15.38</v>
      </c>
      <c r="VEI162" s="371" t="e">
        <f>VEF162*VEG162*VEH162</f>
        <v>#DIV/0!</v>
      </c>
      <c r="VEJ162" s="367" t="s">
        <v>206</v>
      </c>
      <c r="VEK162" s="367"/>
      <c r="VEL162" s="367"/>
      <c r="VEM162" s="368" t="s">
        <v>168</v>
      </c>
      <c r="VEN162" s="369">
        <v>0.5</v>
      </c>
      <c r="VEO162" s="370" t="e">
        <f>10/VEK160</f>
        <v>#DIV/0!</v>
      </c>
      <c r="VEP162" s="371">
        <v>15.38</v>
      </c>
      <c r="VEQ162" s="371" t="e">
        <f>VEN162*VEO162*VEP162</f>
        <v>#DIV/0!</v>
      </c>
      <c r="VER162" s="367" t="s">
        <v>206</v>
      </c>
      <c r="VES162" s="367"/>
      <c r="VET162" s="367"/>
      <c r="VEU162" s="368" t="s">
        <v>168</v>
      </c>
      <c r="VEV162" s="369">
        <v>0.5</v>
      </c>
      <c r="VEW162" s="370" t="e">
        <f>10/VES160</f>
        <v>#DIV/0!</v>
      </c>
      <c r="VEX162" s="371">
        <v>15.38</v>
      </c>
      <c r="VEY162" s="371" t="e">
        <f>VEV162*VEW162*VEX162</f>
        <v>#DIV/0!</v>
      </c>
      <c r="VEZ162" s="367" t="s">
        <v>206</v>
      </c>
      <c r="VFA162" s="367"/>
      <c r="VFB162" s="367"/>
      <c r="VFC162" s="368" t="s">
        <v>168</v>
      </c>
      <c r="VFD162" s="369">
        <v>0.5</v>
      </c>
      <c r="VFE162" s="370" t="e">
        <f>10/VFA160</f>
        <v>#DIV/0!</v>
      </c>
      <c r="VFF162" s="371">
        <v>15.38</v>
      </c>
      <c r="VFG162" s="371" t="e">
        <f>VFD162*VFE162*VFF162</f>
        <v>#DIV/0!</v>
      </c>
      <c r="VFH162" s="367" t="s">
        <v>206</v>
      </c>
      <c r="VFI162" s="367"/>
      <c r="VFJ162" s="367"/>
      <c r="VFK162" s="368" t="s">
        <v>168</v>
      </c>
      <c r="VFL162" s="369">
        <v>0.5</v>
      </c>
      <c r="VFM162" s="370" t="e">
        <f>10/VFI160</f>
        <v>#DIV/0!</v>
      </c>
      <c r="VFN162" s="371">
        <v>15.38</v>
      </c>
      <c r="VFO162" s="371" t="e">
        <f>VFL162*VFM162*VFN162</f>
        <v>#DIV/0!</v>
      </c>
      <c r="VFP162" s="367" t="s">
        <v>206</v>
      </c>
      <c r="VFQ162" s="367"/>
      <c r="VFR162" s="367"/>
      <c r="VFS162" s="368" t="s">
        <v>168</v>
      </c>
      <c r="VFT162" s="369">
        <v>0.5</v>
      </c>
      <c r="VFU162" s="370" t="e">
        <f>10/VFQ160</f>
        <v>#DIV/0!</v>
      </c>
      <c r="VFV162" s="371">
        <v>15.38</v>
      </c>
      <c r="VFW162" s="371" t="e">
        <f>VFT162*VFU162*VFV162</f>
        <v>#DIV/0!</v>
      </c>
      <c r="VFX162" s="367" t="s">
        <v>206</v>
      </c>
      <c r="VFY162" s="367"/>
      <c r="VFZ162" s="367"/>
      <c r="VGA162" s="368" t="s">
        <v>168</v>
      </c>
      <c r="VGB162" s="369">
        <v>0.5</v>
      </c>
      <c r="VGC162" s="370" t="e">
        <f>10/VFY160</f>
        <v>#DIV/0!</v>
      </c>
      <c r="VGD162" s="371">
        <v>15.38</v>
      </c>
      <c r="VGE162" s="371" t="e">
        <f>VGB162*VGC162*VGD162</f>
        <v>#DIV/0!</v>
      </c>
      <c r="VGF162" s="367" t="s">
        <v>206</v>
      </c>
      <c r="VGG162" s="367"/>
      <c r="VGH162" s="367"/>
      <c r="VGI162" s="368" t="s">
        <v>168</v>
      </c>
      <c r="VGJ162" s="369">
        <v>0.5</v>
      </c>
      <c r="VGK162" s="370" t="e">
        <f>10/VGG160</f>
        <v>#DIV/0!</v>
      </c>
      <c r="VGL162" s="371">
        <v>15.38</v>
      </c>
      <c r="VGM162" s="371" t="e">
        <f>VGJ162*VGK162*VGL162</f>
        <v>#DIV/0!</v>
      </c>
      <c r="VGN162" s="367" t="s">
        <v>206</v>
      </c>
      <c r="VGO162" s="367"/>
      <c r="VGP162" s="367"/>
      <c r="VGQ162" s="368" t="s">
        <v>168</v>
      </c>
      <c r="VGR162" s="369">
        <v>0.5</v>
      </c>
      <c r="VGS162" s="370" t="e">
        <f>10/VGO160</f>
        <v>#DIV/0!</v>
      </c>
      <c r="VGT162" s="371">
        <v>15.38</v>
      </c>
      <c r="VGU162" s="371" t="e">
        <f>VGR162*VGS162*VGT162</f>
        <v>#DIV/0!</v>
      </c>
      <c r="VGV162" s="367" t="s">
        <v>206</v>
      </c>
      <c r="VGW162" s="367"/>
      <c r="VGX162" s="367"/>
      <c r="VGY162" s="368" t="s">
        <v>168</v>
      </c>
      <c r="VGZ162" s="369">
        <v>0.5</v>
      </c>
      <c r="VHA162" s="370" t="e">
        <f>10/VGW160</f>
        <v>#DIV/0!</v>
      </c>
      <c r="VHB162" s="371">
        <v>15.38</v>
      </c>
      <c r="VHC162" s="371" t="e">
        <f>VGZ162*VHA162*VHB162</f>
        <v>#DIV/0!</v>
      </c>
      <c r="VHD162" s="367" t="s">
        <v>206</v>
      </c>
      <c r="VHE162" s="367"/>
      <c r="VHF162" s="367"/>
      <c r="VHG162" s="368" t="s">
        <v>168</v>
      </c>
      <c r="VHH162" s="369">
        <v>0.5</v>
      </c>
      <c r="VHI162" s="370" t="e">
        <f>10/VHE160</f>
        <v>#DIV/0!</v>
      </c>
      <c r="VHJ162" s="371">
        <v>15.38</v>
      </c>
      <c r="VHK162" s="371" t="e">
        <f>VHH162*VHI162*VHJ162</f>
        <v>#DIV/0!</v>
      </c>
      <c r="VHL162" s="367" t="s">
        <v>206</v>
      </c>
      <c r="VHM162" s="367"/>
      <c r="VHN162" s="367"/>
      <c r="VHO162" s="368" t="s">
        <v>168</v>
      </c>
      <c r="VHP162" s="369">
        <v>0.5</v>
      </c>
      <c r="VHQ162" s="370" t="e">
        <f>10/VHM160</f>
        <v>#DIV/0!</v>
      </c>
      <c r="VHR162" s="371">
        <v>15.38</v>
      </c>
      <c r="VHS162" s="371" t="e">
        <f>VHP162*VHQ162*VHR162</f>
        <v>#DIV/0!</v>
      </c>
      <c r="VHT162" s="367" t="s">
        <v>206</v>
      </c>
      <c r="VHU162" s="367"/>
      <c r="VHV162" s="367"/>
      <c r="VHW162" s="368" t="s">
        <v>168</v>
      </c>
      <c r="VHX162" s="369">
        <v>0.5</v>
      </c>
      <c r="VHY162" s="370" t="e">
        <f>10/VHU160</f>
        <v>#DIV/0!</v>
      </c>
      <c r="VHZ162" s="371">
        <v>15.38</v>
      </c>
      <c r="VIA162" s="371" t="e">
        <f>VHX162*VHY162*VHZ162</f>
        <v>#DIV/0!</v>
      </c>
      <c r="VIB162" s="367" t="s">
        <v>206</v>
      </c>
      <c r="VIC162" s="367"/>
      <c r="VID162" s="367"/>
      <c r="VIE162" s="368" t="s">
        <v>168</v>
      </c>
      <c r="VIF162" s="369">
        <v>0.5</v>
      </c>
      <c r="VIG162" s="370" t="e">
        <f>10/VIC160</f>
        <v>#DIV/0!</v>
      </c>
      <c r="VIH162" s="371">
        <v>15.38</v>
      </c>
      <c r="VII162" s="371" t="e">
        <f>VIF162*VIG162*VIH162</f>
        <v>#DIV/0!</v>
      </c>
      <c r="VIJ162" s="367" t="s">
        <v>206</v>
      </c>
      <c r="VIK162" s="367"/>
      <c r="VIL162" s="367"/>
      <c r="VIM162" s="368" t="s">
        <v>168</v>
      </c>
      <c r="VIN162" s="369">
        <v>0.5</v>
      </c>
      <c r="VIO162" s="370" t="e">
        <f>10/VIK160</f>
        <v>#DIV/0!</v>
      </c>
      <c r="VIP162" s="371">
        <v>15.38</v>
      </c>
      <c r="VIQ162" s="371" t="e">
        <f>VIN162*VIO162*VIP162</f>
        <v>#DIV/0!</v>
      </c>
      <c r="VIR162" s="367" t="s">
        <v>206</v>
      </c>
      <c r="VIS162" s="367"/>
      <c r="VIT162" s="367"/>
      <c r="VIU162" s="368" t="s">
        <v>168</v>
      </c>
      <c r="VIV162" s="369">
        <v>0.5</v>
      </c>
      <c r="VIW162" s="370" t="e">
        <f>10/VIS160</f>
        <v>#DIV/0!</v>
      </c>
      <c r="VIX162" s="371">
        <v>15.38</v>
      </c>
      <c r="VIY162" s="371" t="e">
        <f>VIV162*VIW162*VIX162</f>
        <v>#DIV/0!</v>
      </c>
      <c r="VIZ162" s="367" t="s">
        <v>206</v>
      </c>
      <c r="VJA162" s="367"/>
      <c r="VJB162" s="367"/>
      <c r="VJC162" s="368" t="s">
        <v>168</v>
      </c>
      <c r="VJD162" s="369">
        <v>0.5</v>
      </c>
      <c r="VJE162" s="370" t="e">
        <f>10/VJA160</f>
        <v>#DIV/0!</v>
      </c>
      <c r="VJF162" s="371">
        <v>15.38</v>
      </c>
      <c r="VJG162" s="371" t="e">
        <f>VJD162*VJE162*VJF162</f>
        <v>#DIV/0!</v>
      </c>
      <c r="VJH162" s="367" t="s">
        <v>206</v>
      </c>
      <c r="VJI162" s="367"/>
      <c r="VJJ162" s="367"/>
      <c r="VJK162" s="368" t="s">
        <v>168</v>
      </c>
      <c r="VJL162" s="369">
        <v>0.5</v>
      </c>
      <c r="VJM162" s="370" t="e">
        <f>10/VJI160</f>
        <v>#DIV/0!</v>
      </c>
      <c r="VJN162" s="371">
        <v>15.38</v>
      </c>
      <c r="VJO162" s="371" t="e">
        <f>VJL162*VJM162*VJN162</f>
        <v>#DIV/0!</v>
      </c>
      <c r="VJP162" s="367" t="s">
        <v>206</v>
      </c>
      <c r="VJQ162" s="367"/>
      <c r="VJR162" s="367"/>
      <c r="VJS162" s="368" t="s">
        <v>168</v>
      </c>
      <c r="VJT162" s="369">
        <v>0.5</v>
      </c>
      <c r="VJU162" s="370" t="e">
        <f>10/VJQ160</f>
        <v>#DIV/0!</v>
      </c>
      <c r="VJV162" s="371">
        <v>15.38</v>
      </c>
      <c r="VJW162" s="371" t="e">
        <f>VJT162*VJU162*VJV162</f>
        <v>#DIV/0!</v>
      </c>
      <c r="VJX162" s="367" t="s">
        <v>206</v>
      </c>
      <c r="VJY162" s="367"/>
      <c r="VJZ162" s="367"/>
      <c r="VKA162" s="368" t="s">
        <v>168</v>
      </c>
      <c r="VKB162" s="369">
        <v>0.5</v>
      </c>
      <c r="VKC162" s="370" t="e">
        <f>10/VJY160</f>
        <v>#DIV/0!</v>
      </c>
      <c r="VKD162" s="371">
        <v>15.38</v>
      </c>
      <c r="VKE162" s="371" t="e">
        <f>VKB162*VKC162*VKD162</f>
        <v>#DIV/0!</v>
      </c>
      <c r="VKF162" s="367" t="s">
        <v>206</v>
      </c>
      <c r="VKG162" s="367"/>
      <c r="VKH162" s="367"/>
      <c r="VKI162" s="368" t="s">
        <v>168</v>
      </c>
      <c r="VKJ162" s="369">
        <v>0.5</v>
      </c>
      <c r="VKK162" s="370" t="e">
        <f>10/VKG160</f>
        <v>#DIV/0!</v>
      </c>
      <c r="VKL162" s="371">
        <v>15.38</v>
      </c>
      <c r="VKM162" s="371" t="e">
        <f>VKJ162*VKK162*VKL162</f>
        <v>#DIV/0!</v>
      </c>
      <c r="VKN162" s="367" t="s">
        <v>206</v>
      </c>
      <c r="VKO162" s="367"/>
      <c r="VKP162" s="367"/>
      <c r="VKQ162" s="368" t="s">
        <v>168</v>
      </c>
      <c r="VKR162" s="369">
        <v>0.5</v>
      </c>
      <c r="VKS162" s="370" t="e">
        <f>10/VKO160</f>
        <v>#DIV/0!</v>
      </c>
      <c r="VKT162" s="371">
        <v>15.38</v>
      </c>
      <c r="VKU162" s="371" t="e">
        <f>VKR162*VKS162*VKT162</f>
        <v>#DIV/0!</v>
      </c>
      <c r="VKV162" s="367" t="s">
        <v>206</v>
      </c>
      <c r="VKW162" s="367"/>
      <c r="VKX162" s="367"/>
      <c r="VKY162" s="368" t="s">
        <v>168</v>
      </c>
      <c r="VKZ162" s="369">
        <v>0.5</v>
      </c>
      <c r="VLA162" s="370" t="e">
        <f>10/VKW160</f>
        <v>#DIV/0!</v>
      </c>
      <c r="VLB162" s="371">
        <v>15.38</v>
      </c>
      <c r="VLC162" s="371" t="e">
        <f>VKZ162*VLA162*VLB162</f>
        <v>#DIV/0!</v>
      </c>
      <c r="VLD162" s="367" t="s">
        <v>206</v>
      </c>
      <c r="VLE162" s="367"/>
      <c r="VLF162" s="367"/>
      <c r="VLG162" s="368" t="s">
        <v>168</v>
      </c>
      <c r="VLH162" s="369">
        <v>0.5</v>
      </c>
      <c r="VLI162" s="370" t="e">
        <f>10/VLE160</f>
        <v>#DIV/0!</v>
      </c>
      <c r="VLJ162" s="371">
        <v>15.38</v>
      </c>
      <c r="VLK162" s="371" t="e">
        <f>VLH162*VLI162*VLJ162</f>
        <v>#DIV/0!</v>
      </c>
      <c r="VLL162" s="367" t="s">
        <v>206</v>
      </c>
      <c r="VLM162" s="367"/>
      <c r="VLN162" s="367"/>
      <c r="VLO162" s="368" t="s">
        <v>168</v>
      </c>
      <c r="VLP162" s="369">
        <v>0.5</v>
      </c>
      <c r="VLQ162" s="370" t="e">
        <f>10/VLM160</f>
        <v>#DIV/0!</v>
      </c>
      <c r="VLR162" s="371">
        <v>15.38</v>
      </c>
      <c r="VLS162" s="371" t="e">
        <f>VLP162*VLQ162*VLR162</f>
        <v>#DIV/0!</v>
      </c>
      <c r="VLT162" s="367" t="s">
        <v>206</v>
      </c>
      <c r="VLU162" s="367"/>
      <c r="VLV162" s="367"/>
      <c r="VLW162" s="368" t="s">
        <v>168</v>
      </c>
      <c r="VLX162" s="369">
        <v>0.5</v>
      </c>
      <c r="VLY162" s="370" t="e">
        <f>10/VLU160</f>
        <v>#DIV/0!</v>
      </c>
      <c r="VLZ162" s="371">
        <v>15.38</v>
      </c>
      <c r="VMA162" s="371" t="e">
        <f>VLX162*VLY162*VLZ162</f>
        <v>#DIV/0!</v>
      </c>
      <c r="VMB162" s="367" t="s">
        <v>206</v>
      </c>
      <c r="VMC162" s="367"/>
      <c r="VMD162" s="367"/>
      <c r="VME162" s="368" t="s">
        <v>168</v>
      </c>
      <c r="VMF162" s="369">
        <v>0.5</v>
      </c>
      <c r="VMG162" s="370" t="e">
        <f>10/VMC160</f>
        <v>#DIV/0!</v>
      </c>
      <c r="VMH162" s="371">
        <v>15.38</v>
      </c>
      <c r="VMI162" s="371" t="e">
        <f>VMF162*VMG162*VMH162</f>
        <v>#DIV/0!</v>
      </c>
      <c r="VMJ162" s="367" t="s">
        <v>206</v>
      </c>
      <c r="VMK162" s="367"/>
      <c r="VML162" s="367"/>
      <c r="VMM162" s="368" t="s">
        <v>168</v>
      </c>
      <c r="VMN162" s="369">
        <v>0.5</v>
      </c>
      <c r="VMO162" s="370" t="e">
        <f>10/VMK160</f>
        <v>#DIV/0!</v>
      </c>
      <c r="VMP162" s="371">
        <v>15.38</v>
      </c>
      <c r="VMQ162" s="371" t="e">
        <f>VMN162*VMO162*VMP162</f>
        <v>#DIV/0!</v>
      </c>
      <c r="VMR162" s="367" t="s">
        <v>206</v>
      </c>
      <c r="VMS162" s="367"/>
      <c r="VMT162" s="367"/>
      <c r="VMU162" s="368" t="s">
        <v>168</v>
      </c>
      <c r="VMV162" s="369">
        <v>0.5</v>
      </c>
      <c r="VMW162" s="370" t="e">
        <f>10/VMS160</f>
        <v>#DIV/0!</v>
      </c>
      <c r="VMX162" s="371">
        <v>15.38</v>
      </c>
      <c r="VMY162" s="371" t="e">
        <f>VMV162*VMW162*VMX162</f>
        <v>#DIV/0!</v>
      </c>
      <c r="VMZ162" s="367" t="s">
        <v>206</v>
      </c>
      <c r="VNA162" s="367"/>
      <c r="VNB162" s="367"/>
      <c r="VNC162" s="368" t="s">
        <v>168</v>
      </c>
      <c r="VND162" s="369">
        <v>0.5</v>
      </c>
      <c r="VNE162" s="370" t="e">
        <f>10/VNA160</f>
        <v>#DIV/0!</v>
      </c>
      <c r="VNF162" s="371">
        <v>15.38</v>
      </c>
      <c r="VNG162" s="371" t="e">
        <f>VND162*VNE162*VNF162</f>
        <v>#DIV/0!</v>
      </c>
      <c r="VNH162" s="367" t="s">
        <v>206</v>
      </c>
      <c r="VNI162" s="367"/>
      <c r="VNJ162" s="367"/>
      <c r="VNK162" s="368" t="s">
        <v>168</v>
      </c>
      <c r="VNL162" s="369">
        <v>0.5</v>
      </c>
      <c r="VNM162" s="370" t="e">
        <f>10/VNI160</f>
        <v>#DIV/0!</v>
      </c>
      <c r="VNN162" s="371">
        <v>15.38</v>
      </c>
      <c r="VNO162" s="371" t="e">
        <f>VNL162*VNM162*VNN162</f>
        <v>#DIV/0!</v>
      </c>
      <c r="VNP162" s="367" t="s">
        <v>206</v>
      </c>
      <c r="VNQ162" s="367"/>
      <c r="VNR162" s="367"/>
      <c r="VNS162" s="368" t="s">
        <v>168</v>
      </c>
      <c r="VNT162" s="369">
        <v>0.5</v>
      </c>
      <c r="VNU162" s="370" t="e">
        <f>10/VNQ160</f>
        <v>#DIV/0!</v>
      </c>
      <c r="VNV162" s="371">
        <v>15.38</v>
      </c>
      <c r="VNW162" s="371" t="e">
        <f>VNT162*VNU162*VNV162</f>
        <v>#DIV/0!</v>
      </c>
      <c r="VNX162" s="367" t="s">
        <v>206</v>
      </c>
      <c r="VNY162" s="367"/>
      <c r="VNZ162" s="367"/>
      <c r="VOA162" s="368" t="s">
        <v>168</v>
      </c>
      <c r="VOB162" s="369">
        <v>0.5</v>
      </c>
      <c r="VOC162" s="370" t="e">
        <f>10/VNY160</f>
        <v>#DIV/0!</v>
      </c>
      <c r="VOD162" s="371">
        <v>15.38</v>
      </c>
      <c r="VOE162" s="371" t="e">
        <f>VOB162*VOC162*VOD162</f>
        <v>#DIV/0!</v>
      </c>
      <c r="VOF162" s="367" t="s">
        <v>206</v>
      </c>
      <c r="VOG162" s="367"/>
      <c r="VOH162" s="367"/>
      <c r="VOI162" s="368" t="s">
        <v>168</v>
      </c>
      <c r="VOJ162" s="369">
        <v>0.5</v>
      </c>
      <c r="VOK162" s="370" t="e">
        <f>10/VOG160</f>
        <v>#DIV/0!</v>
      </c>
      <c r="VOL162" s="371">
        <v>15.38</v>
      </c>
      <c r="VOM162" s="371" t="e">
        <f>VOJ162*VOK162*VOL162</f>
        <v>#DIV/0!</v>
      </c>
      <c r="VON162" s="367" t="s">
        <v>206</v>
      </c>
      <c r="VOO162" s="367"/>
      <c r="VOP162" s="367"/>
      <c r="VOQ162" s="368" t="s">
        <v>168</v>
      </c>
      <c r="VOR162" s="369">
        <v>0.5</v>
      </c>
      <c r="VOS162" s="370" t="e">
        <f>10/VOO160</f>
        <v>#DIV/0!</v>
      </c>
      <c r="VOT162" s="371">
        <v>15.38</v>
      </c>
      <c r="VOU162" s="371" t="e">
        <f>VOR162*VOS162*VOT162</f>
        <v>#DIV/0!</v>
      </c>
      <c r="VOV162" s="367" t="s">
        <v>206</v>
      </c>
      <c r="VOW162" s="367"/>
      <c r="VOX162" s="367"/>
      <c r="VOY162" s="368" t="s">
        <v>168</v>
      </c>
      <c r="VOZ162" s="369">
        <v>0.5</v>
      </c>
      <c r="VPA162" s="370" t="e">
        <f>10/VOW160</f>
        <v>#DIV/0!</v>
      </c>
      <c r="VPB162" s="371">
        <v>15.38</v>
      </c>
      <c r="VPC162" s="371" t="e">
        <f>VOZ162*VPA162*VPB162</f>
        <v>#DIV/0!</v>
      </c>
      <c r="VPD162" s="367" t="s">
        <v>206</v>
      </c>
      <c r="VPE162" s="367"/>
      <c r="VPF162" s="367"/>
      <c r="VPG162" s="368" t="s">
        <v>168</v>
      </c>
      <c r="VPH162" s="369">
        <v>0.5</v>
      </c>
      <c r="VPI162" s="370" t="e">
        <f>10/VPE160</f>
        <v>#DIV/0!</v>
      </c>
      <c r="VPJ162" s="371">
        <v>15.38</v>
      </c>
      <c r="VPK162" s="371" t="e">
        <f>VPH162*VPI162*VPJ162</f>
        <v>#DIV/0!</v>
      </c>
      <c r="VPL162" s="367" t="s">
        <v>206</v>
      </c>
      <c r="VPM162" s="367"/>
      <c r="VPN162" s="367"/>
      <c r="VPO162" s="368" t="s">
        <v>168</v>
      </c>
      <c r="VPP162" s="369">
        <v>0.5</v>
      </c>
      <c r="VPQ162" s="370" t="e">
        <f>10/VPM160</f>
        <v>#DIV/0!</v>
      </c>
      <c r="VPR162" s="371">
        <v>15.38</v>
      </c>
      <c r="VPS162" s="371" t="e">
        <f>VPP162*VPQ162*VPR162</f>
        <v>#DIV/0!</v>
      </c>
      <c r="VPT162" s="367" t="s">
        <v>206</v>
      </c>
      <c r="VPU162" s="367"/>
      <c r="VPV162" s="367"/>
      <c r="VPW162" s="368" t="s">
        <v>168</v>
      </c>
      <c r="VPX162" s="369">
        <v>0.5</v>
      </c>
      <c r="VPY162" s="370" t="e">
        <f>10/VPU160</f>
        <v>#DIV/0!</v>
      </c>
      <c r="VPZ162" s="371">
        <v>15.38</v>
      </c>
      <c r="VQA162" s="371" t="e">
        <f>VPX162*VPY162*VPZ162</f>
        <v>#DIV/0!</v>
      </c>
      <c r="VQB162" s="367" t="s">
        <v>206</v>
      </c>
      <c r="VQC162" s="367"/>
      <c r="VQD162" s="367"/>
      <c r="VQE162" s="368" t="s">
        <v>168</v>
      </c>
      <c r="VQF162" s="369">
        <v>0.5</v>
      </c>
      <c r="VQG162" s="370" t="e">
        <f>10/VQC160</f>
        <v>#DIV/0!</v>
      </c>
      <c r="VQH162" s="371">
        <v>15.38</v>
      </c>
      <c r="VQI162" s="371" t="e">
        <f>VQF162*VQG162*VQH162</f>
        <v>#DIV/0!</v>
      </c>
      <c r="VQJ162" s="367" t="s">
        <v>206</v>
      </c>
      <c r="VQK162" s="367"/>
      <c r="VQL162" s="367"/>
      <c r="VQM162" s="368" t="s">
        <v>168</v>
      </c>
      <c r="VQN162" s="369">
        <v>0.5</v>
      </c>
      <c r="VQO162" s="370" t="e">
        <f>10/VQK160</f>
        <v>#DIV/0!</v>
      </c>
      <c r="VQP162" s="371">
        <v>15.38</v>
      </c>
      <c r="VQQ162" s="371" t="e">
        <f>VQN162*VQO162*VQP162</f>
        <v>#DIV/0!</v>
      </c>
      <c r="VQR162" s="367" t="s">
        <v>206</v>
      </c>
      <c r="VQS162" s="367"/>
      <c r="VQT162" s="367"/>
      <c r="VQU162" s="368" t="s">
        <v>168</v>
      </c>
      <c r="VQV162" s="369">
        <v>0.5</v>
      </c>
      <c r="VQW162" s="370" t="e">
        <f>10/VQS160</f>
        <v>#DIV/0!</v>
      </c>
      <c r="VQX162" s="371">
        <v>15.38</v>
      </c>
      <c r="VQY162" s="371" t="e">
        <f>VQV162*VQW162*VQX162</f>
        <v>#DIV/0!</v>
      </c>
      <c r="VQZ162" s="367" t="s">
        <v>206</v>
      </c>
      <c r="VRA162" s="367"/>
      <c r="VRB162" s="367"/>
      <c r="VRC162" s="368" t="s">
        <v>168</v>
      </c>
      <c r="VRD162" s="369">
        <v>0.5</v>
      </c>
      <c r="VRE162" s="370" t="e">
        <f>10/VRA160</f>
        <v>#DIV/0!</v>
      </c>
      <c r="VRF162" s="371">
        <v>15.38</v>
      </c>
      <c r="VRG162" s="371" t="e">
        <f>VRD162*VRE162*VRF162</f>
        <v>#DIV/0!</v>
      </c>
      <c r="VRH162" s="367" t="s">
        <v>206</v>
      </c>
      <c r="VRI162" s="367"/>
      <c r="VRJ162" s="367"/>
      <c r="VRK162" s="368" t="s">
        <v>168</v>
      </c>
      <c r="VRL162" s="369">
        <v>0.5</v>
      </c>
      <c r="VRM162" s="370" t="e">
        <f>10/VRI160</f>
        <v>#DIV/0!</v>
      </c>
      <c r="VRN162" s="371">
        <v>15.38</v>
      </c>
      <c r="VRO162" s="371" t="e">
        <f>VRL162*VRM162*VRN162</f>
        <v>#DIV/0!</v>
      </c>
      <c r="VRP162" s="367" t="s">
        <v>206</v>
      </c>
      <c r="VRQ162" s="367"/>
      <c r="VRR162" s="367"/>
      <c r="VRS162" s="368" t="s">
        <v>168</v>
      </c>
      <c r="VRT162" s="369">
        <v>0.5</v>
      </c>
      <c r="VRU162" s="370" t="e">
        <f>10/VRQ160</f>
        <v>#DIV/0!</v>
      </c>
      <c r="VRV162" s="371">
        <v>15.38</v>
      </c>
      <c r="VRW162" s="371" t="e">
        <f>VRT162*VRU162*VRV162</f>
        <v>#DIV/0!</v>
      </c>
      <c r="VRX162" s="367" t="s">
        <v>206</v>
      </c>
      <c r="VRY162" s="367"/>
      <c r="VRZ162" s="367"/>
      <c r="VSA162" s="368" t="s">
        <v>168</v>
      </c>
      <c r="VSB162" s="369">
        <v>0.5</v>
      </c>
      <c r="VSC162" s="370" t="e">
        <f>10/VRY160</f>
        <v>#DIV/0!</v>
      </c>
      <c r="VSD162" s="371">
        <v>15.38</v>
      </c>
      <c r="VSE162" s="371" t="e">
        <f>VSB162*VSC162*VSD162</f>
        <v>#DIV/0!</v>
      </c>
      <c r="VSF162" s="367" t="s">
        <v>206</v>
      </c>
      <c r="VSG162" s="367"/>
      <c r="VSH162" s="367"/>
      <c r="VSI162" s="368" t="s">
        <v>168</v>
      </c>
      <c r="VSJ162" s="369">
        <v>0.5</v>
      </c>
      <c r="VSK162" s="370" t="e">
        <f>10/VSG160</f>
        <v>#DIV/0!</v>
      </c>
      <c r="VSL162" s="371">
        <v>15.38</v>
      </c>
      <c r="VSM162" s="371" t="e">
        <f>VSJ162*VSK162*VSL162</f>
        <v>#DIV/0!</v>
      </c>
      <c r="VSN162" s="367" t="s">
        <v>206</v>
      </c>
      <c r="VSO162" s="367"/>
      <c r="VSP162" s="367"/>
      <c r="VSQ162" s="368" t="s">
        <v>168</v>
      </c>
      <c r="VSR162" s="369">
        <v>0.5</v>
      </c>
      <c r="VSS162" s="370" t="e">
        <f>10/VSO160</f>
        <v>#DIV/0!</v>
      </c>
      <c r="VST162" s="371">
        <v>15.38</v>
      </c>
      <c r="VSU162" s="371" t="e">
        <f>VSR162*VSS162*VST162</f>
        <v>#DIV/0!</v>
      </c>
      <c r="VSV162" s="367" t="s">
        <v>206</v>
      </c>
      <c r="VSW162" s="367"/>
      <c r="VSX162" s="367"/>
      <c r="VSY162" s="368" t="s">
        <v>168</v>
      </c>
      <c r="VSZ162" s="369">
        <v>0.5</v>
      </c>
      <c r="VTA162" s="370" t="e">
        <f>10/VSW160</f>
        <v>#DIV/0!</v>
      </c>
      <c r="VTB162" s="371">
        <v>15.38</v>
      </c>
      <c r="VTC162" s="371" t="e">
        <f>VSZ162*VTA162*VTB162</f>
        <v>#DIV/0!</v>
      </c>
      <c r="VTD162" s="367" t="s">
        <v>206</v>
      </c>
      <c r="VTE162" s="367"/>
      <c r="VTF162" s="367"/>
      <c r="VTG162" s="368" t="s">
        <v>168</v>
      </c>
      <c r="VTH162" s="369">
        <v>0.5</v>
      </c>
      <c r="VTI162" s="370" t="e">
        <f>10/VTE160</f>
        <v>#DIV/0!</v>
      </c>
      <c r="VTJ162" s="371">
        <v>15.38</v>
      </c>
      <c r="VTK162" s="371" t="e">
        <f>VTH162*VTI162*VTJ162</f>
        <v>#DIV/0!</v>
      </c>
      <c r="VTL162" s="367" t="s">
        <v>206</v>
      </c>
      <c r="VTM162" s="367"/>
      <c r="VTN162" s="367"/>
      <c r="VTO162" s="368" t="s">
        <v>168</v>
      </c>
      <c r="VTP162" s="369">
        <v>0.5</v>
      </c>
      <c r="VTQ162" s="370" t="e">
        <f>10/VTM160</f>
        <v>#DIV/0!</v>
      </c>
      <c r="VTR162" s="371">
        <v>15.38</v>
      </c>
      <c r="VTS162" s="371" t="e">
        <f>VTP162*VTQ162*VTR162</f>
        <v>#DIV/0!</v>
      </c>
      <c r="VTT162" s="367" t="s">
        <v>206</v>
      </c>
      <c r="VTU162" s="367"/>
      <c r="VTV162" s="367"/>
      <c r="VTW162" s="368" t="s">
        <v>168</v>
      </c>
      <c r="VTX162" s="369">
        <v>0.5</v>
      </c>
      <c r="VTY162" s="370" t="e">
        <f>10/VTU160</f>
        <v>#DIV/0!</v>
      </c>
      <c r="VTZ162" s="371">
        <v>15.38</v>
      </c>
      <c r="VUA162" s="371" t="e">
        <f>VTX162*VTY162*VTZ162</f>
        <v>#DIV/0!</v>
      </c>
      <c r="VUB162" s="367" t="s">
        <v>206</v>
      </c>
      <c r="VUC162" s="367"/>
      <c r="VUD162" s="367"/>
      <c r="VUE162" s="368" t="s">
        <v>168</v>
      </c>
      <c r="VUF162" s="369">
        <v>0.5</v>
      </c>
      <c r="VUG162" s="370" t="e">
        <f>10/VUC160</f>
        <v>#DIV/0!</v>
      </c>
      <c r="VUH162" s="371">
        <v>15.38</v>
      </c>
      <c r="VUI162" s="371" t="e">
        <f>VUF162*VUG162*VUH162</f>
        <v>#DIV/0!</v>
      </c>
      <c r="VUJ162" s="367" t="s">
        <v>206</v>
      </c>
      <c r="VUK162" s="367"/>
      <c r="VUL162" s="367"/>
      <c r="VUM162" s="368" t="s">
        <v>168</v>
      </c>
      <c r="VUN162" s="369">
        <v>0.5</v>
      </c>
      <c r="VUO162" s="370" t="e">
        <f>10/VUK160</f>
        <v>#DIV/0!</v>
      </c>
      <c r="VUP162" s="371">
        <v>15.38</v>
      </c>
      <c r="VUQ162" s="371" t="e">
        <f>VUN162*VUO162*VUP162</f>
        <v>#DIV/0!</v>
      </c>
      <c r="VUR162" s="367" t="s">
        <v>206</v>
      </c>
      <c r="VUS162" s="367"/>
      <c r="VUT162" s="367"/>
      <c r="VUU162" s="368" t="s">
        <v>168</v>
      </c>
      <c r="VUV162" s="369">
        <v>0.5</v>
      </c>
      <c r="VUW162" s="370" t="e">
        <f>10/VUS160</f>
        <v>#DIV/0!</v>
      </c>
      <c r="VUX162" s="371">
        <v>15.38</v>
      </c>
      <c r="VUY162" s="371" t="e">
        <f>VUV162*VUW162*VUX162</f>
        <v>#DIV/0!</v>
      </c>
      <c r="VUZ162" s="367" t="s">
        <v>206</v>
      </c>
      <c r="VVA162" s="367"/>
      <c r="VVB162" s="367"/>
      <c r="VVC162" s="368" t="s">
        <v>168</v>
      </c>
      <c r="VVD162" s="369">
        <v>0.5</v>
      </c>
      <c r="VVE162" s="370" t="e">
        <f>10/VVA160</f>
        <v>#DIV/0!</v>
      </c>
      <c r="VVF162" s="371">
        <v>15.38</v>
      </c>
      <c r="VVG162" s="371" t="e">
        <f>VVD162*VVE162*VVF162</f>
        <v>#DIV/0!</v>
      </c>
      <c r="VVH162" s="367" t="s">
        <v>206</v>
      </c>
      <c r="VVI162" s="367"/>
      <c r="VVJ162" s="367"/>
      <c r="VVK162" s="368" t="s">
        <v>168</v>
      </c>
      <c r="VVL162" s="369">
        <v>0.5</v>
      </c>
      <c r="VVM162" s="370" t="e">
        <f>10/VVI160</f>
        <v>#DIV/0!</v>
      </c>
      <c r="VVN162" s="371">
        <v>15.38</v>
      </c>
      <c r="VVO162" s="371" t="e">
        <f>VVL162*VVM162*VVN162</f>
        <v>#DIV/0!</v>
      </c>
      <c r="VVP162" s="367" t="s">
        <v>206</v>
      </c>
      <c r="VVQ162" s="367"/>
      <c r="VVR162" s="367"/>
      <c r="VVS162" s="368" t="s">
        <v>168</v>
      </c>
      <c r="VVT162" s="369">
        <v>0.5</v>
      </c>
      <c r="VVU162" s="370" t="e">
        <f>10/VVQ160</f>
        <v>#DIV/0!</v>
      </c>
      <c r="VVV162" s="371">
        <v>15.38</v>
      </c>
      <c r="VVW162" s="371" t="e">
        <f>VVT162*VVU162*VVV162</f>
        <v>#DIV/0!</v>
      </c>
      <c r="VVX162" s="367" t="s">
        <v>206</v>
      </c>
      <c r="VVY162" s="367"/>
      <c r="VVZ162" s="367"/>
      <c r="VWA162" s="368" t="s">
        <v>168</v>
      </c>
      <c r="VWB162" s="369">
        <v>0.5</v>
      </c>
      <c r="VWC162" s="370" t="e">
        <f>10/VVY160</f>
        <v>#DIV/0!</v>
      </c>
      <c r="VWD162" s="371">
        <v>15.38</v>
      </c>
      <c r="VWE162" s="371" t="e">
        <f>VWB162*VWC162*VWD162</f>
        <v>#DIV/0!</v>
      </c>
      <c r="VWF162" s="367" t="s">
        <v>206</v>
      </c>
      <c r="VWG162" s="367"/>
      <c r="VWH162" s="367"/>
      <c r="VWI162" s="368" t="s">
        <v>168</v>
      </c>
      <c r="VWJ162" s="369">
        <v>0.5</v>
      </c>
      <c r="VWK162" s="370" t="e">
        <f>10/VWG160</f>
        <v>#DIV/0!</v>
      </c>
      <c r="VWL162" s="371">
        <v>15.38</v>
      </c>
      <c r="VWM162" s="371" t="e">
        <f>VWJ162*VWK162*VWL162</f>
        <v>#DIV/0!</v>
      </c>
      <c r="VWN162" s="367" t="s">
        <v>206</v>
      </c>
      <c r="VWO162" s="367"/>
      <c r="VWP162" s="367"/>
      <c r="VWQ162" s="368" t="s">
        <v>168</v>
      </c>
      <c r="VWR162" s="369">
        <v>0.5</v>
      </c>
      <c r="VWS162" s="370" t="e">
        <f>10/VWO160</f>
        <v>#DIV/0!</v>
      </c>
      <c r="VWT162" s="371">
        <v>15.38</v>
      </c>
      <c r="VWU162" s="371" t="e">
        <f>VWR162*VWS162*VWT162</f>
        <v>#DIV/0!</v>
      </c>
      <c r="VWV162" s="367" t="s">
        <v>206</v>
      </c>
      <c r="VWW162" s="367"/>
      <c r="VWX162" s="367"/>
      <c r="VWY162" s="368" t="s">
        <v>168</v>
      </c>
      <c r="VWZ162" s="369">
        <v>0.5</v>
      </c>
      <c r="VXA162" s="370" t="e">
        <f>10/VWW160</f>
        <v>#DIV/0!</v>
      </c>
      <c r="VXB162" s="371">
        <v>15.38</v>
      </c>
      <c r="VXC162" s="371" t="e">
        <f>VWZ162*VXA162*VXB162</f>
        <v>#DIV/0!</v>
      </c>
      <c r="VXD162" s="367" t="s">
        <v>206</v>
      </c>
      <c r="VXE162" s="367"/>
      <c r="VXF162" s="367"/>
      <c r="VXG162" s="368" t="s">
        <v>168</v>
      </c>
      <c r="VXH162" s="369">
        <v>0.5</v>
      </c>
      <c r="VXI162" s="370" t="e">
        <f>10/VXE160</f>
        <v>#DIV/0!</v>
      </c>
      <c r="VXJ162" s="371">
        <v>15.38</v>
      </c>
      <c r="VXK162" s="371" t="e">
        <f>VXH162*VXI162*VXJ162</f>
        <v>#DIV/0!</v>
      </c>
      <c r="VXL162" s="367" t="s">
        <v>206</v>
      </c>
      <c r="VXM162" s="367"/>
      <c r="VXN162" s="367"/>
      <c r="VXO162" s="368" t="s">
        <v>168</v>
      </c>
      <c r="VXP162" s="369">
        <v>0.5</v>
      </c>
      <c r="VXQ162" s="370" t="e">
        <f>10/VXM160</f>
        <v>#DIV/0!</v>
      </c>
      <c r="VXR162" s="371">
        <v>15.38</v>
      </c>
      <c r="VXS162" s="371" t="e">
        <f>VXP162*VXQ162*VXR162</f>
        <v>#DIV/0!</v>
      </c>
      <c r="VXT162" s="367" t="s">
        <v>206</v>
      </c>
      <c r="VXU162" s="367"/>
      <c r="VXV162" s="367"/>
      <c r="VXW162" s="368" t="s">
        <v>168</v>
      </c>
      <c r="VXX162" s="369">
        <v>0.5</v>
      </c>
      <c r="VXY162" s="370" t="e">
        <f>10/VXU160</f>
        <v>#DIV/0!</v>
      </c>
      <c r="VXZ162" s="371">
        <v>15.38</v>
      </c>
      <c r="VYA162" s="371" t="e">
        <f>VXX162*VXY162*VXZ162</f>
        <v>#DIV/0!</v>
      </c>
      <c r="VYB162" s="367" t="s">
        <v>206</v>
      </c>
      <c r="VYC162" s="367"/>
      <c r="VYD162" s="367"/>
      <c r="VYE162" s="368" t="s">
        <v>168</v>
      </c>
      <c r="VYF162" s="369">
        <v>0.5</v>
      </c>
      <c r="VYG162" s="370" t="e">
        <f>10/VYC160</f>
        <v>#DIV/0!</v>
      </c>
      <c r="VYH162" s="371">
        <v>15.38</v>
      </c>
      <c r="VYI162" s="371" t="e">
        <f>VYF162*VYG162*VYH162</f>
        <v>#DIV/0!</v>
      </c>
      <c r="VYJ162" s="367" t="s">
        <v>206</v>
      </c>
      <c r="VYK162" s="367"/>
      <c r="VYL162" s="367"/>
      <c r="VYM162" s="368" t="s">
        <v>168</v>
      </c>
      <c r="VYN162" s="369">
        <v>0.5</v>
      </c>
      <c r="VYO162" s="370" t="e">
        <f>10/VYK160</f>
        <v>#DIV/0!</v>
      </c>
      <c r="VYP162" s="371">
        <v>15.38</v>
      </c>
      <c r="VYQ162" s="371" t="e">
        <f>VYN162*VYO162*VYP162</f>
        <v>#DIV/0!</v>
      </c>
      <c r="VYR162" s="367" t="s">
        <v>206</v>
      </c>
      <c r="VYS162" s="367"/>
      <c r="VYT162" s="367"/>
      <c r="VYU162" s="368" t="s">
        <v>168</v>
      </c>
      <c r="VYV162" s="369">
        <v>0.5</v>
      </c>
      <c r="VYW162" s="370" t="e">
        <f>10/VYS160</f>
        <v>#DIV/0!</v>
      </c>
      <c r="VYX162" s="371">
        <v>15.38</v>
      </c>
      <c r="VYY162" s="371" t="e">
        <f>VYV162*VYW162*VYX162</f>
        <v>#DIV/0!</v>
      </c>
      <c r="VYZ162" s="367" t="s">
        <v>206</v>
      </c>
      <c r="VZA162" s="367"/>
      <c r="VZB162" s="367"/>
      <c r="VZC162" s="368" t="s">
        <v>168</v>
      </c>
      <c r="VZD162" s="369">
        <v>0.5</v>
      </c>
      <c r="VZE162" s="370" t="e">
        <f>10/VZA160</f>
        <v>#DIV/0!</v>
      </c>
      <c r="VZF162" s="371">
        <v>15.38</v>
      </c>
      <c r="VZG162" s="371" t="e">
        <f>VZD162*VZE162*VZF162</f>
        <v>#DIV/0!</v>
      </c>
      <c r="VZH162" s="367" t="s">
        <v>206</v>
      </c>
      <c r="VZI162" s="367"/>
      <c r="VZJ162" s="367"/>
      <c r="VZK162" s="368" t="s">
        <v>168</v>
      </c>
      <c r="VZL162" s="369">
        <v>0.5</v>
      </c>
      <c r="VZM162" s="370" t="e">
        <f>10/VZI160</f>
        <v>#DIV/0!</v>
      </c>
      <c r="VZN162" s="371">
        <v>15.38</v>
      </c>
      <c r="VZO162" s="371" t="e">
        <f>VZL162*VZM162*VZN162</f>
        <v>#DIV/0!</v>
      </c>
      <c r="VZP162" s="367" t="s">
        <v>206</v>
      </c>
      <c r="VZQ162" s="367"/>
      <c r="VZR162" s="367"/>
      <c r="VZS162" s="368" t="s">
        <v>168</v>
      </c>
      <c r="VZT162" s="369">
        <v>0.5</v>
      </c>
      <c r="VZU162" s="370" t="e">
        <f>10/VZQ160</f>
        <v>#DIV/0!</v>
      </c>
      <c r="VZV162" s="371">
        <v>15.38</v>
      </c>
      <c r="VZW162" s="371" t="e">
        <f>VZT162*VZU162*VZV162</f>
        <v>#DIV/0!</v>
      </c>
      <c r="VZX162" s="367" t="s">
        <v>206</v>
      </c>
      <c r="VZY162" s="367"/>
      <c r="VZZ162" s="367"/>
      <c r="WAA162" s="368" t="s">
        <v>168</v>
      </c>
      <c r="WAB162" s="369">
        <v>0.5</v>
      </c>
      <c r="WAC162" s="370" t="e">
        <f>10/VZY160</f>
        <v>#DIV/0!</v>
      </c>
      <c r="WAD162" s="371">
        <v>15.38</v>
      </c>
      <c r="WAE162" s="371" t="e">
        <f>WAB162*WAC162*WAD162</f>
        <v>#DIV/0!</v>
      </c>
      <c r="WAF162" s="367" t="s">
        <v>206</v>
      </c>
      <c r="WAG162" s="367"/>
      <c r="WAH162" s="367"/>
      <c r="WAI162" s="368" t="s">
        <v>168</v>
      </c>
      <c r="WAJ162" s="369">
        <v>0.5</v>
      </c>
      <c r="WAK162" s="370" t="e">
        <f>10/WAG160</f>
        <v>#DIV/0!</v>
      </c>
      <c r="WAL162" s="371">
        <v>15.38</v>
      </c>
      <c r="WAM162" s="371" t="e">
        <f>WAJ162*WAK162*WAL162</f>
        <v>#DIV/0!</v>
      </c>
      <c r="WAN162" s="367" t="s">
        <v>206</v>
      </c>
      <c r="WAO162" s="367"/>
      <c r="WAP162" s="367"/>
      <c r="WAQ162" s="368" t="s">
        <v>168</v>
      </c>
      <c r="WAR162" s="369">
        <v>0.5</v>
      </c>
      <c r="WAS162" s="370" t="e">
        <f>10/WAO160</f>
        <v>#DIV/0!</v>
      </c>
      <c r="WAT162" s="371">
        <v>15.38</v>
      </c>
      <c r="WAU162" s="371" t="e">
        <f>WAR162*WAS162*WAT162</f>
        <v>#DIV/0!</v>
      </c>
      <c r="WAV162" s="367" t="s">
        <v>206</v>
      </c>
      <c r="WAW162" s="367"/>
      <c r="WAX162" s="367"/>
      <c r="WAY162" s="368" t="s">
        <v>168</v>
      </c>
      <c r="WAZ162" s="369">
        <v>0.5</v>
      </c>
      <c r="WBA162" s="370" t="e">
        <f>10/WAW160</f>
        <v>#DIV/0!</v>
      </c>
      <c r="WBB162" s="371">
        <v>15.38</v>
      </c>
      <c r="WBC162" s="371" t="e">
        <f>WAZ162*WBA162*WBB162</f>
        <v>#DIV/0!</v>
      </c>
      <c r="WBD162" s="367" t="s">
        <v>206</v>
      </c>
      <c r="WBE162" s="367"/>
      <c r="WBF162" s="367"/>
      <c r="WBG162" s="368" t="s">
        <v>168</v>
      </c>
      <c r="WBH162" s="369">
        <v>0.5</v>
      </c>
      <c r="WBI162" s="370" t="e">
        <f>10/WBE160</f>
        <v>#DIV/0!</v>
      </c>
      <c r="WBJ162" s="371">
        <v>15.38</v>
      </c>
      <c r="WBK162" s="371" t="e">
        <f>WBH162*WBI162*WBJ162</f>
        <v>#DIV/0!</v>
      </c>
      <c r="WBL162" s="367" t="s">
        <v>206</v>
      </c>
      <c r="WBM162" s="367"/>
      <c r="WBN162" s="367"/>
      <c r="WBO162" s="368" t="s">
        <v>168</v>
      </c>
      <c r="WBP162" s="369">
        <v>0.5</v>
      </c>
      <c r="WBQ162" s="370" t="e">
        <f>10/WBM160</f>
        <v>#DIV/0!</v>
      </c>
      <c r="WBR162" s="371">
        <v>15.38</v>
      </c>
      <c r="WBS162" s="371" t="e">
        <f>WBP162*WBQ162*WBR162</f>
        <v>#DIV/0!</v>
      </c>
      <c r="WBT162" s="367" t="s">
        <v>206</v>
      </c>
      <c r="WBU162" s="367"/>
      <c r="WBV162" s="367"/>
      <c r="WBW162" s="368" t="s">
        <v>168</v>
      </c>
      <c r="WBX162" s="369">
        <v>0.5</v>
      </c>
      <c r="WBY162" s="370" t="e">
        <f>10/WBU160</f>
        <v>#DIV/0!</v>
      </c>
      <c r="WBZ162" s="371">
        <v>15.38</v>
      </c>
      <c r="WCA162" s="371" t="e">
        <f>WBX162*WBY162*WBZ162</f>
        <v>#DIV/0!</v>
      </c>
      <c r="WCB162" s="367" t="s">
        <v>206</v>
      </c>
      <c r="WCC162" s="367"/>
      <c r="WCD162" s="367"/>
      <c r="WCE162" s="368" t="s">
        <v>168</v>
      </c>
      <c r="WCF162" s="369">
        <v>0.5</v>
      </c>
      <c r="WCG162" s="370" t="e">
        <f>10/WCC160</f>
        <v>#DIV/0!</v>
      </c>
      <c r="WCH162" s="371">
        <v>15.38</v>
      </c>
      <c r="WCI162" s="371" t="e">
        <f>WCF162*WCG162*WCH162</f>
        <v>#DIV/0!</v>
      </c>
      <c r="WCJ162" s="367" t="s">
        <v>206</v>
      </c>
      <c r="WCK162" s="367"/>
      <c r="WCL162" s="367"/>
      <c r="WCM162" s="368" t="s">
        <v>168</v>
      </c>
      <c r="WCN162" s="369">
        <v>0.5</v>
      </c>
      <c r="WCO162" s="370" t="e">
        <f>10/WCK160</f>
        <v>#DIV/0!</v>
      </c>
      <c r="WCP162" s="371">
        <v>15.38</v>
      </c>
      <c r="WCQ162" s="371" t="e">
        <f>WCN162*WCO162*WCP162</f>
        <v>#DIV/0!</v>
      </c>
      <c r="WCR162" s="367" t="s">
        <v>206</v>
      </c>
      <c r="WCS162" s="367"/>
      <c r="WCT162" s="367"/>
      <c r="WCU162" s="368" t="s">
        <v>168</v>
      </c>
      <c r="WCV162" s="369">
        <v>0.5</v>
      </c>
      <c r="WCW162" s="370" t="e">
        <f>10/WCS160</f>
        <v>#DIV/0!</v>
      </c>
      <c r="WCX162" s="371">
        <v>15.38</v>
      </c>
      <c r="WCY162" s="371" t="e">
        <f>WCV162*WCW162*WCX162</f>
        <v>#DIV/0!</v>
      </c>
      <c r="WCZ162" s="367" t="s">
        <v>206</v>
      </c>
      <c r="WDA162" s="367"/>
      <c r="WDB162" s="367"/>
      <c r="WDC162" s="368" t="s">
        <v>168</v>
      </c>
      <c r="WDD162" s="369">
        <v>0.5</v>
      </c>
      <c r="WDE162" s="370" t="e">
        <f>10/WDA160</f>
        <v>#DIV/0!</v>
      </c>
      <c r="WDF162" s="371">
        <v>15.38</v>
      </c>
      <c r="WDG162" s="371" t="e">
        <f>WDD162*WDE162*WDF162</f>
        <v>#DIV/0!</v>
      </c>
      <c r="WDH162" s="367" t="s">
        <v>206</v>
      </c>
      <c r="WDI162" s="367"/>
      <c r="WDJ162" s="367"/>
      <c r="WDK162" s="368" t="s">
        <v>168</v>
      </c>
      <c r="WDL162" s="369">
        <v>0.5</v>
      </c>
      <c r="WDM162" s="370" t="e">
        <f>10/WDI160</f>
        <v>#DIV/0!</v>
      </c>
      <c r="WDN162" s="371">
        <v>15.38</v>
      </c>
      <c r="WDO162" s="371" t="e">
        <f>WDL162*WDM162*WDN162</f>
        <v>#DIV/0!</v>
      </c>
      <c r="WDP162" s="367" t="s">
        <v>206</v>
      </c>
      <c r="WDQ162" s="367"/>
      <c r="WDR162" s="367"/>
      <c r="WDS162" s="368" t="s">
        <v>168</v>
      </c>
      <c r="WDT162" s="369">
        <v>0.5</v>
      </c>
      <c r="WDU162" s="370" t="e">
        <f>10/WDQ160</f>
        <v>#DIV/0!</v>
      </c>
      <c r="WDV162" s="371">
        <v>15.38</v>
      </c>
      <c r="WDW162" s="371" t="e">
        <f>WDT162*WDU162*WDV162</f>
        <v>#DIV/0!</v>
      </c>
      <c r="WDX162" s="367" t="s">
        <v>206</v>
      </c>
      <c r="WDY162" s="367"/>
      <c r="WDZ162" s="367"/>
      <c r="WEA162" s="368" t="s">
        <v>168</v>
      </c>
      <c r="WEB162" s="369">
        <v>0.5</v>
      </c>
      <c r="WEC162" s="370" t="e">
        <f>10/WDY160</f>
        <v>#DIV/0!</v>
      </c>
      <c r="WED162" s="371">
        <v>15.38</v>
      </c>
      <c r="WEE162" s="371" t="e">
        <f>WEB162*WEC162*WED162</f>
        <v>#DIV/0!</v>
      </c>
      <c r="WEF162" s="367" t="s">
        <v>206</v>
      </c>
      <c r="WEG162" s="367"/>
      <c r="WEH162" s="367"/>
      <c r="WEI162" s="368" t="s">
        <v>168</v>
      </c>
      <c r="WEJ162" s="369">
        <v>0.5</v>
      </c>
      <c r="WEK162" s="370" t="e">
        <f>10/WEG160</f>
        <v>#DIV/0!</v>
      </c>
      <c r="WEL162" s="371">
        <v>15.38</v>
      </c>
      <c r="WEM162" s="371" t="e">
        <f>WEJ162*WEK162*WEL162</f>
        <v>#DIV/0!</v>
      </c>
      <c r="WEN162" s="367" t="s">
        <v>206</v>
      </c>
      <c r="WEO162" s="367"/>
      <c r="WEP162" s="367"/>
      <c r="WEQ162" s="368" t="s">
        <v>168</v>
      </c>
      <c r="WER162" s="369">
        <v>0.5</v>
      </c>
      <c r="WES162" s="370" t="e">
        <f>10/WEO160</f>
        <v>#DIV/0!</v>
      </c>
      <c r="WET162" s="371">
        <v>15.38</v>
      </c>
      <c r="WEU162" s="371" t="e">
        <f>WER162*WES162*WET162</f>
        <v>#DIV/0!</v>
      </c>
      <c r="WEV162" s="367" t="s">
        <v>206</v>
      </c>
      <c r="WEW162" s="367"/>
      <c r="WEX162" s="367"/>
      <c r="WEY162" s="368" t="s">
        <v>168</v>
      </c>
      <c r="WEZ162" s="369">
        <v>0.5</v>
      </c>
      <c r="WFA162" s="370" t="e">
        <f>10/WEW160</f>
        <v>#DIV/0!</v>
      </c>
      <c r="WFB162" s="371">
        <v>15.38</v>
      </c>
      <c r="WFC162" s="371" t="e">
        <f>WEZ162*WFA162*WFB162</f>
        <v>#DIV/0!</v>
      </c>
      <c r="WFD162" s="367" t="s">
        <v>206</v>
      </c>
      <c r="WFE162" s="367"/>
      <c r="WFF162" s="367"/>
      <c r="WFG162" s="368" t="s">
        <v>168</v>
      </c>
      <c r="WFH162" s="369">
        <v>0.5</v>
      </c>
      <c r="WFI162" s="370" t="e">
        <f>10/WFE160</f>
        <v>#DIV/0!</v>
      </c>
      <c r="WFJ162" s="371">
        <v>15.38</v>
      </c>
      <c r="WFK162" s="371" t="e">
        <f>WFH162*WFI162*WFJ162</f>
        <v>#DIV/0!</v>
      </c>
      <c r="WFL162" s="367" t="s">
        <v>206</v>
      </c>
      <c r="WFM162" s="367"/>
      <c r="WFN162" s="367"/>
      <c r="WFO162" s="368" t="s">
        <v>168</v>
      </c>
      <c r="WFP162" s="369">
        <v>0.5</v>
      </c>
      <c r="WFQ162" s="370" t="e">
        <f>10/WFM160</f>
        <v>#DIV/0!</v>
      </c>
      <c r="WFR162" s="371">
        <v>15.38</v>
      </c>
      <c r="WFS162" s="371" t="e">
        <f>WFP162*WFQ162*WFR162</f>
        <v>#DIV/0!</v>
      </c>
      <c r="WFT162" s="367" t="s">
        <v>206</v>
      </c>
      <c r="WFU162" s="367"/>
      <c r="WFV162" s="367"/>
      <c r="WFW162" s="368" t="s">
        <v>168</v>
      </c>
      <c r="WFX162" s="369">
        <v>0.5</v>
      </c>
      <c r="WFY162" s="370" t="e">
        <f>10/WFU160</f>
        <v>#DIV/0!</v>
      </c>
      <c r="WFZ162" s="371">
        <v>15.38</v>
      </c>
      <c r="WGA162" s="371" t="e">
        <f>WFX162*WFY162*WFZ162</f>
        <v>#DIV/0!</v>
      </c>
      <c r="WGB162" s="367" t="s">
        <v>206</v>
      </c>
      <c r="WGC162" s="367"/>
      <c r="WGD162" s="367"/>
      <c r="WGE162" s="368" t="s">
        <v>168</v>
      </c>
      <c r="WGF162" s="369">
        <v>0.5</v>
      </c>
      <c r="WGG162" s="370" t="e">
        <f>10/WGC160</f>
        <v>#DIV/0!</v>
      </c>
      <c r="WGH162" s="371">
        <v>15.38</v>
      </c>
      <c r="WGI162" s="371" t="e">
        <f>WGF162*WGG162*WGH162</f>
        <v>#DIV/0!</v>
      </c>
      <c r="WGJ162" s="367" t="s">
        <v>206</v>
      </c>
      <c r="WGK162" s="367"/>
      <c r="WGL162" s="367"/>
      <c r="WGM162" s="368" t="s">
        <v>168</v>
      </c>
      <c r="WGN162" s="369">
        <v>0.5</v>
      </c>
      <c r="WGO162" s="370" t="e">
        <f>10/WGK160</f>
        <v>#DIV/0!</v>
      </c>
      <c r="WGP162" s="371">
        <v>15.38</v>
      </c>
      <c r="WGQ162" s="371" t="e">
        <f>WGN162*WGO162*WGP162</f>
        <v>#DIV/0!</v>
      </c>
      <c r="WGR162" s="367" t="s">
        <v>206</v>
      </c>
      <c r="WGS162" s="367"/>
      <c r="WGT162" s="367"/>
      <c r="WGU162" s="368" t="s">
        <v>168</v>
      </c>
      <c r="WGV162" s="369">
        <v>0.5</v>
      </c>
      <c r="WGW162" s="370" t="e">
        <f>10/WGS160</f>
        <v>#DIV/0!</v>
      </c>
      <c r="WGX162" s="371">
        <v>15.38</v>
      </c>
      <c r="WGY162" s="371" t="e">
        <f>WGV162*WGW162*WGX162</f>
        <v>#DIV/0!</v>
      </c>
      <c r="WGZ162" s="367" t="s">
        <v>206</v>
      </c>
      <c r="WHA162" s="367"/>
      <c r="WHB162" s="367"/>
      <c r="WHC162" s="368" t="s">
        <v>168</v>
      </c>
      <c r="WHD162" s="369">
        <v>0.5</v>
      </c>
      <c r="WHE162" s="370" t="e">
        <f>10/WHA160</f>
        <v>#DIV/0!</v>
      </c>
      <c r="WHF162" s="371">
        <v>15.38</v>
      </c>
      <c r="WHG162" s="371" t="e">
        <f>WHD162*WHE162*WHF162</f>
        <v>#DIV/0!</v>
      </c>
      <c r="WHH162" s="367" t="s">
        <v>206</v>
      </c>
      <c r="WHI162" s="367"/>
      <c r="WHJ162" s="367"/>
      <c r="WHK162" s="368" t="s">
        <v>168</v>
      </c>
      <c r="WHL162" s="369">
        <v>0.5</v>
      </c>
      <c r="WHM162" s="370" t="e">
        <f>10/WHI160</f>
        <v>#DIV/0!</v>
      </c>
      <c r="WHN162" s="371">
        <v>15.38</v>
      </c>
      <c r="WHO162" s="371" t="e">
        <f>WHL162*WHM162*WHN162</f>
        <v>#DIV/0!</v>
      </c>
      <c r="WHP162" s="367" t="s">
        <v>206</v>
      </c>
      <c r="WHQ162" s="367"/>
      <c r="WHR162" s="367"/>
      <c r="WHS162" s="368" t="s">
        <v>168</v>
      </c>
      <c r="WHT162" s="369">
        <v>0.5</v>
      </c>
      <c r="WHU162" s="370" t="e">
        <f>10/WHQ160</f>
        <v>#DIV/0!</v>
      </c>
      <c r="WHV162" s="371">
        <v>15.38</v>
      </c>
      <c r="WHW162" s="371" t="e">
        <f>WHT162*WHU162*WHV162</f>
        <v>#DIV/0!</v>
      </c>
      <c r="WHX162" s="367" t="s">
        <v>206</v>
      </c>
      <c r="WHY162" s="367"/>
      <c r="WHZ162" s="367"/>
      <c r="WIA162" s="368" t="s">
        <v>168</v>
      </c>
      <c r="WIB162" s="369">
        <v>0.5</v>
      </c>
      <c r="WIC162" s="370" t="e">
        <f>10/WHY160</f>
        <v>#DIV/0!</v>
      </c>
      <c r="WID162" s="371">
        <v>15.38</v>
      </c>
      <c r="WIE162" s="371" t="e">
        <f>WIB162*WIC162*WID162</f>
        <v>#DIV/0!</v>
      </c>
      <c r="WIF162" s="367" t="s">
        <v>206</v>
      </c>
      <c r="WIG162" s="367"/>
      <c r="WIH162" s="367"/>
      <c r="WII162" s="368" t="s">
        <v>168</v>
      </c>
      <c r="WIJ162" s="369">
        <v>0.5</v>
      </c>
      <c r="WIK162" s="370" t="e">
        <f>10/WIG160</f>
        <v>#DIV/0!</v>
      </c>
      <c r="WIL162" s="371">
        <v>15.38</v>
      </c>
      <c r="WIM162" s="371" t="e">
        <f>WIJ162*WIK162*WIL162</f>
        <v>#DIV/0!</v>
      </c>
      <c r="WIN162" s="367" t="s">
        <v>206</v>
      </c>
      <c r="WIO162" s="367"/>
      <c r="WIP162" s="367"/>
      <c r="WIQ162" s="368" t="s">
        <v>168</v>
      </c>
      <c r="WIR162" s="369">
        <v>0.5</v>
      </c>
      <c r="WIS162" s="370" t="e">
        <f>10/WIO160</f>
        <v>#DIV/0!</v>
      </c>
      <c r="WIT162" s="371">
        <v>15.38</v>
      </c>
      <c r="WIU162" s="371" t="e">
        <f>WIR162*WIS162*WIT162</f>
        <v>#DIV/0!</v>
      </c>
      <c r="WIV162" s="367" t="s">
        <v>206</v>
      </c>
      <c r="WIW162" s="367"/>
      <c r="WIX162" s="367"/>
      <c r="WIY162" s="368" t="s">
        <v>168</v>
      </c>
      <c r="WIZ162" s="369">
        <v>0.5</v>
      </c>
      <c r="WJA162" s="370" t="e">
        <f>10/WIW160</f>
        <v>#DIV/0!</v>
      </c>
      <c r="WJB162" s="371">
        <v>15.38</v>
      </c>
      <c r="WJC162" s="371" t="e">
        <f>WIZ162*WJA162*WJB162</f>
        <v>#DIV/0!</v>
      </c>
      <c r="WJD162" s="367" t="s">
        <v>206</v>
      </c>
      <c r="WJE162" s="367"/>
      <c r="WJF162" s="367"/>
      <c r="WJG162" s="368" t="s">
        <v>168</v>
      </c>
      <c r="WJH162" s="369">
        <v>0.5</v>
      </c>
      <c r="WJI162" s="370" t="e">
        <f>10/WJE160</f>
        <v>#DIV/0!</v>
      </c>
      <c r="WJJ162" s="371">
        <v>15.38</v>
      </c>
      <c r="WJK162" s="371" t="e">
        <f>WJH162*WJI162*WJJ162</f>
        <v>#DIV/0!</v>
      </c>
      <c r="WJL162" s="367" t="s">
        <v>206</v>
      </c>
      <c r="WJM162" s="367"/>
      <c r="WJN162" s="367"/>
      <c r="WJO162" s="368" t="s">
        <v>168</v>
      </c>
      <c r="WJP162" s="369">
        <v>0.5</v>
      </c>
      <c r="WJQ162" s="370" t="e">
        <f>10/WJM160</f>
        <v>#DIV/0!</v>
      </c>
      <c r="WJR162" s="371">
        <v>15.38</v>
      </c>
      <c r="WJS162" s="371" t="e">
        <f>WJP162*WJQ162*WJR162</f>
        <v>#DIV/0!</v>
      </c>
      <c r="WJT162" s="367" t="s">
        <v>206</v>
      </c>
      <c r="WJU162" s="367"/>
      <c r="WJV162" s="367"/>
      <c r="WJW162" s="368" t="s">
        <v>168</v>
      </c>
      <c r="WJX162" s="369">
        <v>0.5</v>
      </c>
      <c r="WJY162" s="370" t="e">
        <f>10/WJU160</f>
        <v>#DIV/0!</v>
      </c>
      <c r="WJZ162" s="371">
        <v>15.38</v>
      </c>
      <c r="WKA162" s="371" t="e">
        <f>WJX162*WJY162*WJZ162</f>
        <v>#DIV/0!</v>
      </c>
      <c r="WKB162" s="367" t="s">
        <v>206</v>
      </c>
      <c r="WKC162" s="367"/>
      <c r="WKD162" s="367"/>
      <c r="WKE162" s="368" t="s">
        <v>168</v>
      </c>
      <c r="WKF162" s="369">
        <v>0.5</v>
      </c>
      <c r="WKG162" s="370" t="e">
        <f>10/WKC160</f>
        <v>#DIV/0!</v>
      </c>
      <c r="WKH162" s="371">
        <v>15.38</v>
      </c>
      <c r="WKI162" s="371" t="e">
        <f>WKF162*WKG162*WKH162</f>
        <v>#DIV/0!</v>
      </c>
      <c r="WKJ162" s="367" t="s">
        <v>206</v>
      </c>
      <c r="WKK162" s="367"/>
      <c r="WKL162" s="367"/>
      <c r="WKM162" s="368" t="s">
        <v>168</v>
      </c>
      <c r="WKN162" s="369">
        <v>0.5</v>
      </c>
      <c r="WKO162" s="370" t="e">
        <f>10/WKK160</f>
        <v>#DIV/0!</v>
      </c>
      <c r="WKP162" s="371">
        <v>15.38</v>
      </c>
      <c r="WKQ162" s="371" t="e">
        <f>WKN162*WKO162*WKP162</f>
        <v>#DIV/0!</v>
      </c>
      <c r="WKR162" s="367" t="s">
        <v>206</v>
      </c>
      <c r="WKS162" s="367"/>
      <c r="WKT162" s="367"/>
      <c r="WKU162" s="368" t="s">
        <v>168</v>
      </c>
      <c r="WKV162" s="369">
        <v>0.5</v>
      </c>
      <c r="WKW162" s="370" t="e">
        <f>10/WKS160</f>
        <v>#DIV/0!</v>
      </c>
      <c r="WKX162" s="371">
        <v>15.38</v>
      </c>
      <c r="WKY162" s="371" t="e">
        <f>WKV162*WKW162*WKX162</f>
        <v>#DIV/0!</v>
      </c>
      <c r="WKZ162" s="367" t="s">
        <v>206</v>
      </c>
      <c r="WLA162" s="367"/>
      <c r="WLB162" s="367"/>
      <c r="WLC162" s="368" t="s">
        <v>168</v>
      </c>
      <c r="WLD162" s="369">
        <v>0.5</v>
      </c>
      <c r="WLE162" s="370" t="e">
        <f>10/WLA160</f>
        <v>#DIV/0!</v>
      </c>
      <c r="WLF162" s="371">
        <v>15.38</v>
      </c>
      <c r="WLG162" s="371" t="e">
        <f>WLD162*WLE162*WLF162</f>
        <v>#DIV/0!</v>
      </c>
      <c r="WLH162" s="367" t="s">
        <v>206</v>
      </c>
      <c r="WLI162" s="367"/>
      <c r="WLJ162" s="367"/>
      <c r="WLK162" s="368" t="s">
        <v>168</v>
      </c>
      <c r="WLL162" s="369">
        <v>0.5</v>
      </c>
      <c r="WLM162" s="370" t="e">
        <f>10/WLI160</f>
        <v>#DIV/0!</v>
      </c>
      <c r="WLN162" s="371">
        <v>15.38</v>
      </c>
      <c r="WLO162" s="371" t="e">
        <f>WLL162*WLM162*WLN162</f>
        <v>#DIV/0!</v>
      </c>
      <c r="WLP162" s="367" t="s">
        <v>206</v>
      </c>
      <c r="WLQ162" s="367"/>
      <c r="WLR162" s="367"/>
      <c r="WLS162" s="368" t="s">
        <v>168</v>
      </c>
      <c r="WLT162" s="369">
        <v>0.5</v>
      </c>
      <c r="WLU162" s="370" t="e">
        <f>10/WLQ160</f>
        <v>#DIV/0!</v>
      </c>
      <c r="WLV162" s="371">
        <v>15.38</v>
      </c>
      <c r="WLW162" s="371" t="e">
        <f>WLT162*WLU162*WLV162</f>
        <v>#DIV/0!</v>
      </c>
      <c r="WLX162" s="367" t="s">
        <v>206</v>
      </c>
      <c r="WLY162" s="367"/>
      <c r="WLZ162" s="367"/>
      <c r="WMA162" s="368" t="s">
        <v>168</v>
      </c>
      <c r="WMB162" s="369">
        <v>0.5</v>
      </c>
      <c r="WMC162" s="370" t="e">
        <f>10/WLY160</f>
        <v>#DIV/0!</v>
      </c>
      <c r="WMD162" s="371">
        <v>15.38</v>
      </c>
      <c r="WME162" s="371" t="e">
        <f>WMB162*WMC162*WMD162</f>
        <v>#DIV/0!</v>
      </c>
      <c r="WMF162" s="367" t="s">
        <v>206</v>
      </c>
      <c r="WMG162" s="367"/>
      <c r="WMH162" s="367"/>
      <c r="WMI162" s="368" t="s">
        <v>168</v>
      </c>
      <c r="WMJ162" s="369">
        <v>0.5</v>
      </c>
      <c r="WMK162" s="370" t="e">
        <f>10/WMG160</f>
        <v>#DIV/0!</v>
      </c>
      <c r="WML162" s="371">
        <v>15.38</v>
      </c>
      <c r="WMM162" s="371" t="e">
        <f>WMJ162*WMK162*WML162</f>
        <v>#DIV/0!</v>
      </c>
      <c r="WMN162" s="367" t="s">
        <v>206</v>
      </c>
      <c r="WMO162" s="367"/>
      <c r="WMP162" s="367"/>
      <c r="WMQ162" s="368" t="s">
        <v>168</v>
      </c>
      <c r="WMR162" s="369">
        <v>0.5</v>
      </c>
      <c r="WMS162" s="370" t="e">
        <f>10/WMO160</f>
        <v>#DIV/0!</v>
      </c>
      <c r="WMT162" s="371">
        <v>15.38</v>
      </c>
      <c r="WMU162" s="371" t="e">
        <f>WMR162*WMS162*WMT162</f>
        <v>#DIV/0!</v>
      </c>
      <c r="WMV162" s="367" t="s">
        <v>206</v>
      </c>
      <c r="WMW162" s="367"/>
      <c r="WMX162" s="367"/>
      <c r="WMY162" s="368" t="s">
        <v>168</v>
      </c>
      <c r="WMZ162" s="369">
        <v>0.5</v>
      </c>
      <c r="WNA162" s="370" t="e">
        <f>10/WMW160</f>
        <v>#DIV/0!</v>
      </c>
      <c r="WNB162" s="371">
        <v>15.38</v>
      </c>
      <c r="WNC162" s="371" t="e">
        <f>WMZ162*WNA162*WNB162</f>
        <v>#DIV/0!</v>
      </c>
      <c r="WND162" s="367" t="s">
        <v>206</v>
      </c>
      <c r="WNE162" s="367"/>
      <c r="WNF162" s="367"/>
      <c r="WNG162" s="368" t="s">
        <v>168</v>
      </c>
      <c r="WNH162" s="369">
        <v>0.5</v>
      </c>
      <c r="WNI162" s="370" t="e">
        <f>10/WNE160</f>
        <v>#DIV/0!</v>
      </c>
      <c r="WNJ162" s="371">
        <v>15.38</v>
      </c>
      <c r="WNK162" s="371" t="e">
        <f>WNH162*WNI162*WNJ162</f>
        <v>#DIV/0!</v>
      </c>
      <c r="WNL162" s="367" t="s">
        <v>206</v>
      </c>
      <c r="WNM162" s="367"/>
      <c r="WNN162" s="367"/>
      <c r="WNO162" s="368" t="s">
        <v>168</v>
      </c>
      <c r="WNP162" s="369">
        <v>0.5</v>
      </c>
      <c r="WNQ162" s="370" t="e">
        <f>10/WNM160</f>
        <v>#DIV/0!</v>
      </c>
      <c r="WNR162" s="371">
        <v>15.38</v>
      </c>
      <c r="WNS162" s="371" t="e">
        <f>WNP162*WNQ162*WNR162</f>
        <v>#DIV/0!</v>
      </c>
      <c r="WNT162" s="367" t="s">
        <v>206</v>
      </c>
      <c r="WNU162" s="367"/>
      <c r="WNV162" s="367"/>
      <c r="WNW162" s="368" t="s">
        <v>168</v>
      </c>
      <c r="WNX162" s="369">
        <v>0.5</v>
      </c>
      <c r="WNY162" s="370" t="e">
        <f>10/WNU160</f>
        <v>#DIV/0!</v>
      </c>
      <c r="WNZ162" s="371">
        <v>15.38</v>
      </c>
      <c r="WOA162" s="371" t="e">
        <f>WNX162*WNY162*WNZ162</f>
        <v>#DIV/0!</v>
      </c>
      <c r="WOB162" s="367" t="s">
        <v>206</v>
      </c>
      <c r="WOC162" s="367"/>
      <c r="WOD162" s="367"/>
      <c r="WOE162" s="368" t="s">
        <v>168</v>
      </c>
      <c r="WOF162" s="369">
        <v>0.5</v>
      </c>
      <c r="WOG162" s="370" t="e">
        <f>10/WOC160</f>
        <v>#DIV/0!</v>
      </c>
      <c r="WOH162" s="371">
        <v>15.38</v>
      </c>
      <c r="WOI162" s="371" t="e">
        <f>WOF162*WOG162*WOH162</f>
        <v>#DIV/0!</v>
      </c>
      <c r="WOJ162" s="367" t="s">
        <v>206</v>
      </c>
      <c r="WOK162" s="367"/>
      <c r="WOL162" s="367"/>
      <c r="WOM162" s="368" t="s">
        <v>168</v>
      </c>
      <c r="WON162" s="369">
        <v>0.5</v>
      </c>
      <c r="WOO162" s="370" t="e">
        <f>10/WOK160</f>
        <v>#DIV/0!</v>
      </c>
      <c r="WOP162" s="371">
        <v>15.38</v>
      </c>
      <c r="WOQ162" s="371" t="e">
        <f>WON162*WOO162*WOP162</f>
        <v>#DIV/0!</v>
      </c>
      <c r="WOR162" s="367" t="s">
        <v>206</v>
      </c>
      <c r="WOS162" s="367"/>
      <c r="WOT162" s="367"/>
      <c r="WOU162" s="368" t="s">
        <v>168</v>
      </c>
      <c r="WOV162" s="369">
        <v>0.5</v>
      </c>
      <c r="WOW162" s="370" t="e">
        <f>10/WOS160</f>
        <v>#DIV/0!</v>
      </c>
      <c r="WOX162" s="371">
        <v>15.38</v>
      </c>
      <c r="WOY162" s="371" t="e">
        <f>WOV162*WOW162*WOX162</f>
        <v>#DIV/0!</v>
      </c>
      <c r="WOZ162" s="367" t="s">
        <v>206</v>
      </c>
      <c r="WPA162" s="367"/>
      <c r="WPB162" s="367"/>
      <c r="WPC162" s="368" t="s">
        <v>168</v>
      </c>
      <c r="WPD162" s="369">
        <v>0.5</v>
      </c>
      <c r="WPE162" s="370" t="e">
        <f>10/WPA160</f>
        <v>#DIV/0!</v>
      </c>
      <c r="WPF162" s="371">
        <v>15.38</v>
      </c>
      <c r="WPG162" s="371" t="e">
        <f>WPD162*WPE162*WPF162</f>
        <v>#DIV/0!</v>
      </c>
      <c r="WPH162" s="367" t="s">
        <v>206</v>
      </c>
      <c r="WPI162" s="367"/>
      <c r="WPJ162" s="367"/>
      <c r="WPK162" s="368" t="s">
        <v>168</v>
      </c>
      <c r="WPL162" s="369">
        <v>0.5</v>
      </c>
      <c r="WPM162" s="370" t="e">
        <f>10/WPI160</f>
        <v>#DIV/0!</v>
      </c>
      <c r="WPN162" s="371">
        <v>15.38</v>
      </c>
      <c r="WPO162" s="371" t="e">
        <f>WPL162*WPM162*WPN162</f>
        <v>#DIV/0!</v>
      </c>
      <c r="WPP162" s="367" t="s">
        <v>206</v>
      </c>
      <c r="WPQ162" s="367"/>
      <c r="WPR162" s="367"/>
      <c r="WPS162" s="368" t="s">
        <v>168</v>
      </c>
      <c r="WPT162" s="369">
        <v>0.5</v>
      </c>
      <c r="WPU162" s="370" t="e">
        <f>10/WPQ160</f>
        <v>#DIV/0!</v>
      </c>
      <c r="WPV162" s="371">
        <v>15.38</v>
      </c>
      <c r="WPW162" s="371" t="e">
        <f>WPT162*WPU162*WPV162</f>
        <v>#DIV/0!</v>
      </c>
      <c r="WPX162" s="367" t="s">
        <v>206</v>
      </c>
      <c r="WPY162" s="367"/>
      <c r="WPZ162" s="367"/>
      <c r="WQA162" s="368" t="s">
        <v>168</v>
      </c>
      <c r="WQB162" s="369">
        <v>0.5</v>
      </c>
      <c r="WQC162" s="370" t="e">
        <f>10/WPY160</f>
        <v>#DIV/0!</v>
      </c>
      <c r="WQD162" s="371">
        <v>15.38</v>
      </c>
      <c r="WQE162" s="371" t="e">
        <f>WQB162*WQC162*WQD162</f>
        <v>#DIV/0!</v>
      </c>
      <c r="WQF162" s="367" t="s">
        <v>206</v>
      </c>
      <c r="WQG162" s="367"/>
      <c r="WQH162" s="367"/>
      <c r="WQI162" s="368" t="s">
        <v>168</v>
      </c>
      <c r="WQJ162" s="369">
        <v>0.5</v>
      </c>
      <c r="WQK162" s="370" t="e">
        <f>10/WQG160</f>
        <v>#DIV/0!</v>
      </c>
      <c r="WQL162" s="371">
        <v>15.38</v>
      </c>
      <c r="WQM162" s="371" t="e">
        <f>WQJ162*WQK162*WQL162</f>
        <v>#DIV/0!</v>
      </c>
      <c r="WQN162" s="367" t="s">
        <v>206</v>
      </c>
      <c r="WQO162" s="367"/>
      <c r="WQP162" s="367"/>
      <c r="WQQ162" s="368" t="s">
        <v>168</v>
      </c>
      <c r="WQR162" s="369">
        <v>0.5</v>
      </c>
      <c r="WQS162" s="370" t="e">
        <f>10/WQO160</f>
        <v>#DIV/0!</v>
      </c>
      <c r="WQT162" s="371">
        <v>15.38</v>
      </c>
      <c r="WQU162" s="371" t="e">
        <f>WQR162*WQS162*WQT162</f>
        <v>#DIV/0!</v>
      </c>
      <c r="WQV162" s="367" t="s">
        <v>206</v>
      </c>
      <c r="WQW162" s="367"/>
      <c r="WQX162" s="367"/>
      <c r="WQY162" s="368" t="s">
        <v>168</v>
      </c>
      <c r="WQZ162" s="369">
        <v>0.5</v>
      </c>
      <c r="WRA162" s="370" t="e">
        <f>10/WQW160</f>
        <v>#DIV/0!</v>
      </c>
      <c r="WRB162" s="371">
        <v>15.38</v>
      </c>
      <c r="WRC162" s="371" t="e">
        <f>WQZ162*WRA162*WRB162</f>
        <v>#DIV/0!</v>
      </c>
      <c r="WRD162" s="367" t="s">
        <v>206</v>
      </c>
      <c r="WRE162" s="367"/>
      <c r="WRF162" s="367"/>
      <c r="WRG162" s="368" t="s">
        <v>168</v>
      </c>
      <c r="WRH162" s="369">
        <v>0.5</v>
      </c>
      <c r="WRI162" s="370" t="e">
        <f>10/WRE160</f>
        <v>#DIV/0!</v>
      </c>
      <c r="WRJ162" s="371">
        <v>15.38</v>
      </c>
      <c r="WRK162" s="371" t="e">
        <f>WRH162*WRI162*WRJ162</f>
        <v>#DIV/0!</v>
      </c>
      <c r="WRL162" s="367" t="s">
        <v>206</v>
      </c>
      <c r="WRM162" s="367"/>
      <c r="WRN162" s="367"/>
      <c r="WRO162" s="368" t="s">
        <v>168</v>
      </c>
      <c r="WRP162" s="369">
        <v>0.5</v>
      </c>
      <c r="WRQ162" s="370" t="e">
        <f>10/WRM160</f>
        <v>#DIV/0!</v>
      </c>
      <c r="WRR162" s="371">
        <v>15.38</v>
      </c>
      <c r="WRS162" s="371" t="e">
        <f>WRP162*WRQ162*WRR162</f>
        <v>#DIV/0!</v>
      </c>
      <c r="WRT162" s="367" t="s">
        <v>206</v>
      </c>
      <c r="WRU162" s="367"/>
      <c r="WRV162" s="367"/>
      <c r="WRW162" s="368" t="s">
        <v>168</v>
      </c>
      <c r="WRX162" s="369">
        <v>0.5</v>
      </c>
      <c r="WRY162" s="370" t="e">
        <f>10/WRU160</f>
        <v>#DIV/0!</v>
      </c>
      <c r="WRZ162" s="371">
        <v>15.38</v>
      </c>
      <c r="WSA162" s="371" t="e">
        <f>WRX162*WRY162*WRZ162</f>
        <v>#DIV/0!</v>
      </c>
      <c r="WSB162" s="367" t="s">
        <v>206</v>
      </c>
      <c r="WSC162" s="367"/>
      <c r="WSD162" s="367"/>
      <c r="WSE162" s="368" t="s">
        <v>168</v>
      </c>
      <c r="WSF162" s="369">
        <v>0.5</v>
      </c>
      <c r="WSG162" s="370" t="e">
        <f>10/WSC160</f>
        <v>#DIV/0!</v>
      </c>
      <c r="WSH162" s="371">
        <v>15.38</v>
      </c>
      <c r="WSI162" s="371" t="e">
        <f>WSF162*WSG162*WSH162</f>
        <v>#DIV/0!</v>
      </c>
      <c r="WSJ162" s="367" t="s">
        <v>206</v>
      </c>
      <c r="WSK162" s="367"/>
      <c r="WSL162" s="367"/>
      <c r="WSM162" s="368" t="s">
        <v>168</v>
      </c>
      <c r="WSN162" s="369">
        <v>0.5</v>
      </c>
      <c r="WSO162" s="370" t="e">
        <f>10/WSK160</f>
        <v>#DIV/0!</v>
      </c>
      <c r="WSP162" s="371">
        <v>15.38</v>
      </c>
      <c r="WSQ162" s="371" t="e">
        <f>WSN162*WSO162*WSP162</f>
        <v>#DIV/0!</v>
      </c>
      <c r="WSR162" s="367" t="s">
        <v>206</v>
      </c>
      <c r="WSS162" s="367"/>
      <c r="WST162" s="367"/>
      <c r="WSU162" s="368" t="s">
        <v>168</v>
      </c>
      <c r="WSV162" s="369">
        <v>0.5</v>
      </c>
      <c r="WSW162" s="370" t="e">
        <f>10/WSS160</f>
        <v>#DIV/0!</v>
      </c>
      <c r="WSX162" s="371">
        <v>15.38</v>
      </c>
      <c r="WSY162" s="371" t="e">
        <f>WSV162*WSW162*WSX162</f>
        <v>#DIV/0!</v>
      </c>
      <c r="WSZ162" s="367" t="s">
        <v>206</v>
      </c>
      <c r="WTA162" s="367"/>
      <c r="WTB162" s="367"/>
      <c r="WTC162" s="368" t="s">
        <v>168</v>
      </c>
      <c r="WTD162" s="369">
        <v>0.5</v>
      </c>
      <c r="WTE162" s="370" t="e">
        <f>10/WTA160</f>
        <v>#DIV/0!</v>
      </c>
      <c r="WTF162" s="371">
        <v>15.38</v>
      </c>
      <c r="WTG162" s="371" t="e">
        <f>WTD162*WTE162*WTF162</f>
        <v>#DIV/0!</v>
      </c>
      <c r="WTH162" s="367" t="s">
        <v>206</v>
      </c>
      <c r="WTI162" s="367"/>
      <c r="WTJ162" s="367"/>
      <c r="WTK162" s="368" t="s">
        <v>168</v>
      </c>
      <c r="WTL162" s="369">
        <v>0.5</v>
      </c>
      <c r="WTM162" s="370" t="e">
        <f>10/WTI160</f>
        <v>#DIV/0!</v>
      </c>
      <c r="WTN162" s="371">
        <v>15.38</v>
      </c>
      <c r="WTO162" s="371" t="e">
        <f>WTL162*WTM162*WTN162</f>
        <v>#DIV/0!</v>
      </c>
      <c r="WTP162" s="367" t="s">
        <v>206</v>
      </c>
      <c r="WTQ162" s="367"/>
      <c r="WTR162" s="367"/>
      <c r="WTS162" s="368" t="s">
        <v>168</v>
      </c>
      <c r="WTT162" s="369">
        <v>0.5</v>
      </c>
      <c r="WTU162" s="370" t="e">
        <f>10/WTQ160</f>
        <v>#DIV/0!</v>
      </c>
      <c r="WTV162" s="371">
        <v>15.38</v>
      </c>
      <c r="WTW162" s="371" t="e">
        <f>WTT162*WTU162*WTV162</f>
        <v>#DIV/0!</v>
      </c>
      <c r="WTX162" s="367" t="s">
        <v>206</v>
      </c>
      <c r="WTY162" s="367"/>
      <c r="WTZ162" s="367"/>
      <c r="WUA162" s="368" t="s">
        <v>168</v>
      </c>
      <c r="WUB162" s="369">
        <v>0.5</v>
      </c>
      <c r="WUC162" s="370" t="e">
        <f>10/WTY160</f>
        <v>#DIV/0!</v>
      </c>
      <c r="WUD162" s="371">
        <v>15.38</v>
      </c>
      <c r="WUE162" s="371" t="e">
        <f>WUB162*WUC162*WUD162</f>
        <v>#DIV/0!</v>
      </c>
      <c r="WUF162" s="367" t="s">
        <v>206</v>
      </c>
      <c r="WUG162" s="367"/>
      <c r="WUH162" s="367"/>
      <c r="WUI162" s="368" t="s">
        <v>168</v>
      </c>
      <c r="WUJ162" s="369">
        <v>0.5</v>
      </c>
      <c r="WUK162" s="370" t="e">
        <f>10/WUG160</f>
        <v>#DIV/0!</v>
      </c>
      <c r="WUL162" s="371">
        <v>15.38</v>
      </c>
      <c r="WUM162" s="371" t="e">
        <f>WUJ162*WUK162*WUL162</f>
        <v>#DIV/0!</v>
      </c>
      <c r="WUN162" s="367" t="s">
        <v>206</v>
      </c>
      <c r="WUO162" s="367"/>
      <c r="WUP162" s="367"/>
      <c r="WUQ162" s="368" t="s">
        <v>168</v>
      </c>
      <c r="WUR162" s="369">
        <v>0.5</v>
      </c>
      <c r="WUS162" s="370" t="e">
        <f>10/WUO160</f>
        <v>#DIV/0!</v>
      </c>
      <c r="WUT162" s="371">
        <v>15.38</v>
      </c>
      <c r="WUU162" s="371" t="e">
        <f>WUR162*WUS162*WUT162</f>
        <v>#DIV/0!</v>
      </c>
      <c r="WUV162" s="367" t="s">
        <v>206</v>
      </c>
      <c r="WUW162" s="367"/>
      <c r="WUX162" s="367"/>
      <c r="WUY162" s="368" t="s">
        <v>168</v>
      </c>
      <c r="WUZ162" s="369">
        <v>0.5</v>
      </c>
      <c r="WVA162" s="370" t="e">
        <f>10/WUW160</f>
        <v>#DIV/0!</v>
      </c>
      <c r="WVB162" s="371">
        <v>15.38</v>
      </c>
      <c r="WVC162" s="371" t="e">
        <f>WUZ162*WVA162*WVB162</f>
        <v>#DIV/0!</v>
      </c>
      <c r="WVD162" s="367" t="s">
        <v>206</v>
      </c>
      <c r="WVE162" s="367"/>
      <c r="WVF162" s="367"/>
      <c r="WVG162" s="368" t="s">
        <v>168</v>
      </c>
      <c r="WVH162" s="369">
        <v>0.5</v>
      </c>
      <c r="WVI162" s="370" t="e">
        <f>10/WVE160</f>
        <v>#DIV/0!</v>
      </c>
      <c r="WVJ162" s="371">
        <v>15.38</v>
      </c>
      <c r="WVK162" s="371" t="e">
        <f>WVH162*WVI162*WVJ162</f>
        <v>#DIV/0!</v>
      </c>
      <c r="WVL162" s="367" t="s">
        <v>206</v>
      </c>
      <c r="WVM162" s="367"/>
      <c r="WVN162" s="367"/>
      <c r="WVO162" s="368" t="s">
        <v>168</v>
      </c>
      <c r="WVP162" s="369">
        <v>0.5</v>
      </c>
      <c r="WVQ162" s="370" t="e">
        <f>10/WVM160</f>
        <v>#DIV/0!</v>
      </c>
      <c r="WVR162" s="371">
        <v>15.38</v>
      </c>
      <c r="WVS162" s="371" t="e">
        <f>WVP162*WVQ162*WVR162</f>
        <v>#DIV/0!</v>
      </c>
      <c r="WVT162" s="367" t="s">
        <v>206</v>
      </c>
      <c r="WVU162" s="367"/>
      <c r="WVV162" s="367"/>
      <c r="WVW162" s="368" t="s">
        <v>168</v>
      </c>
      <c r="WVX162" s="369">
        <v>0.5</v>
      </c>
      <c r="WVY162" s="370" t="e">
        <f>10/WVU160</f>
        <v>#DIV/0!</v>
      </c>
      <c r="WVZ162" s="371">
        <v>15.38</v>
      </c>
      <c r="WWA162" s="371" t="e">
        <f>WVX162*WVY162*WVZ162</f>
        <v>#DIV/0!</v>
      </c>
      <c r="WWB162" s="367" t="s">
        <v>206</v>
      </c>
      <c r="WWC162" s="367"/>
      <c r="WWD162" s="367"/>
      <c r="WWE162" s="368" t="s">
        <v>168</v>
      </c>
      <c r="WWF162" s="369">
        <v>0.5</v>
      </c>
      <c r="WWG162" s="370" t="e">
        <f>10/WWC160</f>
        <v>#DIV/0!</v>
      </c>
      <c r="WWH162" s="371">
        <v>15.38</v>
      </c>
      <c r="WWI162" s="371" t="e">
        <f>WWF162*WWG162*WWH162</f>
        <v>#DIV/0!</v>
      </c>
      <c r="WWJ162" s="367" t="s">
        <v>206</v>
      </c>
      <c r="WWK162" s="367"/>
      <c r="WWL162" s="367"/>
      <c r="WWM162" s="368" t="s">
        <v>168</v>
      </c>
      <c r="WWN162" s="369">
        <v>0.5</v>
      </c>
      <c r="WWO162" s="370" t="e">
        <f>10/WWK160</f>
        <v>#DIV/0!</v>
      </c>
      <c r="WWP162" s="371">
        <v>15.38</v>
      </c>
      <c r="WWQ162" s="371" t="e">
        <f>WWN162*WWO162*WWP162</f>
        <v>#DIV/0!</v>
      </c>
      <c r="WWR162" s="367" t="s">
        <v>206</v>
      </c>
      <c r="WWS162" s="367"/>
      <c r="WWT162" s="367"/>
      <c r="WWU162" s="368" t="s">
        <v>168</v>
      </c>
      <c r="WWV162" s="369">
        <v>0.5</v>
      </c>
      <c r="WWW162" s="370" t="e">
        <f>10/WWS160</f>
        <v>#DIV/0!</v>
      </c>
      <c r="WWX162" s="371">
        <v>15.38</v>
      </c>
      <c r="WWY162" s="371" t="e">
        <f>WWV162*WWW162*WWX162</f>
        <v>#DIV/0!</v>
      </c>
      <c r="WWZ162" s="367" t="s">
        <v>206</v>
      </c>
      <c r="WXA162" s="367"/>
      <c r="WXB162" s="367"/>
      <c r="WXC162" s="368" t="s">
        <v>168</v>
      </c>
      <c r="WXD162" s="369">
        <v>0.5</v>
      </c>
      <c r="WXE162" s="370" t="e">
        <f>10/WXA160</f>
        <v>#DIV/0!</v>
      </c>
      <c r="WXF162" s="371">
        <v>15.38</v>
      </c>
      <c r="WXG162" s="371" t="e">
        <f>WXD162*WXE162*WXF162</f>
        <v>#DIV/0!</v>
      </c>
      <c r="WXH162" s="367" t="s">
        <v>206</v>
      </c>
      <c r="WXI162" s="367"/>
      <c r="WXJ162" s="367"/>
      <c r="WXK162" s="368" t="s">
        <v>168</v>
      </c>
      <c r="WXL162" s="369">
        <v>0.5</v>
      </c>
      <c r="WXM162" s="370" t="e">
        <f>10/WXI160</f>
        <v>#DIV/0!</v>
      </c>
      <c r="WXN162" s="371">
        <v>15.38</v>
      </c>
      <c r="WXO162" s="371" t="e">
        <f>WXL162*WXM162*WXN162</f>
        <v>#DIV/0!</v>
      </c>
      <c r="WXP162" s="367" t="s">
        <v>206</v>
      </c>
      <c r="WXQ162" s="367"/>
      <c r="WXR162" s="367"/>
      <c r="WXS162" s="368" t="s">
        <v>168</v>
      </c>
      <c r="WXT162" s="369">
        <v>0.5</v>
      </c>
      <c r="WXU162" s="370" t="e">
        <f>10/WXQ160</f>
        <v>#DIV/0!</v>
      </c>
      <c r="WXV162" s="371">
        <v>15.38</v>
      </c>
      <c r="WXW162" s="371" t="e">
        <f>WXT162*WXU162*WXV162</f>
        <v>#DIV/0!</v>
      </c>
      <c r="WXX162" s="367" t="s">
        <v>206</v>
      </c>
      <c r="WXY162" s="367"/>
      <c r="WXZ162" s="367"/>
      <c r="WYA162" s="368" t="s">
        <v>168</v>
      </c>
      <c r="WYB162" s="369">
        <v>0.5</v>
      </c>
      <c r="WYC162" s="370" t="e">
        <f>10/WXY160</f>
        <v>#DIV/0!</v>
      </c>
      <c r="WYD162" s="371">
        <v>15.38</v>
      </c>
      <c r="WYE162" s="371" t="e">
        <f>WYB162*WYC162*WYD162</f>
        <v>#DIV/0!</v>
      </c>
      <c r="WYF162" s="367" t="s">
        <v>206</v>
      </c>
      <c r="WYG162" s="367"/>
      <c r="WYH162" s="367"/>
      <c r="WYI162" s="368" t="s">
        <v>168</v>
      </c>
      <c r="WYJ162" s="369">
        <v>0.5</v>
      </c>
      <c r="WYK162" s="370" t="e">
        <f>10/WYG160</f>
        <v>#DIV/0!</v>
      </c>
      <c r="WYL162" s="371">
        <v>15.38</v>
      </c>
      <c r="WYM162" s="371" t="e">
        <f>WYJ162*WYK162*WYL162</f>
        <v>#DIV/0!</v>
      </c>
      <c r="WYN162" s="367" t="s">
        <v>206</v>
      </c>
      <c r="WYO162" s="367"/>
      <c r="WYP162" s="367"/>
      <c r="WYQ162" s="368" t="s">
        <v>168</v>
      </c>
      <c r="WYR162" s="369">
        <v>0.5</v>
      </c>
      <c r="WYS162" s="370" t="e">
        <f>10/WYO160</f>
        <v>#DIV/0!</v>
      </c>
      <c r="WYT162" s="371">
        <v>15.38</v>
      </c>
      <c r="WYU162" s="371" t="e">
        <f>WYR162*WYS162*WYT162</f>
        <v>#DIV/0!</v>
      </c>
      <c r="WYV162" s="367" t="s">
        <v>206</v>
      </c>
      <c r="WYW162" s="367"/>
      <c r="WYX162" s="367"/>
      <c r="WYY162" s="368" t="s">
        <v>168</v>
      </c>
      <c r="WYZ162" s="369">
        <v>0.5</v>
      </c>
      <c r="WZA162" s="370" t="e">
        <f>10/WYW160</f>
        <v>#DIV/0!</v>
      </c>
      <c r="WZB162" s="371">
        <v>15.38</v>
      </c>
      <c r="WZC162" s="371" t="e">
        <f>WYZ162*WZA162*WZB162</f>
        <v>#DIV/0!</v>
      </c>
      <c r="WZD162" s="367" t="s">
        <v>206</v>
      </c>
      <c r="WZE162" s="367"/>
      <c r="WZF162" s="367"/>
      <c r="WZG162" s="368" t="s">
        <v>168</v>
      </c>
      <c r="WZH162" s="369">
        <v>0.5</v>
      </c>
      <c r="WZI162" s="370" t="e">
        <f>10/WZE160</f>
        <v>#DIV/0!</v>
      </c>
      <c r="WZJ162" s="371">
        <v>15.38</v>
      </c>
      <c r="WZK162" s="371" t="e">
        <f>WZH162*WZI162*WZJ162</f>
        <v>#DIV/0!</v>
      </c>
      <c r="WZL162" s="367" t="s">
        <v>206</v>
      </c>
      <c r="WZM162" s="367"/>
      <c r="WZN162" s="367"/>
      <c r="WZO162" s="368" t="s">
        <v>168</v>
      </c>
      <c r="WZP162" s="369">
        <v>0.5</v>
      </c>
      <c r="WZQ162" s="370" t="e">
        <f>10/WZM160</f>
        <v>#DIV/0!</v>
      </c>
      <c r="WZR162" s="371">
        <v>15.38</v>
      </c>
      <c r="WZS162" s="371" t="e">
        <f>WZP162*WZQ162*WZR162</f>
        <v>#DIV/0!</v>
      </c>
      <c r="WZT162" s="367" t="s">
        <v>206</v>
      </c>
      <c r="WZU162" s="367"/>
      <c r="WZV162" s="367"/>
      <c r="WZW162" s="368" t="s">
        <v>168</v>
      </c>
      <c r="WZX162" s="369">
        <v>0.5</v>
      </c>
      <c r="WZY162" s="370" t="e">
        <f>10/WZU160</f>
        <v>#DIV/0!</v>
      </c>
      <c r="WZZ162" s="371">
        <v>15.38</v>
      </c>
      <c r="XAA162" s="371" t="e">
        <f>WZX162*WZY162*WZZ162</f>
        <v>#DIV/0!</v>
      </c>
      <c r="XAB162" s="367" t="s">
        <v>206</v>
      </c>
      <c r="XAC162" s="367"/>
      <c r="XAD162" s="367"/>
      <c r="XAE162" s="368" t="s">
        <v>168</v>
      </c>
      <c r="XAF162" s="369">
        <v>0.5</v>
      </c>
      <c r="XAG162" s="370" t="e">
        <f>10/XAC160</f>
        <v>#DIV/0!</v>
      </c>
      <c r="XAH162" s="371">
        <v>15.38</v>
      </c>
      <c r="XAI162" s="371" t="e">
        <f>XAF162*XAG162*XAH162</f>
        <v>#DIV/0!</v>
      </c>
      <c r="XAJ162" s="367" t="s">
        <v>206</v>
      </c>
      <c r="XAK162" s="367"/>
      <c r="XAL162" s="367"/>
      <c r="XAM162" s="368" t="s">
        <v>168</v>
      </c>
      <c r="XAN162" s="369">
        <v>0.5</v>
      </c>
      <c r="XAO162" s="370" t="e">
        <f>10/XAK160</f>
        <v>#DIV/0!</v>
      </c>
      <c r="XAP162" s="371">
        <v>15.38</v>
      </c>
      <c r="XAQ162" s="371" t="e">
        <f>XAN162*XAO162*XAP162</f>
        <v>#DIV/0!</v>
      </c>
      <c r="XAR162" s="367" t="s">
        <v>206</v>
      </c>
      <c r="XAS162" s="367"/>
      <c r="XAT162" s="367"/>
      <c r="XAU162" s="368" t="s">
        <v>168</v>
      </c>
      <c r="XAV162" s="369">
        <v>0.5</v>
      </c>
      <c r="XAW162" s="370" t="e">
        <f>10/XAS160</f>
        <v>#DIV/0!</v>
      </c>
      <c r="XAX162" s="371">
        <v>15.38</v>
      </c>
      <c r="XAY162" s="371" t="e">
        <f>XAV162*XAW162*XAX162</f>
        <v>#DIV/0!</v>
      </c>
      <c r="XAZ162" s="367" t="s">
        <v>206</v>
      </c>
      <c r="XBA162" s="367"/>
      <c r="XBB162" s="367"/>
      <c r="XBC162" s="368" t="s">
        <v>168</v>
      </c>
      <c r="XBD162" s="369">
        <v>0.5</v>
      </c>
      <c r="XBE162" s="370" t="e">
        <f>10/XBA160</f>
        <v>#DIV/0!</v>
      </c>
      <c r="XBF162" s="371">
        <v>15.38</v>
      </c>
      <c r="XBG162" s="371" t="e">
        <f>XBD162*XBE162*XBF162</f>
        <v>#DIV/0!</v>
      </c>
      <c r="XBH162" s="367" t="s">
        <v>206</v>
      </c>
      <c r="XBI162" s="367"/>
      <c r="XBJ162" s="367"/>
      <c r="XBK162" s="368" t="s">
        <v>168</v>
      </c>
      <c r="XBL162" s="369">
        <v>0.5</v>
      </c>
      <c r="XBM162" s="370" t="e">
        <f>10/XBI160</f>
        <v>#DIV/0!</v>
      </c>
      <c r="XBN162" s="371">
        <v>15.38</v>
      </c>
      <c r="XBO162" s="371" t="e">
        <f>XBL162*XBM162*XBN162</f>
        <v>#DIV/0!</v>
      </c>
      <c r="XBP162" s="367" t="s">
        <v>206</v>
      </c>
      <c r="XBQ162" s="367"/>
      <c r="XBR162" s="367"/>
      <c r="XBS162" s="368" t="s">
        <v>168</v>
      </c>
      <c r="XBT162" s="369">
        <v>0.5</v>
      </c>
      <c r="XBU162" s="370" t="e">
        <f>10/XBQ160</f>
        <v>#DIV/0!</v>
      </c>
      <c r="XBV162" s="371">
        <v>15.38</v>
      </c>
      <c r="XBW162" s="371" t="e">
        <f>XBT162*XBU162*XBV162</f>
        <v>#DIV/0!</v>
      </c>
    </row>
    <row r="163" spans="1:16299" x14ac:dyDescent="0.25">
      <c r="A163" s="367" t="s">
        <v>167</v>
      </c>
      <c r="D163" s="368" t="s">
        <v>168</v>
      </c>
      <c r="E163" s="369">
        <v>1</v>
      </c>
      <c r="F163" s="370">
        <f>10/B160</f>
        <v>5</v>
      </c>
      <c r="G163" s="371">
        <v>13.94</v>
      </c>
      <c r="H163" s="371">
        <f>E163*F163*G163</f>
        <v>69.7</v>
      </c>
    </row>
    <row r="164" spans="1:16299" x14ac:dyDescent="0.25">
      <c r="A164" s="367" t="s">
        <v>219</v>
      </c>
      <c r="D164" s="368" t="s">
        <v>168</v>
      </c>
      <c r="E164" s="369">
        <v>1</v>
      </c>
      <c r="F164" s="370">
        <f>10/B160</f>
        <v>5</v>
      </c>
      <c r="G164" s="371">
        <v>13.94</v>
      </c>
      <c r="H164" s="371">
        <f>E164*F164*G164</f>
        <v>69.7</v>
      </c>
    </row>
    <row r="165" spans="1:16299" x14ac:dyDescent="0.25">
      <c r="A165" s="367" t="s">
        <v>169</v>
      </c>
      <c r="D165" s="368" t="s">
        <v>168</v>
      </c>
      <c r="E165" s="369">
        <v>1</v>
      </c>
      <c r="F165" s="370">
        <f>10/B160</f>
        <v>5</v>
      </c>
      <c r="G165" s="320">
        <v>13</v>
      </c>
      <c r="H165" s="371">
        <f>E165*F165*G165</f>
        <v>65</v>
      </c>
    </row>
    <row r="166" spans="1:16299" ht="15" customHeight="1" x14ac:dyDescent="0.25">
      <c r="A166" s="299"/>
      <c r="B166" s="299"/>
      <c r="C166" s="299"/>
      <c r="D166" s="300"/>
      <c r="E166" s="330"/>
      <c r="F166" s="331"/>
      <c r="G166" s="301" t="s">
        <v>170</v>
      </c>
      <c r="H166" s="301">
        <f>SUM(H162:H165)</f>
        <v>242.85000000000002</v>
      </c>
    </row>
    <row r="168" spans="1:16299" x14ac:dyDescent="0.25">
      <c r="A168" s="367" t="s">
        <v>220</v>
      </c>
      <c r="D168" s="368" t="s">
        <v>30</v>
      </c>
      <c r="F168" s="370">
        <v>1</v>
      </c>
      <c r="G168" s="371">
        <v>48</v>
      </c>
      <c r="H168" s="371">
        <f>F168*G168</f>
        <v>48</v>
      </c>
    </row>
    <row r="169" spans="1:16299" ht="15" customHeight="1" x14ac:dyDescent="0.25">
      <c r="A169" s="299"/>
      <c r="B169" s="299"/>
      <c r="C169" s="299"/>
      <c r="D169" s="300"/>
      <c r="E169" s="330"/>
      <c r="F169" s="331"/>
      <c r="G169" s="301" t="s">
        <v>178</v>
      </c>
      <c r="H169" s="301">
        <f>SUM(H168:H168)</f>
        <v>48</v>
      </c>
    </row>
    <row r="171" spans="1:16299" x14ac:dyDescent="0.25">
      <c r="A171" s="367" t="s">
        <v>221</v>
      </c>
      <c r="D171" s="368" t="s">
        <v>172</v>
      </c>
      <c r="F171" s="370">
        <f>10/B160</f>
        <v>5</v>
      </c>
      <c r="G171" s="371">
        <v>6.5</v>
      </c>
      <c r="H171" s="371">
        <f>F171*G171</f>
        <v>32.5</v>
      </c>
    </row>
    <row r="172" spans="1:16299" x14ac:dyDescent="0.25">
      <c r="A172" s="367" t="s">
        <v>217</v>
      </c>
      <c r="D172" s="368" t="s">
        <v>172</v>
      </c>
      <c r="F172" s="370">
        <f>10/B160</f>
        <v>5</v>
      </c>
      <c r="G172" s="371">
        <v>1.2</v>
      </c>
      <c r="H172" s="371">
        <f>F172*G172</f>
        <v>6</v>
      </c>
    </row>
    <row r="173" spans="1:16299" x14ac:dyDescent="0.25">
      <c r="A173" s="367" t="s">
        <v>222</v>
      </c>
      <c r="D173" s="368" t="s">
        <v>172</v>
      </c>
      <c r="F173" s="370">
        <f>10/B160</f>
        <v>5</v>
      </c>
      <c r="G173" s="371">
        <v>1.4</v>
      </c>
      <c r="H173" s="371">
        <f>F173*G173</f>
        <v>7</v>
      </c>
    </row>
    <row r="174" spans="1:16299" x14ac:dyDescent="0.25">
      <c r="A174" s="367" t="s">
        <v>209</v>
      </c>
      <c r="D174" s="368" t="s">
        <v>210</v>
      </c>
      <c r="F174" s="370">
        <v>3</v>
      </c>
      <c r="G174" s="371">
        <f>H166</f>
        <v>242.85000000000002</v>
      </c>
      <c r="H174" s="371">
        <f>F174*G174/100</f>
        <v>7.2855000000000008</v>
      </c>
    </row>
    <row r="175" spans="1:16299" ht="15" customHeight="1" x14ac:dyDescent="0.25">
      <c r="A175" s="299"/>
      <c r="B175" s="299"/>
      <c r="C175" s="299"/>
      <c r="D175" s="300"/>
      <c r="E175" s="330"/>
      <c r="F175" s="331"/>
      <c r="G175" s="301" t="s">
        <v>173</v>
      </c>
      <c r="H175" s="301">
        <f>SUM(H171:H174)</f>
        <v>52.785499999999999</v>
      </c>
    </row>
    <row r="178" spans="1:16299" ht="15" customHeight="1" x14ac:dyDescent="0.3">
      <c r="A178" s="295" t="s">
        <v>223</v>
      </c>
      <c r="B178" s="295"/>
      <c r="C178" s="295"/>
      <c r="D178" s="295"/>
      <c r="E178" s="295"/>
      <c r="F178" s="295"/>
      <c r="G178" s="295"/>
      <c r="H178" s="295"/>
    </row>
    <row r="179" spans="1:16299" ht="15" customHeight="1" x14ac:dyDescent="0.25">
      <c r="A179" s="285" t="s">
        <v>204</v>
      </c>
      <c r="B179" s="377">
        <v>4</v>
      </c>
      <c r="C179" s="285" t="s">
        <v>215</v>
      </c>
      <c r="D179" s="296"/>
      <c r="E179" s="327" t="s">
        <v>176</v>
      </c>
      <c r="F179" s="328"/>
      <c r="G179" s="297" t="s">
        <v>161</v>
      </c>
      <c r="H179" s="297">
        <f>H184+H187</f>
        <v>89.172250000000005</v>
      </c>
    </row>
    <row r="180" spans="1:16299" ht="15" customHeight="1" x14ac:dyDescent="0.25">
      <c r="A180" s="296" t="s">
        <v>162</v>
      </c>
      <c r="B180" s="296"/>
      <c r="C180" s="296"/>
      <c r="D180" s="296" t="s">
        <v>163</v>
      </c>
      <c r="E180" s="329" t="s">
        <v>164</v>
      </c>
      <c r="F180" s="329" t="s">
        <v>24</v>
      </c>
      <c r="G180" s="298" t="s">
        <v>165</v>
      </c>
      <c r="H180" s="298" t="s">
        <v>166</v>
      </c>
    </row>
    <row r="181" spans="1:16299" ht="15" customHeight="1" x14ac:dyDescent="0.25">
      <c r="A181" s="367" t="s">
        <v>206</v>
      </c>
      <c r="D181" s="368" t="s">
        <v>168</v>
      </c>
      <c r="E181" s="369">
        <v>0.5</v>
      </c>
      <c r="F181" s="370">
        <f>10/B179</f>
        <v>2.5</v>
      </c>
      <c r="G181" s="371">
        <v>15.38</v>
      </c>
      <c r="H181" s="371">
        <f>E181*F181*G181</f>
        <v>19.225000000000001</v>
      </c>
      <c r="I181" s="367"/>
      <c r="J181" s="371"/>
      <c r="K181" s="371"/>
      <c r="L181" s="367"/>
      <c r="M181" s="367"/>
      <c r="N181" s="367"/>
      <c r="O181" s="368"/>
      <c r="P181" s="369"/>
      <c r="Q181" s="370"/>
      <c r="R181" s="371"/>
      <c r="S181" s="371"/>
      <c r="T181" s="367"/>
      <c r="U181" s="367"/>
      <c r="V181" s="367"/>
      <c r="W181" s="368"/>
      <c r="X181" s="369"/>
      <c r="Y181" s="370"/>
      <c r="Z181" s="371"/>
      <c r="AA181" s="371">
        <f>X181*Y181*Z181</f>
        <v>0</v>
      </c>
      <c r="AB181" s="367" t="s">
        <v>206</v>
      </c>
      <c r="AC181" s="367"/>
      <c r="AD181" s="367"/>
      <c r="AE181" s="368" t="s">
        <v>168</v>
      </c>
      <c r="AF181" s="369">
        <v>0.5</v>
      </c>
      <c r="AG181" s="370" t="e">
        <f>10/AC179</f>
        <v>#DIV/0!</v>
      </c>
      <c r="AH181" s="371">
        <v>15.38</v>
      </c>
      <c r="AI181" s="371" t="e">
        <f>AF181*AG181*AH181</f>
        <v>#DIV/0!</v>
      </c>
      <c r="AJ181" s="367" t="s">
        <v>206</v>
      </c>
      <c r="AK181" s="367"/>
      <c r="AL181" s="367"/>
      <c r="AM181" s="368" t="s">
        <v>168</v>
      </c>
      <c r="AN181" s="369">
        <v>0.5</v>
      </c>
      <c r="AO181" s="370" t="e">
        <f>10/AK179</f>
        <v>#DIV/0!</v>
      </c>
      <c r="AP181" s="371">
        <v>15.38</v>
      </c>
      <c r="AQ181" s="371" t="e">
        <f>AN181*AO181*AP181</f>
        <v>#DIV/0!</v>
      </c>
      <c r="AR181" s="367" t="s">
        <v>206</v>
      </c>
      <c r="AS181" s="367"/>
      <c r="AT181" s="367"/>
      <c r="AU181" s="368" t="s">
        <v>168</v>
      </c>
      <c r="AV181" s="369">
        <v>0.5</v>
      </c>
      <c r="AW181" s="370" t="e">
        <f>10/AS179</f>
        <v>#DIV/0!</v>
      </c>
      <c r="AX181" s="371">
        <v>15.38</v>
      </c>
      <c r="AY181" s="371" t="e">
        <f>AV181*AW181*AX181</f>
        <v>#DIV/0!</v>
      </c>
      <c r="AZ181" s="367" t="s">
        <v>206</v>
      </c>
      <c r="BA181" s="367"/>
      <c r="BB181" s="367"/>
      <c r="BC181" s="368" t="s">
        <v>168</v>
      </c>
      <c r="BD181" s="369">
        <v>0.5</v>
      </c>
      <c r="BE181" s="370" t="e">
        <f>10/BA179</f>
        <v>#DIV/0!</v>
      </c>
      <c r="BF181" s="371">
        <v>15.38</v>
      </c>
      <c r="BG181" s="371" t="e">
        <f>BD181*BE181*BF181</f>
        <v>#DIV/0!</v>
      </c>
      <c r="BH181" s="367" t="s">
        <v>206</v>
      </c>
      <c r="BI181" s="367"/>
      <c r="BJ181" s="367"/>
      <c r="BK181" s="368" t="s">
        <v>168</v>
      </c>
      <c r="BL181" s="369">
        <v>0.5</v>
      </c>
      <c r="BM181" s="370" t="e">
        <f>10/BI179</f>
        <v>#DIV/0!</v>
      </c>
      <c r="BN181" s="371">
        <v>15.38</v>
      </c>
      <c r="BO181" s="371" t="e">
        <f>BL181*BM181*BN181</f>
        <v>#DIV/0!</v>
      </c>
      <c r="BP181" s="367" t="s">
        <v>206</v>
      </c>
      <c r="BQ181" s="367"/>
      <c r="BR181" s="367"/>
      <c r="BS181" s="368" t="s">
        <v>168</v>
      </c>
      <c r="BT181" s="369">
        <v>0.5</v>
      </c>
      <c r="BU181" s="370" t="e">
        <f>10/BQ179</f>
        <v>#DIV/0!</v>
      </c>
      <c r="BV181" s="371">
        <v>15.38</v>
      </c>
      <c r="BW181" s="371" t="e">
        <f>BT181*BU181*BV181</f>
        <v>#DIV/0!</v>
      </c>
      <c r="BX181" s="367" t="s">
        <v>206</v>
      </c>
      <c r="BY181" s="367"/>
      <c r="BZ181" s="367"/>
      <c r="CA181" s="368" t="s">
        <v>168</v>
      </c>
      <c r="CB181" s="369">
        <v>0.5</v>
      </c>
      <c r="CC181" s="370" t="e">
        <f>10/BY179</f>
        <v>#DIV/0!</v>
      </c>
      <c r="CD181" s="371">
        <v>15.38</v>
      </c>
      <c r="CE181" s="371" t="e">
        <f>CB181*CC181*CD181</f>
        <v>#DIV/0!</v>
      </c>
      <c r="CF181" s="367" t="s">
        <v>206</v>
      </c>
      <c r="CG181" s="367"/>
      <c r="CH181" s="367"/>
      <c r="CI181" s="368" t="s">
        <v>168</v>
      </c>
      <c r="CJ181" s="369">
        <v>0.5</v>
      </c>
      <c r="CK181" s="370" t="e">
        <f>10/CG179</f>
        <v>#DIV/0!</v>
      </c>
      <c r="CL181" s="371">
        <v>15.38</v>
      </c>
      <c r="CM181" s="371" t="e">
        <f>CJ181*CK181*CL181</f>
        <v>#DIV/0!</v>
      </c>
      <c r="CN181" s="367" t="s">
        <v>206</v>
      </c>
      <c r="CO181" s="367"/>
      <c r="CP181" s="367"/>
      <c r="CQ181" s="368" t="s">
        <v>168</v>
      </c>
      <c r="CR181" s="369">
        <v>0.5</v>
      </c>
      <c r="CS181" s="370" t="e">
        <f>10/CO179</f>
        <v>#DIV/0!</v>
      </c>
      <c r="CT181" s="371">
        <v>15.38</v>
      </c>
      <c r="CU181" s="371" t="e">
        <f>CR181*CS181*CT181</f>
        <v>#DIV/0!</v>
      </c>
      <c r="CV181" s="367" t="s">
        <v>206</v>
      </c>
      <c r="CW181" s="367"/>
      <c r="CX181" s="367"/>
      <c r="CY181" s="368" t="s">
        <v>168</v>
      </c>
      <c r="CZ181" s="369">
        <v>0.5</v>
      </c>
      <c r="DA181" s="370" t="e">
        <f>10/CW179</f>
        <v>#DIV/0!</v>
      </c>
      <c r="DB181" s="371">
        <v>15.38</v>
      </c>
      <c r="DC181" s="371" t="e">
        <f>CZ181*DA181*DB181</f>
        <v>#DIV/0!</v>
      </c>
      <c r="DD181" s="367" t="s">
        <v>206</v>
      </c>
      <c r="DE181" s="367"/>
      <c r="DF181" s="367"/>
      <c r="DG181" s="368" t="s">
        <v>168</v>
      </c>
      <c r="DH181" s="369">
        <v>0.5</v>
      </c>
      <c r="DI181" s="370" t="e">
        <f>10/DE179</f>
        <v>#DIV/0!</v>
      </c>
      <c r="DJ181" s="371">
        <v>15.38</v>
      </c>
      <c r="DK181" s="371" t="e">
        <f>DH181*DI181*DJ181</f>
        <v>#DIV/0!</v>
      </c>
      <c r="DL181" s="367" t="s">
        <v>206</v>
      </c>
      <c r="DM181" s="367"/>
      <c r="DN181" s="367"/>
      <c r="DO181" s="368" t="s">
        <v>168</v>
      </c>
      <c r="DP181" s="369">
        <v>0.5</v>
      </c>
      <c r="DQ181" s="370" t="e">
        <f>10/DM179</f>
        <v>#DIV/0!</v>
      </c>
      <c r="DR181" s="371">
        <v>15.38</v>
      </c>
      <c r="DS181" s="371" t="e">
        <f>DP181*DQ181*DR181</f>
        <v>#DIV/0!</v>
      </c>
      <c r="DT181" s="367" t="s">
        <v>206</v>
      </c>
      <c r="DU181" s="367"/>
      <c r="DV181" s="367"/>
      <c r="DW181" s="368" t="s">
        <v>168</v>
      </c>
      <c r="DX181" s="369">
        <v>0.5</v>
      </c>
      <c r="DY181" s="370" t="e">
        <f>10/DU179</f>
        <v>#DIV/0!</v>
      </c>
      <c r="DZ181" s="371">
        <v>15.38</v>
      </c>
      <c r="EA181" s="371" t="e">
        <f>DX181*DY181*DZ181</f>
        <v>#DIV/0!</v>
      </c>
      <c r="EB181" s="367" t="s">
        <v>206</v>
      </c>
      <c r="EC181" s="367"/>
      <c r="ED181" s="367"/>
      <c r="EE181" s="368" t="s">
        <v>168</v>
      </c>
      <c r="EF181" s="369">
        <v>0.5</v>
      </c>
      <c r="EG181" s="370" t="e">
        <f>10/EC179</f>
        <v>#DIV/0!</v>
      </c>
      <c r="EH181" s="371">
        <v>15.38</v>
      </c>
      <c r="EI181" s="371" t="e">
        <f>EF181*EG181*EH181</f>
        <v>#DIV/0!</v>
      </c>
      <c r="EJ181" s="367" t="s">
        <v>206</v>
      </c>
      <c r="EK181" s="367"/>
      <c r="EL181" s="367"/>
      <c r="EM181" s="368" t="s">
        <v>168</v>
      </c>
      <c r="EN181" s="369">
        <v>0.5</v>
      </c>
      <c r="EO181" s="370" t="e">
        <f>10/EK179</f>
        <v>#DIV/0!</v>
      </c>
      <c r="EP181" s="371">
        <v>15.38</v>
      </c>
      <c r="EQ181" s="371" t="e">
        <f>EN181*EO181*EP181</f>
        <v>#DIV/0!</v>
      </c>
      <c r="ER181" s="367" t="s">
        <v>206</v>
      </c>
      <c r="ES181" s="367"/>
      <c r="ET181" s="367"/>
      <c r="EU181" s="368" t="s">
        <v>168</v>
      </c>
      <c r="EV181" s="369">
        <v>0.5</v>
      </c>
      <c r="EW181" s="370" t="e">
        <f>10/ES179</f>
        <v>#DIV/0!</v>
      </c>
      <c r="EX181" s="371">
        <v>15.38</v>
      </c>
      <c r="EY181" s="371" t="e">
        <f>EV181*EW181*EX181</f>
        <v>#DIV/0!</v>
      </c>
      <c r="EZ181" s="367" t="s">
        <v>206</v>
      </c>
      <c r="FA181" s="367"/>
      <c r="FB181" s="367"/>
      <c r="FC181" s="368" t="s">
        <v>168</v>
      </c>
      <c r="FD181" s="369">
        <v>0.5</v>
      </c>
      <c r="FE181" s="370" t="e">
        <f>10/FA179</f>
        <v>#DIV/0!</v>
      </c>
      <c r="FF181" s="371">
        <v>15.38</v>
      </c>
      <c r="FG181" s="371" t="e">
        <f>FD181*FE181*FF181</f>
        <v>#DIV/0!</v>
      </c>
      <c r="FH181" s="367" t="s">
        <v>206</v>
      </c>
      <c r="FI181" s="367"/>
      <c r="FJ181" s="367"/>
      <c r="FK181" s="368" t="s">
        <v>168</v>
      </c>
      <c r="FL181" s="369">
        <v>0.5</v>
      </c>
      <c r="FM181" s="370" t="e">
        <f>10/FI179</f>
        <v>#DIV/0!</v>
      </c>
      <c r="FN181" s="371">
        <v>15.38</v>
      </c>
      <c r="FO181" s="371" t="e">
        <f>FL181*FM181*FN181</f>
        <v>#DIV/0!</v>
      </c>
      <c r="FP181" s="367" t="s">
        <v>206</v>
      </c>
      <c r="FQ181" s="367"/>
      <c r="FR181" s="367"/>
      <c r="FS181" s="368" t="s">
        <v>168</v>
      </c>
      <c r="FT181" s="369">
        <v>0.5</v>
      </c>
      <c r="FU181" s="370" t="e">
        <f>10/FQ179</f>
        <v>#DIV/0!</v>
      </c>
      <c r="FV181" s="371">
        <v>15.38</v>
      </c>
      <c r="FW181" s="371" t="e">
        <f>FT181*FU181*FV181</f>
        <v>#DIV/0!</v>
      </c>
      <c r="FX181" s="367" t="s">
        <v>206</v>
      </c>
      <c r="FY181" s="367"/>
      <c r="FZ181" s="367"/>
      <c r="GA181" s="368" t="s">
        <v>168</v>
      </c>
      <c r="GB181" s="369">
        <v>0.5</v>
      </c>
      <c r="GC181" s="370" t="e">
        <f>10/FY179</f>
        <v>#DIV/0!</v>
      </c>
      <c r="GD181" s="371">
        <v>15.38</v>
      </c>
      <c r="GE181" s="371" t="e">
        <f>GB181*GC181*GD181</f>
        <v>#DIV/0!</v>
      </c>
      <c r="GF181" s="367" t="s">
        <v>206</v>
      </c>
      <c r="GG181" s="367"/>
      <c r="GH181" s="367"/>
      <c r="GI181" s="368" t="s">
        <v>168</v>
      </c>
      <c r="GJ181" s="369">
        <v>0.5</v>
      </c>
      <c r="GK181" s="370" t="e">
        <f>10/GG179</f>
        <v>#DIV/0!</v>
      </c>
      <c r="GL181" s="371">
        <v>15.38</v>
      </c>
      <c r="GM181" s="371" t="e">
        <f>GJ181*GK181*GL181</f>
        <v>#DIV/0!</v>
      </c>
      <c r="GN181" s="367" t="s">
        <v>206</v>
      </c>
      <c r="GO181" s="367"/>
      <c r="GP181" s="367"/>
      <c r="GQ181" s="368" t="s">
        <v>168</v>
      </c>
      <c r="GR181" s="369">
        <v>0.5</v>
      </c>
      <c r="GS181" s="370" t="e">
        <f>10/GO179</f>
        <v>#DIV/0!</v>
      </c>
      <c r="GT181" s="371">
        <v>15.38</v>
      </c>
      <c r="GU181" s="371" t="e">
        <f>GR181*GS181*GT181</f>
        <v>#DIV/0!</v>
      </c>
      <c r="GV181" s="367" t="s">
        <v>206</v>
      </c>
      <c r="GW181" s="367"/>
      <c r="GX181" s="367"/>
      <c r="GY181" s="368" t="s">
        <v>168</v>
      </c>
      <c r="GZ181" s="369">
        <v>0.5</v>
      </c>
      <c r="HA181" s="370" t="e">
        <f>10/GW179</f>
        <v>#DIV/0!</v>
      </c>
      <c r="HB181" s="371">
        <v>15.38</v>
      </c>
      <c r="HC181" s="371" t="e">
        <f>GZ181*HA181*HB181</f>
        <v>#DIV/0!</v>
      </c>
      <c r="HD181" s="367" t="s">
        <v>206</v>
      </c>
      <c r="HE181" s="367"/>
      <c r="HF181" s="367"/>
      <c r="HG181" s="368" t="s">
        <v>168</v>
      </c>
      <c r="HH181" s="369">
        <v>0.5</v>
      </c>
      <c r="HI181" s="370" t="e">
        <f>10/HE179</f>
        <v>#DIV/0!</v>
      </c>
      <c r="HJ181" s="371">
        <v>15.38</v>
      </c>
      <c r="HK181" s="371" t="e">
        <f>HH181*HI181*HJ181</f>
        <v>#DIV/0!</v>
      </c>
      <c r="HL181" s="367" t="s">
        <v>206</v>
      </c>
      <c r="HM181" s="367"/>
      <c r="HN181" s="367"/>
      <c r="HO181" s="368" t="s">
        <v>168</v>
      </c>
      <c r="HP181" s="369">
        <v>0.5</v>
      </c>
      <c r="HQ181" s="370" t="e">
        <f>10/HM179</f>
        <v>#DIV/0!</v>
      </c>
      <c r="HR181" s="371">
        <v>15.38</v>
      </c>
      <c r="HS181" s="371" t="e">
        <f>HP181*HQ181*HR181</f>
        <v>#DIV/0!</v>
      </c>
      <c r="HT181" s="367" t="s">
        <v>206</v>
      </c>
      <c r="HU181" s="367"/>
      <c r="HV181" s="367"/>
      <c r="HW181" s="368" t="s">
        <v>168</v>
      </c>
      <c r="HX181" s="369">
        <v>0.5</v>
      </c>
      <c r="HY181" s="370" t="e">
        <f>10/HU179</f>
        <v>#DIV/0!</v>
      </c>
      <c r="HZ181" s="371">
        <v>15.38</v>
      </c>
      <c r="IA181" s="371" t="e">
        <f>HX181*HY181*HZ181</f>
        <v>#DIV/0!</v>
      </c>
      <c r="IB181" s="367" t="s">
        <v>206</v>
      </c>
      <c r="IC181" s="367"/>
      <c r="ID181" s="367"/>
      <c r="IE181" s="368" t="s">
        <v>168</v>
      </c>
      <c r="IF181" s="369">
        <v>0.5</v>
      </c>
      <c r="IG181" s="370" t="e">
        <f>10/IC179</f>
        <v>#DIV/0!</v>
      </c>
      <c r="IH181" s="371">
        <v>15.38</v>
      </c>
      <c r="II181" s="371" t="e">
        <f>IF181*IG181*IH181</f>
        <v>#DIV/0!</v>
      </c>
      <c r="IJ181" s="367" t="s">
        <v>206</v>
      </c>
      <c r="IK181" s="367"/>
      <c r="IL181" s="367"/>
      <c r="IM181" s="368" t="s">
        <v>168</v>
      </c>
      <c r="IN181" s="369">
        <v>0.5</v>
      </c>
      <c r="IO181" s="370" t="e">
        <f>10/IK179</f>
        <v>#DIV/0!</v>
      </c>
      <c r="IP181" s="371">
        <v>15.38</v>
      </c>
      <c r="IQ181" s="371" t="e">
        <f>IN181*IO181*IP181</f>
        <v>#DIV/0!</v>
      </c>
      <c r="IR181" s="367" t="s">
        <v>206</v>
      </c>
      <c r="IS181" s="367"/>
      <c r="IT181" s="367"/>
      <c r="IU181" s="368" t="s">
        <v>168</v>
      </c>
      <c r="IV181" s="369">
        <v>0.5</v>
      </c>
      <c r="IW181" s="370" t="e">
        <f>10/IS179</f>
        <v>#DIV/0!</v>
      </c>
      <c r="IX181" s="371">
        <v>15.38</v>
      </c>
      <c r="IY181" s="371" t="e">
        <f>IV181*IW181*IX181</f>
        <v>#DIV/0!</v>
      </c>
      <c r="IZ181" s="367" t="s">
        <v>206</v>
      </c>
      <c r="JA181" s="367"/>
      <c r="JB181" s="367"/>
      <c r="JC181" s="368" t="s">
        <v>168</v>
      </c>
      <c r="JD181" s="369">
        <v>0.5</v>
      </c>
      <c r="JE181" s="370" t="e">
        <f>10/JA179</f>
        <v>#DIV/0!</v>
      </c>
      <c r="JF181" s="371">
        <v>15.38</v>
      </c>
      <c r="JG181" s="371" t="e">
        <f>JD181*JE181*JF181</f>
        <v>#DIV/0!</v>
      </c>
      <c r="JH181" s="367" t="s">
        <v>206</v>
      </c>
      <c r="JI181" s="367"/>
      <c r="JJ181" s="367"/>
      <c r="JK181" s="368" t="s">
        <v>168</v>
      </c>
      <c r="JL181" s="369">
        <v>0.5</v>
      </c>
      <c r="JM181" s="370" t="e">
        <f>10/JI179</f>
        <v>#DIV/0!</v>
      </c>
      <c r="JN181" s="371">
        <v>15.38</v>
      </c>
      <c r="JO181" s="371" t="e">
        <f>JL181*JM181*JN181</f>
        <v>#DIV/0!</v>
      </c>
      <c r="JP181" s="367" t="s">
        <v>206</v>
      </c>
      <c r="JQ181" s="367"/>
      <c r="JR181" s="367"/>
      <c r="JS181" s="368" t="s">
        <v>168</v>
      </c>
      <c r="JT181" s="369">
        <v>0.5</v>
      </c>
      <c r="JU181" s="370" t="e">
        <f>10/JQ179</f>
        <v>#DIV/0!</v>
      </c>
      <c r="JV181" s="371">
        <v>15.38</v>
      </c>
      <c r="JW181" s="371" t="e">
        <f>JT181*JU181*JV181</f>
        <v>#DIV/0!</v>
      </c>
      <c r="JX181" s="367" t="s">
        <v>206</v>
      </c>
      <c r="JY181" s="367"/>
      <c r="JZ181" s="367"/>
      <c r="KA181" s="368" t="s">
        <v>168</v>
      </c>
      <c r="KB181" s="369">
        <v>0.5</v>
      </c>
      <c r="KC181" s="370" t="e">
        <f>10/JY179</f>
        <v>#DIV/0!</v>
      </c>
      <c r="KD181" s="371">
        <v>15.38</v>
      </c>
      <c r="KE181" s="371" t="e">
        <f>KB181*KC181*KD181</f>
        <v>#DIV/0!</v>
      </c>
      <c r="KF181" s="367" t="s">
        <v>206</v>
      </c>
      <c r="KG181" s="367"/>
      <c r="KH181" s="367"/>
      <c r="KI181" s="368" t="s">
        <v>168</v>
      </c>
      <c r="KJ181" s="369">
        <v>0.5</v>
      </c>
      <c r="KK181" s="370" t="e">
        <f>10/KG179</f>
        <v>#DIV/0!</v>
      </c>
      <c r="KL181" s="371">
        <v>15.38</v>
      </c>
      <c r="KM181" s="371" t="e">
        <f>KJ181*KK181*KL181</f>
        <v>#DIV/0!</v>
      </c>
      <c r="KN181" s="367" t="s">
        <v>206</v>
      </c>
      <c r="KO181" s="367"/>
      <c r="KP181" s="367"/>
      <c r="KQ181" s="368" t="s">
        <v>168</v>
      </c>
      <c r="KR181" s="369">
        <v>0.5</v>
      </c>
      <c r="KS181" s="370" t="e">
        <f>10/KO179</f>
        <v>#DIV/0!</v>
      </c>
      <c r="KT181" s="371">
        <v>15.38</v>
      </c>
      <c r="KU181" s="371" t="e">
        <f>KR181*KS181*KT181</f>
        <v>#DIV/0!</v>
      </c>
      <c r="KV181" s="367" t="s">
        <v>206</v>
      </c>
      <c r="KW181" s="367"/>
      <c r="KX181" s="367"/>
      <c r="KY181" s="368" t="s">
        <v>168</v>
      </c>
      <c r="KZ181" s="369">
        <v>0.5</v>
      </c>
      <c r="LA181" s="370" t="e">
        <f>10/KW179</f>
        <v>#DIV/0!</v>
      </c>
      <c r="LB181" s="371">
        <v>15.38</v>
      </c>
      <c r="LC181" s="371" t="e">
        <f>KZ181*LA181*LB181</f>
        <v>#DIV/0!</v>
      </c>
      <c r="LD181" s="367" t="s">
        <v>206</v>
      </c>
      <c r="LE181" s="367"/>
      <c r="LF181" s="367"/>
      <c r="LG181" s="368" t="s">
        <v>168</v>
      </c>
      <c r="LH181" s="369">
        <v>0.5</v>
      </c>
      <c r="LI181" s="370" t="e">
        <f>10/LE179</f>
        <v>#DIV/0!</v>
      </c>
      <c r="LJ181" s="371">
        <v>15.38</v>
      </c>
      <c r="LK181" s="371" t="e">
        <f>LH181*LI181*LJ181</f>
        <v>#DIV/0!</v>
      </c>
      <c r="LL181" s="367" t="s">
        <v>206</v>
      </c>
      <c r="LM181" s="367"/>
      <c r="LN181" s="367"/>
      <c r="LO181" s="368" t="s">
        <v>168</v>
      </c>
      <c r="LP181" s="369">
        <v>0.5</v>
      </c>
      <c r="LQ181" s="370" t="e">
        <f>10/LM179</f>
        <v>#DIV/0!</v>
      </c>
      <c r="LR181" s="371">
        <v>15.38</v>
      </c>
      <c r="LS181" s="371" t="e">
        <f>LP181*LQ181*LR181</f>
        <v>#DIV/0!</v>
      </c>
      <c r="LT181" s="367" t="s">
        <v>206</v>
      </c>
      <c r="LU181" s="367"/>
      <c r="LV181" s="367"/>
      <c r="LW181" s="368" t="s">
        <v>168</v>
      </c>
      <c r="LX181" s="369">
        <v>0.5</v>
      </c>
      <c r="LY181" s="370" t="e">
        <f>10/LU179</f>
        <v>#DIV/0!</v>
      </c>
      <c r="LZ181" s="371">
        <v>15.38</v>
      </c>
      <c r="MA181" s="371" t="e">
        <f>LX181*LY181*LZ181</f>
        <v>#DIV/0!</v>
      </c>
      <c r="MB181" s="367" t="s">
        <v>206</v>
      </c>
      <c r="MC181" s="367"/>
      <c r="MD181" s="367"/>
      <c r="ME181" s="368" t="s">
        <v>168</v>
      </c>
      <c r="MF181" s="369">
        <v>0.5</v>
      </c>
      <c r="MG181" s="370" t="e">
        <f>10/MC179</f>
        <v>#DIV/0!</v>
      </c>
      <c r="MH181" s="371">
        <v>15.38</v>
      </c>
      <c r="MI181" s="371" t="e">
        <f>MF181*MG181*MH181</f>
        <v>#DIV/0!</v>
      </c>
      <c r="MJ181" s="367" t="s">
        <v>206</v>
      </c>
      <c r="MK181" s="367"/>
      <c r="ML181" s="367"/>
      <c r="MM181" s="368" t="s">
        <v>168</v>
      </c>
      <c r="MN181" s="369">
        <v>0.5</v>
      </c>
      <c r="MO181" s="370" t="e">
        <f>10/MK179</f>
        <v>#DIV/0!</v>
      </c>
      <c r="MP181" s="371">
        <v>15.38</v>
      </c>
      <c r="MQ181" s="371" t="e">
        <f>MN181*MO181*MP181</f>
        <v>#DIV/0!</v>
      </c>
      <c r="MR181" s="367" t="s">
        <v>206</v>
      </c>
      <c r="MS181" s="367"/>
      <c r="MT181" s="367"/>
      <c r="MU181" s="368" t="s">
        <v>168</v>
      </c>
      <c r="MV181" s="369">
        <v>0.5</v>
      </c>
      <c r="MW181" s="370" t="e">
        <f>10/MS179</f>
        <v>#DIV/0!</v>
      </c>
      <c r="MX181" s="371">
        <v>15.38</v>
      </c>
      <c r="MY181" s="371" t="e">
        <f>MV181*MW181*MX181</f>
        <v>#DIV/0!</v>
      </c>
      <c r="MZ181" s="367" t="s">
        <v>206</v>
      </c>
      <c r="NA181" s="367"/>
      <c r="NB181" s="367"/>
      <c r="NC181" s="368" t="s">
        <v>168</v>
      </c>
      <c r="ND181" s="369">
        <v>0.5</v>
      </c>
      <c r="NE181" s="370" t="e">
        <f>10/NA179</f>
        <v>#DIV/0!</v>
      </c>
      <c r="NF181" s="371">
        <v>15.38</v>
      </c>
      <c r="NG181" s="371" t="e">
        <f>ND181*NE181*NF181</f>
        <v>#DIV/0!</v>
      </c>
      <c r="NH181" s="367" t="s">
        <v>206</v>
      </c>
      <c r="NI181" s="367"/>
      <c r="NJ181" s="367"/>
      <c r="NK181" s="368" t="s">
        <v>168</v>
      </c>
      <c r="NL181" s="369">
        <v>0.5</v>
      </c>
      <c r="NM181" s="370" t="e">
        <f>10/NI179</f>
        <v>#DIV/0!</v>
      </c>
      <c r="NN181" s="371">
        <v>15.38</v>
      </c>
      <c r="NO181" s="371" t="e">
        <f>NL181*NM181*NN181</f>
        <v>#DIV/0!</v>
      </c>
      <c r="NP181" s="367" t="s">
        <v>206</v>
      </c>
      <c r="NQ181" s="367"/>
      <c r="NR181" s="367"/>
      <c r="NS181" s="368" t="s">
        <v>168</v>
      </c>
      <c r="NT181" s="369">
        <v>0.5</v>
      </c>
      <c r="NU181" s="370" t="e">
        <f>10/NQ179</f>
        <v>#DIV/0!</v>
      </c>
      <c r="NV181" s="371">
        <v>15.38</v>
      </c>
      <c r="NW181" s="371" t="e">
        <f>NT181*NU181*NV181</f>
        <v>#DIV/0!</v>
      </c>
      <c r="NX181" s="367" t="s">
        <v>206</v>
      </c>
      <c r="NY181" s="367"/>
      <c r="NZ181" s="367"/>
      <c r="OA181" s="368" t="s">
        <v>168</v>
      </c>
      <c r="OB181" s="369">
        <v>0.5</v>
      </c>
      <c r="OC181" s="370" t="e">
        <f>10/NY179</f>
        <v>#DIV/0!</v>
      </c>
      <c r="OD181" s="371">
        <v>15.38</v>
      </c>
      <c r="OE181" s="371" t="e">
        <f>OB181*OC181*OD181</f>
        <v>#DIV/0!</v>
      </c>
      <c r="OF181" s="367" t="s">
        <v>206</v>
      </c>
      <c r="OG181" s="367"/>
      <c r="OH181" s="367"/>
      <c r="OI181" s="368" t="s">
        <v>168</v>
      </c>
      <c r="OJ181" s="369">
        <v>0.5</v>
      </c>
      <c r="OK181" s="370" t="e">
        <f>10/OG179</f>
        <v>#DIV/0!</v>
      </c>
      <c r="OL181" s="371">
        <v>15.38</v>
      </c>
      <c r="OM181" s="371" t="e">
        <f>OJ181*OK181*OL181</f>
        <v>#DIV/0!</v>
      </c>
      <c r="ON181" s="367" t="s">
        <v>206</v>
      </c>
      <c r="OO181" s="367"/>
      <c r="OP181" s="367"/>
      <c r="OQ181" s="368" t="s">
        <v>168</v>
      </c>
      <c r="OR181" s="369">
        <v>0.5</v>
      </c>
      <c r="OS181" s="370" t="e">
        <f>10/OO179</f>
        <v>#DIV/0!</v>
      </c>
      <c r="OT181" s="371">
        <v>15.38</v>
      </c>
      <c r="OU181" s="371" t="e">
        <f>OR181*OS181*OT181</f>
        <v>#DIV/0!</v>
      </c>
      <c r="OV181" s="367" t="s">
        <v>206</v>
      </c>
      <c r="OW181" s="367"/>
      <c r="OX181" s="367"/>
      <c r="OY181" s="368" t="s">
        <v>168</v>
      </c>
      <c r="OZ181" s="369">
        <v>0.5</v>
      </c>
      <c r="PA181" s="370" t="e">
        <f>10/OW179</f>
        <v>#DIV/0!</v>
      </c>
      <c r="PB181" s="371">
        <v>15.38</v>
      </c>
      <c r="PC181" s="371" t="e">
        <f>OZ181*PA181*PB181</f>
        <v>#DIV/0!</v>
      </c>
      <c r="PD181" s="367" t="s">
        <v>206</v>
      </c>
      <c r="PE181" s="367"/>
      <c r="PF181" s="367"/>
      <c r="PG181" s="368" t="s">
        <v>168</v>
      </c>
      <c r="PH181" s="369">
        <v>0.5</v>
      </c>
      <c r="PI181" s="370" t="e">
        <f>10/PE179</f>
        <v>#DIV/0!</v>
      </c>
      <c r="PJ181" s="371">
        <v>15.38</v>
      </c>
      <c r="PK181" s="371" t="e">
        <f>PH181*PI181*PJ181</f>
        <v>#DIV/0!</v>
      </c>
      <c r="PL181" s="367" t="s">
        <v>206</v>
      </c>
      <c r="PM181" s="367"/>
      <c r="PN181" s="367"/>
      <c r="PO181" s="368" t="s">
        <v>168</v>
      </c>
      <c r="PP181" s="369">
        <v>0.5</v>
      </c>
      <c r="PQ181" s="370" t="e">
        <f>10/PM179</f>
        <v>#DIV/0!</v>
      </c>
      <c r="PR181" s="371">
        <v>15.38</v>
      </c>
      <c r="PS181" s="371" t="e">
        <f>PP181*PQ181*PR181</f>
        <v>#DIV/0!</v>
      </c>
      <c r="PT181" s="367" t="s">
        <v>206</v>
      </c>
      <c r="PU181" s="367"/>
      <c r="PV181" s="367"/>
      <c r="PW181" s="368" t="s">
        <v>168</v>
      </c>
      <c r="PX181" s="369">
        <v>0.5</v>
      </c>
      <c r="PY181" s="370" t="e">
        <f>10/PU179</f>
        <v>#DIV/0!</v>
      </c>
      <c r="PZ181" s="371">
        <v>15.38</v>
      </c>
      <c r="QA181" s="371" t="e">
        <f>PX181*PY181*PZ181</f>
        <v>#DIV/0!</v>
      </c>
      <c r="QB181" s="367" t="s">
        <v>206</v>
      </c>
      <c r="QC181" s="367"/>
      <c r="QD181" s="367"/>
      <c r="QE181" s="368" t="s">
        <v>168</v>
      </c>
      <c r="QF181" s="369">
        <v>0.5</v>
      </c>
      <c r="QG181" s="370" t="e">
        <f>10/QC179</f>
        <v>#DIV/0!</v>
      </c>
      <c r="QH181" s="371">
        <v>15.38</v>
      </c>
      <c r="QI181" s="371" t="e">
        <f>QF181*QG181*QH181</f>
        <v>#DIV/0!</v>
      </c>
      <c r="QJ181" s="367" t="s">
        <v>206</v>
      </c>
      <c r="QK181" s="367"/>
      <c r="QL181" s="367"/>
      <c r="QM181" s="368" t="s">
        <v>168</v>
      </c>
      <c r="QN181" s="369">
        <v>0.5</v>
      </c>
      <c r="QO181" s="370" t="e">
        <f>10/QK179</f>
        <v>#DIV/0!</v>
      </c>
      <c r="QP181" s="371">
        <v>15.38</v>
      </c>
      <c r="QQ181" s="371" t="e">
        <f>QN181*QO181*QP181</f>
        <v>#DIV/0!</v>
      </c>
      <c r="QR181" s="367" t="s">
        <v>206</v>
      </c>
      <c r="QS181" s="367"/>
      <c r="QT181" s="367"/>
      <c r="QU181" s="368" t="s">
        <v>168</v>
      </c>
      <c r="QV181" s="369">
        <v>0.5</v>
      </c>
      <c r="QW181" s="370" t="e">
        <f>10/QS179</f>
        <v>#DIV/0!</v>
      </c>
      <c r="QX181" s="371">
        <v>15.38</v>
      </c>
      <c r="QY181" s="371" t="e">
        <f>QV181*QW181*QX181</f>
        <v>#DIV/0!</v>
      </c>
      <c r="QZ181" s="367" t="s">
        <v>206</v>
      </c>
      <c r="RA181" s="367"/>
      <c r="RB181" s="367"/>
      <c r="RC181" s="368" t="s">
        <v>168</v>
      </c>
      <c r="RD181" s="369">
        <v>0.5</v>
      </c>
      <c r="RE181" s="370" t="e">
        <f>10/RA179</f>
        <v>#DIV/0!</v>
      </c>
      <c r="RF181" s="371">
        <v>15.38</v>
      </c>
      <c r="RG181" s="371" t="e">
        <f>RD181*RE181*RF181</f>
        <v>#DIV/0!</v>
      </c>
      <c r="RH181" s="367" t="s">
        <v>206</v>
      </c>
      <c r="RI181" s="367"/>
      <c r="RJ181" s="367"/>
      <c r="RK181" s="368" t="s">
        <v>168</v>
      </c>
      <c r="RL181" s="369">
        <v>0.5</v>
      </c>
      <c r="RM181" s="370" t="e">
        <f>10/RI179</f>
        <v>#DIV/0!</v>
      </c>
      <c r="RN181" s="371">
        <v>15.38</v>
      </c>
      <c r="RO181" s="371" t="e">
        <f>RL181*RM181*RN181</f>
        <v>#DIV/0!</v>
      </c>
      <c r="RP181" s="367" t="s">
        <v>206</v>
      </c>
      <c r="RQ181" s="367"/>
      <c r="RR181" s="367"/>
      <c r="RS181" s="368" t="s">
        <v>168</v>
      </c>
      <c r="RT181" s="369">
        <v>0.5</v>
      </c>
      <c r="RU181" s="370" t="e">
        <f>10/RQ179</f>
        <v>#DIV/0!</v>
      </c>
      <c r="RV181" s="371">
        <v>15.38</v>
      </c>
      <c r="RW181" s="371" t="e">
        <f>RT181*RU181*RV181</f>
        <v>#DIV/0!</v>
      </c>
      <c r="RX181" s="367" t="s">
        <v>206</v>
      </c>
      <c r="RY181" s="367"/>
      <c r="RZ181" s="367"/>
      <c r="SA181" s="368" t="s">
        <v>168</v>
      </c>
      <c r="SB181" s="369">
        <v>0.5</v>
      </c>
      <c r="SC181" s="370" t="e">
        <f>10/RY179</f>
        <v>#DIV/0!</v>
      </c>
      <c r="SD181" s="371">
        <v>15.38</v>
      </c>
      <c r="SE181" s="371" t="e">
        <f>SB181*SC181*SD181</f>
        <v>#DIV/0!</v>
      </c>
      <c r="SF181" s="367" t="s">
        <v>206</v>
      </c>
      <c r="SG181" s="367"/>
      <c r="SH181" s="367"/>
      <c r="SI181" s="368" t="s">
        <v>168</v>
      </c>
      <c r="SJ181" s="369">
        <v>0.5</v>
      </c>
      <c r="SK181" s="370" t="e">
        <f>10/SG179</f>
        <v>#DIV/0!</v>
      </c>
      <c r="SL181" s="371">
        <v>15.38</v>
      </c>
      <c r="SM181" s="371" t="e">
        <f>SJ181*SK181*SL181</f>
        <v>#DIV/0!</v>
      </c>
      <c r="SN181" s="367" t="s">
        <v>206</v>
      </c>
      <c r="SO181" s="367"/>
      <c r="SP181" s="367"/>
      <c r="SQ181" s="368" t="s">
        <v>168</v>
      </c>
      <c r="SR181" s="369">
        <v>0.5</v>
      </c>
      <c r="SS181" s="370" t="e">
        <f>10/SO179</f>
        <v>#DIV/0!</v>
      </c>
      <c r="ST181" s="371">
        <v>15.38</v>
      </c>
      <c r="SU181" s="371" t="e">
        <f>SR181*SS181*ST181</f>
        <v>#DIV/0!</v>
      </c>
      <c r="SV181" s="367" t="s">
        <v>206</v>
      </c>
      <c r="SW181" s="367"/>
      <c r="SX181" s="367"/>
      <c r="SY181" s="368" t="s">
        <v>168</v>
      </c>
      <c r="SZ181" s="369">
        <v>0.5</v>
      </c>
      <c r="TA181" s="370" t="e">
        <f>10/SW179</f>
        <v>#DIV/0!</v>
      </c>
      <c r="TB181" s="371">
        <v>15.38</v>
      </c>
      <c r="TC181" s="371" t="e">
        <f>SZ181*TA181*TB181</f>
        <v>#DIV/0!</v>
      </c>
      <c r="TD181" s="367" t="s">
        <v>206</v>
      </c>
      <c r="TE181" s="367"/>
      <c r="TF181" s="367"/>
      <c r="TG181" s="368" t="s">
        <v>168</v>
      </c>
      <c r="TH181" s="369">
        <v>0.5</v>
      </c>
      <c r="TI181" s="370" t="e">
        <f>10/TE179</f>
        <v>#DIV/0!</v>
      </c>
      <c r="TJ181" s="371">
        <v>15.38</v>
      </c>
      <c r="TK181" s="371" t="e">
        <f>TH181*TI181*TJ181</f>
        <v>#DIV/0!</v>
      </c>
      <c r="TL181" s="367" t="s">
        <v>206</v>
      </c>
      <c r="TM181" s="367"/>
      <c r="TN181" s="367"/>
      <c r="TO181" s="368" t="s">
        <v>168</v>
      </c>
      <c r="TP181" s="369">
        <v>0.5</v>
      </c>
      <c r="TQ181" s="370" t="e">
        <f>10/TM179</f>
        <v>#DIV/0!</v>
      </c>
      <c r="TR181" s="371">
        <v>15.38</v>
      </c>
      <c r="TS181" s="371" t="e">
        <f>TP181*TQ181*TR181</f>
        <v>#DIV/0!</v>
      </c>
      <c r="TT181" s="367" t="s">
        <v>206</v>
      </c>
      <c r="TU181" s="367"/>
      <c r="TV181" s="367"/>
      <c r="TW181" s="368" t="s">
        <v>168</v>
      </c>
      <c r="TX181" s="369">
        <v>0.5</v>
      </c>
      <c r="TY181" s="370" t="e">
        <f>10/TU179</f>
        <v>#DIV/0!</v>
      </c>
      <c r="TZ181" s="371">
        <v>15.38</v>
      </c>
      <c r="UA181" s="371" t="e">
        <f>TX181*TY181*TZ181</f>
        <v>#DIV/0!</v>
      </c>
      <c r="UB181" s="367" t="s">
        <v>206</v>
      </c>
      <c r="UC181" s="367"/>
      <c r="UD181" s="367"/>
      <c r="UE181" s="368" t="s">
        <v>168</v>
      </c>
      <c r="UF181" s="369">
        <v>0.5</v>
      </c>
      <c r="UG181" s="370" t="e">
        <f>10/UC179</f>
        <v>#DIV/0!</v>
      </c>
      <c r="UH181" s="371">
        <v>15.38</v>
      </c>
      <c r="UI181" s="371" t="e">
        <f>UF181*UG181*UH181</f>
        <v>#DIV/0!</v>
      </c>
      <c r="UJ181" s="367" t="s">
        <v>206</v>
      </c>
      <c r="UK181" s="367"/>
      <c r="UL181" s="367"/>
      <c r="UM181" s="368" t="s">
        <v>168</v>
      </c>
      <c r="UN181" s="369">
        <v>0.5</v>
      </c>
      <c r="UO181" s="370" t="e">
        <f>10/UK179</f>
        <v>#DIV/0!</v>
      </c>
      <c r="UP181" s="371">
        <v>15.38</v>
      </c>
      <c r="UQ181" s="371" t="e">
        <f>UN181*UO181*UP181</f>
        <v>#DIV/0!</v>
      </c>
      <c r="UR181" s="367" t="s">
        <v>206</v>
      </c>
      <c r="US181" s="367"/>
      <c r="UT181" s="367"/>
      <c r="UU181" s="368" t="s">
        <v>168</v>
      </c>
      <c r="UV181" s="369">
        <v>0.5</v>
      </c>
      <c r="UW181" s="370" t="e">
        <f>10/US179</f>
        <v>#DIV/0!</v>
      </c>
      <c r="UX181" s="371">
        <v>15.38</v>
      </c>
      <c r="UY181" s="371" t="e">
        <f>UV181*UW181*UX181</f>
        <v>#DIV/0!</v>
      </c>
      <c r="UZ181" s="367" t="s">
        <v>206</v>
      </c>
      <c r="VA181" s="367"/>
      <c r="VB181" s="367"/>
      <c r="VC181" s="368" t="s">
        <v>168</v>
      </c>
      <c r="VD181" s="369">
        <v>0.5</v>
      </c>
      <c r="VE181" s="370" t="e">
        <f>10/VA179</f>
        <v>#DIV/0!</v>
      </c>
      <c r="VF181" s="371">
        <v>15.38</v>
      </c>
      <c r="VG181" s="371" t="e">
        <f>VD181*VE181*VF181</f>
        <v>#DIV/0!</v>
      </c>
      <c r="VH181" s="367" t="s">
        <v>206</v>
      </c>
      <c r="VI181" s="367"/>
      <c r="VJ181" s="367"/>
      <c r="VK181" s="368" t="s">
        <v>168</v>
      </c>
      <c r="VL181" s="369">
        <v>0.5</v>
      </c>
      <c r="VM181" s="370" t="e">
        <f>10/VI179</f>
        <v>#DIV/0!</v>
      </c>
      <c r="VN181" s="371">
        <v>15.38</v>
      </c>
      <c r="VO181" s="371" t="e">
        <f>VL181*VM181*VN181</f>
        <v>#DIV/0!</v>
      </c>
      <c r="VP181" s="367" t="s">
        <v>206</v>
      </c>
      <c r="VQ181" s="367"/>
      <c r="VR181" s="367"/>
      <c r="VS181" s="368" t="s">
        <v>168</v>
      </c>
      <c r="VT181" s="369">
        <v>0.5</v>
      </c>
      <c r="VU181" s="370" t="e">
        <f>10/VQ179</f>
        <v>#DIV/0!</v>
      </c>
      <c r="VV181" s="371">
        <v>15.38</v>
      </c>
      <c r="VW181" s="371" t="e">
        <f>VT181*VU181*VV181</f>
        <v>#DIV/0!</v>
      </c>
      <c r="VX181" s="367" t="s">
        <v>206</v>
      </c>
      <c r="VY181" s="367"/>
      <c r="VZ181" s="367"/>
      <c r="WA181" s="368" t="s">
        <v>168</v>
      </c>
      <c r="WB181" s="369">
        <v>0.5</v>
      </c>
      <c r="WC181" s="370" t="e">
        <f>10/VY179</f>
        <v>#DIV/0!</v>
      </c>
      <c r="WD181" s="371">
        <v>15.38</v>
      </c>
      <c r="WE181" s="371" t="e">
        <f>WB181*WC181*WD181</f>
        <v>#DIV/0!</v>
      </c>
      <c r="WF181" s="367" t="s">
        <v>206</v>
      </c>
      <c r="WG181" s="367"/>
      <c r="WH181" s="367"/>
      <c r="WI181" s="368" t="s">
        <v>168</v>
      </c>
      <c r="WJ181" s="369">
        <v>0.5</v>
      </c>
      <c r="WK181" s="370" t="e">
        <f>10/WG179</f>
        <v>#DIV/0!</v>
      </c>
      <c r="WL181" s="371">
        <v>15.38</v>
      </c>
      <c r="WM181" s="371" t="e">
        <f>WJ181*WK181*WL181</f>
        <v>#DIV/0!</v>
      </c>
      <c r="WN181" s="367" t="s">
        <v>206</v>
      </c>
      <c r="WO181" s="367"/>
      <c r="WP181" s="367"/>
      <c r="WQ181" s="368" t="s">
        <v>168</v>
      </c>
      <c r="WR181" s="369">
        <v>0.5</v>
      </c>
      <c r="WS181" s="370" t="e">
        <f>10/WO179</f>
        <v>#DIV/0!</v>
      </c>
      <c r="WT181" s="371">
        <v>15.38</v>
      </c>
      <c r="WU181" s="371" t="e">
        <f>WR181*WS181*WT181</f>
        <v>#DIV/0!</v>
      </c>
      <c r="WV181" s="367" t="s">
        <v>206</v>
      </c>
      <c r="WW181" s="367"/>
      <c r="WX181" s="367"/>
      <c r="WY181" s="368" t="s">
        <v>168</v>
      </c>
      <c r="WZ181" s="369">
        <v>0.5</v>
      </c>
      <c r="XA181" s="370" t="e">
        <f>10/WW179</f>
        <v>#DIV/0!</v>
      </c>
      <c r="XB181" s="371">
        <v>15.38</v>
      </c>
      <c r="XC181" s="371" t="e">
        <f>WZ181*XA181*XB181</f>
        <v>#DIV/0!</v>
      </c>
      <c r="XD181" s="367" t="s">
        <v>206</v>
      </c>
      <c r="XE181" s="367"/>
      <c r="XF181" s="367"/>
      <c r="XG181" s="368" t="s">
        <v>168</v>
      </c>
      <c r="XH181" s="369">
        <v>0.5</v>
      </c>
      <c r="XI181" s="370" t="e">
        <f>10/XE179</f>
        <v>#DIV/0!</v>
      </c>
      <c r="XJ181" s="371">
        <v>15.38</v>
      </c>
      <c r="XK181" s="371" t="e">
        <f>XH181*XI181*XJ181</f>
        <v>#DIV/0!</v>
      </c>
      <c r="XL181" s="367" t="s">
        <v>206</v>
      </c>
      <c r="XM181" s="367"/>
      <c r="XN181" s="367"/>
      <c r="XO181" s="368" t="s">
        <v>168</v>
      </c>
      <c r="XP181" s="369">
        <v>0.5</v>
      </c>
      <c r="XQ181" s="370" t="e">
        <f>10/XM179</f>
        <v>#DIV/0!</v>
      </c>
      <c r="XR181" s="371">
        <v>15.38</v>
      </c>
      <c r="XS181" s="371" t="e">
        <f>XP181*XQ181*XR181</f>
        <v>#DIV/0!</v>
      </c>
      <c r="XT181" s="367" t="s">
        <v>206</v>
      </c>
      <c r="XU181" s="367"/>
      <c r="XV181" s="367"/>
      <c r="XW181" s="368" t="s">
        <v>168</v>
      </c>
      <c r="XX181" s="369">
        <v>0.5</v>
      </c>
      <c r="XY181" s="370" t="e">
        <f>10/XU179</f>
        <v>#DIV/0!</v>
      </c>
      <c r="XZ181" s="371">
        <v>15.38</v>
      </c>
      <c r="YA181" s="371" t="e">
        <f>XX181*XY181*XZ181</f>
        <v>#DIV/0!</v>
      </c>
      <c r="YB181" s="367" t="s">
        <v>206</v>
      </c>
      <c r="YC181" s="367"/>
      <c r="YD181" s="367"/>
      <c r="YE181" s="368" t="s">
        <v>168</v>
      </c>
      <c r="YF181" s="369">
        <v>0.5</v>
      </c>
      <c r="YG181" s="370" t="e">
        <f>10/YC179</f>
        <v>#DIV/0!</v>
      </c>
      <c r="YH181" s="371">
        <v>15.38</v>
      </c>
      <c r="YI181" s="371" t="e">
        <f>YF181*YG181*YH181</f>
        <v>#DIV/0!</v>
      </c>
      <c r="YJ181" s="367" t="s">
        <v>206</v>
      </c>
      <c r="YK181" s="367"/>
      <c r="YL181" s="367"/>
      <c r="YM181" s="368" t="s">
        <v>168</v>
      </c>
      <c r="YN181" s="369">
        <v>0.5</v>
      </c>
      <c r="YO181" s="370" t="e">
        <f>10/YK179</f>
        <v>#DIV/0!</v>
      </c>
      <c r="YP181" s="371">
        <v>15.38</v>
      </c>
      <c r="YQ181" s="371" t="e">
        <f>YN181*YO181*YP181</f>
        <v>#DIV/0!</v>
      </c>
      <c r="YR181" s="367" t="s">
        <v>206</v>
      </c>
      <c r="YS181" s="367"/>
      <c r="YT181" s="367"/>
      <c r="YU181" s="368" t="s">
        <v>168</v>
      </c>
      <c r="YV181" s="369">
        <v>0.5</v>
      </c>
      <c r="YW181" s="370" t="e">
        <f>10/YS179</f>
        <v>#DIV/0!</v>
      </c>
      <c r="YX181" s="371">
        <v>15.38</v>
      </c>
      <c r="YY181" s="371" t="e">
        <f>YV181*YW181*YX181</f>
        <v>#DIV/0!</v>
      </c>
      <c r="YZ181" s="367" t="s">
        <v>206</v>
      </c>
      <c r="ZA181" s="367"/>
      <c r="ZB181" s="367"/>
      <c r="ZC181" s="368" t="s">
        <v>168</v>
      </c>
      <c r="ZD181" s="369">
        <v>0.5</v>
      </c>
      <c r="ZE181" s="370" t="e">
        <f>10/ZA179</f>
        <v>#DIV/0!</v>
      </c>
      <c r="ZF181" s="371">
        <v>15.38</v>
      </c>
      <c r="ZG181" s="371" t="e">
        <f>ZD181*ZE181*ZF181</f>
        <v>#DIV/0!</v>
      </c>
      <c r="ZH181" s="367" t="s">
        <v>206</v>
      </c>
      <c r="ZI181" s="367"/>
      <c r="ZJ181" s="367"/>
      <c r="ZK181" s="368" t="s">
        <v>168</v>
      </c>
      <c r="ZL181" s="369">
        <v>0.5</v>
      </c>
      <c r="ZM181" s="370" t="e">
        <f>10/ZI179</f>
        <v>#DIV/0!</v>
      </c>
      <c r="ZN181" s="371">
        <v>15.38</v>
      </c>
      <c r="ZO181" s="371" t="e">
        <f>ZL181*ZM181*ZN181</f>
        <v>#DIV/0!</v>
      </c>
      <c r="ZP181" s="367" t="s">
        <v>206</v>
      </c>
      <c r="ZQ181" s="367"/>
      <c r="ZR181" s="367"/>
      <c r="ZS181" s="368" t="s">
        <v>168</v>
      </c>
      <c r="ZT181" s="369">
        <v>0.5</v>
      </c>
      <c r="ZU181" s="370" t="e">
        <f>10/ZQ179</f>
        <v>#DIV/0!</v>
      </c>
      <c r="ZV181" s="371">
        <v>15.38</v>
      </c>
      <c r="ZW181" s="371" t="e">
        <f>ZT181*ZU181*ZV181</f>
        <v>#DIV/0!</v>
      </c>
      <c r="ZX181" s="367" t="s">
        <v>206</v>
      </c>
      <c r="ZY181" s="367"/>
      <c r="ZZ181" s="367"/>
      <c r="AAA181" s="368" t="s">
        <v>168</v>
      </c>
      <c r="AAB181" s="369">
        <v>0.5</v>
      </c>
      <c r="AAC181" s="370" t="e">
        <f>10/ZY179</f>
        <v>#DIV/0!</v>
      </c>
      <c r="AAD181" s="371">
        <v>15.38</v>
      </c>
      <c r="AAE181" s="371" t="e">
        <f>AAB181*AAC181*AAD181</f>
        <v>#DIV/0!</v>
      </c>
      <c r="AAF181" s="367" t="s">
        <v>206</v>
      </c>
      <c r="AAG181" s="367"/>
      <c r="AAH181" s="367"/>
      <c r="AAI181" s="368" t="s">
        <v>168</v>
      </c>
      <c r="AAJ181" s="369">
        <v>0.5</v>
      </c>
      <c r="AAK181" s="370" t="e">
        <f>10/AAG179</f>
        <v>#DIV/0!</v>
      </c>
      <c r="AAL181" s="371">
        <v>15.38</v>
      </c>
      <c r="AAM181" s="371" t="e">
        <f>AAJ181*AAK181*AAL181</f>
        <v>#DIV/0!</v>
      </c>
      <c r="AAN181" s="367" t="s">
        <v>206</v>
      </c>
      <c r="AAO181" s="367"/>
      <c r="AAP181" s="367"/>
      <c r="AAQ181" s="368" t="s">
        <v>168</v>
      </c>
      <c r="AAR181" s="369">
        <v>0.5</v>
      </c>
      <c r="AAS181" s="370" t="e">
        <f>10/AAO179</f>
        <v>#DIV/0!</v>
      </c>
      <c r="AAT181" s="371">
        <v>15.38</v>
      </c>
      <c r="AAU181" s="371" t="e">
        <f>AAR181*AAS181*AAT181</f>
        <v>#DIV/0!</v>
      </c>
      <c r="AAV181" s="367" t="s">
        <v>206</v>
      </c>
      <c r="AAW181" s="367"/>
      <c r="AAX181" s="367"/>
      <c r="AAY181" s="368" t="s">
        <v>168</v>
      </c>
      <c r="AAZ181" s="369">
        <v>0.5</v>
      </c>
      <c r="ABA181" s="370" t="e">
        <f>10/AAW179</f>
        <v>#DIV/0!</v>
      </c>
      <c r="ABB181" s="371">
        <v>15.38</v>
      </c>
      <c r="ABC181" s="371" t="e">
        <f>AAZ181*ABA181*ABB181</f>
        <v>#DIV/0!</v>
      </c>
      <c r="ABD181" s="367" t="s">
        <v>206</v>
      </c>
      <c r="ABE181" s="367"/>
      <c r="ABF181" s="367"/>
      <c r="ABG181" s="368" t="s">
        <v>168</v>
      </c>
      <c r="ABH181" s="369">
        <v>0.5</v>
      </c>
      <c r="ABI181" s="370" t="e">
        <f>10/ABE179</f>
        <v>#DIV/0!</v>
      </c>
      <c r="ABJ181" s="371">
        <v>15.38</v>
      </c>
      <c r="ABK181" s="371" t="e">
        <f>ABH181*ABI181*ABJ181</f>
        <v>#DIV/0!</v>
      </c>
      <c r="ABL181" s="367" t="s">
        <v>206</v>
      </c>
      <c r="ABM181" s="367"/>
      <c r="ABN181" s="367"/>
      <c r="ABO181" s="368" t="s">
        <v>168</v>
      </c>
      <c r="ABP181" s="369">
        <v>0.5</v>
      </c>
      <c r="ABQ181" s="370" t="e">
        <f>10/ABM179</f>
        <v>#DIV/0!</v>
      </c>
      <c r="ABR181" s="371">
        <v>15.38</v>
      </c>
      <c r="ABS181" s="371" t="e">
        <f>ABP181*ABQ181*ABR181</f>
        <v>#DIV/0!</v>
      </c>
      <c r="ABT181" s="367" t="s">
        <v>206</v>
      </c>
      <c r="ABU181" s="367"/>
      <c r="ABV181" s="367"/>
      <c r="ABW181" s="368" t="s">
        <v>168</v>
      </c>
      <c r="ABX181" s="369">
        <v>0.5</v>
      </c>
      <c r="ABY181" s="370" t="e">
        <f>10/ABU179</f>
        <v>#DIV/0!</v>
      </c>
      <c r="ABZ181" s="371">
        <v>15.38</v>
      </c>
      <c r="ACA181" s="371" t="e">
        <f>ABX181*ABY181*ABZ181</f>
        <v>#DIV/0!</v>
      </c>
      <c r="ACB181" s="367" t="s">
        <v>206</v>
      </c>
      <c r="ACC181" s="367"/>
      <c r="ACD181" s="367"/>
      <c r="ACE181" s="368" t="s">
        <v>168</v>
      </c>
      <c r="ACF181" s="369">
        <v>0.5</v>
      </c>
      <c r="ACG181" s="370" t="e">
        <f>10/ACC179</f>
        <v>#DIV/0!</v>
      </c>
      <c r="ACH181" s="371">
        <v>15.38</v>
      </c>
      <c r="ACI181" s="371" t="e">
        <f>ACF181*ACG181*ACH181</f>
        <v>#DIV/0!</v>
      </c>
      <c r="ACJ181" s="367" t="s">
        <v>206</v>
      </c>
      <c r="ACK181" s="367"/>
      <c r="ACL181" s="367"/>
      <c r="ACM181" s="368" t="s">
        <v>168</v>
      </c>
      <c r="ACN181" s="369">
        <v>0.5</v>
      </c>
      <c r="ACO181" s="370" t="e">
        <f>10/ACK179</f>
        <v>#DIV/0!</v>
      </c>
      <c r="ACP181" s="371">
        <v>15.38</v>
      </c>
      <c r="ACQ181" s="371" t="e">
        <f>ACN181*ACO181*ACP181</f>
        <v>#DIV/0!</v>
      </c>
      <c r="ACR181" s="367" t="s">
        <v>206</v>
      </c>
      <c r="ACS181" s="367"/>
      <c r="ACT181" s="367"/>
      <c r="ACU181" s="368" t="s">
        <v>168</v>
      </c>
      <c r="ACV181" s="369">
        <v>0.5</v>
      </c>
      <c r="ACW181" s="370" t="e">
        <f>10/ACS179</f>
        <v>#DIV/0!</v>
      </c>
      <c r="ACX181" s="371">
        <v>15.38</v>
      </c>
      <c r="ACY181" s="371" t="e">
        <f>ACV181*ACW181*ACX181</f>
        <v>#DIV/0!</v>
      </c>
      <c r="ACZ181" s="367" t="s">
        <v>206</v>
      </c>
      <c r="ADA181" s="367"/>
      <c r="ADB181" s="367"/>
      <c r="ADC181" s="368" t="s">
        <v>168</v>
      </c>
      <c r="ADD181" s="369">
        <v>0.5</v>
      </c>
      <c r="ADE181" s="370" t="e">
        <f>10/ADA179</f>
        <v>#DIV/0!</v>
      </c>
      <c r="ADF181" s="371">
        <v>15.38</v>
      </c>
      <c r="ADG181" s="371" t="e">
        <f>ADD181*ADE181*ADF181</f>
        <v>#DIV/0!</v>
      </c>
      <c r="ADH181" s="367" t="s">
        <v>206</v>
      </c>
      <c r="ADI181" s="367"/>
      <c r="ADJ181" s="367"/>
      <c r="ADK181" s="368" t="s">
        <v>168</v>
      </c>
      <c r="ADL181" s="369">
        <v>0.5</v>
      </c>
      <c r="ADM181" s="370" t="e">
        <f>10/ADI179</f>
        <v>#DIV/0!</v>
      </c>
      <c r="ADN181" s="371">
        <v>15.38</v>
      </c>
      <c r="ADO181" s="371" t="e">
        <f>ADL181*ADM181*ADN181</f>
        <v>#DIV/0!</v>
      </c>
      <c r="ADP181" s="367" t="s">
        <v>206</v>
      </c>
      <c r="ADQ181" s="367"/>
      <c r="ADR181" s="367"/>
      <c r="ADS181" s="368" t="s">
        <v>168</v>
      </c>
      <c r="ADT181" s="369">
        <v>0.5</v>
      </c>
      <c r="ADU181" s="370" t="e">
        <f>10/ADQ179</f>
        <v>#DIV/0!</v>
      </c>
      <c r="ADV181" s="371">
        <v>15.38</v>
      </c>
      <c r="ADW181" s="371" t="e">
        <f>ADT181*ADU181*ADV181</f>
        <v>#DIV/0!</v>
      </c>
      <c r="ADX181" s="367" t="s">
        <v>206</v>
      </c>
      <c r="ADY181" s="367"/>
      <c r="ADZ181" s="367"/>
      <c r="AEA181" s="368" t="s">
        <v>168</v>
      </c>
      <c r="AEB181" s="369">
        <v>0.5</v>
      </c>
      <c r="AEC181" s="370" t="e">
        <f>10/ADY179</f>
        <v>#DIV/0!</v>
      </c>
      <c r="AED181" s="371">
        <v>15.38</v>
      </c>
      <c r="AEE181" s="371" t="e">
        <f>AEB181*AEC181*AED181</f>
        <v>#DIV/0!</v>
      </c>
      <c r="AEF181" s="367" t="s">
        <v>206</v>
      </c>
      <c r="AEG181" s="367"/>
      <c r="AEH181" s="367"/>
      <c r="AEI181" s="368" t="s">
        <v>168</v>
      </c>
      <c r="AEJ181" s="369">
        <v>0.5</v>
      </c>
      <c r="AEK181" s="370" t="e">
        <f>10/AEG179</f>
        <v>#DIV/0!</v>
      </c>
      <c r="AEL181" s="371">
        <v>15.38</v>
      </c>
      <c r="AEM181" s="371" t="e">
        <f>AEJ181*AEK181*AEL181</f>
        <v>#DIV/0!</v>
      </c>
      <c r="AEN181" s="367" t="s">
        <v>206</v>
      </c>
      <c r="AEO181" s="367"/>
      <c r="AEP181" s="367"/>
      <c r="AEQ181" s="368" t="s">
        <v>168</v>
      </c>
      <c r="AER181" s="369">
        <v>0.5</v>
      </c>
      <c r="AES181" s="370" t="e">
        <f>10/AEO179</f>
        <v>#DIV/0!</v>
      </c>
      <c r="AET181" s="371">
        <v>15.38</v>
      </c>
      <c r="AEU181" s="371" t="e">
        <f>AER181*AES181*AET181</f>
        <v>#DIV/0!</v>
      </c>
      <c r="AEV181" s="367" t="s">
        <v>206</v>
      </c>
      <c r="AEW181" s="367"/>
      <c r="AEX181" s="367"/>
      <c r="AEY181" s="368" t="s">
        <v>168</v>
      </c>
      <c r="AEZ181" s="369">
        <v>0.5</v>
      </c>
      <c r="AFA181" s="370" t="e">
        <f>10/AEW179</f>
        <v>#DIV/0!</v>
      </c>
      <c r="AFB181" s="371">
        <v>15.38</v>
      </c>
      <c r="AFC181" s="371" t="e">
        <f>AEZ181*AFA181*AFB181</f>
        <v>#DIV/0!</v>
      </c>
      <c r="AFD181" s="367" t="s">
        <v>206</v>
      </c>
      <c r="AFE181" s="367"/>
      <c r="AFF181" s="367"/>
      <c r="AFG181" s="368" t="s">
        <v>168</v>
      </c>
      <c r="AFH181" s="369">
        <v>0.5</v>
      </c>
      <c r="AFI181" s="370" t="e">
        <f>10/AFE179</f>
        <v>#DIV/0!</v>
      </c>
      <c r="AFJ181" s="371">
        <v>15.38</v>
      </c>
      <c r="AFK181" s="371" t="e">
        <f>AFH181*AFI181*AFJ181</f>
        <v>#DIV/0!</v>
      </c>
      <c r="AFL181" s="367" t="s">
        <v>206</v>
      </c>
      <c r="AFM181" s="367"/>
      <c r="AFN181" s="367"/>
      <c r="AFO181" s="368" t="s">
        <v>168</v>
      </c>
      <c r="AFP181" s="369">
        <v>0.5</v>
      </c>
      <c r="AFQ181" s="370" t="e">
        <f>10/AFM179</f>
        <v>#DIV/0!</v>
      </c>
      <c r="AFR181" s="371">
        <v>15.38</v>
      </c>
      <c r="AFS181" s="371" t="e">
        <f>AFP181*AFQ181*AFR181</f>
        <v>#DIV/0!</v>
      </c>
      <c r="AFT181" s="367" t="s">
        <v>206</v>
      </c>
      <c r="AFU181" s="367"/>
      <c r="AFV181" s="367"/>
      <c r="AFW181" s="368" t="s">
        <v>168</v>
      </c>
      <c r="AFX181" s="369">
        <v>0.5</v>
      </c>
      <c r="AFY181" s="370" t="e">
        <f>10/AFU179</f>
        <v>#DIV/0!</v>
      </c>
      <c r="AFZ181" s="371">
        <v>15.38</v>
      </c>
      <c r="AGA181" s="371" t="e">
        <f>AFX181*AFY181*AFZ181</f>
        <v>#DIV/0!</v>
      </c>
      <c r="AGB181" s="367" t="s">
        <v>206</v>
      </c>
      <c r="AGC181" s="367"/>
      <c r="AGD181" s="367"/>
      <c r="AGE181" s="368" t="s">
        <v>168</v>
      </c>
      <c r="AGF181" s="369">
        <v>0.5</v>
      </c>
      <c r="AGG181" s="370" t="e">
        <f>10/AGC179</f>
        <v>#DIV/0!</v>
      </c>
      <c r="AGH181" s="371">
        <v>15.38</v>
      </c>
      <c r="AGI181" s="371" t="e">
        <f>AGF181*AGG181*AGH181</f>
        <v>#DIV/0!</v>
      </c>
      <c r="AGJ181" s="367" t="s">
        <v>206</v>
      </c>
      <c r="AGK181" s="367"/>
      <c r="AGL181" s="367"/>
      <c r="AGM181" s="368" t="s">
        <v>168</v>
      </c>
      <c r="AGN181" s="369">
        <v>0.5</v>
      </c>
      <c r="AGO181" s="370" t="e">
        <f>10/AGK179</f>
        <v>#DIV/0!</v>
      </c>
      <c r="AGP181" s="371">
        <v>15.38</v>
      </c>
      <c r="AGQ181" s="371" t="e">
        <f>AGN181*AGO181*AGP181</f>
        <v>#DIV/0!</v>
      </c>
      <c r="AGR181" s="367" t="s">
        <v>206</v>
      </c>
      <c r="AGS181" s="367"/>
      <c r="AGT181" s="367"/>
      <c r="AGU181" s="368" t="s">
        <v>168</v>
      </c>
      <c r="AGV181" s="369">
        <v>0.5</v>
      </c>
      <c r="AGW181" s="370" t="e">
        <f>10/AGS179</f>
        <v>#DIV/0!</v>
      </c>
      <c r="AGX181" s="371">
        <v>15.38</v>
      </c>
      <c r="AGY181" s="371" t="e">
        <f>AGV181*AGW181*AGX181</f>
        <v>#DIV/0!</v>
      </c>
      <c r="AGZ181" s="367" t="s">
        <v>206</v>
      </c>
      <c r="AHA181" s="367"/>
      <c r="AHB181" s="367"/>
      <c r="AHC181" s="368" t="s">
        <v>168</v>
      </c>
      <c r="AHD181" s="369">
        <v>0.5</v>
      </c>
      <c r="AHE181" s="370" t="e">
        <f>10/AHA179</f>
        <v>#DIV/0!</v>
      </c>
      <c r="AHF181" s="371">
        <v>15.38</v>
      </c>
      <c r="AHG181" s="371" t="e">
        <f>AHD181*AHE181*AHF181</f>
        <v>#DIV/0!</v>
      </c>
      <c r="AHH181" s="367" t="s">
        <v>206</v>
      </c>
      <c r="AHI181" s="367"/>
      <c r="AHJ181" s="367"/>
      <c r="AHK181" s="368" t="s">
        <v>168</v>
      </c>
      <c r="AHL181" s="369">
        <v>0.5</v>
      </c>
      <c r="AHM181" s="370" t="e">
        <f>10/AHI179</f>
        <v>#DIV/0!</v>
      </c>
      <c r="AHN181" s="371">
        <v>15.38</v>
      </c>
      <c r="AHO181" s="371" t="e">
        <f>AHL181*AHM181*AHN181</f>
        <v>#DIV/0!</v>
      </c>
      <c r="AHP181" s="367" t="s">
        <v>206</v>
      </c>
      <c r="AHQ181" s="367"/>
      <c r="AHR181" s="367"/>
      <c r="AHS181" s="368" t="s">
        <v>168</v>
      </c>
      <c r="AHT181" s="369">
        <v>0.5</v>
      </c>
      <c r="AHU181" s="370" t="e">
        <f>10/AHQ179</f>
        <v>#DIV/0!</v>
      </c>
      <c r="AHV181" s="371">
        <v>15.38</v>
      </c>
      <c r="AHW181" s="371" t="e">
        <f>AHT181*AHU181*AHV181</f>
        <v>#DIV/0!</v>
      </c>
      <c r="AHX181" s="367" t="s">
        <v>206</v>
      </c>
      <c r="AHY181" s="367"/>
      <c r="AHZ181" s="367"/>
      <c r="AIA181" s="368" t="s">
        <v>168</v>
      </c>
      <c r="AIB181" s="369">
        <v>0.5</v>
      </c>
      <c r="AIC181" s="370" t="e">
        <f>10/AHY179</f>
        <v>#DIV/0!</v>
      </c>
      <c r="AID181" s="371">
        <v>15.38</v>
      </c>
      <c r="AIE181" s="371" t="e">
        <f>AIB181*AIC181*AID181</f>
        <v>#DIV/0!</v>
      </c>
      <c r="AIF181" s="367" t="s">
        <v>206</v>
      </c>
      <c r="AIG181" s="367"/>
      <c r="AIH181" s="367"/>
      <c r="AII181" s="368" t="s">
        <v>168</v>
      </c>
      <c r="AIJ181" s="369">
        <v>0.5</v>
      </c>
      <c r="AIK181" s="370" t="e">
        <f>10/AIG179</f>
        <v>#DIV/0!</v>
      </c>
      <c r="AIL181" s="371">
        <v>15.38</v>
      </c>
      <c r="AIM181" s="371" t="e">
        <f>AIJ181*AIK181*AIL181</f>
        <v>#DIV/0!</v>
      </c>
      <c r="AIN181" s="367" t="s">
        <v>206</v>
      </c>
      <c r="AIO181" s="367"/>
      <c r="AIP181" s="367"/>
      <c r="AIQ181" s="368" t="s">
        <v>168</v>
      </c>
      <c r="AIR181" s="369">
        <v>0.5</v>
      </c>
      <c r="AIS181" s="370" t="e">
        <f>10/AIO179</f>
        <v>#DIV/0!</v>
      </c>
      <c r="AIT181" s="371">
        <v>15.38</v>
      </c>
      <c r="AIU181" s="371" t="e">
        <f>AIR181*AIS181*AIT181</f>
        <v>#DIV/0!</v>
      </c>
      <c r="AIV181" s="367" t="s">
        <v>206</v>
      </c>
      <c r="AIW181" s="367"/>
      <c r="AIX181" s="367"/>
      <c r="AIY181" s="368" t="s">
        <v>168</v>
      </c>
      <c r="AIZ181" s="369">
        <v>0.5</v>
      </c>
      <c r="AJA181" s="370" t="e">
        <f>10/AIW179</f>
        <v>#DIV/0!</v>
      </c>
      <c r="AJB181" s="371">
        <v>15.38</v>
      </c>
      <c r="AJC181" s="371" t="e">
        <f>AIZ181*AJA181*AJB181</f>
        <v>#DIV/0!</v>
      </c>
      <c r="AJD181" s="367" t="s">
        <v>206</v>
      </c>
      <c r="AJE181" s="367"/>
      <c r="AJF181" s="367"/>
      <c r="AJG181" s="368" t="s">
        <v>168</v>
      </c>
      <c r="AJH181" s="369">
        <v>0.5</v>
      </c>
      <c r="AJI181" s="370" t="e">
        <f>10/AJE179</f>
        <v>#DIV/0!</v>
      </c>
      <c r="AJJ181" s="371">
        <v>15.38</v>
      </c>
      <c r="AJK181" s="371" t="e">
        <f>AJH181*AJI181*AJJ181</f>
        <v>#DIV/0!</v>
      </c>
      <c r="AJL181" s="367" t="s">
        <v>206</v>
      </c>
      <c r="AJM181" s="367"/>
      <c r="AJN181" s="367"/>
      <c r="AJO181" s="368" t="s">
        <v>168</v>
      </c>
      <c r="AJP181" s="369">
        <v>0.5</v>
      </c>
      <c r="AJQ181" s="370" t="e">
        <f>10/AJM179</f>
        <v>#DIV/0!</v>
      </c>
      <c r="AJR181" s="371">
        <v>15.38</v>
      </c>
      <c r="AJS181" s="371" t="e">
        <f>AJP181*AJQ181*AJR181</f>
        <v>#DIV/0!</v>
      </c>
      <c r="AJT181" s="367" t="s">
        <v>206</v>
      </c>
      <c r="AJU181" s="367"/>
      <c r="AJV181" s="367"/>
      <c r="AJW181" s="368" t="s">
        <v>168</v>
      </c>
      <c r="AJX181" s="369">
        <v>0.5</v>
      </c>
      <c r="AJY181" s="370" t="e">
        <f>10/AJU179</f>
        <v>#DIV/0!</v>
      </c>
      <c r="AJZ181" s="371">
        <v>15.38</v>
      </c>
      <c r="AKA181" s="371" t="e">
        <f>AJX181*AJY181*AJZ181</f>
        <v>#DIV/0!</v>
      </c>
      <c r="AKB181" s="367" t="s">
        <v>206</v>
      </c>
      <c r="AKC181" s="367"/>
      <c r="AKD181" s="367"/>
      <c r="AKE181" s="368" t="s">
        <v>168</v>
      </c>
      <c r="AKF181" s="369">
        <v>0.5</v>
      </c>
      <c r="AKG181" s="370" t="e">
        <f>10/AKC179</f>
        <v>#DIV/0!</v>
      </c>
      <c r="AKH181" s="371">
        <v>15.38</v>
      </c>
      <c r="AKI181" s="371" t="e">
        <f>AKF181*AKG181*AKH181</f>
        <v>#DIV/0!</v>
      </c>
      <c r="AKJ181" s="367" t="s">
        <v>206</v>
      </c>
      <c r="AKK181" s="367"/>
      <c r="AKL181" s="367"/>
      <c r="AKM181" s="368" t="s">
        <v>168</v>
      </c>
      <c r="AKN181" s="369">
        <v>0.5</v>
      </c>
      <c r="AKO181" s="370" t="e">
        <f>10/AKK179</f>
        <v>#DIV/0!</v>
      </c>
      <c r="AKP181" s="371">
        <v>15.38</v>
      </c>
      <c r="AKQ181" s="371" t="e">
        <f>AKN181*AKO181*AKP181</f>
        <v>#DIV/0!</v>
      </c>
      <c r="AKR181" s="367" t="s">
        <v>206</v>
      </c>
      <c r="AKS181" s="367"/>
      <c r="AKT181" s="367"/>
      <c r="AKU181" s="368" t="s">
        <v>168</v>
      </c>
      <c r="AKV181" s="369">
        <v>0.5</v>
      </c>
      <c r="AKW181" s="370" t="e">
        <f>10/AKS179</f>
        <v>#DIV/0!</v>
      </c>
      <c r="AKX181" s="371">
        <v>15.38</v>
      </c>
      <c r="AKY181" s="371" t="e">
        <f>AKV181*AKW181*AKX181</f>
        <v>#DIV/0!</v>
      </c>
      <c r="AKZ181" s="367" t="s">
        <v>206</v>
      </c>
      <c r="ALA181" s="367"/>
      <c r="ALB181" s="367"/>
      <c r="ALC181" s="368" t="s">
        <v>168</v>
      </c>
      <c r="ALD181" s="369">
        <v>0.5</v>
      </c>
      <c r="ALE181" s="370" t="e">
        <f>10/ALA179</f>
        <v>#DIV/0!</v>
      </c>
      <c r="ALF181" s="371">
        <v>15.38</v>
      </c>
      <c r="ALG181" s="371" t="e">
        <f>ALD181*ALE181*ALF181</f>
        <v>#DIV/0!</v>
      </c>
      <c r="ALH181" s="367" t="s">
        <v>206</v>
      </c>
      <c r="ALI181" s="367"/>
      <c r="ALJ181" s="367"/>
      <c r="ALK181" s="368" t="s">
        <v>168</v>
      </c>
      <c r="ALL181" s="369">
        <v>0.5</v>
      </c>
      <c r="ALM181" s="370" t="e">
        <f>10/ALI179</f>
        <v>#DIV/0!</v>
      </c>
      <c r="ALN181" s="371">
        <v>15.38</v>
      </c>
      <c r="ALO181" s="371" t="e">
        <f>ALL181*ALM181*ALN181</f>
        <v>#DIV/0!</v>
      </c>
      <c r="ALP181" s="367" t="s">
        <v>206</v>
      </c>
      <c r="ALQ181" s="367"/>
      <c r="ALR181" s="367"/>
      <c r="ALS181" s="368" t="s">
        <v>168</v>
      </c>
      <c r="ALT181" s="369">
        <v>0.5</v>
      </c>
      <c r="ALU181" s="370" t="e">
        <f>10/ALQ179</f>
        <v>#DIV/0!</v>
      </c>
      <c r="ALV181" s="371">
        <v>15.38</v>
      </c>
      <c r="ALW181" s="371" t="e">
        <f>ALT181*ALU181*ALV181</f>
        <v>#DIV/0!</v>
      </c>
      <c r="ALX181" s="367" t="s">
        <v>206</v>
      </c>
      <c r="ALY181" s="367"/>
      <c r="ALZ181" s="367"/>
      <c r="AMA181" s="368" t="s">
        <v>168</v>
      </c>
      <c r="AMB181" s="369">
        <v>0.5</v>
      </c>
      <c r="AMC181" s="370" t="e">
        <f>10/ALY179</f>
        <v>#DIV/0!</v>
      </c>
      <c r="AMD181" s="371">
        <v>15.38</v>
      </c>
      <c r="AME181" s="371" t="e">
        <f>AMB181*AMC181*AMD181</f>
        <v>#DIV/0!</v>
      </c>
      <c r="AMF181" s="367" t="s">
        <v>206</v>
      </c>
      <c r="AMG181" s="367"/>
      <c r="AMH181" s="367"/>
      <c r="AMI181" s="368" t="s">
        <v>168</v>
      </c>
      <c r="AMJ181" s="369">
        <v>0.5</v>
      </c>
      <c r="AMK181" s="370" t="e">
        <f>10/AMG179</f>
        <v>#DIV/0!</v>
      </c>
      <c r="AML181" s="371">
        <v>15.38</v>
      </c>
      <c r="AMM181" s="371" t="e">
        <f>AMJ181*AMK181*AML181</f>
        <v>#DIV/0!</v>
      </c>
      <c r="AMN181" s="367" t="s">
        <v>206</v>
      </c>
      <c r="AMO181" s="367"/>
      <c r="AMP181" s="367"/>
      <c r="AMQ181" s="368" t="s">
        <v>168</v>
      </c>
      <c r="AMR181" s="369">
        <v>0.5</v>
      </c>
      <c r="AMS181" s="370" t="e">
        <f>10/AMO179</f>
        <v>#DIV/0!</v>
      </c>
      <c r="AMT181" s="371">
        <v>15.38</v>
      </c>
      <c r="AMU181" s="371" t="e">
        <f>AMR181*AMS181*AMT181</f>
        <v>#DIV/0!</v>
      </c>
      <c r="AMV181" s="367" t="s">
        <v>206</v>
      </c>
      <c r="AMW181" s="367"/>
      <c r="AMX181" s="367"/>
      <c r="AMY181" s="368" t="s">
        <v>168</v>
      </c>
      <c r="AMZ181" s="369">
        <v>0.5</v>
      </c>
      <c r="ANA181" s="370" t="e">
        <f>10/AMW179</f>
        <v>#DIV/0!</v>
      </c>
      <c r="ANB181" s="371">
        <v>15.38</v>
      </c>
      <c r="ANC181" s="371" t="e">
        <f>AMZ181*ANA181*ANB181</f>
        <v>#DIV/0!</v>
      </c>
      <c r="AND181" s="367" t="s">
        <v>206</v>
      </c>
      <c r="ANE181" s="367"/>
      <c r="ANF181" s="367"/>
      <c r="ANG181" s="368" t="s">
        <v>168</v>
      </c>
      <c r="ANH181" s="369">
        <v>0.5</v>
      </c>
      <c r="ANI181" s="370" t="e">
        <f>10/ANE179</f>
        <v>#DIV/0!</v>
      </c>
      <c r="ANJ181" s="371">
        <v>15.38</v>
      </c>
      <c r="ANK181" s="371" t="e">
        <f>ANH181*ANI181*ANJ181</f>
        <v>#DIV/0!</v>
      </c>
      <c r="ANL181" s="367" t="s">
        <v>206</v>
      </c>
      <c r="ANM181" s="367"/>
      <c r="ANN181" s="367"/>
      <c r="ANO181" s="368" t="s">
        <v>168</v>
      </c>
      <c r="ANP181" s="369">
        <v>0.5</v>
      </c>
      <c r="ANQ181" s="370" t="e">
        <f>10/ANM179</f>
        <v>#DIV/0!</v>
      </c>
      <c r="ANR181" s="371">
        <v>15.38</v>
      </c>
      <c r="ANS181" s="371" t="e">
        <f>ANP181*ANQ181*ANR181</f>
        <v>#DIV/0!</v>
      </c>
      <c r="ANT181" s="367" t="s">
        <v>206</v>
      </c>
      <c r="ANU181" s="367"/>
      <c r="ANV181" s="367"/>
      <c r="ANW181" s="368" t="s">
        <v>168</v>
      </c>
      <c r="ANX181" s="369">
        <v>0.5</v>
      </c>
      <c r="ANY181" s="370" t="e">
        <f>10/ANU179</f>
        <v>#DIV/0!</v>
      </c>
      <c r="ANZ181" s="371">
        <v>15.38</v>
      </c>
      <c r="AOA181" s="371" t="e">
        <f>ANX181*ANY181*ANZ181</f>
        <v>#DIV/0!</v>
      </c>
      <c r="AOB181" s="367" t="s">
        <v>206</v>
      </c>
      <c r="AOC181" s="367"/>
      <c r="AOD181" s="367"/>
      <c r="AOE181" s="368" t="s">
        <v>168</v>
      </c>
      <c r="AOF181" s="369">
        <v>0.5</v>
      </c>
      <c r="AOG181" s="370" t="e">
        <f>10/AOC179</f>
        <v>#DIV/0!</v>
      </c>
      <c r="AOH181" s="371">
        <v>15.38</v>
      </c>
      <c r="AOI181" s="371" t="e">
        <f>AOF181*AOG181*AOH181</f>
        <v>#DIV/0!</v>
      </c>
      <c r="AOJ181" s="367" t="s">
        <v>206</v>
      </c>
      <c r="AOK181" s="367"/>
      <c r="AOL181" s="367"/>
      <c r="AOM181" s="368" t="s">
        <v>168</v>
      </c>
      <c r="AON181" s="369">
        <v>0.5</v>
      </c>
      <c r="AOO181" s="370" t="e">
        <f>10/AOK179</f>
        <v>#DIV/0!</v>
      </c>
      <c r="AOP181" s="371">
        <v>15.38</v>
      </c>
      <c r="AOQ181" s="371" t="e">
        <f>AON181*AOO181*AOP181</f>
        <v>#DIV/0!</v>
      </c>
      <c r="AOR181" s="367" t="s">
        <v>206</v>
      </c>
      <c r="AOS181" s="367"/>
      <c r="AOT181" s="367"/>
      <c r="AOU181" s="368" t="s">
        <v>168</v>
      </c>
      <c r="AOV181" s="369">
        <v>0.5</v>
      </c>
      <c r="AOW181" s="370" t="e">
        <f>10/AOS179</f>
        <v>#DIV/0!</v>
      </c>
      <c r="AOX181" s="371">
        <v>15.38</v>
      </c>
      <c r="AOY181" s="371" t="e">
        <f>AOV181*AOW181*AOX181</f>
        <v>#DIV/0!</v>
      </c>
      <c r="AOZ181" s="367" t="s">
        <v>206</v>
      </c>
      <c r="APA181" s="367"/>
      <c r="APB181" s="367"/>
      <c r="APC181" s="368" t="s">
        <v>168</v>
      </c>
      <c r="APD181" s="369">
        <v>0.5</v>
      </c>
      <c r="APE181" s="370" t="e">
        <f>10/APA179</f>
        <v>#DIV/0!</v>
      </c>
      <c r="APF181" s="371">
        <v>15.38</v>
      </c>
      <c r="APG181" s="371" t="e">
        <f>APD181*APE181*APF181</f>
        <v>#DIV/0!</v>
      </c>
      <c r="APH181" s="367" t="s">
        <v>206</v>
      </c>
      <c r="API181" s="367"/>
      <c r="APJ181" s="367"/>
      <c r="APK181" s="368" t="s">
        <v>168</v>
      </c>
      <c r="APL181" s="369">
        <v>0.5</v>
      </c>
      <c r="APM181" s="370" t="e">
        <f>10/API179</f>
        <v>#DIV/0!</v>
      </c>
      <c r="APN181" s="371">
        <v>15.38</v>
      </c>
      <c r="APO181" s="371" t="e">
        <f>APL181*APM181*APN181</f>
        <v>#DIV/0!</v>
      </c>
      <c r="APP181" s="367" t="s">
        <v>206</v>
      </c>
      <c r="APQ181" s="367"/>
      <c r="APR181" s="367"/>
      <c r="APS181" s="368" t="s">
        <v>168</v>
      </c>
      <c r="APT181" s="369">
        <v>0.5</v>
      </c>
      <c r="APU181" s="370" t="e">
        <f>10/APQ179</f>
        <v>#DIV/0!</v>
      </c>
      <c r="APV181" s="371">
        <v>15.38</v>
      </c>
      <c r="APW181" s="371" t="e">
        <f>APT181*APU181*APV181</f>
        <v>#DIV/0!</v>
      </c>
      <c r="APX181" s="367" t="s">
        <v>206</v>
      </c>
      <c r="APY181" s="367"/>
      <c r="APZ181" s="367"/>
      <c r="AQA181" s="368" t="s">
        <v>168</v>
      </c>
      <c r="AQB181" s="369">
        <v>0.5</v>
      </c>
      <c r="AQC181" s="370" t="e">
        <f>10/APY179</f>
        <v>#DIV/0!</v>
      </c>
      <c r="AQD181" s="371">
        <v>15.38</v>
      </c>
      <c r="AQE181" s="371" t="e">
        <f>AQB181*AQC181*AQD181</f>
        <v>#DIV/0!</v>
      </c>
      <c r="AQF181" s="367" t="s">
        <v>206</v>
      </c>
      <c r="AQG181" s="367"/>
      <c r="AQH181" s="367"/>
      <c r="AQI181" s="368" t="s">
        <v>168</v>
      </c>
      <c r="AQJ181" s="369">
        <v>0.5</v>
      </c>
      <c r="AQK181" s="370" t="e">
        <f>10/AQG179</f>
        <v>#DIV/0!</v>
      </c>
      <c r="AQL181" s="371">
        <v>15.38</v>
      </c>
      <c r="AQM181" s="371" t="e">
        <f>AQJ181*AQK181*AQL181</f>
        <v>#DIV/0!</v>
      </c>
      <c r="AQN181" s="367" t="s">
        <v>206</v>
      </c>
      <c r="AQO181" s="367"/>
      <c r="AQP181" s="367"/>
      <c r="AQQ181" s="368" t="s">
        <v>168</v>
      </c>
      <c r="AQR181" s="369">
        <v>0.5</v>
      </c>
      <c r="AQS181" s="370" t="e">
        <f>10/AQO179</f>
        <v>#DIV/0!</v>
      </c>
      <c r="AQT181" s="371">
        <v>15.38</v>
      </c>
      <c r="AQU181" s="371" t="e">
        <f>AQR181*AQS181*AQT181</f>
        <v>#DIV/0!</v>
      </c>
      <c r="AQV181" s="367" t="s">
        <v>206</v>
      </c>
      <c r="AQW181" s="367"/>
      <c r="AQX181" s="367"/>
      <c r="AQY181" s="368" t="s">
        <v>168</v>
      </c>
      <c r="AQZ181" s="369">
        <v>0.5</v>
      </c>
      <c r="ARA181" s="370" t="e">
        <f>10/AQW179</f>
        <v>#DIV/0!</v>
      </c>
      <c r="ARB181" s="371">
        <v>15.38</v>
      </c>
      <c r="ARC181" s="371" t="e">
        <f>AQZ181*ARA181*ARB181</f>
        <v>#DIV/0!</v>
      </c>
      <c r="ARD181" s="367" t="s">
        <v>206</v>
      </c>
      <c r="ARE181" s="367"/>
      <c r="ARF181" s="367"/>
      <c r="ARG181" s="368" t="s">
        <v>168</v>
      </c>
      <c r="ARH181" s="369">
        <v>0.5</v>
      </c>
      <c r="ARI181" s="370" t="e">
        <f>10/ARE179</f>
        <v>#DIV/0!</v>
      </c>
      <c r="ARJ181" s="371">
        <v>15.38</v>
      </c>
      <c r="ARK181" s="371" t="e">
        <f>ARH181*ARI181*ARJ181</f>
        <v>#DIV/0!</v>
      </c>
      <c r="ARL181" s="367" t="s">
        <v>206</v>
      </c>
      <c r="ARM181" s="367"/>
      <c r="ARN181" s="367"/>
      <c r="ARO181" s="368" t="s">
        <v>168</v>
      </c>
      <c r="ARP181" s="369">
        <v>0.5</v>
      </c>
      <c r="ARQ181" s="370" t="e">
        <f>10/ARM179</f>
        <v>#DIV/0!</v>
      </c>
      <c r="ARR181" s="371">
        <v>15.38</v>
      </c>
      <c r="ARS181" s="371" t="e">
        <f>ARP181*ARQ181*ARR181</f>
        <v>#DIV/0!</v>
      </c>
      <c r="ART181" s="367" t="s">
        <v>206</v>
      </c>
      <c r="ARU181" s="367"/>
      <c r="ARV181" s="367"/>
      <c r="ARW181" s="368" t="s">
        <v>168</v>
      </c>
      <c r="ARX181" s="369">
        <v>0.5</v>
      </c>
      <c r="ARY181" s="370" t="e">
        <f>10/ARU179</f>
        <v>#DIV/0!</v>
      </c>
      <c r="ARZ181" s="371">
        <v>15.38</v>
      </c>
      <c r="ASA181" s="371" t="e">
        <f>ARX181*ARY181*ARZ181</f>
        <v>#DIV/0!</v>
      </c>
      <c r="ASB181" s="367" t="s">
        <v>206</v>
      </c>
      <c r="ASC181" s="367"/>
      <c r="ASD181" s="367"/>
      <c r="ASE181" s="368" t="s">
        <v>168</v>
      </c>
      <c r="ASF181" s="369">
        <v>0.5</v>
      </c>
      <c r="ASG181" s="370" t="e">
        <f>10/ASC179</f>
        <v>#DIV/0!</v>
      </c>
      <c r="ASH181" s="371">
        <v>15.38</v>
      </c>
      <c r="ASI181" s="371" t="e">
        <f>ASF181*ASG181*ASH181</f>
        <v>#DIV/0!</v>
      </c>
      <c r="ASJ181" s="367" t="s">
        <v>206</v>
      </c>
      <c r="ASK181" s="367"/>
      <c r="ASL181" s="367"/>
      <c r="ASM181" s="368" t="s">
        <v>168</v>
      </c>
      <c r="ASN181" s="369">
        <v>0.5</v>
      </c>
      <c r="ASO181" s="370" t="e">
        <f>10/ASK179</f>
        <v>#DIV/0!</v>
      </c>
      <c r="ASP181" s="371">
        <v>15.38</v>
      </c>
      <c r="ASQ181" s="371" t="e">
        <f>ASN181*ASO181*ASP181</f>
        <v>#DIV/0!</v>
      </c>
      <c r="ASR181" s="367" t="s">
        <v>206</v>
      </c>
      <c r="ASS181" s="367"/>
      <c r="AST181" s="367"/>
      <c r="ASU181" s="368" t="s">
        <v>168</v>
      </c>
      <c r="ASV181" s="369">
        <v>0.5</v>
      </c>
      <c r="ASW181" s="370" t="e">
        <f>10/ASS179</f>
        <v>#DIV/0!</v>
      </c>
      <c r="ASX181" s="371">
        <v>15.38</v>
      </c>
      <c r="ASY181" s="371" t="e">
        <f>ASV181*ASW181*ASX181</f>
        <v>#DIV/0!</v>
      </c>
      <c r="ASZ181" s="367" t="s">
        <v>206</v>
      </c>
      <c r="ATA181" s="367"/>
      <c r="ATB181" s="367"/>
      <c r="ATC181" s="368" t="s">
        <v>168</v>
      </c>
      <c r="ATD181" s="369">
        <v>0.5</v>
      </c>
      <c r="ATE181" s="370" t="e">
        <f>10/ATA179</f>
        <v>#DIV/0!</v>
      </c>
      <c r="ATF181" s="371">
        <v>15.38</v>
      </c>
      <c r="ATG181" s="371" t="e">
        <f>ATD181*ATE181*ATF181</f>
        <v>#DIV/0!</v>
      </c>
      <c r="ATH181" s="367" t="s">
        <v>206</v>
      </c>
      <c r="ATI181" s="367"/>
      <c r="ATJ181" s="367"/>
      <c r="ATK181" s="368" t="s">
        <v>168</v>
      </c>
      <c r="ATL181" s="369">
        <v>0.5</v>
      </c>
      <c r="ATM181" s="370" t="e">
        <f>10/ATI179</f>
        <v>#DIV/0!</v>
      </c>
      <c r="ATN181" s="371">
        <v>15.38</v>
      </c>
      <c r="ATO181" s="371" t="e">
        <f>ATL181*ATM181*ATN181</f>
        <v>#DIV/0!</v>
      </c>
      <c r="ATP181" s="367" t="s">
        <v>206</v>
      </c>
      <c r="ATQ181" s="367"/>
      <c r="ATR181" s="367"/>
      <c r="ATS181" s="368" t="s">
        <v>168</v>
      </c>
      <c r="ATT181" s="369">
        <v>0.5</v>
      </c>
      <c r="ATU181" s="370" t="e">
        <f>10/ATQ179</f>
        <v>#DIV/0!</v>
      </c>
      <c r="ATV181" s="371">
        <v>15.38</v>
      </c>
      <c r="ATW181" s="371" t="e">
        <f>ATT181*ATU181*ATV181</f>
        <v>#DIV/0!</v>
      </c>
      <c r="ATX181" s="367" t="s">
        <v>206</v>
      </c>
      <c r="ATY181" s="367"/>
      <c r="ATZ181" s="367"/>
      <c r="AUA181" s="368" t="s">
        <v>168</v>
      </c>
      <c r="AUB181" s="369">
        <v>0.5</v>
      </c>
      <c r="AUC181" s="370" t="e">
        <f>10/ATY179</f>
        <v>#DIV/0!</v>
      </c>
      <c r="AUD181" s="371">
        <v>15.38</v>
      </c>
      <c r="AUE181" s="371" t="e">
        <f>AUB181*AUC181*AUD181</f>
        <v>#DIV/0!</v>
      </c>
      <c r="AUF181" s="367" t="s">
        <v>206</v>
      </c>
      <c r="AUG181" s="367"/>
      <c r="AUH181" s="367"/>
      <c r="AUI181" s="368" t="s">
        <v>168</v>
      </c>
      <c r="AUJ181" s="369">
        <v>0.5</v>
      </c>
      <c r="AUK181" s="370" t="e">
        <f>10/AUG179</f>
        <v>#DIV/0!</v>
      </c>
      <c r="AUL181" s="371">
        <v>15.38</v>
      </c>
      <c r="AUM181" s="371" t="e">
        <f>AUJ181*AUK181*AUL181</f>
        <v>#DIV/0!</v>
      </c>
      <c r="AUN181" s="367" t="s">
        <v>206</v>
      </c>
      <c r="AUO181" s="367"/>
      <c r="AUP181" s="367"/>
      <c r="AUQ181" s="368" t="s">
        <v>168</v>
      </c>
      <c r="AUR181" s="369">
        <v>0.5</v>
      </c>
      <c r="AUS181" s="370" t="e">
        <f>10/AUO179</f>
        <v>#DIV/0!</v>
      </c>
      <c r="AUT181" s="371">
        <v>15.38</v>
      </c>
      <c r="AUU181" s="371" t="e">
        <f>AUR181*AUS181*AUT181</f>
        <v>#DIV/0!</v>
      </c>
      <c r="AUV181" s="367" t="s">
        <v>206</v>
      </c>
      <c r="AUW181" s="367"/>
      <c r="AUX181" s="367"/>
      <c r="AUY181" s="368" t="s">
        <v>168</v>
      </c>
      <c r="AUZ181" s="369">
        <v>0.5</v>
      </c>
      <c r="AVA181" s="370" t="e">
        <f>10/AUW179</f>
        <v>#DIV/0!</v>
      </c>
      <c r="AVB181" s="371">
        <v>15.38</v>
      </c>
      <c r="AVC181" s="371" t="e">
        <f>AUZ181*AVA181*AVB181</f>
        <v>#DIV/0!</v>
      </c>
      <c r="AVD181" s="367" t="s">
        <v>206</v>
      </c>
      <c r="AVE181" s="367"/>
      <c r="AVF181" s="367"/>
      <c r="AVG181" s="368" t="s">
        <v>168</v>
      </c>
      <c r="AVH181" s="369">
        <v>0.5</v>
      </c>
      <c r="AVI181" s="370" t="e">
        <f>10/AVE179</f>
        <v>#DIV/0!</v>
      </c>
      <c r="AVJ181" s="371">
        <v>15.38</v>
      </c>
      <c r="AVK181" s="371" t="e">
        <f>AVH181*AVI181*AVJ181</f>
        <v>#DIV/0!</v>
      </c>
      <c r="AVL181" s="367" t="s">
        <v>206</v>
      </c>
      <c r="AVM181" s="367"/>
      <c r="AVN181" s="367"/>
      <c r="AVO181" s="368" t="s">
        <v>168</v>
      </c>
      <c r="AVP181" s="369">
        <v>0.5</v>
      </c>
      <c r="AVQ181" s="370" t="e">
        <f>10/AVM179</f>
        <v>#DIV/0!</v>
      </c>
      <c r="AVR181" s="371">
        <v>15.38</v>
      </c>
      <c r="AVS181" s="371" t="e">
        <f>AVP181*AVQ181*AVR181</f>
        <v>#DIV/0!</v>
      </c>
      <c r="AVT181" s="367" t="s">
        <v>206</v>
      </c>
      <c r="AVU181" s="367"/>
      <c r="AVV181" s="367"/>
      <c r="AVW181" s="368" t="s">
        <v>168</v>
      </c>
      <c r="AVX181" s="369">
        <v>0.5</v>
      </c>
      <c r="AVY181" s="370" t="e">
        <f>10/AVU179</f>
        <v>#DIV/0!</v>
      </c>
      <c r="AVZ181" s="371">
        <v>15.38</v>
      </c>
      <c r="AWA181" s="371" t="e">
        <f>AVX181*AVY181*AVZ181</f>
        <v>#DIV/0!</v>
      </c>
      <c r="AWB181" s="367" t="s">
        <v>206</v>
      </c>
      <c r="AWC181" s="367"/>
      <c r="AWD181" s="367"/>
      <c r="AWE181" s="368" t="s">
        <v>168</v>
      </c>
      <c r="AWF181" s="369">
        <v>0.5</v>
      </c>
      <c r="AWG181" s="370" t="e">
        <f>10/AWC179</f>
        <v>#DIV/0!</v>
      </c>
      <c r="AWH181" s="371">
        <v>15.38</v>
      </c>
      <c r="AWI181" s="371" t="e">
        <f>AWF181*AWG181*AWH181</f>
        <v>#DIV/0!</v>
      </c>
      <c r="AWJ181" s="367" t="s">
        <v>206</v>
      </c>
      <c r="AWK181" s="367"/>
      <c r="AWL181" s="367"/>
      <c r="AWM181" s="368" t="s">
        <v>168</v>
      </c>
      <c r="AWN181" s="369">
        <v>0.5</v>
      </c>
      <c r="AWO181" s="370" t="e">
        <f>10/AWK179</f>
        <v>#DIV/0!</v>
      </c>
      <c r="AWP181" s="371">
        <v>15.38</v>
      </c>
      <c r="AWQ181" s="371" t="e">
        <f>AWN181*AWO181*AWP181</f>
        <v>#DIV/0!</v>
      </c>
      <c r="AWR181" s="367" t="s">
        <v>206</v>
      </c>
      <c r="AWS181" s="367"/>
      <c r="AWT181" s="367"/>
      <c r="AWU181" s="368" t="s">
        <v>168</v>
      </c>
      <c r="AWV181" s="369">
        <v>0.5</v>
      </c>
      <c r="AWW181" s="370" t="e">
        <f>10/AWS179</f>
        <v>#DIV/0!</v>
      </c>
      <c r="AWX181" s="371">
        <v>15.38</v>
      </c>
      <c r="AWY181" s="371" t="e">
        <f>AWV181*AWW181*AWX181</f>
        <v>#DIV/0!</v>
      </c>
      <c r="AWZ181" s="367" t="s">
        <v>206</v>
      </c>
      <c r="AXA181" s="367"/>
      <c r="AXB181" s="367"/>
      <c r="AXC181" s="368" t="s">
        <v>168</v>
      </c>
      <c r="AXD181" s="369">
        <v>0.5</v>
      </c>
      <c r="AXE181" s="370" t="e">
        <f>10/AXA179</f>
        <v>#DIV/0!</v>
      </c>
      <c r="AXF181" s="371">
        <v>15.38</v>
      </c>
      <c r="AXG181" s="371" t="e">
        <f>AXD181*AXE181*AXF181</f>
        <v>#DIV/0!</v>
      </c>
      <c r="AXH181" s="367" t="s">
        <v>206</v>
      </c>
      <c r="AXI181" s="367"/>
      <c r="AXJ181" s="367"/>
      <c r="AXK181" s="368" t="s">
        <v>168</v>
      </c>
      <c r="AXL181" s="369">
        <v>0.5</v>
      </c>
      <c r="AXM181" s="370" t="e">
        <f>10/AXI179</f>
        <v>#DIV/0!</v>
      </c>
      <c r="AXN181" s="371">
        <v>15.38</v>
      </c>
      <c r="AXO181" s="371" t="e">
        <f>AXL181*AXM181*AXN181</f>
        <v>#DIV/0!</v>
      </c>
      <c r="AXP181" s="367" t="s">
        <v>206</v>
      </c>
      <c r="AXQ181" s="367"/>
      <c r="AXR181" s="367"/>
      <c r="AXS181" s="368" t="s">
        <v>168</v>
      </c>
      <c r="AXT181" s="369">
        <v>0.5</v>
      </c>
      <c r="AXU181" s="370" t="e">
        <f>10/AXQ179</f>
        <v>#DIV/0!</v>
      </c>
      <c r="AXV181" s="371">
        <v>15.38</v>
      </c>
      <c r="AXW181" s="371" t="e">
        <f>AXT181*AXU181*AXV181</f>
        <v>#DIV/0!</v>
      </c>
      <c r="AXX181" s="367" t="s">
        <v>206</v>
      </c>
      <c r="AXY181" s="367"/>
      <c r="AXZ181" s="367"/>
      <c r="AYA181" s="368" t="s">
        <v>168</v>
      </c>
      <c r="AYB181" s="369">
        <v>0.5</v>
      </c>
      <c r="AYC181" s="370" t="e">
        <f>10/AXY179</f>
        <v>#DIV/0!</v>
      </c>
      <c r="AYD181" s="371">
        <v>15.38</v>
      </c>
      <c r="AYE181" s="371" t="e">
        <f>AYB181*AYC181*AYD181</f>
        <v>#DIV/0!</v>
      </c>
      <c r="AYF181" s="367" t="s">
        <v>206</v>
      </c>
      <c r="AYG181" s="367"/>
      <c r="AYH181" s="367"/>
      <c r="AYI181" s="368" t="s">
        <v>168</v>
      </c>
      <c r="AYJ181" s="369">
        <v>0.5</v>
      </c>
      <c r="AYK181" s="370" t="e">
        <f>10/AYG179</f>
        <v>#DIV/0!</v>
      </c>
      <c r="AYL181" s="371">
        <v>15.38</v>
      </c>
      <c r="AYM181" s="371" t="e">
        <f>AYJ181*AYK181*AYL181</f>
        <v>#DIV/0!</v>
      </c>
      <c r="AYN181" s="367" t="s">
        <v>206</v>
      </c>
      <c r="AYO181" s="367"/>
      <c r="AYP181" s="367"/>
      <c r="AYQ181" s="368" t="s">
        <v>168</v>
      </c>
      <c r="AYR181" s="369">
        <v>0.5</v>
      </c>
      <c r="AYS181" s="370" t="e">
        <f>10/AYO179</f>
        <v>#DIV/0!</v>
      </c>
      <c r="AYT181" s="371">
        <v>15.38</v>
      </c>
      <c r="AYU181" s="371" t="e">
        <f>AYR181*AYS181*AYT181</f>
        <v>#DIV/0!</v>
      </c>
      <c r="AYV181" s="367" t="s">
        <v>206</v>
      </c>
      <c r="AYW181" s="367"/>
      <c r="AYX181" s="367"/>
      <c r="AYY181" s="368" t="s">
        <v>168</v>
      </c>
      <c r="AYZ181" s="369">
        <v>0.5</v>
      </c>
      <c r="AZA181" s="370" t="e">
        <f>10/AYW179</f>
        <v>#DIV/0!</v>
      </c>
      <c r="AZB181" s="371">
        <v>15.38</v>
      </c>
      <c r="AZC181" s="371" t="e">
        <f>AYZ181*AZA181*AZB181</f>
        <v>#DIV/0!</v>
      </c>
      <c r="AZD181" s="367" t="s">
        <v>206</v>
      </c>
      <c r="AZE181" s="367"/>
      <c r="AZF181" s="367"/>
      <c r="AZG181" s="368" t="s">
        <v>168</v>
      </c>
      <c r="AZH181" s="369">
        <v>0.5</v>
      </c>
      <c r="AZI181" s="370" t="e">
        <f>10/AZE179</f>
        <v>#DIV/0!</v>
      </c>
      <c r="AZJ181" s="371">
        <v>15.38</v>
      </c>
      <c r="AZK181" s="371" t="e">
        <f>AZH181*AZI181*AZJ181</f>
        <v>#DIV/0!</v>
      </c>
      <c r="AZL181" s="367" t="s">
        <v>206</v>
      </c>
      <c r="AZM181" s="367"/>
      <c r="AZN181" s="367"/>
      <c r="AZO181" s="368" t="s">
        <v>168</v>
      </c>
      <c r="AZP181" s="369">
        <v>0.5</v>
      </c>
      <c r="AZQ181" s="370" t="e">
        <f>10/AZM179</f>
        <v>#DIV/0!</v>
      </c>
      <c r="AZR181" s="371">
        <v>15.38</v>
      </c>
      <c r="AZS181" s="371" t="e">
        <f>AZP181*AZQ181*AZR181</f>
        <v>#DIV/0!</v>
      </c>
      <c r="AZT181" s="367" t="s">
        <v>206</v>
      </c>
      <c r="AZU181" s="367"/>
      <c r="AZV181" s="367"/>
      <c r="AZW181" s="368" t="s">
        <v>168</v>
      </c>
      <c r="AZX181" s="369">
        <v>0.5</v>
      </c>
      <c r="AZY181" s="370" t="e">
        <f>10/AZU179</f>
        <v>#DIV/0!</v>
      </c>
      <c r="AZZ181" s="371">
        <v>15.38</v>
      </c>
      <c r="BAA181" s="371" t="e">
        <f>AZX181*AZY181*AZZ181</f>
        <v>#DIV/0!</v>
      </c>
      <c r="BAB181" s="367" t="s">
        <v>206</v>
      </c>
      <c r="BAC181" s="367"/>
      <c r="BAD181" s="367"/>
      <c r="BAE181" s="368" t="s">
        <v>168</v>
      </c>
      <c r="BAF181" s="369">
        <v>0.5</v>
      </c>
      <c r="BAG181" s="370" t="e">
        <f>10/BAC179</f>
        <v>#DIV/0!</v>
      </c>
      <c r="BAH181" s="371">
        <v>15.38</v>
      </c>
      <c r="BAI181" s="371" t="e">
        <f>BAF181*BAG181*BAH181</f>
        <v>#DIV/0!</v>
      </c>
      <c r="BAJ181" s="367" t="s">
        <v>206</v>
      </c>
      <c r="BAK181" s="367"/>
      <c r="BAL181" s="367"/>
      <c r="BAM181" s="368" t="s">
        <v>168</v>
      </c>
      <c r="BAN181" s="369">
        <v>0.5</v>
      </c>
      <c r="BAO181" s="370" t="e">
        <f>10/BAK179</f>
        <v>#DIV/0!</v>
      </c>
      <c r="BAP181" s="371">
        <v>15.38</v>
      </c>
      <c r="BAQ181" s="371" t="e">
        <f>BAN181*BAO181*BAP181</f>
        <v>#DIV/0!</v>
      </c>
      <c r="BAR181" s="367" t="s">
        <v>206</v>
      </c>
      <c r="BAS181" s="367"/>
      <c r="BAT181" s="367"/>
      <c r="BAU181" s="368" t="s">
        <v>168</v>
      </c>
      <c r="BAV181" s="369">
        <v>0.5</v>
      </c>
      <c r="BAW181" s="370" t="e">
        <f>10/BAS179</f>
        <v>#DIV/0!</v>
      </c>
      <c r="BAX181" s="371">
        <v>15.38</v>
      </c>
      <c r="BAY181" s="371" t="e">
        <f>BAV181*BAW181*BAX181</f>
        <v>#DIV/0!</v>
      </c>
      <c r="BAZ181" s="367" t="s">
        <v>206</v>
      </c>
      <c r="BBA181" s="367"/>
      <c r="BBB181" s="367"/>
      <c r="BBC181" s="368" t="s">
        <v>168</v>
      </c>
      <c r="BBD181" s="369">
        <v>0.5</v>
      </c>
      <c r="BBE181" s="370" t="e">
        <f>10/BBA179</f>
        <v>#DIV/0!</v>
      </c>
      <c r="BBF181" s="371">
        <v>15.38</v>
      </c>
      <c r="BBG181" s="371" t="e">
        <f>BBD181*BBE181*BBF181</f>
        <v>#DIV/0!</v>
      </c>
      <c r="BBH181" s="367" t="s">
        <v>206</v>
      </c>
      <c r="BBI181" s="367"/>
      <c r="BBJ181" s="367"/>
      <c r="BBK181" s="368" t="s">
        <v>168</v>
      </c>
      <c r="BBL181" s="369">
        <v>0.5</v>
      </c>
      <c r="BBM181" s="370" t="e">
        <f>10/BBI179</f>
        <v>#DIV/0!</v>
      </c>
      <c r="BBN181" s="371">
        <v>15.38</v>
      </c>
      <c r="BBO181" s="371" t="e">
        <f>BBL181*BBM181*BBN181</f>
        <v>#DIV/0!</v>
      </c>
      <c r="BBP181" s="367" t="s">
        <v>206</v>
      </c>
      <c r="BBQ181" s="367"/>
      <c r="BBR181" s="367"/>
      <c r="BBS181" s="368" t="s">
        <v>168</v>
      </c>
      <c r="BBT181" s="369">
        <v>0.5</v>
      </c>
      <c r="BBU181" s="370" t="e">
        <f>10/BBQ179</f>
        <v>#DIV/0!</v>
      </c>
      <c r="BBV181" s="371">
        <v>15.38</v>
      </c>
      <c r="BBW181" s="371" t="e">
        <f>BBT181*BBU181*BBV181</f>
        <v>#DIV/0!</v>
      </c>
      <c r="BBX181" s="367" t="s">
        <v>206</v>
      </c>
      <c r="BBY181" s="367"/>
      <c r="BBZ181" s="367"/>
      <c r="BCA181" s="368" t="s">
        <v>168</v>
      </c>
      <c r="BCB181" s="369">
        <v>0.5</v>
      </c>
      <c r="BCC181" s="370" t="e">
        <f>10/BBY179</f>
        <v>#DIV/0!</v>
      </c>
      <c r="BCD181" s="371">
        <v>15.38</v>
      </c>
      <c r="BCE181" s="371" t="e">
        <f>BCB181*BCC181*BCD181</f>
        <v>#DIV/0!</v>
      </c>
      <c r="BCF181" s="367" t="s">
        <v>206</v>
      </c>
      <c r="BCG181" s="367"/>
      <c r="BCH181" s="367"/>
      <c r="BCI181" s="368" t="s">
        <v>168</v>
      </c>
      <c r="BCJ181" s="369">
        <v>0.5</v>
      </c>
      <c r="BCK181" s="370" t="e">
        <f>10/BCG179</f>
        <v>#DIV/0!</v>
      </c>
      <c r="BCL181" s="371">
        <v>15.38</v>
      </c>
      <c r="BCM181" s="371" t="e">
        <f>BCJ181*BCK181*BCL181</f>
        <v>#DIV/0!</v>
      </c>
      <c r="BCN181" s="367" t="s">
        <v>206</v>
      </c>
      <c r="BCO181" s="367"/>
      <c r="BCP181" s="367"/>
      <c r="BCQ181" s="368" t="s">
        <v>168</v>
      </c>
      <c r="BCR181" s="369">
        <v>0.5</v>
      </c>
      <c r="BCS181" s="370" t="e">
        <f>10/BCO179</f>
        <v>#DIV/0!</v>
      </c>
      <c r="BCT181" s="371">
        <v>15.38</v>
      </c>
      <c r="BCU181" s="371" t="e">
        <f>BCR181*BCS181*BCT181</f>
        <v>#DIV/0!</v>
      </c>
      <c r="BCV181" s="367" t="s">
        <v>206</v>
      </c>
      <c r="BCW181" s="367"/>
      <c r="BCX181" s="367"/>
      <c r="BCY181" s="368" t="s">
        <v>168</v>
      </c>
      <c r="BCZ181" s="369">
        <v>0.5</v>
      </c>
      <c r="BDA181" s="370" t="e">
        <f>10/BCW179</f>
        <v>#DIV/0!</v>
      </c>
      <c r="BDB181" s="371">
        <v>15.38</v>
      </c>
      <c r="BDC181" s="371" t="e">
        <f>BCZ181*BDA181*BDB181</f>
        <v>#DIV/0!</v>
      </c>
      <c r="BDD181" s="367" t="s">
        <v>206</v>
      </c>
      <c r="BDE181" s="367"/>
      <c r="BDF181" s="367"/>
      <c r="BDG181" s="368" t="s">
        <v>168</v>
      </c>
      <c r="BDH181" s="369">
        <v>0.5</v>
      </c>
      <c r="BDI181" s="370" t="e">
        <f>10/BDE179</f>
        <v>#DIV/0!</v>
      </c>
      <c r="BDJ181" s="371">
        <v>15.38</v>
      </c>
      <c r="BDK181" s="371" t="e">
        <f>BDH181*BDI181*BDJ181</f>
        <v>#DIV/0!</v>
      </c>
      <c r="BDL181" s="367" t="s">
        <v>206</v>
      </c>
      <c r="BDM181" s="367"/>
      <c r="BDN181" s="367"/>
      <c r="BDO181" s="368" t="s">
        <v>168</v>
      </c>
      <c r="BDP181" s="369">
        <v>0.5</v>
      </c>
      <c r="BDQ181" s="370" t="e">
        <f>10/BDM179</f>
        <v>#DIV/0!</v>
      </c>
      <c r="BDR181" s="371">
        <v>15.38</v>
      </c>
      <c r="BDS181" s="371" t="e">
        <f>BDP181*BDQ181*BDR181</f>
        <v>#DIV/0!</v>
      </c>
      <c r="BDT181" s="367" t="s">
        <v>206</v>
      </c>
      <c r="BDU181" s="367"/>
      <c r="BDV181" s="367"/>
      <c r="BDW181" s="368" t="s">
        <v>168</v>
      </c>
      <c r="BDX181" s="369">
        <v>0.5</v>
      </c>
      <c r="BDY181" s="370" t="e">
        <f>10/BDU179</f>
        <v>#DIV/0!</v>
      </c>
      <c r="BDZ181" s="371">
        <v>15.38</v>
      </c>
      <c r="BEA181" s="371" t="e">
        <f>BDX181*BDY181*BDZ181</f>
        <v>#DIV/0!</v>
      </c>
      <c r="BEB181" s="367" t="s">
        <v>206</v>
      </c>
      <c r="BEC181" s="367"/>
      <c r="BED181" s="367"/>
      <c r="BEE181" s="368" t="s">
        <v>168</v>
      </c>
      <c r="BEF181" s="369">
        <v>0.5</v>
      </c>
      <c r="BEG181" s="370" t="e">
        <f>10/BEC179</f>
        <v>#DIV/0!</v>
      </c>
      <c r="BEH181" s="371">
        <v>15.38</v>
      </c>
      <c r="BEI181" s="371" t="e">
        <f>BEF181*BEG181*BEH181</f>
        <v>#DIV/0!</v>
      </c>
      <c r="BEJ181" s="367" t="s">
        <v>206</v>
      </c>
      <c r="BEK181" s="367"/>
      <c r="BEL181" s="367"/>
      <c r="BEM181" s="368" t="s">
        <v>168</v>
      </c>
      <c r="BEN181" s="369">
        <v>0.5</v>
      </c>
      <c r="BEO181" s="370" t="e">
        <f>10/BEK179</f>
        <v>#DIV/0!</v>
      </c>
      <c r="BEP181" s="371">
        <v>15.38</v>
      </c>
      <c r="BEQ181" s="371" t="e">
        <f>BEN181*BEO181*BEP181</f>
        <v>#DIV/0!</v>
      </c>
      <c r="BER181" s="367" t="s">
        <v>206</v>
      </c>
      <c r="BES181" s="367"/>
      <c r="BET181" s="367"/>
      <c r="BEU181" s="368" t="s">
        <v>168</v>
      </c>
      <c r="BEV181" s="369">
        <v>0.5</v>
      </c>
      <c r="BEW181" s="370" t="e">
        <f>10/BES179</f>
        <v>#DIV/0!</v>
      </c>
      <c r="BEX181" s="371">
        <v>15.38</v>
      </c>
      <c r="BEY181" s="371" t="e">
        <f>BEV181*BEW181*BEX181</f>
        <v>#DIV/0!</v>
      </c>
      <c r="BEZ181" s="367" t="s">
        <v>206</v>
      </c>
      <c r="BFA181" s="367"/>
      <c r="BFB181" s="367"/>
      <c r="BFC181" s="368" t="s">
        <v>168</v>
      </c>
      <c r="BFD181" s="369">
        <v>0.5</v>
      </c>
      <c r="BFE181" s="370" t="e">
        <f>10/BFA179</f>
        <v>#DIV/0!</v>
      </c>
      <c r="BFF181" s="371">
        <v>15.38</v>
      </c>
      <c r="BFG181" s="371" t="e">
        <f>BFD181*BFE181*BFF181</f>
        <v>#DIV/0!</v>
      </c>
      <c r="BFH181" s="367" t="s">
        <v>206</v>
      </c>
      <c r="BFI181" s="367"/>
      <c r="BFJ181" s="367"/>
      <c r="BFK181" s="368" t="s">
        <v>168</v>
      </c>
      <c r="BFL181" s="369">
        <v>0.5</v>
      </c>
      <c r="BFM181" s="370" t="e">
        <f>10/BFI179</f>
        <v>#DIV/0!</v>
      </c>
      <c r="BFN181" s="371">
        <v>15.38</v>
      </c>
      <c r="BFO181" s="371" t="e">
        <f>BFL181*BFM181*BFN181</f>
        <v>#DIV/0!</v>
      </c>
      <c r="BFP181" s="367" t="s">
        <v>206</v>
      </c>
      <c r="BFQ181" s="367"/>
      <c r="BFR181" s="367"/>
      <c r="BFS181" s="368" t="s">
        <v>168</v>
      </c>
      <c r="BFT181" s="369">
        <v>0.5</v>
      </c>
      <c r="BFU181" s="370" t="e">
        <f>10/BFQ179</f>
        <v>#DIV/0!</v>
      </c>
      <c r="BFV181" s="371">
        <v>15.38</v>
      </c>
      <c r="BFW181" s="371" t="e">
        <f>BFT181*BFU181*BFV181</f>
        <v>#DIV/0!</v>
      </c>
      <c r="BFX181" s="367" t="s">
        <v>206</v>
      </c>
      <c r="BFY181" s="367"/>
      <c r="BFZ181" s="367"/>
      <c r="BGA181" s="368" t="s">
        <v>168</v>
      </c>
      <c r="BGB181" s="369">
        <v>0.5</v>
      </c>
      <c r="BGC181" s="370" t="e">
        <f>10/BFY179</f>
        <v>#DIV/0!</v>
      </c>
      <c r="BGD181" s="371">
        <v>15.38</v>
      </c>
      <c r="BGE181" s="371" t="e">
        <f>BGB181*BGC181*BGD181</f>
        <v>#DIV/0!</v>
      </c>
      <c r="BGF181" s="367" t="s">
        <v>206</v>
      </c>
      <c r="BGG181" s="367"/>
      <c r="BGH181" s="367"/>
      <c r="BGI181" s="368" t="s">
        <v>168</v>
      </c>
      <c r="BGJ181" s="369">
        <v>0.5</v>
      </c>
      <c r="BGK181" s="370" t="e">
        <f>10/BGG179</f>
        <v>#DIV/0!</v>
      </c>
      <c r="BGL181" s="371">
        <v>15.38</v>
      </c>
      <c r="BGM181" s="371" t="e">
        <f>BGJ181*BGK181*BGL181</f>
        <v>#DIV/0!</v>
      </c>
      <c r="BGN181" s="367" t="s">
        <v>206</v>
      </c>
      <c r="BGO181" s="367"/>
      <c r="BGP181" s="367"/>
      <c r="BGQ181" s="368" t="s">
        <v>168</v>
      </c>
      <c r="BGR181" s="369">
        <v>0.5</v>
      </c>
      <c r="BGS181" s="370" t="e">
        <f>10/BGO179</f>
        <v>#DIV/0!</v>
      </c>
      <c r="BGT181" s="371">
        <v>15.38</v>
      </c>
      <c r="BGU181" s="371" t="e">
        <f>BGR181*BGS181*BGT181</f>
        <v>#DIV/0!</v>
      </c>
      <c r="BGV181" s="367" t="s">
        <v>206</v>
      </c>
      <c r="BGW181" s="367"/>
      <c r="BGX181" s="367"/>
      <c r="BGY181" s="368" t="s">
        <v>168</v>
      </c>
      <c r="BGZ181" s="369">
        <v>0.5</v>
      </c>
      <c r="BHA181" s="370" t="e">
        <f>10/BGW179</f>
        <v>#DIV/0!</v>
      </c>
      <c r="BHB181" s="371">
        <v>15.38</v>
      </c>
      <c r="BHC181" s="371" t="e">
        <f>BGZ181*BHA181*BHB181</f>
        <v>#DIV/0!</v>
      </c>
      <c r="BHD181" s="367" t="s">
        <v>206</v>
      </c>
      <c r="BHE181" s="367"/>
      <c r="BHF181" s="367"/>
      <c r="BHG181" s="368" t="s">
        <v>168</v>
      </c>
      <c r="BHH181" s="369">
        <v>0.5</v>
      </c>
      <c r="BHI181" s="370" t="e">
        <f>10/BHE179</f>
        <v>#DIV/0!</v>
      </c>
      <c r="BHJ181" s="371">
        <v>15.38</v>
      </c>
      <c r="BHK181" s="371" t="e">
        <f>BHH181*BHI181*BHJ181</f>
        <v>#DIV/0!</v>
      </c>
      <c r="BHL181" s="367" t="s">
        <v>206</v>
      </c>
      <c r="BHM181" s="367"/>
      <c r="BHN181" s="367"/>
      <c r="BHO181" s="368" t="s">
        <v>168</v>
      </c>
      <c r="BHP181" s="369">
        <v>0.5</v>
      </c>
      <c r="BHQ181" s="370" t="e">
        <f>10/BHM179</f>
        <v>#DIV/0!</v>
      </c>
      <c r="BHR181" s="371">
        <v>15.38</v>
      </c>
      <c r="BHS181" s="371" t="e">
        <f>BHP181*BHQ181*BHR181</f>
        <v>#DIV/0!</v>
      </c>
      <c r="BHT181" s="367" t="s">
        <v>206</v>
      </c>
      <c r="BHU181" s="367"/>
      <c r="BHV181" s="367"/>
      <c r="BHW181" s="368" t="s">
        <v>168</v>
      </c>
      <c r="BHX181" s="369">
        <v>0.5</v>
      </c>
      <c r="BHY181" s="370" t="e">
        <f>10/BHU179</f>
        <v>#DIV/0!</v>
      </c>
      <c r="BHZ181" s="371">
        <v>15.38</v>
      </c>
      <c r="BIA181" s="371" t="e">
        <f>BHX181*BHY181*BHZ181</f>
        <v>#DIV/0!</v>
      </c>
      <c r="BIB181" s="367" t="s">
        <v>206</v>
      </c>
      <c r="BIC181" s="367"/>
      <c r="BID181" s="367"/>
      <c r="BIE181" s="368" t="s">
        <v>168</v>
      </c>
      <c r="BIF181" s="369">
        <v>0.5</v>
      </c>
      <c r="BIG181" s="370" t="e">
        <f>10/BIC179</f>
        <v>#DIV/0!</v>
      </c>
      <c r="BIH181" s="371">
        <v>15.38</v>
      </c>
      <c r="BII181" s="371" t="e">
        <f>BIF181*BIG181*BIH181</f>
        <v>#DIV/0!</v>
      </c>
      <c r="BIJ181" s="367" t="s">
        <v>206</v>
      </c>
      <c r="BIK181" s="367"/>
      <c r="BIL181" s="367"/>
      <c r="BIM181" s="368" t="s">
        <v>168</v>
      </c>
      <c r="BIN181" s="369">
        <v>0.5</v>
      </c>
      <c r="BIO181" s="370" t="e">
        <f>10/BIK179</f>
        <v>#DIV/0!</v>
      </c>
      <c r="BIP181" s="371">
        <v>15.38</v>
      </c>
      <c r="BIQ181" s="371" t="e">
        <f>BIN181*BIO181*BIP181</f>
        <v>#DIV/0!</v>
      </c>
      <c r="BIR181" s="367" t="s">
        <v>206</v>
      </c>
      <c r="BIS181" s="367"/>
      <c r="BIT181" s="367"/>
      <c r="BIU181" s="368" t="s">
        <v>168</v>
      </c>
      <c r="BIV181" s="369">
        <v>0.5</v>
      </c>
      <c r="BIW181" s="370" t="e">
        <f>10/BIS179</f>
        <v>#DIV/0!</v>
      </c>
      <c r="BIX181" s="371">
        <v>15.38</v>
      </c>
      <c r="BIY181" s="371" t="e">
        <f>BIV181*BIW181*BIX181</f>
        <v>#DIV/0!</v>
      </c>
      <c r="BIZ181" s="367" t="s">
        <v>206</v>
      </c>
      <c r="BJA181" s="367"/>
      <c r="BJB181" s="367"/>
      <c r="BJC181" s="368" t="s">
        <v>168</v>
      </c>
      <c r="BJD181" s="369">
        <v>0.5</v>
      </c>
      <c r="BJE181" s="370" t="e">
        <f>10/BJA179</f>
        <v>#DIV/0!</v>
      </c>
      <c r="BJF181" s="371">
        <v>15.38</v>
      </c>
      <c r="BJG181" s="371" t="e">
        <f>BJD181*BJE181*BJF181</f>
        <v>#DIV/0!</v>
      </c>
      <c r="BJH181" s="367" t="s">
        <v>206</v>
      </c>
      <c r="BJI181" s="367"/>
      <c r="BJJ181" s="367"/>
      <c r="BJK181" s="368" t="s">
        <v>168</v>
      </c>
      <c r="BJL181" s="369">
        <v>0.5</v>
      </c>
      <c r="BJM181" s="370" t="e">
        <f>10/BJI179</f>
        <v>#DIV/0!</v>
      </c>
      <c r="BJN181" s="371">
        <v>15.38</v>
      </c>
      <c r="BJO181" s="371" t="e">
        <f>BJL181*BJM181*BJN181</f>
        <v>#DIV/0!</v>
      </c>
      <c r="BJP181" s="367" t="s">
        <v>206</v>
      </c>
      <c r="BJQ181" s="367"/>
      <c r="BJR181" s="367"/>
      <c r="BJS181" s="368" t="s">
        <v>168</v>
      </c>
      <c r="BJT181" s="369">
        <v>0.5</v>
      </c>
      <c r="BJU181" s="370" t="e">
        <f>10/BJQ179</f>
        <v>#DIV/0!</v>
      </c>
      <c r="BJV181" s="371">
        <v>15.38</v>
      </c>
      <c r="BJW181" s="371" t="e">
        <f>BJT181*BJU181*BJV181</f>
        <v>#DIV/0!</v>
      </c>
      <c r="BJX181" s="367" t="s">
        <v>206</v>
      </c>
      <c r="BJY181" s="367"/>
      <c r="BJZ181" s="367"/>
      <c r="BKA181" s="368" t="s">
        <v>168</v>
      </c>
      <c r="BKB181" s="369">
        <v>0.5</v>
      </c>
      <c r="BKC181" s="370" t="e">
        <f>10/BJY179</f>
        <v>#DIV/0!</v>
      </c>
      <c r="BKD181" s="371">
        <v>15.38</v>
      </c>
      <c r="BKE181" s="371" t="e">
        <f>BKB181*BKC181*BKD181</f>
        <v>#DIV/0!</v>
      </c>
      <c r="BKF181" s="367" t="s">
        <v>206</v>
      </c>
      <c r="BKG181" s="367"/>
      <c r="BKH181" s="367"/>
      <c r="BKI181" s="368" t="s">
        <v>168</v>
      </c>
      <c r="BKJ181" s="369">
        <v>0.5</v>
      </c>
      <c r="BKK181" s="370" t="e">
        <f>10/BKG179</f>
        <v>#DIV/0!</v>
      </c>
      <c r="BKL181" s="371">
        <v>15.38</v>
      </c>
      <c r="BKM181" s="371" t="e">
        <f>BKJ181*BKK181*BKL181</f>
        <v>#DIV/0!</v>
      </c>
      <c r="BKN181" s="367" t="s">
        <v>206</v>
      </c>
      <c r="BKO181" s="367"/>
      <c r="BKP181" s="367"/>
      <c r="BKQ181" s="368" t="s">
        <v>168</v>
      </c>
      <c r="BKR181" s="369">
        <v>0.5</v>
      </c>
      <c r="BKS181" s="370" t="e">
        <f>10/BKO179</f>
        <v>#DIV/0!</v>
      </c>
      <c r="BKT181" s="371">
        <v>15.38</v>
      </c>
      <c r="BKU181" s="371" t="e">
        <f>BKR181*BKS181*BKT181</f>
        <v>#DIV/0!</v>
      </c>
      <c r="BKV181" s="367" t="s">
        <v>206</v>
      </c>
      <c r="BKW181" s="367"/>
      <c r="BKX181" s="367"/>
      <c r="BKY181" s="368" t="s">
        <v>168</v>
      </c>
      <c r="BKZ181" s="369">
        <v>0.5</v>
      </c>
      <c r="BLA181" s="370" t="e">
        <f>10/BKW179</f>
        <v>#DIV/0!</v>
      </c>
      <c r="BLB181" s="371">
        <v>15.38</v>
      </c>
      <c r="BLC181" s="371" t="e">
        <f>BKZ181*BLA181*BLB181</f>
        <v>#DIV/0!</v>
      </c>
      <c r="BLD181" s="367" t="s">
        <v>206</v>
      </c>
      <c r="BLE181" s="367"/>
      <c r="BLF181" s="367"/>
      <c r="BLG181" s="368" t="s">
        <v>168</v>
      </c>
      <c r="BLH181" s="369">
        <v>0.5</v>
      </c>
      <c r="BLI181" s="370" t="e">
        <f>10/BLE179</f>
        <v>#DIV/0!</v>
      </c>
      <c r="BLJ181" s="371">
        <v>15.38</v>
      </c>
      <c r="BLK181" s="371" t="e">
        <f>BLH181*BLI181*BLJ181</f>
        <v>#DIV/0!</v>
      </c>
      <c r="BLL181" s="367" t="s">
        <v>206</v>
      </c>
      <c r="BLM181" s="367"/>
      <c r="BLN181" s="367"/>
      <c r="BLO181" s="368" t="s">
        <v>168</v>
      </c>
      <c r="BLP181" s="369">
        <v>0.5</v>
      </c>
      <c r="BLQ181" s="370" t="e">
        <f>10/BLM179</f>
        <v>#DIV/0!</v>
      </c>
      <c r="BLR181" s="371">
        <v>15.38</v>
      </c>
      <c r="BLS181" s="371" t="e">
        <f>BLP181*BLQ181*BLR181</f>
        <v>#DIV/0!</v>
      </c>
      <c r="BLT181" s="367" t="s">
        <v>206</v>
      </c>
      <c r="BLU181" s="367"/>
      <c r="BLV181" s="367"/>
      <c r="BLW181" s="368" t="s">
        <v>168</v>
      </c>
      <c r="BLX181" s="369">
        <v>0.5</v>
      </c>
      <c r="BLY181" s="370" t="e">
        <f>10/BLU179</f>
        <v>#DIV/0!</v>
      </c>
      <c r="BLZ181" s="371">
        <v>15.38</v>
      </c>
      <c r="BMA181" s="371" t="e">
        <f>BLX181*BLY181*BLZ181</f>
        <v>#DIV/0!</v>
      </c>
      <c r="BMB181" s="367" t="s">
        <v>206</v>
      </c>
      <c r="BMC181" s="367"/>
      <c r="BMD181" s="367"/>
      <c r="BME181" s="368" t="s">
        <v>168</v>
      </c>
      <c r="BMF181" s="369">
        <v>0.5</v>
      </c>
      <c r="BMG181" s="370" t="e">
        <f>10/BMC179</f>
        <v>#DIV/0!</v>
      </c>
      <c r="BMH181" s="371">
        <v>15.38</v>
      </c>
      <c r="BMI181" s="371" t="e">
        <f>BMF181*BMG181*BMH181</f>
        <v>#DIV/0!</v>
      </c>
      <c r="BMJ181" s="367" t="s">
        <v>206</v>
      </c>
      <c r="BMK181" s="367"/>
      <c r="BML181" s="367"/>
      <c r="BMM181" s="368" t="s">
        <v>168</v>
      </c>
      <c r="BMN181" s="369">
        <v>0.5</v>
      </c>
      <c r="BMO181" s="370" t="e">
        <f>10/BMK179</f>
        <v>#DIV/0!</v>
      </c>
      <c r="BMP181" s="371">
        <v>15.38</v>
      </c>
      <c r="BMQ181" s="371" t="e">
        <f>BMN181*BMO181*BMP181</f>
        <v>#DIV/0!</v>
      </c>
      <c r="BMR181" s="367" t="s">
        <v>206</v>
      </c>
      <c r="BMS181" s="367"/>
      <c r="BMT181" s="367"/>
      <c r="BMU181" s="368" t="s">
        <v>168</v>
      </c>
      <c r="BMV181" s="369">
        <v>0.5</v>
      </c>
      <c r="BMW181" s="370" t="e">
        <f>10/BMS179</f>
        <v>#DIV/0!</v>
      </c>
      <c r="BMX181" s="371">
        <v>15.38</v>
      </c>
      <c r="BMY181" s="371" t="e">
        <f>BMV181*BMW181*BMX181</f>
        <v>#DIV/0!</v>
      </c>
      <c r="BMZ181" s="367" t="s">
        <v>206</v>
      </c>
      <c r="BNA181" s="367"/>
      <c r="BNB181" s="367"/>
      <c r="BNC181" s="368" t="s">
        <v>168</v>
      </c>
      <c r="BND181" s="369">
        <v>0.5</v>
      </c>
      <c r="BNE181" s="370" t="e">
        <f>10/BNA179</f>
        <v>#DIV/0!</v>
      </c>
      <c r="BNF181" s="371">
        <v>15.38</v>
      </c>
      <c r="BNG181" s="371" t="e">
        <f>BND181*BNE181*BNF181</f>
        <v>#DIV/0!</v>
      </c>
      <c r="BNH181" s="367" t="s">
        <v>206</v>
      </c>
      <c r="BNI181" s="367"/>
      <c r="BNJ181" s="367"/>
      <c r="BNK181" s="368" t="s">
        <v>168</v>
      </c>
      <c r="BNL181" s="369">
        <v>0.5</v>
      </c>
      <c r="BNM181" s="370" t="e">
        <f>10/BNI179</f>
        <v>#DIV/0!</v>
      </c>
      <c r="BNN181" s="371">
        <v>15.38</v>
      </c>
      <c r="BNO181" s="371" t="e">
        <f>BNL181*BNM181*BNN181</f>
        <v>#DIV/0!</v>
      </c>
      <c r="BNP181" s="367" t="s">
        <v>206</v>
      </c>
      <c r="BNQ181" s="367"/>
      <c r="BNR181" s="367"/>
      <c r="BNS181" s="368" t="s">
        <v>168</v>
      </c>
      <c r="BNT181" s="369">
        <v>0.5</v>
      </c>
      <c r="BNU181" s="370" t="e">
        <f>10/BNQ179</f>
        <v>#DIV/0!</v>
      </c>
      <c r="BNV181" s="371">
        <v>15.38</v>
      </c>
      <c r="BNW181" s="371" t="e">
        <f>BNT181*BNU181*BNV181</f>
        <v>#DIV/0!</v>
      </c>
      <c r="BNX181" s="367" t="s">
        <v>206</v>
      </c>
      <c r="BNY181" s="367"/>
      <c r="BNZ181" s="367"/>
      <c r="BOA181" s="368" t="s">
        <v>168</v>
      </c>
      <c r="BOB181" s="369">
        <v>0.5</v>
      </c>
      <c r="BOC181" s="370" t="e">
        <f>10/BNY179</f>
        <v>#DIV/0!</v>
      </c>
      <c r="BOD181" s="371">
        <v>15.38</v>
      </c>
      <c r="BOE181" s="371" t="e">
        <f>BOB181*BOC181*BOD181</f>
        <v>#DIV/0!</v>
      </c>
      <c r="BOF181" s="367" t="s">
        <v>206</v>
      </c>
      <c r="BOG181" s="367"/>
      <c r="BOH181" s="367"/>
      <c r="BOI181" s="368" t="s">
        <v>168</v>
      </c>
      <c r="BOJ181" s="369">
        <v>0.5</v>
      </c>
      <c r="BOK181" s="370" t="e">
        <f>10/BOG179</f>
        <v>#DIV/0!</v>
      </c>
      <c r="BOL181" s="371">
        <v>15.38</v>
      </c>
      <c r="BOM181" s="371" t="e">
        <f>BOJ181*BOK181*BOL181</f>
        <v>#DIV/0!</v>
      </c>
      <c r="BON181" s="367" t="s">
        <v>206</v>
      </c>
      <c r="BOO181" s="367"/>
      <c r="BOP181" s="367"/>
      <c r="BOQ181" s="368" t="s">
        <v>168</v>
      </c>
      <c r="BOR181" s="369">
        <v>0.5</v>
      </c>
      <c r="BOS181" s="370" t="e">
        <f>10/BOO179</f>
        <v>#DIV/0!</v>
      </c>
      <c r="BOT181" s="371">
        <v>15.38</v>
      </c>
      <c r="BOU181" s="371" t="e">
        <f>BOR181*BOS181*BOT181</f>
        <v>#DIV/0!</v>
      </c>
      <c r="BOV181" s="367" t="s">
        <v>206</v>
      </c>
      <c r="BOW181" s="367"/>
      <c r="BOX181" s="367"/>
      <c r="BOY181" s="368" t="s">
        <v>168</v>
      </c>
      <c r="BOZ181" s="369">
        <v>0.5</v>
      </c>
      <c r="BPA181" s="370" t="e">
        <f>10/BOW179</f>
        <v>#DIV/0!</v>
      </c>
      <c r="BPB181" s="371">
        <v>15.38</v>
      </c>
      <c r="BPC181" s="371" t="e">
        <f>BOZ181*BPA181*BPB181</f>
        <v>#DIV/0!</v>
      </c>
      <c r="BPD181" s="367" t="s">
        <v>206</v>
      </c>
      <c r="BPE181" s="367"/>
      <c r="BPF181" s="367"/>
      <c r="BPG181" s="368" t="s">
        <v>168</v>
      </c>
      <c r="BPH181" s="369">
        <v>0.5</v>
      </c>
      <c r="BPI181" s="370" t="e">
        <f>10/BPE179</f>
        <v>#DIV/0!</v>
      </c>
      <c r="BPJ181" s="371">
        <v>15.38</v>
      </c>
      <c r="BPK181" s="371" t="e">
        <f>BPH181*BPI181*BPJ181</f>
        <v>#DIV/0!</v>
      </c>
      <c r="BPL181" s="367" t="s">
        <v>206</v>
      </c>
      <c r="BPM181" s="367"/>
      <c r="BPN181" s="367"/>
      <c r="BPO181" s="368" t="s">
        <v>168</v>
      </c>
      <c r="BPP181" s="369">
        <v>0.5</v>
      </c>
      <c r="BPQ181" s="370" t="e">
        <f>10/BPM179</f>
        <v>#DIV/0!</v>
      </c>
      <c r="BPR181" s="371">
        <v>15.38</v>
      </c>
      <c r="BPS181" s="371" t="e">
        <f>BPP181*BPQ181*BPR181</f>
        <v>#DIV/0!</v>
      </c>
      <c r="BPT181" s="367" t="s">
        <v>206</v>
      </c>
      <c r="BPU181" s="367"/>
      <c r="BPV181" s="367"/>
      <c r="BPW181" s="368" t="s">
        <v>168</v>
      </c>
      <c r="BPX181" s="369">
        <v>0.5</v>
      </c>
      <c r="BPY181" s="370" t="e">
        <f>10/BPU179</f>
        <v>#DIV/0!</v>
      </c>
      <c r="BPZ181" s="371">
        <v>15.38</v>
      </c>
      <c r="BQA181" s="371" t="e">
        <f>BPX181*BPY181*BPZ181</f>
        <v>#DIV/0!</v>
      </c>
      <c r="BQB181" s="367" t="s">
        <v>206</v>
      </c>
      <c r="BQC181" s="367"/>
      <c r="BQD181" s="367"/>
      <c r="BQE181" s="368" t="s">
        <v>168</v>
      </c>
      <c r="BQF181" s="369">
        <v>0.5</v>
      </c>
      <c r="BQG181" s="370" t="e">
        <f>10/BQC179</f>
        <v>#DIV/0!</v>
      </c>
      <c r="BQH181" s="371">
        <v>15.38</v>
      </c>
      <c r="BQI181" s="371" t="e">
        <f>BQF181*BQG181*BQH181</f>
        <v>#DIV/0!</v>
      </c>
      <c r="BQJ181" s="367" t="s">
        <v>206</v>
      </c>
      <c r="BQK181" s="367"/>
      <c r="BQL181" s="367"/>
      <c r="BQM181" s="368" t="s">
        <v>168</v>
      </c>
      <c r="BQN181" s="369">
        <v>0.5</v>
      </c>
      <c r="BQO181" s="370" t="e">
        <f>10/BQK179</f>
        <v>#DIV/0!</v>
      </c>
      <c r="BQP181" s="371">
        <v>15.38</v>
      </c>
      <c r="BQQ181" s="371" t="e">
        <f>BQN181*BQO181*BQP181</f>
        <v>#DIV/0!</v>
      </c>
      <c r="BQR181" s="367" t="s">
        <v>206</v>
      </c>
      <c r="BQS181" s="367"/>
      <c r="BQT181" s="367"/>
      <c r="BQU181" s="368" t="s">
        <v>168</v>
      </c>
      <c r="BQV181" s="369">
        <v>0.5</v>
      </c>
      <c r="BQW181" s="370" t="e">
        <f>10/BQS179</f>
        <v>#DIV/0!</v>
      </c>
      <c r="BQX181" s="371">
        <v>15.38</v>
      </c>
      <c r="BQY181" s="371" t="e">
        <f>BQV181*BQW181*BQX181</f>
        <v>#DIV/0!</v>
      </c>
      <c r="BQZ181" s="367" t="s">
        <v>206</v>
      </c>
      <c r="BRA181" s="367"/>
      <c r="BRB181" s="367"/>
      <c r="BRC181" s="368" t="s">
        <v>168</v>
      </c>
      <c r="BRD181" s="369">
        <v>0.5</v>
      </c>
      <c r="BRE181" s="370" t="e">
        <f>10/BRA179</f>
        <v>#DIV/0!</v>
      </c>
      <c r="BRF181" s="371">
        <v>15.38</v>
      </c>
      <c r="BRG181" s="371" t="e">
        <f>BRD181*BRE181*BRF181</f>
        <v>#DIV/0!</v>
      </c>
      <c r="BRH181" s="367" t="s">
        <v>206</v>
      </c>
      <c r="BRI181" s="367"/>
      <c r="BRJ181" s="367"/>
      <c r="BRK181" s="368" t="s">
        <v>168</v>
      </c>
      <c r="BRL181" s="369">
        <v>0.5</v>
      </c>
      <c r="BRM181" s="370" t="e">
        <f>10/BRI179</f>
        <v>#DIV/0!</v>
      </c>
      <c r="BRN181" s="371">
        <v>15.38</v>
      </c>
      <c r="BRO181" s="371" t="e">
        <f>BRL181*BRM181*BRN181</f>
        <v>#DIV/0!</v>
      </c>
      <c r="BRP181" s="367" t="s">
        <v>206</v>
      </c>
      <c r="BRQ181" s="367"/>
      <c r="BRR181" s="367"/>
      <c r="BRS181" s="368" t="s">
        <v>168</v>
      </c>
      <c r="BRT181" s="369">
        <v>0.5</v>
      </c>
      <c r="BRU181" s="370" t="e">
        <f>10/BRQ179</f>
        <v>#DIV/0!</v>
      </c>
      <c r="BRV181" s="371">
        <v>15.38</v>
      </c>
      <c r="BRW181" s="371" t="e">
        <f>BRT181*BRU181*BRV181</f>
        <v>#DIV/0!</v>
      </c>
      <c r="BRX181" s="367" t="s">
        <v>206</v>
      </c>
      <c r="BRY181" s="367"/>
      <c r="BRZ181" s="367"/>
      <c r="BSA181" s="368" t="s">
        <v>168</v>
      </c>
      <c r="BSB181" s="369">
        <v>0.5</v>
      </c>
      <c r="BSC181" s="370" t="e">
        <f>10/BRY179</f>
        <v>#DIV/0!</v>
      </c>
      <c r="BSD181" s="371">
        <v>15.38</v>
      </c>
      <c r="BSE181" s="371" t="e">
        <f>BSB181*BSC181*BSD181</f>
        <v>#DIV/0!</v>
      </c>
      <c r="BSF181" s="367" t="s">
        <v>206</v>
      </c>
      <c r="BSG181" s="367"/>
      <c r="BSH181" s="367"/>
      <c r="BSI181" s="368" t="s">
        <v>168</v>
      </c>
      <c r="BSJ181" s="369">
        <v>0.5</v>
      </c>
      <c r="BSK181" s="370" t="e">
        <f>10/BSG179</f>
        <v>#DIV/0!</v>
      </c>
      <c r="BSL181" s="371">
        <v>15.38</v>
      </c>
      <c r="BSM181" s="371" t="e">
        <f>BSJ181*BSK181*BSL181</f>
        <v>#DIV/0!</v>
      </c>
      <c r="BSN181" s="367" t="s">
        <v>206</v>
      </c>
      <c r="BSO181" s="367"/>
      <c r="BSP181" s="367"/>
      <c r="BSQ181" s="368" t="s">
        <v>168</v>
      </c>
      <c r="BSR181" s="369">
        <v>0.5</v>
      </c>
      <c r="BSS181" s="370" t="e">
        <f>10/BSO179</f>
        <v>#DIV/0!</v>
      </c>
      <c r="BST181" s="371">
        <v>15.38</v>
      </c>
      <c r="BSU181" s="371" t="e">
        <f>BSR181*BSS181*BST181</f>
        <v>#DIV/0!</v>
      </c>
      <c r="BSV181" s="367" t="s">
        <v>206</v>
      </c>
      <c r="BSW181" s="367"/>
      <c r="BSX181" s="367"/>
      <c r="BSY181" s="368" t="s">
        <v>168</v>
      </c>
      <c r="BSZ181" s="369">
        <v>0.5</v>
      </c>
      <c r="BTA181" s="370" t="e">
        <f>10/BSW179</f>
        <v>#DIV/0!</v>
      </c>
      <c r="BTB181" s="371">
        <v>15.38</v>
      </c>
      <c r="BTC181" s="371" t="e">
        <f>BSZ181*BTA181*BTB181</f>
        <v>#DIV/0!</v>
      </c>
      <c r="BTD181" s="367" t="s">
        <v>206</v>
      </c>
      <c r="BTE181" s="367"/>
      <c r="BTF181" s="367"/>
      <c r="BTG181" s="368" t="s">
        <v>168</v>
      </c>
      <c r="BTH181" s="369">
        <v>0.5</v>
      </c>
      <c r="BTI181" s="370" t="e">
        <f>10/BTE179</f>
        <v>#DIV/0!</v>
      </c>
      <c r="BTJ181" s="371">
        <v>15.38</v>
      </c>
      <c r="BTK181" s="371" t="e">
        <f>BTH181*BTI181*BTJ181</f>
        <v>#DIV/0!</v>
      </c>
      <c r="BTL181" s="367" t="s">
        <v>206</v>
      </c>
      <c r="BTM181" s="367"/>
      <c r="BTN181" s="367"/>
      <c r="BTO181" s="368" t="s">
        <v>168</v>
      </c>
      <c r="BTP181" s="369">
        <v>0.5</v>
      </c>
      <c r="BTQ181" s="370" t="e">
        <f>10/BTM179</f>
        <v>#DIV/0!</v>
      </c>
      <c r="BTR181" s="371">
        <v>15.38</v>
      </c>
      <c r="BTS181" s="371" t="e">
        <f>BTP181*BTQ181*BTR181</f>
        <v>#DIV/0!</v>
      </c>
      <c r="BTT181" s="367" t="s">
        <v>206</v>
      </c>
      <c r="BTU181" s="367"/>
      <c r="BTV181" s="367"/>
      <c r="BTW181" s="368" t="s">
        <v>168</v>
      </c>
      <c r="BTX181" s="369">
        <v>0.5</v>
      </c>
      <c r="BTY181" s="370" t="e">
        <f>10/BTU179</f>
        <v>#DIV/0!</v>
      </c>
      <c r="BTZ181" s="371">
        <v>15.38</v>
      </c>
      <c r="BUA181" s="371" t="e">
        <f>BTX181*BTY181*BTZ181</f>
        <v>#DIV/0!</v>
      </c>
      <c r="BUB181" s="367" t="s">
        <v>206</v>
      </c>
      <c r="BUC181" s="367"/>
      <c r="BUD181" s="367"/>
      <c r="BUE181" s="368" t="s">
        <v>168</v>
      </c>
      <c r="BUF181" s="369">
        <v>0.5</v>
      </c>
      <c r="BUG181" s="370" t="e">
        <f>10/BUC179</f>
        <v>#DIV/0!</v>
      </c>
      <c r="BUH181" s="371">
        <v>15.38</v>
      </c>
      <c r="BUI181" s="371" t="e">
        <f>BUF181*BUG181*BUH181</f>
        <v>#DIV/0!</v>
      </c>
      <c r="BUJ181" s="367" t="s">
        <v>206</v>
      </c>
      <c r="BUK181" s="367"/>
      <c r="BUL181" s="367"/>
      <c r="BUM181" s="368" t="s">
        <v>168</v>
      </c>
      <c r="BUN181" s="369">
        <v>0.5</v>
      </c>
      <c r="BUO181" s="370" t="e">
        <f>10/BUK179</f>
        <v>#DIV/0!</v>
      </c>
      <c r="BUP181" s="371">
        <v>15.38</v>
      </c>
      <c r="BUQ181" s="371" t="e">
        <f>BUN181*BUO181*BUP181</f>
        <v>#DIV/0!</v>
      </c>
      <c r="BUR181" s="367" t="s">
        <v>206</v>
      </c>
      <c r="BUS181" s="367"/>
      <c r="BUT181" s="367"/>
      <c r="BUU181" s="368" t="s">
        <v>168</v>
      </c>
      <c r="BUV181" s="369">
        <v>0.5</v>
      </c>
      <c r="BUW181" s="370" t="e">
        <f>10/BUS179</f>
        <v>#DIV/0!</v>
      </c>
      <c r="BUX181" s="371">
        <v>15.38</v>
      </c>
      <c r="BUY181" s="371" t="e">
        <f>BUV181*BUW181*BUX181</f>
        <v>#DIV/0!</v>
      </c>
      <c r="BUZ181" s="367" t="s">
        <v>206</v>
      </c>
      <c r="BVA181" s="367"/>
      <c r="BVB181" s="367"/>
      <c r="BVC181" s="368" t="s">
        <v>168</v>
      </c>
      <c r="BVD181" s="369">
        <v>0.5</v>
      </c>
      <c r="BVE181" s="370" t="e">
        <f>10/BVA179</f>
        <v>#DIV/0!</v>
      </c>
      <c r="BVF181" s="371">
        <v>15.38</v>
      </c>
      <c r="BVG181" s="371" t="e">
        <f>BVD181*BVE181*BVF181</f>
        <v>#DIV/0!</v>
      </c>
      <c r="BVH181" s="367" t="s">
        <v>206</v>
      </c>
      <c r="BVI181" s="367"/>
      <c r="BVJ181" s="367"/>
      <c r="BVK181" s="368" t="s">
        <v>168</v>
      </c>
      <c r="BVL181" s="369">
        <v>0.5</v>
      </c>
      <c r="BVM181" s="370" t="e">
        <f>10/BVI179</f>
        <v>#DIV/0!</v>
      </c>
      <c r="BVN181" s="371">
        <v>15.38</v>
      </c>
      <c r="BVO181" s="371" t="e">
        <f>BVL181*BVM181*BVN181</f>
        <v>#DIV/0!</v>
      </c>
      <c r="BVP181" s="367" t="s">
        <v>206</v>
      </c>
      <c r="BVQ181" s="367"/>
      <c r="BVR181" s="367"/>
      <c r="BVS181" s="368" t="s">
        <v>168</v>
      </c>
      <c r="BVT181" s="369">
        <v>0.5</v>
      </c>
      <c r="BVU181" s="370" t="e">
        <f>10/BVQ179</f>
        <v>#DIV/0!</v>
      </c>
      <c r="BVV181" s="371">
        <v>15.38</v>
      </c>
      <c r="BVW181" s="371" t="e">
        <f>BVT181*BVU181*BVV181</f>
        <v>#DIV/0!</v>
      </c>
      <c r="BVX181" s="367" t="s">
        <v>206</v>
      </c>
      <c r="BVY181" s="367"/>
      <c r="BVZ181" s="367"/>
      <c r="BWA181" s="368" t="s">
        <v>168</v>
      </c>
      <c r="BWB181" s="369">
        <v>0.5</v>
      </c>
      <c r="BWC181" s="370" t="e">
        <f>10/BVY179</f>
        <v>#DIV/0!</v>
      </c>
      <c r="BWD181" s="371">
        <v>15.38</v>
      </c>
      <c r="BWE181" s="371" t="e">
        <f>BWB181*BWC181*BWD181</f>
        <v>#DIV/0!</v>
      </c>
      <c r="BWF181" s="367" t="s">
        <v>206</v>
      </c>
      <c r="BWG181" s="367"/>
      <c r="BWH181" s="367"/>
      <c r="BWI181" s="368" t="s">
        <v>168</v>
      </c>
      <c r="BWJ181" s="369">
        <v>0.5</v>
      </c>
      <c r="BWK181" s="370" t="e">
        <f>10/BWG179</f>
        <v>#DIV/0!</v>
      </c>
      <c r="BWL181" s="371">
        <v>15.38</v>
      </c>
      <c r="BWM181" s="371" t="e">
        <f>BWJ181*BWK181*BWL181</f>
        <v>#DIV/0!</v>
      </c>
      <c r="BWN181" s="367" t="s">
        <v>206</v>
      </c>
      <c r="BWO181" s="367"/>
      <c r="BWP181" s="367"/>
      <c r="BWQ181" s="368" t="s">
        <v>168</v>
      </c>
      <c r="BWR181" s="369">
        <v>0.5</v>
      </c>
      <c r="BWS181" s="370" t="e">
        <f>10/BWO179</f>
        <v>#DIV/0!</v>
      </c>
      <c r="BWT181" s="371">
        <v>15.38</v>
      </c>
      <c r="BWU181" s="371" t="e">
        <f>BWR181*BWS181*BWT181</f>
        <v>#DIV/0!</v>
      </c>
      <c r="BWV181" s="367" t="s">
        <v>206</v>
      </c>
      <c r="BWW181" s="367"/>
      <c r="BWX181" s="367"/>
      <c r="BWY181" s="368" t="s">
        <v>168</v>
      </c>
      <c r="BWZ181" s="369">
        <v>0.5</v>
      </c>
      <c r="BXA181" s="370" t="e">
        <f>10/BWW179</f>
        <v>#DIV/0!</v>
      </c>
      <c r="BXB181" s="371">
        <v>15.38</v>
      </c>
      <c r="BXC181" s="371" t="e">
        <f>BWZ181*BXA181*BXB181</f>
        <v>#DIV/0!</v>
      </c>
      <c r="BXD181" s="367" t="s">
        <v>206</v>
      </c>
      <c r="BXE181" s="367"/>
      <c r="BXF181" s="367"/>
      <c r="BXG181" s="368" t="s">
        <v>168</v>
      </c>
      <c r="BXH181" s="369">
        <v>0.5</v>
      </c>
      <c r="BXI181" s="370" t="e">
        <f>10/BXE179</f>
        <v>#DIV/0!</v>
      </c>
      <c r="BXJ181" s="371">
        <v>15.38</v>
      </c>
      <c r="BXK181" s="371" t="e">
        <f>BXH181*BXI181*BXJ181</f>
        <v>#DIV/0!</v>
      </c>
      <c r="BXL181" s="367" t="s">
        <v>206</v>
      </c>
      <c r="BXM181" s="367"/>
      <c r="BXN181" s="367"/>
      <c r="BXO181" s="368" t="s">
        <v>168</v>
      </c>
      <c r="BXP181" s="369">
        <v>0.5</v>
      </c>
      <c r="BXQ181" s="370" t="e">
        <f>10/BXM179</f>
        <v>#DIV/0!</v>
      </c>
      <c r="BXR181" s="371">
        <v>15.38</v>
      </c>
      <c r="BXS181" s="371" t="e">
        <f>BXP181*BXQ181*BXR181</f>
        <v>#DIV/0!</v>
      </c>
      <c r="BXT181" s="367" t="s">
        <v>206</v>
      </c>
      <c r="BXU181" s="367"/>
      <c r="BXV181" s="367"/>
      <c r="BXW181" s="368" t="s">
        <v>168</v>
      </c>
      <c r="BXX181" s="369">
        <v>0.5</v>
      </c>
      <c r="BXY181" s="370" t="e">
        <f>10/BXU179</f>
        <v>#DIV/0!</v>
      </c>
      <c r="BXZ181" s="371">
        <v>15.38</v>
      </c>
      <c r="BYA181" s="371" t="e">
        <f>BXX181*BXY181*BXZ181</f>
        <v>#DIV/0!</v>
      </c>
      <c r="BYB181" s="367" t="s">
        <v>206</v>
      </c>
      <c r="BYC181" s="367"/>
      <c r="BYD181" s="367"/>
      <c r="BYE181" s="368" t="s">
        <v>168</v>
      </c>
      <c r="BYF181" s="369">
        <v>0.5</v>
      </c>
      <c r="BYG181" s="370" t="e">
        <f>10/BYC179</f>
        <v>#DIV/0!</v>
      </c>
      <c r="BYH181" s="371">
        <v>15.38</v>
      </c>
      <c r="BYI181" s="371" t="e">
        <f>BYF181*BYG181*BYH181</f>
        <v>#DIV/0!</v>
      </c>
      <c r="BYJ181" s="367" t="s">
        <v>206</v>
      </c>
      <c r="BYK181" s="367"/>
      <c r="BYL181" s="367"/>
      <c r="BYM181" s="368" t="s">
        <v>168</v>
      </c>
      <c r="BYN181" s="369">
        <v>0.5</v>
      </c>
      <c r="BYO181" s="370" t="e">
        <f>10/BYK179</f>
        <v>#DIV/0!</v>
      </c>
      <c r="BYP181" s="371">
        <v>15.38</v>
      </c>
      <c r="BYQ181" s="371" t="e">
        <f>BYN181*BYO181*BYP181</f>
        <v>#DIV/0!</v>
      </c>
      <c r="BYR181" s="367" t="s">
        <v>206</v>
      </c>
      <c r="BYS181" s="367"/>
      <c r="BYT181" s="367"/>
      <c r="BYU181" s="368" t="s">
        <v>168</v>
      </c>
      <c r="BYV181" s="369">
        <v>0.5</v>
      </c>
      <c r="BYW181" s="370" t="e">
        <f>10/BYS179</f>
        <v>#DIV/0!</v>
      </c>
      <c r="BYX181" s="371">
        <v>15.38</v>
      </c>
      <c r="BYY181" s="371" t="e">
        <f>BYV181*BYW181*BYX181</f>
        <v>#DIV/0!</v>
      </c>
      <c r="BYZ181" s="367" t="s">
        <v>206</v>
      </c>
      <c r="BZA181" s="367"/>
      <c r="BZB181" s="367"/>
      <c r="BZC181" s="368" t="s">
        <v>168</v>
      </c>
      <c r="BZD181" s="369">
        <v>0.5</v>
      </c>
      <c r="BZE181" s="370" t="e">
        <f>10/BZA179</f>
        <v>#DIV/0!</v>
      </c>
      <c r="BZF181" s="371">
        <v>15.38</v>
      </c>
      <c r="BZG181" s="371" t="e">
        <f>BZD181*BZE181*BZF181</f>
        <v>#DIV/0!</v>
      </c>
      <c r="BZH181" s="367" t="s">
        <v>206</v>
      </c>
      <c r="BZI181" s="367"/>
      <c r="BZJ181" s="367"/>
      <c r="BZK181" s="368" t="s">
        <v>168</v>
      </c>
      <c r="BZL181" s="369">
        <v>0.5</v>
      </c>
      <c r="BZM181" s="370" t="e">
        <f>10/BZI179</f>
        <v>#DIV/0!</v>
      </c>
      <c r="BZN181" s="371">
        <v>15.38</v>
      </c>
      <c r="BZO181" s="371" t="e">
        <f>BZL181*BZM181*BZN181</f>
        <v>#DIV/0!</v>
      </c>
      <c r="BZP181" s="367" t="s">
        <v>206</v>
      </c>
      <c r="BZQ181" s="367"/>
      <c r="BZR181" s="367"/>
      <c r="BZS181" s="368" t="s">
        <v>168</v>
      </c>
      <c r="BZT181" s="369">
        <v>0.5</v>
      </c>
      <c r="BZU181" s="370" t="e">
        <f>10/BZQ179</f>
        <v>#DIV/0!</v>
      </c>
      <c r="BZV181" s="371">
        <v>15.38</v>
      </c>
      <c r="BZW181" s="371" t="e">
        <f>BZT181*BZU181*BZV181</f>
        <v>#DIV/0!</v>
      </c>
      <c r="BZX181" s="367" t="s">
        <v>206</v>
      </c>
      <c r="BZY181" s="367"/>
      <c r="BZZ181" s="367"/>
      <c r="CAA181" s="368" t="s">
        <v>168</v>
      </c>
      <c r="CAB181" s="369">
        <v>0.5</v>
      </c>
      <c r="CAC181" s="370" t="e">
        <f>10/BZY179</f>
        <v>#DIV/0!</v>
      </c>
      <c r="CAD181" s="371">
        <v>15.38</v>
      </c>
      <c r="CAE181" s="371" t="e">
        <f>CAB181*CAC181*CAD181</f>
        <v>#DIV/0!</v>
      </c>
      <c r="CAF181" s="367" t="s">
        <v>206</v>
      </c>
      <c r="CAG181" s="367"/>
      <c r="CAH181" s="367"/>
      <c r="CAI181" s="368" t="s">
        <v>168</v>
      </c>
      <c r="CAJ181" s="369">
        <v>0.5</v>
      </c>
      <c r="CAK181" s="370" t="e">
        <f>10/CAG179</f>
        <v>#DIV/0!</v>
      </c>
      <c r="CAL181" s="371">
        <v>15.38</v>
      </c>
      <c r="CAM181" s="371" t="e">
        <f>CAJ181*CAK181*CAL181</f>
        <v>#DIV/0!</v>
      </c>
      <c r="CAN181" s="367" t="s">
        <v>206</v>
      </c>
      <c r="CAO181" s="367"/>
      <c r="CAP181" s="367"/>
      <c r="CAQ181" s="368" t="s">
        <v>168</v>
      </c>
      <c r="CAR181" s="369">
        <v>0.5</v>
      </c>
      <c r="CAS181" s="370" t="e">
        <f>10/CAO179</f>
        <v>#DIV/0!</v>
      </c>
      <c r="CAT181" s="371">
        <v>15.38</v>
      </c>
      <c r="CAU181" s="371" t="e">
        <f>CAR181*CAS181*CAT181</f>
        <v>#DIV/0!</v>
      </c>
      <c r="CAV181" s="367" t="s">
        <v>206</v>
      </c>
      <c r="CAW181" s="367"/>
      <c r="CAX181" s="367"/>
      <c r="CAY181" s="368" t="s">
        <v>168</v>
      </c>
      <c r="CAZ181" s="369">
        <v>0.5</v>
      </c>
      <c r="CBA181" s="370" t="e">
        <f>10/CAW179</f>
        <v>#DIV/0!</v>
      </c>
      <c r="CBB181" s="371">
        <v>15.38</v>
      </c>
      <c r="CBC181" s="371" t="e">
        <f>CAZ181*CBA181*CBB181</f>
        <v>#DIV/0!</v>
      </c>
      <c r="CBD181" s="367" t="s">
        <v>206</v>
      </c>
      <c r="CBE181" s="367"/>
      <c r="CBF181" s="367"/>
      <c r="CBG181" s="368" t="s">
        <v>168</v>
      </c>
      <c r="CBH181" s="369">
        <v>0.5</v>
      </c>
      <c r="CBI181" s="370" t="e">
        <f>10/CBE179</f>
        <v>#DIV/0!</v>
      </c>
      <c r="CBJ181" s="371">
        <v>15.38</v>
      </c>
      <c r="CBK181" s="371" t="e">
        <f>CBH181*CBI181*CBJ181</f>
        <v>#DIV/0!</v>
      </c>
      <c r="CBL181" s="367" t="s">
        <v>206</v>
      </c>
      <c r="CBM181" s="367"/>
      <c r="CBN181" s="367"/>
      <c r="CBO181" s="368" t="s">
        <v>168</v>
      </c>
      <c r="CBP181" s="369">
        <v>0.5</v>
      </c>
      <c r="CBQ181" s="370" t="e">
        <f>10/CBM179</f>
        <v>#DIV/0!</v>
      </c>
      <c r="CBR181" s="371">
        <v>15.38</v>
      </c>
      <c r="CBS181" s="371" t="e">
        <f>CBP181*CBQ181*CBR181</f>
        <v>#DIV/0!</v>
      </c>
      <c r="CBT181" s="367" t="s">
        <v>206</v>
      </c>
      <c r="CBU181" s="367"/>
      <c r="CBV181" s="367"/>
      <c r="CBW181" s="368" t="s">
        <v>168</v>
      </c>
      <c r="CBX181" s="369">
        <v>0.5</v>
      </c>
      <c r="CBY181" s="370" t="e">
        <f>10/CBU179</f>
        <v>#DIV/0!</v>
      </c>
      <c r="CBZ181" s="371">
        <v>15.38</v>
      </c>
      <c r="CCA181" s="371" t="e">
        <f>CBX181*CBY181*CBZ181</f>
        <v>#DIV/0!</v>
      </c>
      <c r="CCB181" s="367" t="s">
        <v>206</v>
      </c>
      <c r="CCC181" s="367"/>
      <c r="CCD181" s="367"/>
      <c r="CCE181" s="368" t="s">
        <v>168</v>
      </c>
      <c r="CCF181" s="369">
        <v>0.5</v>
      </c>
      <c r="CCG181" s="370" t="e">
        <f>10/CCC179</f>
        <v>#DIV/0!</v>
      </c>
      <c r="CCH181" s="371">
        <v>15.38</v>
      </c>
      <c r="CCI181" s="371" t="e">
        <f>CCF181*CCG181*CCH181</f>
        <v>#DIV/0!</v>
      </c>
      <c r="CCJ181" s="367" t="s">
        <v>206</v>
      </c>
      <c r="CCK181" s="367"/>
      <c r="CCL181" s="367"/>
      <c r="CCM181" s="368" t="s">
        <v>168</v>
      </c>
      <c r="CCN181" s="369">
        <v>0.5</v>
      </c>
      <c r="CCO181" s="370" t="e">
        <f>10/CCK179</f>
        <v>#DIV/0!</v>
      </c>
      <c r="CCP181" s="371">
        <v>15.38</v>
      </c>
      <c r="CCQ181" s="371" t="e">
        <f>CCN181*CCO181*CCP181</f>
        <v>#DIV/0!</v>
      </c>
      <c r="CCR181" s="367" t="s">
        <v>206</v>
      </c>
      <c r="CCS181" s="367"/>
      <c r="CCT181" s="367"/>
      <c r="CCU181" s="368" t="s">
        <v>168</v>
      </c>
      <c r="CCV181" s="369">
        <v>0.5</v>
      </c>
      <c r="CCW181" s="370" t="e">
        <f>10/CCS179</f>
        <v>#DIV/0!</v>
      </c>
      <c r="CCX181" s="371">
        <v>15.38</v>
      </c>
      <c r="CCY181" s="371" t="e">
        <f>CCV181*CCW181*CCX181</f>
        <v>#DIV/0!</v>
      </c>
      <c r="CCZ181" s="367" t="s">
        <v>206</v>
      </c>
      <c r="CDA181" s="367"/>
      <c r="CDB181" s="367"/>
      <c r="CDC181" s="368" t="s">
        <v>168</v>
      </c>
      <c r="CDD181" s="369">
        <v>0.5</v>
      </c>
      <c r="CDE181" s="370" t="e">
        <f>10/CDA179</f>
        <v>#DIV/0!</v>
      </c>
      <c r="CDF181" s="371">
        <v>15.38</v>
      </c>
      <c r="CDG181" s="371" t="e">
        <f>CDD181*CDE181*CDF181</f>
        <v>#DIV/0!</v>
      </c>
      <c r="CDH181" s="367" t="s">
        <v>206</v>
      </c>
      <c r="CDI181" s="367"/>
      <c r="CDJ181" s="367"/>
      <c r="CDK181" s="368" t="s">
        <v>168</v>
      </c>
      <c r="CDL181" s="369">
        <v>0.5</v>
      </c>
      <c r="CDM181" s="370" t="e">
        <f>10/CDI179</f>
        <v>#DIV/0!</v>
      </c>
      <c r="CDN181" s="371">
        <v>15.38</v>
      </c>
      <c r="CDO181" s="371" t="e">
        <f>CDL181*CDM181*CDN181</f>
        <v>#DIV/0!</v>
      </c>
      <c r="CDP181" s="367" t="s">
        <v>206</v>
      </c>
      <c r="CDQ181" s="367"/>
      <c r="CDR181" s="367"/>
      <c r="CDS181" s="368" t="s">
        <v>168</v>
      </c>
      <c r="CDT181" s="369">
        <v>0.5</v>
      </c>
      <c r="CDU181" s="370" t="e">
        <f>10/CDQ179</f>
        <v>#DIV/0!</v>
      </c>
      <c r="CDV181" s="371">
        <v>15.38</v>
      </c>
      <c r="CDW181" s="371" t="e">
        <f>CDT181*CDU181*CDV181</f>
        <v>#DIV/0!</v>
      </c>
      <c r="CDX181" s="367" t="s">
        <v>206</v>
      </c>
      <c r="CDY181" s="367"/>
      <c r="CDZ181" s="367"/>
      <c r="CEA181" s="368" t="s">
        <v>168</v>
      </c>
      <c r="CEB181" s="369">
        <v>0.5</v>
      </c>
      <c r="CEC181" s="370" t="e">
        <f>10/CDY179</f>
        <v>#DIV/0!</v>
      </c>
      <c r="CED181" s="371">
        <v>15.38</v>
      </c>
      <c r="CEE181" s="371" t="e">
        <f>CEB181*CEC181*CED181</f>
        <v>#DIV/0!</v>
      </c>
      <c r="CEF181" s="367" t="s">
        <v>206</v>
      </c>
      <c r="CEG181" s="367"/>
      <c r="CEH181" s="367"/>
      <c r="CEI181" s="368" t="s">
        <v>168</v>
      </c>
      <c r="CEJ181" s="369">
        <v>0.5</v>
      </c>
      <c r="CEK181" s="370" t="e">
        <f>10/CEG179</f>
        <v>#DIV/0!</v>
      </c>
      <c r="CEL181" s="371">
        <v>15.38</v>
      </c>
      <c r="CEM181" s="371" t="e">
        <f>CEJ181*CEK181*CEL181</f>
        <v>#DIV/0!</v>
      </c>
      <c r="CEN181" s="367" t="s">
        <v>206</v>
      </c>
      <c r="CEO181" s="367"/>
      <c r="CEP181" s="367"/>
      <c r="CEQ181" s="368" t="s">
        <v>168</v>
      </c>
      <c r="CER181" s="369">
        <v>0.5</v>
      </c>
      <c r="CES181" s="370" t="e">
        <f>10/CEO179</f>
        <v>#DIV/0!</v>
      </c>
      <c r="CET181" s="371">
        <v>15.38</v>
      </c>
      <c r="CEU181" s="371" t="e">
        <f>CER181*CES181*CET181</f>
        <v>#DIV/0!</v>
      </c>
      <c r="CEV181" s="367" t="s">
        <v>206</v>
      </c>
      <c r="CEW181" s="367"/>
      <c r="CEX181" s="367"/>
      <c r="CEY181" s="368" t="s">
        <v>168</v>
      </c>
      <c r="CEZ181" s="369">
        <v>0.5</v>
      </c>
      <c r="CFA181" s="370" t="e">
        <f>10/CEW179</f>
        <v>#DIV/0!</v>
      </c>
      <c r="CFB181" s="371">
        <v>15.38</v>
      </c>
      <c r="CFC181" s="371" t="e">
        <f>CEZ181*CFA181*CFB181</f>
        <v>#DIV/0!</v>
      </c>
      <c r="CFD181" s="367" t="s">
        <v>206</v>
      </c>
      <c r="CFE181" s="367"/>
      <c r="CFF181" s="367"/>
      <c r="CFG181" s="368" t="s">
        <v>168</v>
      </c>
      <c r="CFH181" s="369">
        <v>0.5</v>
      </c>
      <c r="CFI181" s="370" t="e">
        <f>10/CFE179</f>
        <v>#DIV/0!</v>
      </c>
      <c r="CFJ181" s="371">
        <v>15.38</v>
      </c>
      <c r="CFK181" s="371" t="e">
        <f>CFH181*CFI181*CFJ181</f>
        <v>#DIV/0!</v>
      </c>
      <c r="CFL181" s="367" t="s">
        <v>206</v>
      </c>
      <c r="CFM181" s="367"/>
      <c r="CFN181" s="367"/>
      <c r="CFO181" s="368" t="s">
        <v>168</v>
      </c>
      <c r="CFP181" s="369">
        <v>0.5</v>
      </c>
      <c r="CFQ181" s="370" t="e">
        <f>10/CFM179</f>
        <v>#DIV/0!</v>
      </c>
      <c r="CFR181" s="371">
        <v>15.38</v>
      </c>
      <c r="CFS181" s="371" t="e">
        <f>CFP181*CFQ181*CFR181</f>
        <v>#DIV/0!</v>
      </c>
      <c r="CFT181" s="367" t="s">
        <v>206</v>
      </c>
      <c r="CFU181" s="367"/>
      <c r="CFV181" s="367"/>
      <c r="CFW181" s="368" t="s">
        <v>168</v>
      </c>
      <c r="CFX181" s="369">
        <v>0.5</v>
      </c>
      <c r="CFY181" s="370" t="e">
        <f>10/CFU179</f>
        <v>#DIV/0!</v>
      </c>
      <c r="CFZ181" s="371">
        <v>15.38</v>
      </c>
      <c r="CGA181" s="371" t="e">
        <f>CFX181*CFY181*CFZ181</f>
        <v>#DIV/0!</v>
      </c>
      <c r="CGB181" s="367" t="s">
        <v>206</v>
      </c>
      <c r="CGC181" s="367"/>
      <c r="CGD181" s="367"/>
      <c r="CGE181" s="368" t="s">
        <v>168</v>
      </c>
      <c r="CGF181" s="369">
        <v>0.5</v>
      </c>
      <c r="CGG181" s="370" t="e">
        <f>10/CGC179</f>
        <v>#DIV/0!</v>
      </c>
      <c r="CGH181" s="371">
        <v>15.38</v>
      </c>
      <c r="CGI181" s="371" t="e">
        <f>CGF181*CGG181*CGH181</f>
        <v>#DIV/0!</v>
      </c>
      <c r="CGJ181" s="367" t="s">
        <v>206</v>
      </c>
      <c r="CGK181" s="367"/>
      <c r="CGL181" s="367"/>
      <c r="CGM181" s="368" t="s">
        <v>168</v>
      </c>
      <c r="CGN181" s="369">
        <v>0.5</v>
      </c>
      <c r="CGO181" s="370" t="e">
        <f>10/CGK179</f>
        <v>#DIV/0!</v>
      </c>
      <c r="CGP181" s="371">
        <v>15.38</v>
      </c>
      <c r="CGQ181" s="371" t="e">
        <f>CGN181*CGO181*CGP181</f>
        <v>#DIV/0!</v>
      </c>
      <c r="CGR181" s="367" t="s">
        <v>206</v>
      </c>
      <c r="CGS181" s="367"/>
      <c r="CGT181" s="367"/>
      <c r="CGU181" s="368" t="s">
        <v>168</v>
      </c>
      <c r="CGV181" s="369">
        <v>0.5</v>
      </c>
      <c r="CGW181" s="370" t="e">
        <f>10/CGS179</f>
        <v>#DIV/0!</v>
      </c>
      <c r="CGX181" s="371">
        <v>15.38</v>
      </c>
      <c r="CGY181" s="371" t="e">
        <f>CGV181*CGW181*CGX181</f>
        <v>#DIV/0!</v>
      </c>
      <c r="CGZ181" s="367" t="s">
        <v>206</v>
      </c>
      <c r="CHA181" s="367"/>
      <c r="CHB181" s="367"/>
      <c r="CHC181" s="368" t="s">
        <v>168</v>
      </c>
      <c r="CHD181" s="369">
        <v>0.5</v>
      </c>
      <c r="CHE181" s="370" t="e">
        <f>10/CHA179</f>
        <v>#DIV/0!</v>
      </c>
      <c r="CHF181" s="371">
        <v>15.38</v>
      </c>
      <c r="CHG181" s="371" t="e">
        <f>CHD181*CHE181*CHF181</f>
        <v>#DIV/0!</v>
      </c>
      <c r="CHH181" s="367" t="s">
        <v>206</v>
      </c>
      <c r="CHI181" s="367"/>
      <c r="CHJ181" s="367"/>
      <c r="CHK181" s="368" t="s">
        <v>168</v>
      </c>
      <c r="CHL181" s="369">
        <v>0.5</v>
      </c>
      <c r="CHM181" s="370" t="e">
        <f>10/CHI179</f>
        <v>#DIV/0!</v>
      </c>
      <c r="CHN181" s="371">
        <v>15.38</v>
      </c>
      <c r="CHO181" s="371" t="e">
        <f>CHL181*CHM181*CHN181</f>
        <v>#DIV/0!</v>
      </c>
      <c r="CHP181" s="367" t="s">
        <v>206</v>
      </c>
      <c r="CHQ181" s="367"/>
      <c r="CHR181" s="367"/>
      <c r="CHS181" s="368" t="s">
        <v>168</v>
      </c>
      <c r="CHT181" s="369">
        <v>0.5</v>
      </c>
      <c r="CHU181" s="370" t="e">
        <f>10/CHQ179</f>
        <v>#DIV/0!</v>
      </c>
      <c r="CHV181" s="371">
        <v>15.38</v>
      </c>
      <c r="CHW181" s="371" t="e">
        <f>CHT181*CHU181*CHV181</f>
        <v>#DIV/0!</v>
      </c>
      <c r="CHX181" s="367" t="s">
        <v>206</v>
      </c>
      <c r="CHY181" s="367"/>
      <c r="CHZ181" s="367"/>
      <c r="CIA181" s="368" t="s">
        <v>168</v>
      </c>
      <c r="CIB181" s="369">
        <v>0.5</v>
      </c>
      <c r="CIC181" s="370" t="e">
        <f>10/CHY179</f>
        <v>#DIV/0!</v>
      </c>
      <c r="CID181" s="371">
        <v>15.38</v>
      </c>
      <c r="CIE181" s="371" t="e">
        <f>CIB181*CIC181*CID181</f>
        <v>#DIV/0!</v>
      </c>
      <c r="CIF181" s="367" t="s">
        <v>206</v>
      </c>
      <c r="CIG181" s="367"/>
      <c r="CIH181" s="367"/>
      <c r="CII181" s="368" t="s">
        <v>168</v>
      </c>
      <c r="CIJ181" s="369">
        <v>0.5</v>
      </c>
      <c r="CIK181" s="370" t="e">
        <f>10/CIG179</f>
        <v>#DIV/0!</v>
      </c>
      <c r="CIL181" s="371">
        <v>15.38</v>
      </c>
      <c r="CIM181" s="371" t="e">
        <f>CIJ181*CIK181*CIL181</f>
        <v>#DIV/0!</v>
      </c>
      <c r="CIN181" s="367" t="s">
        <v>206</v>
      </c>
      <c r="CIO181" s="367"/>
      <c r="CIP181" s="367"/>
      <c r="CIQ181" s="368" t="s">
        <v>168</v>
      </c>
      <c r="CIR181" s="369">
        <v>0.5</v>
      </c>
      <c r="CIS181" s="370" t="e">
        <f>10/CIO179</f>
        <v>#DIV/0!</v>
      </c>
      <c r="CIT181" s="371">
        <v>15.38</v>
      </c>
      <c r="CIU181" s="371" t="e">
        <f>CIR181*CIS181*CIT181</f>
        <v>#DIV/0!</v>
      </c>
      <c r="CIV181" s="367" t="s">
        <v>206</v>
      </c>
      <c r="CIW181" s="367"/>
      <c r="CIX181" s="367"/>
      <c r="CIY181" s="368" t="s">
        <v>168</v>
      </c>
      <c r="CIZ181" s="369">
        <v>0.5</v>
      </c>
      <c r="CJA181" s="370" t="e">
        <f>10/CIW179</f>
        <v>#DIV/0!</v>
      </c>
      <c r="CJB181" s="371">
        <v>15.38</v>
      </c>
      <c r="CJC181" s="371" t="e">
        <f>CIZ181*CJA181*CJB181</f>
        <v>#DIV/0!</v>
      </c>
      <c r="CJD181" s="367" t="s">
        <v>206</v>
      </c>
      <c r="CJE181" s="367"/>
      <c r="CJF181" s="367"/>
      <c r="CJG181" s="368" t="s">
        <v>168</v>
      </c>
      <c r="CJH181" s="369">
        <v>0.5</v>
      </c>
      <c r="CJI181" s="370" t="e">
        <f>10/CJE179</f>
        <v>#DIV/0!</v>
      </c>
      <c r="CJJ181" s="371">
        <v>15.38</v>
      </c>
      <c r="CJK181" s="371" t="e">
        <f>CJH181*CJI181*CJJ181</f>
        <v>#DIV/0!</v>
      </c>
      <c r="CJL181" s="367" t="s">
        <v>206</v>
      </c>
      <c r="CJM181" s="367"/>
      <c r="CJN181" s="367"/>
      <c r="CJO181" s="368" t="s">
        <v>168</v>
      </c>
      <c r="CJP181" s="369">
        <v>0.5</v>
      </c>
      <c r="CJQ181" s="370" t="e">
        <f>10/CJM179</f>
        <v>#DIV/0!</v>
      </c>
      <c r="CJR181" s="371">
        <v>15.38</v>
      </c>
      <c r="CJS181" s="371" t="e">
        <f>CJP181*CJQ181*CJR181</f>
        <v>#DIV/0!</v>
      </c>
      <c r="CJT181" s="367" t="s">
        <v>206</v>
      </c>
      <c r="CJU181" s="367"/>
      <c r="CJV181" s="367"/>
      <c r="CJW181" s="368" t="s">
        <v>168</v>
      </c>
      <c r="CJX181" s="369">
        <v>0.5</v>
      </c>
      <c r="CJY181" s="370" t="e">
        <f>10/CJU179</f>
        <v>#DIV/0!</v>
      </c>
      <c r="CJZ181" s="371">
        <v>15.38</v>
      </c>
      <c r="CKA181" s="371" t="e">
        <f>CJX181*CJY181*CJZ181</f>
        <v>#DIV/0!</v>
      </c>
      <c r="CKB181" s="367" t="s">
        <v>206</v>
      </c>
      <c r="CKC181" s="367"/>
      <c r="CKD181" s="367"/>
      <c r="CKE181" s="368" t="s">
        <v>168</v>
      </c>
      <c r="CKF181" s="369">
        <v>0.5</v>
      </c>
      <c r="CKG181" s="370" t="e">
        <f>10/CKC179</f>
        <v>#DIV/0!</v>
      </c>
      <c r="CKH181" s="371">
        <v>15.38</v>
      </c>
      <c r="CKI181" s="371" t="e">
        <f>CKF181*CKG181*CKH181</f>
        <v>#DIV/0!</v>
      </c>
      <c r="CKJ181" s="367" t="s">
        <v>206</v>
      </c>
      <c r="CKK181" s="367"/>
      <c r="CKL181" s="367"/>
      <c r="CKM181" s="368" t="s">
        <v>168</v>
      </c>
      <c r="CKN181" s="369">
        <v>0.5</v>
      </c>
      <c r="CKO181" s="370" t="e">
        <f>10/CKK179</f>
        <v>#DIV/0!</v>
      </c>
      <c r="CKP181" s="371">
        <v>15.38</v>
      </c>
      <c r="CKQ181" s="371" t="e">
        <f>CKN181*CKO181*CKP181</f>
        <v>#DIV/0!</v>
      </c>
      <c r="CKR181" s="367" t="s">
        <v>206</v>
      </c>
      <c r="CKS181" s="367"/>
      <c r="CKT181" s="367"/>
      <c r="CKU181" s="368" t="s">
        <v>168</v>
      </c>
      <c r="CKV181" s="369">
        <v>0.5</v>
      </c>
      <c r="CKW181" s="370" t="e">
        <f>10/CKS179</f>
        <v>#DIV/0!</v>
      </c>
      <c r="CKX181" s="371">
        <v>15.38</v>
      </c>
      <c r="CKY181" s="371" t="e">
        <f>CKV181*CKW181*CKX181</f>
        <v>#DIV/0!</v>
      </c>
      <c r="CKZ181" s="367" t="s">
        <v>206</v>
      </c>
      <c r="CLA181" s="367"/>
      <c r="CLB181" s="367"/>
      <c r="CLC181" s="368" t="s">
        <v>168</v>
      </c>
      <c r="CLD181" s="369">
        <v>0.5</v>
      </c>
      <c r="CLE181" s="370" t="e">
        <f>10/CLA179</f>
        <v>#DIV/0!</v>
      </c>
      <c r="CLF181" s="371">
        <v>15.38</v>
      </c>
      <c r="CLG181" s="371" t="e">
        <f>CLD181*CLE181*CLF181</f>
        <v>#DIV/0!</v>
      </c>
      <c r="CLH181" s="367" t="s">
        <v>206</v>
      </c>
      <c r="CLI181" s="367"/>
      <c r="CLJ181" s="367"/>
      <c r="CLK181" s="368" t="s">
        <v>168</v>
      </c>
      <c r="CLL181" s="369">
        <v>0.5</v>
      </c>
      <c r="CLM181" s="370" t="e">
        <f>10/CLI179</f>
        <v>#DIV/0!</v>
      </c>
      <c r="CLN181" s="371">
        <v>15.38</v>
      </c>
      <c r="CLO181" s="371" t="e">
        <f>CLL181*CLM181*CLN181</f>
        <v>#DIV/0!</v>
      </c>
      <c r="CLP181" s="367" t="s">
        <v>206</v>
      </c>
      <c r="CLQ181" s="367"/>
      <c r="CLR181" s="367"/>
      <c r="CLS181" s="368" t="s">
        <v>168</v>
      </c>
      <c r="CLT181" s="369">
        <v>0.5</v>
      </c>
      <c r="CLU181" s="370" t="e">
        <f>10/CLQ179</f>
        <v>#DIV/0!</v>
      </c>
      <c r="CLV181" s="371">
        <v>15.38</v>
      </c>
      <c r="CLW181" s="371" t="e">
        <f>CLT181*CLU181*CLV181</f>
        <v>#DIV/0!</v>
      </c>
      <c r="CLX181" s="367" t="s">
        <v>206</v>
      </c>
      <c r="CLY181" s="367"/>
      <c r="CLZ181" s="367"/>
      <c r="CMA181" s="368" t="s">
        <v>168</v>
      </c>
      <c r="CMB181" s="369">
        <v>0.5</v>
      </c>
      <c r="CMC181" s="370" t="e">
        <f>10/CLY179</f>
        <v>#DIV/0!</v>
      </c>
      <c r="CMD181" s="371">
        <v>15.38</v>
      </c>
      <c r="CME181" s="371" t="e">
        <f>CMB181*CMC181*CMD181</f>
        <v>#DIV/0!</v>
      </c>
      <c r="CMF181" s="367" t="s">
        <v>206</v>
      </c>
      <c r="CMG181" s="367"/>
      <c r="CMH181" s="367"/>
      <c r="CMI181" s="368" t="s">
        <v>168</v>
      </c>
      <c r="CMJ181" s="369">
        <v>0.5</v>
      </c>
      <c r="CMK181" s="370" t="e">
        <f>10/CMG179</f>
        <v>#DIV/0!</v>
      </c>
      <c r="CML181" s="371">
        <v>15.38</v>
      </c>
      <c r="CMM181" s="371" t="e">
        <f>CMJ181*CMK181*CML181</f>
        <v>#DIV/0!</v>
      </c>
      <c r="CMN181" s="367" t="s">
        <v>206</v>
      </c>
      <c r="CMO181" s="367"/>
      <c r="CMP181" s="367"/>
      <c r="CMQ181" s="368" t="s">
        <v>168</v>
      </c>
      <c r="CMR181" s="369">
        <v>0.5</v>
      </c>
      <c r="CMS181" s="370" t="e">
        <f>10/CMO179</f>
        <v>#DIV/0!</v>
      </c>
      <c r="CMT181" s="371">
        <v>15.38</v>
      </c>
      <c r="CMU181" s="371" t="e">
        <f>CMR181*CMS181*CMT181</f>
        <v>#DIV/0!</v>
      </c>
      <c r="CMV181" s="367" t="s">
        <v>206</v>
      </c>
      <c r="CMW181" s="367"/>
      <c r="CMX181" s="367"/>
      <c r="CMY181" s="368" t="s">
        <v>168</v>
      </c>
      <c r="CMZ181" s="369">
        <v>0.5</v>
      </c>
      <c r="CNA181" s="370" t="e">
        <f>10/CMW179</f>
        <v>#DIV/0!</v>
      </c>
      <c r="CNB181" s="371">
        <v>15.38</v>
      </c>
      <c r="CNC181" s="371" t="e">
        <f>CMZ181*CNA181*CNB181</f>
        <v>#DIV/0!</v>
      </c>
      <c r="CND181" s="367" t="s">
        <v>206</v>
      </c>
      <c r="CNE181" s="367"/>
      <c r="CNF181" s="367"/>
      <c r="CNG181" s="368" t="s">
        <v>168</v>
      </c>
      <c r="CNH181" s="369">
        <v>0.5</v>
      </c>
      <c r="CNI181" s="370" t="e">
        <f>10/CNE179</f>
        <v>#DIV/0!</v>
      </c>
      <c r="CNJ181" s="371">
        <v>15.38</v>
      </c>
      <c r="CNK181" s="371" t="e">
        <f>CNH181*CNI181*CNJ181</f>
        <v>#DIV/0!</v>
      </c>
      <c r="CNL181" s="367" t="s">
        <v>206</v>
      </c>
      <c r="CNM181" s="367"/>
      <c r="CNN181" s="367"/>
      <c r="CNO181" s="368" t="s">
        <v>168</v>
      </c>
      <c r="CNP181" s="369">
        <v>0.5</v>
      </c>
      <c r="CNQ181" s="370" t="e">
        <f>10/CNM179</f>
        <v>#DIV/0!</v>
      </c>
      <c r="CNR181" s="371">
        <v>15.38</v>
      </c>
      <c r="CNS181" s="371" t="e">
        <f>CNP181*CNQ181*CNR181</f>
        <v>#DIV/0!</v>
      </c>
      <c r="CNT181" s="367" t="s">
        <v>206</v>
      </c>
      <c r="CNU181" s="367"/>
      <c r="CNV181" s="367"/>
      <c r="CNW181" s="368" t="s">
        <v>168</v>
      </c>
      <c r="CNX181" s="369">
        <v>0.5</v>
      </c>
      <c r="CNY181" s="370" t="e">
        <f>10/CNU179</f>
        <v>#DIV/0!</v>
      </c>
      <c r="CNZ181" s="371">
        <v>15.38</v>
      </c>
      <c r="COA181" s="371" t="e">
        <f>CNX181*CNY181*CNZ181</f>
        <v>#DIV/0!</v>
      </c>
      <c r="COB181" s="367" t="s">
        <v>206</v>
      </c>
      <c r="COC181" s="367"/>
      <c r="COD181" s="367"/>
      <c r="COE181" s="368" t="s">
        <v>168</v>
      </c>
      <c r="COF181" s="369">
        <v>0.5</v>
      </c>
      <c r="COG181" s="370" t="e">
        <f>10/COC179</f>
        <v>#DIV/0!</v>
      </c>
      <c r="COH181" s="371">
        <v>15.38</v>
      </c>
      <c r="COI181" s="371" t="e">
        <f>COF181*COG181*COH181</f>
        <v>#DIV/0!</v>
      </c>
      <c r="COJ181" s="367" t="s">
        <v>206</v>
      </c>
      <c r="COK181" s="367"/>
      <c r="COL181" s="367"/>
      <c r="COM181" s="368" t="s">
        <v>168</v>
      </c>
      <c r="CON181" s="369">
        <v>0.5</v>
      </c>
      <c r="COO181" s="370" t="e">
        <f>10/COK179</f>
        <v>#DIV/0!</v>
      </c>
      <c r="COP181" s="371">
        <v>15.38</v>
      </c>
      <c r="COQ181" s="371" t="e">
        <f>CON181*COO181*COP181</f>
        <v>#DIV/0!</v>
      </c>
      <c r="COR181" s="367" t="s">
        <v>206</v>
      </c>
      <c r="COS181" s="367"/>
      <c r="COT181" s="367"/>
      <c r="COU181" s="368" t="s">
        <v>168</v>
      </c>
      <c r="COV181" s="369">
        <v>0.5</v>
      </c>
      <c r="COW181" s="370" t="e">
        <f>10/COS179</f>
        <v>#DIV/0!</v>
      </c>
      <c r="COX181" s="371">
        <v>15.38</v>
      </c>
      <c r="COY181" s="371" t="e">
        <f>COV181*COW181*COX181</f>
        <v>#DIV/0!</v>
      </c>
      <c r="COZ181" s="367" t="s">
        <v>206</v>
      </c>
      <c r="CPA181" s="367"/>
      <c r="CPB181" s="367"/>
      <c r="CPC181" s="368" t="s">
        <v>168</v>
      </c>
      <c r="CPD181" s="369">
        <v>0.5</v>
      </c>
      <c r="CPE181" s="370" t="e">
        <f>10/CPA179</f>
        <v>#DIV/0!</v>
      </c>
      <c r="CPF181" s="371">
        <v>15.38</v>
      </c>
      <c r="CPG181" s="371" t="e">
        <f>CPD181*CPE181*CPF181</f>
        <v>#DIV/0!</v>
      </c>
      <c r="CPH181" s="367" t="s">
        <v>206</v>
      </c>
      <c r="CPI181" s="367"/>
      <c r="CPJ181" s="367"/>
      <c r="CPK181" s="368" t="s">
        <v>168</v>
      </c>
      <c r="CPL181" s="369">
        <v>0.5</v>
      </c>
      <c r="CPM181" s="370" t="e">
        <f>10/CPI179</f>
        <v>#DIV/0!</v>
      </c>
      <c r="CPN181" s="371">
        <v>15.38</v>
      </c>
      <c r="CPO181" s="371" t="e">
        <f>CPL181*CPM181*CPN181</f>
        <v>#DIV/0!</v>
      </c>
      <c r="CPP181" s="367" t="s">
        <v>206</v>
      </c>
      <c r="CPQ181" s="367"/>
      <c r="CPR181" s="367"/>
      <c r="CPS181" s="368" t="s">
        <v>168</v>
      </c>
      <c r="CPT181" s="369">
        <v>0.5</v>
      </c>
      <c r="CPU181" s="370" t="e">
        <f>10/CPQ179</f>
        <v>#DIV/0!</v>
      </c>
      <c r="CPV181" s="371">
        <v>15.38</v>
      </c>
      <c r="CPW181" s="371" t="e">
        <f>CPT181*CPU181*CPV181</f>
        <v>#DIV/0!</v>
      </c>
      <c r="CPX181" s="367" t="s">
        <v>206</v>
      </c>
      <c r="CPY181" s="367"/>
      <c r="CPZ181" s="367"/>
      <c r="CQA181" s="368" t="s">
        <v>168</v>
      </c>
      <c r="CQB181" s="369">
        <v>0.5</v>
      </c>
      <c r="CQC181" s="370" t="e">
        <f>10/CPY179</f>
        <v>#DIV/0!</v>
      </c>
      <c r="CQD181" s="371">
        <v>15.38</v>
      </c>
      <c r="CQE181" s="371" t="e">
        <f>CQB181*CQC181*CQD181</f>
        <v>#DIV/0!</v>
      </c>
      <c r="CQF181" s="367" t="s">
        <v>206</v>
      </c>
      <c r="CQG181" s="367"/>
      <c r="CQH181" s="367"/>
      <c r="CQI181" s="368" t="s">
        <v>168</v>
      </c>
      <c r="CQJ181" s="369">
        <v>0.5</v>
      </c>
      <c r="CQK181" s="370" t="e">
        <f>10/CQG179</f>
        <v>#DIV/0!</v>
      </c>
      <c r="CQL181" s="371">
        <v>15.38</v>
      </c>
      <c r="CQM181" s="371" t="e">
        <f>CQJ181*CQK181*CQL181</f>
        <v>#DIV/0!</v>
      </c>
      <c r="CQN181" s="367" t="s">
        <v>206</v>
      </c>
      <c r="CQO181" s="367"/>
      <c r="CQP181" s="367"/>
      <c r="CQQ181" s="368" t="s">
        <v>168</v>
      </c>
      <c r="CQR181" s="369">
        <v>0.5</v>
      </c>
      <c r="CQS181" s="370" t="e">
        <f>10/CQO179</f>
        <v>#DIV/0!</v>
      </c>
      <c r="CQT181" s="371">
        <v>15.38</v>
      </c>
      <c r="CQU181" s="371" t="e">
        <f>CQR181*CQS181*CQT181</f>
        <v>#DIV/0!</v>
      </c>
      <c r="CQV181" s="367" t="s">
        <v>206</v>
      </c>
      <c r="CQW181" s="367"/>
      <c r="CQX181" s="367"/>
      <c r="CQY181" s="368" t="s">
        <v>168</v>
      </c>
      <c r="CQZ181" s="369">
        <v>0.5</v>
      </c>
      <c r="CRA181" s="370" t="e">
        <f>10/CQW179</f>
        <v>#DIV/0!</v>
      </c>
      <c r="CRB181" s="371">
        <v>15.38</v>
      </c>
      <c r="CRC181" s="371" t="e">
        <f>CQZ181*CRA181*CRB181</f>
        <v>#DIV/0!</v>
      </c>
      <c r="CRD181" s="367" t="s">
        <v>206</v>
      </c>
      <c r="CRE181" s="367"/>
      <c r="CRF181" s="367"/>
      <c r="CRG181" s="368" t="s">
        <v>168</v>
      </c>
      <c r="CRH181" s="369">
        <v>0.5</v>
      </c>
      <c r="CRI181" s="370" t="e">
        <f>10/CRE179</f>
        <v>#DIV/0!</v>
      </c>
      <c r="CRJ181" s="371">
        <v>15.38</v>
      </c>
      <c r="CRK181" s="371" t="e">
        <f>CRH181*CRI181*CRJ181</f>
        <v>#DIV/0!</v>
      </c>
      <c r="CRL181" s="367" t="s">
        <v>206</v>
      </c>
      <c r="CRM181" s="367"/>
      <c r="CRN181" s="367"/>
      <c r="CRO181" s="368" t="s">
        <v>168</v>
      </c>
      <c r="CRP181" s="369">
        <v>0.5</v>
      </c>
      <c r="CRQ181" s="370" t="e">
        <f>10/CRM179</f>
        <v>#DIV/0!</v>
      </c>
      <c r="CRR181" s="371">
        <v>15.38</v>
      </c>
      <c r="CRS181" s="371" t="e">
        <f>CRP181*CRQ181*CRR181</f>
        <v>#DIV/0!</v>
      </c>
      <c r="CRT181" s="367" t="s">
        <v>206</v>
      </c>
      <c r="CRU181" s="367"/>
      <c r="CRV181" s="367"/>
      <c r="CRW181" s="368" t="s">
        <v>168</v>
      </c>
      <c r="CRX181" s="369">
        <v>0.5</v>
      </c>
      <c r="CRY181" s="370" t="e">
        <f>10/CRU179</f>
        <v>#DIV/0!</v>
      </c>
      <c r="CRZ181" s="371">
        <v>15.38</v>
      </c>
      <c r="CSA181" s="371" t="e">
        <f>CRX181*CRY181*CRZ181</f>
        <v>#DIV/0!</v>
      </c>
      <c r="CSB181" s="367" t="s">
        <v>206</v>
      </c>
      <c r="CSC181" s="367"/>
      <c r="CSD181" s="367"/>
      <c r="CSE181" s="368" t="s">
        <v>168</v>
      </c>
      <c r="CSF181" s="369">
        <v>0.5</v>
      </c>
      <c r="CSG181" s="370" t="e">
        <f>10/CSC179</f>
        <v>#DIV/0!</v>
      </c>
      <c r="CSH181" s="371">
        <v>15.38</v>
      </c>
      <c r="CSI181" s="371" t="e">
        <f>CSF181*CSG181*CSH181</f>
        <v>#DIV/0!</v>
      </c>
      <c r="CSJ181" s="367" t="s">
        <v>206</v>
      </c>
      <c r="CSK181" s="367"/>
      <c r="CSL181" s="367"/>
      <c r="CSM181" s="368" t="s">
        <v>168</v>
      </c>
      <c r="CSN181" s="369">
        <v>0.5</v>
      </c>
      <c r="CSO181" s="370" t="e">
        <f>10/CSK179</f>
        <v>#DIV/0!</v>
      </c>
      <c r="CSP181" s="371">
        <v>15.38</v>
      </c>
      <c r="CSQ181" s="371" t="e">
        <f>CSN181*CSO181*CSP181</f>
        <v>#DIV/0!</v>
      </c>
      <c r="CSR181" s="367" t="s">
        <v>206</v>
      </c>
      <c r="CSS181" s="367"/>
      <c r="CST181" s="367"/>
      <c r="CSU181" s="368" t="s">
        <v>168</v>
      </c>
      <c r="CSV181" s="369">
        <v>0.5</v>
      </c>
      <c r="CSW181" s="370" t="e">
        <f>10/CSS179</f>
        <v>#DIV/0!</v>
      </c>
      <c r="CSX181" s="371">
        <v>15.38</v>
      </c>
      <c r="CSY181" s="371" t="e">
        <f>CSV181*CSW181*CSX181</f>
        <v>#DIV/0!</v>
      </c>
      <c r="CSZ181" s="367" t="s">
        <v>206</v>
      </c>
      <c r="CTA181" s="367"/>
      <c r="CTB181" s="367"/>
      <c r="CTC181" s="368" t="s">
        <v>168</v>
      </c>
      <c r="CTD181" s="369">
        <v>0.5</v>
      </c>
      <c r="CTE181" s="370" t="e">
        <f>10/CTA179</f>
        <v>#DIV/0!</v>
      </c>
      <c r="CTF181" s="371">
        <v>15.38</v>
      </c>
      <c r="CTG181" s="371" t="e">
        <f>CTD181*CTE181*CTF181</f>
        <v>#DIV/0!</v>
      </c>
      <c r="CTH181" s="367" t="s">
        <v>206</v>
      </c>
      <c r="CTI181" s="367"/>
      <c r="CTJ181" s="367"/>
      <c r="CTK181" s="368" t="s">
        <v>168</v>
      </c>
      <c r="CTL181" s="369">
        <v>0.5</v>
      </c>
      <c r="CTM181" s="370" t="e">
        <f>10/CTI179</f>
        <v>#DIV/0!</v>
      </c>
      <c r="CTN181" s="371">
        <v>15.38</v>
      </c>
      <c r="CTO181" s="371" t="e">
        <f>CTL181*CTM181*CTN181</f>
        <v>#DIV/0!</v>
      </c>
      <c r="CTP181" s="367" t="s">
        <v>206</v>
      </c>
      <c r="CTQ181" s="367"/>
      <c r="CTR181" s="367"/>
      <c r="CTS181" s="368" t="s">
        <v>168</v>
      </c>
      <c r="CTT181" s="369">
        <v>0.5</v>
      </c>
      <c r="CTU181" s="370" t="e">
        <f>10/CTQ179</f>
        <v>#DIV/0!</v>
      </c>
      <c r="CTV181" s="371">
        <v>15.38</v>
      </c>
      <c r="CTW181" s="371" t="e">
        <f>CTT181*CTU181*CTV181</f>
        <v>#DIV/0!</v>
      </c>
      <c r="CTX181" s="367" t="s">
        <v>206</v>
      </c>
      <c r="CTY181" s="367"/>
      <c r="CTZ181" s="367"/>
      <c r="CUA181" s="368" t="s">
        <v>168</v>
      </c>
      <c r="CUB181" s="369">
        <v>0.5</v>
      </c>
      <c r="CUC181" s="370" t="e">
        <f>10/CTY179</f>
        <v>#DIV/0!</v>
      </c>
      <c r="CUD181" s="371">
        <v>15.38</v>
      </c>
      <c r="CUE181" s="371" t="e">
        <f>CUB181*CUC181*CUD181</f>
        <v>#DIV/0!</v>
      </c>
      <c r="CUF181" s="367" t="s">
        <v>206</v>
      </c>
      <c r="CUG181" s="367"/>
      <c r="CUH181" s="367"/>
      <c r="CUI181" s="368" t="s">
        <v>168</v>
      </c>
      <c r="CUJ181" s="369">
        <v>0.5</v>
      </c>
      <c r="CUK181" s="370" t="e">
        <f>10/CUG179</f>
        <v>#DIV/0!</v>
      </c>
      <c r="CUL181" s="371">
        <v>15.38</v>
      </c>
      <c r="CUM181" s="371" t="e">
        <f>CUJ181*CUK181*CUL181</f>
        <v>#DIV/0!</v>
      </c>
      <c r="CUN181" s="367" t="s">
        <v>206</v>
      </c>
      <c r="CUO181" s="367"/>
      <c r="CUP181" s="367"/>
      <c r="CUQ181" s="368" t="s">
        <v>168</v>
      </c>
      <c r="CUR181" s="369">
        <v>0.5</v>
      </c>
      <c r="CUS181" s="370" t="e">
        <f>10/CUO179</f>
        <v>#DIV/0!</v>
      </c>
      <c r="CUT181" s="371">
        <v>15.38</v>
      </c>
      <c r="CUU181" s="371" t="e">
        <f>CUR181*CUS181*CUT181</f>
        <v>#DIV/0!</v>
      </c>
      <c r="CUV181" s="367" t="s">
        <v>206</v>
      </c>
      <c r="CUW181" s="367"/>
      <c r="CUX181" s="367"/>
      <c r="CUY181" s="368" t="s">
        <v>168</v>
      </c>
      <c r="CUZ181" s="369">
        <v>0.5</v>
      </c>
      <c r="CVA181" s="370" t="e">
        <f>10/CUW179</f>
        <v>#DIV/0!</v>
      </c>
      <c r="CVB181" s="371">
        <v>15.38</v>
      </c>
      <c r="CVC181" s="371" t="e">
        <f>CUZ181*CVA181*CVB181</f>
        <v>#DIV/0!</v>
      </c>
      <c r="CVD181" s="367" t="s">
        <v>206</v>
      </c>
      <c r="CVE181" s="367"/>
      <c r="CVF181" s="367"/>
      <c r="CVG181" s="368" t="s">
        <v>168</v>
      </c>
      <c r="CVH181" s="369">
        <v>0.5</v>
      </c>
      <c r="CVI181" s="370" t="e">
        <f>10/CVE179</f>
        <v>#DIV/0!</v>
      </c>
      <c r="CVJ181" s="371">
        <v>15.38</v>
      </c>
      <c r="CVK181" s="371" t="e">
        <f>CVH181*CVI181*CVJ181</f>
        <v>#DIV/0!</v>
      </c>
      <c r="CVL181" s="367" t="s">
        <v>206</v>
      </c>
      <c r="CVM181" s="367"/>
      <c r="CVN181" s="367"/>
      <c r="CVO181" s="368" t="s">
        <v>168</v>
      </c>
      <c r="CVP181" s="369">
        <v>0.5</v>
      </c>
      <c r="CVQ181" s="370" t="e">
        <f>10/CVM179</f>
        <v>#DIV/0!</v>
      </c>
      <c r="CVR181" s="371">
        <v>15.38</v>
      </c>
      <c r="CVS181" s="371" t="e">
        <f>CVP181*CVQ181*CVR181</f>
        <v>#DIV/0!</v>
      </c>
      <c r="CVT181" s="367" t="s">
        <v>206</v>
      </c>
      <c r="CVU181" s="367"/>
      <c r="CVV181" s="367"/>
      <c r="CVW181" s="368" t="s">
        <v>168</v>
      </c>
      <c r="CVX181" s="369">
        <v>0.5</v>
      </c>
      <c r="CVY181" s="370" t="e">
        <f>10/CVU179</f>
        <v>#DIV/0!</v>
      </c>
      <c r="CVZ181" s="371">
        <v>15.38</v>
      </c>
      <c r="CWA181" s="371" t="e">
        <f>CVX181*CVY181*CVZ181</f>
        <v>#DIV/0!</v>
      </c>
      <c r="CWB181" s="367" t="s">
        <v>206</v>
      </c>
      <c r="CWC181" s="367"/>
      <c r="CWD181" s="367"/>
      <c r="CWE181" s="368" t="s">
        <v>168</v>
      </c>
      <c r="CWF181" s="369">
        <v>0.5</v>
      </c>
      <c r="CWG181" s="370" t="e">
        <f>10/CWC179</f>
        <v>#DIV/0!</v>
      </c>
      <c r="CWH181" s="371">
        <v>15.38</v>
      </c>
      <c r="CWI181" s="371" t="e">
        <f>CWF181*CWG181*CWH181</f>
        <v>#DIV/0!</v>
      </c>
      <c r="CWJ181" s="367" t="s">
        <v>206</v>
      </c>
      <c r="CWK181" s="367"/>
      <c r="CWL181" s="367"/>
      <c r="CWM181" s="368" t="s">
        <v>168</v>
      </c>
      <c r="CWN181" s="369">
        <v>0.5</v>
      </c>
      <c r="CWO181" s="370" t="e">
        <f>10/CWK179</f>
        <v>#DIV/0!</v>
      </c>
      <c r="CWP181" s="371">
        <v>15.38</v>
      </c>
      <c r="CWQ181" s="371" t="e">
        <f>CWN181*CWO181*CWP181</f>
        <v>#DIV/0!</v>
      </c>
      <c r="CWR181" s="367" t="s">
        <v>206</v>
      </c>
      <c r="CWS181" s="367"/>
      <c r="CWT181" s="367"/>
      <c r="CWU181" s="368" t="s">
        <v>168</v>
      </c>
      <c r="CWV181" s="369">
        <v>0.5</v>
      </c>
      <c r="CWW181" s="370" t="e">
        <f>10/CWS179</f>
        <v>#DIV/0!</v>
      </c>
      <c r="CWX181" s="371">
        <v>15.38</v>
      </c>
      <c r="CWY181" s="371" t="e">
        <f>CWV181*CWW181*CWX181</f>
        <v>#DIV/0!</v>
      </c>
      <c r="CWZ181" s="367" t="s">
        <v>206</v>
      </c>
      <c r="CXA181" s="367"/>
      <c r="CXB181" s="367"/>
      <c r="CXC181" s="368" t="s">
        <v>168</v>
      </c>
      <c r="CXD181" s="369">
        <v>0.5</v>
      </c>
      <c r="CXE181" s="370" t="e">
        <f>10/CXA179</f>
        <v>#DIV/0!</v>
      </c>
      <c r="CXF181" s="371">
        <v>15.38</v>
      </c>
      <c r="CXG181" s="371" t="e">
        <f>CXD181*CXE181*CXF181</f>
        <v>#DIV/0!</v>
      </c>
      <c r="CXH181" s="367" t="s">
        <v>206</v>
      </c>
      <c r="CXI181" s="367"/>
      <c r="CXJ181" s="367"/>
      <c r="CXK181" s="368" t="s">
        <v>168</v>
      </c>
      <c r="CXL181" s="369">
        <v>0.5</v>
      </c>
      <c r="CXM181" s="370" t="e">
        <f>10/CXI179</f>
        <v>#DIV/0!</v>
      </c>
      <c r="CXN181" s="371">
        <v>15.38</v>
      </c>
      <c r="CXO181" s="371" t="e">
        <f>CXL181*CXM181*CXN181</f>
        <v>#DIV/0!</v>
      </c>
      <c r="CXP181" s="367" t="s">
        <v>206</v>
      </c>
      <c r="CXQ181" s="367"/>
      <c r="CXR181" s="367"/>
      <c r="CXS181" s="368" t="s">
        <v>168</v>
      </c>
      <c r="CXT181" s="369">
        <v>0.5</v>
      </c>
      <c r="CXU181" s="370" t="e">
        <f>10/CXQ179</f>
        <v>#DIV/0!</v>
      </c>
      <c r="CXV181" s="371">
        <v>15.38</v>
      </c>
      <c r="CXW181" s="371" t="e">
        <f>CXT181*CXU181*CXV181</f>
        <v>#DIV/0!</v>
      </c>
      <c r="CXX181" s="367" t="s">
        <v>206</v>
      </c>
      <c r="CXY181" s="367"/>
      <c r="CXZ181" s="367"/>
      <c r="CYA181" s="368" t="s">
        <v>168</v>
      </c>
      <c r="CYB181" s="369">
        <v>0.5</v>
      </c>
      <c r="CYC181" s="370" t="e">
        <f>10/CXY179</f>
        <v>#DIV/0!</v>
      </c>
      <c r="CYD181" s="371">
        <v>15.38</v>
      </c>
      <c r="CYE181" s="371" t="e">
        <f>CYB181*CYC181*CYD181</f>
        <v>#DIV/0!</v>
      </c>
      <c r="CYF181" s="367" t="s">
        <v>206</v>
      </c>
      <c r="CYG181" s="367"/>
      <c r="CYH181" s="367"/>
      <c r="CYI181" s="368" t="s">
        <v>168</v>
      </c>
      <c r="CYJ181" s="369">
        <v>0.5</v>
      </c>
      <c r="CYK181" s="370" t="e">
        <f>10/CYG179</f>
        <v>#DIV/0!</v>
      </c>
      <c r="CYL181" s="371">
        <v>15.38</v>
      </c>
      <c r="CYM181" s="371" t="e">
        <f>CYJ181*CYK181*CYL181</f>
        <v>#DIV/0!</v>
      </c>
      <c r="CYN181" s="367" t="s">
        <v>206</v>
      </c>
      <c r="CYO181" s="367"/>
      <c r="CYP181" s="367"/>
      <c r="CYQ181" s="368" t="s">
        <v>168</v>
      </c>
      <c r="CYR181" s="369">
        <v>0.5</v>
      </c>
      <c r="CYS181" s="370" t="e">
        <f>10/CYO179</f>
        <v>#DIV/0!</v>
      </c>
      <c r="CYT181" s="371">
        <v>15.38</v>
      </c>
      <c r="CYU181" s="371" t="e">
        <f>CYR181*CYS181*CYT181</f>
        <v>#DIV/0!</v>
      </c>
      <c r="CYV181" s="367" t="s">
        <v>206</v>
      </c>
      <c r="CYW181" s="367"/>
      <c r="CYX181" s="367"/>
      <c r="CYY181" s="368" t="s">
        <v>168</v>
      </c>
      <c r="CYZ181" s="369">
        <v>0.5</v>
      </c>
      <c r="CZA181" s="370" t="e">
        <f>10/CYW179</f>
        <v>#DIV/0!</v>
      </c>
      <c r="CZB181" s="371">
        <v>15.38</v>
      </c>
      <c r="CZC181" s="371" t="e">
        <f>CYZ181*CZA181*CZB181</f>
        <v>#DIV/0!</v>
      </c>
      <c r="CZD181" s="367" t="s">
        <v>206</v>
      </c>
      <c r="CZE181" s="367"/>
      <c r="CZF181" s="367"/>
      <c r="CZG181" s="368" t="s">
        <v>168</v>
      </c>
      <c r="CZH181" s="369">
        <v>0.5</v>
      </c>
      <c r="CZI181" s="370" t="e">
        <f>10/CZE179</f>
        <v>#DIV/0!</v>
      </c>
      <c r="CZJ181" s="371">
        <v>15.38</v>
      </c>
      <c r="CZK181" s="371" t="e">
        <f>CZH181*CZI181*CZJ181</f>
        <v>#DIV/0!</v>
      </c>
      <c r="CZL181" s="367" t="s">
        <v>206</v>
      </c>
      <c r="CZM181" s="367"/>
      <c r="CZN181" s="367"/>
      <c r="CZO181" s="368" t="s">
        <v>168</v>
      </c>
      <c r="CZP181" s="369">
        <v>0.5</v>
      </c>
      <c r="CZQ181" s="370" t="e">
        <f>10/CZM179</f>
        <v>#DIV/0!</v>
      </c>
      <c r="CZR181" s="371">
        <v>15.38</v>
      </c>
      <c r="CZS181" s="371" t="e">
        <f>CZP181*CZQ181*CZR181</f>
        <v>#DIV/0!</v>
      </c>
      <c r="CZT181" s="367" t="s">
        <v>206</v>
      </c>
      <c r="CZU181" s="367"/>
      <c r="CZV181" s="367"/>
      <c r="CZW181" s="368" t="s">
        <v>168</v>
      </c>
      <c r="CZX181" s="369">
        <v>0.5</v>
      </c>
      <c r="CZY181" s="370" t="e">
        <f>10/CZU179</f>
        <v>#DIV/0!</v>
      </c>
      <c r="CZZ181" s="371">
        <v>15.38</v>
      </c>
      <c r="DAA181" s="371" t="e">
        <f>CZX181*CZY181*CZZ181</f>
        <v>#DIV/0!</v>
      </c>
      <c r="DAB181" s="367" t="s">
        <v>206</v>
      </c>
      <c r="DAC181" s="367"/>
      <c r="DAD181" s="367"/>
      <c r="DAE181" s="368" t="s">
        <v>168</v>
      </c>
      <c r="DAF181" s="369">
        <v>0.5</v>
      </c>
      <c r="DAG181" s="370" t="e">
        <f>10/DAC179</f>
        <v>#DIV/0!</v>
      </c>
      <c r="DAH181" s="371">
        <v>15.38</v>
      </c>
      <c r="DAI181" s="371" t="e">
        <f>DAF181*DAG181*DAH181</f>
        <v>#DIV/0!</v>
      </c>
      <c r="DAJ181" s="367" t="s">
        <v>206</v>
      </c>
      <c r="DAK181" s="367"/>
      <c r="DAL181" s="367"/>
      <c r="DAM181" s="368" t="s">
        <v>168</v>
      </c>
      <c r="DAN181" s="369">
        <v>0.5</v>
      </c>
      <c r="DAO181" s="370" t="e">
        <f>10/DAK179</f>
        <v>#DIV/0!</v>
      </c>
      <c r="DAP181" s="371">
        <v>15.38</v>
      </c>
      <c r="DAQ181" s="371" t="e">
        <f>DAN181*DAO181*DAP181</f>
        <v>#DIV/0!</v>
      </c>
      <c r="DAR181" s="367" t="s">
        <v>206</v>
      </c>
      <c r="DAS181" s="367"/>
      <c r="DAT181" s="367"/>
      <c r="DAU181" s="368" t="s">
        <v>168</v>
      </c>
      <c r="DAV181" s="369">
        <v>0.5</v>
      </c>
      <c r="DAW181" s="370" t="e">
        <f>10/DAS179</f>
        <v>#DIV/0!</v>
      </c>
      <c r="DAX181" s="371">
        <v>15.38</v>
      </c>
      <c r="DAY181" s="371" t="e">
        <f>DAV181*DAW181*DAX181</f>
        <v>#DIV/0!</v>
      </c>
      <c r="DAZ181" s="367" t="s">
        <v>206</v>
      </c>
      <c r="DBA181" s="367"/>
      <c r="DBB181" s="367"/>
      <c r="DBC181" s="368" t="s">
        <v>168</v>
      </c>
      <c r="DBD181" s="369">
        <v>0.5</v>
      </c>
      <c r="DBE181" s="370" t="e">
        <f>10/DBA179</f>
        <v>#DIV/0!</v>
      </c>
      <c r="DBF181" s="371">
        <v>15.38</v>
      </c>
      <c r="DBG181" s="371" t="e">
        <f>DBD181*DBE181*DBF181</f>
        <v>#DIV/0!</v>
      </c>
      <c r="DBH181" s="367" t="s">
        <v>206</v>
      </c>
      <c r="DBI181" s="367"/>
      <c r="DBJ181" s="367"/>
      <c r="DBK181" s="368" t="s">
        <v>168</v>
      </c>
      <c r="DBL181" s="369">
        <v>0.5</v>
      </c>
      <c r="DBM181" s="370" t="e">
        <f>10/DBI179</f>
        <v>#DIV/0!</v>
      </c>
      <c r="DBN181" s="371">
        <v>15.38</v>
      </c>
      <c r="DBO181" s="371" t="e">
        <f>DBL181*DBM181*DBN181</f>
        <v>#DIV/0!</v>
      </c>
      <c r="DBP181" s="367" t="s">
        <v>206</v>
      </c>
      <c r="DBQ181" s="367"/>
      <c r="DBR181" s="367"/>
      <c r="DBS181" s="368" t="s">
        <v>168</v>
      </c>
      <c r="DBT181" s="369">
        <v>0.5</v>
      </c>
      <c r="DBU181" s="370" t="e">
        <f>10/DBQ179</f>
        <v>#DIV/0!</v>
      </c>
      <c r="DBV181" s="371">
        <v>15.38</v>
      </c>
      <c r="DBW181" s="371" t="e">
        <f>DBT181*DBU181*DBV181</f>
        <v>#DIV/0!</v>
      </c>
      <c r="DBX181" s="367" t="s">
        <v>206</v>
      </c>
      <c r="DBY181" s="367"/>
      <c r="DBZ181" s="367"/>
      <c r="DCA181" s="368" t="s">
        <v>168</v>
      </c>
      <c r="DCB181" s="369">
        <v>0.5</v>
      </c>
      <c r="DCC181" s="370" t="e">
        <f>10/DBY179</f>
        <v>#DIV/0!</v>
      </c>
      <c r="DCD181" s="371">
        <v>15.38</v>
      </c>
      <c r="DCE181" s="371" t="e">
        <f>DCB181*DCC181*DCD181</f>
        <v>#DIV/0!</v>
      </c>
      <c r="DCF181" s="367" t="s">
        <v>206</v>
      </c>
      <c r="DCG181" s="367"/>
      <c r="DCH181" s="367"/>
      <c r="DCI181" s="368" t="s">
        <v>168</v>
      </c>
      <c r="DCJ181" s="369">
        <v>0.5</v>
      </c>
      <c r="DCK181" s="370" t="e">
        <f>10/DCG179</f>
        <v>#DIV/0!</v>
      </c>
      <c r="DCL181" s="371">
        <v>15.38</v>
      </c>
      <c r="DCM181" s="371" t="e">
        <f>DCJ181*DCK181*DCL181</f>
        <v>#DIV/0!</v>
      </c>
      <c r="DCN181" s="367" t="s">
        <v>206</v>
      </c>
      <c r="DCO181" s="367"/>
      <c r="DCP181" s="367"/>
      <c r="DCQ181" s="368" t="s">
        <v>168</v>
      </c>
      <c r="DCR181" s="369">
        <v>0.5</v>
      </c>
      <c r="DCS181" s="370" t="e">
        <f>10/DCO179</f>
        <v>#DIV/0!</v>
      </c>
      <c r="DCT181" s="371">
        <v>15.38</v>
      </c>
      <c r="DCU181" s="371" t="e">
        <f>DCR181*DCS181*DCT181</f>
        <v>#DIV/0!</v>
      </c>
      <c r="DCV181" s="367" t="s">
        <v>206</v>
      </c>
      <c r="DCW181" s="367"/>
      <c r="DCX181" s="367"/>
      <c r="DCY181" s="368" t="s">
        <v>168</v>
      </c>
      <c r="DCZ181" s="369">
        <v>0.5</v>
      </c>
      <c r="DDA181" s="370" t="e">
        <f>10/DCW179</f>
        <v>#DIV/0!</v>
      </c>
      <c r="DDB181" s="371">
        <v>15.38</v>
      </c>
      <c r="DDC181" s="371" t="e">
        <f>DCZ181*DDA181*DDB181</f>
        <v>#DIV/0!</v>
      </c>
      <c r="DDD181" s="367" t="s">
        <v>206</v>
      </c>
      <c r="DDE181" s="367"/>
      <c r="DDF181" s="367"/>
      <c r="DDG181" s="368" t="s">
        <v>168</v>
      </c>
      <c r="DDH181" s="369">
        <v>0.5</v>
      </c>
      <c r="DDI181" s="370" t="e">
        <f>10/DDE179</f>
        <v>#DIV/0!</v>
      </c>
      <c r="DDJ181" s="371">
        <v>15.38</v>
      </c>
      <c r="DDK181" s="371" t="e">
        <f>DDH181*DDI181*DDJ181</f>
        <v>#DIV/0!</v>
      </c>
      <c r="DDL181" s="367" t="s">
        <v>206</v>
      </c>
      <c r="DDM181" s="367"/>
      <c r="DDN181" s="367"/>
      <c r="DDO181" s="368" t="s">
        <v>168</v>
      </c>
      <c r="DDP181" s="369">
        <v>0.5</v>
      </c>
      <c r="DDQ181" s="370" t="e">
        <f>10/DDM179</f>
        <v>#DIV/0!</v>
      </c>
      <c r="DDR181" s="371">
        <v>15.38</v>
      </c>
      <c r="DDS181" s="371" t="e">
        <f>DDP181*DDQ181*DDR181</f>
        <v>#DIV/0!</v>
      </c>
      <c r="DDT181" s="367" t="s">
        <v>206</v>
      </c>
      <c r="DDU181" s="367"/>
      <c r="DDV181" s="367"/>
      <c r="DDW181" s="368" t="s">
        <v>168</v>
      </c>
      <c r="DDX181" s="369">
        <v>0.5</v>
      </c>
      <c r="DDY181" s="370" t="e">
        <f>10/DDU179</f>
        <v>#DIV/0!</v>
      </c>
      <c r="DDZ181" s="371">
        <v>15.38</v>
      </c>
      <c r="DEA181" s="371" t="e">
        <f>DDX181*DDY181*DDZ181</f>
        <v>#DIV/0!</v>
      </c>
      <c r="DEB181" s="367" t="s">
        <v>206</v>
      </c>
      <c r="DEC181" s="367"/>
      <c r="DED181" s="367"/>
      <c r="DEE181" s="368" t="s">
        <v>168</v>
      </c>
      <c r="DEF181" s="369">
        <v>0.5</v>
      </c>
      <c r="DEG181" s="370" t="e">
        <f>10/DEC179</f>
        <v>#DIV/0!</v>
      </c>
      <c r="DEH181" s="371">
        <v>15.38</v>
      </c>
      <c r="DEI181" s="371" t="e">
        <f>DEF181*DEG181*DEH181</f>
        <v>#DIV/0!</v>
      </c>
      <c r="DEJ181" s="367" t="s">
        <v>206</v>
      </c>
      <c r="DEK181" s="367"/>
      <c r="DEL181" s="367"/>
      <c r="DEM181" s="368" t="s">
        <v>168</v>
      </c>
      <c r="DEN181" s="369">
        <v>0.5</v>
      </c>
      <c r="DEO181" s="370" t="e">
        <f>10/DEK179</f>
        <v>#DIV/0!</v>
      </c>
      <c r="DEP181" s="371">
        <v>15.38</v>
      </c>
      <c r="DEQ181" s="371" t="e">
        <f>DEN181*DEO181*DEP181</f>
        <v>#DIV/0!</v>
      </c>
      <c r="DER181" s="367" t="s">
        <v>206</v>
      </c>
      <c r="DES181" s="367"/>
      <c r="DET181" s="367"/>
      <c r="DEU181" s="368" t="s">
        <v>168</v>
      </c>
      <c r="DEV181" s="369">
        <v>0.5</v>
      </c>
      <c r="DEW181" s="370" t="e">
        <f>10/DES179</f>
        <v>#DIV/0!</v>
      </c>
      <c r="DEX181" s="371">
        <v>15.38</v>
      </c>
      <c r="DEY181" s="371" t="e">
        <f>DEV181*DEW181*DEX181</f>
        <v>#DIV/0!</v>
      </c>
      <c r="DEZ181" s="367" t="s">
        <v>206</v>
      </c>
      <c r="DFA181" s="367"/>
      <c r="DFB181" s="367"/>
      <c r="DFC181" s="368" t="s">
        <v>168</v>
      </c>
      <c r="DFD181" s="369">
        <v>0.5</v>
      </c>
      <c r="DFE181" s="370" t="e">
        <f>10/DFA179</f>
        <v>#DIV/0!</v>
      </c>
      <c r="DFF181" s="371">
        <v>15.38</v>
      </c>
      <c r="DFG181" s="371" t="e">
        <f>DFD181*DFE181*DFF181</f>
        <v>#DIV/0!</v>
      </c>
      <c r="DFH181" s="367" t="s">
        <v>206</v>
      </c>
      <c r="DFI181" s="367"/>
      <c r="DFJ181" s="367"/>
      <c r="DFK181" s="368" t="s">
        <v>168</v>
      </c>
      <c r="DFL181" s="369">
        <v>0.5</v>
      </c>
      <c r="DFM181" s="370" t="e">
        <f>10/DFI179</f>
        <v>#DIV/0!</v>
      </c>
      <c r="DFN181" s="371">
        <v>15.38</v>
      </c>
      <c r="DFO181" s="371" t="e">
        <f>DFL181*DFM181*DFN181</f>
        <v>#DIV/0!</v>
      </c>
      <c r="DFP181" s="367" t="s">
        <v>206</v>
      </c>
      <c r="DFQ181" s="367"/>
      <c r="DFR181" s="367"/>
      <c r="DFS181" s="368" t="s">
        <v>168</v>
      </c>
      <c r="DFT181" s="369">
        <v>0.5</v>
      </c>
      <c r="DFU181" s="370" t="e">
        <f>10/DFQ179</f>
        <v>#DIV/0!</v>
      </c>
      <c r="DFV181" s="371">
        <v>15.38</v>
      </c>
      <c r="DFW181" s="371" t="e">
        <f>DFT181*DFU181*DFV181</f>
        <v>#DIV/0!</v>
      </c>
      <c r="DFX181" s="367" t="s">
        <v>206</v>
      </c>
      <c r="DFY181" s="367"/>
      <c r="DFZ181" s="367"/>
      <c r="DGA181" s="368" t="s">
        <v>168</v>
      </c>
      <c r="DGB181" s="369">
        <v>0.5</v>
      </c>
      <c r="DGC181" s="370" t="e">
        <f>10/DFY179</f>
        <v>#DIV/0!</v>
      </c>
      <c r="DGD181" s="371">
        <v>15.38</v>
      </c>
      <c r="DGE181" s="371" t="e">
        <f>DGB181*DGC181*DGD181</f>
        <v>#DIV/0!</v>
      </c>
      <c r="DGF181" s="367" t="s">
        <v>206</v>
      </c>
      <c r="DGG181" s="367"/>
      <c r="DGH181" s="367"/>
      <c r="DGI181" s="368" t="s">
        <v>168</v>
      </c>
      <c r="DGJ181" s="369">
        <v>0.5</v>
      </c>
      <c r="DGK181" s="370" t="e">
        <f>10/DGG179</f>
        <v>#DIV/0!</v>
      </c>
      <c r="DGL181" s="371">
        <v>15.38</v>
      </c>
      <c r="DGM181" s="371" t="e">
        <f>DGJ181*DGK181*DGL181</f>
        <v>#DIV/0!</v>
      </c>
      <c r="DGN181" s="367" t="s">
        <v>206</v>
      </c>
      <c r="DGO181" s="367"/>
      <c r="DGP181" s="367"/>
      <c r="DGQ181" s="368" t="s">
        <v>168</v>
      </c>
      <c r="DGR181" s="369">
        <v>0.5</v>
      </c>
      <c r="DGS181" s="370" t="e">
        <f>10/DGO179</f>
        <v>#DIV/0!</v>
      </c>
      <c r="DGT181" s="371">
        <v>15.38</v>
      </c>
      <c r="DGU181" s="371" t="e">
        <f>DGR181*DGS181*DGT181</f>
        <v>#DIV/0!</v>
      </c>
      <c r="DGV181" s="367" t="s">
        <v>206</v>
      </c>
      <c r="DGW181" s="367"/>
      <c r="DGX181" s="367"/>
      <c r="DGY181" s="368" t="s">
        <v>168</v>
      </c>
      <c r="DGZ181" s="369">
        <v>0.5</v>
      </c>
      <c r="DHA181" s="370" t="e">
        <f>10/DGW179</f>
        <v>#DIV/0!</v>
      </c>
      <c r="DHB181" s="371">
        <v>15.38</v>
      </c>
      <c r="DHC181" s="371" t="e">
        <f>DGZ181*DHA181*DHB181</f>
        <v>#DIV/0!</v>
      </c>
      <c r="DHD181" s="367" t="s">
        <v>206</v>
      </c>
      <c r="DHE181" s="367"/>
      <c r="DHF181" s="367"/>
      <c r="DHG181" s="368" t="s">
        <v>168</v>
      </c>
      <c r="DHH181" s="369">
        <v>0.5</v>
      </c>
      <c r="DHI181" s="370" t="e">
        <f>10/DHE179</f>
        <v>#DIV/0!</v>
      </c>
      <c r="DHJ181" s="371">
        <v>15.38</v>
      </c>
      <c r="DHK181" s="371" t="e">
        <f>DHH181*DHI181*DHJ181</f>
        <v>#DIV/0!</v>
      </c>
      <c r="DHL181" s="367" t="s">
        <v>206</v>
      </c>
      <c r="DHM181" s="367"/>
      <c r="DHN181" s="367"/>
      <c r="DHO181" s="368" t="s">
        <v>168</v>
      </c>
      <c r="DHP181" s="369">
        <v>0.5</v>
      </c>
      <c r="DHQ181" s="370" t="e">
        <f>10/DHM179</f>
        <v>#DIV/0!</v>
      </c>
      <c r="DHR181" s="371">
        <v>15.38</v>
      </c>
      <c r="DHS181" s="371" t="e">
        <f>DHP181*DHQ181*DHR181</f>
        <v>#DIV/0!</v>
      </c>
      <c r="DHT181" s="367" t="s">
        <v>206</v>
      </c>
      <c r="DHU181" s="367"/>
      <c r="DHV181" s="367"/>
      <c r="DHW181" s="368" t="s">
        <v>168</v>
      </c>
      <c r="DHX181" s="369">
        <v>0.5</v>
      </c>
      <c r="DHY181" s="370" t="e">
        <f>10/DHU179</f>
        <v>#DIV/0!</v>
      </c>
      <c r="DHZ181" s="371">
        <v>15.38</v>
      </c>
      <c r="DIA181" s="371" t="e">
        <f>DHX181*DHY181*DHZ181</f>
        <v>#DIV/0!</v>
      </c>
      <c r="DIB181" s="367" t="s">
        <v>206</v>
      </c>
      <c r="DIC181" s="367"/>
      <c r="DID181" s="367"/>
      <c r="DIE181" s="368" t="s">
        <v>168</v>
      </c>
      <c r="DIF181" s="369">
        <v>0.5</v>
      </c>
      <c r="DIG181" s="370" t="e">
        <f>10/DIC179</f>
        <v>#DIV/0!</v>
      </c>
      <c r="DIH181" s="371">
        <v>15.38</v>
      </c>
      <c r="DII181" s="371" t="e">
        <f>DIF181*DIG181*DIH181</f>
        <v>#DIV/0!</v>
      </c>
      <c r="DIJ181" s="367" t="s">
        <v>206</v>
      </c>
      <c r="DIK181" s="367"/>
      <c r="DIL181" s="367"/>
      <c r="DIM181" s="368" t="s">
        <v>168</v>
      </c>
      <c r="DIN181" s="369">
        <v>0.5</v>
      </c>
      <c r="DIO181" s="370" t="e">
        <f>10/DIK179</f>
        <v>#DIV/0!</v>
      </c>
      <c r="DIP181" s="371">
        <v>15.38</v>
      </c>
      <c r="DIQ181" s="371" t="e">
        <f>DIN181*DIO181*DIP181</f>
        <v>#DIV/0!</v>
      </c>
      <c r="DIR181" s="367" t="s">
        <v>206</v>
      </c>
      <c r="DIS181" s="367"/>
      <c r="DIT181" s="367"/>
      <c r="DIU181" s="368" t="s">
        <v>168</v>
      </c>
      <c r="DIV181" s="369">
        <v>0.5</v>
      </c>
      <c r="DIW181" s="370" t="e">
        <f>10/DIS179</f>
        <v>#DIV/0!</v>
      </c>
      <c r="DIX181" s="371">
        <v>15.38</v>
      </c>
      <c r="DIY181" s="371" t="e">
        <f>DIV181*DIW181*DIX181</f>
        <v>#DIV/0!</v>
      </c>
      <c r="DIZ181" s="367" t="s">
        <v>206</v>
      </c>
      <c r="DJA181" s="367"/>
      <c r="DJB181" s="367"/>
      <c r="DJC181" s="368" t="s">
        <v>168</v>
      </c>
      <c r="DJD181" s="369">
        <v>0.5</v>
      </c>
      <c r="DJE181" s="370" t="e">
        <f>10/DJA179</f>
        <v>#DIV/0!</v>
      </c>
      <c r="DJF181" s="371">
        <v>15.38</v>
      </c>
      <c r="DJG181" s="371" t="e">
        <f>DJD181*DJE181*DJF181</f>
        <v>#DIV/0!</v>
      </c>
      <c r="DJH181" s="367" t="s">
        <v>206</v>
      </c>
      <c r="DJI181" s="367"/>
      <c r="DJJ181" s="367"/>
      <c r="DJK181" s="368" t="s">
        <v>168</v>
      </c>
      <c r="DJL181" s="369">
        <v>0.5</v>
      </c>
      <c r="DJM181" s="370" t="e">
        <f>10/DJI179</f>
        <v>#DIV/0!</v>
      </c>
      <c r="DJN181" s="371">
        <v>15.38</v>
      </c>
      <c r="DJO181" s="371" t="e">
        <f>DJL181*DJM181*DJN181</f>
        <v>#DIV/0!</v>
      </c>
      <c r="DJP181" s="367" t="s">
        <v>206</v>
      </c>
      <c r="DJQ181" s="367"/>
      <c r="DJR181" s="367"/>
      <c r="DJS181" s="368" t="s">
        <v>168</v>
      </c>
      <c r="DJT181" s="369">
        <v>0.5</v>
      </c>
      <c r="DJU181" s="370" t="e">
        <f>10/DJQ179</f>
        <v>#DIV/0!</v>
      </c>
      <c r="DJV181" s="371">
        <v>15.38</v>
      </c>
      <c r="DJW181" s="371" t="e">
        <f>DJT181*DJU181*DJV181</f>
        <v>#DIV/0!</v>
      </c>
      <c r="DJX181" s="367" t="s">
        <v>206</v>
      </c>
      <c r="DJY181" s="367"/>
      <c r="DJZ181" s="367"/>
      <c r="DKA181" s="368" t="s">
        <v>168</v>
      </c>
      <c r="DKB181" s="369">
        <v>0.5</v>
      </c>
      <c r="DKC181" s="370" t="e">
        <f>10/DJY179</f>
        <v>#DIV/0!</v>
      </c>
      <c r="DKD181" s="371">
        <v>15.38</v>
      </c>
      <c r="DKE181" s="371" t="e">
        <f>DKB181*DKC181*DKD181</f>
        <v>#DIV/0!</v>
      </c>
      <c r="DKF181" s="367" t="s">
        <v>206</v>
      </c>
      <c r="DKG181" s="367"/>
      <c r="DKH181" s="367"/>
      <c r="DKI181" s="368" t="s">
        <v>168</v>
      </c>
      <c r="DKJ181" s="369">
        <v>0.5</v>
      </c>
      <c r="DKK181" s="370" t="e">
        <f>10/DKG179</f>
        <v>#DIV/0!</v>
      </c>
      <c r="DKL181" s="371">
        <v>15.38</v>
      </c>
      <c r="DKM181" s="371" t="e">
        <f>DKJ181*DKK181*DKL181</f>
        <v>#DIV/0!</v>
      </c>
      <c r="DKN181" s="367" t="s">
        <v>206</v>
      </c>
      <c r="DKO181" s="367"/>
      <c r="DKP181" s="367"/>
      <c r="DKQ181" s="368" t="s">
        <v>168</v>
      </c>
      <c r="DKR181" s="369">
        <v>0.5</v>
      </c>
      <c r="DKS181" s="370" t="e">
        <f>10/DKO179</f>
        <v>#DIV/0!</v>
      </c>
      <c r="DKT181" s="371">
        <v>15.38</v>
      </c>
      <c r="DKU181" s="371" t="e">
        <f>DKR181*DKS181*DKT181</f>
        <v>#DIV/0!</v>
      </c>
      <c r="DKV181" s="367" t="s">
        <v>206</v>
      </c>
      <c r="DKW181" s="367"/>
      <c r="DKX181" s="367"/>
      <c r="DKY181" s="368" t="s">
        <v>168</v>
      </c>
      <c r="DKZ181" s="369">
        <v>0.5</v>
      </c>
      <c r="DLA181" s="370" t="e">
        <f>10/DKW179</f>
        <v>#DIV/0!</v>
      </c>
      <c r="DLB181" s="371">
        <v>15.38</v>
      </c>
      <c r="DLC181" s="371" t="e">
        <f>DKZ181*DLA181*DLB181</f>
        <v>#DIV/0!</v>
      </c>
      <c r="DLD181" s="367" t="s">
        <v>206</v>
      </c>
      <c r="DLE181" s="367"/>
      <c r="DLF181" s="367"/>
      <c r="DLG181" s="368" t="s">
        <v>168</v>
      </c>
      <c r="DLH181" s="369">
        <v>0.5</v>
      </c>
      <c r="DLI181" s="370" t="e">
        <f>10/DLE179</f>
        <v>#DIV/0!</v>
      </c>
      <c r="DLJ181" s="371">
        <v>15.38</v>
      </c>
      <c r="DLK181" s="371" t="e">
        <f>DLH181*DLI181*DLJ181</f>
        <v>#DIV/0!</v>
      </c>
      <c r="DLL181" s="367" t="s">
        <v>206</v>
      </c>
      <c r="DLM181" s="367"/>
      <c r="DLN181" s="367"/>
      <c r="DLO181" s="368" t="s">
        <v>168</v>
      </c>
      <c r="DLP181" s="369">
        <v>0.5</v>
      </c>
      <c r="DLQ181" s="370" t="e">
        <f>10/DLM179</f>
        <v>#DIV/0!</v>
      </c>
      <c r="DLR181" s="371">
        <v>15.38</v>
      </c>
      <c r="DLS181" s="371" t="e">
        <f>DLP181*DLQ181*DLR181</f>
        <v>#DIV/0!</v>
      </c>
      <c r="DLT181" s="367" t="s">
        <v>206</v>
      </c>
      <c r="DLU181" s="367"/>
      <c r="DLV181" s="367"/>
      <c r="DLW181" s="368" t="s">
        <v>168</v>
      </c>
      <c r="DLX181" s="369">
        <v>0.5</v>
      </c>
      <c r="DLY181" s="370" t="e">
        <f>10/DLU179</f>
        <v>#DIV/0!</v>
      </c>
      <c r="DLZ181" s="371">
        <v>15.38</v>
      </c>
      <c r="DMA181" s="371" t="e">
        <f>DLX181*DLY181*DLZ181</f>
        <v>#DIV/0!</v>
      </c>
      <c r="DMB181" s="367" t="s">
        <v>206</v>
      </c>
      <c r="DMC181" s="367"/>
      <c r="DMD181" s="367"/>
      <c r="DME181" s="368" t="s">
        <v>168</v>
      </c>
      <c r="DMF181" s="369">
        <v>0.5</v>
      </c>
      <c r="DMG181" s="370" t="e">
        <f>10/DMC179</f>
        <v>#DIV/0!</v>
      </c>
      <c r="DMH181" s="371">
        <v>15.38</v>
      </c>
      <c r="DMI181" s="371" t="e">
        <f>DMF181*DMG181*DMH181</f>
        <v>#DIV/0!</v>
      </c>
      <c r="DMJ181" s="367" t="s">
        <v>206</v>
      </c>
      <c r="DMK181" s="367"/>
      <c r="DML181" s="367"/>
      <c r="DMM181" s="368" t="s">
        <v>168</v>
      </c>
      <c r="DMN181" s="369">
        <v>0.5</v>
      </c>
      <c r="DMO181" s="370" t="e">
        <f>10/DMK179</f>
        <v>#DIV/0!</v>
      </c>
      <c r="DMP181" s="371">
        <v>15.38</v>
      </c>
      <c r="DMQ181" s="371" t="e">
        <f>DMN181*DMO181*DMP181</f>
        <v>#DIV/0!</v>
      </c>
      <c r="DMR181" s="367" t="s">
        <v>206</v>
      </c>
      <c r="DMS181" s="367"/>
      <c r="DMT181" s="367"/>
      <c r="DMU181" s="368" t="s">
        <v>168</v>
      </c>
      <c r="DMV181" s="369">
        <v>0.5</v>
      </c>
      <c r="DMW181" s="370" t="e">
        <f>10/DMS179</f>
        <v>#DIV/0!</v>
      </c>
      <c r="DMX181" s="371">
        <v>15.38</v>
      </c>
      <c r="DMY181" s="371" t="e">
        <f>DMV181*DMW181*DMX181</f>
        <v>#DIV/0!</v>
      </c>
      <c r="DMZ181" s="367" t="s">
        <v>206</v>
      </c>
      <c r="DNA181" s="367"/>
      <c r="DNB181" s="367"/>
      <c r="DNC181" s="368" t="s">
        <v>168</v>
      </c>
      <c r="DND181" s="369">
        <v>0.5</v>
      </c>
      <c r="DNE181" s="370" t="e">
        <f>10/DNA179</f>
        <v>#DIV/0!</v>
      </c>
      <c r="DNF181" s="371">
        <v>15.38</v>
      </c>
      <c r="DNG181" s="371" t="e">
        <f>DND181*DNE181*DNF181</f>
        <v>#DIV/0!</v>
      </c>
      <c r="DNH181" s="367" t="s">
        <v>206</v>
      </c>
      <c r="DNI181" s="367"/>
      <c r="DNJ181" s="367"/>
      <c r="DNK181" s="368" t="s">
        <v>168</v>
      </c>
      <c r="DNL181" s="369">
        <v>0.5</v>
      </c>
      <c r="DNM181" s="370" t="e">
        <f>10/DNI179</f>
        <v>#DIV/0!</v>
      </c>
      <c r="DNN181" s="371">
        <v>15.38</v>
      </c>
      <c r="DNO181" s="371" t="e">
        <f>DNL181*DNM181*DNN181</f>
        <v>#DIV/0!</v>
      </c>
      <c r="DNP181" s="367" t="s">
        <v>206</v>
      </c>
      <c r="DNQ181" s="367"/>
      <c r="DNR181" s="367"/>
      <c r="DNS181" s="368" t="s">
        <v>168</v>
      </c>
      <c r="DNT181" s="369">
        <v>0.5</v>
      </c>
      <c r="DNU181" s="370" t="e">
        <f>10/DNQ179</f>
        <v>#DIV/0!</v>
      </c>
      <c r="DNV181" s="371">
        <v>15.38</v>
      </c>
      <c r="DNW181" s="371" t="e">
        <f>DNT181*DNU181*DNV181</f>
        <v>#DIV/0!</v>
      </c>
      <c r="DNX181" s="367" t="s">
        <v>206</v>
      </c>
      <c r="DNY181" s="367"/>
      <c r="DNZ181" s="367"/>
      <c r="DOA181" s="368" t="s">
        <v>168</v>
      </c>
      <c r="DOB181" s="369">
        <v>0.5</v>
      </c>
      <c r="DOC181" s="370" t="e">
        <f>10/DNY179</f>
        <v>#DIV/0!</v>
      </c>
      <c r="DOD181" s="371">
        <v>15.38</v>
      </c>
      <c r="DOE181" s="371" t="e">
        <f>DOB181*DOC181*DOD181</f>
        <v>#DIV/0!</v>
      </c>
      <c r="DOF181" s="367" t="s">
        <v>206</v>
      </c>
      <c r="DOG181" s="367"/>
      <c r="DOH181" s="367"/>
      <c r="DOI181" s="368" t="s">
        <v>168</v>
      </c>
      <c r="DOJ181" s="369">
        <v>0.5</v>
      </c>
      <c r="DOK181" s="370" t="e">
        <f>10/DOG179</f>
        <v>#DIV/0!</v>
      </c>
      <c r="DOL181" s="371">
        <v>15.38</v>
      </c>
      <c r="DOM181" s="371" t="e">
        <f>DOJ181*DOK181*DOL181</f>
        <v>#DIV/0!</v>
      </c>
      <c r="DON181" s="367" t="s">
        <v>206</v>
      </c>
      <c r="DOO181" s="367"/>
      <c r="DOP181" s="367"/>
      <c r="DOQ181" s="368" t="s">
        <v>168</v>
      </c>
      <c r="DOR181" s="369">
        <v>0.5</v>
      </c>
      <c r="DOS181" s="370" t="e">
        <f>10/DOO179</f>
        <v>#DIV/0!</v>
      </c>
      <c r="DOT181" s="371">
        <v>15.38</v>
      </c>
      <c r="DOU181" s="371" t="e">
        <f>DOR181*DOS181*DOT181</f>
        <v>#DIV/0!</v>
      </c>
      <c r="DOV181" s="367" t="s">
        <v>206</v>
      </c>
      <c r="DOW181" s="367"/>
      <c r="DOX181" s="367"/>
      <c r="DOY181" s="368" t="s">
        <v>168</v>
      </c>
      <c r="DOZ181" s="369">
        <v>0.5</v>
      </c>
      <c r="DPA181" s="370" t="e">
        <f>10/DOW179</f>
        <v>#DIV/0!</v>
      </c>
      <c r="DPB181" s="371">
        <v>15.38</v>
      </c>
      <c r="DPC181" s="371" t="e">
        <f>DOZ181*DPA181*DPB181</f>
        <v>#DIV/0!</v>
      </c>
      <c r="DPD181" s="367" t="s">
        <v>206</v>
      </c>
      <c r="DPE181" s="367"/>
      <c r="DPF181" s="367"/>
      <c r="DPG181" s="368" t="s">
        <v>168</v>
      </c>
      <c r="DPH181" s="369">
        <v>0.5</v>
      </c>
      <c r="DPI181" s="370" t="e">
        <f>10/DPE179</f>
        <v>#DIV/0!</v>
      </c>
      <c r="DPJ181" s="371">
        <v>15.38</v>
      </c>
      <c r="DPK181" s="371" t="e">
        <f>DPH181*DPI181*DPJ181</f>
        <v>#DIV/0!</v>
      </c>
      <c r="DPL181" s="367" t="s">
        <v>206</v>
      </c>
      <c r="DPM181" s="367"/>
      <c r="DPN181" s="367"/>
      <c r="DPO181" s="368" t="s">
        <v>168</v>
      </c>
      <c r="DPP181" s="369">
        <v>0.5</v>
      </c>
      <c r="DPQ181" s="370" t="e">
        <f>10/DPM179</f>
        <v>#DIV/0!</v>
      </c>
      <c r="DPR181" s="371">
        <v>15.38</v>
      </c>
      <c r="DPS181" s="371" t="e">
        <f>DPP181*DPQ181*DPR181</f>
        <v>#DIV/0!</v>
      </c>
      <c r="DPT181" s="367" t="s">
        <v>206</v>
      </c>
      <c r="DPU181" s="367"/>
      <c r="DPV181" s="367"/>
      <c r="DPW181" s="368" t="s">
        <v>168</v>
      </c>
      <c r="DPX181" s="369">
        <v>0.5</v>
      </c>
      <c r="DPY181" s="370" t="e">
        <f>10/DPU179</f>
        <v>#DIV/0!</v>
      </c>
      <c r="DPZ181" s="371">
        <v>15.38</v>
      </c>
      <c r="DQA181" s="371" t="e">
        <f>DPX181*DPY181*DPZ181</f>
        <v>#DIV/0!</v>
      </c>
      <c r="DQB181" s="367" t="s">
        <v>206</v>
      </c>
      <c r="DQC181" s="367"/>
      <c r="DQD181" s="367"/>
      <c r="DQE181" s="368" t="s">
        <v>168</v>
      </c>
      <c r="DQF181" s="369">
        <v>0.5</v>
      </c>
      <c r="DQG181" s="370" t="e">
        <f>10/DQC179</f>
        <v>#DIV/0!</v>
      </c>
      <c r="DQH181" s="371">
        <v>15.38</v>
      </c>
      <c r="DQI181" s="371" t="e">
        <f>DQF181*DQG181*DQH181</f>
        <v>#DIV/0!</v>
      </c>
      <c r="DQJ181" s="367" t="s">
        <v>206</v>
      </c>
      <c r="DQK181" s="367"/>
      <c r="DQL181" s="367"/>
      <c r="DQM181" s="368" t="s">
        <v>168</v>
      </c>
      <c r="DQN181" s="369">
        <v>0.5</v>
      </c>
      <c r="DQO181" s="370" t="e">
        <f>10/DQK179</f>
        <v>#DIV/0!</v>
      </c>
      <c r="DQP181" s="371">
        <v>15.38</v>
      </c>
      <c r="DQQ181" s="371" t="e">
        <f>DQN181*DQO181*DQP181</f>
        <v>#DIV/0!</v>
      </c>
      <c r="DQR181" s="367" t="s">
        <v>206</v>
      </c>
      <c r="DQS181" s="367"/>
      <c r="DQT181" s="367"/>
      <c r="DQU181" s="368" t="s">
        <v>168</v>
      </c>
      <c r="DQV181" s="369">
        <v>0.5</v>
      </c>
      <c r="DQW181" s="370" t="e">
        <f>10/DQS179</f>
        <v>#DIV/0!</v>
      </c>
      <c r="DQX181" s="371">
        <v>15.38</v>
      </c>
      <c r="DQY181" s="371" t="e">
        <f>DQV181*DQW181*DQX181</f>
        <v>#DIV/0!</v>
      </c>
      <c r="DQZ181" s="367" t="s">
        <v>206</v>
      </c>
      <c r="DRA181" s="367"/>
      <c r="DRB181" s="367"/>
      <c r="DRC181" s="368" t="s">
        <v>168</v>
      </c>
      <c r="DRD181" s="369">
        <v>0.5</v>
      </c>
      <c r="DRE181" s="370" t="e">
        <f>10/DRA179</f>
        <v>#DIV/0!</v>
      </c>
      <c r="DRF181" s="371">
        <v>15.38</v>
      </c>
      <c r="DRG181" s="371" t="e">
        <f>DRD181*DRE181*DRF181</f>
        <v>#DIV/0!</v>
      </c>
      <c r="DRH181" s="367" t="s">
        <v>206</v>
      </c>
      <c r="DRI181" s="367"/>
      <c r="DRJ181" s="367"/>
      <c r="DRK181" s="368" t="s">
        <v>168</v>
      </c>
      <c r="DRL181" s="369">
        <v>0.5</v>
      </c>
      <c r="DRM181" s="370" t="e">
        <f>10/DRI179</f>
        <v>#DIV/0!</v>
      </c>
      <c r="DRN181" s="371">
        <v>15.38</v>
      </c>
      <c r="DRO181" s="371" t="e">
        <f>DRL181*DRM181*DRN181</f>
        <v>#DIV/0!</v>
      </c>
      <c r="DRP181" s="367" t="s">
        <v>206</v>
      </c>
      <c r="DRQ181" s="367"/>
      <c r="DRR181" s="367"/>
      <c r="DRS181" s="368" t="s">
        <v>168</v>
      </c>
      <c r="DRT181" s="369">
        <v>0.5</v>
      </c>
      <c r="DRU181" s="370" t="e">
        <f>10/DRQ179</f>
        <v>#DIV/0!</v>
      </c>
      <c r="DRV181" s="371">
        <v>15.38</v>
      </c>
      <c r="DRW181" s="371" t="e">
        <f>DRT181*DRU181*DRV181</f>
        <v>#DIV/0!</v>
      </c>
      <c r="DRX181" s="367" t="s">
        <v>206</v>
      </c>
      <c r="DRY181" s="367"/>
      <c r="DRZ181" s="367"/>
      <c r="DSA181" s="368" t="s">
        <v>168</v>
      </c>
      <c r="DSB181" s="369">
        <v>0.5</v>
      </c>
      <c r="DSC181" s="370" t="e">
        <f>10/DRY179</f>
        <v>#DIV/0!</v>
      </c>
      <c r="DSD181" s="371">
        <v>15.38</v>
      </c>
      <c r="DSE181" s="371" t="e">
        <f>DSB181*DSC181*DSD181</f>
        <v>#DIV/0!</v>
      </c>
      <c r="DSF181" s="367" t="s">
        <v>206</v>
      </c>
      <c r="DSG181" s="367"/>
      <c r="DSH181" s="367"/>
      <c r="DSI181" s="368" t="s">
        <v>168</v>
      </c>
      <c r="DSJ181" s="369">
        <v>0.5</v>
      </c>
      <c r="DSK181" s="370" t="e">
        <f>10/DSG179</f>
        <v>#DIV/0!</v>
      </c>
      <c r="DSL181" s="371">
        <v>15.38</v>
      </c>
      <c r="DSM181" s="371" t="e">
        <f>DSJ181*DSK181*DSL181</f>
        <v>#DIV/0!</v>
      </c>
      <c r="DSN181" s="367" t="s">
        <v>206</v>
      </c>
      <c r="DSO181" s="367"/>
      <c r="DSP181" s="367"/>
      <c r="DSQ181" s="368" t="s">
        <v>168</v>
      </c>
      <c r="DSR181" s="369">
        <v>0.5</v>
      </c>
      <c r="DSS181" s="370" t="e">
        <f>10/DSO179</f>
        <v>#DIV/0!</v>
      </c>
      <c r="DST181" s="371">
        <v>15.38</v>
      </c>
      <c r="DSU181" s="371" t="e">
        <f>DSR181*DSS181*DST181</f>
        <v>#DIV/0!</v>
      </c>
      <c r="DSV181" s="367" t="s">
        <v>206</v>
      </c>
      <c r="DSW181" s="367"/>
      <c r="DSX181" s="367"/>
      <c r="DSY181" s="368" t="s">
        <v>168</v>
      </c>
      <c r="DSZ181" s="369">
        <v>0.5</v>
      </c>
      <c r="DTA181" s="370" t="e">
        <f>10/DSW179</f>
        <v>#DIV/0!</v>
      </c>
      <c r="DTB181" s="371">
        <v>15.38</v>
      </c>
      <c r="DTC181" s="371" t="e">
        <f>DSZ181*DTA181*DTB181</f>
        <v>#DIV/0!</v>
      </c>
      <c r="DTD181" s="367" t="s">
        <v>206</v>
      </c>
      <c r="DTE181" s="367"/>
      <c r="DTF181" s="367"/>
      <c r="DTG181" s="368" t="s">
        <v>168</v>
      </c>
      <c r="DTH181" s="369">
        <v>0.5</v>
      </c>
      <c r="DTI181" s="370" t="e">
        <f>10/DTE179</f>
        <v>#DIV/0!</v>
      </c>
      <c r="DTJ181" s="371">
        <v>15.38</v>
      </c>
      <c r="DTK181" s="371" t="e">
        <f>DTH181*DTI181*DTJ181</f>
        <v>#DIV/0!</v>
      </c>
      <c r="DTL181" s="367" t="s">
        <v>206</v>
      </c>
      <c r="DTM181" s="367"/>
      <c r="DTN181" s="367"/>
      <c r="DTO181" s="368" t="s">
        <v>168</v>
      </c>
      <c r="DTP181" s="369">
        <v>0.5</v>
      </c>
      <c r="DTQ181" s="370" t="e">
        <f>10/DTM179</f>
        <v>#DIV/0!</v>
      </c>
      <c r="DTR181" s="371">
        <v>15.38</v>
      </c>
      <c r="DTS181" s="371" t="e">
        <f>DTP181*DTQ181*DTR181</f>
        <v>#DIV/0!</v>
      </c>
      <c r="DTT181" s="367" t="s">
        <v>206</v>
      </c>
      <c r="DTU181" s="367"/>
      <c r="DTV181" s="367"/>
      <c r="DTW181" s="368" t="s">
        <v>168</v>
      </c>
      <c r="DTX181" s="369">
        <v>0.5</v>
      </c>
      <c r="DTY181" s="370" t="e">
        <f>10/DTU179</f>
        <v>#DIV/0!</v>
      </c>
      <c r="DTZ181" s="371">
        <v>15.38</v>
      </c>
      <c r="DUA181" s="371" t="e">
        <f>DTX181*DTY181*DTZ181</f>
        <v>#DIV/0!</v>
      </c>
      <c r="DUB181" s="367" t="s">
        <v>206</v>
      </c>
      <c r="DUC181" s="367"/>
      <c r="DUD181" s="367"/>
      <c r="DUE181" s="368" t="s">
        <v>168</v>
      </c>
      <c r="DUF181" s="369">
        <v>0.5</v>
      </c>
      <c r="DUG181" s="370" t="e">
        <f>10/DUC179</f>
        <v>#DIV/0!</v>
      </c>
      <c r="DUH181" s="371">
        <v>15.38</v>
      </c>
      <c r="DUI181" s="371" t="e">
        <f>DUF181*DUG181*DUH181</f>
        <v>#DIV/0!</v>
      </c>
      <c r="DUJ181" s="367" t="s">
        <v>206</v>
      </c>
      <c r="DUK181" s="367"/>
      <c r="DUL181" s="367"/>
      <c r="DUM181" s="368" t="s">
        <v>168</v>
      </c>
      <c r="DUN181" s="369">
        <v>0.5</v>
      </c>
      <c r="DUO181" s="370" t="e">
        <f>10/DUK179</f>
        <v>#DIV/0!</v>
      </c>
      <c r="DUP181" s="371">
        <v>15.38</v>
      </c>
      <c r="DUQ181" s="371" t="e">
        <f>DUN181*DUO181*DUP181</f>
        <v>#DIV/0!</v>
      </c>
      <c r="DUR181" s="367" t="s">
        <v>206</v>
      </c>
      <c r="DUS181" s="367"/>
      <c r="DUT181" s="367"/>
      <c r="DUU181" s="368" t="s">
        <v>168</v>
      </c>
      <c r="DUV181" s="369">
        <v>0.5</v>
      </c>
      <c r="DUW181" s="370" t="e">
        <f>10/DUS179</f>
        <v>#DIV/0!</v>
      </c>
      <c r="DUX181" s="371">
        <v>15.38</v>
      </c>
      <c r="DUY181" s="371" t="e">
        <f>DUV181*DUW181*DUX181</f>
        <v>#DIV/0!</v>
      </c>
      <c r="DUZ181" s="367" t="s">
        <v>206</v>
      </c>
      <c r="DVA181" s="367"/>
      <c r="DVB181" s="367"/>
      <c r="DVC181" s="368" t="s">
        <v>168</v>
      </c>
      <c r="DVD181" s="369">
        <v>0.5</v>
      </c>
      <c r="DVE181" s="370" t="e">
        <f>10/DVA179</f>
        <v>#DIV/0!</v>
      </c>
      <c r="DVF181" s="371">
        <v>15.38</v>
      </c>
      <c r="DVG181" s="371" t="e">
        <f>DVD181*DVE181*DVF181</f>
        <v>#DIV/0!</v>
      </c>
      <c r="DVH181" s="367" t="s">
        <v>206</v>
      </c>
      <c r="DVI181" s="367"/>
      <c r="DVJ181" s="367"/>
      <c r="DVK181" s="368" t="s">
        <v>168</v>
      </c>
      <c r="DVL181" s="369">
        <v>0.5</v>
      </c>
      <c r="DVM181" s="370" t="e">
        <f>10/DVI179</f>
        <v>#DIV/0!</v>
      </c>
      <c r="DVN181" s="371">
        <v>15.38</v>
      </c>
      <c r="DVO181" s="371" t="e">
        <f>DVL181*DVM181*DVN181</f>
        <v>#DIV/0!</v>
      </c>
      <c r="DVP181" s="367" t="s">
        <v>206</v>
      </c>
      <c r="DVQ181" s="367"/>
      <c r="DVR181" s="367"/>
      <c r="DVS181" s="368" t="s">
        <v>168</v>
      </c>
      <c r="DVT181" s="369">
        <v>0.5</v>
      </c>
      <c r="DVU181" s="370" t="e">
        <f>10/DVQ179</f>
        <v>#DIV/0!</v>
      </c>
      <c r="DVV181" s="371">
        <v>15.38</v>
      </c>
      <c r="DVW181" s="371" t="e">
        <f>DVT181*DVU181*DVV181</f>
        <v>#DIV/0!</v>
      </c>
      <c r="DVX181" s="367" t="s">
        <v>206</v>
      </c>
      <c r="DVY181" s="367"/>
      <c r="DVZ181" s="367"/>
      <c r="DWA181" s="368" t="s">
        <v>168</v>
      </c>
      <c r="DWB181" s="369">
        <v>0.5</v>
      </c>
      <c r="DWC181" s="370" t="e">
        <f>10/DVY179</f>
        <v>#DIV/0!</v>
      </c>
      <c r="DWD181" s="371">
        <v>15.38</v>
      </c>
      <c r="DWE181" s="371" t="e">
        <f>DWB181*DWC181*DWD181</f>
        <v>#DIV/0!</v>
      </c>
      <c r="DWF181" s="367" t="s">
        <v>206</v>
      </c>
      <c r="DWG181" s="367"/>
      <c r="DWH181" s="367"/>
      <c r="DWI181" s="368" t="s">
        <v>168</v>
      </c>
      <c r="DWJ181" s="369">
        <v>0.5</v>
      </c>
      <c r="DWK181" s="370" t="e">
        <f>10/DWG179</f>
        <v>#DIV/0!</v>
      </c>
      <c r="DWL181" s="371">
        <v>15.38</v>
      </c>
      <c r="DWM181" s="371" t="e">
        <f>DWJ181*DWK181*DWL181</f>
        <v>#DIV/0!</v>
      </c>
      <c r="DWN181" s="367" t="s">
        <v>206</v>
      </c>
      <c r="DWO181" s="367"/>
      <c r="DWP181" s="367"/>
      <c r="DWQ181" s="368" t="s">
        <v>168</v>
      </c>
      <c r="DWR181" s="369">
        <v>0.5</v>
      </c>
      <c r="DWS181" s="370" t="e">
        <f>10/DWO179</f>
        <v>#DIV/0!</v>
      </c>
      <c r="DWT181" s="371">
        <v>15.38</v>
      </c>
      <c r="DWU181" s="371" t="e">
        <f>DWR181*DWS181*DWT181</f>
        <v>#DIV/0!</v>
      </c>
      <c r="DWV181" s="367" t="s">
        <v>206</v>
      </c>
      <c r="DWW181" s="367"/>
      <c r="DWX181" s="367"/>
      <c r="DWY181" s="368" t="s">
        <v>168</v>
      </c>
      <c r="DWZ181" s="369">
        <v>0.5</v>
      </c>
      <c r="DXA181" s="370" t="e">
        <f>10/DWW179</f>
        <v>#DIV/0!</v>
      </c>
      <c r="DXB181" s="371">
        <v>15.38</v>
      </c>
      <c r="DXC181" s="371" t="e">
        <f>DWZ181*DXA181*DXB181</f>
        <v>#DIV/0!</v>
      </c>
      <c r="DXD181" s="367" t="s">
        <v>206</v>
      </c>
      <c r="DXE181" s="367"/>
      <c r="DXF181" s="367"/>
      <c r="DXG181" s="368" t="s">
        <v>168</v>
      </c>
      <c r="DXH181" s="369">
        <v>0.5</v>
      </c>
      <c r="DXI181" s="370" t="e">
        <f>10/DXE179</f>
        <v>#DIV/0!</v>
      </c>
      <c r="DXJ181" s="371">
        <v>15.38</v>
      </c>
      <c r="DXK181" s="371" t="e">
        <f>DXH181*DXI181*DXJ181</f>
        <v>#DIV/0!</v>
      </c>
      <c r="DXL181" s="367" t="s">
        <v>206</v>
      </c>
      <c r="DXM181" s="367"/>
      <c r="DXN181" s="367"/>
      <c r="DXO181" s="368" t="s">
        <v>168</v>
      </c>
      <c r="DXP181" s="369">
        <v>0.5</v>
      </c>
      <c r="DXQ181" s="370" t="e">
        <f>10/DXM179</f>
        <v>#DIV/0!</v>
      </c>
      <c r="DXR181" s="371">
        <v>15.38</v>
      </c>
      <c r="DXS181" s="371" t="e">
        <f>DXP181*DXQ181*DXR181</f>
        <v>#DIV/0!</v>
      </c>
      <c r="DXT181" s="367" t="s">
        <v>206</v>
      </c>
      <c r="DXU181" s="367"/>
      <c r="DXV181" s="367"/>
      <c r="DXW181" s="368" t="s">
        <v>168</v>
      </c>
      <c r="DXX181" s="369">
        <v>0.5</v>
      </c>
      <c r="DXY181" s="370" t="e">
        <f>10/DXU179</f>
        <v>#DIV/0!</v>
      </c>
      <c r="DXZ181" s="371">
        <v>15.38</v>
      </c>
      <c r="DYA181" s="371" t="e">
        <f>DXX181*DXY181*DXZ181</f>
        <v>#DIV/0!</v>
      </c>
      <c r="DYB181" s="367" t="s">
        <v>206</v>
      </c>
      <c r="DYC181" s="367"/>
      <c r="DYD181" s="367"/>
      <c r="DYE181" s="368" t="s">
        <v>168</v>
      </c>
      <c r="DYF181" s="369">
        <v>0.5</v>
      </c>
      <c r="DYG181" s="370" t="e">
        <f>10/DYC179</f>
        <v>#DIV/0!</v>
      </c>
      <c r="DYH181" s="371">
        <v>15.38</v>
      </c>
      <c r="DYI181" s="371" t="e">
        <f>DYF181*DYG181*DYH181</f>
        <v>#DIV/0!</v>
      </c>
      <c r="DYJ181" s="367" t="s">
        <v>206</v>
      </c>
      <c r="DYK181" s="367"/>
      <c r="DYL181" s="367"/>
      <c r="DYM181" s="368" t="s">
        <v>168</v>
      </c>
      <c r="DYN181" s="369">
        <v>0.5</v>
      </c>
      <c r="DYO181" s="370" t="e">
        <f>10/DYK179</f>
        <v>#DIV/0!</v>
      </c>
      <c r="DYP181" s="371">
        <v>15.38</v>
      </c>
      <c r="DYQ181" s="371" t="e">
        <f>DYN181*DYO181*DYP181</f>
        <v>#DIV/0!</v>
      </c>
      <c r="DYR181" s="367" t="s">
        <v>206</v>
      </c>
      <c r="DYS181" s="367"/>
      <c r="DYT181" s="367"/>
      <c r="DYU181" s="368" t="s">
        <v>168</v>
      </c>
      <c r="DYV181" s="369">
        <v>0.5</v>
      </c>
      <c r="DYW181" s="370" t="e">
        <f>10/DYS179</f>
        <v>#DIV/0!</v>
      </c>
      <c r="DYX181" s="371">
        <v>15.38</v>
      </c>
      <c r="DYY181" s="371" t="e">
        <f>DYV181*DYW181*DYX181</f>
        <v>#DIV/0!</v>
      </c>
      <c r="DYZ181" s="367" t="s">
        <v>206</v>
      </c>
      <c r="DZA181" s="367"/>
      <c r="DZB181" s="367"/>
      <c r="DZC181" s="368" t="s">
        <v>168</v>
      </c>
      <c r="DZD181" s="369">
        <v>0.5</v>
      </c>
      <c r="DZE181" s="370" t="e">
        <f>10/DZA179</f>
        <v>#DIV/0!</v>
      </c>
      <c r="DZF181" s="371">
        <v>15.38</v>
      </c>
      <c r="DZG181" s="371" t="e">
        <f>DZD181*DZE181*DZF181</f>
        <v>#DIV/0!</v>
      </c>
      <c r="DZH181" s="367" t="s">
        <v>206</v>
      </c>
      <c r="DZI181" s="367"/>
      <c r="DZJ181" s="367"/>
      <c r="DZK181" s="368" t="s">
        <v>168</v>
      </c>
      <c r="DZL181" s="369">
        <v>0.5</v>
      </c>
      <c r="DZM181" s="370" t="e">
        <f>10/DZI179</f>
        <v>#DIV/0!</v>
      </c>
      <c r="DZN181" s="371">
        <v>15.38</v>
      </c>
      <c r="DZO181" s="371" t="e">
        <f>DZL181*DZM181*DZN181</f>
        <v>#DIV/0!</v>
      </c>
      <c r="DZP181" s="367" t="s">
        <v>206</v>
      </c>
      <c r="DZQ181" s="367"/>
      <c r="DZR181" s="367"/>
      <c r="DZS181" s="368" t="s">
        <v>168</v>
      </c>
      <c r="DZT181" s="369">
        <v>0.5</v>
      </c>
      <c r="DZU181" s="370" t="e">
        <f>10/DZQ179</f>
        <v>#DIV/0!</v>
      </c>
      <c r="DZV181" s="371">
        <v>15.38</v>
      </c>
      <c r="DZW181" s="371" t="e">
        <f>DZT181*DZU181*DZV181</f>
        <v>#DIV/0!</v>
      </c>
      <c r="DZX181" s="367" t="s">
        <v>206</v>
      </c>
      <c r="DZY181" s="367"/>
      <c r="DZZ181" s="367"/>
      <c r="EAA181" s="368" t="s">
        <v>168</v>
      </c>
      <c r="EAB181" s="369">
        <v>0.5</v>
      </c>
      <c r="EAC181" s="370" t="e">
        <f>10/DZY179</f>
        <v>#DIV/0!</v>
      </c>
      <c r="EAD181" s="371">
        <v>15.38</v>
      </c>
      <c r="EAE181" s="371" t="e">
        <f>EAB181*EAC181*EAD181</f>
        <v>#DIV/0!</v>
      </c>
      <c r="EAF181" s="367" t="s">
        <v>206</v>
      </c>
      <c r="EAG181" s="367"/>
      <c r="EAH181" s="367"/>
      <c r="EAI181" s="368" t="s">
        <v>168</v>
      </c>
      <c r="EAJ181" s="369">
        <v>0.5</v>
      </c>
      <c r="EAK181" s="370" t="e">
        <f>10/EAG179</f>
        <v>#DIV/0!</v>
      </c>
      <c r="EAL181" s="371">
        <v>15.38</v>
      </c>
      <c r="EAM181" s="371" t="e">
        <f>EAJ181*EAK181*EAL181</f>
        <v>#DIV/0!</v>
      </c>
      <c r="EAN181" s="367" t="s">
        <v>206</v>
      </c>
      <c r="EAO181" s="367"/>
      <c r="EAP181" s="367"/>
      <c r="EAQ181" s="368" t="s">
        <v>168</v>
      </c>
      <c r="EAR181" s="369">
        <v>0.5</v>
      </c>
      <c r="EAS181" s="370" t="e">
        <f>10/EAO179</f>
        <v>#DIV/0!</v>
      </c>
      <c r="EAT181" s="371">
        <v>15.38</v>
      </c>
      <c r="EAU181" s="371" t="e">
        <f>EAR181*EAS181*EAT181</f>
        <v>#DIV/0!</v>
      </c>
      <c r="EAV181" s="367" t="s">
        <v>206</v>
      </c>
      <c r="EAW181" s="367"/>
      <c r="EAX181" s="367"/>
      <c r="EAY181" s="368" t="s">
        <v>168</v>
      </c>
      <c r="EAZ181" s="369">
        <v>0.5</v>
      </c>
      <c r="EBA181" s="370" t="e">
        <f>10/EAW179</f>
        <v>#DIV/0!</v>
      </c>
      <c r="EBB181" s="371">
        <v>15.38</v>
      </c>
      <c r="EBC181" s="371" t="e">
        <f>EAZ181*EBA181*EBB181</f>
        <v>#DIV/0!</v>
      </c>
      <c r="EBD181" s="367" t="s">
        <v>206</v>
      </c>
      <c r="EBE181" s="367"/>
      <c r="EBF181" s="367"/>
      <c r="EBG181" s="368" t="s">
        <v>168</v>
      </c>
      <c r="EBH181" s="369">
        <v>0.5</v>
      </c>
      <c r="EBI181" s="370" t="e">
        <f>10/EBE179</f>
        <v>#DIV/0!</v>
      </c>
      <c r="EBJ181" s="371">
        <v>15.38</v>
      </c>
      <c r="EBK181" s="371" t="e">
        <f>EBH181*EBI181*EBJ181</f>
        <v>#DIV/0!</v>
      </c>
      <c r="EBL181" s="367" t="s">
        <v>206</v>
      </c>
      <c r="EBM181" s="367"/>
      <c r="EBN181" s="367"/>
      <c r="EBO181" s="368" t="s">
        <v>168</v>
      </c>
      <c r="EBP181" s="369">
        <v>0.5</v>
      </c>
      <c r="EBQ181" s="370" t="e">
        <f>10/EBM179</f>
        <v>#DIV/0!</v>
      </c>
      <c r="EBR181" s="371">
        <v>15.38</v>
      </c>
      <c r="EBS181" s="371" t="e">
        <f>EBP181*EBQ181*EBR181</f>
        <v>#DIV/0!</v>
      </c>
      <c r="EBT181" s="367" t="s">
        <v>206</v>
      </c>
      <c r="EBU181" s="367"/>
      <c r="EBV181" s="367"/>
      <c r="EBW181" s="368" t="s">
        <v>168</v>
      </c>
      <c r="EBX181" s="369">
        <v>0.5</v>
      </c>
      <c r="EBY181" s="370" t="e">
        <f>10/EBU179</f>
        <v>#DIV/0!</v>
      </c>
      <c r="EBZ181" s="371">
        <v>15.38</v>
      </c>
      <c r="ECA181" s="371" t="e">
        <f>EBX181*EBY181*EBZ181</f>
        <v>#DIV/0!</v>
      </c>
      <c r="ECB181" s="367" t="s">
        <v>206</v>
      </c>
      <c r="ECC181" s="367"/>
      <c r="ECD181" s="367"/>
      <c r="ECE181" s="368" t="s">
        <v>168</v>
      </c>
      <c r="ECF181" s="369">
        <v>0.5</v>
      </c>
      <c r="ECG181" s="370" t="e">
        <f>10/ECC179</f>
        <v>#DIV/0!</v>
      </c>
      <c r="ECH181" s="371">
        <v>15.38</v>
      </c>
      <c r="ECI181" s="371" t="e">
        <f>ECF181*ECG181*ECH181</f>
        <v>#DIV/0!</v>
      </c>
      <c r="ECJ181" s="367" t="s">
        <v>206</v>
      </c>
      <c r="ECK181" s="367"/>
      <c r="ECL181" s="367"/>
      <c r="ECM181" s="368" t="s">
        <v>168</v>
      </c>
      <c r="ECN181" s="369">
        <v>0.5</v>
      </c>
      <c r="ECO181" s="370" t="e">
        <f>10/ECK179</f>
        <v>#DIV/0!</v>
      </c>
      <c r="ECP181" s="371">
        <v>15.38</v>
      </c>
      <c r="ECQ181" s="371" t="e">
        <f>ECN181*ECO181*ECP181</f>
        <v>#DIV/0!</v>
      </c>
      <c r="ECR181" s="367" t="s">
        <v>206</v>
      </c>
      <c r="ECS181" s="367"/>
      <c r="ECT181" s="367"/>
      <c r="ECU181" s="368" t="s">
        <v>168</v>
      </c>
      <c r="ECV181" s="369">
        <v>0.5</v>
      </c>
      <c r="ECW181" s="370" t="e">
        <f>10/ECS179</f>
        <v>#DIV/0!</v>
      </c>
      <c r="ECX181" s="371">
        <v>15.38</v>
      </c>
      <c r="ECY181" s="371" t="e">
        <f>ECV181*ECW181*ECX181</f>
        <v>#DIV/0!</v>
      </c>
      <c r="ECZ181" s="367" t="s">
        <v>206</v>
      </c>
      <c r="EDA181" s="367"/>
      <c r="EDB181" s="367"/>
      <c r="EDC181" s="368" t="s">
        <v>168</v>
      </c>
      <c r="EDD181" s="369">
        <v>0.5</v>
      </c>
      <c r="EDE181" s="370" t="e">
        <f>10/EDA179</f>
        <v>#DIV/0!</v>
      </c>
      <c r="EDF181" s="371">
        <v>15.38</v>
      </c>
      <c r="EDG181" s="371" t="e">
        <f>EDD181*EDE181*EDF181</f>
        <v>#DIV/0!</v>
      </c>
      <c r="EDH181" s="367" t="s">
        <v>206</v>
      </c>
      <c r="EDI181" s="367"/>
      <c r="EDJ181" s="367"/>
      <c r="EDK181" s="368" t="s">
        <v>168</v>
      </c>
      <c r="EDL181" s="369">
        <v>0.5</v>
      </c>
      <c r="EDM181" s="370" t="e">
        <f>10/EDI179</f>
        <v>#DIV/0!</v>
      </c>
      <c r="EDN181" s="371">
        <v>15.38</v>
      </c>
      <c r="EDO181" s="371" t="e">
        <f>EDL181*EDM181*EDN181</f>
        <v>#DIV/0!</v>
      </c>
      <c r="EDP181" s="367" t="s">
        <v>206</v>
      </c>
      <c r="EDQ181" s="367"/>
      <c r="EDR181" s="367"/>
      <c r="EDS181" s="368" t="s">
        <v>168</v>
      </c>
      <c r="EDT181" s="369">
        <v>0.5</v>
      </c>
      <c r="EDU181" s="370" t="e">
        <f>10/EDQ179</f>
        <v>#DIV/0!</v>
      </c>
      <c r="EDV181" s="371">
        <v>15.38</v>
      </c>
      <c r="EDW181" s="371" t="e">
        <f>EDT181*EDU181*EDV181</f>
        <v>#DIV/0!</v>
      </c>
      <c r="EDX181" s="367" t="s">
        <v>206</v>
      </c>
      <c r="EDY181" s="367"/>
      <c r="EDZ181" s="367"/>
      <c r="EEA181" s="368" t="s">
        <v>168</v>
      </c>
      <c r="EEB181" s="369">
        <v>0.5</v>
      </c>
      <c r="EEC181" s="370" t="e">
        <f>10/EDY179</f>
        <v>#DIV/0!</v>
      </c>
      <c r="EED181" s="371">
        <v>15.38</v>
      </c>
      <c r="EEE181" s="371" t="e">
        <f>EEB181*EEC181*EED181</f>
        <v>#DIV/0!</v>
      </c>
      <c r="EEF181" s="367" t="s">
        <v>206</v>
      </c>
      <c r="EEG181" s="367"/>
      <c r="EEH181" s="367"/>
      <c r="EEI181" s="368" t="s">
        <v>168</v>
      </c>
      <c r="EEJ181" s="369">
        <v>0.5</v>
      </c>
      <c r="EEK181" s="370" t="e">
        <f>10/EEG179</f>
        <v>#DIV/0!</v>
      </c>
      <c r="EEL181" s="371">
        <v>15.38</v>
      </c>
      <c r="EEM181" s="371" t="e">
        <f>EEJ181*EEK181*EEL181</f>
        <v>#DIV/0!</v>
      </c>
      <c r="EEN181" s="367" t="s">
        <v>206</v>
      </c>
      <c r="EEO181" s="367"/>
      <c r="EEP181" s="367"/>
      <c r="EEQ181" s="368" t="s">
        <v>168</v>
      </c>
      <c r="EER181" s="369">
        <v>0.5</v>
      </c>
      <c r="EES181" s="370" t="e">
        <f>10/EEO179</f>
        <v>#DIV/0!</v>
      </c>
      <c r="EET181" s="371">
        <v>15.38</v>
      </c>
      <c r="EEU181" s="371" t="e">
        <f>EER181*EES181*EET181</f>
        <v>#DIV/0!</v>
      </c>
      <c r="EEV181" s="367" t="s">
        <v>206</v>
      </c>
      <c r="EEW181" s="367"/>
      <c r="EEX181" s="367"/>
      <c r="EEY181" s="368" t="s">
        <v>168</v>
      </c>
      <c r="EEZ181" s="369">
        <v>0.5</v>
      </c>
      <c r="EFA181" s="370" t="e">
        <f>10/EEW179</f>
        <v>#DIV/0!</v>
      </c>
      <c r="EFB181" s="371">
        <v>15.38</v>
      </c>
      <c r="EFC181" s="371" t="e">
        <f>EEZ181*EFA181*EFB181</f>
        <v>#DIV/0!</v>
      </c>
      <c r="EFD181" s="367" t="s">
        <v>206</v>
      </c>
      <c r="EFE181" s="367"/>
      <c r="EFF181" s="367"/>
      <c r="EFG181" s="368" t="s">
        <v>168</v>
      </c>
      <c r="EFH181" s="369">
        <v>0.5</v>
      </c>
      <c r="EFI181" s="370" t="e">
        <f>10/EFE179</f>
        <v>#DIV/0!</v>
      </c>
      <c r="EFJ181" s="371">
        <v>15.38</v>
      </c>
      <c r="EFK181" s="371" t="e">
        <f>EFH181*EFI181*EFJ181</f>
        <v>#DIV/0!</v>
      </c>
      <c r="EFL181" s="367" t="s">
        <v>206</v>
      </c>
      <c r="EFM181" s="367"/>
      <c r="EFN181" s="367"/>
      <c r="EFO181" s="368" t="s">
        <v>168</v>
      </c>
      <c r="EFP181" s="369">
        <v>0.5</v>
      </c>
      <c r="EFQ181" s="370" t="e">
        <f>10/EFM179</f>
        <v>#DIV/0!</v>
      </c>
      <c r="EFR181" s="371">
        <v>15.38</v>
      </c>
      <c r="EFS181" s="371" t="e">
        <f>EFP181*EFQ181*EFR181</f>
        <v>#DIV/0!</v>
      </c>
      <c r="EFT181" s="367" t="s">
        <v>206</v>
      </c>
      <c r="EFU181" s="367"/>
      <c r="EFV181" s="367"/>
      <c r="EFW181" s="368" t="s">
        <v>168</v>
      </c>
      <c r="EFX181" s="369">
        <v>0.5</v>
      </c>
      <c r="EFY181" s="370" t="e">
        <f>10/EFU179</f>
        <v>#DIV/0!</v>
      </c>
      <c r="EFZ181" s="371">
        <v>15.38</v>
      </c>
      <c r="EGA181" s="371" t="e">
        <f>EFX181*EFY181*EFZ181</f>
        <v>#DIV/0!</v>
      </c>
      <c r="EGB181" s="367" t="s">
        <v>206</v>
      </c>
      <c r="EGC181" s="367"/>
      <c r="EGD181" s="367"/>
      <c r="EGE181" s="368" t="s">
        <v>168</v>
      </c>
      <c r="EGF181" s="369">
        <v>0.5</v>
      </c>
      <c r="EGG181" s="370" t="e">
        <f>10/EGC179</f>
        <v>#DIV/0!</v>
      </c>
      <c r="EGH181" s="371">
        <v>15.38</v>
      </c>
      <c r="EGI181" s="371" t="e">
        <f>EGF181*EGG181*EGH181</f>
        <v>#DIV/0!</v>
      </c>
      <c r="EGJ181" s="367" t="s">
        <v>206</v>
      </c>
      <c r="EGK181" s="367"/>
      <c r="EGL181" s="367"/>
      <c r="EGM181" s="368" t="s">
        <v>168</v>
      </c>
      <c r="EGN181" s="369">
        <v>0.5</v>
      </c>
      <c r="EGO181" s="370" t="e">
        <f>10/EGK179</f>
        <v>#DIV/0!</v>
      </c>
      <c r="EGP181" s="371">
        <v>15.38</v>
      </c>
      <c r="EGQ181" s="371" t="e">
        <f>EGN181*EGO181*EGP181</f>
        <v>#DIV/0!</v>
      </c>
      <c r="EGR181" s="367" t="s">
        <v>206</v>
      </c>
      <c r="EGS181" s="367"/>
      <c r="EGT181" s="367"/>
      <c r="EGU181" s="368" t="s">
        <v>168</v>
      </c>
      <c r="EGV181" s="369">
        <v>0.5</v>
      </c>
      <c r="EGW181" s="370" t="e">
        <f>10/EGS179</f>
        <v>#DIV/0!</v>
      </c>
      <c r="EGX181" s="371">
        <v>15.38</v>
      </c>
      <c r="EGY181" s="371" t="e">
        <f>EGV181*EGW181*EGX181</f>
        <v>#DIV/0!</v>
      </c>
      <c r="EGZ181" s="367" t="s">
        <v>206</v>
      </c>
      <c r="EHA181" s="367"/>
      <c r="EHB181" s="367"/>
      <c r="EHC181" s="368" t="s">
        <v>168</v>
      </c>
      <c r="EHD181" s="369">
        <v>0.5</v>
      </c>
      <c r="EHE181" s="370" t="e">
        <f>10/EHA179</f>
        <v>#DIV/0!</v>
      </c>
      <c r="EHF181" s="371">
        <v>15.38</v>
      </c>
      <c r="EHG181" s="371" t="e">
        <f>EHD181*EHE181*EHF181</f>
        <v>#DIV/0!</v>
      </c>
      <c r="EHH181" s="367" t="s">
        <v>206</v>
      </c>
      <c r="EHI181" s="367"/>
      <c r="EHJ181" s="367"/>
      <c r="EHK181" s="368" t="s">
        <v>168</v>
      </c>
      <c r="EHL181" s="369">
        <v>0.5</v>
      </c>
      <c r="EHM181" s="370" t="e">
        <f>10/EHI179</f>
        <v>#DIV/0!</v>
      </c>
      <c r="EHN181" s="371">
        <v>15.38</v>
      </c>
      <c r="EHO181" s="371" t="e">
        <f>EHL181*EHM181*EHN181</f>
        <v>#DIV/0!</v>
      </c>
      <c r="EHP181" s="367" t="s">
        <v>206</v>
      </c>
      <c r="EHQ181" s="367"/>
      <c r="EHR181" s="367"/>
      <c r="EHS181" s="368" t="s">
        <v>168</v>
      </c>
      <c r="EHT181" s="369">
        <v>0.5</v>
      </c>
      <c r="EHU181" s="370" t="e">
        <f>10/EHQ179</f>
        <v>#DIV/0!</v>
      </c>
      <c r="EHV181" s="371">
        <v>15.38</v>
      </c>
      <c r="EHW181" s="371" t="e">
        <f>EHT181*EHU181*EHV181</f>
        <v>#DIV/0!</v>
      </c>
      <c r="EHX181" s="367" t="s">
        <v>206</v>
      </c>
      <c r="EHY181" s="367"/>
      <c r="EHZ181" s="367"/>
      <c r="EIA181" s="368" t="s">
        <v>168</v>
      </c>
      <c r="EIB181" s="369">
        <v>0.5</v>
      </c>
      <c r="EIC181" s="370" t="e">
        <f>10/EHY179</f>
        <v>#DIV/0!</v>
      </c>
      <c r="EID181" s="371">
        <v>15.38</v>
      </c>
      <c r="EIE181" s="371" t="e">
        <f>EIB181*EIC181*EID181</f>
        <v>#DIV/0!</v>
      </c>
      <c r="EIF181" s="367" t="s">
        <v>206</v>
      </c>
      <c r="EIG181" s="367"/>
      <c r="EIH181" s="367"/>
      <c r="EII181" s="368" t="s">
        <v>168</v>
      </c>
      <c r="EIJ181" s="369">
        <v>0.5</v>
      </c>
      <c r="EIK181" s="370" t="e">
        <f>10/EIG179</f>
        <v>#DIV/0!</v>
      </c>
      <c r="EIL181" s="371">
        <v>15.38</v>
      </c>
      <c r="EIM181" s="371" t="e">
        <f>EIJ181*EIK181*EIL181</f>
        <v>#DIV/0!</v>
      </c>
      <c r="EIN181" s="367" t="s">
        <v>206</v>
      </c>
      <c r="EIO181" s="367"/>
      <c r="EIP181" s="367"/>
      <c r="EIQ181" s="368" t="s">
        <v>168</v>
      </c>
      <c r="EIR181" s="369">
        <v>0.5</v>
      </c>
      <c r="EIS181" s="370" t="e">
        <f>10/EIO179</f>
        <v>#DIV/0!</v>
      </c>
      <c r="EIT181" s="371">
        <v>15.38</v>
      </c>
      <c r="EIU181" s="371" t="e">
        <f>EIR181*EIS181*EIT181</f>
        <v>#DIV/0!</v>
      </c>
      <c r="EIV181" s="367" t="s">
        <v>206</v>
      </c>
      <c r="EIW181" s="367"/>
      <c r="EIX181" s="367"/>
      <c r="EIY181" s="368" t="s">
        <v>168</v>
      </c>
      <c r="EIZ181" s="369">
        <v>0.5</v>
      </c>
      <c r="EJA181" s="370" t="e">
        <f>10/EIW179</f>
        <v>#DIV/0!</v>
      </c>
      <c r="EJB181" s="371">
        <v>15.38</v>
      </c>
      <c r="EJC181" s="371" t="e">
        <f>EIZ181*EJA181*EJB181</f>
        <v>#DIV/0!</v>
      </c>
      <c r="EJD181" s="367" t="s">
        <v>206</v>
      </c>
      <c r="EJE181" s="367"/>
      <c r="EJF181" s="367"/>
      <c r="EJG181" s="368" t="s">
        <v>168</v>
      </c>
      <c r="EJH181" s="369">
        <v>0.5</v>
      </c>
      <c r="EJI181" s="370" t="e">
        <f>10/EJE179</f>
        <v>#DIV/0!</v>
      </c>
      <c r="EJJ181" s="371">
        <v>15.38</v>
      </c>
      <c r="EJK181" s="371" t="e">
        <f>EJH181*EJI181*EJJ181</f>
        <v>#DIV/0!</v>
      </c>
      <c r="EJL181" s="367" t="s">
        <v>206</v>
      </c>
      <c r="EJM181" s="367"/>
      <c r="EJN181" s="367"/>
      <c r="EJO181" s="368" t="s">
        <v>168</v>
      </c>
      <c r="EJP181" s="369">
        <v>0.5</v>
      </c>
      <c r="EJQ181" s="370" t="e">
        <f>10/EJM179</f>
        <v>#DIV/0!</v>
      </c>
      <c r="EJR181" s="371">
        <v>15.38</v>
      </c>
      <c r="EJS181" s="371" t="e">
        <f>EJP181*EJQ181*EJR181</f>
        <v>#DIV/0!</v>
      </c>
      <c r="EJT181" s="367" t="s">
        <v>206</v>
      </c>
      <c r="EJU181" s="367"/>
      <c r="EJV181" s="367"/>
      <c r="EJW181" s="368" t="s">
        <v>168</v>
      </c>
      <c r="EJX181" s="369">
        <v>0.5</v>
      </c>
      <c r="EJY181" s="370" t="e">
        <f>10/EJU179</f>
        <v>#DIV/0!</v>
      </c>
      <c r="EJZ181" s="371">
        <v>15.38</v>
      </c>
      <c r="EKA181" s="371" t="e">
        <f>EJX181*EJY181*EJZ181</f>
        <v>#DIV/0!</v>
      </c>
      <c r="EKB181" s="367" t="s">
        <v>206</v>
      </c>
      <c r="EKC181" s="367"/>
      <c r="EKD181" s="367"/>
      <c r="EKE181" s="368" t="s">
        <v>168</v>
      </c>
      <c r="EKF181" s="369">
        <v>0.5</v>
      </c>
      <c r="EKG181" s="370" t="e">
        <f>10/EKC179</f>
        <v>#DIV/0!</v>
      </c>
      <c r="EKH181" s="371">
        <v>15.38</v>
      </c>
      <c r="EKI181" s="371" t="e">
        <f>EKF181*EKG181*EKH181</f>
        <v>#DIV/0!</v>
      </c>
      <c r="EKJ181" s="367" t="s">
        <v>206</v>
      </c>
      <c r="EKK181" s="367"/>
      <c r="EKL181" s="367"/>
      <c r="EKM181" s="368" t="s">
        <v>168</v>
      </c>
      <c r="EKN181" s="369">
        <v>0.5</v>
      </c>
      <c r="EKO181" s="370" t="e">
        <f>10/EKK179</f>
        <v>#DIV/0!</v>
      </c>
      <c r="EKP181" s="371">
        <v>15.38</v>
      </c>
      <c r="EKQ181" s="371" t="e">
        <f>EKN181*EKO181*EKP181</f>
        <v>#DIV/0!</v>
      </c>
      <c r="EKR181" s="367" t="s">
        <v>206</v>
      </c>
      <c r="EKS181" s="367"/>
      <c r="EKT181" s="367"/>
      <c r="EKU181" s="368" t="s">
        <v>168</v>
      </c>
      <c r="EKV181" s="369">
        <v>0.5</v>
      </c>
      <c r="EKW181" s="370" t="e">
        <f>10/EKS179</f>
        <v>#DIV/0!</v>
      </c>
      <c r="EKX181" s="371">
        <v>15.38</v>
      </c>
      <c r="EKY181" s="371" t="e">
        <f>EKV181*EKW181*EKX181</f>
        <v>#DIV/0!</v>
      </c>
      <c r="EKZ181" s="367" t="s">
        <v>206</v>
      </c>
      <c r="ELA181" s="367"/>
      <c r="ELB181" s="367"/>
      <c r="ELC181" s="368" t="s">
        <v>168</v>
      </c>
      <c r="ELD181" s="369">
        <v>0.5</v>
      </c>
      <c r="ELE181" s="370" t="e">
        <f>10/ELA179</f>
        <v>#DIV/0!</v>
      </c>
      <c r="ELF181" s="371">
        <v>15.38</v>
      </c>
      <c r="ELG181" s="371" t="e">
        <f>ELD181*ELE181*ELF181</f>
        <v>#DIV/0!</v>
      </c>
      <c r="ELH181" s="367" t="s">
        <v>206</v>
      </c>
      <c r="ELI181" s="367"/>
      <c r="ELJ181" s="367"/>
      <c r="ELK181" s="368" t="s">
        <v>168</v>
      </c>
      <c r="ELL181" s="369">
        <v>0.5</v>
      </c>
      <c r="ELM181" s="370" t="e">
        <f>10/ELI179</f>
        <v>#DIV/0!</v>
      </c>
      <c r="ELN181" s="371">
        <v>15.38</v>
      </c>
      <c r="ELO181" s="371" t="e">
        <f>ELL181*ELM181*ELN181</f>
        <v>#DIV/0!</v>
      </c>
      <c r="ELP181" s="367" t="s">
        <v>206</v>
      </c>
      <c r="ELQ181" s="367"/>
      <c r="ELR181" s="367"/>
      <c r="ELS181" s="368" t="s">
        <v>168</v>
      </c>
      <c r="ELT181" s="369">
        <v>0.5</v>
      </c>
      <c r="ELU181" s="370" t="e">
        <f>10/ELQ179</f>
        <v>#DIV/0!</v>
      </c>
      <c r="ELV181" s="371">
        <v>15.38</v>
      </c>
      <c r="ELW181" s="371" t="e">
        <f>ELT181*ELU181*ELV181</f>
        <v>#DIV/0!</v>
      </c>
      <c r="ELX181" s="367" t="s">
        <v>206</v>
      </c>
      <c r="ELY181" s="367"/>
      <c r="ELZ181" s="367"/>
      <c r="EMA181" s="368" t="s">
        <v>168</v>
      </c>
      <c r="EMB181" s="369">
        <v>0.5</v>
      </c>
      <c r="EMC181" s="370" t="e">
        <f>10/ELY179</f>
        <v>#DIV/0!</v>
      </c>
      <c r="EMD181" s="371">
        <v>15.38</v>
      </c>
      <c r="EME181" s="371" t="e">
        <f>EMB181*EMC181*EMD181</f>
        <v>#DIV/0!</v>
      </c>
      <c r="EMF181" s="367" t="s">
        <v>206</v>
      </c>
      <c r="EMG181" s="367"/>
      <c r="EMH181" s="367"/>
      <c r="EMI181" s="368" t="s">
        <v>168</v>
      </c>
      <c r="EMJ181" s="369">
        <v>0.5</v>
      </c>
      <c r="EMK181" s="370" t="e">
        <f>10/EMG179</f>
        <v>#DIV/0!</v>
      </c>
      <c r="EML181" s="371">
        <v>15.38</v>
      </c>
      <c r="EMM181" s="371" t="e">
        <f>EMJ181*EMK181*EML181</f>
        <v>#DIV/0!</v>
      </c>
      <c r="EMN181" s="367" t="s">
        <v>206</v>
      </c>
      <c r="EMO181" s="367"/>
      <c r="EMP181" s="367"/>
      <c r="EMQ181" s="368" t="s">
        <v>168</v>
      </c>
      <c r="EMR181" s="369">
        <v>0.5</v>
      </c>
      <c r="EMS181" s="370" t="e">
        <f>10/EMO179</f>
        <v>#DIV/0!</v>
      </c>
      <c r="EMT181" s="371">
        <v>15.38</v>
      </c>
      <c r="EMU181" s="371" t="e">
        <f>EMR181*EMS181*EMT181</f>
        <v>#DIV/0!</v>
      </c>
      <c r="EMV181" s="367" t="s">
        <v>206</v>
      </c>
      <c r="EMW181" s="367"/>
      <c r="EMX181" s="367"/>
      <c r="EMY181" s="368" t="s">
        <v>168</v>
      </c>
      <c r="EMZ181" s="369">
        <v>0.5</v>
      </c>
      <c r="ENA181" s="370" t="e">
        <f>10/EMW179</f>
        <v>#DIV/0!</v>
      </c>
      <c r="ENB181" s="371">
        <v>15.38</v>
      </c>
      <c r="ENC181" s="371" t="e">
        <f>EMZ181*ENA181*ENB181</f>
        <v>#DIV/0!</v>
      </c>
      <c r="END181" s="367" t="s">
        <v>206</v>
      </c>
      <c r="ENE181" s="367"/>
      <c r="ENF181" s="367"/>
      <c r="ENG181" s="368" t="s">
        <v>168</v>
      </c>
      <c r="ENH181" s="369">
        <v>0.5</v>
      </c>
      <c r="ENI181" s="370" t="e">
        <f>10/ENE179</f>
        <v>#DIV/0!</v>
      </c>
      <c r="ENJ181" s="371">
        <v>15.38</v>
      </c>
      <c r="ENK181" s="371" t="e">
        <f>ENH181*ENI181*ENJ181</f>
        <v>#DIV/0!</v>
      </c>
      <c r="ENL181" s="367" t="s">
        <v>206</v>
      </c>
      <c r="ENM181" s="367"/>
      <c r="ENN181" s="367"/>
      <c r="ENO181" s="368" t="s">
        <v>168</v>
      </c>
      <c r="ENP181" s="369">
        <v>0.5</v>
      </c>
      <c r="ENQ181" s="370" t="e">
        <f>10/ENM179</f>
        <v>#DIV/0!</v>
      </c>
      <c r="ENR181" s="371">
        <v>15.38</v>
      </c>
      <c r="ENS181" s="371" t="e">
        <f>ENP181*ENQ181*ENR181</f>
        <v>#DIV/0!</v>
      </c>
      <c r="ENT181" s="367" t="s">
        <v>206</v>
      </c>
      <c r="ENU181" s="367"/>
      <c r="ENV181" s="367"/>
      <c r="ENW181" s="368" t="s">
        <v>168</v>
      </c>
      <c r="ENX181" s="369">
        <v>0.5</v>
      </c>
      <c r="ENY181" s="370" t="e">
        <f>10/ENU179</f>
        <v>#DIV/0!</v>
      </c>
      <c r="ENZ181" s="371">
        <v>15.38</v>
      </c>
      <c r="EOA181" s="371" t="e">
        <f>ENX181*ENY181*ENZ181</f>
        <v>#DIV/0!</v>
      </c>
      <c r="EOB181" s="367" t="s">
        <v>206</v>
      </c>
      <c r="EOC181" s="367"/>
      <c r="EOD181" s="367"/>
      <c r="EOE181" s="368" t="s">
        <v>168</v>
      </c>
      <c r="EOF181" s="369">
        <v>0.5</v>
      </c>
      <c r="EOG181" s="370" t="e">
        <f>10/EOC179</f>
        <v>#DIV/0!</v>
      </c>
      <c r="EOH181" s="371">
        <v>15.38</v>
      </c>
      <c r="EOI181" s="371" t="e">
        <f>EOF181*EOG181*EOH181</f>
        <v>#DIV/0!</v>
      </c>
      <c r="EOJ181" s="367" t="s">
        <v>206</v>
      </c>
      <c r="EOK181" s="367"/>
      <c r="EOL181" s="367"/>
      <c r="EOM181" s="368" t="s">
        <v>168</v>
      </c>
      <c r="EON181" s="369">
        <v>0.5</v>
      </c>
      <c r="EOO181" s="370" t="e">
        <f>10/EOK179</f>
        <v>#DIV/0!</v>
      </c>
      <c r="EOP181" s="371">
        <v>15.38</v>
      </c>
      <c r="EOQ181" s="371" t="e">
        <f>EON181*EOO181*EOP181</f>
        <v>#DIV/0!</v>
      </c>
      <c r="EOR181" s="367" t="s">
        <v>206</v>
      </c>
      <c r="EOS181" s="367"/>
      <c r="EOT181" s="367"/>
      <c r="EOU181" s="368" t="s">
        <v>168</v>
      </c>
      <c r="EOV181" s="369">
        <v>0.5</v>
      </c>
      <c r="EOW181" s="370" t="e">
        <f>10/EOS179</f>
        <v>#DIV/0!</v>
      </c>
      <c r="EOX181" s="371">
        <v>15.38</v>
      </c>
      <c r="EOY181" s="371" t="e">
        <f>EOV181*EOW181*EOX181</f>
        <v>#DIV/0!</v>
      </c>
      <c r="EOZ181" s="367" t="s">
        <v>206</v>
      </c>
      <c r="EPA181" s="367"/>
      <c r="EPB181" s="367"/>
      <c r="EPC181" s="368" t="s">
        <v>168</v>
      </c>
      <c r="EPD181" s="369">
        <v>0.5</v>
      </c>
      <c r="EPE181" s="370" t="e">
        <f>10/EPA179</f>
        <v>#DIV/0!</v>
      </c>
      <c r="EPF181" s="371">
        <v>15.38</v>
      </c>
      <c r="EPG181" s="371" t="e">
        <f>EPD181*EPE181*EPF181</f>
        <v>#DIV/0!</v>
      </c>
      <c r="EPH181" s="367" t="s">
        <v>206</v>
      </c>
      <c r="EPI181" s="367"/>
      <c r="EPJ181" s="367"/>
      <c r="EPK181" s="368" t="s">
        <v>168</v>
      </c>
      <c r="EPL181" s="369">
        <v>0.5</v>
      </c>
      <c r="EPM181" s="370" t="e">
        <f>10/EPI179</f>
        <v>#DIV/0!</v>
      </c>
      <c r="EPN181" s="371">
        <v>15.38</v>
      </c>
      <c r="EPO181" s="371" t="e">
        <f>EPL181*EPM181*EPN181</f>
        <v>#DIV/0!</v>
      </c>
      <c r="EPP181" s="367" t="s">
        <v>206</v>
      </c>
      <c r="EPQ181" s="367"/>
      <c r="EPR181" s="367"/>
      <c r="EPS181" s="368" t="s">
        <v>168</v>
      </c>
      <c r="EPT181" s="369">
        <v>0.5</v>
      </c>
      <c r="EPU181" s="370" t="e">
        <f>10/EPQ179</f>
        <v>#DIV/0!</v>
      </c>
      <c r="EPV181" s="371">
        <v>15.38</v>
      </c>
      <c r="EPW181" s="371" t="e">
        <f>EPT181*EPU181*EPV181</f>
        <v>#DIV/0!</v>
      </c>
      <c r="EPX181" s="367" t="s">
        <v>206</v>
      </c>
      <c r="EPY181" s="367"/>
      <c r="EPZ181" s="367"/>
      <c r="EQA181" s="368" t="s">
        <v>168</v>
      </c>
      <c r="EQB181" s="369">
        <v>0.5</v>
      </c>
      <c r="EQC181" s="370" t="e">
        <f>10/EPY179</f>
        <v>#DIV/0!</v>
      </c>
      <c r="EQD181" s="371">
        <v>15.38</v>
      </c>
      <c r="EQE181" s="371" t="e">
        <f>EQB181*EQC181*EQD181</f>
        <v>#DIV/0!</v>
      </c>
      <c r="EQF181" s="367" t="s">
        <v>206</v>
      </c>
      <c r="EQG181" s="367"/>
      <c r="EQH181" s="367"/>
      <c r="EQI181" s="368" t="s">
        <v>168</v>
      </c>
      <c r="EQJ181" s="369">
        <v>0.5</v>
      </c>
      <c r="EQK181" s="370" t="e">
        <f>10/EQG179</f>
        <v>#DIV/0!</v>
      </c>
      <c r="EQL181" s="371">
        <v>15.38</v>
      </c>
      <c r="EQM181" s="371" t="e">
        <f>EQJ181*EQK181*EQL181</f>
        <v>#DIV/0!</v>
      </c>
      <c r="EQN181" s="367" t="s">
        <v>206</v>
      </c>
      <c r="EQO181" s="367"/>
      <c r="EQP181" s="367"/>
      <c r="EQQ181" s="368" t="s">
        <v>168</v>
      </c>
      <c r="EQR181" s="369">
        <v>0.5</v>
      </c>
      <c r="EQS181" s="370" t="e">
        <f>10/EQO179</f>
        <v>#DIV/0!</v>
      </c>
      <c r="EQT181" s="371">
        <v>15.38</v>
      </c>
      <c r="EQU181" s="371" t="e">
        <f>EQR181*EQS181*EQT181</f>
        <v>#DIV/0!</v>
      </c>
      <c r="EQV181" s="367" t="s">
        <v>206</v>
      </c>
      <c r="EQW181" s="367"/>
      <c r="EQX181" s="367"/>
      <c r="EQY181" s="368" t="s">
        <v>168</v>
      </c>
      <c r="EQZ181" s="369">
        <v>0.5</v>
      </c>
      <c r="ERA181" s="370" t="e">
        <f>10/EQW179</f>
        <v>#DIV/0!</v>
      </c>
      <c r="ERB181" s="371">
        <v>15.38</v>
      </c>
      <c r="ERC181" s="371" t="e">
        <f>EQZ181*ERA181*ERB181</f>
        <v>#DIV/0!</v>
      </c>
      <c r="ERD181" s="367" t="s">
        <v>206</v>
      </c>
      <c r="ERE181" s="367"/>
      <c r="ERF181" s="367"/>
      <c r="ERG181" s="368" t="s">
        <v>168</v>
      </c>
      <c r="ERH181" s="369">
        <v>0.5</v>
      </c>
      <c r="ERI181" s="370" t="e">
        <f>10/ERE179</f>
        <v>#DIV/0!</v>
      </c>
      <c r="ERJ181" s="371">
        <v>15.38</v>
      </c>
      <c r="ERK181" s="371" t="e">
        <f>ERH181*ERI181*ERJ181</f>
        <v>#DIV/0!</v>
      </c>
      <c r="ERL181" s="367" t="s">
        <v>206</v>
      </c>
      <c r="ERM181" s="367"/>
      <c r="ERN181" s="367"/>
      <c r="ERO181" s="368" t="s">
        <v>168</v>
      </c>
      <c r="ERP181" s="369">
        <v>0.5</v>
      </c>
      <c r="ERQ181" s="370" t="e">
        <f>10/ERM179</f>
        <v>#DIV/0!</v>
      </c>
      <c r="ERR181" s="371">
        <v>15.38</v>
      </c>
      <c r="ERS181" s="371" t="e">
        <f>ERP181*ERQ181*ERR181</f>
        <v>#DIV/0!</v>
      </c>
      <c r="ERT181" s="367" t="s">
        <v>206</v>
      </c>
      <c r="ERU181" s="367"/>
      <c r="ERV181" s="367"/>
      <c r="ERW181" s="368" t="s">
        <v>168</v>
      </c>
      <c r="ERX181" s="369">
        <v>0.5</v>
      </c>
      <c r="ERY181" s="370" t="e">
        <f>10/ERU179</f>
        <v>#DIV/0!</v>
      </c>
      <c r="ERZ181" s="371">
        <v>15.38</v>
      </c>
      <c r="ESA181" s="371" t="e">
        <f>ERX181*ERY181*ERZ181</f>
        <v>#DIV/0!</v>
      </c>
      <c r="ESB181" s="367" t="s">
        <v>206</v>
      </c>
      <c r="ESC181" s="367"/>
      <c r="ESD181" s="367"/>
      <c r="ESE181" s="368" t="s">
        <v>168</v>
      </c>
      <c r="ESF181" s="369">
        <v>0.5</v>
      </c>
      <c r="ESG181" s="370" t="e">
        <f>10/ESC179</f>
        <v>#DIV/0!</v>
      </c>
      <c r="ESH181" s="371">
        <v>15.38</v>
      </c>
      <c r="ESI181" s="371" t="e">
        <f>ESF181*ESG181*ESH181</f>
        <v>#DIV/0!</v>
      </c>
      <c r="ESJ181" s="367" t="s">
        <v>206</v>
      </c>
      <c r="ESK181" s="367"/>
      <c r="ESL181" s="367"/>
      <c r="ESM181" s="368" t="s">
        <v>168</v>
      </c>
      <c r="ESN181" s="369">
        <v>0.5</v>
      </c>
      <c r="ESO181" s="370" t="e">
        <f>10/ESK179</f>
        <v>#DIV/0!</v>
      </c>
      <c r="ESP181" s="371">
        <v>15.38</v>
      </c>
      <c r="ESQ181" s="371" t="e">
        <f>ESN181*ESO181*ESP181</f>
        <v>#DIV/0!</v>
      </c>
      <c r="ESR181" s="367" t="s">
        <v>206</v>
      </c>
      <c r="ESS181" s="367"/>
      <c r="EST181" s="367"/>
      <c r="ESU181" s="368" t="s">
        <v>168</v>
      </c>
      <c r="ESV181" s="369">
        <v>0.5</v>
      </c>
      <c r="ESW181" s="370" t="e">
        <f>10/ESS179</f>
        <v>#DIV/0!</v>
      </c>
      <c r="ESX181" s="371">
        <v>15.38</v>
      </c>
      <c r="ESY181" s="371" t="e">
        <f>ESV181*ESW181*ESX181</f>
        <v>#DIV/0!</v>
      </c>
      <c r="ESZ181" s="367" t="s">
        <v>206</v>
      </c>
      <c r="ETA181" s="367"/>
      <c r="ETB181" s="367"/>
      <c r="ETC181" s="368" t="s">
        <v>168</v>
      </c>
      <c r="ETD181" s="369">
        <v>0.5</v>
      </c>
      <c r="ETE181" s="370" t="e">
        <f>10/ETA179</f>
        <v>#DIV/0!</v>
      </c>
      <c r="ETF181" s="371">
        <v>15.38</v>
      </c>
      <c r="ETG181" s="371" t="e">
        <f>ETD181*ETE181*ETF181</f>
        <v>#DIV/0!</v>
      </c>
      <c r="ETH181" s="367" t="s">
        <v>206</v>
      </c>
      <c r="ETI181" s="367"/>
      <c r="ETJ181" s="367"/>
      <c r="ETK181" s="368" t="s">
        <v>168</v>
      </c>
      <c r="ETL181" s="369">
        <v>0.5</v>
      </c>
      <c r="ETM181" s="370" t="e">
        <f>10/ETI179</f>
        <v>#DIV/0!</v>
      </c>
      <c r="ETN181" s="371">
        <v>15.38</v>
      </c>
      <c r="ETO181" s="371" t="e">
        <f>ETL181*ETM181*ETN181</f>
        <v>#DIV/0!</v>
      </c>
      <c r="ETP181" s="367" t="s">
        <v>206</v>
      </c>
      <c r="ETQ181" s="367"/>
      <c r="ETR181" s="367"/>
      <c r="ETS181" s="368" t="s">
        <v>168</v>
      </c>
      <c r="ETT181" s="369">
        <v>0.5</v>
      </c>
      <c r="ETU181" s="370" t="e">
        <f>10/ETQ179</f>
        <v>#DIV/0!</v>
      </c>
      <c r="ETV181" s="371">
        <v>15.38</v>
      </c>
      <c r="ETW181" s="371" t="e">
        <f>ETT181*ETU181*ETV181</f>
        <v>#DIV/0!</v>
      </c>
      <c r="ETX181" s="367" t="s">
        <v>206</v>
      </c>
      <c r="ETY181" s="367"/>
      <c r="ETZ181" s="367"/>
      <c r="EUA181" s="368" t="s">
        <v>168</v>
      </c>
      <c r="EUB181" s="369">
        <v>0.5</v>
      </c>
      <c r="EUC181" s="370" t="e">
        <f>10/ETY179</f>
        <v>#DIV/0!</v>
      </c>
      <c r="EUD181" s="371">
        <v>15.38</v>
      </c>
      <c r="EUE181" s="371" t="e">
        <f>EUB181*EUC181*EUD181</f>
        <v>#DIV/0!</v>
      </c>
      <c r="EUF181" s="367" t="s">
        <v>206</v>
      </c>
      <c r="EUG181" s="367"/>
      <c r="EUH181" s="367"/>
      <c r="EUI181" s="368" t="s">
        <v>168</v>
      </c>
      <c r="EUJ181" s="369">
        <v>0.5</v>
      </c>
      <c r="EUK181" s="370" t="e">
        <f>10/EUG179</f>
        <v>#DIV/0!</v>
      </c>
      <c r="EUL181" s="371">
        <v>15.38</v>
      </c>
      <c r="EUM181" s="371" t="e">
        <f>EUJ181*EUK181*EUL181</f>
        <v>#DIV/0!</v>
      </c>
      <c r="EUN181" s="367" t="s">
        <v>206</v>
      </c>
      <c r="EUO181" s="367"/>
      <c r="EUP181" s="367"/>
      <c r="EUQ181" s="368" t="s">
        <v>168</v>
      </c>
      <c r="EUR181" s="369">
        <v>0.5</v>
      </c>
      <c r="EUS181" s="370" t="e">
        <f>10/EUO179</f>
        <v>#DIV/0!</v>
      </c>
      <c r="EUT181" s="371">
        <v>15.38</v>
      </c>
      <c r="EUU181" s="371" t="e">
        <f>EUR181*EUS181*EUT181</f>
        <v>#DIV/0!</v>
      </c>
      <c r="EUV181" s="367" t="s">
        <v>206</v>
      </c>
      <c r="EUW181" s="367"/>
      <c r="EUX181" s="367"/>
      <c r="EUY181" s="368" t="s">
        <v>168</v>
      </c>
      <c r="EUZ181" s="369">
        <v>0.5</v>
      </c>
      <c r="EVA181" s="370" t="e">
        <f>10/EUW179</f>
        <v>#DIV/0!</v>
      </c>
      <c r="EVB181" s="371">
        <v>15.38</v>
      </c>
      <c r="EVC181" s="371" t="e">
        <f>EUZ181*EVA181*EVB181</f>
        <v>#DIV/0!</v>
      </c>
      <c r="EVD181" s="367" t="s">
        <v>206</v>
      </c>
      <c r="EVE181" s="367"/>
      <c r="EVF181" s="367"/>
      <c r="EVG181" s="368" t="s">
        <v>168</v>
      </c>
      <c r="EVH181" s="369">
        <v>0.5</v>
      </c>
      <c r="EVI181" s="370" t="e">
        <f>10/EVE179</f>
        <v>#DIV/0!</v>
      </c>
      <c r="EVJ181" s="371">
        <v>15.38</v>
      </c>
      <c r="EVK181" s="371" t="e">
        <f>EVH181*EVI181*EVJ181</f>
        <v>#DIV/0!</v>
      </c>
      <c r="EVL181" s="367" t="s">
        <v>206</v>
      </c>
      <c r="EVM181" s="367"/>
      <c r="EVN181" s="367"/>
      <c r="EVO181" s="368" t="s">
        <v>168</v>
      </c>
      <c r="EVP181" s="369">
        <v>0.5</v>
      </c>
      <c r="EVQ181" s="370" t="e">
        <f>10/EVM179</f>
        <v>#DIV/0!</v>
      </c>
      <c r="EVR181" s="371">
        <v>15.38</v>
      </c>
      <c r="EVS181" s="371" t="e">
        <f>EVP181*EVQ181*EVR181</f>
        <v>#DIV/0!</v>
      </c>
      <c r="EVT181" s="367" t="s">
        <v>206</v>
      </c>
      <c r="EVU181" s="367"/>
      <c r="EVV181" s="367"/>
      <c r="EVW181" s="368" t="s">
        <v>168</v>
      </c>
      <c r="EVX181" s="369">
        <v>0.5</v>
      </c>
      <c r="EVY181" s="370" t="e">
        <f>10/EVU179</f>
        <v>#DIV/0!</v>
      </c>
      <c r="EVZ181" s="371">
        <v>15.38</v>
      </c>
      <c r="EWA181" s="371" t="e">
        <f>EVX181*EVY181*EVZ181</f>
        <v>#DIV/0!</v>
      </c>
      <c r="EWB181" s="367" t="s">
        <v>206</v>
      </c>
      <c r="EWC181" s="367"/>
      <c r="EWD181" s="367"/>
      <c r="EWE181" s="368" t="s">
        <v>168</v>
      </c>
      <c r="EWF181" s="369">
        <v>0.5</v>
      </c>
      <c r="EWG181" s="370" t="e">
        <f>10/EWC179</f>
        <v>#DIV/0!</v>
      </c>
      <c r="EWH181" s="371">
        <v>15.38</v>
      </c>
      <c r="EWI181" s="371" t="e">
        <f>EWF181*EWG181*EWH181</f>
        <v>#DIV/0!</v>
      </c>
      <c r="EWJ181" s="367" t="s">
        <v>206</v>
      </c>
      <c r="EWK181" s="367"/>
      <c r="EWL181" s="367"/>
      <c r="EWM181" s="368" t="s">
        <v>168</v>
      </c>
      <c r="EWN181" s="369">
        <v>0.5</v>
      </c>
      <c r="EWO181" s="370" t="e">
        <f>10/EWK179</f>
        <v>#DIV/0!</v>
      </c>
      <c r="EWP181" s="371">
        <v>15.38</v>
      </c>
      <c r="EWQ181" s="371" t="e">
        <f>EWN181*EWO181*EWP181</f>
        <v>#DIV/0!</v>
      </c>
      <c r="EWR181" s="367" t="s">
        <v>206</v>
      </c>
      <c r="EWS181" s="367"/>
      <c r="EWT181" s="367"/>
      <c r="EWU181" s="368" t="s">
        <v>168</v>
      </c>
      <c r="EWV181" s="369">
        <v>0.5</v>
      </c>
      <c r="EWW181" s="370" t="e">
        <f>10/EWS179</f>
        <v>#DIV/0!</v>
      </c>
      <c r="EWX181" s="371">
        <v>15.38</v>
      </c>
      <c r="EWY181" s="371" t="e">
        <f>EWV181*EWW181*EWX181</f>
        <v>#DIV/0!</v>
      </c>
      <c r="EWZ181" s="367" t="s">
        <v>206</v>
      </c>
      <c r="EXA181" s="367"/>
      <c r="EXB181" s="367"/>
      <c r="EXC181" s="368" t="s">
        <v>168</v>
      </c>
      <c r="EXD181" s="369">
        <v>0.5</v>
      </c>
      <c r="EXE181" s="370" t="e">
        <f>10/EXA179</f>
        <v>#DIV/0!</v>
      </c>
      <c r="EXF181" s="371">
        <v>15.38</v>
      </c>
      <c r="EXG181" s="371" t="e">
        <f>EXD181*EXE181*EXF181</f>
        <v>#DIV/0!</v>
      </c>
      <c r="EXH181" s="367" t="s">
        <v>206</v>
      </c>
      <c r="EXI181" s="367"/>
      <c r="EXJ181" s="367"/>
      <c r="EXK181" s="368" t="s">
        <v>168</v>
      </c>
      <c r="EXL181" s="369">
        <v>0.5</v>
      </c>
      <c r="EXM181" s="370" t="e">
        <f>10/EXI179</f>
        <v>#DIV/0!</v>
      </c>
      <c r="EXN181" s="371">
        <v>15.38</v>
      </c>
      <c r="EXO181" s="371" t="e">
        <f>EXL181*EXM181*EXN181</f>
        <v>#DIV/0!</v>
      </c>
      <c r="EXP181" s="367" t="s">
        <v>206</v>
      </c>
      <c r="EXQ181" s="367"/>
      <c r="EXR181" s="367"/>
      <c r="EXS181" s="368" t="s">
        <v>168</v>
      </c>
      <c r="EXT181" s="369">
        <v>0.5</v>
      </c>
      <c r="EXU181" s="370" t="e">
        <f>10/EXQ179</f>
        <v>#DIV/0!</v>
      </c>
      <c r="EXV181" s="371">
        <v>15.38</v>
      </c>
      <c r="EXW181" s="371" t="e">
        <f>EXT181*EXU181*EXV181</f>
        <v>#DIV/0!</v>
      </c>
      <c r="EXX181" s="367" t="s">
        <v>206</v>
      </c>
      <c r="EXY181" s="367"/>
      <c r="EXZ181" s="367"/>
      <c r="EYA181" s="368" t="s">
        <v>168</v>
      </c>
      <c r="EYB181" s="369">
        <v>0.5</v>
      </c>
      <c r="EYC181" s="370" t="e">
        <f>10/EXY179</f>
        <v>#DIV/0!</v>
      </c>
      <c r="EYD181" s="371">
        <v>15.38</v>
      </c>
      <c r="EYE181" s="371" t="e">
        <f>EYB181*EYC181*EYD181</f>
        <v>#DIV/0!</v>
      </c>
      <c r="EYF181" s="367" t="s">
        <v>206</v>
      </c>
      <c r="EYG181" s="367"/>
      <c r="EYH181" s="367"/>
      <c r="EYI181" s="368" t="s">
        <v>168</v>
      </c>
      <c r="EYJ181" s="369">
        <v>0.5</v>
      </c>
      <c r="EYK181" s="370" t="e">
        <f>10/EYG179</f>
        <v>#DIV/0!</v>
      </c>
      <c r="EYL181" s="371">
        <v>15.38</v>
      </c>
      <c r="EYM181" s="371" t="e">
        <f>EYJ181*EYK181*EYL181</f>
        <v>#DIV/0!</v>
      </c>
      <c r="EYN181" s="367" t="s">
        <v>206</v>
      </c>
      <c r="EYO181" s="367"/>
      <c r="EYP181" s="367"/>
      <c r="EYQ181" s="368" t="s">
        <v>168</v>
      </c>
      <c r="EYR181" s="369">
        <v>0.5</v>
      </c>
      <c r="EYS181" s="370" t="e">
        <f>10/EYO179</f>
        <v>#DIV/0!</v>
      </c>
      <c r="EYT181" s="371">
        <v>15.38</v>
      </c>
      <c r="EYU181" s="371" t="e">
        <f>EYR181*EYS181*EYT181</f>
        <v>#DIV/0!</v>
      </c>
      <c r="EYV181" s="367" t="s">
        <v>206</v>
      </c>
      <c r="EYW181" s="367"/>
      <c r="EYX181" s="367"/>
      <c r="EYY181" s="368" t="s">
        <v>168</v>
      </c>
      <c r="EYZ181" s="369">
        <v>0.5</v>
      </c>
      <c r="EZA181" s="370" t="e">
        <f>10/EYW179</f>
        <v>#DIV/0!</v>
      </c>
      <c r="EZB181" s="371">
        <v>15.38</v>
      </c>
      <c r="EZC181" s="371" t="e">
        <f>EYZ181*EZA181*EZB181</f>
        <v>#DIV/0!</v>
      </c>
      <c r="EZD181" s="367" t="s">
        <v>206</v>
      </c>
      <c r="EZE181" s="367"/>
      <c r="EZF181" s="367"/>
      <c r="EZG181" s="368" t="s">
        <v>168</v>
      </c>
      <c r="EZH181" s="369">
        <v>0.5</v>
      </c>
      <c r="EZI181" s="370" t="e">
        <f>10/EZE179</f>
        <v>#DIV/0!</v>
      </c>
      <c r="EZJ181" s="371">
        <v>15.38</v>
      </c>
      <c r="EZK181" s="371" t="e">
        <f>EZH181*EZI181*EZJ181</f>
        <v>#DIV/0!</v>
      </c>
      <c r="EZL181" s="367" t="s">
        <v>206</v>
      </c>
      <c r="EZM181" s="367"/>
      <c r="EZN181" s="367"/>
      <c r="EZO181" s="368" t="s">
        <v>168</v>
      </c>
      <c r="EZP181" s="369">
        <v>0.5</v>
      </c>
      <c r="EZQ181" s="370" t="e">
        <f>10/EZM179</f>
        <v>#DIV/0!</v>
      </c>
      <c r="EZR181" s="371">
        <v>15.38</v>
      </c>
      <c r="EZS181" s="371" t="e">
        <f>EZP181*EZQ181*EZR181</f>
        <v>#DIV/0!</v>
      </c>
      <c r="EZT181" s="367" t="s">
        <v>206</v>
      </c>
      <c r="EZU181" s="367"/>
      <c r="EZV181" s="367"/>
      <c r="EZW181" s="368" t="s">
        <v>168</v>
      </c>
      <c r="EZX181" s="369">
        <v>0.5</v>
      </c>
      <c r="EZY181" s="370" t="e">
        <f>10/EZU179</f>
        <v>#DIV/0!</v>
      </c>
      <c r="EZZ181" s="371">
        <v>15.38</v>
      </c>
      <c r="FAA181" s="371" t="e">
        <f>EZX181*EZY181*EZZ181</f>
        <v>#DIV/0!</v>
      </c>
      <c r="FAB181" s="367" t="s">
        <v>206</v>
      </c>
      <c r="FAC181" s="367"/>
      <c r="FAD181" s="367"/>
      <c r="FAE181" s="368" t="s">
        <v>168</v>
      </c>
      <c r="FAF181" s="369">
        <v>0.5</v>
      </c>
      <c r="FAG181" s="370" t="e">
        <f>10/FAC179</f>
        <v>#DIV/0!</v>
      </c>
      <c r="FAH181" s="371">
        <v>15.38</v>
      </c>
      <c r="FAI181" s="371" t="e">
        <f>FAF181*FAG181*FAH181</f>
        <v>#DIV/0!</v>
      </c>
      <c r="FAJ181" s="367" t="s">
        <v>206</v>
      </c>
      <c r="FAK181" s="367"/>
      <c r="FAL181" s="367"/>
      <c r="FAM181" s="368" t="s">
        <v>168</v>
      </c>
      <c r="FAN181" s="369">
        <v>0.5</v>
      </c>
      <c r="FAO181" s="370" t="e">
        <f>10/FAK179</f>
        <v>#DIV/0!</v>
      </c>
      <c r="FAP181" s="371">
        <v>15.38</v>
      </c>
      <c r="FAQ181" s="371" t="e">
        <f>FAN181*FAO181*FAP181</f>
        <v>#DIV/0!</v>
      </c>
      <c r="FAR181" s="367" t="s">
        <v>206</v>
      </c>
      <c r="FAS181" s="367"/>
      <c r="FAT181" s="367"/>
      <c r="FAU181" s="368" t="s">
        <v>168</v>
      </c>
      <c r="FAV181" s="369">
        <v>0.5</v>
      </c>
      <c r="FAW181" s="370" t="e">
        <f>10/FAS179</f>
        <v>#DIV/0!</v>
      </c>
      <c r="FAX181" s="371">
        <v>15.38</v>
      </c>
      <c r="FAY181" s="371" t="e">
        <f>FAV181*FAW181*FAX181</f>
        <v>#DIV/0!</v>
      </c>
      <c r="FAZ181" s="367" t="s">
        <v>206</v>
      </c>
      <c r="FBA181" s="367"/>
      <c r="FBB181" s="367"/>
      <c r="FBC181" s="368" t="s">
        <v>168</v>
      </c>
      <c r="FBD181" s="369">
        <v>0.5</v>
      </c>
      <c r="FBE181" s="370" t="e">
        <f>10/FBA179</f>
        <v>#DIV/0!</v>
      </c>
      <c r="FBF181" s="371">
        <v>15.38</v>
      </c>
      <c r="FBG181" s="371" t="e">
        <f>FBD181*FBE181*FBF181</f>
        <v>#DIV/0!</v>
      </c>
      <c r="FBH181" s="367" t="s">
        <v>206</v>
      </c>
      <c r="FBI181" s="367"/>
      <c r="FBJ181" s="367"/>
      <c r="FBK181" s="368" t="s">
        <v>168</v>
      </c>
      <c r="FBL181" s="369">
        <v>0.5</v>
      </c>
      <c r="FBM181" s="370" t="e">
        <f>10/FBI179</f>
        <v>#DIV/0!</v>
      </c>
      <c r="FBN181" s="371">
        <v>15.38</v>
      </c>
      <c r="FBO181" s="371" t="e">
        <f>FBL181*FBM181*FBN181</f>
        <v>#DIV/0!</v>
      </c>
      <c r="FBP181" s="367" t="s">
        <v>206</v>
      </c>
      <c r="FBQ181" s="367"/>
      <c r="FBR181" s="367"/>
      <c r="FBS181" s="368" t="s">
        <v>168</v>
      </c>
      <c r="FBT181" s="369">
        <v>0.5</v>
      </c>
      <c r="FBU181" s="370" t="e">
        <f>10/FBQ179</f>
        <v>#DIV/0!</v>
      </c>
      <c r="FBV181" s="371">
        <v>15.38</v>
      </c>
      <c r="FBW181" s="371" t="e">
        <f>FBT181*FBU181*FBV181</f>
        <v>#DIV/0!</v>
      </c>
      <c r="FBX181" s="367" t="s">
        <v>206</v>
      </c>
      <c r="FBY181" s="367"/>
      <c r="FBZ181" s="367"/>
      <c r="FCA181" s="368" t="s">
        <v>168</v>
      </c>
      <c r="FCB181" s="369">
        <v>0.5</v>
      </c>
      <c r="FCC181" s="370" t="e">
        <f>10/FBY179</f>
        <v>#DIV/0!</v>
      </c>
      <c r="FCD181" s="371">
        <v>15.38</v>
      </c>
      <c r="FCE181" s="371" t="e">
        <f>FCB181*FCC181*FCD181</f>
        <v>#DIV/0!</v>
      </c>
      <c r="FCF181" s="367" t="s">
        <v>206</v>
      </c>
      <c r="FCG181" s="367"/>
      <c r="FCH181" s="367"/>
      <c r="FCI181" s="368" t="s">
        <v>168</v>
      </c>
      <c r="FCJ181" s="369">
        <v>0.5</v>
      </c>
      <c r="FCK181" s="370" t="e">
        <f>10/FCG179</f>
        <v>#DIV/0!</v>
      </c>
      <c r="FCL181" s="371">
        <v>15.38</v>
      </c>
      <c r="FCM181" s="371" t="e">
        <f>FCJ181*FCK181*FCL181</f>
        <v>#DIV/0!</v>
      </c>
      <c r="FCN181" s="367" t="s">
        <v>206</v>
      </c>
      <c r="FCO181" s="367"/>
      <c r="FCP181" s="367"/>
      <c r="FCQ181" s="368" t="s">
        <v>168</v>
      </c>
      <c r="FCR181" s="369">
        <v>0.5</v>
      </c>
      <c r="FCS181" s="370" t="e">
        <f>10/FCO179</f>
        <v>#DIV/0!</v>
      </c>
      <c r="FCT181" s="371">
        <v>15.38</v>
      </c>
      <c r="FCU181" s="371" t="e">
        <f>FCR181*FCS181*FCT181</f>
        <v>#DIV/0!</v>
      </c>
      <c r="FCV181" s="367" t="s">
        <v>206</v>
      </c>
      <c r="FCW181" s="367"/>
      <c r="FCX181" s="367"/>
      <c r="FCY181" s="368" t="s">
        <v>168</v>
      </c>
      <c r="FCZ181" s="369">
        <v>0.5</v>
      </c>
      <c r="FDA181" s="370" t="e">
        <f>10/FCW179</f>
        <v>#DIV/0!</v>
      </c>
      <c r="FDB181" s="371">
        <v>15.38</v>
      </c>
      <c r="FDC181" s="371" t="e">
        <f>FCZ181*FDA181*FDB181</f>
        <v>#DIV/0!</v>
      </c>
      <c r="FDD181" s="367" t="s">
        <v>206</v>
      </c>
      <c r="FDE181" s="367"/>
      <c r="FDF181" s="367"/>
      <c r="FDG181" s="368" t="s">
        <v>168</v>
      </c>
      <c r="FDH181" s="369">
        <v>0.5</v>
      </c>
      <c r="FDI181" s="370" t="e">
        <f>10/FDE179</f>
        <v>#DIV/0!</v>
      </c>
      <c r="FDJ181" s="371">
        <v>15.38</v>
      </c>
      <c r="FDK181" s="371" t="e">
        <f>FDH181*FDI181*FDJ181</f>
        <v>#DIV/0!</v>
      </c>
      <c r="FDL181" s="367" t="s">
        <v>206</v>
      </c>
      <c r="FDM181" s="367"/>
      <c r="FDN181" s="367"/>
      <c r="FDO181" s="368" t="s">
        <v>168</v>
      </c>
      <c r="FDP181" s="369">
        <v>0.5</v>
      </c>
      <c r="FDQ181" s="370" t="e">
        <f>10/FDM179</f>
        <v>#DIV/0!</v>
      </c>
      <c r="FDR181" s="371">
        <v>15.38</v>
      </c>
      <c r="FDS181" s="371" t="e">
        <f>FDP181*FDQ181*FDR181</f>
        <v>#DIV/0!</v>
      </c>
      <c r="FDT181" s="367" t="s">
        <v>206</v>
      </c>
      <c r="FDU181" s="367"/>
      <c r="FDV181" s="367"/>
      <c r="FDW181" s="368" t="s">
        <v>168</v>
      </c>
      <c r="FDX181" s="369">
        <v>0.5</v>
      </c>
      <c r="FDY181" s="370" t="e">
        <f>10/FDU179</f>
        <v>#DIV/0!</v>
      </c>
      <c r="FDZ181" s="371">
        <v>15.38</v>
      </c>
      <c r="FEA181" s="371" t="e">
        <f>FDX181*FDY181*FDZ181</f>
        <v>#DIV/0!</v>
      </c>
      <c r="FEB181" s="367" t="s">
        <v>206</v>
      </c>
      <c r="FEC181" s="367"/>
      <c r="FED181" s="367"/>
      <c r="FEE181" s="368" t="s">
        <v>168</v>
      </c>
      <c r="FEF181" s="369">
        <v>0.5</v>
      </c>
      <c r="FEG181" s="370" t="e">
        <f>10/FEC179</f>
        <v>#DIV/0!</v>
      </c>
      <c r="FEH181" s="371">
        <v>15.38</v>
      </c>
      <c r="FEI181" s="371" t="e">
        <f>FEF181*FEG181*FEH181</f>
        <v>#DIV/0!</v>
      </c>
      <c r="FEJ181" s="367" t="s">
        <v>206</v>
      </c>
      <c r="FEK181" s="367"/>
      <c r="FEL181" s="367"/>
      <c r="FEM181" s="368" t="s">
        <v>168</v>
      </c>
      <c r="FEN181" s="369">
        <v>0.5</v>
      </c>
      <c r="FEO181" s="370" t="e">
        <f>10/FEK179</f>
        <v>#DIV/0!</v>
      </c>
      <c r="FEP181" s="371">
        <v>15.38</v>
      </c>
      <c r="FEQ181" s="371" t="e">
        <f>FEN181*FEO181*FEP181</f>
        <v>#DIV/0!</v>
      </c>
      <c r="FER181" s="367" t="s">
        <v>206</v>
      </c>
      <c r="FES181" s="367"/>
      <c r="FET181" s="367"/>
      <c r="FEU181" s="368" t="s">
        <v>168</v>
      </c>
      <c r="FEV181" s="369">
        <v>0.5</v>
      </c>
      <c r="FEW181" s="370" t="e">
        <f>10/FES179</f>
        <v>#DIV/0!</v>
      </c>
      <c r="FEX181" s="371">
        <v>15.38</v>
      </c>
      <c r="FEY181" s="371" t="e">
        <f>FEV181*FEW181*FEX181</f>
        <v>#DIV/0!</v>
      </c>
      <c r="FEZ181" s="367" t="s">
        <v>206</v>
      </c>
      <c r="FFA181" s="367"/>
      <c r="FFB181" s="367"/>
      <c r="FFC181" s="368" t="s">
        <v>168</v>
      </c>
      <c r="FFD181" s="369">
        <v>0.5</v>
      </c>
      <c r="FFE181" s="370" t="e">
        <f>10/FFA179</f>
        <v>#DIV/0!</v>
      </c>
      <c r="FFF181" s="371">
        <v>15.38</v>
      </c>
      <c r="FFG181" s="371" t="e">
        <f>FFD181*FFE181*FFF181</f>
        <v>#DIV/0!</v>
      </c>
      <c r="FFH181" s="367" t="s">
        <v>206</v>
      </c>
      <c r="FFI181" s="367"/>
      <c r="FFJ181" s="367"/>
      <c r="FFK181" s="368" t="s">
        <v>168</v>
      </c>
      <c r="FFL181" s="369">
        <v>0.5</v>
      </c>
      <c r="FFM181" s="370" t="e">
        <f>10/FFI179</f>
        <v>#DIV/0!</v>
      </c>
      <c r="FFN181" s="371">
        <v>15.38</v>
      </c>
      <c r="FFO181" s="371" t="e">
        <f>FFL181*FFM181*FFN181</f>
        <v>#DIV/0!</v>
      </c>
      <c r="FFP181" s="367" t="s">
        <v>206</v>
      </c>
      <c r="FFQ181" s="367"/>
      <c r="FFR181" s="367"/>
      <c r="FFS181" s="368" t="s">
        <v>168</v>
      </c>
      <c r="FFT181" s="369">
        <v>0.5</v>
      </c>
      <c r="FFU181" s="370" t="e">
        <f>10/FFQ179</f>
        <v>#DIV/0!</v>
      </c>
      <c r="FFV181" s="371">
        <v>15.38</v>
      </c>
      <c r="FFW181" s="371" t="e">
        <f>FFT181*FFU181*FFV181</f>
        <v>#DIV/0!</v>
      </c>
      <c r="FFX181" s="367" t="s">
        <v>206</v>
      </c>
      <c r="FFY181" s="367"/>
      <c r="FFZ181" s="367"/>
      <c r="FGA181" s="368" t="s">
        <v>168</v>
      </c>
      <c r="FGB181" s="369">
        <v>0.5</v>
      </c>
      <c r="FGC181" s="370" t="e">
        <f>10/FFY179</f>
        <v>#DIV/0!</v>
      </c>
      <c r="FGD181" s="371">
        <v>15.38</v>
      </c>
      <c r="FGE181" s="371" t="e">
        <f>FGB181*FGC181*FGD181</f>
        <v>#DIV/0!</v>
      </c>
      <c r="FGF181" s="367" t="s">
        <v>206</v>
      </c>
      <c r="FGG181" s="367"/>
      <c r="FGH181" s="367"/>
      <c r="FGI181" s="368" t="s">
        <v>168</v>
      </c>
      <c r="FGJ181" s="369">
        <v>0.5</v>
      </c>
      <c r="FGK181" s="370" t="e">
        <f>10/FGG179</f>
        <v>#DIV/0!</v>
      </c>
      <c r="FGL181" s="371">
        <v>15.38</v>
      </c>
      <c r="FGM181" s="371" t="e">
        <f>FGJ181*FGK181*FGL181</f>
        <v>#DIV/0!</v>
      </c>
      <c r="FGN181" s="367" t="s">
        <v>206</v>
      </c>
      <c r="FGO181" s="367"/>
      <c r="FGP181" s="367"/>
      <c r="FGQ181" s="368" t="s">
        <v>168</v>
      </c>
      <c r="FGR181" s="369">
        <v>0.5</v>
      </c>
      <c r="FGS181" s="370" t="e">
        <f>10/FGO179</f>
        <v>#DIV/0!</v>
      </c>
      <c r="FGT181" s="371">
        <v>15.38</v>
      </c>
      <c r="FGU181" s="371" t="e">
        <f>FGR181*FGS181*FGT181</f>
        <v>#DIV/0!</v>
      </c>
      <c r="FGV181" s="367" t="s">
        <v>206</v>
      </c>
      <c r="FGW181" s="367"/>
      <c r="FGX181" s="367"/>
      <c r="FGY181" s="368" t="s">
        <v>168</v>
      </c>
      <c r="FGZ181" s="369">
        <v>0.5</v>
      </c>
      <c r="FHA181" s="370" t="e">
        <f>10/FGW179</f>
        <v>#DIV/0!</v>
      </c>
      <c r="FHB181" s="371">
        <v>15.38</v>
      </c>
      <c r="FHC181" s="371" t="e">
        <f>FGZ181*FHA181*FHB181</f>
        <v>#DIV/0!</v>
      </c>
      <c r="FHD181" s="367" t="s">
        <v>206</v>
      </c>
      <c r="FHE181" s="367"/>
      <c r="FHF181" s="367"/>
      <c r="FHG181" s="368" t="s">
        <v>168</v>
      </c>
      <c r="FHH181" s="369">
        <v>0.5</v>
      </c>
      <c r="FHI181" s="370" t="e">
        <f>10/FHE179</f>
        <v>#DIV/0!</v>
      </c>
      <c r="FHJ181" s="371">
        <v>15.38</v>
      </c>
      <c r="FHK181" s="371" t="e">
        <f>FHH181*FHI181*FHJ181</f>
        <v>#DIV/0!</v>
      </c>
      <c r="FHL181" s="367" t="s">
        <v>206</v>
      </c>
      <c r="FHM181" s="367"/>
      <c r="FHN181" s="367"/>
      <c r="FHO181" s="368" t="s">
        <v>168</v>
      </c>
      <c r="FHP181" s="369">
        <v>0.5</v>
      </c>
      <c r="FHQ181" s="370" t="e">
        <f>10/FHM179</f>
        <v>#DIV/0!</v>
      </c>
      <c r="FHR181" s="371">
        <v>15.38</v>
      </c>
      <c r="FHS181" s="371" t="e">
        <f>FHP181*FHQ181*FHR181</f>
        <v>#DIV/0!</v>
      </c>
      <c r="FHT181" s="367" t="s">
        <v>206</v>
      </c>
      <c r="FHU181" s="367"/>
      <c r="FHV181" s="367"/>
      <c r="FHW181" s="368" t="s">
        <v>168</v>
      </c>
      <c r="FHX181" s="369">
        <v>0.5</v>
      </c>
      <c r="FHY181" s="370" t="e">
        <f>10/FHU179</f>
        <v>#DIV/0!</v>
      </c>
      <c r="FHZ181" s="371">
        <v>15.38</v>
      </c>
      <c r="FIA181" s="371" t="e">
        <f>FHX181*FHY181*FHZ181</f>
        <v>#DIV/0!</v>
      </c>
      <c r="FIB181" s="367" t="s">
        <v>206</v>
      </c>
      <c r="FIC181" s="367"/>
      <c r="FID181" s="367"/>
      <c r="FIE181" s="368" t="s">
        <v>168</v>
      </c>
      <c r="FIF181" s="369">
        <v>0.5</v>
      </c>
      <c r="FIG181" s="370" t="e">
        <f>10/FIC179</f>
        <v>#DIV/0!</v>
      </c>
      <c r="FIH181" s="371">
        <v>15.38</v>
      </c>
      <c r="FII181" s="371" t="e">
        <f>FIF181*FIG181*FIH181</f>
        <v>#DIV/0!</v>
      </c>
      <c r="FIJ181" s="367" t="s">
        <v>206</v>
      </c>
      <c r="FIK181" s="367"/>
      <c r="FIL181" s="367"/>
      <c r="FIM181" s="368" t="s">
        <v>168</v>
      </c>
      <c r="FIN181" s="369">
        <v>0.5</v>
      </c>
      <c r="FIO181" s="370" t="e">
        <f>10/FIK179</f>
        <v>#DIV/0!</v>
      </c>
      <c r="FIP181" s="371">
        <v>15.38</v>
      </c>
      <c r="FIQ181" s="371" t="e">
        <f>FIN181*FIO181*FIP181</f>
        <v>#DIV/0!</v>
      </c>
      <c r="FIR181" s="367" t="s">
        <v>206</v>
      </c>
      <c r="FIS181" s="367"/>
      <c r="FIT181" s="367"/>
      <c r="FIU181" s="368" t="s">
        <v>168</v>
      </c>
      <c r="FIV181" s="369">
        <v>0.5</v>
      </c>
      <c r="FIW181" s="370" t="e">
        <f>10/FIS179</f>
        <v>#DIV/0!</v>
      </c>
      <c r="FIX181" s="371">
        <v>15.38</v>
      </c>
      <c r="FIY181" s="371" t="e">
        <f>FIV181*FIW181*FIX181</f>
        <v>#DIV/0!</v>
      </c>
      <c r="FIZ181" s="367" t="s">
        <v>206</v>
      </c>
      <c r="FJA181" s="367"/>
      <c r="FJB181" s="367"/>
      <c r="FJC181" s="368" t="s">
        <v>168</v>
      </c>
      <c r="FJD181" s="369">
        <v>0.5</v>
      </c>
      <c r="FJE181" s="370" t="e">
        <f>10/FJA179</f>
        <v>#DIV/0!</v>
      </c>
      <c r="FJF181" s="371">
        <v>15.38</v>
      </c>
      <c r="FJG181" s="371" t="e">
        <f>FJD181*FJE181*FJF181</f>
        <v>#DIV/0!</v>
      </c>
      <c r="FJH181" s="367" t="s">
        <v>206</v>
      </c>
      <c r="FJI181" s="367"/>
      <c r="FJJ181" s="367"/>
      <c r="FJK181" s="368" t="s">
        <v>168</v>
      </c>
      <c r="FJL181" s="369">
        <v>0.5</v>
      </c>
      <c r="FJM181" s="370" t="e">
        <f>10/FJI179</f>
        <v>#DIV/0!</v>
      </c>
      <c r="FJN181" s="371">
        <v>15.38</v>
      </c>
      <c r="FJO181" s="371" t="e">
        <f>FJL181*FJM181*FJN181</f>
        <v>#DIV/0!</v>
      </c>
      <c r="FJP181" s="367" t="s">
        <v>206</v>
      </c>
      <c r="FJQ181" s="367"/>
      <c r="FJR181" s="367"/>
      <c r="FJS181" s="368" t="s">
        <v>168</v>
      </c>
      <c r="FJT181" s="369">
        <v>0.5</v>
      </c>
      <c r="FJU181" s="370" t="e">
        <f>10/FJQ179</f>
        <v>#DIV/0!</v>
      </c>
      <c r="FJV181" s="371">
        <v>15.38</v>
      </c>
      <c r="FJW181" s="371" t="e">
        <f>FJT181*FJU181*FJV181</f>
        <v>#DIV/0!</v>
      </c>
      <c r="FJX181" s="367" t="s">
        <v>206</v>
      </c>
      <c r="FJY181" s="367"/>
      <c r="FJZ181" s="367"/>
      <c r="FKA181" s="368" t="s">
        <v>168</v>
      </c>
      <c r="FKB181" s="369">
        <v>0.5</v>
      </c>
      <c r="FKC181" s="370" t="e">
        <f>10/FJY179</f>
        <v>#DIV/0!</v>
      </c>
      <c r="FKD181" s="371">
        <v>15.38</v>
      </c>
      <c r="FKE181" s="371" t="e">
        <f>FKB181*FKC181*FKD181</f>
        <v>#DIV/0!</v>
      </c>
      <c r="FKF181" s="367" t="s">
        <v>206</v>
      </c>
      <c r="FKG181" s="367"/>
      <c r="FKH181" s="367"/>
      <c r="FKI181" s="368" t="s">
        <v>168</v>
      </c>
      <c r="FKJ181" s="369">
        <v>0.5</v>
      </c>
      <c r="FKK181" s="370" t="e">
        <f>10/FKG179</f>
        <v>#DIV/0!</v>
      </c>
      <c r="FKL181" s="371">
        <v>15.38</v>
      </c>
      <c r="FKM181" s="371" t="e">
        <f>FKJ181*FKK181*FKL181</f>
        <v>#DIV/0!</v>
      </c>
      <c r="FKN181" s="367" t="s">
        <v>206</v>
      </c>
      <c r="FKO181" s="367"/>
      <c r="FKP181" s="367"/>
      <c r="FKQ181" s="368" t="s">
        <v>168</v>
      </c>
      <c r="FKR181" s="369">
        <v>0.5</v>
      </c>
      <c r="FKS181" s="370" t="e">
        <f>10/FKO179</f>
        <v>#DIV/0!</v>
      </c>
      <c r="FKT181" s="371">
        <v>15.38</v>
      </c>
      <c r="FKU181" s="371" t="e">
        <f>FKR181*FKS181*FKT181</f>
        <v>#DIV/0!</v>
      </c>
      <c r="FKV181" s="367" t="s">
        <v>206</v>
      </c>
      <c r="FKW181" s="367"/>
      <c r="FKX181" s="367"/>
      <c r="FKY181" s="368" t="s">
        <v>168</v>
      </c>
      <c r="FKZ181" s="369">
        <v>0.5</v>
      </c>
      <c r="FLA181" s="370" t="e">
        <f>10/FKW179</f>
        <v>#DIV/0!</v>
      </c>
      <c r="FLB181" s="371">
        <v>15.38</v>
      </c>
      <c r="FLC181" s="371" t="e">
        <f>FKZ181*FLA181*FLB181</f>
        <v>#DIV/0!</v>
      </c>
      <c r="FLD181" s="367" t="s">
        <v>206</v>
      </c>
      <c r="FLE181" s="367"/>
      <c r="FLF181" s="367"/>
      <c r="FLG181" s="368" t="s">
        <v>168</v>
      </c>
      <c r="FLH181" s="369">
        <v>0.5</v>
      </c>
      <c r="FLI181" s="370" t="e">
        <f>10/FLE179</f>
        <v>#DIV/0!</v>
      </c>
      <c r="FLJ181" s="371">
        <v>15.38</v>
      </c>
      <c r="FLK181" s="371" t="e">
        <f>FLH181*FLI181*FLJ181</f>
        <v>#DIV/0!</v>
      </c>
      <c r="FLL181" s="367" t="s">
        <v>206</v>
      </c>
      <c r="FLM181" s="367"/>
      <c r="FLN181" s="367"/>
      <c r="FLO181" s="368" t="s">
        <v>168</v>
      </c>
      <c r="FLP181" s="369">
        <v>0.5</v>
      </c>
      <c r="FLQ181" s="370" t="e">
        <f>10/FLM179</f>
        <v>#DIV/0!</v>
      </c>
      <c r="FLR181" s="371">
        <v>15.38</v>
      </c>
      <c r="FLS181" s="371" t="e">
        <f>FLP181*FLQ181*FLR181</f>
        <v>#DIV/0!</v>
      </c>
      <c r="FLT181" s="367" t="s">
        <v>206</v>
      </c>
      <c r="FLU181" s="367"/>
      <c r="FLV181" s="367"/>
      <c r="FLW181" s="368" t="s">
        <v>168</v>
      </c>
      <c r="FLX181" s="369">
        <v>0.5</v>
      </c>
      <c r="FLY181" s="370" t="e">
        <f>10/FLU179</f>
        <v>#DIV/0!</v>
      </c>
      <c r="FLZ181" s="371">
        <v>15.38</v>
      </c>
      <c r="FMA181" s="371" t="e">
        <f>FLX181*FLY181*FLZ181</f>
        <v>#DIV/0!</v>
      </c>
      <c r="FMB181" s="367" t="s">
        <v>206</v>
      </c>
      <c r="FMC181" s="367"/>
      <c r="FMD181" s="367"/>
      <c r="FME181" s="368" t="s">
        <v>168</v>
      </c>
      <c r="FMF181" s="369">
        <v>0.5</v>
      </c>
      <c r="FMG181" s="370" t="e">
        <f>10/FMC179</f>
        <v>#DIV/0!</v>
      </c>
      <c r="FMH181" s="371">
        <v>15.38</v>
      </c>
      <c r="FMI181" s="371" t="e">
        <f>FMF181*FMG181*FMH181</f>
        <v>#DIV/0!</v>
      </c>
      <c r="FMJ181" s="367" t="s">
        <v>206</v>
      </c>
      <c r="FMK181" s="367"/>
      <c r="FML181" s="367"/>
      <c r="FMM181" s="368" t="s">
        <v>168</v>
      </c>
      <c r="FMN181" s="369">
        <v>0.5</v>
      </c>
      <c r="FMO181" s="370" t="e">
        <f>10/FMK179</f>
        <v>#DIV/0!</v>
      </c>
      <c r="FMP181" s="371">
        <v>15.38</v>
      </c>
      <c r="FMQ181" s="371" t="e">
        <f>FMN181*FMO181*FMP181</f>
        <v>#DIV/0!</v>
      </c>
      <c r="FMR181" s="367" t="s">
        <v>206</v>
      </c>
      <c r="FMS181" s="367"/>
      <c r="FMT181" s="367"/>
      <c r="FMU181" s="368" t="s">
        <v>168</v>
      </c>
      <c r="FMV181" s="369">
        <v>0.5</v>
      </c>
      <c r="FMW181" s="370" t="e">
        <f>10/FMS179</f>
        <v>#DIV/0!</v>
      </c>
      <c r="FMX181" s="371">
        <v>15.38</v>
      </c>
      <c r="FMY181" s="371" t="e">
        <f>FMV181*FMW181*FMX181</f>
        <v>#DIV/0!</v>
      </c>
      <c r="FMZ181" s="367" t="s">
        <v>206</v>
      </c>
      <c r="FNA181" s="367"/>
      <c r="FNB181" s="367"/>
      <c r="FNC181" s="368" t="s">
        <v>168</v>
      </c>
      <c r="FND181" s="369">
        <v>0.5</v>
      </c>
      <c r="FNE181" s="370" t="e">
        <f>10/FNA179</f>
        <v>#DIV/0!</v>
      </c>
      <c r="FNF181" s="371">
        <v>15.38</v>
      </c>
      <c r="FNG181" s="371" t="e">
        <f>FND181*FNE181*FNF181</f>
        <v>#DIV/0!</v>
      </c>
      <c r="FNH181" s="367" t="s">
        <v>206</v>
      </c>
      <c r="FNI181" s="367"/>
      <c r="FNJ181" s="367"/>
      <c r="FNK181" s="368" t="s">
        <v>168</v>
      </c>
      <c r="FNL181" s="369">
        <v>0.5</v>
      </c>
      <c r="FNM181" s="370" t="e">
        <f>10/FNI179</f>
        <v>#DIV/0!</v>
      </c>
      <c r="FNN181" s="371">
        <v>15.38</v>
      </c>
      <c r="FNO181" s="371" t="e">
        <f>FNL181*FNM181*FNN181</f>
        <v>#DIV/0!</v>
      </c>
      <c r="FNP181" s="367" t="s">
        <v>206</v>
      </c>
      <c r="FNQ181" s="367"/>
      <c r="FNR181" s="367"/>
      <c r="FNS181" s="368" t="s">
        <v>168</v>
      </c>
      <c r="FNT181" s="369">
        <v>0.5</v>
      </c>
      <c r="FNU181" s="370" t="e">
        <f>10/FNQ179</f>
        <v>#DIV/0!</v>
      </c>
      <c r="FNV181" s="371">
        <v>15.38</v>
      </c>
      <c r="FNW181" s="371" t="e">
        <f>FNT181*FNU181*FNV181</f>
        <v>#DIV/0!</v>
      </c>
      <c r="FNX181" s="367" t="s">
        <v>206</v>
      </c>
      <c r="FNY181" s="367"/>
      <c r="FNZ181" s="367"/>
      <c r="FOA181" s="368" t="s">
        <v>168</v>
      </c>
      <c r="FOB181" s="369">
        <v>0.5</v>
      </c>
      <c r="FOC181" s="370" t="e">
        <f>10/FNY179</f>
        <v>#DIV/0!</v>
      </c>
      <c r="FOD181" s="371">
        <v>15.38</v>
      </c>
      <c r="FOE181" s="371" t="e">
        <f>FOB181*FOC181*FOD181</f>
        <v>#DIV/0!</v>
      </c>
      <c r="FOF181" s="367" t="s">
        <v>206</v>
      </c>
      <c r="FOG181" s="367"/>
      <c r="FOH181" s="367"/>
      <c r="FOI181" s="368" t="s">
        <v>168</v>
      </c>
      <c r="FOJ181" s="369">
        <v>0.5</v>
      </c>
      <c r="FOK181" s="370" t="e">
        <f>10/FOG179</f>
        <v>#DIV/0!</v>
      </c>
      <c r="FOL181" s="371">
        <v>15.38</v>
      </c>
      <c r="FOM181" s="371" t="e">
        <f>FOJ181*FOK181*FOL181</f>
        <v>#DIV/0!</v>
      </c>
      <c r="FON181" s="367" t="s">
        <v>206</v>
      </c>
      <c r="FOO181" s="367"/>
      <c r="FOP181" s="367"/>
      <c r="FOQ181" s="368" t="s">
        <v>168</v>
      </c>
      <c r="FOR181" s="369">
        <v>0.5</v>
      </c>
      <c r="FOS181" s="370" t="e">
        <f>10/FOO179</f>
        <v>#DIV/0!</v>
      </c>
      <c r="FOT181" s="371">
        <v>15.38</v>
      </c>
      <c r="FOU181" s="371" t="e">
        <f>FOR181*FOS181*FOT181</f>
        <v>#DIV/0!</v>
      </c>
      <c r="FOV181" s="367" t="s">
        <v>206</v>
      </c>
      <c r="FOW181" s="367"/>
      <c r="FOX181" s="367"/>
      <c r="FOY181" s="368" t="s">
        <v>168</v>
      </c>
      <c r="FOZ181" s="369">
        <v>0.5</v>
      </c>
      <c r="FPA181" s="370" t="e">
        <f>10/FOW179</f>
        <v>#DIV/0!</v>
      </c>
      <c r="FPB181" s="371">
        <v>15.38</v>
      </c>
      <c r="FPC181" s="371" t="e">
        <f>FOZ181*FPA181*FPB181</f>
        <v>#DIV/0!</v>
      </c>
      <c r="FPD181" s="367" t="s">
        <v>206</v>
      </c>
      <c r="FPE181" s="367"/>
      <c r="FPF181" s="367"/>
      <c r="FPG181" s="368" t="s">
        <v>168</v>
      </c>
      <c r="FPH181" s="369">
        <v>0.5</v>
      </c>
      <c r="FPI181" s="370" t="e">
        <f>10/FPE179</f>
        <v>#DIV/0!</v>
      </c>
      <c r="FPJ181" s="371">
        <v>15.38</v>
      </c>
      <c r="FPK181" s="371" t="e">
        <f>FPH181*FPI181*FPJ181</f>
        <v>#DIV/0!</v>
      </c>
      <c r="FPL181" s="367" t="s">
        <v>206</v>
      </c>
      <c r="FPM181" s="367"/>
      <c r="FPN181" s="367"/>
      <c r="FPO181" s="368" t="s">
        <v>168</v>
      </c>
      <c r="FPP181" s="369">
        <v>0.5</v>
      </c>
      <c r="FPQ181" s="370" t="e">
        <f>10/FPM179</f>
        <v>#DIV/0!</v>
      </c>
      <c r="FPR181" s="371">
        <v>15.38</v>
      </c>
      <c r="FPS181" s="371" t="e">
        <f>FPP181*FPQ181*FPR181</f>
        <v>#DIV/0!</v>
      </c>
      <c r="FPT181" s="367" t="s">
        <v>206</v>
      </c>
      <c r="FPU181" s="367"/>
      <c r="FPV181" s="367"/>
      <c r="FPW181" s="368" t="s">
        <v>168</v>
      </c>
      <c r="FPX181" s="369">
        <v>0.5</v>
      </c>
      <c r="FPY181" s="370" t="e">
        <f>10/FPU179</f>
        <v>#DIV/0!</v>
      </c>
      <c r="FPZ181" s="371">
        <v>15.38</v>
      </c>
      <c r="FQA181" s="371" t="e">
        <f>FPX181*FPY181*FPZ181</f>
        <v>#DIV/0!</v>
      </c>
      <c r="FQB181" s="367" t="s">
        <v>206</v>
      </c>
      <c r="FQC181" s="367"/>
      <c r="FQD181" s="367"/>
      <c r="FQE181" s="368" t="s">
        <v>168</v>
      </c>
      <c r="FQF181" s="369">
        <v>0.5</v>
      </c>
      <c r="FQG181" s="370" t="e">
        <f>10/FQC179</f>
        <v>#DIV/0!</v>
      </c>
      <c r="FQH181" s="371">
        <v>15.38</v>
      </c>
      <c r="FQI181" s="371" t="e">
        <f>FQF181*FQG181*FQH181</f>
        <v>#DIV/0!</v>
      </c>
      <c r="FQJ181" s="367" t="s">
        <v>206</v>
      </c>
      <c r="FQK181" s="367"/>
      <c r="FQL181" s="367"/>
      <c r="FQM181" s="368" t="s">
        <v>168</v>
      </c>
      <c r="FQN181" s="369">
        <v>0.5</v>
      </c>
      <c r="FQO181" s="370" t="e">
        <f>10/FQK179</f>
        <v>#DIV/0!</v>
      </c>
      <c r="FQP181" s="371">
        <v>15.38</v>
      </c>
      <c r="FQQ181" s="371" t="e">
        <f>FQN181*FQO181*FQP181</f>
        <v>#DIV/0!</v>
      </c>
      <c r="FQR181" s="367" t="s">
        <v>206</v>
      </c>
      <c r="FQS181" s="367"/>
      <c r="FQT181" s="367"/>
      <c r="FQU181" s="368" t="s">
        <v>168</v>
      </c>
      <c r="FQV181" s="369">
        <v>0.5</v>
      </c>
      <c r="FQW181" s="370" t="e">
        <f>10/FQS179</f>
        <v>#DIV/0!</v>
      </c>
      <c r="FQX181" s="371">
        <v>15.38</v>
      </c>
      <c r="FQY181" s="371" t="e">
        <f>FQV181*FQW181*FQX181</f>
        <v>#DIV/0!</v>
      </c>
      <c r="FQZ181" s="367" t="s">
        <v>206</v>
      </c>
      <c r="FRA181" s="367"/>
      <c r="FRB181" s="367"/>
      <c r="FRC181" s="368" t="s">
        <v>168</v>
      </c>
      <c r="FRD181" s="369">
        <v>0.5</v>
      </c>
      <c r="FRE181" s="370" t="e">
        <f>10/FRA179</f>
        <v>#DIV/0!</v>
      </c>
      <c r="FRF181" s="371">
        <v>15.38</v>
      </c>
      <c r="FRG181" s="371" t="e">
        <f>FRD181*FRE181*FRF181</f>
        <v>#DIV/0!</v>
      </c>
      <c r="FRH181" s="367" t="s">
        <v>206</v>
      </c>
      <c r="FRI181" s="367"/>
      <c r="FRJ181" s="367"/>
      <c r="FRK181" s="368" t="s">
        <v>168</v>
      </c>
      <c r="FRL181" s="369">
        <v>0.5</v>
      </c>
      <c r="FRM181" s="370" t="e">
        <f>10/FRI179</f>
        <v>#DIV/0!</v>
      </c>
      <c r="FRN181" s="371">
        <v>15.38</v>
      </c>
      <c r="FRO181" s="371" t="e">
        <f>FRL181*FRM181*FRN181</f>
        <v>#DIV/0!</v>
      </c>
      <c r="FRP181" s="367" t="s">
        <v>206</v>
      </c>
      <c r="FRQ181" s="367"/>
      <c r="FRR181" s="367"/>
      <c r="FRS181" s="368" t="s">
        <v>168</v>
      </c>
      <c r="FRT181" s="369">
        <v>0.5</v>
      </c>
      <c r="FRU181" s="370" t="e">
        <f>10/FRQ179</f>
        <v>#DIV/0!</v>
      </c>
      <c r="FRV181" s="371">
        <v>15.38</v>
      </c>
      <c r="FRW181" s="371" t="e">
        <f>FRT181*FRU181*FRV181</f>
        <v>#DIV/0!</v>
      </c>
      <c r="FRX181" s="367" t="s">
        <v>206</v>
      </c>
      <c r="FRY181" s="367"/>
      <c r="FRZ181" s="367"/>
      <c r="FSA181" s="368" t="s">
        <v>168</v>
      </c>
      <c r="FSB181" s="369">
        <v>0.5</v>
      </c>
      <c r="FSC181" s="370" t="e">
        <f>10/FRY179</f>
        <v>#DIV/0!</v>
      </c>
      <c r="FSD181" s="371">
        <v>15.38</v>
      </c>
      <c r="FSE181" s="371" t="e">
        <f>FSB181*FSC181*FSD181</f>
        <v>#DIV/0!</v>
      </c>
      <c r="FSF181" s="367" t="s">
        <v>206</v>
      </c>
      <c r="FSG181" s="367"/>
      <c r="FSH181" s="367"/>
      <c r="FSI181" s="368" t="s">
        <v>168</v>
      </c>
      <c r="FSJ181" s="369">
        <v>0.5</v>
      </c>
      <c r="FSK181" s="370" t="e">
        <f>10/FSG179</f>
        <v>#DIV/0!</v>
      </c>
      <c r="FSL181" s="371">
        <v>15.38</v>
      </c>
      <c r="FSM181" s="371" t="e">
        <f>FSJ181*FSK181*FSL181</f>
        <v>#DIV/0!</v>
      </c>
      <c r="FSN181" s="367" t="s">
        <v>206</v>
      </c>
      <c r="FSO181" s="367"/>
      <c r="FSP181" s="367"/>
      <c r="FSQ181" s="368" t="s">
        <v>168</v>
      </c>
      <c r="FSR181" s="369">
        <v>0.5</v>
      </c>
      <c r="FSS181" s="370" t="e">
        <f>10/FSO179</f>
        <v>#DIV/0!</v>
      </c>
      <c r="FST181" s="371">
        <v>15.38</v>
      </c>
      <c r="FSU181" s="371" t="e">
        <f>FSR181*FSS181*FST181</f>
        <v>#DIV/0!</v>
      </c>
      <c r="FSV181" s="367" t="s">
        <v>206</v>
      </c>
      <c r="FSW181" s="367"/>
      <c r="FSX181" s="367"/>
      <c r="FSY181" s="368" t="s">
        <v>168</v>
      </c>
      <c r="FSZ181" s="369">
        <v>0.5</v>
      </c>
      <c r="FTA181" s="370" t="e">
        <f>10/FSW179</f>
        <v>#DIV/0!</v>
      </c>
      <c r="FTB181" s="371">
        <v>15.38</v>
      </c>
      <c r="FTC181" s="371" t="e">
        <f>FSZ181*FTA181*FTB181</f>
        <v>#DIV/0!</v>
      </c>
      <c r="FTD181" s="367" t="s">
        <v>206</v>
      </c>
      <c r="FTE181" s="367"/>
      <c r="FTF181" s="367"/>
      <c r="FTG181" s="368" t="s">
        <v>168</v>
      </c>
      <c r="FTH181" s="369">
        <v>0.5</v>
      </c>
      <c r="FTI181" s="370" t="e">
        <f>10/FTE179</f>
        <v>#DIV/0!</v>
      </c>
      <c r="FTJ181" s="371">
        <v>15.38</v>
      </c>
      <c r="FTK181" s="371" t="e">
        <f>FTH181*FTI181*FTJ181</f>
        <v>#DIV/0!</v>
      </c>
      <c r="FTL181" s="367" t="s">
        <v>206</v>
      </c>
      <c r="FTM181" s="367"/>
      <c r="FTN181" s="367"/>
      <c r="FTO181" s="368" t="s">
        <v>168</v>
      </c>
      <c r="FTP181" s="369">
        <v>0.5</v>
      </c>
      <c r="FTQ181" s="370" t="e">
        <f>10/FTM179</f>
        <v>#DIV/0!</v>
      </c>
      <c r="FTR181" s="371">
        <v>15.38</v>
      </c>
      <c r="FTS181" s="371" t="e">
        <f>FTP181*FTQ181*FTR181</f>
        <v>#DIV/0!</v>
      </c>
      <c r="FTT181" s="367" t="s">
        <v>206</v>
      </c>
      <c r="FTU181" s="367"/>
      <c r="FTV181" s="367"/>
      <c r="FTW181" s="368" t="s">
        <v>168</v>
      </c>
      <c r="FTX181" s="369">
        <v>0.5</v>
      </c>
      <c r="FTY181" s="370" t="e">
        <f>10/FTU179</f>
        <v>#DIV/0!</v>
      </c>
      <c r="FTZ181" s="371">
        <v>15.38</v>
      </c>
      <c r="FUA181" s="371" t="e">
        <f>FTX181*FTY181*FTZ181</f>
        <v>#DIV/0!</v>
      </c>
      <c r="FUB181" s="367" t="s">
        <v>206</v>
      </c>
      <c r="FUC181" s="367"/>
      <c r="FUD181" s="367"/>
      <c r="FUE181" s="368" t="s">
        <v>168</v>
      </c>
      <c r="FUF181" s="369">
        <v>0.5</v>
      </c>
      <c r="FUG181" s="370" t="e">
        <f>10/FUC179</f>
        <v>#DIV/0!</v>
      </c>
      <c r="FUH181" s="371">
        <v>15.38</v>
      </c>
      <c r="FUI181" s="371" t="e">
        <f>FUF181*FUG181*FUH181</f>
        <v>#DIV/0!</v>
      </c>
      <c r="FUJ181" s="367" t="s">
        <v>206</v>
      </c>
      <c r="FUK181" s="367"/>
      <c r="FUL181" s="367"/>
      <c r="FUM181" s="368" t="s">
        <v>168</v>
      </c>
      <c r="FUN181" s="369">
        <v>0.5</v>
      </c>
      <c r="FUO181" s="370" t="e">
        <f>10/FUK179</f>
        <v>#DIV/0!</v>
      </c>
      <c r="FUP181" s="371">
        <v>15.38</v>
      </c>
      <c r="FUQ181" s="371" t="e">
        <f>FUN181*FUO181*FUP181</f>
        <v>#DIV/0!</v>
      </c>
      <c r="FUR181" s="367" t="s">
        <v>206</v>
      </c>
      <c r="FUS181" s="367"/>
      <c r="FUT181" s="367"/>
      <c r="FUU181" s="368" t="s">
        <v>168</v>
      </c>
      <c r="FUV181" s="369">
        <v>0.5</v>
      </c>
      <c r="FUW181" s="370" t="e">
        <f>10/FUS179</f>
        <v>#DIV/0!</v>
      </c>
      <c r="FUX181" s="371">
        <v>15.38</v>
      </c>
      <c r="FUY181" s="371" t="e">
        <f>FUV181*FUW181*FUX181</f>
        <v>#DIV/0!</v>
      </c>
      <c r="FUZ181" s="367" t="s">
        <v>206</v>
      </c>
      <c r="FVA181" s="367"/>
      <c r="FVB181" s="367"/>
      <c r="FVC181" s="368" t="s">
        <v>168</v>
      </c>
      <c r="FVD181" s="369">
        <v>0.5</v>
      </c>
      <c r="FVE181" s="370" t="e">
        <f>10/FVA179</f>
        <v>#DIV/0!</v>
      </c>
      <c r="FVF181" s="371">
        <v>15.38</v>
      </c>
      <c r="FVG181" s="371" t="e">
        <f>FVD181*FVE181*FVF181</f>
        <v>#DIV/0!</v>
      </c>
      <c r="FVH181" s="367" t="s">
        <v>206</v>
      </c>
      <c r="FVI181" s="367"/>
      <c r="FVJ181" s="367"/>
      <c r="FVK181" s="368" t="s">
        <v>168</v>
      </c>
      <c r="FVL181" s="369">
        <v>0.5</v>
      </c>
      <c r="FVM181" s="370" t="e">
        <f>10/FVI179</f>
        <v>#DIV/0!</v>
      </c>
      <c r="FVN181" s="371">
        <v>15.38</v>
      </c>
      <c r="FVO181" s="371" t="e">
        <f>FVL181*FVM181*FVN181</f>
        <v>#DIV/0!</v>
      </c>
      <c r="FVP181" s="367" t="s">
        <v>206</v>
      </c>
      <c r="FVQ181" s="367"/>
      <c r="FVR181" s="367"/>
      <c r="FVS181" s="368" t="s">
        <v>168</v>
      </c>
      <c r="FVT181" s="369">
        <v>0.5</v>
      </c>
      <c r="FVU181" s="370" t="e">
        <f>10/FVQ179</f>
        <v>#DIV/0!</v>
      </c>
      <c r="FVV181" s="371">
        <v>15.38</v>
      </c>
      <c r="FVW181" s="371" t="e">
        <f>FVT181*FVU181*FVV181</f>
        <v>#DIV/0!</v>
      </c>
      <c r="FVX181" s="367" t="s">
        <v>206</v>
      </c>
      <c r="FVY181" s="367"/>
      <c r="FVZ181" s="367"/>
      <c r="FWA181" s="368" t="s">
        <v>168</v>
      </c>
      <c r="FWB181" s="369">
        <v>0.5</v>
      </c>
      <c r="FWC181" s="370" t="e">
        <f>10/FVY179</f>
        <v>#DIV/0!</v>
      </c>
      <c r="FWD181" s="371">
        <v>15.38</v>
      </c>
      <c r="FWE181" s="371" t="e">
        <f>FWB181*FWC181*FWD181</f>
        <v>#DIV/0!</v>
      </c>
      <c r="FWF181" s="367" t="s">
        <v>206</v>
      </c>
      <c r="FWG181" s="367"/>
      <c r="FWH181" s="367"/>
      <c r="FWI181" s="368" t="s">
        <v>168</v>
      </c>
      <c r="FWJ181" s="369">
        <v>0.5</v>
      </c>
      <c r="FWK181" s="370" t="e">
        <f>10/FWG179</f>
        <v>#DIV/0!</v>
      </c>
      <c r="FWL181" s="371">
        <v>15.38</v>
      </c>
      <c r="FWM181" s="371" t="e">
        <f>FWJ181*FWK181*FWL181</f>
        <v>#DIV/0!</v>
      </c>
      <c r="FWN181" s="367" t="s">
        <v>206</v>
      </c>
      <c r="FWO181" s="367"/>
      <c r="FWP181" s="367"/>
      <c r="FWQ181" s="368" t="s">
        <v>168</v>
      </c>
      <c r="FWR181" s="369">
        <v>0.5</v>
      </c>
      <c r="FWS181" s="370" t="e">
        <f>10/FWO179</f>
        <v>#DIV/0!</v>
      </c>
      <c r="FWT181" s="371">
        <v>15.38</v>
      </c>
      <c r="FWU181" s="371" t="e">
        <f>FWR181*FWS181*FWT181</f>
        <v>#DIV/0!</v>
      </c>
      <c r="FWV181" s="367" t="s">
        <v>206</v>
      </c>
      <c r="FWW181" s="367"/>
      <c r="FWX181" s="367"/>
      <c r="FWY181" s="368" t="s">
        <v>168</v>
      </c>
      <c r="FWZ181" s="369">
        <v>0.5</v>
      </c>
      <c r="FXA181" s="370" t="e">
        <f>10/FWW179</f>
        <v>#DIV/0!</v>
      </c>
      <c r="FXB181" s="371">
        <v>15.38</v>
      </c>
      <c r="FXC181" s="371" t="e">
        <f>FWZ181*FXA181*FXB181</f>
        <v>#DIV/0!</v>
      </c>
      <c r="FXD181" s="367" t="s">
        <v>206</v>
      </c>
      <c r="FXE181" s="367"/>
      <c r="FXF181" s="367"/>
      <c r="FXG181" s="368" t="s">
        <v>168</v>
      </c>
      <c r="FXH181" s="369">
        <v>0.5</v>
      </c>
      <c r="FXI181" s="370" t="e">
        <f>10/FXE179</f>
        <v>#DIV/0!</v>
      </c>
      <c r="FXJ181" s="371">
        <v>15.38</v>
      </c>
      <c r="FXK181" s="371" t="e">
        <f>FXH181*FXI181*FXJ181</f>
        <v>#DIV/0!</v>
      </c>
      <c r="FXL181" s="367" t="s">
        <v>206</v>
      </c>
      <c r="FXM181" s="367"/>
      <c r="FXN181" s="367"/>
      <c r="FXO181" s="368" t="s">
        <v>168</v>
      </c>
      <c r="FXP181" s="369">
        <v>0.5</v>
      </c>
      <c r="FXQ181" s="370" t="e">
        <f>10/FXM179</f>
        <v>#DIV/0!</v>
      </c>
      <c r="FXR181" s="371">
        <v>15.38</v>
      </c>
      <c r="FXS181" s="371" t="e">
        <f>FXP181*FXQ181*FXR181</f>
        <v>#DIV/0!</v>
      </c>
      <c r="FXT181" s="367" t="s">
        <v>206</v>
      </c>
      <c r="FXU181" s="367"/>
      <c r="FXV181" s="367"/>
      <c r="FXW181" s="368" t="s">
        <v>168</v>
      </c>
      <c r="FXX181" s="369">
        <v>0.5</v>
      </c>
      <c r="FXY181" s="370" t="e">
        <f>10/FXU179</f>
        <v>#DIV/0!</v>
      </c>
      <c r="FXZ181" s="371">
        <v>15.38</v>
      </c>
      <c r="FYA181" s="371" t="e">
        <f>FXX181*FXY181*FXZ181</f>
        <v>#DIV/0!</v>
      </c>
      <c r="FYB181" s="367" t="s">
        <v>206</v>
      </c>
      <c r="FYC181" s="367"/>
      <c r="FYD181" s="367"/>
      <c r="FYE181" s="368" t="s">
        <v>168</v>
      </c>
      <c r="FYF181" s="369">
        <v>0.5</v>
      </c>
      <c r="FYG181" s="370" t="e">
        <f>10/FYC179</f>
        <v>#DIV/0!</v>
      </c>
      <c r="FYH181" s="371">
        <v>15.38</v>
      </c>
      <c r="FYI181" s="371" t="e">
        <f>FYF181*FYG181*FYH181</f>
        <v>#DIV/0!</v>
      </c>
      <c r="FYJ181" s="367" t="s">
        <v>206</v>
      </c>
      <c r="FYK181" s="367"/>
      <c r="FYL181" s="367"/>
      <c r="FYM181" s="368" t="s">
        <v>168</v>
      </c>
      <c r="FYN181" s="369">
        <v>0.5</v>
      </c>
      <c r="FYO181" s="370" t="e">
        <f>10/FYK179</f>
        <v>#DIV/0!</v>
      </c>
      <c r="FYP181" s="371">
        <v>15.38</v>
      </c>
      <c r="FYQ181" s="371" t="e">
        <f>FYN181*FYO181*FYP181</f>
        <v>#DIV/0!</v>
      </c>
      <c r="FYR181" s="367" t="s">
        <v>206</v>
      </c>
      <c r="FYS181" s="367"/>
      <c r="FYT181" s="367"/>
      <c r="FYU181" s="368" t="s">
        <v>168</v>
      </c>
      <c r="FYV181" s="369">
        <v>0.5</v>
      </c>
      <c r="FYW181" s="370" t="e">
        <f>10/FYS179</f>
        <v>#DIV/0!</v>
      </c>
      <c r="FYX181" s="371">
        <v>15.38</v>
      </c>
      <c r="FYY181" s="371" t="e">
        <f>FYV181*FYW181*FYX181</f>
        <v>#DIV/0!</v>
      </c>
      <c r="FYZ181" s="367" t="s">
        <v>206</v>
      </c>
      <c r="FZA181" s="367"/>
      <c r="FZB181" s="367"/>
      <c r="FZC181" s="368" t="s">
        <v>168</v>
      </c>
      <c r="FZD181" s="369">
        <v>0.5</v>
      </c>
      <c r="FZE181" s="370" t="e">
        <f>10/FZA179</f>
        <v>#DIV/0!</v>
      </c>
      <c r="FZF181" s="371">
        <v>15.38</v>
      </c>
      <c r="FZG181" s="371" t="e">
        <f>FZD181*FZE181*FZF181</f>
        <v>#DIV/0!</v>
      </c>
      <c r="FZH181" s="367" t="s">
        <v>206</v>
      </c>
      <c r="FZI181" s="367"/>
      <c r="FZJ181" s="367"/>
      <c r="FZK181" s="368" t="s">
        <v>168</v>
      </c>
      <c r="FZL181" s="369">
        <v>0.5</v>
      </c>
      <c r="FZM181" s="370" t="e">
        <f>10/FZI179</f>
        <v>#DIV/0!</v>
      </c>
      <c r="FZN181" s="371">
        <v>15.38</v>
      </c>
      <c r="FZO181" s="371" t="e">
        <f>FZL181*FZM181*FZN181</f>
        <v>#DIV/0!</v>
      </c>
      <c r="FZP181" s="367" t="s">
        <v>206</v>
      </c>
      <c r="FZQ181" s="367"/>
      <c r="FZR181" s="367"/>
      <c r="FZS181" s="368" t="s">
        <v>168</v>
      </c>
      <c r="FZT181" s="369">
        <v>0.5</v>
      </c>
      <c r="FZU181" s="370" t="e">
        <f>10/FZQ179</f>
        <v>#DIV/0!</v>
      </c>
      <c r="FZV181" s="371">
        <v>15.38</v>
      </c>
      <c r="FZW181" s="371" t="e">
        <f>FZT181*FZU181*FZV181</f>
        <v>#DIV/0!</v>
      </c>
      <c r="FZX181" s="367" t="s">
        <v>206</v>
      </c>
      <c r="FZY181" s="367"/>
      <c r="FZZ181" s="367"/>
      <c r="GAA181" s="368" t="s">
        <v>168</v>
      </c>
      <c r="GAB181" s="369">
        <v>0.5</v>
      </c>
      <c r="GAC181" s="370" t="e">
        <f>10/FZY179</f>
        <v>#DIV/0!</v>
      </c>
      <c r="GAD181" s="371">
        <v>15.38</v>
      </c>
      <c r="GAE181" s="371" t="e">
        <f>GAB181*GAC181*GAD181</f>
        <v>#DIV/0!</v>
      </c>
      <c r="GAF181" s="367" t="s">
        <v>206</v>
      </c>
      <c r="GAG181" s="367"/>
      <c r="GAH181" s="367"/>
      <c r="GAI181" s="368" t="s">
        <v>168</v>
      </c>
      <c r="GAJ181" s="369">
        <v>0.5</v>
      </c>
      <c r="GAK181" s="370" t="e">
        <f>10/GAG179</f>
        <v>#DIV/0!</v>
      </c>
      <c r="GAL181" s="371">
        <v>15.38</v>
      </c>
      <c r="GAM181" s="371" t="e">
        <f>GAJ181*GAK181*GAL181</f>
        <v>#DIV/0!</v>
      </c>
      <c r="GAN181" s="367" t="s">
        <v>206</v>
      </c>
      <c r="GAO181" s="367"/>
      <c r="GAP181" s="367"/>
      <c r="GAQ181" s="368" t="s">
        <v>168</v>
      </c>
      <c r="GAR181" s="369">
        <v>0.5</v>
      </c>
      <c r="GAS181" s="370" t="e">
        <f>10/GAO179</f>
        <v>#DIV/0!</v>
      </c>
      <c r="GAT181" s="371">
        <v>15.38</v>
      </c>
      <c r="GAU181" s="371" t="e">
        <f>GAR181*GAS181*GAT181</f>
        <v>#DIV/0!</v>
      </c>
      <c r="GAV181" s="367" t="s">
        <v>206</v>
      </c>
      <c r="GAW181" s="367"/>
      <c r="GAX181" s="367"/>
      <c r="GAY181" s="368" t="s">
        <v>168</v>
      </c>
      <c r="GAZ181" s="369">
        <v>0.5</v>
      </c>
      <c r="GBA181" s="370" t="e">
        <f>10/GAW179</f>
        <v>#DIV/0!</v>
      </c>
      <c r="GBB181" s="371">
        <v>15.38</v>
      </c>
      <c r="GBC181" s="371" t="e">
        <f>GAZ181*GBA181*GBB181</f>
        <v>#DIV/0!</v>
      </c>
      <c r="GBD181" s="367" t="s">
        <v>206</v>
      </c>
      <c r="GBE181" s="367"/>
      <c r="GBF181" s="367"/>
      <c r="GBG181" s="368" t="s">
        <v>168</v>
      </c>
      <c r="GBH181" s="369">
        <v>0.5</v>
      </c>
      <c r="GBI181" s="370" t="e">
        <f>10/GBE179</f>
        <v>#DIV/0!</v>
      </c>
      <c r="GBJ181" s="371">
        <v>15.38</v>
      </c>
      <c r="GBK181" s="371" t="e">
        <f>GBH181*GBI181*GBJ181</f>
        <v>#DIV/0!</v>
      </c>
      <c r="GBL181" s="367" t="s">
        <v>206</v>
      </c>
      <c r="GBM181" s="367"/>
      <c r="GBN181" s="367"/>
      <c r="GBO181" s="368" t="s">
        <v>168</v>
      </c>
      <c r="GBP181" s="369">
        <v>0.5</v>
      </c>
      <c r="GBQ181" s="370" t="e">
        <f>10/GBM179</f>
        <v>#DIV/0!</v>
      </c>
      <c r="GBR181" s="371">
        <v>15.38</v>
      </c>
      <c r="GBS181" s="371" t="e">
        <f>GBP181*GBQ181*GBR181</f>
        <v>#DIV/0!</v>
      </c>
      <c r="GBT181" s="367" t="s">
        <v>206</v>
      </c>
      <c r="GBU181" s="367"/>
      <c r="GBV181" s="367"/>
      <c r="GBW181" s="368" t="s">
        <v>168</v>
      </c>
      <c r="GBX181" s="369">
        <v>0.5</v>
      </c>
      <c r="GBY181" s="370" t="e">
        <f>10/GBU179</f>
        <v>#DIV/0!</v>
      </c>
      <c r="GBZ181" s="371">
        <v>15.38</v>
      </c>
      <c r="GCA181" s="371" t="e">
        <f>GBX181*GBY181*GBZ181</f>
        <v>#DIV/0!</v>
      </c>
      <c r="GCB181" s="367" t="s">
        <v>206</v>
      </c>
      <c r="GCC181" s="367"/>
      <c r="GCD181" s="367"/>
      <c r="GCE181" s="368" t="s">
        <v>168</v>
      </c>
      <c r="GCF181" s="369">
        <v>0.5</v>
      </c>
      <c r="GCG181" s="370" t="e">
        <f>10/GCC179</f>
        <v>#DIV/0!</v>
      </c>
      <c r="GCH181" s="371">
        <v>15.38</v>
      </c>
      <c r="GCI181" s="371" t="e">
        <f>GCF181*GCG181*GCH181</f>
        <v>#DIV/0!</v>
      </c>
      <c r="GCJ181" s="367" t="s">
        <v>206</v>
      </c>
      <c r="GCK181" s="367"/>
      <c r="GCL181" s="367"/>
      <c r="GCM181" s="368" t="s">
        <v>168</v>
      </c>
      <c r="GCN181" s="369">
        <v>0.5</v>
      </c>
      <c r="GCO181" s="370" t="e">
        <f>10/GCK179</f>
        <v>#DIV/0!</v>
      </c>
      <c r="GCP181" s="371">
        <v>15.38</v>
      </c>
      <c r="GCQ181" s="371" t="e">
        <f>GCN181*GCO181*GCP181</f>
        <v>#DIV/0!</v>
      </c>
      <c r="GCR181" s="367" t="s">
        <v>206</v>
      </c>
      <c r="GCS181" s="367"/>
      <c r="GCT181" s="367"/>
      <c r="GCU181" s="368" t="s">
        <v>168</v>
      </c>
      <c r="GCV181" s="369">
        <v>0.5</v>
      </c>
      <c r="GCW181" s="370" t="e">
        <f>10/GCS179</f>
        <v>#DIV/0!</v>
      </c>
      <c r="GCX181" s="371">
        <v>15.38</v>
      </c>
      <c r="GCY181" s="371" t="e">
        <f>GCV181*GCW181*GCX181</f>
        <v>#DIV/0!</v>
      </c>
      <c r="GCZ181" s="367" t="s">
        <v>206</v>
      </c>
      <c r="GDA181" s="367"/>
      <c r="GDB181" s="367"/>
      <c r="GDC181" s="368" t="s">
        <v>168</v>
      </c>
      <c r="GDD181" s="369">
        <v>0.5</v>
      </c>
      <c r="GDE181" s="370" t="e">
        <f>10/GDA179</f>
        <v>#DIV/0!</v>
      </c>
      <c r="GDF181" s="371">
        <v>15.38</v>
      </c>
      <c r="GDG181" s="371" t="e">
        <f>GDD181*GDE181*GDF181</f>
        <v>#DIV/0!</v>
      </c>
      <c r="GDH181" s="367" t="s">
        <v>206</v>
      </c>
      <c r="GDI181" s="367"/>
      <c r="GDJ181" s="367"/>
      <c r="GDK181" s="368" t="s">
        <v>168</v>
      </c>
      <c r="GDL181" s="369">
        <v>0.5</v>
      </c>
      <c r="GDM181" s="370" t="e">
        <f>10/GDI179</f>
        <v>#DIV/0!</v>
      </c>
      <c r="GDN181" s="371">
        <v>15.38</v>
      </c>
      <c r="GDO181" s="371" t="e">
        <f>GDL181*GDM181*GDN181</f>
        <v>#DIV/0!</v>
      </c>
      <c r="GDP181" s="367" t="s">
        <v>206</v>
      </c>
      <c r="GDQ181" s="367"/>
      <c r="GDR181" s="367"/>
      <c r="GDS181" s="368" t="s">
        <v>168</v>
      </c>
      <c r="GDT181" s="369">
        <v>0.5</v>
      </c>
      <c r="GDU181" s="370" t="e">
        <f>10/GDQ179</f>
        <v>#DIV/0!</v>
      </c>
      <c r="GDV181" s="371">
        <v>15.38</v>
      </c>
      <c r="GDW181" s="371" t="e">
        <f>GDT181*GDU181*GDV181</f>
        <v>#DIV/0!</v>
      </c>
      <c r="GDX181" s="367" t="s">
        <v>206</v>
      </c>
      <c r="GDY181" s="367"/>
      <c r="GDZ181" s="367"/>
      <c r="GEA181" s="368" t="s">
        <v>168</v>
      </c>
      <c r="GEB181" s="369">
        <v>0.5</v>
      </c>
      <c r="GEC181" s="370" t="e">
        <f>10/GDY179</f>
        <v>#DIV/0!</v>
      </c>
      <c r="GED181" s="371">
        <v>15.38</v>
      </c>
      <c r="GEE181" s="371" t="e">
        <f>GEB181*GEC181*GED181</f>
        <v>#DIV/0!</v>
      </c>
      <c r="GEF181" s="367" t="s">
        <v>206</v>
      </c>
      <c r="GEG181" s="367"/>
      <c r="GEH181" s="367"/>
      <c r="GEI181" s="368" t="s">
        <v>168</v>
      </c>
      <c r="GEJ181" s="369">
        <v>0.5</v>
      </c>
      <c r="GEK181" s="370" t="e">
        <f>10/GEG179</f>
        <v>#DIV/0!</v>
      </c>
      <c r="GEL181" s="371">
        <v>15.38</v>
      </c>
      <c r="GEM181" s="371" t="e">
        <f>GEJ181*GEK181*GEL181</f>
        <v>#DIV/0!</v>
      </c>
      <c r="GEN181" s="367" t="s">
        <v>206</v>
      </c>
      <c r="GEO181" s="367"/>
      <c r="GEP181" s="367"/>
      <c r="GEQ181" s="368" t="s">
        <v>168</v>
      </c>
      <c r="GER181" s="369">
        <v>0.5</v>
      </c>
      <c r="GES181" s="370" t="e">
        <f>10/GEO179</f>
        <v>#DIV/0!</v>
      </c>
      <c r="GET181" s="371">
        <v>15.38</v>
      </c>
      <c r="GEU181" s="371" t="e">
        <f>GER181*GES181*GET181</f>
        <v>#DIV/0!</v>
      </c>
      <c r="GEV181" s="367" t="s">
        <v>206</v>
      </c>
      <c r="GEW181" s="367"/>
      <c r="GEX181" s="367"/>
      <c r="GEY181" s="368" t="s">
        <v>168</v>
      </c>
      <c r="GEZ181" s="369">
        <v>0.5</v>
      </c>
      <c r="GFA181" s="370" t="e">
        <f>10/GEW179</f>
        <v>#DIV/0!</v>
      </c>
      <c r="GFB181" s="371">
        <v>15.38</v>
      </c>
      <c r="GFC181" s="371" t="e">
        <f>GEZ181*GFA181*GFB181</f>
        <v>#DIV/0!</v>
      </c>
      <c r="GFD181" s="367" t="s">
        <v>206</v>
      </c>
      <c r="GFE181" s="367"/>
      <c r="GFF181" s="367"/>
      <c r="GFG181" s="368" t="s">
        <v>168</v>
      </c>
      <c r="GFH181" s="369">
        <v>0.5</v>
      </c>
      <c r="GFI181" s="370" t="e">
        <f>10/GFE179</f>
        <v>#DIV/0!</v>
      </c>
      <c r="GFJ181" s="371">
        <v>15.38</v>
      </c>
      <c r="GFK181" s="371" t="e">
        <f>GFH181*GFI181*GFJ181</f>
        <v>#DIV/0!</v>
      </c>
      <c r="GFL181" s="367" t="s">
        <v>206</v>
      </c>
      <c r="GFM181" s="367"/>
      <c r="GFN181" s="367"/>
      <c r="GFO181" s="368" t="s">
        <v>168</v>
      </c>
      <c r="GFP181" s="369">
        <v>0.5</v>
      </c>
      <c r="GFQ181" s="370" t="e">
        <f>10/GFM179</f>
        <v>#DIV/0!</v>
      </c>
      <c r="GFR181" s="371">
        <v>15.38</v>
      </c>
      <c r="GFS181" s="371" t="e">
        <f>GFP181*GFQ181*GFR181</f>
        <v>#DIV/0!</v>
      </c>
      <c r="GFT181" s="367" t="s">
        <v>206</v>
      </c>
      <c r="GFU181" s="367"/>
      <c r="GFV181" s="367"/>
      <c r="GFW181" s="368" t="s">
        <v>168</v>
      </c>
      <c r="GFX181" s="369">
        <v>0.5</v>
      </c>
      <c r="GFY181" s="370" t="e">
        <f>10/GFU179</f>
        <v>#DIV/0!</v>
      </c>
      <c r="GFZ181" s="371">
        <v>15.38</v>
      </c>
      <c r="GGA181" s="371" t="e">
        <f>GFX181*GFY181*GFZ181</f>
        <v>#DIV/0!</v>
      </c>
      <c r="GGB181" s="367" t="s">
        <v>206</v>
      </c>
      <c r="GGC181" s="367"/>
      <c r="GGD181" s="367"/>
      <c r="GGE181" s="368" t="s">
        <v>168</v>
      </c>
      <c r="GGF181" s="369">
        <v>0.5</v>
      </c>
      <c r="GGG181" s="370" t="e">
        <f>10/GGC179</f>
        <v>#DIV/0!</v>
      </c>
      <c r="GGH181" s="371">
        <v>15.38</v>
      </c>
      <c r="GGI181" s="371" t="e">
        <f>GGF181*GGG181*GGH181</f>
        <v>#DIV/0!</v>
      </c>
      <c r="GGJ181" s="367" t="s">
        <v>206</v>
      </c>
      <c r="GGK181" s="367"/>
      <c r="GGL181" s="367"/>
      <c r="GGM181" s="368" t="s">
        <v>168</v>
      </c>
      <c r="GGN181" s="369">
        <v>0.5</v>
      </c>
      <c r="GGO181" s="370" t="e">
        <f>10/GGK179</f>
        <v>#DIV/0!</v>
      </c>
      <c r="GGP181" s="371">
        <v>15.38</v>
      </c>
      <c r="GGQ181" s="371" t="e">
        <f>GGN181*GGO181*GGP181</f>
        <v>#DIV/0!</v>
      </c>
      <c r="GGR181" s="367" t="s">
        <v>206</v>
      </c>
      <c r="GGS181" s="367"/>
      <c r="GGT181" s="367"/>
      <c r="GGU181" s="368" t="s">
        <v>168</v>
      </c>
      <c r="GGV181" s="369">
        <v>0.5</v>
      </c>
      <c r="GGW181" s="370" t="e">
        <f>10/GGS179</f>
        <v>#DIV/0!</v>
      </c>
      <c r="GGX181" s="371">
        <v>15.38</v>
      </c>
      <c r="GGY181" s="371" t="e">
        <f>GGV181*GGW181*GGX181</f>
        <v>#DIV/0!</v>
      </c>
      <c r="GGZ181" s="367" t="s">
        <v>206</v>
      </c>
      <c r="GHA181" s="367"/>
      <c r="GHB181" s="367"/>
      <c r="GHC181" s="368" t="s">
        <v>168</v>
      </c>
      <c r="GHD181" s="369">
        <v>0.5</v>
      </c>
      <c r="GHE181" s="370" t="e">
        <f>10/GHA179</f>
        <v>#DIV/0!</v>
      </c>
      <c r="GHF181" s="371">
        <v>15.38</v>
      </c>
      <c r="GHG181" s="371" t="e">
        <f>GHD181*GHE181*GHF181</f>
        <v>#DIV/0!</v>
      </c>
      <c r="GHH181" s="367" t="s">
        <v>206</v>
      </c>
      <c r="GHI181" s="367"/>
      <c r="GHJ181" s="367"/>
      <c r="GHK181" s="368" t="s">
        <v>168</v>
      </c>
      <c r="GHL181" s="369">
        <v>0.5</v>
      </c>
      <c r="GHM181" s="370" t="e">
        <f>10/GHI179</f>
        <v>#DIV/0!</v>
      </c>
      <c r="GHN181" s="371">
        <v>15.38</v>
      </c>
      <c r="GHO181" s="371" t="e">
        <f>GHL181*GHM181*GHN181</f>
        <v>#DIV/0!</v>
      </c>
      <c r="GHP181" s="367" t="s">
        <v>206</v>
      </c>
      <c r="GHQ181" s="367"/>
      <c r="GHR181" s="367"/>
      <c r="GHS181" s="368" t="s">
        <v>168</v>
      </c>
      <c r="GHT181" s="369">
        <v>0.5</v>
      </c>
      <c r="GHU181" s="370" t="e">
        <f>10/GHQ179</f>
        <v>#DIV/0!</v>
      </c>
      <c r="GHV181" s="371">
        <v>15.38</v>
      </c>
      <c r="GHW181" s="371" t="e">
        <f>GHT181*GHU181*GHV181</f>
        <v>#DIV/0!</v>
      </c>
      <c r="GHX181" s="367" t="s">
        <v>206</v>
      </c>
      <c r="GHY181" s="367"/>
      <c r="GHZ181" s="367"/>
      <c r="GIA181" s="368" t="s">
        <v>168</v>
      </c>
      <c r="GIB181" s="369">
        <v>0.5</v>
      </c>
      <c r="GIC181" s="370" t="e">
        <f>10/GHY179</f>
        <v>#DIV/0!</v>
      </c>
      <c r="GID181" s="371">
        <v>15.38</v>
      </c>
      <c r="GIE181" s="371" t="e">
        <f>GIB181*GIC181*GID181</f>
        <v>#DIV/0!</v>
      </c>
      <c r="GIF181" s="367" t="s">
        <v>206</v>
      </c>
      <c r="GIG181" s="367"/>
      <c r="GIH181" s="367"/>
      <c r="GII181" s="368" t="s">
        <v>168</v>
      </c>
      <c r="GIJ181" s="369">
        <v>0.5</v>
      </c>
      <c r="GIK181" s="370" t="e">
        <f>10/GIG179</f>
        <v>#DIV/0!</v>
      </c>
      <c r="GIL181" s="371">
        <v>15.38</v>
      </c>
      <c r="GIM181" s="371" t="e">
        <f>GIJ181*GIK181*GIL181</f>
        <v>#DIV/0!</v>
      </c>
      <c r="GIN181" s="367" t="s">
        <v>206</v>
      </c>
      <c r="GIO181" s="367"/>
      <c r="GIP181" s="367"/>
      <c r="GIQ181" s="368" t="s">
        <v>168</v>
      </c>
      <c r="GIR181" s="369">
        <v>0.5</v>
      </c>
      <c r="GIS181" s="370" t="e">
        <f>10/GIO179</f>
        <v>#DIV/0!</v>
      </c>
      <c r="GIT181" s="371">
        <v>15.38</v>
      </c>
      <c r="GIU181" s="371" t="e">
        <f>GIR181*GIS181*GIT181</f>
        <v>#DIV/0!</v>
      </c>
      <c r="GIV181" s="367" t="s">
        <v>206</v>
      </c>
      <c r="GIW181" s="367"/>
      <c r="GIX181" s="367"/>
      <c r="GIY181" s="368" t="s">
        <v>168</v>
      </c>
      <c r="GIZ181" s="369">
        <v>0.5</v>
      </c>
      <c r="GJA181" s="370" t="e">
        <f>10/GIW179</f>
        <v>#DIV/0!</v>
      </c>
      <c r="GJB181" s="371">
        <v>15.38</v>
      </c>
      <c r="GJC181" s="371" t="e">
        <f>GIZ181*GJA181*GJB181</f>
        <v>#DIV/0!</v>
      </c>
      <c r="GJD181" s="367" t="s">
        <v>206</v>
      </c>
      <c r="GJE181" s="367"/>
      <c r="GJF181" s="367"/>
      <c r="GJG181" s="368" t="s">
        <v>168</v>
      </c>
      <c r="GJH181" s="369">
        <v>0.5</v>
      </c>
      <c r="GJI181" s="370" t="e">
        <f>10/GJE179</f>
        <v>#DIV/0!</v>
      </c>
      <c r="GJJ181" s="371">
        <v>15.38</v>
      </c>
      <c r="GJK181" s="371" t="e">
        <f>GJH181*GJI181*GJJ181</f>
        <v>#DIV/0!</v>
      </c>
      <c r="GJL181" s="367" t="s">
        <v>206</v>
      </c>
      <c r="GJM181" s="367"/>
      <c r="GJN181" s="367"/>
      <c r="GJO181" s="368" t="s">
        <v>168</v>
      </c>
      <c r="GJP181" s="369">
        <v>0.5</v>
      </c>
      <c r="GJQ181" s="370" t="e">
        <f>10/GJM179</f>
        <v>#DIV/0!</v>
      </c>
      <c r="GJR181" s="371">
        <v>15.38</v>
      </c>
      <c r="GJS181" s="371" t="e">
        <f>GJP181*GJQ181*GJR181</f>
        <v>#DIV/0!</v>
      </c>
      <c r="GJT181" s="367" t="s">
        <v>206</v>
      </c>
      <c r="GJU181" s="367"/>
      <c r="GJV181" s="367"/>
      <c r="GJW181" s="368" t="s">
        <v>168</v>
      </c>
      <c r="GJX181" s="369">
        <v>0.5</v>
      </c>
      <c r="GJY181" s="370" t="e">
        <f>10/GJU179</f>
        <v>#DIV/0!</v>
      </c>
      <c r="GJZ181" s="371">
        <v>15.38</v>
      </c>
      <c r="GKA181" s="371" t="e">
        <f>GJX181*GJY181*GJZ181</f>
        <v>#DIV/0!</v>
      </c>
      <c r="GKB181" s="367" t="s">
        <v>206</v>
      </c>
      <c r="GKC181" s="367"/>
      <c r="GKD181" s="367"/>
      <c r="GKE181" s="368" t="s">
        <v>168</v>
      </c>
      <c r="GKF181" s="369">
        <v>0.5</v>
      </c>
      <c r="GKG181" s="370" t="e">
        <f>10/GKC179</f>
        <v>#DIV/0!</v>
      </c>
      <c r="GKH181" s="371">
        <v>15.38</v>
      </c>
      <c r="GKI181" s="371" t="e">
        <f>GKF181*GKG181*GKH181</f>
        <v>#DIV/0!</v>
      </c>
      <c r="GKJ181" s="367" t="s">
        <v>206</v>
      </c>
      <c r="GKK181" s="367"/>
      <c r="GKL181" s="367"/>
      <c r="GKM181" s="368" t="s">
        <v>168</v>
      </c>
      <c r="GKN181" s="369">
        <v>0.5</v>
      </c>
      <c r="GKO181" s="370" t="e">
        <f>10/GKK179</f>
        <v>#DIV/0!</v>
      </c>
      <c r="GKP181" s="371">
        <v>15.38</v>
      </c>
      <c r="GKQ181" s="371" t="e">
        <f>GKN181*GKO181*GKP181</f>
        <v>#DIV/0!</v>
      </c>
      <c r="GKR181" s="367" t="s">
        <v>206</v>
      </c>
      <c r="GKS181" s="367"/>
      <c r="GKT181" s="367"/>
      <c r="GKU181" s="368" t="s">
        <v>168</v>
      </c>
      <c r="GKV181" s="369">
        <v>0.5</v>
      </c>
      <c r="GKW181" s="370" t="e">
        <f>10/GKS179</f>
        <v>#DIV/0!</v>
      </c>
      <c r="GKX181" s="371">
        <v>15.38</v>
      </c>
      <c r="GKY181" s="371" t="e">
        <f>GKV181*GKW181*GKX181</f>
        <v>#DIV/0!</v>
      </c>
      <c r="GKZ181" s="367" t="s">
        <v>206</v>
      </c>
      <c r="GLA181" s="367"/>
      <c r="GLB181" s="367"/>
      <c r="GLC181" s="368" t="s">
        <v>168</v>
      </c>
      <c r="GLD181" s="369">
        <v>0.5</v>
      </c>
      <c r="GLE181" s="370" t="e">
        <f>10/GLA179</f>
        <v>#DIV/0!</v>
      </c>
      <c r="GLF181" s="371">
        <v>15.38</v>
      </c>
      <c r="GLG181" s="371" t="e">
        <f>GLD181*GLE181*GLF181</f>
        <v>#DIV/0!</v>
      </c>
      <c r="GLH181" s="367" t="s">
        <v>206</v>
      </c>
      <c r="GLI181" s="367"/>
      <c r="GLJ181" s="367"/>
      <c r="GLK181" s="368" t="s">
        <v>168</v>
      </c>
      <c r="GLL181" s="369">
        <v>0.5</v>
      </c>
      <c r="GLM181" s="370" t="e">
        <f>10/GLI179</f>
        <v>#DIV/0!</v>
      </c>
      <c r="GLN181" s="371">
        <v>15.38</v>
      </c>
      <c r="GLO181" s="371" t="e">
        <f>GLL181*GLM181*GLN181</f>
        <v>#DIV/0!</v>
      </c>
      <c r="GLP181" s="367" t="s">
        <v>206</v>
      </c>
      <c r="GLQ181" s="367"/>
      <c r="GLR181" s="367"/>
      <c r="GLS181" s="368" t="s">
        <v>168</v>
      </c>
      <c r="GLT181" s="369">
        <v>0.5</v>
      </c>
      <c r="GLU181" s="370" t="e">
        <f>10/GLQ179</f>
        <v>#DIV/0!</v>
      </c>
      <c r="GLV181" s="371">
        <v>15.38</v>
      </c>
      <c r="GLW181" s="371" t="e">
        <f>GLT181*GLU181*GLV181</f>
        <v>#DIV/0!</v>
      </c>
      <c r="GLX181" s="367" t="s">
        <v>206</v>
      </c>
      <c r="GLY181" s="367"/>
      <c r="GLZ181" s="367"/>
      <c r="GMA181" s="368" t="s">
        <v>168</v>
      </c>
      <c r="GMB181" s="369">
        <v>0.5</v>
      </c>
      <c r="GMC181" s="370" t="e">
        <f>10/GLY179</f>
        <v>#DIV/0!</v>
      </c>
      <c r="GMD181" s="371">
        <v>15.38</v>
      </c>
      <c r="GME181" s="371" t="e">
        <f>GMB181*GMC181*GMD181</f>
        <v>#DIV/0!</v>
      </c>
      <c r="GMF181" s="367" t="s">
        <v>206</v>
      </c>
      <c r="GMG181" s="367"/>
      <c r="GMH181" s="367"/>
      <c r="GMI181" s="368" t="s">
        <v>168</v>
      </c>
      <c r="GMJ181" s="369">
        <v>0.5</v>
      </c>
      <c r="GMK181" s="370" t="e">
        <f>10/GMG179</f>
        <v>#DIV/0!</v>
      </c>
      <c r="GML181" s="371">
        <v>15.38</v>
      </c>
      <c r="GMM181" s="371" t="e">
        <f>GMJ181*GMK181*GML181</f>
        <v>#DIV/0!</v>
      </c>
      <c r="GMN181" s="367" t="s">
        <v>206</v>
      </c>
      <c r="GMO181" s="367"/>
      <c r="GMP181" s="367"/>
      <c r="GMQ181" s="368" t="s">
        <v>168</v>
      </c>
      <c r="GMR181" s="369">
        <v>0.5</v>
      </c>
      <c r="GMS181" s="370" t="e">
        <f>10/GMO179</f>
        <v>#DIV/0!</v>
      </c>
      <c r="GMT181" s="371">
        <v>15.38</v>
      </c>
      <c r="GMU181" s="371" t="e">
        <f>GMR181*GMS181*GMT181</f>
        <v>#DIV/0!</v>
      </c>
      <c r="GMV181" s="367" t="s">
        <v>206</v>
      </c>
      <c r="GMW181" s="367"/>
      <c r="GMX181" s="367"/>
      <c r="GMY181" s="368" t="s">
        <v>168</v>
      </c>
      <c r="GMZ181" s="369">
        <v>0.5</v>
      </c>
      <c r="GNA181" s="370" t="e">
        <f>10/GMW179</f>
        <v>#DIV/0!</v>
      </c>
      <c r="GNB181" s="371">
        <v>15.38</v>
      </c>
      <c r="GNC181" s="371" t="e">
        <f>GMZ181*GNA181*GNB181</f>
        <v>#DIV/0!</v>
      </c>
      <c r="GND181" s="367" t="s">
        <v>206</v>
      </c>
      <c r="GNE181" s="367"/>
      <c r="GNF181" s="367"/>
      <c r="GNG181" s="368" t="s">
        <v>168</v>
      </c>
      <c r="GNH181" s="369">
        <v>0.5</v>
      </c>
      <c r="GNI181" s="370" t="e">
        <f>10/GNE179</f>
        <v>#DIV/0!</v>
      </c>
      <c r="GNJ181" s="371">
        <v>15.38</v>
      </c>
      <c r="GNK181" s="371" t="e">
        <f>GNH181*GNI181*GNJ181</f>
        <v>#DIV/0!</v>
      </c>
      <c r="GNL181" s="367" t="s">
        <v>206</v>
      </c>
      <c r="GNM181" s="367"/>
      <c r="GNN181" s="367"/>
      <c r="GNO181" s="368" t="s">
        <v>168</v>
      </c>
      <c r="GNP181" s="369">
        <v>0.5</v>
      </c>
      <c r="GNQ181" s="370" t="e">
        <f>10/GNM179</f>
        <v>#DIV/0!</v>
      </c>
      <c r="GNR181" s="371">
        <v>15.38</v>
      </c>
      <c r="GNS181" s="371" t="e">
        <f>GNP181*GNQ181*GNR181</f>
        <v>#DIV/0!</v>
      </c>
      <c r="GNT181" s="367" t="s">
        <v>206</v>
      </c>
      <c r="GNU181" s="367"/>
      <c r="GNV181" s="367"/>
      <c r="GNW181" s="368" t="s">
        <v>168</v>
      </c>
      <c r="GNX181" s="369">
        <v>0.5</v>
      </c>
      <c r="GNY181" s="370" t="e">
        <f>10/GNU179</f>
        <v>#DIV/0!</v>
      </c>
      <c r="GNZ181" s="371">
        <v>15.38</v>
      </c>
      <c r="GOA181" s="371" t="e">
        <f>GNX181*GNY181*GNZ181</f>
        <v>#DIV/0!</v>
      </c>
      <c r="GOB181" s="367" t="s">
        <v>206</v>
      </c>
      <c r="GOC181" s="367"/>
      <c r="GOD181" s="367"/>
      <c r="GOE181" s="368" t="s">
        <v>168</v>
      </c>
      <c r="GOF181" s="369">
        <v>0.5</v>
      </c>
      <c r="GOG181" s="370" t="e">
        <f>10/GOC179</f>
        <v>#DIV/0!</v>
      </c>
      <c r="GOH181" s="371">
        <v>15.38</v>
      </c>
      <c r="GOI181" s="371" t="e">
        <f>GOF181*GOG181*GOH181</f>
        <v>#DIV/0!</v>
      </c>
      <c r="GOJ181" s="367" t="s">
        <v>206</v>
      </c>
      <c r="GOK181" s="367"/>
      <c r="GOL181" s="367"/>
      <c r="GOM181" s="368" t="s">
        <v>168</v>
      </c>
      <c r="GON181" s="369">
        <v>0.5</v>
      </c>
      <c r="GOO181" s="370" t="e">
        <f>10/GOK179</f>
        <v>#DIV/0!</v>
      </c>
      <c r="GOP181" s="371">
        <v>15.38</v>
      </c>
      <c r="GOQ181" s="371" t="e">
        <f>GON181*GOO181*GOP181</f>
        <v>#DIV/0!</v>
      </c>
      <c r="GOR181" s="367" t="s">
        <v>206</v>
      </c>
      <c r="GOS181" s="367"/>
      <c r="GOT181" s="367"/>
      <c r="GOU181" s="368" t="s">
        <v>168</v>
      </c>
      <c r="GOV181" s="369">
        <v>0.5</v>
      </c>
      <c r="GOW181" s="370" t="e">
        <f>10/GOS179</f>
        <v>#DIV/0!</v>
      </c>
      <c r="GOX181" s="371">
        <v>15.38</v>
      </c>
      <c r="GOY181" s="371" t="e">
        <f>GOV181*GOW181*GOX181</f>
        <v>#DIV/0!</v>
      </c>
      <c r="GOZ181" s="367" t="s">
        <v>206</v>
      </c>
      <c r="GPA181" s="367"/>
      <c r="GPB181" s="367"/>
      <c r="GPC181" s="368" t="s">
        <v>168</v>
      </c>
      <c r="GPD181" s="369">
        <v>0.5</v>
      </c>
      <c r="GPE181" s="370" t="e">
        <f>10/GPA179</f>
        <v>#DIV/0!</v>
      </c>
      <c r="GPF181" s="371">
        <v>15.38</v>
      </c>
      <c r="GPG181" s="371" t="e">
        <f>GPD181*GPE181*GPF181</f>
        <v>#DIV/0!</v>
      </c>
      <c r="GPH181" s="367" t="s">
        <v>206</v>
      </c>
      <c r="GPI181" s="367"/>
      <c r="GPJ181" s="367"/>
      <c r="GPK181" s="368" t="s">
        <v>168</v>
      </c>
      <c r="GPL181" s="369">
        <v>0.5</v>
      </c>
      <c r="GPM181" s="370" t="e">
        <f>10/GPI179</f>
        <v>#DIV/0!</v>
      </c>
      <c r="GPN181" s="371">
        <v>15.38</v>
      </c>
      <c r="GPO181" s="371" t="e">
        <f>GPL181*GPM181*GPN181</f>
        <v>#DIV/0!</v>
      </c>
      <c r="GPP181" s="367" t="s">
        <v>206</v>
      </c>
      <c r="GPQ181" s="367"/>
      <c r="GPR181" s="367"/>
      <c r="GPS181" s="368" t="s">
        <v>168</v>
      </c>
      <c r="GPT181" s="369">
        <v>0.5</v>
      </c>
      <c r="GPU181" s="370" t="e">
        <f>10/GPQ179</f>
        <v>#DIV/0!</v>
      </c>
      <c r="GPV181" s="371">
        <v>15.38</v>
      </c>
      <c r="GPW181" s="371" t="e">
        <f>GPT181*GPU181*GPV181</f>
        <v>#DIV/0!</v>
      </c>
      <c r="GPX181" s="367" t="s">
        <v>206</v>
      </c>
      <c r="GPY181" s="367"/>
      <c r="GPZ181" s="367"/>
      <c r="GQA181" s="368" t="s">
        <v>168</v>
      </c>
      <c r="GQB181" s="369">
        <v>0.5</v>
      </c>
      <c r="GQC181" s="370" t="e">
        <f>10/GPY179</f>
        <v>#DIV/0!</v>
      </c>
      <c r="GQD181" s="371">
        <v>15.38</v>
      </c>
      <c r="GQE181" s="371" t="e">
        <f>GQB181*GQC181*GQD181</f>
        <v>#DIV/0!</v>
      </c>
      <c r="GQF181" s="367" t="s">
        <v>206</v>
      </c>
      <c r="GQG181" s="367"/>
      <c r="GQH181" s="367"/>
      <c r="GQI181" s="368" t="s">
        <v>168</v>
      </c>
      <c r="GQJ181" s="369">
        <v>0.5</v>
      </c>
      <c r="GQK181" s="370" t="e">
        <f>10/GQG179</f>
        <v>#DIV/0!</v>
      </c>
      <c r="GQL181" s="371">
        <v>15.38</v>
      </c>
      <c r="GQM181" s="371" t="e">
        <f>GQJ181*GQK181*GQL181</f>
        <v>#DIV/0!</v>
      </c>
      <c r="GQN181" s="367" t="s">
        <v>206</v>
      </c>
      <c r="GQO181" s="367"/>
      <c r="GQP181" s="367"/>
      <c r="GQQ181" s="368" t="s">
        <v>168</v>
      </c>
      <c r="GQR181" s="369">
        <v>0.5</v>
      </c>
      <c r="GQS181" s="370" t="e">
        <f>10/GQO179</f>
        <v>#DIV/0!</v>
      </c>
      <c r="GQT181" s="371">
        <v>15.38</v>
      </c>
      <c r="GQU181" s="371" t="e">
        <f>GQR181*GQS181*GQT181</f>
        <v>#DIV/0!</v>
      </c>
      <c r="GQV181" s="367" t="s">
        <v>206</v>
      </c>
      <c r="GQW181" s="367"/>
      <c r="GQX181" s="367"/>
      <c r="GQY181" s="368" t="s">
        <v>168</v>
      </c>
      <c r="GQZ181" s="369">
        <v>0.5</v>
      </c>
      <c r="GRA181" s="370" t="e">
        <f>10/GQW179</f>
        <v>#DIV/0!</v>
      </c>
      <c r="GRB181" s="371">
        <v>15.38</v>
      </c>
      <c r="GRC181" s="371" t="e">
        <f>GQZ181*GRA181*GRB181</f>
        <v>#DIV/0!</v>
      </c>
      <c r="GRD181" s="367" t="s">
        <v>206</v>
      </c>
      <c r="GRE181" s="367"/>
      <c r="GRF181" s="367"/>
      <c r="GRG181" s="368" t="s">
        <v>168</v>
      </c>
      <c r="GRH181" s="369">
        <v>0.5</v>
      </c>
      <c r="GRI181" s="370" t="e">
        <f>10/GRE179</f>
        <v>#DIV/0!</v>
      </c>
      <c r="GRJ181" s="371">
        <v>15.38</v>
      </c>
      <c r="GRK181" s="371" t="e">
        <f>GRH181*GRI181*GRJ181</f>
        <v>#DIV/0!</v>
      </c>
      <c r="GRL181" s="367" t="s">
        <v>206</v>
      </c>
      <c r="GRM181" s="367"/>
      <c r="GRN181" s="367"/>
      <c r="GRO181" s="368" t="s">
        <v>168</v>
      </c>
      <c r="GRP181" s="369">
        <v>0.5</v>
      </c>
      <c r="GRQ181" s="370" t="e">
        <f>10/GRM179</f>
        <v>#DIV/0!</v>
      </c>
      <c r="GRR181" s="371">
        <v>15.38</v>
      </c>
      <c r="GRS181" s="371" t="e">
        <f>GRP181*GRQ181*GRR181</f>
        <v>#DIV/0!</v>
      </c>
      <c r="GRT181" s="367" t="s">
        <v>206</v>
      </c>
      <c r="GRU181" s="367"/>
      <c r="GRV181" s="367"/>
      <c r="GRW181" s="368" t="s">
        <v>168</v>
      </c>
      <c r="GRX181" s="369">
        <v>0.5</v>
      </c>
      <c r="GRY181" s="370" t="e">
        <f>10/GRU179</f>
        <v>#DIV/0!</v>
      </c>
      <c r="GRZ181" s="371">
        <v>15.38</v>
      </c>
      <c r="GSA181" s="371" t="e">
        <f>GRX181*GRY181*GRZ181</f>
        <v>#DIV/0!</v>
      </c>
      <c r="GSB181" s="367" t="s">
        <v>206</v>
      </c>
      <c r="GSC181" s="367"/>
      <c r="GSD181" s="367"/>
      <c r="GSE181" s="368" t="s">
        <v>168</v>
      </c>
      <c r="GSF181" s="369">
        <v>0.5</v>
      </c>
      <c r="GSG181" s="370" t="e">
        <f>10/GSC179</f>
        <v>#DIV/0!</v>
      </c>
      <c r="GSH181" s="371">
        <v>15.38</v>
      </c>
      <c r="GSI181" s="371" t="e">
        <f>GSF181*GSG181*GSH181</f>
        <v>#DIV/0!</v>
      </c>
      <c r="GSJ181" s="367" t="s">
        <v>206</v>
      </c>
      <c r="GSK181" s="367"/>
      <c r="GSL181" s="367"/>
      <c r="GSM181" s="368" t="s">
        <v>168</v>
      </c>
      <c r="GSN181" s="369">
        <v>0.5</v>
      </c>
      <c r="GSO181" s="370" t="e">
        <f>10/GSK179</f>
        <v>#DIV/0!</v>
      </c>
      <c r="GSP181" s="371">
        <v>15.38</v>
      </c>
      <c r="GSQ181" s="371" t="e">
        <f>GSN181*GSO181*GSP181</f>
        <v>#DIV/0!</v>
      </c>
      <c r="GSR181" s="367" t="s">
        <v>206</v>
      </c>
      <c r="GSS181" s="367"/>
      <c r="GST181" s="367"/>
      <c r="GSU181" s="368" t="s">
        <v>168</v>
      </c>
      <c r="GSV181" s="369">
        <v>0.5</v>
      </c>
      <c r="GSW181" s="370" t="e">
        <f>10/GSS179</f>
        <v>#DIV/0!</v>
      </c>
      <c r="GSX181" s="371">
        <v>15.38</v>
      </c>
      <c r="GSY181" s="371" t="e">
        <f>GSV181*GSW181*GSX181</f>
        <v>#DIV/0!</v>
      </c>
      <c r="GSZ181" s="367" t="s">
        <v>206</v>
      </c>
      <c r="GTA181" s="367"/>
      <c r="GTB181" s="367"/>
      <c r="GTC181" s="368" t="s">
        <v>168</v>
      </c>
      <c r="GTD181" s="369">
        <v>0.5</v>
      </c>
      <c r="GTE181" s="370" t="e">
        <f>10/GTA179</f>
        <v>#DIV/0!</v>
      </c>
      <c r="GTF181" s="371">
        <v>15.38</v>
      </c>
      <c r="GTG181" s="371" t="e">
        <f>GTD181*GTE181*GTF181</f>
        <v>#DIV/0!</v>
      </c>
      <c r="GTH181" s="367" t="s">
        <v>206</v>
      </c>
      <c r="GTI181" s="367"/>
      <c r="GTJ181" s="367"/>
      <c r="GTK181" s="368" t="s">
        <v>168</v>
      </c>
      <c r="GTL181" s="369">
        <v>0.5</v>
      </c>
      <c r="GTM181" s="370" t="e">
        <f>10/GTI179</f>
        <v>#DIV/0!</v>
      </c>
      <c r="GTN181" s="371">
        <v>15.38</v>
      </c>
      <c r="GTO181" s="371" t="e">
        <f>GTL181*GTM181*GTN181</f>
        <v>#DIV/0!</v>
      </c>
      <c r="GTP181" s="367" t="s">
        <v>206</v>
      </c>
      <c r="GTQ181" s="367"/>
      <c r="GTR181" s="367"/>
      <c r="GTS181" s="368" t="s">
        <v>168</v>
      </c>
      <c r="GTT181" s="369">
        <v>0.5</v>
      </c>
      <c r="GTU181" s="370" t="e">
        <f>10/GTQ179</f>
        <v>#DIV/0!</v>
      </c>
      <c r="GTV181" s="371">
        <v>15.38</v>
      </c>
      <c r="GTW181" s="371" t="e">
        <f>GTT181*GTU181*GTV181</f>
        <v>#DIV/0!</v>
      </c>
      <c r="GTX181" s="367" t="s">
        <v>206</v>
      </c>
      <c r="GTY181" s="367"/>
      <c r="GTZ181" s="367"/>
      <c r="GUA181" s="368" t="s">
        <v>168</v>
      </c>
      <c r="GUB181" s="369">
        <v>0.5</v>
      </c>
      <c r="GUC181" s="370" t="e">
        <f>10/GTY179</f>
        <v>#DIV/0!</v>
      </c>
      <c r="GUD181" s="371">
        <v>15.38</v>
      </c>
      <c r="GUE181" s="371" t="e">
        <f>GUB181*GUC181*GUD181</f>
        <v>#DIV/0!</v>
      </c>
      <c r="GUF181" s="367" t="s">
        <v>206</v>
      </c>
      <c r="GUG181" s="367"/>
      <c r="GUH181" s="367"/>
      <c r="GUI181" s="368" t="s">
        <v>168</v>
      </c>
      <c r="GUJ181" s="369">
        <v>0.5</v>
      </c>
      <c r="GUK181" s="370" t="e">
        <f>10/GUG179</f>
        <v>#DIV/0!</v>
      </c>
      <c r="GUL181" s="371">
        <v>15.38</v>
      </c>
      <c r="GUM181" s="371" t="e">
        <f>GUJ181*GUK181*GUL181</f>
        <v>#DIV/0!</v>
      </c>
      <c r="GUN181" s="367" t="s">
        <v>206</v>
      </c>
      <c r="GUO181" s="367"/>
      <c r="GUP181" s="367"/>
      <c r="GUQ181" s="368" t="s">
        <v>168</v>
      </c>
      <c r="GUR181" s="369">
        <v>0.5</v>
      </c>
      <c r="GUS181" s="370" t="e">
        <f>10/GUO179</f>
        <v>#DIV/0!</v>
      </c>
      <c r="GUT181" s="371">
        <v>15.38</v>
      </c>
      <c r="GUU181" s="371" t="e">
        <f>GUR181*GUS181*GUT181</f>
        <v>#DIV/0!</v>
      </c>
      <c r="GUV181" s="367" t="s">
        <v>206</v>
      </c>
      <c r="GUW181" s="367"/>
      <c r="GUX181" s="367"/>
      <c r="GUY181" s="368" t="s">
        <v>168</v>
      </c>
      <c r="GUZ181" s="369">
        <v>0.5</v>
      </c>
      <c r="GVA181" s="370" t="e">
        <f>10/GUW179</f>
        <v>#DIV/0!</v>
      </c>
      <c r="GVB181" s="371">
        <v>15.38</v>
      </c>
      <c r="GVC181" s="371" t="e">
        <f>GUZ181*GVA181*GVB181</f>
        <v>#DIV/0!</v>
      </c>
      <c r="GVD181" s="367" t="s">
        <v>206</v>
      </c>
      <c r="GVE181" s="367"/>
      <c r="GVF181" s="367"/>
      <c r="GVG181" s="368" t="s">
        <v>168</v>
      </c>
      <c r="GVH181" s="369">
        <v>0.5</v>
      </c>
      <c r="GVI181" s="370" t="e">
        <f>10/GVE179</f>
        <v>#DIV/0!</v>
      </c>
      <c r="GVJ181" s="371">
        <v>15.38</v>
      </c>
      <c r="GVK181" s="371" t="e">
        <f>GVH181*GVI181*GVJ181</f>
        <v>#DIV/0!</v>
      </c>
      <c r="GVL181" s="367" t="s">
        <v>206</v>
      </c>
      <c r="GVM181" s="367"/>
      <c r="GVN181" s="367"/>
      <c r="GVO181" s="368" t="s">
        <v>168</v>
      </c>
      <c r="GVP181" s="369">
        <v>0.5</v>
      </c>
      <c r="GVQ181" s="370" t="e">
        <f>10/GVM179</f>
        <v>#DIV/0!</v>
      </c>
      <c r="GVR181" s="371">
        <v>15.38</v>
      </c>
      <c r="GVS181" s="371" t="e">
        <f>GVP181*GVQ181*GVR181</f>
        <v>#DIV/0!</v>
      </c>
      <c r="GVT181" s="367" t="s">
        <v>206</v>
      </c>
      <c r="GVU181" s="367"/>
      <c r="GVV181" s="367"/>
      <c r="GVW181" s="368" t="s">
        <v>168</v>
      </c>
      <c r="GVX181" s="369">
        <v>0.5</v>
      </c>
      <c r="GVY181" s="370" t="e">
        <f>10/GVU179</f>
        <v>#DIV/0!</v>
      </c>
      <c r="GVZ181" s="371">
        <v>15.38</v>
      </c>
      <c r="GWA181" s="371" t="e">
        <f>GVX181*GVY181*GVZ181</f>
        <v>#DIV/0!</v>
      </c>
      <c r="GWB181" s="367" t="s">
        <v>206</v>
      </c>
      <c r="GWC181" s="367"/>
      <c r="GWD181" s="367"/>
      <c r="GWE181" s="368" t="s">
        <v>168</v>
      </c>
      <c r="GWF181" s="369">
        <v>0.5</v>
      </c>
      <c r="GWG181" s="370" t="e">
        <f>10/GWC179</f>
        <v>#DIV/0!</v>
      </c>
      <c r="GWH181" s="371">
        <v>15.38</v>
      </c>
      <c r="GWI181" s="371" t="e">
        <f>GWF181*GWG181*GWH181</f>
        <v>#DIV/0!</v>
      </c>
      <c r="GWJ181" s="367" t="s">
        <v>206</v>
      </c>
      <c r="GWK181" s="367"/>
      <c r="GWL181" s="367"/>
      <c r="GWM181" s="368" t="s">
        <v>168</v>
      </c>
      <c r="GWN181" s="369">
        <v>0.5</v>
      </c>
      <c r="GWO181" s="370" t="e">
        <f>10/GWK179</f>
        <v>#DIV/0!</v>
      </c>
      <c r="GWP181" s="371">
        <v>15.38</v>
      </c>
      <c r="GWQ181" s="371" t="e">
        <f>GWN181*GWO181*GWP181</f>
        <v>#DIV/0!</v>
      </c>
      <c r="GWR181" s="367" t="s">
        <v>206</v>
      </c>
      <c r="GWS181" s="367"/>
      <c r="GWT181" s="367"/>
      <c r="GWU181" s="368" t="s">
        <v>168</v>
      </c>
      <c r="GWV181" s="369">
        <v>0.5</v>
      </c>
      <c r="GWW181" s="370" t="e">
        <f>10/GWS179</f>
        <v>#DIV/0!</v>
      </c>
      <c r="GWX181" s="371">
        <v>15.38</v>
      </c>
      <c r="GWY181" s="371" t="e">
        <f>GWV181*GWW181*GWX181</f>
        <v>#DIV/0!</v>
      </c>
      <c r="GWZ181" s="367" t="s">
        <v>206</v>
      </c>
      <c r="GXA181" s="367"/>
      <c r="GXB181" s="367"/>
      <c r="GXC181" s="368" t="s">
        <v>168</v>
      </c>
      <c r="GXD181" s="369">
        <v>0.5</v>
      </c>
      <c r="GXE181" s="370" t="e">
        <f>10/GXA179</f>
        <v>#DIV/0!</v>
      </c>
      <c r="GXF181" s="371">
        <v>15.38</v>
      </c>
      <c r="GXG181" s="371" t="e">
        <f>GXD181*GXE181*GXF181</f>
        <v>#DIV/0!</v>
      </c>
      <c r="GXH181" s="367" t="s">
        <v>206</v>
      </c>
      <c r="GXI181" s="367"/>
      <c r="GXJ181" s="367"/>
      <c r="GXK181" s="368" t="s">
        <v>168</v>
      </c>
      <c r="GXL181" s="369">
        <v>0.5</v>
      </c>
      <c r="GXM181" s="370" t="e">
        <f>10/GXI179</f>
        <v>#DIV/0!</v>
      </c>
      <c r="GXN181" s="371">
        <v>15.38</v>
      </c>
      <c r="GXO181" s="371" t="e">
        <f>GXL181*GXM181*GXN181</f>
        <v>#DIV/0!</v>
      </c>
      <c r="GXP181" s="367" t="s">
        <v>206</v>
      </c>
      <c r="GXQ181" s="367"/>
      <c r="GXR181" s="367"/>
      <c r="GXS181" s="368" t="s">
        <v>168</v>
      </c>
      <c r="GXT181" s="369">
        <v>0.5</v>
      </c>
      <c r="GXU181" s="370" t="e">
        <f>10/GXQ179</f>
        <v>#DIV/0!</v>
      </c>
      <c r="GXV181" s="371">
        <v>15.38</v>
      </c>
      <c r="GXW181" s="371" t="e">
        <f>GXT181*GXU181*GXV181</f>
        <v>#DIV/0!</v>
      </c>
      <c r="GXX181" s="367" t="s">
        <v>206</v>
      </c>
      <c r="GXY181" s="367"/>
      <c r="GXZ181" s="367"/>
      <c r="GYA181" s="368" t="s">
        <v>168</v>
      </c>
      <c r="GYB181" s="369">
        <v>0.5</v>
      </c>
      <c r="GYC181" s="370" t="e">
        <f>10/GXY179</f>
        <v>#DIV/0!</v>
      </c>
      <c r="GYD181" s="371">
        <v>15.38</v>
      </c>
      <c r="GYE181" s="371" t="e">
        <f>GYB181*GYC181*GYD181</f>
        <v>#DIV/0!</v>
      </c>
      <c r="GYF181" s="367" t="s">
        <v>206</v>
      </c>
      <c r="GYG181" s="367"/>
      <c r="GYH181" s="367"/>
      <c r="GYI181" s="368" t="s">
        <v>168</v>
      </c>
      <c r="GYJ181" s="369">
        <v>0.5</v>
      </c>
      <c r="GYK181" s="370" t="e">
        <f>10/GYG179</f>
        <v>#DIV/0!</v>
      </c>
      <c r="GYL181" s="371">
        <v>15.38</v>
      </c>
      <c r="GYM181" s="371" t="e">
        <f>GYJ181*GYK181*GYL181</f>
        <v>#DIV/0!</v>
      </c>
      <c r="GYN181" s="367" t="s">
        <v>206</v>
      </c>
      <c r="GYO181" s="367"/>
      <c r="GYP181" s="367"/>
      <c r="GYQ181" s="368" t="s">
        <v>168</v>
      </c>
      <c r="GYR181" s="369">
        <v>0.5</v>
      </c>
      <c r="GYS181" s="370" t="e">
        <f>10/GYO179</f>
        <v>#DIV/0!</v>
      </c>
      <c r="GYT181" s="371">
        <v>15.38</v>
      </c>
      <c r="GYU181" s="371" t="e">
        <f>GYR181*GYS181*GYT181</f>
        <v>#DIV/0!</v>
      </c>
      <c r="GYV181" s="367" t="s">
        <v>206</v>
      </c>
      <c r="GYW181" s="367"/>
      <c r="GYX181" s="367"/>
      <c r="GYY181" s="368" t="s">
        <v>168</v>
      </c>
      <c r="GYZ181" s="369">
        <v>0.5</v>
      </c>
      <c r="GZA181" s="370" t="e">
        <f>10/GYW179</f>
        <v>#DIV/0!</v>
      </c>
      <c r="GZB181" s="371">
        <v>15.38</v>
      </c>
      <c r="GZC181" s="371" t="e">
        <f>GYZ181*GZA181*GZB181</f>
        <v>#DIV/0!</v>
      </c>
      <c r="GZD181" s="367" t="s">
        <v>206</v>
      </c>
      <c r="GZE181" s="367"/>
      <c r="GZF181" s="367"/>
      <c r="GZG181" s="368" t="s">
        <v>168</v>
      </c>
      <c r="GZH181" s="369">
        <v>0.5</v>
      </c>
      <c r="GZI181" s="370" t="e">
        <f>10/GZE179</f>
        <v>#DIV/0!</v>
      </c>
      <c r="GZJ181" s="371">
        <v>15.38</v>
      </c>
      <c r="GZK181" s="371" t="e">
        <f>GZH181*GZI181*GZJ181</f>
        <v>#DIV/0!</v>
      </c>
      <c r="GZL181" s="367" t="s">
        <v>206</v>
      </c>
      <c r="GZM181" s="367"/>
      <c r="GZN181" s="367"/>
      <c r="GZO181" s="368" t="s">
        <v>168</v>
      </c>
      <c r="GZP181" s="369">
        <v>0.5</v>
      </c>
      <c r="GZQ181" s="370" t="e">
        <f>10/GZM179</f>
        <v>#DIV/0!</v>
      </c>
      <c r="GZR181" s="371">
        <v>15.38</v>
      </c>
      <c r="GZS181" s="371" t="e">
        <f>GZP181*GZQ181*GZR181</f>
        <v>#DIV/0!</v>
      </c>
      <c r="GZT181" s="367" t="s">
        <v>206</v>
      </c>
      <c r="GZU181" s="367"/>
      <c r="GZV181" s="367"/>
      <c r="GZW181" s="368" t="s">
        <v>168</v>
      </c>
      <c r="GZX181" s="369">
        <v>0.5</v>
      </c>
      <c r="GZY181" s="370" t="e">
        <f>10/GZU179</f>
        <v>#DIV/0!</v>
      </c>
      <c r="GZZ181" s="371">
        <v>15.38</v>
      </c>
      <c r="HAA181" s="371" t="e">
        <f>GZX181*GZY181*GZZ181</f>
        <v>#DIV/0!</v>
      </c>
      <c r="HAB181" s="367" t="s">
        <v>206</v>
      </c>
      <c r="HAC181" s="367"/>
      <c r="HAD181" s="367"/>
      <c r="HAE181" s="368" t="s">
        <v>168</v>
      </c>
      <c r="HAF181" s="369">
        <v>0.5</v>
      </c>
      <c r="HAG181" s="370" t="e">
        <f>10/HAC179</f>
        <v>#DIV/0!</v>
      </c>
      <c r="HAH181" s="371">
        <v>15.38</v>
      </c>
      <c r="HAI181" s="371" t="e">
        <f>HAF181*HAG181*HAH181</f>
        <v>#DIV/0!</v>
      </c>
      <c r="HAJ181" s="367" t="s">
        <v>206</v>
      </c>
      <c r="HAK181" s="367"/>
      <c r="HAL181" s="367"/>
      <c r="HAM181" s="368" t="s">
        <v>168</v>
      </c>
      <c r="HAN181" s="369">
        <v>0.5</v>
      </c>
      <c r="HAO181" s="370" t="e">
        <f>10/HAK179</f>
        <v>#DIV/0!</v>
      </c>
      <c r="HAP181" s="371">
        <v>15.38</v>
      </c>
      <c r="HAQ181" s="371" t="e">
        <f>HAN181*HAO181*HAP181</f>
        <v>#DIV/0!</v>
      </c>
      <c r="HAR181" s="367" t="s">
        <v>206</v>
      </c>
      <c r="HAS181" s="367"/>
      <c r="HAT181" s="367"/>
      <c r="HAU181" s="368" t="s">
        <v>168</v>
      </c>
      <c r="HAV181" s="369">
        <v>0.5</v>
      </c>
      <c r="HAW181" s="370" t="e">
        <f>10/HAS179</f>
        <v>#DIV/0!</v>
      </c>
      <c r="HAX181" s="371">
        <v>15.38</v>
      </c>
      <c r="HAY181" s="371" t="e">
        <f>HAV181*HAW181*HAX181</f>
        <v>#DIV/0!</v>
      </c>
      <c r="HAZ181" s="367" t="s">
        <v>206</v>
      </c>
      <c r="HBA181" s="367"/>
      <c r="HBB181" s="367"/>
      <c r="HBC181" s="368" t="s">
        <v>168</v>
      </c>
      <c r="HBD181" s="369">
        <v>0.5</v>
      </c>
      <c r="HBE181" s="370" t="e">
        <f>10/HBA179</f>
        <v>#DIV/0!</v>
      </c>
      <c r="HBF181" s="371">
        <v>15.38</v>
      </c>
      <c r="HBG181" s="371" t="e">
        <f>HBD181*HBE181*HBF181</f>
        <v>#DIV/0!</v>
      </c>
      <c r="HBH181" s="367" t="s">
        <v>206</v>
      </c>
      <c r="HBI181" s="367"/>
      <c r="HBJ181" s="367"/>
      <c r="HBK181" s="368" t="s">
        <v>168</v>
      </c>
      <c r="HBL181" s="369">
        <v>0.5</v>
      </c>
      <c r="HBM181" s="370" t="e">
        <f>10/HBI179</f>
        <v>#DIV/0!</v>
      </c>
      <c r="HBN181" s="371">
        <v>15.38</v>
      </c>
      <c r="HBO181" s="371" t="e">
        <f>HBL181*HBM181*HBN181</f>
        <v>#DIV/0!</v>
      </c>
      <c r="HBP181" s="367" t="s">
        <v>206</v>
      </c>
      <c r="HBQ181" s="367"/>
      <c r="HBR181" s="367"/>
      <c r="HBS181" s="368" t="s">
        <v>168</v>
      </c>
      <c r="HBT181" s="369">
        <v>0.5</v>
      </c>
      <c r="HBU181" s="370" t="e">
        <f>10/HBQ179</f>
        <v>#DIV/0!</v>
      </c>
      <c r="HBV181" s="371">
        <v>15.38</v>
      </c>
      <c r="HBW181" s="371" t="e">
        <f>HBT181*HBU181*HBV181</f>
        <v>#DIV/0!</v>
      </c>
      <c r="HBX181" s="367" t="s">
        <v>206</v>
      </c>
      <c r="HBY181" s="367"/>
      <c r="HBZ181" s="367"/>
      <c r="HCA181" s="368" t="s">
        <v>168</v>
      </c>
      <c r="HCB181" s="369">
        <v>0.5</v>
      </c>
      <c r="HCC181" s="370" t="e">
        <f>10/HBY179</f>
        <v>#DIV/0!</v>
      </c>
      <c r="HCD181" s="371">
        <v>15.38</v>
      </c>
      <c r="HCE181" s="371" t="e">
        <f>HCB181*HCC181*HCD181</f>
        <v>#DIV/0!</v>
      </c>
      <c r="HCF181" s="367" t="s">
        <v>206</v>
      </c>
      <c r="HCG181" s="367"/>
      <c r="HCH181" s="367"/>
      <c r="HCI181" s="368" t="s">
        <v>168</v>
      </c>
      <c r="HCJ181" s="369">
        <v>0.5</v>
      </c>
      <c r="HCK181" s="370" t="e">
        <f>10/HCG179</f>
        <v>#DIV/0!</v>
      </c>
      <c r="HCL181" s="371">
        <v>15.38</v>
      </c>
      <c r="HCM181" s="371" t="e">
        <f>HCJ181*HCK181*HCL181</f>
        <v>#DIV/0!</v>
      </c>
      <c r="HCN181" s="367" t="s">
        <v>206</v>
      </c>
      <c r="HCO181" s="367"/>
      <c r="HCP181" s="367"/>
      <c r="HCQ181" s="368" t="s">
        <v>168</v>
      </c>
      <c r="HCR181" s="369">
        <v>0.5</v>
      </c>
      <c r="HCS181" s="370" t="e">
        <f>10/HCO179</f>
        <v>#DIV/0!</v>
      </c>
      <c r="HCT181" s="371">
        <v>15.38</v>
      </c>
      <c r="HCU181" s="371" t="e">
        <f>HCR181*HCS181*HCT181</f>
        <v>#DIV/0!</v>
      </c>
      <c r="HCV181" s="367" t="s">
        <v>206</v>
      </c>
      <c r="HCW181" s="367"/>
      <c r="HCX181" s="367"/>
      <c r="HCY181" s="368" t="s">
        <v>168</v>
      </c>
      <c r="HCZ181" s="369">
        <v>0.5</v>
      </c>
      <c r="HDA181" s="370" t="e">
        <f>10/HCW179</f>
        <v>#DIV/0!</v>
      </c>
      <c r="HDB181" s="371">
        <v>15.38</v>
      </c>
      <c r="HDC181" s="371" t="e">
        <f>HCZ181*HDA181*HDB181</f>
        <v>#DIV/0!</v>
      </c>
      <c r="HDD181" s="367" t="s">
        <v>206</v>
      </c>
      <c r="HDE181" s="367"/>
      <c r="HDF181" s="367"/>
      <c r="HDG181" s="368" t="s">
        <v>168</v>
      </c>
      <c r="HDH181" s="369">
        <v>0.5</v>
      </c>
      <c r="HDI181" s="370" t="e">
        <f>10/HDE179</f>
        <v>#DIV/0!</v>
      </c>
      <c r="HDJ181" s="371">
        <v>15.38</v>
      </c>
      <c r="HDK181" s="371" t="e">
        <f>HDH181*HDI181*HDJ181</f>
        <v>#DIV/0!</v>
      </c>
      <c r="HDL181" s="367" t="s">
        <v>206</v>
      </c>
      <c r="HDM181" s="367"/>
      <c r="HDN181" s="367"/>
      <c r="HDO181" s="368" t="s">
        <v>168</v>
      </c>
      <c r="HDP181" s="369">
        <v>0.5</v>
      </c>
      <c r="HDQ181" s="370" t="e">
        <f>10/HDM179</f>
        <v>#DIV/0!</v>
      </c>
      <c r="HDR181" s="371">
        <v>15.38</v>
      </c>
      <c r="HDS181" s="371" t="e">
        <f>HDP181*HDQ181*HDR181</f>
        <v>#DIV/0!</v>
      </c>
      <c r="HDT181" s="367" t="s">
        <v>206</v>
      </c>
      <c r="HDU181" s="367"/>
      <c r="HDV181" s="367"/>
      <c r="HDW181" s="368" t="s">
        <v>168</v>
      </c>
      <c r="HDX181" s="369">
        <v>0.5</v>
      </c>
      <c r="HDY181" s="370" t="e">
        <f>10/HDU179</f>
        <v>#DIV/0!</v>
      </c>
      <c r="HDZ181" s="371">
        <v>15.38</v>
      </c>
      <c r="HEA181" s="371" t="e">
        <f>HDX181*HDY181*HDZ181</f>
        <v>#DIV/0!</v>
      </c>
      <c r="HEB181" s="367" t="s">
        <v>206</v>
      </c>
      <c r="HEC181" s="367"/>
      <c r="HED181" s="367"/>
      <c r="HEE181" s="368" t="s">
        <v>168</v>
      </c>
      <c r="HEF181" s="369">
        <v>0.5</v>
      </c>
      <c r="HEG181" s="370" t="e">
        <f>10/HEC179</f>
        <v>#DIV/0!</v>
      </c>
      <c r="HEH181" s="371">
        <v>15.38</v>
      </c>
      <c r="HEI181" s="371" t="e">
        <f>HEF181*HEG181*HEH181</f>
        <v>#DIV/0!</v>
      </c>
      <c r="HEJ181" s="367" t="s">
        <v>206</v>
      </c>
      <c r="HEK181" s="367"/>
      <c r="HEL181" s="367"/>
      <c r="HEM181" s="368" t="s">
        <v>168</v>
      </c>
      <c r="HEN181" s="369">
        <v>0.5</v>
      </c>
      <c r="HEO181" s="370" t="e">
        <f>10/HEK179</f>
        <v>#DIV/0!</v>
      </c>
      <c r="HEP181" s="371">
        <v>15.38</v>
      </c>
      <c r="HEQ181" s="371" t="e">
        <f>HEN181*HEO181*HEP181</f>
        <v>#DIV/0!</v>
      </c>
      <c r="HER181" s="367" t="s">
        <v>206</v>
      </c>
      <c r="HES181" s="367"/>
      <c r="HET181" s="367"/>
      <c r="HEU181" s="368" t="s">
        <v>168</v>
      </c>
      <c r="HEV181" s="369">
        <v>0.5</v>
      </c>
      <c r="HEW181" s="370" t="e">
        <f>10/HES179</f>
        <v>#DIV/0!</v>
      </c>
      <c r="HEX181" s="371">
        <v>15.38</v>
      </c>
      <c r="HEY181" s="371" t="e">
        <f>HEV181*HEW181*HEX181</f>
        <v>#DIV/0!</v>
      </c>
      <c r="HEZ181" s="367" t="s">
        <v>206</v>
      </c>
      <c r="HFA181" s="367"/>
      <c r="HFB181" s="367"/>
      <c r="HFC181" s="368" t="s">
        <v>168</v>
      </c>
      <c r="HFD181" s="369">
        <v>0.5</v>
      </c>
      <c r="HFE181" s="370" t="e">
        <f>10/HFA179</f>
        <v>#DIV/0!</v>
      </c>
      <c r="HFF181" s="371">
        <v>15.38</v>
      </c>
      <c r="HFG181" s="371" t="e">
        <f>HFD181*HFE181*HFF181</f>
        <v>#DIV/0!</v>
      </c>
      <c r="HFH181" s="367" t="s">
        <v>206</v>
      </c>
      <c r="HFI181" s="367"/>
      <c r="HFJ181" s="367"/>
      <c r="HFK181" s="368" t="s">
        <v>168</v>
      </c>
      <c r="HFL181" s="369">
        <v>0.5</v>
      </c>
      <c r="HFM181" s="370" t="e">
        <f>10/HFI179</f>
        <v>#DIV/0!</v>
      </c>
      <c r="HFN181" s="371">
        <v>15.38</v>
      </c>
      <c r="HFO181" s="371" t="e">
        <f>HFL181*HFM181*HFN181</f>
        <v>#DIV/0!</v>
      </c>
      <c r="HFP181" s="367" t="s">
        <v>206</v>
      </c>
      <c r="HFQ181" s="367"/>
      <c r="HFR181" s="367"/>
      <c r="HFS181" s="368" t="s">
        <v>168</v>
      </c>
      <c r="HFT181" s="369">
        <v>0.5</v>
      </c>
      <c r="HFU181" s="370" t="e">
        <f>10/HFQ179</f>
        <v>#DIV/0!</v>
      </c>
      <c r="HFV181" s="371">
        <v>15.38</v>
      </c>
      <c r="HFW181" s="371" t="e">
        <f>HFT181*HFU181*HFV181</f>
        <v>#DIV/0!</v>
      </c>
      <c r="HFX181" s="367" t="s">
        <v>206</v>
      </c>
      <c r="HFY181" s="367"/>
      <c r="HFZ181" s="367"/>
      <c r="HGA181" s="368" t="s">
        <v>168</v>
      </c>
      <c r="HGB181" s="369">
        <v>0.5</v>
      </c>
      <c r="HGC181" s="370" t="e">
        <f>10/HFY179</f>
        <v>#DIV/0!</v>
      </c>
      <c r="HGD181" s="371">
        <v>15.38</v>
      </c>
      <c r="HGE181" s="371" t="e">
        <f>HGB181*HGC181*HGD181</f>
        <v>#DIV/0!</v>
      </c>
      <c r="HGF181" s="367" t="s">
        <v>206</v>
      </c>
      <c r="HGG181" s="367"/>
      <c r="HGH181" s="367"/>
      <c r="HGI181" s="368" t="s">
        <v>168</v>
      </c>
      <c r="HGJ181" s="369">
        <v>0.5</v>
      </c>
      <c r="HGK181" s="370" t="e">
        <f>10/HGG179</f>
        <v>#DIV/0!</v>
      </c>
      <c r="HGL181" s="371">
        <v>15.38</v>
      </c>
      <c r="HGM181" s="371" t="e">
        <f>HGJ181*HGK181*HGL181</f>
        <v>#DIV/0!</v>
      </c>
      <c r="HGN181" s="367" t="s">
        <v>206</v>
      </c>
      <c r="HGO181" s="367"/>
      <c r="HGP181" s="367"/>
      <c r="HGQ181" s="368" t="s">
        <v>168</v>
      </c>
      <c r="HGR181" s="369">
        <v>0.5</v>
      </c>
      <c r="HGS181" s="370" t="e">
        <f>10/HGO179</f>
        <v>#DIV/0!</v>
      </c>
      <c r="HGT181" s="371">
        <v>15.38</v>
      </c>
      <c r="HGU181" s="371" t="e">
        <f>HGR181*HGS181*HGT181</f>
        <v>#DIV/0!</v>
      </c>
      <c r="HGV181" s="367" t="s">
        <v>206</v>
      </c>
      <c r="HGW181" s="367"/>
      <c r="HGX181" s="367"/>
      <c r="HGY181" s="368" t="s">
        <v>168</v>
      </c>
      <c r="HGZ181" s="369">
        <v>0.5</v>
      </c>
      <c r="HHA181" s="370" t="e">
        <f>10/HGW179</f>
        <v>#DIV/0!</v>
      </c>
      <c r="HHB181" s="371">
        <v>15.38</v>
      </c>
      <c r="HHC181" s="371" t="e">
        <f>HGZ181*HHA181*HHB181</f>
        <v>#DIV/0!</v>
      </c>
      <c r="HHD181" s="367" t="s">
        <v>206</v>
      </c>
      <c r="HHE181" s="367"/>
      <c r="HHF181" s="367"/>
      <c r="HHG181" s="368" t="s">
        <v>168</v>
      </c>
      <c r="HHH181" s="369">
        <v>0.5</v>
      </c>
      <c r="HHI181" s="370" t="e">
        <f>10/HHE179</f>
        <v>#DIV/0!</v>
      </c>
      <c r="HHJ181" s="371">
        <v>15.38</v>
      </c>
      <c r="HHK181" s="371" t="e">
        <f>HHH181*HHI181*HHJ181</f>
        <v>#DIV/0!</v>
      </c>
      <c r="HHL181" s="367" t="s">
        <v>206</v>
      </c>
      <c r="HHM181" s="367"/>
      <c r="HHN181" s="367"/>
      <c r="HHO181" s="368" t="s">
        <v>168</v>
      </c>
      <c r="HHP181" s="369">
        <v>0.5</v>
      </c>
      <c r="HHQ181" s="370" t="e">
        <f>10/HHM179</f>
        <v>#DIV/0!</v>
      </c>
      <c r="HHR181" s="371">
        <v>15.38</v>
      </c>
      <c r="HHS181" s="371" t="e">
        <f>HHP181*HHQ181*HHR181</f>
        <v>#DIV/0!</v>
      </c>
      <c r="HHT181" s="367" t="s">
        <v>206</v>
      </c>
      <c r="HHU181" s="367"/>
      <c r="HHV181" s="367"/>
      <c r="HHW181" s="368" t="s">
        <v>168</v>
      </c>
      <c r="HHX181" s="369">
        <v>0.5</v>
      </c>
      <c r="HHY181" s="370" t="e">
        <f>10/HHU179</f>
        <v>#DIV/0!</v>
      </c>
      <c r="HHZ181" s="371">
        <v>15.38</v>
      </c>
      <c r="HIA181" s="371" t="e">
        <f>HHX181*HHY181*HHZ181</f>
        <v>#DIV/0!</v>
      </c>
      <c r="HIB181" s="367" t="s">
        <v>206</v>
      </c>
      <c r="HIC181" s="367"/>
      <c r="HID181" s="367"/>
      <c r="HIE181" s="368" t="s">
        <v>168</v>
      </c>
      <c r="HIF181" s="369">
        <v>0.5</v>
      </c>
      <c r="HIG181" s="370" t="e">
        <f>10/HIC179</f>
        <v>#DIV/0!</v>
      </c>
      <c r="HIH181" s="371">
        <v>15.38</v>
      </c>
      <c r="HII181" s="371" t="e">
        <f>HIF181*HIG181*HIH181</f>
        <v>#DIV/0!</v>
      </c>
      <c r="HIJ181" s="367" t="s">
        <v>206</v>
      </c>
      <c r="HIK181" s="367"/>
      <c r="HIL181" s="367"/>
      <c r="HIM181" s="368" t="s">
        <v>168</v>
      </c>
      <c r="HIN181" s="369">
        <v>0.5</v>
      </c>
      <c r="HIO181" s="370" t="e">
        <f>10/HIK179</f>
        <v>#DIV/0!</v>
      </c>
      <c r="HIP181" s="371">
        <v>15.38</v>
      </c>
      <c r="HIQ181" s="371" t="e">
        <f>HIN181*HIO181*HIP181</f>
        <v>#DIV/0!</v>
      </c>
      <c r="HIR181" s="367" t="s">
        <v>206</v>
      </c>
      <c r="HIS181" s="367"/>
      <c r="HIT181" s="367"/>
      <c r="HIU181" s="368" t="s">
        <v>168</v>
      </c>
      <c r="HIV181" s="369">
        <v>0.5</v>
      </c>
      <c r="HIW181" s="370" t="e">
        <f>10/HIS179</f>
        <v>#DIV/0!</v>
      </c>
      <c r="HIX181" s="371">
        <v>15.38</v>
      </c>
      <c r="HIY181" s="371" t="e">
        <f>HIV181*HIW181*HIX181</f>
        <v>#DIV/0!</v>
      </c>
      <c r="HIZ181" s="367" t="s">
        <v>206</v>
      </c>
      <c r="HJA181" s="367"/>
      <c r="HJB181" s="367"/>
      <c r="HJC181" s="368" t="s">
        <v>168</v>
      </c>
      <c r="HJD181" s="369">
        <v>0.5</v>
      </c>
      <c r="HJE181" s="370" t="e">
        <f>10/HJA179</f>
        <v>#DIV/0!</v>
      </c>
      <c r="HJF181" s="371">
        <v>15.38</v>
      </c>
      <c r="HJG181" s="371" t="e">
        <f>HJD181*HJE181*HJF181</f>
        <v>#DIV/0!</v>
      </c>
      <c r="HJH181" s="367" t="s">
        <v>206</v>
      </c>
      <c r="HJI181" s="367"/>
      <c r="HJJ181" s="367"/>
      <c r="HJK181" s="368" t="s">
        <v>168</v>
      </c>
      <c r="HJL181" s="369">
        <v>0.5</v>
      </c>
      <c r="HJM181" s="370" t="e">
        <f>10/HJI179</f>
        <v>#DIV/0!</v>
      </c>
      <c r="HJN181" s="371">
        <v>15.38</v>
      </c>
      <c r="HJO181" s="371" t="e">
        <f>HJL181*HJM181*HJN181</f>
        <v>#DIV/0!</v>
      </c>
      <c r="HJP181" s="367" t="s">
        <v>206</v>
      </c>
      <c r="HJQ181" s="367"/>
      <c r="HJR181" s="367"/>
      <c r="HJS181" s="368" t="s">
        <v>168</v>
      </c>
      <c r="HJT181" s="369">
        <v>0.5</v>
      </c>
      <c r="HJU181" s="370" t="e">
        <f>10/HJQ179</f>
        <v>#DIV/0!</v>
      </c>
      <c r="HJV181" s="371">
        <v>15.38</v>
      </c>
      <c r="HJW181" s="371" t="e">
        <f>HJT181*HJU181*HJV181</f>
        <v>#DIV/0!</v>
      </c>
      <c r="HJX181" s="367" t="s">
        <v>206</v>
      </c>
      <c r="HJY181" s="367"/>
      <c r="HJZ181" s="367"/>
      <c r="HKA181" s="368" t="s">
        <v>168</v>
      </c>
      <c r="HKB181" s="369">
        <v>0.5</v>
      </c>
      <c r="HKC181" s="370" t="e">
        <f>10/HJY179</f>
        <v>#DIV/0!</v>
      </c>
      <c r="HKD181" s="371">
        <v>15.38</v>
      </c>
      <c r="HKE181" s="371" t="e">
        <f>HKB181*HKC181*HKD181</f>
        <v>#DIV/0!</v>
      </c>
      <c r="HKF181" s="367" t="s">
        <v>206</v>
      </c>
      <c r="HKG181" s="367"/>
      <c r="HKH181" s="367"/>
      <c r="HKI181" s="368" t="s">
        <v>168</v>
      </c>
      <c r="HKJ181" s="369">
        <v>0.5</v>
      </c>
      <c r="HKK181" s="370" t="e">
        <f>10/HKG179</f>
        <v>#DIV/0!</v>
      </c>
      <c r="HKL181" s="371">
        <v>15.38</v>
      </c>
      <c r="HKM181" s="371" t="e">
        <f>HKJ181*HKK181*HKL181</f>
        <v>#DIV/0!</v>
      </c>
      <c r="HKN181" s="367" t="s">
        <v>206</v>
      </c>
      <c r="HKO181" s="367"/>
      <c r="HKP181" s="367"/>
      <c r="HKQ181" s="368" t="s">
        <v>168</v>
      </c>
      <c r="HKR181" s="369">
        <v>0.5</v>
      </c>
      <c r="HKS181" s="370" t="e">
        <f>10/HKO179</f>
        <v>#DIV/0!</v>
      </c>
      <c r="HKT181" s="371">
        <v>15.38</v>
      </c>
      <c r="HKU181" s="371" t="e">
        <f>HKR181*HKS181*HKT181</f>
        <v>#DIV/0!</v>
      </c>
      <c r="HKV181" s="367" t="s">
        <v>206</v>
      </c>
      <c r="HKW181" s="367"/>
      <c r="HKX181" s="367"/>
      <c r="HKY181" s="368" t="s">
        <v>168</v>
      </c>
      <c r="HKZ181" s="369">
        <v>0.5</v>
      </c>
      <c r="HLA181" s="370" t="e">
        <f>10/HKW179</f>
        <v>#DIV/0!</v>
      </c>
      <c r="HLB181" s="371">
        <v>15.38</v>
      </c>
      <c r="HLC181" s="371" t="e">
        <f>HKZ181*HLA181*HLB181</f>
        <v>#DIV/0!</v>
      </c>
      <c r="HLD181" s="367" t="s">
        <v>206</v>
      </c>
      <c r="HLE181" s="367"/>
      <c r="HLF181" s="367"/>
      <c r="HLG181" s="368" t="s">
        <v>168</v>
      </c>
      <c r="HLH181" s="369">
        <v>0.5</v>
      </c>
      <c r="HLI181" s="370" t="e">
        <f>10/HLE179</f>
        <v>#DIV/0!</v>
      </c>
      <c r="HLJ181" s="371">
        <v>15.38</v>
      </c>
      <c r="HLK181" s="371" t="e">
        <f>HLH181*HLI181*HLJ181</f>
        <v>#DIV/0!</v>
      </c>
      <c r="HLL181" s="367" t="s">
        <v>206</v>
      </c>
      <c r="HLM181" s="367"/>
      <c r="HLN181" s="367"/>
      <c r="HLO181" s="368" t="s">
        <v>168</v>
      </c>
      <c r="HLP181" s="369">
        <v>0.5</v>
      </c>
      <c r="HLQ181" s="370" t="e">
        <f>10/HLM179</f>
        <v>#DIV/0!</v>
      </c>
      <c r="HLR181" s="371">
        <v>15.38</v>
      </c>
      <c r="HLS181" s="371" t="e">
        <f>HLP181*HLQ181*HLR181</f>
        <v>#DIV/0!</v>
      </c>
      <c r="HLT181" s="367" t="s">
        <v>206</v>
      </c>
      <c r="HLU181" s="367"/>
      <c r="HLV181" s="367"/>
      <c r="HLW181" s="368" t="s">
        <v>168</v>
      </c>
      <c r="HLX181" s="369">
        <v>0.5</v>
      </c>
      <c r="HLY181" s="370" t="e">
        <f>10/HLU179</f>
        <v>#DIV/0!</v>
      </c>
      <c r="HLZ181" s="371">
        <v>15.38</v>
      </c>
      <c r="HMA181" s="371" t="e">
        <f>HLX181*HLY181*HLZ181</f>
        <v>#DIV/0!</v>
      </c>
      <c r="HMB181" s="367" t="s">
        <v>206</v>
      </c>
      <c r="HMC181" s="367"/>
      <c r="HMD181" s="367"/>
      <c r="HME181" s="368" t="s">
        <v>168</v>
      </c>
      <c r="HMF181" s="369">
        <v>0.5</v>
      </c>
      <c r="HMG181" s="370" t="e">
        <f>10/HMC179</f>
        <v>#DIV/0!</v>
      </c>
      <c r="HMH181" s="371">
        <v>15.38</v>
      </c>
      <c r="HMI181" s="371" t="e">
        <f>HMF181*HMG181*HMH181</f>
        <v>#DIV/0!</v>
      </c>
      <c r="HMJ181" s="367" t="s">
        <v>206</v>
      </c>
      <c r="HMK181" s="367"/>
      <c r="HML181" s="367"/>
      <c r="HMM181" s="368" t="s">
        <v>168</v>
      </c>
      <c r="HMN181" s="369">
        <v>0.5</v>
      </c>
      <c r="HMO181" s="370" t="e">
        <f>10/HMK179</f>
        <v>#DIV/0!</v>
      </c>
      <c r="HMP181" s="371">
        <v>15.38</v>
      </c>
      <c r="HMQ181" s="371" t="e">
        <f>HMN181*HMO181*HMP181</f>
        <v>#DIV/0!</v>
      </c>
      <c r="HMR181" s="367" t="s">
        <v>206</v>
      </c>
      <c r="HMS181" s="367"/>
      <c r="HMT181" s="367"/>
      <c r="HMU181" s="368" t="s">
        <v>168</v>
      </c>
      <c r="HMV181" s="369">
        <v>0.5</v>
      </c>
      <c r="HMW181" s="370" t="e">
        <f>10/HMS179</f>
        <v>#DIV/0!</v>
      </c>
      <c r="HMX181" s="371">
        <v>15.38</v>
      </c>
      <c r="HMY181" s="371" t="e">
        <f>HMV181*HMW181*HMX181</f>
        <v>#DIV/0!</v>
      </c>
      <c r="HMZ181" s="367" t="s">
        <v>206</v>
      </c>
      <c r="HNA181" s="367"/>
      <c r="HNB181" s="367"/>
      <c r="HNC181" s="368" t="s">
        <v>168</v>
      </c>
      <c r="HND181" s="369">
        <v>0.5</v>
      </c>
      <c r="HNE181" s="370" t="e">
        <f>10/HNA179</f>
        <v>#DIV/0!</v>
      </c>
      <c r="HNF181" s="371">
        <v>15.38</v>
      </c>
      <c r="HNG181" s="371" t="e">
        <f>HND181*HNE181*HNF181</f>
        <v>#DIV/0!</v>
      </c>
      <c r="HNH181" s="367" t="s">
        <v>206</v>
      </c>
      <c r="HNI181" s="367"/>
      <c r="HNJ181" s="367"/>
      <c r="HNK181" s="368" t="s">
        <v>168</v>
      </c>
      <c r="HNL181" s="369">
        <v>0.5</v>
      </c>
      <c r="HNM181" s="370" t="e">
        <f>10/HNI179</f>
        <v>#DIV/0!</v>
      </c>
      <c r="HNN181" s="371">
        <v>15.38</v>
      </c>
      <c r="HNO181" s="371" t="e">
        <f>HNL181*HNM181*HNN181</f>
        <v>#DIV/0!</v>
      </c>
      <c r="HNP181" s="367" t="s">
        <v>206</v>
      </c>
      <c r="HNQ181" s="367"/>
      <c r="HNR181" s="367"/>
      <c r="HNS181" s="368" t="s">
        <v>168</v>
      </c>
      <c r="HNT181" s="369">
        <v>0.5</v>
      </c>
      <c r="HNU181" s="370" t="e">
        <f>10/HNQ179</f>
        <v>#DIV/0!</v>
      </c>
      <c r="HNV181" s="371">
        <v>15.38</v>
      </c>
      <c r="HNW181" s="371" t="e">
        <f>HNT181*HNU181*HNV181</f>
        <v>#DIV/0!</v>
      </c>
      <c r="HNX181" s="367" t="s">
        <v>206</v>
      </c>
      <c r="HNY181" s="367"/>
      <c r="HNZ181" s="367"/>
      <c r="HOA181" s="368" t="s">
        <v>168</v>
      </c>
      <c r="HOB181" s="369">
        <v>0.5</v>
      </c>
      <c r="HOC181" s="370" t="e">
        <f>10/HNY179</f>
        <v>#DIV/0!</v>
      </c>
      <c r="HOD181" s="371">
        <v>15.38</v>
      </c>
      <c r="HOE181" s="371" t="e">
        <f>HOB181*HOC181*HOD181</f>
        <v>#DIV/0!</v>
      </c>
      <c r="HOF181" s="367" t="s">
        <v>206</v>
      </c>
      <c r="HOG181" s="367"/>
      <c r="HOH181" s="367"/>
      <c r="HOI181" s="368" t="s">
        <v>168</v>
      </c>
      <c r="HOJ181" s="369">
        <v>0.5</v>
      </c>
      <c r="HOK181" s="370" t="e">
        <f>10/HOG179</f>
        <v>#DIV/0!</v>
      </c>
      <c r="HOL181" s="371">
        <v>15.38</v>
      </c>
      <c r="HOM181" s="371" t="e">
        <f>HOJ181*HOK181*HOL181</f>
        <v>#DIV/0!</v>
      </c>
      <c r="HON181" s="367" t="s">
        <v>206</v>
      </c>
      <c r="HOO181" s="367"/>
      <c r="HOP181" s="367"/>
      <c r="HOQ181" s="368" t="s">
        <v>168</v>
      </c>
      <c r="HOR181" s="369">
        <v>0.5</v>
      </c>
      <c r="HOS181" s="370" t="e">
        <f>10/HOO179</f>
        <v>#DIV/0!</v>
      </c>
      <c r="HOT181" s="371">
        <v>15.38</v>
      </c>
      <c r="HOU181" s="371" t="e">
        <f>HOR181*HOS181*HOT181</f>
        <v>#DIV/0!</v>
      </c>
      <c r="HOV181" s="367" t="s">
        <v>206</v>
      </c>
      <c r="HOW181" s="367"/>
      <c r="HOX181" s="367"/>
      <c r="HOY181" s="368" t="s">
        <v>168</v>
      </c>
      <c r="HOZ181" s="369">
        <v>0.5</v>
      </c>
      <c r="HPA181" s="370" t="e">
        <f>10/HOW179</f>
        <v>#DIV/0!</v>
      </c>
      <c r="HPB181" s="371">
        <v>15.38</v>
      </c>
      <c r="HPC181" s="371" t="e">
        <f>HOZ181*HPA181*HPB181</f>
        <v>#DIV/0!</v>
      </c>
      <c r="HPD181" s="367" t="s">
        <v>206</v>
      </c>
      <c r="HPE181" s="367"/>
      <c r="HPF181" s="367"/>
      <c r="HPG181" s="368" t="s">
        <v>168</v>
      </c>
      <c r="HPH181" s="369">
        <v>0.5</v>
      </c>
      <c r="HPI181" s="370" t="e">
        <f>10/HPE179</f>
        <v>#DIV/0!</v>
      </c>
      <c r="HPJ181" s="371">
        <v>15.38</v>
      </c>
      <c r="HPK181" s="371" t="e">
        <f>HPH181*HPI181*HPJ181</f>
        <v>#DIV/0!</v>
      </c>
      <c r="HPL181" s="367" t="s">
        <v>206</v>
      </c>
      <c r="HPM181" s="367"/>
      <c r="HPN181" s="367"/>
      <c r="HPO181" s="368" t="s">
        <v>168</v>
      </c>
      <c r="HPP181" s="369">
        <v>0.5</v>
      </c>
      <c r="HPQ181" s="370" t="e">
        <f>10/HPM179</f>
        <v>#DIV/0!</v>
      </c>
      <c r="HPR181" s="371">
        <v>15.38</v>
      </c>
      <c r="HPS181" s="371" t="e">
        <f>HPP181*HPQ181*HPR181</f>
        <v>#DIV/0!</v>
      </c>
      <c r="HPT181" s="367" t="s">
        <v>206</v>
      </c>
      <c r="HPU181" s="367"/>
      <c r="HPV181" s="367"/>
      <c r="HPW181" s="368" t="s">
        <v>168</v>
      </c>
      <c r="HPX181" s="369">
        <v>0.5</v>
      </c>
      <c r="HPY181" s="370" t="e">
        <f>10/HPU179</f>
        <v>#DIV/0!</v>
      </c>
      <c r="HPZ181" s="371">
        <v>15.38</v>
      </c>
      <c r="HQA181" s="371" t="e">
        <f>HPX181*HPY181*HPZ181</f>
        <v>#DIV/0!</v>
      </c>
      <c r="HQB181" s="367" t="s">
        <v>206</v>
      </c>
      <c r="HQC181" s="367"/>
      <c r="HQD181" s="367"/>
      <c r="HQE181" s="368" t="s">
        <v>168</v>
      </c>
      <c r="HQF181" s="369">
        <v>0.5</v>
      </c>
      <c r="HQG181" s="370" t="e">
        <f>10/HQC179</f>
        <v>#DIV/0!</v>
      </c>
      <c r="HQH181" s="371">
        <v>15.38</v>
      </c>
      <c r="HQI181" s="371" t="e">
        <f>HQF181*HQG181*HQH181</f>
        <v>#DIV/0!</v>
      </c>
      <c r="HQJ181" s="367" t="s">
        <v>206</v>
      </c>
      <c r="HQK181" s="367"/>
      <c r="HQL181" s="367"/>
      <c r="HQM181" s="368" t="s">
        <v>168</v>
      </c>
      <c r="HQN181" s="369">
        <v>0.5</v>
      </c>
      <c r="HQO181" s="370" t="e">
        <f>10/HQK179</f>
        <v>#DIV/0!</v>
      </c>
      <c r="HQP181" s="371">
        <v>15.38</v>
      </c>
      <c r="HQQ181" s="371" t="e">
        <f>HQN181*HQO181*HQP181</f>
        <v>#DIV/0!</v>
      </c>
      <c r="HQR181" s="367" t="s">
        <v>206</v>
      </c>
      <c r="HQS181" s="367"/>
      <c r="HQT181" s="367"/>
      <c r="HQU181" s="368" t="s">
        <v>168</v>
      </c>
      <c r="HQV181" s="369">
        <v>0.5</v>
      </c>
      <c r="HQW181" s="370" t="e">
        <f>10/HQS179</f>
        <v>#DIV/0!</v>
      </c>
      <c r="HQX181" s="371">
        <v>15.38</v>
      </c>
      <c r="HQY181" s="371" t="e">
        <f>HQV181*HQW181*HQX181</f>
        <v>#DIV/0!</v>
      </c>
      <c r="HQZ181" s="367" t="s">
        <v>206</v>
      </c>
      <c r="HRA181" s="367"/>
      <c r="HRB181" s="367"/>
      <c r="HRC181" s="368" t="s">
        <v>168</v>
      </c>
      <c r="HRD181" s="369">
        <v>0.5</v>
      </c>
      <c r="HRE181" s="370" t="e">
        <f>10/HRA179</f>
        <v>#DIV/0!</v>
      </c>
      <c r="HRF181" s="371">
        <v>15.38</v>
      </c>
      <c r="HRG181" s="371" t="e">
        <f>HRD181*HRE181*HRF181</f>
        <v>#DIV/0!</v>
      </c>
      <c r="HRH181" s="367" t="s">
        <v>206</v>
      </c>
      <c r="HRI181" s="367"/>
      <c r="HRJ181" s="367"/>
      <c r="HRK181" s="368" t="s">
        <v>168</v>
      </c>
      <c r="HRL181" s="369">
        <v>0.5</v>
      </c>
      <c r="HRM181" s="370" t="e">
        <f>10/HRI179</f>
        <v>#DIV/0!</v>
      </c>
      <c r="HRN181" s="371">
        <v>15.38</v>
      </c>
      <c r="HRO181" s="371" t="e">
        <f>HRL181*HRM181*HRN181</f>
        <v>#DIV/0!</v>
      </c>
      <c r="HRP181" s="367" t="s">
        <v>206</v>
      </c>
      <c r="HRQ181" s="367"/>
      <c r="HRR181" s="367"/>
      <c r="HRS181" s="368" t="s">
        <v>168</v>
      </c>
      <c r="HRT181" s="369">
        <v>0.5</v>
      </c>
      <c r="HRU181" s="370" t="e">
        <f>10/HRQ179</f>
        <v>#DIV/0!</v>
      </c>
      <c r="HRV181" s="371">
        <v>15.38</v>
      </c>
      <c r="HRW181" s="371" t="e">
        <f>HRT181*HRU181*HRV181</f>
        <v>#DIV/0!</v>
      </c>
      <c r="HRX181" s="367" t="s">
        <v>206</v>
      </c>
      <c r="HRY181" s="367"/>
      <c r="HRZ181" s="367"/>
      <c r="HSA181" s="368" t="s">
        <v>168</v>
      </c>
      <c r="HSB181" s="369">
        <v>0.5</v>
      </c>
      <c r="HSC181" s="370" t="e">
        <f>10/HRY179</f>
        <v>#DIV/0!</v>
      </c>
      <c r="HSD181" s="371">
        <v>15.38</v>
      </c>
      <c r="HSE181" s="371" t="e">
        <f>HSB181*HSC181*HSD181</f>
        <v>#DIV/0!</v>
      </c>
      <c r="HSF181" s="367" t="s">
        <v>206</v>
      </c>
      <c r="HSG181" s="367"/>
      <c r="HSH181" s="367"/>
      <c r="HSI181" s="368" t="s">
        <v>168</v>
      </c>
      <c r="HSJ181" s="369">
        <v>0.5</v>
      </c>
      <c r="HSK181" s="370" t="e">
        <f>10/HSG179</f>
        <v>#DIV/0!</v>
      </c>
      <c r="HSL181" s="371">
        <v>15.38</v>
      </c>
      <c r="HSM181" s="371" t="e">
        <f>HSJ181*HSK181*HSL181</f>
        <v>#DIV/0!</v>
      </c>
      <c r="HSN181" s="367" t="s">
        <v>206</v>
      </c>
      <c r="HSO181" s="367"/>
      <c r="HSP181" s="367"/>
      <c r="HSQ181" s="368" t="s">
        <v>168</v>
      </c>
      <c r="HSR181" s="369">
        <v>0.5</v>
      </c>
      <c r="HSS181" s="370" t="e">
        <f>10/HSO179</f>
        <v>#DIV/0!</v>
      </c>
      <c r="HST181" s="371">
        <v>15.38</v>
      </c>
      <c r="HSU181" s="371" t="e">
        <f>HSR181*HSS181*HST181</f>
        <v>#DIV/0!</v>
      </c>
      <c r="HSV181" s="367" t="s">
        <v>206</v>
      </c>
      <c r="HSW181" s="367"/>
      <c r="HSX181" s="367"/>
      <c r="HSY181" s="368" t="s">
        <v>168</v>
      </c>
      <c r="HSZ181" s="369">
        <v>0.5</v>
      </c>
      <c r="HTA181" s="370" t="e">
        <f>10/HSW179</f>
        <v>#DIV/0!</v>
      </c>
      <c r="HTB181" s="371">
        <v>15.38</v>
      </c>
      <c r="HTC181" s="371" t="e">
        <f>HSZ181*HTA181*HTB181</f>
        <v>#DIV/0!</v>
      </c>
      <c r="HTD181" s="367" t="s">
        <v>206</v>
      </c>
      <c r="HTE181" s="367"/>
      <c r="HTF181" s="367"/>
      <c r="HTG181" s="368" t="s">
        <v>168</v>
      </c>
      <c r="HTH181" s="369">
        <v>0.5</v>
      </c>
      <c r="HTI181" s="370" t="e">
        <f>10/HTE179</f>
        <v>#DIV/0!</v>
      </c>
      <c r="HTJ181" s="371">
        <v>15.38</v>
      </c>
      <c r="HTK181" s="371" t="e">
        <f>HTH181*HTI181*HTJ181</f>
        <v>#DIV/0!</v>
      </c>
      <c r="HTL181" s="367" t="s">
        <v>206</v>
      </c>
      <c r="HTM181" s="367"/>
      <c r="HTN181" s="367"/>
      <c r="HTO181" s="368" t="s">
        <v>168</v>
      </c>
      <c r="HTP181" s="369">
        <v>0.5</v>
      </c>
      <c r="HTQ181" s="370" t="e">
        <f>10/HTM179</f>
        <v>#DIV/0!</v>
      </c>
      <c r="HTR181" s="371">
        <v>15.38</v>
      </c>
      <c r="HTS181" s="371" t="e">
        <f>HTP181*HTQ181*HTR181</f>
        <v>#DIV/0!</v>
      </c>
      <c r="HTT181" s="367" t="s">
        <v>206</v>
      </c>
      <c r="HTU181" s="367"/>
      <c r="HTV181" s="367"/>
      <c r="HTW181" s="368" t="s">
        <v>168</v>
      </c>
      <c r="HTX181" s="369">
        <v>0.5</v>
      </c>
      <c r="HTY181" s="370" t="e">
        <f>10/HTU179</f>
        <v>#DIV/0!</v>
      </c>
      <c r="HTZ181" s="371">
        <v>15.38</v>
      </c>
      <c r="HUA181" s="371" t="e">
        <f>HTX181*HTY181*HTZ181</f>
        <v>#DIV/0!</v>
      </c>
      <c r="HUB181" s="367" t="s">
        <v>206</v>
      </c>
      <c r="HUC181" s="367"/>
      <c r="HUD181" s="367"/>
      <c r="HUE181" s="368" t="s">
        <v>168</v>
      </c>
      <c r="HUF181" s="369">
        <v>0.5</v>
      </c>
      <c r="HUG181" s="370" t="e">
        <f>10/HUC179</f>
        <v>#DIV/0!</v>
      </c>
      <c r="HUH181" s="371">
        <v>15.38</v>
      </c>
      <c r="HUI181" s="371" t="e">
        <f>HUF181*HUG181*HUH181</f>
        <v>#DIV/0!</v>
      </c>
      <c r="HUJ181" s="367" t="s">
        <v>206</v>
      </c>
      <c r="HUK181" s="367"/>
      <c r="HUL181" s="367"/>
      <c r="HUM181" s="368" t="s">
        <v>168</v>
      </c>
      <c r="HUN181" s="369">
        <v>0.5</v>
      </c>
      <c r="HUO181" s="370" t="e">
        <f>10/HUK179</f>
        <v>#DIV/0!</v>
      </c>
      <c r="HUP181" s="371">
        <v>15.38</v>
      </c>
      <c r="HUQ181" s="371" t="e">
        <f>HUN181*HUO181*HUP181</f>
        <v>#DIV/0!</v>
      </c>
      <c r="HUR181" s="367" t="s">
        <v>206</v>
      </c>
      <c r="HUS181" s="367"/>
      <c r="HUT181" s="367"/>
      <c r="HUU181" s="368" t="s">
        <v>168</v>
      </c>
      <c r="HUV181" s="369">
        <v>0.5</v>
      </c>
      <c r="HUW181" s="370" t="e">
        <f>10/HUS179</f>
        <v>#DIV/0!</v>
      </c>
      <c r="HUX181" s="371">
        <v>15.38</v>
      </c>
      <c r="HUY181" s="371" t="e">
        <f>HUV181*HUW181*HUX181</f>
        <v>#DIV/0!</v>
      </c>
      <c r="HUZ181" s="367" t="s">
        <v>206</v>
      </c>
      <c r="HVA181" s="367"/>
      <c r="HVB181" s="367"/>
      <c r="HVC181" s="368" t="s">
        <v>168</v>
      </c>
      <c r="HVD181" s="369">
        <v>0.5</v>
      </c>
      <c r="HVE181" s="370" t="e">
        <f>10/HVA179</f>
        <v>#DIV/0!</v>
      </c>
      <c r="HVF181" s="371">
        <v>15.38</v>
      </c>
      <c r="HVG181" s="371" t="e">
        <f>HVD181*HVE181*HVF181</f>
        <v>#DIV/0!</v>
      </c>
      <c r="HVH181" s="367" t="s">
        <v>206</v>
      </c>
      <c r="HVI181" s="367"/>
      <c r="HVJ181" s="367"/>
      <c r="HVK181" s="368" t="s">
        <v>168</v>
      </c>
      <c r="HVL181" s="369">
        <v>0.5</v>
      </c>
      <c r="HVM181" s="370" t="e">
        <f>10/HVI179</f>
        <v>#DIV/0!</v>
      </c>
      <c r="HVN181" s="371">
        <v>15.38</v>
      </c>
      <c r="HVO181" s="371" t="e">
        <f>HVL181*HVM181*HVN181</f>
        <v>#DIV/0!</v>
      </c>
      <c r="HVP181" s="367" t="s">
        <v>206</v>
      </c>
      <c r="HVQ181" s="367"/>
      <c r="HVR181" s="367"/>
      <c r="HVS181" s="368" t="s">
        <v>168</v>
      </c>
      <c r="HVT181" s="369">
        <v>0.5</v>
      </c>
      <c r="HVU181" s="370" t="e">
        <f>10/HVQ179</f>
        <v>#DIV/0!</v>
      </c>
      <c r="HVV181" s="371">
        <v>15.38</v>
      </c>
      <c r="HVW181" s="371" t="e">
        <f>HVT181*HVU181*HVV181</f>
        <v>#DIV/0!</v>
      </c>
      <c r="HVX181" s="367" t="s">
        <v>206</v>
      </c>
      <c r="HVY181" s="367"/>
      <c r="HVZ181" s="367"/>
      <c r="HWA181" s="368" t="s">
        <v>168</v>
      </c>
      <c r="HWB181" s="369">
        <v>0.5</v>
      </c>
      <c r="HWC181" s="370" t="e">
        <f>10/HVY179</f>
        <v>#DIV/0!</v>
      </c>
      <c r="HWD181" s="371">
        <v>15.38</v>
      </c>
      <c r="HWE181" s="371" t="e">
        <f>HWB181*HWC181*HWD181</f>
        <v>#DIV/0!</v>
      </c>
      <c r="HWF181" s="367" t="s">
        <v>206</v>
      </c>
      <c r="HWG181" s="367"/>
      <c r="HWH181" s="367"/>
      <c r="HWI181" s="368" t="s">
        <v>168</v>
      </c>
      <c r="HWJ181" s="369">
        <v>0.5</v>
      </c>
      <c r="HWK181" s="370" t="e">
        <f>10/HWG179</f>
        <v>#DIV/0!</v>
      </c>
      <c r="HWL181" s="371">
        <v>15.38</v>
      </c>
      <c r="HWM181" s="371" t="e">
        <f>HWJ181*HWK181*HWL181</f>
        <v>#DIV/0!</v>
      </c>
      <c r="HWN181" s="367" t="s">
        <v>206</v>
      </c>
      <c r="HWO181" s="367"/>
      <c r="HWP181" s="367"/>
      <c r="HWQ181" s="368" t="s">
        <v>168</v>
      </c>
      <c r="HWR181" s="369">
        <v>0.5</v>
      </c>
      <c r="HWS181" s="370" t="e">
        <f>10/HWO179</f>
        <v>#DIV/0!</v>
      </c>
      <c r="HWT181" s="371">
        <v>15.38</v>
      </c>
      <c r="HWU181" s="371" t="e">
        <f>HWR181*HWS181*HWT181</f>
        <v>#DIV/0!</v>
      </c>
      <c r="HWV181" s="367" t="s">
        <v>206</v>
      </c>
      <c r="HWW181" s="367"/>
      <c r="HWX181" s="367"/>
      <c r="HWY181" s="368" t="s">
        <v>168</v>
      </c>
      <c r="HWZ181" s="369">
        <v>0.5</v>
      </c>
      <c r="HXA181" s="370" t="e">
        <f>10/HWW179</f>
        <v>#DIV/0!</v>
      </c>
      <c r="HXB181" s="371">
        <v>15.38</v>
      </c>
      <c r="HXC181" s="371" t="e">
        <f>HWZ181*HXA181*HXB181</f>
        <v>#DIV/0!</v>
      </c>
      <c r="HXD181" s="367" t="s">
        <v>206</v>
      </c>
      <c r="HXE181" s="367"/>
      <c r="HXF181" s="367"/>
      <c r="HXG181" s="368" t="s">
        <v>168</v>
      </c>
      <c r="HXH181" s="369">
        <v>0.5</v>
      </c>
      <c r="HXI181" s="370" t="e">
        <f>10/HXE179</f>
        <v>#DIV/0!</v>
      </c>
      <c r="HXJ181" s="371">
        <v>15.38</v>
      </c>
      <c r="HXK181" s="371" t="e">
        <f>HXH181*HXI181*HXJ181</f>
        <v>#DIV/0!</v>
      </c>
      <c r="HXL181" s="367" t="s">
        <v>206</v>
      </c>
      <c r="HXM181" s="367"/>
      <c r="HXN181" s="367"/>
      <c r="HXO181" s="368" t="s">
        <v>168</v>
      </c>
      <c r="HXP181" s="369">
        <v>0.5</v>
      </c>
      <c r="HXQ181" s="370" t="e">
        <f>10/HXM179</f>
        <v>#DIV/0!</v>
      </c>
      <c r="HXR181" s="371">
        <v>15.38</v>
      </c>
      <c r="HXS181" s="371" t="e">
        <f>HXP181*HXQ181*HXR181</f>
        <v>#DIV/0!</v>
      </c>
      <c r="HXT181" s="367" t="s">
        <v>206</v>
      </c>
      <c r="HXU181" s="367"/>
      <c r="HXV181" s="367"/>
      <c r="HXW181" s="368" t="s">
        <v>168</v>
      </c>
      <c r="HXX181" s="369">
        <v>0.5</v>
      </c>
      <c r="HXY181" s="370" t="e">
        <f>10/HXU179</f>
        <v>#DIV/0!</v>
      </c>
      <c r="HXZ181" s="371">
        <v>15.38</v>
      </c>
      <c r="HYA181" s="371" t="e">
        <f>HXX181*HXY181*HXZ181</f>
        <v>#DIV/0!</v>
      </c>
      <c r="HYB181" s="367" t="s">
        <v>206</v>
      </c>
      <c r="HYC181" s="367"/>
      <c r="HYD181" s="367"/>
      <c r="HYE181" s="368" t="s">
        <v>168</v>
      </c>
      <c r="HYF181" s="369">
        <v>0.5</v>
      </c>
      <c r="HYG181" s="370" t="e">
        <f>10/HYC179</f>
        <v>#DIV/0!</v>
      </c>
      <c r="HYH181" s="371">
        <v>15.38</v>
      </c>
      <c r="HYI181" s="371" t="e">
        <f>HYF181*HYG181*HYH181</f>
        <v>#DIV/0!</v>
      </c>
      <c r="HYJ181" s="367" t="s">
        <v>206</v>
      </c>
      <c r="HYK181" s="367"/>
      <c r="HYL181" s="367"/>
      <c r="HYM181" s="368" t="s">
        <v>168</v>
      </c>
      <c r="HYN181" s="369">
        <v>0.5</v>
      </c>
      <c r="HYO181" s="370" t="e">
        <f>10/HYK179</f>
        <v>#DIV/0!</v>
      </c>
      <c r="HYP181" s="371">
        <v>15.38</v>
      </c>
      <c r="HYQ181" s="371" t="e">
        <f>HYN181*HYO181*HYP181</f>
        <v>#DIV/0!</v>
      </c>
      <c r="HYR181" s="367" t="s">
        <v>206</v>
      </c>
      <c r="HYS181" s="367"/>
      <c r="HYT181" s="367"/>
      <c r="HYU181" s="368" t="s">
        <v>168</v>
      </c>
      <c r="HYV181" s="369">
        <v>0.5</v>
      </c>
      <c r="HYW181" s="370" t="e">
        <f>10/HYS179</f>
        <v>#DIV/0!</v>
      </c>
      <c r="HYX181" s="371">
        <v>15.38</v>
      </c>
      <c r="HYY181" s="371" t="e">
        <f>HYV181*HYW181*HYX181</f>
        <v>#DIV/0!</v>
      </c>
      <c r="HYZ181" s="367" t="s">
        <v>206</v>
      </c>
      <c r="HZA181" s="367"/>
      <c r="HZB181" s="367"/>
      <c r="HZC181" s="368" t="s">
        <v>168</v>
      </c>
      <c r="HZD181" s="369">
        <v>0.5</v>
      </c>
      <c r="HZE181" s="370" t="e">
        <f>10/HZA179</f>
        <v>#DIV/0!</v>
      </c>
      <c r="HZF181" s="371">
        <v>15.38</v>
      </c>
      <c r="HZG181" s="371" t="e">
        <f>HZD181*HZE181*HZF181</f>
        <v>#DIV/0!</v>
      </c>
      <c r="HZH181" s="367" t="s">
        <v>206</v>
      </c>
      <c r="HZI181" s="367"/>
      <c r="HZJ181" s="367"/>
      <c r="HZK181" s="368" t="s">
        <v>168</v>
      </c>
      <c r="HZL181" s="369">
        <v>0.5</v>
      </c>
      <c r="HZM181" s="370" t="e">
        <f>10/HZI179</f>
        <v>#DIV/0!</v>
      </c>
      <c r="HZN181" s="371">
        <v>15.38</v>
      </c>
      <c r="HZO181" s="371" t="e">
        <f>HZL181*HZM181*HZN181</f>
        <v>#DIV/0!</v>
      </c>
      <c r="HZP181" s="367" t="s">
        <v>206</v>
      </c>
      <c r="HZQ181" s="367"/>
      <c r="HZR181" s="367"/>
      <c r="HZS181" s="368" t="s">
        <v>168</v>
      </c>
      <c r="HZT181" s="369">
        <v>0.5</v>
      </c>
      <c r="HZU181" s="370" t="e">
        <f>10/HZQ179</f>
        <v>#DIV/0!</v>
      </c>
      <c r="HZV181" s="371">
        <v>15.38</v>
      </c>
      <c r="HZW181" s="371" t="e">
        <f>HZT181*HZU181*HZV181</f>
        <v>#DIV/0!</v>
      </c>
      <c r="HZX181" s="367" t="s">
        <v>206</v>
      </c>
      <c r="HZY181" s="367"/>
      <c r="HZZ181" s="367"/>
      <c r="IAA181" s="368" t="s">
        <v>168</v>
      </c>
      <c r="IAB181" s="369">
        <v>0.5</v>
      </c>
      <c r="IAC181" s="370" t="e">
        <f>10/HZY179</f>
        <v>#DIV/0!</v>
      </c>
      <c r="IAD181" s="371">
        <v>15.38</v>
      </c>
      <c r="IAE181" s="371" t="e">
        <f>IAB181*IAC181*IAD181</f>
        <v>#DIV/0!</v>
      </c>
      <c r="IAF181" s="367" t="s">
        <v>206</v>
      </c>
      <c r="IAG181" s="367"/>
      <c r="IAH181" s="367"/>
      <c r="IAI181" s="368" t="s">
        <v>168</v>
      </c>
      <c r="IAJ181" s="369">
        <v>0.5</v>
      </c>
      <c r="IAK181" s="370" t="e">
        <f>10/IAG179</f>
        <v>#DIV/0!</v>
      </c>
      <c r="IAL181" s="371">
        <v>15.38</v>
      </c>
      <c r="IAM181" s="371" t="e">
        <f>IAJ181*IAK181*IAL181</f>
        <v>#DIV/0!</v>
      </c>
      <c r="IAN181" s="367" t="s">
        <v>206</v>
      </c>
      <c r="IAO181" s="367"/>
      <c r="IAP181" s="367"/>
      <c r="IAQ181" s="368" t="s">
        <v>168</v>
      </c>
      <c r="IAR181" s="369">
        <v>0.5</v>
      </c>
      <c r="IAS181" s="370" t="e">
        <f>10/IAO179</f>
        <v>#DIV/0!</v>
      </c>
      <c r="IAT181" s="371">
        <v>15.38</v>
      </c>
      <c r="IAU181" s="371" t="e">
        <f>IAR181*IAS181*IAT181</f>
        <v>#DIV/0!</v>
      </c>
      <c r="IAV181" s="367" t="s">
        <v>206</v>
      </c>
      <c r="IAW181" s="367"/>
      <c r="IAX181" s="367"/>
      <c r="IAY181" s="368" t="s">
        <v>168</v>
      </c>
      <c r="IAZ181" s="369">
        <v>0.5</v>
      </c>
      <c r="IBA181" s="370" t="e">
        <f>10/IAW179</f>
        <v>#DIV/0!</v>
      </c>
      <c r="IBB181" s="371">
        <v>15.38</v>
      </c>
      <c r="IBC181" s="371" t="e">
        <f>IAZ181*IBA181*IBB181</f>
        <v>#DIV/0!</v>
      </c>
      <c r="IBD181" s="367" t="s">
        <v>206</v>
      </c>
      <c r="IBE181" s="367"/>
      <c r="IBF181" s="367"/>
      <c r="IBG181" s="368" t="s">
        <v>168</v>
      </c>
      <c r="IBH181" s="369">
        <v>0.5</v>
      </c>
      <c r="IBI181" s="370" t="e">
        <f>10/IBE179</f>
        <v>#DIV/0!</v>
      </c>
      <c r="IBJ181" s="371">
        <v>15.38</v>
      </c>
      <c r="IBK181" s="371" t="e">
        <f>IBH181*IBI181*IBJ181</f>
        <v>#DIV/0!</v>
      </c>
      <c r="IBL181" s="367" t="s">
        <v>206</v>
      </c>
      <c r="IBM181" s="367"/>
      <c r="IBN181" s="367"/>
      <c r="IBO181" s="368" t="s">
        <v>168</v>
      </c>
      <c r="IBP181" s="369">
        <v>0.5</v>
      </c>
      <c r="IBQ181" s="370" t="e">
        <f>10/IBM179</f>
        <v>#DIV/0!</v>
      </c>
      <c r="IBR181" s="371">
        <v>15.38</v>
      </c>
      <c r="IBS181" s="371" t="e">
        <f>IBP181*IBQ181*IBR181</f>
        <v>#DIV/0!</v>
      </c>
      <c r="IBT181" s="367" t="s">
        <v>206</v>
      </c>
      <c r="IBU181" s="367"/>
      <c r="IBV181" s="367"/>
      <c r="IBW181" s="368" t="s">
        <v>168</v>
      </c>
      <c r="IBX181" s="369">
        <v>0.5</v>
      </c>
      <c r="IBY181" s="370" t="e">
        <f>10/IBU179</f>
        <v>#DIV/0!</v>
      </c>
      <c r="IBZ181" s="371">
        <v>15.38</v>
      </c>
      <c r="ICA181" s="371" t="e">
        <f>IBX181*IBY181*IBZ181</f>
        <v>#DIV/0!</v>
      </c>
      <c r="ICB181" s="367" t="s">
        <v>206</v>
      </c>
      <c r="ICC181" s="367"/>
      <c r="ICD181" s="367"/>
      <c r="ICE181" s="368" t="s">
        <v>168</v>
      </c>
      <c r="ICF181" s="369">
        <v>0.5</v>
      </c>
      <c r="ICG181" s="370" t="e">
        <f>10/ICC179</f>
        <v>#DIV/0!</v>
      </c>
      <c r="ICH181" s="371">
        <v>15.38</v>
      </c>
      <c r="ICI181" s="371" t="e">
        <f>ICF181*ICG181*ICH181</f>
        <v>#DIV/0!</v>
      </c>
      <c r="ICJ181" s="367" t="s">
        <v>206</v>
      </c>
      <c r="ICK181" s="367"/>
      <c r="ICL181" s="367"/>
      <c r="ICM181" s="368" t="s">
        <v>168</v>
      </c>
      <c r="ICN181" s="369">
        <v>0.5</v>
      </c>
      <c r="ICO181" s="370" t="e">
        <f>10/ICK179</f>
        <v>#DIV/0!</v>
      </c>
      <c r="ICP181" s="371">
        <v>15.38</v>
      </c>
      <c r="ICQ181" s="371" t="e">
        <f>ICN181*ICO181*ICP181</f>
        <v>#DIV/0!</v>
      </c>
      <c r="ICR181" s="367" t="s">
        <v>206</v>
      </c>
      <c r="ICS181" s="367"/>
      <c r="ICT181" s="367"/>
      <c r="ICU181" s="368" t="s">
        <v>168</v>
      </c>
      <c r="ICV181" s="369">
        <v>0.5</v>
      </c>
      <c r="ICW181" s="370" t="e">
        <f>10/ICS179</f>
        <v>#DIV/0!</v>
      </c>
      <c r="ICX181" s="371">
        <v>15.38</v>
      </c>
      <c r="ICY181" s="371" t="e">
        <f>ICV181*ICW181*ICX181</f>
        <v>#DIV/0!</v>
      </c>
      <c r="ICZ181" s="367" t="s">
        <v>206</v>
      </c>
      <c r="IDA181" s="367"/>
      <c r="IDB181" s="367"/>
      <c r="IDC181" s="368" t="s">
        <v>168</v>
      </c>
      <c r="IDD181" s="369">
        <v>0.5</v>
      </c>
      <c r="IDE181" s="370" t="e">
        <f>10/IDA179</f>
        <v>#DIV/0!</v>
      </c>
      <c r="IDF181" s="371">
        <v>15.38</v>
      </c>
      <c r="IDG181" s="371" t="e">
        <f>IDD181*IDE181*IDF181</f>
        <v>#DIV/0!</v>
      </c>
      <c r="IDH181" s="367" t="s">
        <v>206</v>
      </c>
      <c r="IDI181" s="367"/>
      <c r="IDJ181" s="367"/>
      <c r="IDK181" s="368" t="s">
        <v>168</v>
      </c>
      <c r="IDL181" s="369">
        <v>0.5</v>
      </c>
      <c r="IDM181" s="370" t="e">
        <f>10/IDI179</f>
        <v>#DIV/0!</v>
      </c>
      <c r="IDN181" s="371">
        <v>15.38</v>
      </c>
      <c r="IDO181" s="371" t="e">
        <f>IDL181*IDM181*IDN181</f>
        <v>#DIV/0!</v>
      </c>
      <c r="IDP181" s="367" t="s">
        <v>206</v>
      </c>
      <c r="IDQ181" s="367"/>
      <c r="IDR181" s="367"/>
      <c r="IDS181" s="368" t="s">
        <v>168</v>
      </c>
      <c r="IDT181" s="369">
        <v>0.5</v>
      </c>
      <c r="IDU181" s="370" t="e">
        <f>10/IDQ179</f>
        <v>#DIV/0!</v>
      </c>
      <c r="IDV181" s="371">
        <v>15.38</v>
      </c>
      <c r="IDW181" s="371" t="e">
        <f>IDT181*IDU181*IDV181</f>
        <v>#DIV/0!</v>
      </c>
      <c r="IDX181" s="367" t="s">
        <v>206</v>
      </c>
      <c r="IDY181" s="367"/>
      <c r="IDZ181" s="367"/>
      <c r="IEA181" s="368" t="s">
        <v>168</v>
      </c>
      <c r="IEB181" s="369">
        <v>0.5</v>
      </c>
      <c r="IEC181" s="370" t="e">
        <f>10/IDY179</f>
        <v>#DIV/0!</v>
      </c>
      <c r="IED181" s="371">
        <v>15.38</v>
      </c>
      <c r="IEE181" s="371" t="e">
        <f>IEB181*IEC181*IED181</f>
        <v>#DIV/0!</v>
      </c>
      <c r="IEF181" s="367" t="s">
        <v>206</v>
      </c>
      <c r="IEG181" s="367"/>
      <c r="IEH181" s="367"/>
      <c r="IEI181" s="368" t="s">
        <v>168</v>
      </c>
      <c r="IEJ181" s="369">
        <v>0.5</v>
      </c>
      <c r="IEK181" s="370" t="e">
        <f>10/IEG179</f>
        <v>#DIV/0!</v>
      </c>
      <c r="IEL181" s="371">
        <v>15.38</v>
      </c>
      <c r="IEM181" s="371" t="e">
        <f>IEJ181*IEK181*IEL181</f>
        <v>#DIV/0!</v>
      </c>
      <c r="IEN181" s="367" t="s">
        <v>206</v>
      </c>
      <c r="IEO181" s="367"/>
      <c r="IEP181" s="367"/>
      <c r="IEQ181" s="368" t="s">
        <v>168</v>
      </c>
      <c r="IER181" s="369">
        <v>0.5</v>
      </c>
      <c r="IES181" s="370" t="e">
        <f>10/IEO179</f>
        <v>#DIV/0!</v>
      </c>
      <c r="IET181" s="371">
        <v>15.38</v>
      </c>
      <c r="IEU181" s="371" t="e">
        <f>IER181*IES181*IET181</f>
        <v>#DIV/0!</v>
      </c>
      <c r="IEV181" s="367" t="s">
        <v>206</v>
      </c>
      <c r="IEW181" s="367"/>
      <c r="IEX181" s="367"/>
      <c r="IEY181" s="368" t="s">
        <v>168</v>
      </c>
      <c r="IEZ181" s="369">
        <v>0.5</v>
      </c>
      <c r="IFA181" s="370" t="e">
        <f>10/IEW179</f>
        <v>#DIV/0!</v>
      </c>
      <c r="IFB181" s="371">
        <v>15.38</v>
      </c>
      <c r="IFC181" s="371" t="e">
        <f>IEZ181*IFA181*IFB181</f>
        <v>#DIV/0!</v>
      </c>
      <c r="IFD181" s="367" t="s">
        <v>206</v>
      </c>
      <c r="IFE181" s="367"/>
      <c r="IFF181" s="367"/>
      <c r="IFG181" s="368" t="s">
        <v>168</v>
      </c>
      <c r="IFH181" s="369">
        <v>0.5</v>
      </c>
      <c r="IFI181" s="370" t="e">
        <f>10/IFE179</f>
        <v>#DIV/0!</v>
      </c>
      <c r="IFJ181" s="371">
        <v>15.38</v>
      </c>
      <c r="IFK181" s="371" t="e">
        <f>IFH181*IFI181*IFJ181</f>
        <v>#DIV/0!</v>
      </c>
      <c r="IFL181" s="367" t="s">
        <v>206</v>
      </c>
      <c r="IFM181" s="367"/>
      <c r="IFN181" s="367"/>
      <c r="IFO181" s="368" t="s">
        <v>168</v>
      </c>
      <c r="IFP181" s="369">
        <v>0.5</v>
      </c>
      <c r="IFQ181" s="370" t="e">
        <f>10/IFM179</f>
        <v>#DIV/0!</v>
      </c>
      <c r="IFR181" s="371">
        <v>15.38</v>
      </c>
      <c r="IFS181" s="371" t="e">
        <f>IFP181*IFQ181*IFR181</f>
        <v>#DIV/0!</v>
      </c>
      <c r="IFT181" s="367" t="s">
        <v>206</v>
      </c>
      <c r="IFU181" s="367"/>
      <c r="IFV181" s="367"/>
      <c r="IFW181" s="368" t="s">
        <v>168</v>
      </c>
      <c r="IFX181" s="369">
        <v>0.5</v>
      </c>
      <c r="IFY181" s="370" t="e">
        <f>10/IFU179</f>
        <v>#DIV/0!</v>
      </c>
      <c r="IFZ181" s="371">
        <v>15.38</v>
      </c>
      <c r="IGA181" s="371" t="e">
        <f>IFX181*IFY181*IFZ181</f>
        <v>#DIV/0!</v>
      </c>
      <c r="IGB181" s="367" t="s">
        <v>206</v>
      </c>
      <c r="IGC181" s="367"/>
      <c r="IGD181" s="367"/>
      <c r="IGE181" s="368" t="s">
        <v>168</v>
      </c>
      <c r="IGF181" s="369">
        <v>0.5</v>
      </c>
      <c r="IGG181" s="370" t="e">
        <f>10/IGC179</f>
        <v>#DIV/0!</v>
      </c>
      <c r="IGH181" s="371">
        <v>15.38</v>
      </c>
      <c r="IGI181" s="371" t="e">
        <f>IGF181*IGG181*IGH181</f>
        <v>#DIV/0!</v>
      </c>
      <c r="IGJ181" s="367" t="s">
        <v>206</v>
      </c>
      <c r="IGK181" s="367"/>
      <c r="IGL181" s="367"/>
      <c r="IGM181" s="368" t="s">
        <v>168</v>
      </c>
      <c r="IGN181" s="369">
        <v>0.5</v>
      </c>
      <c r="IGO181" s="370" t="e">
        <f>10/IGK179</f>
        <v>#DIV/0!</v>
      </c>
      <c r="IGP181" s="371">
        <v>15.38</v>
      </c>
      <c r="IGQ181" s="371" t="e">
        <f>IGN181*IGO181*IGP181</f>
        <v>#DIV/0!</v>
      </c>
      <c r="IGR181" s="367" t="s">
        <v>206</v>
      </c>
      <c r="IGS181" s="367"/>
      <c r="IGT181" s="367"/>
      <c r="IGU181" s="368" t="s">
        <v>168</v>
      </c>
      <c r="IGV181" s="369">
        <v>0.5</v>
      </c>
      <c r="IGW181" s="370" t="e">
        <f>10/IGS179</f>
        <v>#DIV/0!</v>
      </c>
      <c r="IGX181" s="371">
        <v>15.38</v>
      </c>
      <c r="IGY181" s="371" t="e">
        <f>IGV181*IGW181*IGX181</f>
        <v>#DIV/0!</v>
      </c>
      <c r="IGZ181" s="367" t="s">
        <v>206</v>
      </c>
      <c r="IHA181" s="367"/>
      <c r="IHB181" s="367"/>
      <c r="IHC181" s="368" t="s">
        <v>168</v>
      </c>
      <c r="IHD181" s="369">
        <v>0.5</v>
      </c>
      <c r="IHE181" s="370" t="e">
        <f>10/IHA179</f>
        <v>#DIV/0!</v>
      </c>
      <c r="IHF181" s="371">
        <v>15.38</v>
      </c>
      <c r="IHG181" s="371" t="e">
        <f>IHD181*IHE181*IHF181</f>
        <v>#DIV/0!</v>
      </c>
      <c r="IHH181" s="367" t="s">
        <v>206</v>
      </c>
      <c r="IHI181" s="367"/>
      <c r="IHJ181" s="367"/>
      <c r="IHK181" s="368" t="s">
        <v>168</v>
      </c>
      <c r="IHL181" s="369">
        <v>0.5</v>
      </c>
      <c r="IHM181" s="370" t="e">
        <f>10/IHI179</f>
        <v>#DIV/0!</v>
      </c>
      <c r="IHN181" s="371">
        <v>15.38</v>
      </c>
      <c r="IHO181" s="371" t="e">
        <f>IHL181*IHM181*IHN181</f>
        <v>#DIV/0!</v>
      </c>
      <c r="IHP181" s="367" t="s">
        <v>206</v>
      </c>
      <c r="IHQ181" s="367"/>
      <c r="IHR181" s="367"/>
      <c r="IHS181" s="368" t="s">
        <v>168</v>
      </c>
      <c r="IHT181" s="369">
        <v>0.5</v>
      </c>
      <c r="IHU181" s="370" t="e">
        <f>10/IHQ179</f>
        <v>#DIV/0!</v>
      </c>
      <c r="IHV181" s="371">
        <v>15.38</v>
      </c>
      <c r="IHW181" s="371" t="e">
        <f>IHT181*IHU181*IHV181</f>
        <v>#DIV/0!</v>
      </c>
      <c r="IHX181" s="367" t="s">
        <v>206</v>
      </c>
      <c r="IHY181" s="367"/>
      <c r="IHZ181" s="367"/>
      <c r="IIA181" s="368" t="s">
        <v>168</v>
      </c>
      <c r="IIB181" s="369">
        <v>0.5</v>
      </c>
      <c r="IIC181" s="370" t="e">
        <f>10/IHY179</f>
        <v>#DIV/0!</v>
      </c>
      <c r="IID181" s="371">
        <v>15.38</v>
      </c>
      <c r="IIE181" s="371" t="e">
        <f>IIB181*IIC181*IID181</f>
        <v>#DIV/0!</v>
      </c>
      <c r="IIF181" s="367" t="s">
        <v>206</v>
      </c>
      <c r="IIG181" s="367"/>
      <c r="IIH181" s="367"/>
      <c r="III181" s="368" t="s">
        <v>168</v>
      </c>
      <c r="IIJ181" s="369">
        <v>0.5</v>
      </c>
      <c r="IIK181" s="370" t="e">
        <f>10/IIG179</f>
        <v>#DIV/0!</v>
      </c>
      <c r="IIL181" s="371">
        <v>15.38</v>
      </c>
      <c r="IIM181" s="371" t="e">
        <f>IIJ181*IIK181*IIL181</f>
        <v>#DIV/0!</v>
      </c>
      <c r="IIN181" s="367" t="s">
        <v>206</v>
      </c>
      <c r="IIO181" s="367"/>
      <c r="IIP181" s="367"/>
      <c r="IIQ181" s="368" t="s">
        <v>168</v>
      </c>
      <c r="IIR181" s="369">
        <v>0.5</v>
      </c>
      <c r="IIS181" s="370" t="e">
        <f>10/IIO179</f>
        <v>#DIV/0!</v>
      </c>
      <c r="IIT181" s="371">
        <v>15.38</v>
      </c>
      <c r="IIU181" s="371" t="e">
        <f>IIR181*IIS181*IIT181</f>
        <v>#DIV/0!</v>
      </c>
      <c r="IIV181" s="367" t="s">
        <v>206</v>
      </c>
      <c r="IIW181" s="367"/>
      <c r="IIX181" s="367"/>
      <c r="IIY181" s="368" t="s">
        <v>168</v>
      </c>
      <c r="IIZ181" s="369">
        <v>0.5</v>
      </c>
      <c r="IJA181" s="370" t="e">
        <f>10/IIW179</f>
        <v>#DIV/0!</v>
      </c>
      <c r="IJB181" s="371">
        <v>15.38</v>
      </c>
      <c r="IJC181" s="371" t="e">
        <f>IIZ181*IJA181*IJB181</f>
        <v>#DIV/0!</v>
      </c>
      <c r="IJD181" s="367" t="s">
        <v>206</v>
      </c>
      <c r="IJE181" s="367"/>
      <c r="IJF181" s="367"/>
      <c r="IJG181" s="368" t="s">
        <v>168</v>
      </c>
      <c r="IJH181" s="369">
        <v>0.5</v>
      </c>
      <c r="IJI181" s="370" t="e">
        <f>10/IJE179</f>
        <v>#DIV/0!</v>
      </c>
      <c r="IJJ181" s="371">
        <v>15.38</v>
      </c>
      <c r="IJK181" s="371" t="e">
        <f>IJH181*IJI181*IJJ181</f>
        <v>#DIV/0!</v>
      </c>
      <c r="IJL181" s="367" t="s">
        <v>206</v>
      </c>
      <c r="IJM181" s="367"/>
      <c r="IJN181" s="367"/>
      <c r="IJO181" s="368" t="s">
        <v>168</v>
      </c>
      <c r="IJP181" s="369">
        <v>0.5</v>
      </c>
      <c r="IJQ181" s="370" t="e">
        <f>10/IJM179</f>
        <v>#DIV/0!</v>
      </c>
      <c r="IJR181" s="371">
        <v>15.38</v>
      </c>
      <c r="IJS181" s="371" t="e">
        <f>IJP181*IJQ181*IJR181</f>
        <v>#DIV/0!</v>
      </c>
      <c r="IJT181" s="367" t="s">
        <v>206</v>
      </c>
      <c r="IJU181" s="367"/>
      <c r="IJV181" s="367"/>
      <c r="IJW181" s="368" t="s">
        <v>168</v>
      </c>
      <c r="IJX181" s="369">
        <v>0.5</v>
      </c>
      <c r="IJY181" s="370" t="e">
        <f>10/IJU179</f>
        <v>#DIV/0!</v>
      </c>
      <c r="IJZ181" s="371">
        <v>15.38</v>
      </c>
      <c r="IKA181" s="371" t="e">
        <f>IJX181*IJY181*IJZ181</f>
        <v>#DIV/0!</v>
      </c>
      <c r="IKB181" s="367" t="s">
        <v>206</v>
      </c>
      <c r="IKC181" s="367"/>
      <c r="IKD181" s="367"/>
      <c r="IKE181" s="368" t="s">
        <v>168</v>
      </c>
      <c r="IKF181" s="369">
        <v>0.5</v>
      </c>
      <c r="IKG181" s="370" t="e">
        <f>10/IKC179</f>
        <v>#DIV/0!</v>
      </c>
      <c r="IKH181" s="371">
        <v>15.38</v>
      </c>
      <c r="IKI181" s="371" t="e">
        <f>IKF181*IKG181*IKH181</f>
        <v>#DIV/0!</v>
      </c>
      <c r="IKJ181" s="367" t="s">
        <v>206</v>
      </c>
      <c r="IKK181" s="367"/>
      <c r="IKL181" s="367"/>
      <c r="IKM181" s="368" t="s">
        <v>168</v>
      </c>
      <c r="IKN181" s="369">
        <v>0.5</v>
      </c>
      <c r="IKO181" s="370" t="e">
        <f>10/IKK179</f>
        <v>#DIV/0!</v>
      </c>
      <c r="IKP181" s="371">
        <v>15.38</v>
      </c>
      <c r="IKQ181" s="371" t="e">
        <f>IKN181*IKO181*IKP181</f>
        <v>#DIV/0!</v>
      </c>
      <c r="IKR181" s="367" t="s">
        <v>206</v>
      </c>
      <c r="IKS181" s="367"/>
      <c r="IKT181" s="367"/>
      <c r="IKU181" s="368" t="s">
        <v>168</v>
      </c>
      <c r="IKV181" s="369">
        <v>0.5</v>
      </c>
      <c r="IKW181" s="370" t="e">
        <f>10/IKS179</f>
        <v>#DIV/0!</v>
      </c>
      <c r="IKX181" s="371">
        <v>15.38</v>
      </c>
      <c r="IKY181" s="371" t="e">
        <f>IKV181*IKW181*IKX181</f>
        <v>#DIV/0!</v>
      </c>
      <c r="IKZ181" s="367" t="s">
        <v>206</v>
      </c>
      <c r="ILA181" s="367"/>
      <c r="ILB181" s="367"/>
      <c r="ILC181" s="368" t="s">
        <v>168</v>
      </c>
      <c r="ILD181" s="369">
        <v>0.5</v>
      </c>
      <c r="ILE181" s="370" t="e">
        <f>10/ILA179</f>
        <v>#DIV/0!</v>
      </c>
      <c r="ILF181" s="371">
        <v>15.38</v>
      </c>
      <c r="ILG181" s="371" t="e">
        <f>ILD181*ILE181*ILF181</f>
        <v>#DIV/0!</v>
      </c>
      <c r="ILH181" s="367" t="s">
        <v>206</v>
      </c>
      <c r="ILI181" s="367"/>
      <c r="ILJ181" s="367"/>
      <c r="ILK181" s="368" t="s">
        <v>168</v>
      </c>
      <c r="ILL181" s="369">
        <v>0.5</v>
      </c>
      <c r="ILM181" s="370" t="e">
        <f>10/ILI179</f>
        <v>#DIV/0!</v>
      </c>
      <c r="ILN181" s="371">
        <v>15.38</v>
      </c>
      <c r="ILO181" s="371" t="e">
        <f>ILL181*ILM181*ILN181</f>
        <v>#DIV/0!</v>
      </c>
      <c r="ILP181" s="367" t="s">
        <v>206</v>
      </c>
      <c r="ILQ181" s="367"/>
      <c r="ILR181" s="367"/>
      <c r="ILS181" s="368" t="s">
        <v>168</v>
      </c>
      <c r="ILT181" s="369">
        <v>0.5</v>
      </c>
      <c r="ILU181" s="370" t="e">
        <f>10/ILQ179</f>
        <v>#DIV/0!</v>
      </c>
      <c r="ILV181" s="371">
        <v>15.38</v>
      </c>
      <c r="ILW181" s="371" t="e">
        <f>ILT181*ILU181*ILV181</f>
        <v>#DIV/0!</v>
      </c>
      <c r="ILX181" s="367" t="s">
        <v>206</v>
      </c>
      <c r="ILY181" s="367"/>
      <c r="ILZ181" s="367"/>
      <c r="IMA181" s="368" t="s">
        <v>168</v>
      </c>
      <c r="IMB181" s="369">
        <v>0.5</v>
      </c>
      <c r="IMC181" s="370" t="e">
        <f>10/ILY179</f>
        <v>#DIV/0!</v>
      </c>
      <c r="IMD181" s="371">
        <v>15.38</v>
      </c>
      <c r="IME181" s="371" t="e">
        <f>IMB181*IMC181*IMD181</f>
        <v>#DIV/0!</v>
      </c>
      <c r="IMF181" s="367" t="s">
        <v>206</v>
      </c>
      <c r="IMG181" s="367"/>
      <c r="IMH181" s="367"/>
      <c r="IMI181" s="368" t="s">
        <v>168</v>
      </c>
      <c r="IMJ181" s="369">
        <v>0.5</v>
      </c>
      <c r="IMK181" s="370" t="e">
        <f>10/IMG179</f>
        <v>#DIV/0!</v>
      </c>
      <c r="IML181" s="371">
        <v>15.38</v>
      </c>
      <c r="IMM181" s="371" t="e">
        <f>IMJ181*IMK181*IML181</f>
        <v>#DIV/0!</v>
      </c>
      <c r="IMN181" s="367" t="s">
        <v>206</v>
      </c>
      <c r="IMO181" s="367"/>
      <c r="IMP181" s="367"/>
      <c r="IMQ181" s="368" t="s">
        <v>168</v>
      </c>
      <c r="IMR181" s="369">
        <v>0.5</v>
      </c>
      <c r="IMS181" s="370" t="e">
        <f>10/IMO179</f>
        <v>#DIV/0!</v>
      </c>
      <c r="IMT181" s="371">
        <v>15.38</v>
      </c>
      <c r="IMU181" s="371" t="e">
        <f>IMR181*IMS181*IMT181</f>
        <v>#DIV/0!</v>
      </c>
      <c r="IMV181" s="367" t="s">
        <v>206</v>
      </c>
      <c r="IMW181" s="367"/>
      <c r="IMX181" s="367"/>
      <c r="IMY181" s="368" t="s">
        <v>168</v>
      </c>
      <c r="IMZ181" s="369">
        <v>0.5</v>
      </c>
      <c r="INA181" s="370" t="e">
        <f>10/IMW179</f>
        <v>#DIV/0!</v>
      </c>
      <c r="INB181" s="371">
        <v>15.38</v>
      </c>
      <c r="INC181" s="371" t="e">
        <f>IMZ181*INA181*INB181</f>
        <v>#DIV/0!</v>
      </c>
      <c r="IND181" s="367" t="s">
        <v>206</v>
      </c>
      <c r="INE181" s="367"/>
      <c r="INF181" s="367"/>
      <c r="ING181" s="368" t="s">
        <v>168</v>
      </c>
      <c r="INH181" s="369">
        <v>0.5</v>
      </c>
      <c r="INI181" s="370" t="e">
        <f>10/INE179</f>
        <v>#DIV/0!</v>
      </c>
      <c r="INJ181" s="371">
        <v>15.38</v>
      </c>
      <c r="INK181" s="371" t="e">
        <f>INH181*INI181*INJ181</f>
        <v>#DIV/0!</v>
      </c>
      <c r="INL181" s="367" t="s">
        <v>206</v>
      </c>
      <c r="INM181" s="367"/>
      <c r="INN181" s="367"/>
      <c r="INO181" s="368" t="s">
        <v>168</v>
      </c>
      <c r="INP181" s="369">
        <v>0.5</v>
      </c>
      <c r="INQ181" s="370" t="e">
        <f>10/INM179</f>
        <v>#DIV/0!</v>
      </c>
      <c r="INR181" s="371">
        <v>15.38</v>
      </c>
      <c r="INS181" s="371" t="e">
        <f>INP181*INQ181*INR181</f>
        <v>#DIV/0!</v>
      </c>
      <c r="INT181" s="367" t="s">
        <v>206</v>
      </c>
      <c r="INU181" s="367"/>
      <c r="INV181" s="367"/>
      <c r="INW181" s="368" t="s">
        <v>168</v>
      </c>
      <c r="INX181" s="369">
        <v>0.5</v>
      </c>
      <c r="INY181" s="370" t="e">
        <f>10/INU179</f>
        <v>#DIV/0!</v>
      </c>
      <c r="INZ181" s="371">
        <v>15.38</v>
      </c>
      <c r="IOA181" s="371" t="e">
        <f>INX181*INY181*INZ181</f>
        <v>#DIV/0!</v>
      </c>
      <c r="IOB181" s="367" t="s">
        <v>206</v>
      </c>
      <c r="IOC181" s="367"/>
      <c r="IOD181" s="367"/>
      <c r="IOE181" s="368" t="s">
        <v>168</v>
      </c>
      <c r="IOF181" s="369">
        <v>0.5</v>
      </c>
      <c r="IOG181" s="370" t="e">
        <f>10/IOC179</f>
        <v>#DIV/0!</v>
      </c>
      <c r="IOH181" s="371">
        <v>15.38</v>
      </c>
      <c r="IOI181" s="371" t="e">
        <f>IOF181*IOG181*IOH181</f>
        <v>#DIV/0!</v>
      </c>
      <c r="IOJ181" s="367" t="s">
        <v>206</v>
      </c>
      <c r="IOK181" s="367"/>
      <c r="IOL181" s="367"/>
      <c r="IOM181" s="368" t="s">
        <v>168</v>
      </c>
      <c r="ION181" s="369">
        <v>0.5</v>
      </c>
      <c r="IOO181" s="370" t="e">
        <f>10/IOK179</f>
        <v>#DIV/0!</v>
      </c>
      <c r="IOP181" s="371">
        <v>15.38</v>
      </c>
      <c r="IOQ181" s="371" t="e">
        <f>ION181*IOO181*IOP181</f>
        <v>#DIV/0!</v>
      </c>
      <c r="IOR181" s="367" t="s">
        <v>206</v>
      </c>
      <c r="IOS181" s="367"/>
      <c r="IOT181" s="367"/>
      <c r="IOU181" s="368" t="s">
        <v>168</v>
      </c>
      <c r="IOV181" s="369">
        <v>0.5</v>
      </c>
      <c r="IOW181" s="370" t="e">
        <f>10/IOS179</f>
        <v>#DIV/0!</v>
      </c>
      <c r="IOX181" s="371">
        <v>15.38</v>
      </c>
      <c r="IOY181" s="371" t="e">
        <f>IOV181*IOW181*IOX181</f>
        <v>#DIV/0!</v>
      </c>
      <c r="IOZ181" s="367" t="s">
        <v>206</v>
      </c>
      <c r="IPA181" s="367"/>
      <c r="IPB181" s="367"/>
      <c r="IPC181" s="368" t="s">
        <v>168</v>
      </c>
      <c r="IPD181" s="369">
        <v>0.5</v>
      </c>
      <c r="IPE181" s="370" t="e">
        <f>10/IPA179</f>
        <v>#DIV/0!</v>
      </c>
      <c r="IPF181" s="371">
        <v>15.38</v>
      </c>
      <c r="IPG181" s="371" t="e">
        <f>IPD181*IPE181*IPF181</f>
        <v>#DIV/0!</v>
      </c>
      <c r="IPH181" s="367" t="s">
        <v>206</v>
      </c>
      <c r="IPI181" s="367"/>
      <c r="IPJ181" s="367"/>
      <c r="IPK181" s="368" t="s">
        <v>168</v>
      </c>
      <c r="IPL181" s="369">
        <v>0.5</v>
      </c>
      <c r="IPM181" s="370" t="e">
        <f>10/IPI179</f>
        <v>#DIV/0!</v>
      </c>
      <c r="IPN181" s="371">
        <v>15.38</v>
      </c>
      <c r="IPO181" s="371" t="e">
        <f>IPL181*IPM181*IPN181</f>
        <v>#DIV/0!</v>
      </c>
      <c r="IPP181" s="367" t="s">
        <v>206</v>
      </c>
      <c r="IPQ181" s="367"/>
      <c r="IPR181" s="367"/>
      <c r="IPS181" s="368" t="s">
        <v>168</v>
      </c>
      <c r="IPT181" s="369">
        <v>0.5</v>
      </c>
      <c r="IPU181" s="370" t="e">
        <f>10/IPQ179</f>
        <v>#DIV/0!</v>
      </c>
      <c r="IPV181" s="371">
        <v>15.38</v>
      </c>
      <c r="IPW181" s="371" t="e">
        <f>IPT181*IPU181*IPV181</f>
        <v>#DIV/0!</v>
      </c>
      <c r="IPX181" s="367" t="s">
        <v>206</v>
      </c>
      <c r="IPY181" s="367"/>
      <c r="IPZ181" s="367"/>
      <c r="IQA181" s="368" t="s">
        <v>168</v>
      </c>
      <c r="IQB181" s="369">
        <v>0.5</v>
      </c>
      <c r="IQC181" s="370" t="e">
        <f>10/IPY179</f>
        <v>#DIV/0!</v>
      </c>
      <c r="IQD181" s="371">
        <v>15.38</v>
      </c>
      <c r="IQE181" s="371" t="e">
        <f>IQB181*IQC181*IQD181</f>
        <v>#DIV/0!</v>
      </c>
      <c r="IQF181" s="367" t="s">
        <v>206</v>
      </c>
      <c r="IQG181" s="367"/>
      <c r="IQH181" s="367"/>
      <c r="IQI181" s="368" t="s">
        <v>168</v>
      </c>
      <c r="IQJ181" s="369">
        <v>0.5</v>
      </c>
      <c r="IQK181" s="370" t="e">
        <f>10/IQG179</f>
        <v>#DIV/0!</v>
      </c>
      <c r="IQL181" s="371">
        <v>15.38</v>
      </c>
      <c r="IQM181" s="371" t="e">
        <f>IQJ181*IQK181*IQL181</f>
        <v>#DIV/0!</v>
      </c>
      <c r="IQN181" s="367" t="s">
        <v>206</v>
      </c>
      <c r="IQO181" s="367"/>
      <c r="IQP181" s="367"/>
      <c r="IQQ181" s="368" t="s">
        <v>168</v>
      </c>
      <c r="IQR181" s="369">
        <v>0.5</v>
      </c>
      <c r="IQS181" s="370" t="e">
        <f>10/IQO179</f>
        <v>#DIV/0!</v>
      </c>
      <c r="IQT181" s="371">
        <v>15.38</v>
      </c>
      <c r="IQU181" s="371" t="e">
        <f>IQR181*IQS181*IQT181</f>
        <v>#DIV/0!</v>
      </c>
      <c r="IQV181" s="367" t="s">
        <v>206</v>
      </c>
      <c r="IQW181" s="367"/>
      <c r="IQX181" s="367"/>
      <c r="IQY181" s="368" t="s">
        <v>168</v>
      </c>
      <c r="IQZ181" s="369">
        <v>0.5</v>
      </c>
      <c r="IRA181" s="370" t="e">
        <f>10/IQW179</f>
        <v>#DIV/0!</v>
      </c>
      <c r="IRB181" s="371">
        <v>15.38</v>
      </c>
      <c r="IRC181" s="371" t="e">
        <f>IQZ181*IRA181*IRB181</f>
        <v>#DIV/0!</v>
      </c>
      <c r="IRD181" s="367" t="s">
        <v>206</v>
      </c>
      <c r="IRE181" s="367"/>
      <c r="IRF181" s="367"/>
      <c r="IRG181" s="368" t="s">
        <v>168</v>
      </c>
      <c r="IRH181" s="369">
        <v>0.5</v>
      </c>
      <c r="IRI181" s="370" t="e">
        <f>10/IRE179</f>
        <v>#DIV/0!</v>
      </c>
      <c r="IRJ181" s="371">
        <v>15.38</v>
      </c>
      <c r="IRK181" s="371" t="e">
        <f>IRH181*IRI181*IRJ181</f>
        <v>#DIV/0!</v>
      </c>
      <c r="IRL181" s="367" t="s">
        <v>206</v>
      </c>
      <c r="IRM181" s="367"/>
      <c r="IRN181" s="367"/>
      <c r="IRO181" s="368" t="s">
        <v>168</v>
      </c>
      <c r="IRP181" s="369">
        <v>0.5</v>
      </c>
      <c r="IRQ181" s="370" t="e">
        <f>10/IRM179</f>
        <v>#DIV/0!</v>
      </c>
      <c r="IRR181" s="371">
        <v>15.38</v>
      </c>
      <c r="IRS181" s="371" t="e">
        <f>IRP181*IRQ181*IRR181</f>
        <v>#DIV/0!</v>
      </c>
      <c r="IRT181" s="367" t="s">
        <v>206</v>
      </c>
      <c r="IRU181" s="367"/>
      <c r="IRV181" s="367"/>
      <c r="IRW181" s="368" t="s">
        <v>168</v>
      </c>
      <c r="IRX181" s="369">
        <v>0.5</v>
      </c>
      <c r="IRY181" s="370" t="e">
        <f>10/IRU179</f>
        <v>#DIV/0!</v>
      </c>
      <c r="IRZ181" s="371">
        <v>15.38</v>
      </c>
      <c r="ISA181" s="371" t="e">
        <f>IRX181*IRY181*IRZ181</f>
        <v>#DIV/0!</v>
      </c>
      <c r="ISB181" s="367" t="s">
        <v>206</v>
      </c>
      <c r="ISC181" s="367"/>
      <c r="ISD181" s="367"/>
      <c r="ISE181" s="368" t="s">
        <v>168</v>
      </c>
      <c r="ISF181" s="369">
        <v>0.5</v>
      </c>
      <c r="ISG181" s="370" t="e">
        <f>10/ISC179</f>
        <v>#DIV/0!</v>
      </c>
      <c r="ISH181" s="371">
        <v>15.38</v>
      </c>
      <c r="ISI181" s="371" t="e">
        <f>ISF181*ISG181*ISH181</f>
        <v>#DIV/0!</v>
      </c>
      <c r="ISJ181" s="367" t="s">
        <v>206</v>
      </c>
      <c r="ISK181" s="367"/>
      <c r="ISL181" s="367"/>
      <c r="ISM181" s="368" t="s">
        <v>168</v>
      </c>
      <c r="ISN181" s="369">
        <v>0.5</v>
      </c>
      <c r="ISO181" s="370" t="e">
        <f>10/ISK179</f>
        <v>#DIV/0!</v>
      </c>
      <c r="ISP181" s="371">
        <v>15.38</v>
      </c>
      <c r="ISQ181" s="371" t="e">
        <f>ISN181*ISO181*ISP181</f>
        <v>#DIV/0!</v>
      </c>
      <c r="ISR181" s="367" t="s">
        <v>206</v>
      </c>
      <c r="ISS181" s="367"/>
      <c r="IST181" s="367"/>
      <c r="ISU181" s="368" t="s">
        <v>168</v>
      </c>
      <c r="ISV181" s="369">
        <v>0.5</v>
      </c>
      <c r="ISW181" s="370" t="e">
        <f>10/ISS179</f>
        <v>#DIV/0!</v>
      </c>
      <c r="ISX181" s="371">
        <v>15.38</v>
      </c>
      <c r="ISY181" s="371" t="e">
        <f>ISV181*ISW181*ISX181</f>
        <v>#DIV/0!</v>
      </c>
      <c r="ISZ181" s="367" t="s">
        <v>206</v>
      </c>
      <c r="ITA181" s="367"/>
      <c r="ITB181" s="367"/>
      <c r="ITC181" s="368" t="s">
        <v>168</v>
      </c>
      <c r="ITD181" s="369">
        <v>0.5</v>
      </c>
      <c r="ITE181" s="370" t="e">
        <f>10/ITA179</f>
        <v>#DIV/0!</v>
      </c>
      <c r="ITF181" s="371">
        <v>15.38</v>
      </c>
      <c r="ITG181" s="371" t="e">
        <f>ITD181*ITE181*ITF181</f>
        <v>#DIV/0!</v>
      </c>
      <c r="ITH181" s="367" t="s">
        <v>206</v>
      </c>
      <c r="ITI181" s="367"/>
      <c r="ITJ181" s="367"/>
      <c r="ITK181" s="368" t="s">
        <v>168</v>
      </c>
      <c r="ITL181" s="369">
        <v>0.5</v>
      </c>
      <c r="ITM181" s="370" t="e">
        <f>10/ITI179</f>
        <v>#DIV/0!</v>
      </c>
      <c r="ITN181" s="371">
        <v>15.38</v>
      </c>
      <c r="ITO181" s="371" t="e">
        <f>ITL181*ITM181*ITN181</f>
        <v>#DIV/0!</v>
      </c>
      <c r="ITP181" s="367" t="s">
        <v>206</v>
      </c>
      <c r="ITQ181" s="367"/>
      <c r="ITR181" s="367"/>
      <c r="ITS181" s="368" t="s">
        <v>168</v>
      </c>
      <c r="ITT181" s="369">
        <v>0.5</v>
      </c>
      <c r="ITU181" s="370" t="e">
        <f>10/ITQ179</f>
        <v>#DIV/0!</v>
      </c>
      <c r="ITV181" s="371">
        <v>15.38</v>
      </c>
      <c r="ITW181" s="371" t="e">
        <f>ITT181*ITU181*ITV181</f>
        <v>#DIV/0!</v>
      </c>
      <c r="ITX181" s="367" t="s">
        <v>206</v>
      </c>
      <c r="ITY181" s="367"/>
      <c r="ITZ181" s="367"/>
      <c r="IUA181" s="368" t="s">
        <v>168</v>
      </c>
      <c r="IUB181" s="369">
        <v>0.5</v>
      </c>
      <c r="IUC181" s="370" t="e">
        <f>10/ITY179</f>
        <v>#DIV/0!</v>
      </c>
      <c r="IUD181" s="371">
        <v>15.38</v>
      </c>
      <c r="IUE181" s="371" t="e">
        <f>IUB181*IUC181*IUD181</f>
        <v>#DIV/0!</v>
      </c>
      <c r="IUF181" s="367" t="s">
        <v>206</v>
      </c>
      <c r="IUG181" s="367"/>
      <c r="IUH181" s="367"/>
      <c r="IUI181" s="368" t="s">
        <v>168</v>
      </c>
      <c r="IUJ181" s="369">
        <v>0.5</v>
      </c>
      <c r="IUK181" s="370" t="e">
        <f>10/IUG179</f>
        <v>#DIV/0!</v>
      </c>
      <c r="IUL181" s="371">
        <v>15.38</v>
      </c>
      <c r="IUM181" s="371" t="e">
        <f>IUJ181*IUK181*IUL181</f>
        <v>#DIV/0!</v>
      </c>
      <c r="IUN181" s="367" t="s">
        <v>206</v>
      </c>
      <c r="IUO181" s="367"/>
      <c r="IUP181" s="367"/>
      <c r="IUQ181" s="368" t="s">
        <v>168</v>
      </c>
      <c r="IUR181" s="369">
        <v>0.5</v>
      </c>
      <c r="IUS181" s="370" t="e">
        <f>10/IUO179</f>
        <v>#DIV/0!</v>
      </c>
      <c r="IUT181" s="371">
        <v>15.38</v>
      </c>
      <c r="IUU181" s="371" t="e">
        <f>IUR181*IUS181*IUT181</f>
        <v>#DIV/0!</v>
      </c>
      <c r="IUV181" s="367" t="s">
        <v>206</v>
      </c>
      <c r="IUW181" s="367"/>
      <c r="IUX181" s="367"/>
      <c r="IUY181" s="368" t="s">
        <v>168</v>
      </c>
      <c r="IUZ181" s="369">
        <v>0.5</v>
      </c>
      <c r="IVA181" s="370" t="e">
        <f>10/IUW179</f>
        <v>#DIV/0!</v>
      </c>
      <c r="IVB181" s="371">
        <v>15.38</v>
      </c>
      <c r="IVC181" s="371" t="e">
        <f>IUZ181*IVA181*IVB181</f>
        <v>#DIV/0!</v>
      </c>
      <c r="IVD181" s="367" t="s">
        <v>206</v>
      </c>
      <c r="IVE181" s="367"/>
      <c r="IVF181" s="367"/>
      <c r="IVG181" s="368" t="s">
        <v>168</v>
      </c>
      <c r="IVH181" s="369">
        <v>0.5</v>
      </c>
      <c r="IVI181" s="370" t="e">
        <f>10/IVE179</f>
        <v>#DIV/0!</v>
      </c>
      <c r="IVJ181" s="371">
        <v>15.38</v>
      </c>
      <c r="IVK181" s="371" t="e">
        <f>IVH181*IVI181*IVJ181</f>
        <v>#DIV/0!</v>
      </c>
      <c r="IVL181" s="367" t="s">
        <v>206</v>
      </c>
      <c r="IVM181" s="367"/>
      <c r="IVN181" s="367"/>
      <c r="IVO181" s="368" t="s">
        <v>168</v>
      </c>
      <c r="IVP181" s="369">
        <v>0.5</v>
      </c>
      <c r="IVQ181" s="370" t="e">
        <f>10/IVM179</f>
        <v>#DIV/0!</v>
      </c>
      <c r="IVR181" s="371">
        <v>15.38</v>
      </c>
      <c r="IVS181" s="371" t="e">
        <f>IVP181*IVQ181*IVR181</f>
        <v>#DIV/0!</v>
      </c>
      <c r="IVT181" s="367" t="s">
        <v>206</v>
      </c>
      <c r="IVU181" s="367"/>
      <c r="IVV181" s="367"/>
      <c r="IVW181" s="368" t="s">
        <v>168</v>
      </c>
      <c r="IVX181" s="369">
        <v>0.5</v>
      </c>
      <c r="IVY181" s="370" t="e">
        <f>10/IVU179</f>
        <v>#DIV/0!</v>
      </c>
      <c r="IVZ181" s="371">
        <v>15.38</v>
      </c>
      <c r="IWA181" s="371" t="e">
        <f>IVX181*IVY181*IVZ181</f>
        <v>#DIV/0!</v>
      </c>
      <c r="IWB181" s="367" t="s">
        <v>206</v>
      </c>
      <c r="IWC181" s="367"/>
      <c r="IWD181" s="367"/>
      <c r="IWE181" s="368" t="s">
        <v>168</v>
      </c>
      <c r="IWF181" s="369">
        <v>0.5</v>
      </c>
      <c r="IWG181" s="370" t="e">
        <f>10/IWC179</f>
        <v>#DIV/0!</v>
      </c>
      <c r="IWH181" s="371">
        <v>15.38</v>
      </c>
      <c r="IWI181" s="371" t="e">
        <f>IWF181*IWG181*IWH181</f>
        <v>#DIV/0!</v>
      </c>
      <c r="IWJ181" s="367" t="s">
        <v>206</v>
      </c>
      <c r="IWK181" s="367"/>
      <c r="IWL181" s="367"/>
      <c r="IWM181" s="368" t="s">
        <v>168</v>
      </c>
      <c r="IWN181" s="369">
        <v>0.5</v>
      </c>
      <c r="IWO181" s="370" t="e">
        <f>10/IWK179</f>
        <v>#DIV/0!</v>
      </c>
      <c r="IWP181" s="371">
        <v>15.38</v>
      </c>
      <c r="IWQ181" s="371" t="e">
        <f>IWN181*IWO181*IWP181</f>
        <v>#DIV/0!</v>
      </c>
      <c r="IWR181" s="367" t="s">
        <v>206</v>
      </c>
      <c r="IWS181" s="367"/>
      <c r="IWT181" s="367"/>
      <c r="IWU181" s="368" t="s">
        <v>168</v>
      </c>
      <c r="IWV181" s="369">
        <v>0.5</v>
      </c>
      <c r="IWW181" s="370" t="e">
        <f>10/IWS179</f>
        <v>#DIV/0!</v>
      </c>
      <c r="IWX181" s="371">
        <v>15.38</v>
      </c>
      <c r="IWY181" s="371" t="e">
        <f>IWV181*IWW181*IWX181</f>
        <v>#DIV/0!</v>
      </c>
      <c r="IWZ181" s="367" t="s">
        <v>206</v>
      </c>
      <c r="IXA181" s="367"/>
      <c r="IXB181" s="367"/>
      <c r="IXC181" s="368" t="s">
        <v>168</v>
      </c>
      <c r="IXD181" s="369">
        <v>0.5</v>
      </c>
      <c r="IXE181" s="370" t="e">
        <f>10/IXA179</f>
        <v>#DIV/0!</v>
      </c>
      <c r="IXF181" s="371">
        <v>15.38</v>
      </c>
      <c r="IXG181" s="371" t="e">
        <f>IXD181*IXE181*IXF181</f>
        <v>#DIV/0!</v>
      </c>
      <c r="IXH181" s="367" t="s">
        <v>206</v>
      </c>
      <c r="IXI181" s="367"/>
      <c r="IXJ181" s="367"/>
      <c r="IXK181" s="368" t="s">
        <v>168</v>
      </c>
      <c r="IXL181" s="369">
        <v>0.5</v>
      </c>
      <c r="IXM181" s="370" t="e">
        <f>10/IXI179</f>
        <v>#DIV/0!</v>
      </c>
      <c r="IXN181" s="371">
        <v>15.38</v>
      </c>
      <c r="IXO181" s="371" t="e">
        <f>IXL181*IXM181*IXN181</f>
        <v>#DIV/0!</v>
      </c>
      <c r="IXP181" s="367" t="s">
        <v>206</v>
      </c>
      <c r="IXQ181" s="367"/>
      <c r="IXR181" s="367"/>
      <c r="IXS181" s="368" t="s">
        <v>168</v>
      </c>
      <c r="IXT181" s="369">
        <v>0.5</v>
      </c>
      <c r="IXU181" s="370" t="e">
        <f>10/IXQ179</f>
        <v>#DIV/0!</v>
      </c>
      <c r="IXV181" s="371">
        <v>15.38</v>
      </c>
      <c r="IXW181" s="371" t="e">
        <f>IXT181*IXU181*IXV181</f>
        <v>#DIV/0!</v>
      </c>
      <c r="IXX181" s="367" t="s">
        <v>206</v>
      </c>
      <c r="IXY181" s="367"/>
      <c r="IXZ181" s="367"/>
      <c r="IYA181" s="368" t="s">
        <v>168</v>
      </c>
      <c r="IYB181" s="369">
        <v>0.5</v>
      </c>
      <c r="IYC181" s="370" t="e">
        <f>10/IXY179</f>
        <v>#DIV/0!</v>
      </c>
      <c r="IYD181" s="371">
        <v>15.38</v>
      </c>
      <c r="IYE181" s="371" t="e">
        <f>IYB181*IYC181*IYD181</f>
        <v>#DIV/0!</v>
      </c>
      <c r="IYF181" s="367" t="s">
        <v>206</v>
      </c>
      <c r="IYG181" s="367"/>
      <c r="IYH181" s="367"/>
      <c r="IYI181" s="368" t="s">
        <v>168</v>
      </c>
      <c r="IYJ181" s="369">
        <v>0.5</v>
      </c>
      <c r="IYK181" s="370" t="e">
        <f>10/IYG179</f>
        <v>#DIV/0!</v>
      </c>
      <c r="IYL181" s="371">
        <v>15.38</v>
      </c>
      <c r="IYM181" s="371" t="e">
        <f>IYJ181*IYK181*IYL181</f>
        <v>#DIV/0!</v>
      </c>
      <c r="IYN181" s="367" t="s">
        <v>206</v>
      </c>
      <c r="IYO181" s="367"/>
      <c r="IYP181" s="367"/>
      <c r="IYQ181" s="368" t="s">
        <v>168</v>
      </c>
      <c r="IYR181" s="369">
        <v>0.5</v>
      </c>
      <c r="IYS181" s="370" t="e">
        <f>10/IYO179</f>
        <v>#DIV/0!</v>
      </c>
      <c r="IYT181" s="371">
        <v>15.38</v>
      </c>
      <c r="IYU181" s="371" t="e">
        <f>IYR181*IYS181*IYT181</f>
        <v>#DIV/0!</v>
      </c>
      <c r="IYV181" s="367" t="s">
        <v>206</v>
      </c>
      <c r="IYW181" s="367"/>
      <c r="IYX181" s="367"/>
      <c r="IYY181" s="368" t="s">
        <v>168</v>
      </c>
      <c r="IYZ181" s="369">
        <v>0.5</v>
      </c>
      <c r="IZA181" s="370" t="e">
        <f>10/IYW179</f>
        <v>#DIV/0!</v>
      </c>
      <c r="IZB181" s="371">
        <v>15.38</v>
      </c>
      <c r="IZC181" s="371" t="e">
        <f>IYZ181*IZA181*IZB181</f>
        <v>#DIV/0!</v>
      </c>
      <c r="IZD181" s="367" t="s">
        <v>206</v>
      </c>
      <c r="IZE181" s="367"/>
      <c r="IZF181" s="367"/>
      <c r="IZG181" s="368" t="s">
        <v>168</v>
      </c>
      <c r="IZH181" s="369">
        <v>0.5</v>
      </c>
      <c r="IZI181" s="370" t="e">
        <f>10/IZE179</f>
        <v>#DIV/0!</v>
      </c>
      <c r="IZJ181" s="371">
        <v>15.38</v>
      </c>
      <c r="IZK181" s="371" t="e">
        <f>IZH181*IZI181*IZJ181</f>
        <v>#DIV/0!</v>
      </c>
      <c r="IZL181" s="367" t="s">
        <v>206</v>
      </c>
      <c r="IZM181" s="367"/>
      <c r="IZN181" s="367"/>
      <c r="IZO181" s="368" t="s">
        <v>168</v>
      </c>
      <c r="IZP181" s="369">
        <v>0.5</v>
      </c>
      <c r="IZQ181" s="370" t="e">
        <f>10/IZM179</f>
        <v>#DIV/0!</v>
      </c>
      <c r="IZR181" s="371">
        <v>15.38</v>
      </c>
      <c r="IZS181" s="371" t="e">
        <f>IZP181*IZQ181*IZR181</f>
        <v>#DIV/0!</v>
      </c>
      <c r="IZT181" s="367" t="s">
        <v>206</v>
      </c>
      <c r="IZU181" s="367"/>
      <c r="IZV181" s="367"/>
      <c r="IZW181" s="368" t="s">
        <v>168</v>
      </c>
      <c r="IZX181" s="369">
        <v>0.5</v>
      </c>
      <c r="IZY181" s="370" t="e">
        <f>10/IZU179</f>
        <v>#DIV/0!</v>
      </c>
      <c r="IZZ181" s="371">
        <v>15.38</v>
      </c>
      <c r="JAA181" s="371" t="e">
        <f>IZX181*IZY181*IZZ181</f>
        <v>#DIV/0!</v>
      </c>
      <c r="JAB181" s="367" t="s">
        <v>206</v>
      </c>
      <c r="JAC181" s="367"/>
      <c r="JAD181" s="367"/>
      <c r="JAE181" s="368" t="s">
        <v>168</v>
      </c>
      <c r="JAF181" s="369">
        <v>0.5</v>
      </c>
      <c r="JAG181" s="370" t="e">
        <f>10/JAC179</f>
        <v>#DIV/0!</v>
      </c>
      <c r="JAH181" s="371">
        <v>15.38</v>
      </c>
      <c r="JAI181" s="371" t="e">
        <f>JAF181*JAG181*JAH181</f>
        <v>#DIV/0!</v>
      </c>
      <c r="JAJ181" s="367" t="s">
        <v>206</v>
      </c>
      <c r="JAK181" s="367"/>
      <c r="JAL181" s="367"/>
      <c r="JAM181" s="368" t="s">
        <v>168</v>
      </c>
      <c r="JAN181" s="369">
        <v>0.5</v>
      </c>
      <c r="JAO181" s="370" t="e">
        <f>10/JAK179</f>
        <v>#DIV/0!</v>
      </c>
      <c r="JAP181" s="371">
        <v>15.38</v>
      </c>
      <c r="JAQ181" s="371" t="e">
        <f>JAN181*JAO181*JAP181</f>
        <v>#DIV/0!</v>
      </c>
      <c r="JAR181" s="367" t="s">
        <v>206</v>
      </c>
      <c r="JAS181" s="367"/>
      <c r="JAT181" s="367"/>
      <c r="JAU181" s="368" t="s">
        <v>168</v>
      </c>
      <c r="JAV181" s="369">
        <v>0.5</v>
      </c>
      <c r="JAW181" s="370" t="e">
        <f>10/JAS179</f>
        <v>#DIV/0!</v>
      </c>
      <c r="JAX181" s="371">
        <v>15.38</v>
      </c>
      <c r="JAY181" s="371" t="e">
        <f>JAV181*JAW181*JAX181</f>
        <v>#DIV/0!</v>
      </c>
      <c r="JAZ181" s="367" t="s">
        <v>206</v>
      </c>
      <c r="JBA181" s="367"/>
      <c r="JBB181" s="367"/>
      <c r="JBC181" s="368" t="s">
        <v>168</v>
      </c>
      <c r="JBD181" s="369">
        <v>0.5</v>
      </c>
      <c r="JBE181" s="370" t="e">
        <f>10/JBA179</f>
        <v>#DIV/0!</v>
      </c>
      <c r="JBF181" s="371">
        <v>15.38</v>
      </c>
      <c r="JBG181" s="371" t="e">
        <f>JBD181*JBE181*JBF181</f>
        <v>#DIV/0!</v>
      </c>
      <c r="JBH181" s="367" t="s">
        <v>206</v>
      </c>
      <c r="JBI181" s="367"/>
      <c r="JBJ181" s="367"/>
      <c r="JBK181" s="368" t="s">
        <v>168</v>
      </c>
      <c r="JBL181" s="369">
        <v>0.5</v>
      </c>
      <c r="JBM181" s="370" t="e">
        <f>10/JBI179</f>
        <v>#DIV/0!</v>
      </c>
      <c r="JBN181" s="371">
        <v>15.38</v>
      </c>
      <c r="JBO181" s="371" t="e">
        <f>JBL181*JBM181*JBN181</f>
        <v>#DIV/0!</v>
      </c>
      <c r="JBP181" s="367" t="s">
        <v>206</v>
      </c>
      <c r="JBQ181" s="367"/>
      <c r="JBR181" s="367"/>
      <c r="JBS181" s="368" t="s">
        <v>168</v>
      </c>
      <c r="JBT181" s="369">
        <v>0.5</v>
      </c>
      <c r="JBU181" s="370" t="e">
        <f>10/JBQ179</f>
        <v>#DIV/0!</v>
      </c>
      <c r="JBV181" s="371">
        <v>15.38</v>
      </c>
      <c r="JBW181" s="371" t="e">
        <f>JBT181*JBU181*JBV181</f>
        <v>#DIV/0!</v>
      </c>
      <c r="JBX181" s="367" t="s">
        <v>206</v>
      </c>
      <c r="JBY181" s="367"/>
      <c r="JBZ181" s="367"/>
      <c r="JCA181" s="368" t="s">
        <v>168</v>
      </c>
      <c r="JCB181" s="369">
        <v>0.5</v>
      </c>
      <c r="JCC181" s="370" t="e">
        <f>10/JBY179</f>
        <v>#DIV/0!</v>
      </c>
      <c r="JCD181" s="371">
        <v>15.38</v>
      </c>
      <c r="JCE181" s="371" t="e">
        <f>JCB181*JCC181*JCD181</f>
        <v>#DIV/0!</v>
      </c>
      <c r="JCF181" s="367" t="s">
        <v>206</v>
      </c>
      <c r="JCG181" s="367"/>
      <c r="JCH181" s="367"/>
      <c r="JCI181" s="368" t="s">
        <v>168</v>
      </c>
      <c r="JCJ181" s="369">
        <v>0.5</v>
      </c>
      <c r="JCK181" s="370" t="e">
        <f>10/JCG179</f>
        <v>#DIV/0!</v>
      </c>
      <c r="JCL181" s="371">
        <v>15.38</v>
      </c>
      <c r="JCM181" s="371" t="e">
        <f>JCJ181*JCK181*JCL181</f>
        <v>#DIV/0!</v>
      </c>
      <c r="JCN181" s="367" t="s">
        <v>206</v>
      </c>
      <c r="JCO181" s="367"/>
      <c r="JCP181" s="367"/>
      <c r="JCQ181" s="368" t="s">
        <v>168</v>
      </c>
      <c r="JCR181" s="369">
        <v>0.5</v>
      </c>
      <c r="JCS181" s="370" t="e">
        <f>10/JCO179</f>
        <v>#DIV/0!</v>
      </c>
      <c r="JCT181" s="371">
        <v>15.38</v>
      </c>
      <c r="JCU181" s="371" t="e">
        <f>JCR181*JCS181*JCT181</f>
        <v>#DIV/0!</v>
      </c>
      <c r="JCV181" s="367" t="s">
        <v>206</v>
      </c>
      <c r="JCW181" s="367"/>
      <c r="JCX181" s="367"/>
      <c r="JCY181" s="368" t="s">
        <v>168</v>
      </c>
      <c r="JCZ181" s="369">
        <v>0.5</v>
      </c>
      <c r="JDA181" s="370" t="e">
        <f>10/JCW179</f>
        <v>#DIV/0!</v>
      </c>
      <c r="JDB181" s="371">
        <v>15.38</v>
      </c>
      <c r="JDC181" s="371" t="e">
        <f>JCZ181*JDA181*JDB181</f>
        <v>#DIV/0!</v>
      </c>
      <c r="JDD181" s="367" t="s">
        <v>206</v>
      </c>
      <c r="JDE181" s="367"/>
      <c r="JDF181" s="367"/>
      <c r="JDG181" s="368" t="s">
        <v>168</v>
      </c>
      <c r="JDH181" s="369">
        <v>0.5</v>
      </c>
      <c r="JDI181" s="370" t="e">
        <f>10/JDE179</f>
        <v>#DIV/0!</v>
      </c>
      <c r="JDJ181" s="371">
        <v>15.38</v>
      </c>
      <c r="JDK181" s="371" t="e">
        <f>JDH181*JDI181*JDJ181</f>
        <v>#DIV/0!</v>
      </c>
      <c r="JDL181" s="367" t="s">
        <v>206</v>
      </c>
      <c r="JDM181" s="367"/>
      <c r="JDN181" s="367"/>
      <c r="JDO181" s="368" t="s">
        <v>168</v>
      </c>
      <c r="JDP181" s="369">
        <v>0.5</v>
      </c>
      <c r="JDQ181" s="370" t="e">
        <f>10/JDM179</f>
        <v>#DIV/0!</v>
      </c>
      <c r="JDR181" s="371">
        <v>15.38</v>
      </c>
      <c r="JDS181" s="371" t="e">
        <f>JDP181*JDQ181*JDR181</f>
        <v>#DIV/0!</v>
      </c>
      <c r="JDT181" s="367" t="s">
        <v>206</v>
      </c>
      <c r="JDU181" s="367"/>
      <c r="JDV181" s="367"/>
      <c r="JDW181" s="368" t="s">
        <v>168</v>
      </c>
      <c r="JDX181" s="369">
        <v>0.5</v>
      </c>
      <c r="JDY181" s="370" t="e">
        <f>10/JDU179</f>
        <v>#DIV/0!</v>
      </c>
      <c r="JDZ181" s="371">
        <v>15.38</v>
      </c>
      <c r="JEA181" s="371" t="e">
        <f>JDX181*JDY181*JDZ181</f>
        <v>#DIV/0!</v>
      </c>
      <c r="JEB181" s="367" t="s">
        <v>206</v>
      </c>
      <c r="JEC181" s="367"/>
      <c r="JED181" s="367"/>
      <c r="JEE181" s="368" t="s">
        <v>168</v>
      </c>
      <c r="JEF181" s="369">
        <v>0.5</v>
      </c>
      <c r="JEG181" s="370" t="e">
        <f>10/JEC179</f>
        <v>#DIV/0!</v>
      </c>
      <c r="JEH181" s="371">
        <v>15.38</v>
      </c>
      <c r="JEI181" s="371" t="e">
        <f>JEF181*JEG181*JEH181</f>
        <v>#DIV/0!</v>
      </c>
      <c r="JEJ181" s="367" t="s">
        <v>206</v>
      </c>
      <c r="JEK181" s="367"/>
      <c r="JEL181" s="367"/>
      <c r="JEM181" s="368" t="s">
        <v>168</v>
      </c>
      <c r="JEN181" s="369">
        <v>0.5</v>
      </c>
      <c r="JEO181" s="370" t="e">
        <f>10/JEK179</f>
        <v>#DIV/0!</v>
      </c>
      <c r="JEP181" s="371">
        <v>15.38</v>
      </c>
      <c r="JEQ181" s="371" t="e">
        <f>JEN181*JEO181*JEP181</f>
        <v>#DIV/0!</v>
      </c>
      <c r="JER181" s="367" t="s">
        <v>206</v>
      </c>
      <c r="JES181" s="367"/>
      <c r="JET181" s="367"/>
      <c r="JEU181" s="368" t="s">
        <v>168</v>
      </c>
      <c r="JEV181" s="369">
        <v>0.5</v>
      </c>
      <c r="JEW181" s="370" t="e">
        <f>10/JES179</f>
        <v>#DIV/0!</v>
      </c>
      <c r="JEX181" s="371">
        <v>15.38</v>
      </c>
      <c r="JEY181" s="371" t="e">
        <f>JEV181*JEW181*JEX181</f>
        <v>#DIV/0!</v>
      </c>
      <c r="JEZ181" s="367" t="s">
        <v>206</v>
      </c>
      <c r="JFA181" s="367"/>
      <c r="JFB181" s="367"/>
      <c r="JFC181" s="368" t="s">
        <v>168</v>
      </c>
      <c r="JFD181" s="369">
        <v>0.5</v>
      </c>
      <c r="JFE181" s="370" t="e">
        <f>10/JFA179</f>
        <v>#DIV/0!</v>
      </c>
      <c r="JFF181" s="371">
        <v>15.38</v>
      </c>
      <c r="JFG181" s="371" t="e">
        <f>JFD181*JFE181*JFF181</f>
        <v>#DIV/0!</v>
      </c>
      <c r="JFH181" s="367" t="s">
        <v>206</v>
      </c>
      <c r="JFI181" s="367"/>
      <c r="JFJ181" s="367"/>
      <c r="JFK181" s="368" t="s">
        <v>168</v>
      </c>
      <c r="JFL181" s="369">
        <v>0.5</v>
      </c>
      <c r="JFM181" s="370" t="e">
        <f>10/JFI179</f>
        <v>#DIV/0!</v>
      </c>
      <c r="JFN181" s="371">
        <v>15.38</v>
      </c>
      <c r="JFO181" s="371" t="e">
        <f>JFL181*JFM181*JFN181</f>
        <v>#DIV/0!</v>
      </c>
      <c r="JFP181" s="367" t="s">
        <v>206</v>
      </c>
      <c r="JFQ181" s="367"/>
      <c r="JFR181" s="367"/>
      <c r="JFS181" s="368" t="s">
        <v>168</v>
      </c>
      <c r="JFT181" s="369">
        <v>0.5</v>
      </c>
      <c r="JFU181" s="370" t="e">
        <f>10/JFQ179</f>
        <v>#DIV/0!</v>
      </c>
      <c r="JFV181" s="371">
        <v>15.38</v>
      </c>
      <c r="JFW181" s="371" t="e">
        <f>JFT181*JFU181*JFV181</f>
        <v>#DIV/0!</v>
      </c>
      <c r="JFX181" s="367" t="s">
        <v>206</v>
      </c>
      <c r="JFY181" s="367"/>
      <c r="JFZ181" s="367"/>
      <c r="JGA181" s="368" t="s">
        <v>168</v>
      </c>
      <c r="JGB181" s="369">
        <v>0.5</v>
      </c>
      <c r="JGC181" s="370" t="e">
        <f>10/JFY179</f>
        <v>#DIV/0!</v>
      </c>
      <c r="JGD181" s="371">
        <v>15.38</v>
      </c>
      <c r="JGE181" s="371" t="e">
        <f>JGB181*JGC181*JGD181</f>
        <v>#DIV/0!</v>
      </c>
      <c r="JGF181" s="367" t="s">
        <v>206</v>
      </c>
      <c r="JGG181" s="367"/>
      <c r="JGH181" s="367"/>
      <c r="JGI181" s="368" t="s">
        <v>168</v>
      </c>
      <c r="JGJ181" s="369">
        <v>0.5</v>
      </c>
      <c r="JGK181" s="370" t="e">
        <f>10/JGG179</f>
        <v>#DIV/0!</v>
      </c>
      <c r="JGL181" s="371">
        <v>15.38</v>
      </c>
      <c r="JGM181" s="371" t="e">
        <f>JGJ181*JGK181*JGL181</f>
        <v>#DIV/0!</v>
      </c>
      <c r="JGN181" s="367" t="s">
        <v>206</v>
      </c>
      <c r="JGO181" s="367"/>
      <c r="JGP181" s="367"/>
      <c r="JGQ181" s="368" t="s">
        <v>168</v>
      </c>
      <c r="JGR181" s="369">
        <v>0.5</v>
      </c>
      <c r="JGS181" s="370" t="e">
        <f>10/JGO179</f>
        <v>#DIV/0!</v>
      </c>
      <c r="JGT181" s="371">
        <v>15.38</v>
      </c>
      <c r="JGU181" s="371" t="e">
        <f>JGR181*JGS181*JGT181</f>
        <v>#DIV/0!</v>
      </c>
      <c r="JGV181" s="367" t="s">
        <v>206</v>
      </c>
      <c r="JGW181" s="367"/>
      <c r="JGX181" s="367"/>
      <c r="JGY181" s="368" t="s">
        <v>168</v>
      </c>
      <c r="JGZ181" s="369">
        <v>0.5</v>
      </c>
      <c r="JHA181" s="370" t="e">
        <f>10/JGW179</f>
        <v>#DIV/0!</v>
      </c>
      <c r="JHB181" s="371">
        <v>15.38</v>
      </c>
      <c r="JHC181" s="371" t="e">
        <f>JGZ181*JHA181*JHB181</f>
        <v>#DIV/0!</v>
      </c>
      <c r="JHD181" s="367" t="s">
        <v>206</v>
      </c>
      <c r="JHE181" s="367"/>
      <c r="JHF181" s="367"/>
      <c r="JHG181" s="368" t="s">
        <v>168</v>
      </c>
      <c r="JHH181" s="369">
        <v>0.5</v>
      </c>
      <c r="JHI181" s="370" t="e">
        <f>10/JHE179</f>
        <v>#DIV/0!</v>
      </c>
      <c r="JHJ181" s="371">
        <v>15.38</v>
      </c>
      <c r="JHK181" s="371" t="e">
        <f>JHH181*JHI181*JHJ181</f>
        <v>#DIV/0!</v>
      </c>
      <c r="JHL181" s="367" t="s">
        <v>206</v>
      </c>
      <c r="JHM181" s="367"/>
      <c r="JHN181" s="367"/>
      <c r="JHO181" s="368" t="s">
        <v>168</v>
      </c>
      <c r="JHP181" s="369">
        <v>0.5</v>
      </c>
      <c r="JHQ181" s="370" t="e">
        <f>10/JHM179</f>
        <v>#DIV/0!</v>
      </c>
      <c r="JHR181" s="371">
        <v>15.38</v>
      </c>
      <c r="JHS181" s="371" t="e">
        <f>JHP181*JHQ181*JHR181</f>
        <v>#DIV/0!</v>
      </c>
      <c r="JHT181" s="367" t="s">
        <v>206</v>
      </c>
      <c r="JHU181" s="367"/>
      <c r="JHV181" s="367"/>
      <c r="JHW181" s="368" t="s">
        <v>168</v>
      </c>
      <c r="JHX181" s="369">
        <v>0.5</v>
      </c>
      <c r="JHY181" s="370" t="e">
        <f>10/JHU179</f>
        <v>#DIV/0!</v>
      </c>
      <c r="JHZ181" s="371">
        <v>15.38</v>
      </c>
      <c r="JIA181" s="371" t="e">
        <f>JHX181*JHY181*JHZ181</f>
        <v>#DIV/0!</v>
      </c>
      <c r="JIB181" s="367" t="s">
        <v>206</v>
      </c>
      <c r="JIC181" s="367"/>
      <c r="JID181" s="367"/>
      <c r="JIE181" s="368" t="s">
        <v>168</v>
      </c>
      <c r="JIF181" s="369">
        <v>0.5</v>
      </c>
      <c r="JIG181" s="370" t="e">
        <f>10/JIC179</f>
        <v>#DIV/0!</v>
      </c>
      <c r="JIH181" s="371">
        <v>15.38</v>
      </c>
      <c r="JII181" s="371" t="e">
        <f>JIF181*JIG181*JIH181</f>
        <v>#DIV/0!</v>
      </c>
      <c r="JIJ181" s="367" t="s">
        <v>206</v>
      </c>
      <c r="JIK181" s="367"/>
      <c r="JIL181" s="367"/>
      <c r="JIM181" s="368" t="s">
        <v>168</v>
      </c>
      <c r="JIN181" s="369">
        <v>0.5</v>
      </c>
      <c r="JIO181" s="370" t="e">
        <f>10/JIK179</f>
        <v>#DIV/0!</v>
      </c>
      <c r="JIP181" s="371">
        <v>15.38</v>
      </c>
      <c r="JIQ181" s="371" t="e">
        <f>JIN181*JIO181*JIP181</f>
        <v>#DIV/0!</v>
      </c>
      <c r="JIR181" s="367" t="s">
        <v>206</v>
      </c>
      <c r="JIS181" s="367"/>
      <c r="JIT181" s="367"/>
      <c r="JIU181" s="368" t="s">
        <v>168</v>
      </c>
      <c r="JIV181" s="369">
        <v>0.5</v>
      </c>
      <c r="JIW181" s="370" t="e">
        <f>10/JIS179</f>
        <v>#DIV/0!</v>
      </c>
      <c r="JIX181" s="371">
        <v>15.38</v>
      </c>
      <c r="JIY181" s="371" t="e">
        <f>JIV181*JIW181*JIX181</f>
        <v>#DIV/0!</v>
      </c>
      <c r="JIZ181" s="367" t="s">
        <v>206</v>
      </c>
      <c r="JJA181" s="367"/>
      <c r="JJB181" s="367"/>
      <c r="JJC181" s="368" t="s">
        <v>168</v>
      </c>
      <c r="JJD181" s="369">
        <v>0.5</v>
      </c>
      <c r="JJE181" s="370" t="e">
        <f>10/JJA179</f>
        <v>#DIV/0!</v>
      </c>
      <c r="JJF181" s="371">
        <v>15.38</v>
      </c>
      <c r="JJG181" s="371" t="e">
        <f>JJD181*JJE181*JJF181</f>
        <v>#DIV/0!</v>
      </c>
      <c r="JJH181" s="367" t="s">
        <v>206</v>
      </c>
      <c r="JJI181" s="367"/>
      <c r="JJJ181" s="367"/>
      <c r="JJK181" s="368" t="s">
        <v>168</v>
      </c>
      <c r="JJL181" s="369">
        <v>0.5</v>
      </c>
      <c r="JJM181" s="370" t="e">
        <f>10/JJI179</f>
        <v>#DIV/0!</v>
      </c>
      <c r="JJN181" s="371">
        <v>15.38</v>
      </c>
      <c r="JJO181" s="371" t="e">
        <f>JJL181*JJM181*JJN181</f>
        <v>#DIV/0!</v>
      </c>
      <c r="JJP181" s="367" t="s">
        <v>206</v>
      </c>
      <c r="JJQ181" s="367"/>
      <c r="JJR181" s="367"/>
      <c r="JJS181" s="368" t="s">
        <v>168</v>
      </c>
      <c r="JJT181" s="369">
        <v>0.5</v>
      </c>
      <c r="JJU181" s="370" t="e">
        <f>10/JJQ179</f>
        <v>#DIV/0!</v>
      </c>
      <c r="JJV181" s="371">
        <v>15.38</v>
      </c>
      <c r="JJW181" s="371" t="e">
        <f>JJT181*JJU181*JJV181</f>
        <v>#DIV/0!</v>
      </c>
      <c r="JJX181" s="367" t="s">
        <v>206</v>
      </c>
      <c r="JJY181" s="367"/>
      <c r="JJZ181" s="367"/>
      <c r="JKA181" s="368" t="s">
        <v>168</v>
      </c>
      <c r="JKB181" s="369">
        <v>0.5</v>
      </c>
      <c r="JKC181" s="370" t="e">
        <f>10/JJY179</f>
        <v>#DIV/0!</v>
      </c>
      <c r="JKD181" s="371">
        <v>15.38</v>
      </c>
      <c r="JKE181" s="371" t="e">
        <f>JKB181*JKC181*JKD181</f>
        <v>#DIV/0!</v>
      </c>
      <c r="JKF181" s="367" t="s">
        <v>206</v>
      </c>
      <c r="JKG181" s="367"/>
      <c r="JKH181" s="367"/>
      <c r="JKI181" s="368" t="s">
        <v>168</v>
      </c>
      <c r="JKJ181" s="369">
        <v>0.5</v>
      </c>
      <c r="JKK181" s="370" t="e">
        <f>10/JKG179</f>
        <v>#DIV/0!</v>
      </c>
      <c r="JKL181" s="371">
        <v>15.38</v>
      </c>
      <c r="JKM181" s="371" t="e">
        <f>JKJ181*JKK181*JKL181</f>
        <v>#DIV/0!</v>
      </c>
      <c r="JKN181" s="367" t="s">
        <v>206</v>
      </c>
      <c r="JKO181" s="367"/>
      <c r="JKP181" s="367"/>
      <c r="JKQ181" s="368" t="s">
        <v>168</v>
      </c>
      <c r="JKR181" s="369">
        <v>0.5</v>
      </c>
      <c r="JKS181" s="370" t="e">
        <f>10/JKO179</f>
        <v>#DIV/0!</v>
      </c>
      <c r="JKT181" s="371">
        <v>15.38</v>
      </c>
      <c r="JKU181" s="371" t="e">
        <f>JKR181*JKS181*JKT181</f>
        <v>#DIV/0!</v>
      </c>
      <c r="JKV181" s="367" t="s">
        <v>206</v>
      </c>
      <c r="JKW181" s="367"/>
      <c r="JKX181" s="367"/>
      <c r="JKY181" s="368" t="s">
        <v>168</v>
      </c>
      <c r="JKZ181" s="369">
        <v>0.5</v>
      </c>
      <c r="JLA181" s="370" t="e">
        <f>10/JKW179</f>
        <v>#DIV/0!</v>
      </c>
      <c r="JLB181" s="371">
        <v>15.38</v>
      </c>
      <c r="JLC181" s="371" t="e">
        <f>JKZ181*JLA181*JLB181</f>
        <v>#DIV/0!</v>
      </c>
      <c r="JLD181" s="367" t="s">
        <v>206</v>
      </c>
      <c r="JLE181" s="367"/>
      <c r="JLF181" s="367"/>
      <c r="JLG181" s="368" t="s">
        <v>168</v>
      </c>
      <c r="JLH181" s="369">
        <v>0.5</v>
      </c>
      <c r="JLI181" s="370" t="e">
        <f>10/JLE179</f>
        <v>#DIV/0!</v>
      </c>
      <c r="JLJ181" s="371">
        <v>15.38</v>
      </c>
      <c r="JLK181" s="371" t="e">
        <f>JLH181*JLI181*JLJ181</f>
        <v>#DIV/0!</v>
      </c>
      <c r="JLL181" s="367" t="s">
        <v>206</v>
      </c>
      <c r="JLM181" s="367"/>
      <c r="JLN181" s="367"/>
      <c r="JLO181" s="368" t="s">
        <v>168</v>
      </c>
      <c r="JLP181" s="369">
        <v>0.5</v>
      </c>
      <c r="JLQ181" s="370" t="e">
        <f>10/JLM179</f>
        <v>#DIV/0!</v>
      </c>
      <c r="JLR181" s="371">
        <v>15.38</v>
      </c>
      <c r="JLS181" s="371" t="e">
        <f>JLP181*JLQ181*JLR181</f>
        <v>#DIV/0!</v>
      </c>
      <c r="JLT181" s="367" t="s">
        <v>206</v>
      </c>
      <c r="JLU181" s="367"/>
      <c r="JLV181" s="367"/>
      <c r="JLW181" s="368" t="s">
        <v>168</v>
      </c>
      <c r="JLX181" s="369">
        <v>0.5</v>
      </c>
      <c r="JLY181" s="370" t="e">
        <f>10/JLU179</f>
        <v>#DIV/0!</v>
      </c>
      <c r="JLZ181" s="371">
        <v>15.38</v>
      </c>
      <c r="JMA181" s="371" t="e">
        <f>JLX181*JLY181*JLZ181</f>
        <v>#DIV/0!</v>
      </c>
      <c r="JMB181" s="367" t="s">
        <v>206</v>
      </c>
      <c r="JMC181" s="367"/>
      <c r="JMD181" s="367"/>
      <c r="JME181" s="368" t="s">
        <v>168</v>
      </c>
      <c r="JMF181" s="369">
        <v>0.5</v>
      </c>
      <c r="JMG181" s="370" t="e">
        <f>10/JMC179</f>
        <v>#DIV/0!</v>
      </c>
      <c r="JMH181" s="371">
        <v>15.38</v>
      </c>
      <c r="JMI181" s="371" t="e">
        <f>JMF181*JMG181*JMH181</f>
        <v>#DIV/0!</v>
      </c>
      <c r="JMJ181" s="367" t="s">
        <v>206</v>
      </c>
      <c r="JMK181" s="367"/>
      <c r="JML181" s="367"/>
      <c r="JMM181" s="368" t="s">
        <v>168</v>
      </c>
      <c r="JMN181" s="369">
        <v>0.5</v>
      </c>
      <c r="JMO181" s="370" t="e">
        <f>10/JMK179</f>
        <v>#DIV/0!</v>
      </c>
      <c r="JMP181" s="371">
        <v>15.38</v>
      </c>
      <c r="JMQ181" s="371" t="e">
        <f>JMN181*JMO181*JMP181</f>
        <v>#DIV/0!</v>
      </c>
      <c r="JMR181" s="367" t="s">
        <v>206</v>
      </c>
      <c r="JMS181" s="367"/>
      <c r="JMT181" s="367"/>
      <c r="JMU181" s="368" t="s">
        <v>168</v>
      </c>
      <c r="JMV181" s="369">
        <v>0.5</v>
      </c>
      <c r="JMW181" s="370" t="e">
        <f>10/JMS179</f>
        <v>#DIV/0!</v>
      </c>
      <c r="JMX181" s="371">
        <v>15.38</v>
      </c>
      <c r="JMY181" s="371" t="e">
        <f>JMV181*JMW181*JMX181</f>
        <v>#DIV/0!</v>
      </c>
      <c r="JMZ181" s="367" t="s">
        <v>206</v>
      </c>
      <c r="JNA181" s="367"/>
      <c r="JNB181" s="367"/>
      <c r="JNC181" s="368" t="s">
        <v>168</v>
      </c>
      <c r="JND181" s="369">
        <v>0.5</v>
      </c>
      <c r="JNE181" s="370" t="e">
        <f>10/JNA179</f>
        <v>#DIV/0!</v>
      </c>
      <c r="JNF181" s="371">
        <v>15.38</v>
      </c>
      <c r="JNG181" s="371" t="e">
        <f>JND181*JNE181*JNF181</f>
        <v>#DIV/0!</v>
      </c>
      <c r="JNH181" s="367" t="s">
        <v>206</v>
      </c>
      <c r="JNI181" s="367"/>
      <c r="JNJ181" s="367"/>
      <c r="JNK181" s="368" t="s">
        <v>168</v>
      </c>
      <c r="JNL181" s="369">
        <v>0.5</v>
      </c>
      <c r="JNM181" s="370" t="e">
        <f>10/JNI179</f>
        <v>#DIV/0!</v>
      </c>
      <c r="JNN181" s="371">
        <v>15.38</v>
      </c>
      <c r="JNO181" s="371" t="e">
        <f>JNL181*JNM181*JNN181</f>
        <v>#DIV/0!</v>
      </c>
      <c r="JNP181" s="367" t="s">
        <v>206</v>
      </c>
      <c r="JNQ181" s="367"/>
      <c r="JNR181" s="367"/>
      <c r="JNS181" s="368" t="s">
        <v>168</v>
      </c>
      <c r="JNT181" s="369">
        <v>0.5</v>
      </c>
      <c r="JNU181" s="370" t="e">
        <f>10/JNQ179</f>
        <v>#DIV/0!</v>
      </c>
      <c r="JNV181" s="371">
        <v>15.38</v>
      </c>
      <c r="JNW181" s="371" t="e">
        <f>JNT181*JNU181*JNV181</f>
        <v>#DIV/0!</v>
      </c>
      <c r="JNX181" s="367" t="s">
        <v>206</v>
      </c>
      <c r="JNY181" s="367"/>
      <c r="JNZ181" s="367"/>
      <c r="JOA181" s="368" t="s">
        <v>168</v>
      </c>
      <c r="JOB181" s="369">
        <v>0.5</v>
      </c>
      <c r="JOC181" s="370" t="e">
        <f>10/JNY179</f>
        <v>#DIV/0!</v>
      </c>
      <c r="JOD181" s="371">
        <v>15.38</v>
      </c>
      <c r="JOE181" s="371" t="e">
        <f>JOB181*JOC181*JOD181</f>
        <v>#DIV/0!</v>
      </c>
      <c r="JOF181" s="367" t="s">
        <v>206</v>
      </c>
      <c r="JOG181" s="367"/>
      <c r="JOH181" s="367"/>
      <c r="JOI181" s="368" t="s">
        <v>168</v>
      </c>
      <c r="JOJ181" s="369">
        <v>0.5</v>
      </c>
      <c r="JOK181" s="370" t="e">
        <f>10/JOG179</f>
        <v>#DIV/0!</v>
      </c>
      <c r="JOL181" s="371">
        <v>15.38</v>
      </c>
      <c r="JOM181" s="371" t="e">
        <f>JOJ181*JOK181*JOL181</f>
        <v>#DIV/0!</v>
      </c>
      <c r="JON181" s="367" t="s">
        <v>206</v>
      </c>
      <c r="JOO181" s="367"/>
      <c r="JOP181" s="367"/>
      <c r="JOQ181" s="368" t="s">
        <v>168</v>
      </c>
      <c r="JOR181" s="369">
        <v>0.5</v>
      </c>
      <c r="JOS181" s="370" t="e">
        <f>10/JOO179</f>
        <v>#DIV/0!</v>
      </c>
      <c r="JOT181" s="371">
        <v>15.38</v>
      </c>
      <c r="JOU181" s="371" t="e">
        <f>JOR181*JOS181*JOT181</f>
        <v>#DIV/0!</v>
      </c>
      <c r="JOV181" s="367" t="s">
        <v>206</v>
      </c>
      <c r="JOW181" s="367"/>
      <c r="JOX181" s="367"/>
      <c r="JOY181" s="368" t="s">
        <v>168</v>
      </c>
      <c r="JOZ181" s="369">
        <v>0.5</v>
      </c>
      <c r="JPA181" s="370" t="e">
        <f>10/JOW179</f>
        <v>#DIV/0!</v>
      </c>
      <c r="JPB181" s="371">
        <v>15.38</v>
      </c>
      <c r="JPC181" s="371" t="e">
        <f>JOZ181*JPA181*JPB181</f>
        <v>#DIV/0!</v>
      </c>
      <c r="JPD181" s="367" t="s">
        <v>206</v>
      </c>
      <c r="JPE181" s="367"/>
      <c r="JPF181" s="367"/>
      <c r="JPG181" s="368" t="s">
        <v>168</v>
      </c>
      <c r="JPH181" s="369">
        <v>0.5</v>
      </c>
      <c r="JPI181" s="370" t="e">
        <f>10/JPE179</f>
        <v>#DIV/0!</v>
      </c>
      <c r="JPJ181" s="371">
        <v>15.38</v>
      </c>
      <c r="JPK181" s="371" t="e">
        <f>JPH181*JPI181*JPJ181</f>
        <v>#DIV/0!</v>
      </c>
      <c r="JPL181" s="367" t="s">
        <v>206</v>
      </c>
      <c r="JPM181" s="367"/>
      <c r="JPN181" s="367"/>
      <c r="JPO181" s="368" t="s">
        <v>168</v>
      </c>
      <c r="JPP181" s="369">
        <v>0.5</v>
      </c>
      <c r="JPQ181" s="370" t="e">
        <f>10/JPM179</f>
        <v>#DIV/0!</v>
      </c>
      <c r="JPR181" s="371">
        <v>15.38</v>
      </c>
      <c r="JPS181" s="371" t="e">
        <f>JPP181*JPQ181*JPR181</f>
        <v>#DIV/0!</v>
      </c>
      <c r="JPT181" s="367" t="s">
        <v>206</v>
      </c>
      <c r="JPU181" s="367"/>
      <c r="JPV181" s="367"/>
      <c r="JPW181" s="368" t="s">
        <v>168</v>
      </c>
      <c r="JPX181" s="369">
        <v>0.5</v>
      </c>
      <c r="JPY181" s="370" t="e">
        <f>10/JPU179</f>
        <v>#DIV/0!</v>
      </c>
      <c r="JPZ181" s="371">
        <v>15.38</v>
      </c>
      <c r="JQA181" s="371" t="e">
        <f>JPX181*JPY181*JPZ181</f>
        <v>#DIV/0!</v>
      </c>
      <c r="JQB181" s="367" t="s">
        <v>206</v>
      </c>
      <c r="JQC181" s="367"/>
      <c r="JQD181" s="367"/>
      <c r="JQE181" s="368" t="s">
        <v>168</v>
      </c>
      <c r="JQF181" s="369">
        <v>0.5</v>
      </c>
      <c r="JQG181" s="370" t="e">
        <f>10/JQC179</f>
        <v>#DIV/0!</v>
      </c>
      <c r="JQH181" s="371">
        <v>15.38</v>
      </c>
      <c r="JQI181" s="371" t="e">
        <f>JQF181*JQG181*JQH181</f>
        <v>#DIV/0!</v>
      </c>
      <c r="JQJ181" s="367" t="s">
        <v>206</v>
      </c>
      <c r="JQK181" s="367"/>
      <c r="JQL181" s="367"/>
      <c r="JQM181" s="368" t="s">
        <v>168</v>
      </c>
      <c r="JQN181" s="369">
        <v>0.5</v>
      </c>
      <c r="JQO181" s="370" t="e">
        <f>10/JQK179</f>
        <v>#DIV/0!</v>
      </c>
      <c r="JQP181" s="371">
        <v>15.38</v>
      </c>
      <c r="JQQ181" s="371" t="e">
        <f>JQN181*JQO181*JQP181</f>
        <v>#DIV/0!</v>
      </c>
      <c r="JQR181" s="367" t="s">
        <v>206</v>
      </c>
      <c r="JQS181" s="367"/>
      <c r="JQT181" s="367"/>
      <c r="JQU181" s="368" t="s">
        <v>168</v>
      </c>
      <c r="JQV181" s="369">
        <v>0.5</v>
      </c>
      <c r="JQW181" s="370" t="e">
        <f>10/JQS179</f>
        <v>#DIV/0!</v>
      </c>
      <c r="JQX181" s="371">
        <v>15.38</v>
      </c>
      <c r="JQY181" s="371" t="e">
        <f>JQV181*JQW181*JQX181</f>
        <v>#DIV/0!</v>
      </c>
      <c r="JQZ181" s="367" t="s">
        <v>206</v>
      </c>
      <c r="JRA181" s="367"/>
      <c r="JRB181" s="367"/>
      <c r="JRC181" s="368" t="s">
        <v>168</v>
      </c>
      <c r="JRD181" s="369">
        <v>0.5</v>
      </c>
      <c r="JRE181" s="370" t="e">
        <f>10/JRA179</f>
        <v>#DIV/0!</v>
      </c>
      <c r="JRF181" s="371">
        <v>15.38</v>
      </c>
      <c r="JRG181" s="371" t="e">
        <f>JRD181*JRE181*JRF181</f>
        <v>#DIV/0!</v>
      </c>
      <c r="JRH181" s="367" t="s">
        <v>206</v>
      </c>
      <c r="JRI181" s="367"/>
      <c r="JRJ181" s="367"/>
      <c r="JRK181" s="368" t="s">
        <v>168</v>
      </c>
      <c r="JRL181" s="369">
        <v>0.5</v>
      </c>
      <c r="JRM181" s="370" t="e">
        <f>10/JRI179</f>
        <v>#DIV/0!</v>
      </c>
      <c r="JRN181" s="371">
        <v>15.38</v>
      </c>
      <c r="JRO181" s="371" t="e">
        <f>JRL181*JRM181*JRN181</f>
        <v>#DIV/0!</v>
      </c>
      <c r="JRP181" s="367" t="s">
        <v>206</v>
      </c>
      <c r="JRQ181" s="367"/>
      <c r="JRR181" s="367"/>
      <c r="JRS181" s="368" t="s">
        <v>168</v>
      </c>
      <c r="JRT181" s="369">
        <v>0.5</v>
      </c>
      <c r="JRU181" s="370" t="e">
        <f>10/JRQ179</f>
        <v>#DIV/0!</v>
      </c>
      <c r="JRV181" s="371">
        <v>15.38</v>
      </c>
      <c r="JRW181" s="371" t="e">
        <f>JRT181*JRU181*JRV181</f>
        <v>#DIV/0!</v>
      </c>
      <c r="JRX181" s="367" t="s">
        <v>206</v>
      </c>
      <c r="JRY181" s="367"/>
      <c r="JRZ181" s="367"/>
      <c r="JSA181" s="368" t="s">
        <v>168</v>
      </c>
      <c r="JSB181" s="369">
        <v>0.5</v>
      </c>
      <c r="JSC181" s="370" t="e">
        <f>10/JRY179</f>
        <v>#DIV/0!</v>
      </c>
      <c r="JSD181" s="371">
        <v>15.38</v>
      </c>
      <c r="JSE181" s="371" t="e">
        <f>JSB181*JSC181*JSD181</f>
        <v>#DIV/0!</v>
      </c>
      <c r="JSF181" s="367" t="s">
        <v>206</v>
      </c>
      <c r="JSG181" s="367"/>
      <c r="JSH181" s="367"/>
      <c r="JSI181" s="368" t="s">
        <v>168</v>
      </c>
      <c r="JSJ181" s="369">
        <v>0.5</v>
      </c>
      <c r="JSK181" s="370" t="e">
        <f>10/JSG179</f>
        <v>#DIV/0!</v>
      </c>
      <c r="JSL181" s="371">
        <v>15.38</v>
      </c>
      <c r="JSM181" s="371" t="e">
        <f>JSJ181*JSK181*JSL181</f>
        <v>#DIV/0!</v>
      </c>
      <c r="JSN181" s="367" t="s">
        <v>206</v>
      </c>
      <c r="JSO181" s="367"/>
      <c r="JSP181" s="367"/>
      <c r="JSQ181" s="368" t="s">
        <v>168</v>
      </c>
      <c r="JSR181" s="369">
        <v>0.5</v>
      </c>
      <c r="JSS181" s="370" t="e">
        <f>10/JSO179</f>
        <v>#DIV/0!</v>
      </c>
      <c r="JST181" s="371">
        <v>15.38</v>
      </c>
      <c r="JSU181" s="371" t="e">
        <f>JSR181*JSS181*JST181</f>
        <v>#DIV/0!</v>
      </c>
      <c r="JSV181" s="367" t="s">
        <v>206</v>
      </c>
      <c r="JSW181" s="367"/>
      <c r="JSX181" s="367"/>
      <c r="JSY181" s="368" t="s">
        <v>168</v>
      </c>
      <c r="JSZ181" s="369">
        <v>0.5</v>
      </c>
      <c r="JTA181" s="370" t="e">
        <f>10/JSW179</f>
        <v>#DIV/0!</v>
      </c>
      <c r="JTB181" s="371">
        <v>15.38</v>
      </c>
      <c r="JTC181" s="371" t="e">
        <f>JSZ181*JTA181*JTB181</f>
        <v>#DIV/0!</v>
      </c>
      <c r="JTD181" s="367" t="s">
        <v>206</v>
      </c>
      <c r="JTE181" s="367"/>
      <c r="JTF181" s="367"/>
      <c r="JTG181" s="368" t="s">
        <v>168</v>
      </c>
      <c r="JTH181" s="369">
        <v>0.5</v>
      </c>
      <c r="JTI181" s="370" t="e">
        <f>10/JTE179</f>
        <v>#DIV/0!</v>
      </c>
      <c r="JTJ181" s="371">
        <v>15.38</v>
      </c>
      <c r="JTK181" s="371" t="e">
        <f>JTH181*JTI181*JTJ181</f>
        <v>#DIV/0!</v>
      </c>
      <c r="JTL181" s="367" t="s">
        <v>206</v>
      </c>
      <c r="JTM181" s="367"/>
      <c r="JTN181" s="367"/>
      <c r="JTO181" s="368" t="s">
        <v>168</v>
      </c>
      <c r="JTP181" s="369">
        <v>0.5</v>
      </c>
      <c r="JTQ181" s="370" t="e">
        <f>10/JTM179</f>
        <v>#DIV/0!</v>
      </c>
      <c r="JTR181" s="371">
        <v>15.38</v>
      </c>
      <c r="JTS181" s="371" t="e">
        <f>JTP181*JTQ181*JTR181</f>
        <v>#DIV/0!</v>
      </c>
      <c r="JTT181" s="367" t="s">
        <v>206</v>
      </c>
      <c r="JTU181" s="367"/>
      <c r="JTV181" s="367"/>
      <c r="JTW181" s="368" t="s">
        <v>168</v>
      </c>
      <c r="JTX181" s="369">
        <v>0.5</v>
      </c>
      <c r="JTY181" s="370" t="e">
        <f>10/JTU179</f>
        <v>#DIV/0!</v>
      </c>
      <c r="JTZ181" s="371">
        <v>15.38</v>
      </c>
      <c r="JUA181" s="371" t="e">
        <f>JTX181*JTY181*JTZ181</f>
        <v>#DIV/0!</v>
      </c>
      <c r="JUB181" s="367" t="s">
        <v>206</v>
      </c>
      <c r="JUC181" s="367"/>
      <c r="JUD181" s="367"/>
      <c r="JUE181" s="368" t="s">
        <v>168</v>
      </c>
      <c r="JUF181" s="369">
        <v>0.5</v>
      </c>
      <c r="JUG181" s="370" t="e">
        <f>10/JUC179</f>
        <v>#DIV/0!</v>
      </c>
      <c r="JUH181" s="371">
        <v>15.38</v>
      </c>
      <c r="JUI181" s="371" t="e">
        <f>JUF181*JUG181*JUH181</f>
        <v>#DIV/0!</v>
      </c>
      <c r="JUJ181" s="367" t="s">
        <v>206</v>
      </c>
      <c r="JUK181" s="367"/>
      <c r="JUL181" s="367"/>
      <c r="JUM181" s="368" t="s">
        <v>168</v>
      </c>
      <c r="JUN181" s="369">
        <v>0.5</v>
      </c>
      <c r="JUO181" s="370" t="e">
        <f>10/JUK179</f>
        <v>#DIV/0!</v>
      </c>
      <c r="JUP181" s="371">
        <v>15.38</v>
      </c>
      <c r="JUQ181" s="371" t="e">
        <f>JUN181*JUO181*JUP181</f>
        <v>#DIV/0!</v>
      </c>
      <c r="JUR181" s="367" t="s">
        <v>206</v>
      </c>
      <c r="JUS181" s="367"/>
      <c r="JUT181" s="367"/>
      <c r="JUU181" s="368" t="s">
        <v>168</v>
      </c>
      <c r="JUV181" s="369">
        <v>0.5</v>
      </c>
      <c r="JUW181" s="370" t="e">
        <f>10/JUS179</f>
        <v>#DIV/0!</v>
      </c>
      <c r="JUX181" s="371">
        <v>15.38</v>
      </c>
      <c r="JUY181" s="371" t="e">
        <f>JUV181*JUW181*JUX181</f>
        <v>#DIV/0!</v>
      </c>
      <c r="JUZ181" s="367" t="s">
        <v>206</v>
      </c>
      <c r="JVA181" s="367"/>
      <c r="JVB181" s="367"/>
      <c r="JVC181" s="368" t="s">
        <v>168</v>
      </c>
      <c r="JVD181" s="369">
        <v>0.5</v>
      </c>
      <c r="JVE181" s="370" t="e">
        <f>10/JVA179</f>
        <v>#DIV/0!</v>
      </c>
      <c r="JVF181" s="371">
        <v>15.38</v>
      </c>
      <c r="JVG181" s="371" t="e">
        <f>JVD181*JVE181*JVF181</f>
        <v>#DIV/0!</v>
      </c>
      <c r="JVH181" s="367" t="s">
        <v>206</v>
      </c>
      <c r="JVI181" s="367"/>
      <c r="JVJ181" s="367"/>
      <c r="JVK181" s="368" t="s">
        <v>168</v>
      </c>
      <c r="JVL181" s="369">
        <v>0.5</v>
      </c>
      <c r="JVM181" s="370" t="e">
        <f>10/JVI179</f>
        <v>#DIV/0!</v>
      </c>
      <c r="JVN181" s="371">
        <v>15.38</v>
      </c>
      <c r="JVO181" s="371" t="e">
        <f>JVL181*JVM181*JVN181</f>
        <v>#DIV/0!</v>
      </c>
      <c r="JVP181" s="367" t="s">
        <v>206</v>
      </c>
      <c r="JVQ181" s="367"/>
      <c r="JVR181" s="367"/>
      <c r="JVS181" s="368" t="s">
        <v>168</v>
      </c>
      <c r="JVT181" s="369">
        <v>0.5</v>
      </c>
      <c r="JVU181" s="370" t="e">
        <f>10/JVQ179</f>
        <v>#DIV/0!</v>
      </c>
      <c r="JVV181" s="371">
        <v>15.38</v>
      </c>
      <c r="JVW181" s="371" t="e">
        <f>JVT181*JVU181*JVV181</f>
        <v>#DIV/0!</v>
      </c>
      <c r="JVX181" s="367" t="s">
        <v>206</v>
      </c>
      <c r="JVY181" s="367"/>
      <c r="JVZ181" s="367"/>
      <c r="JWA181" s="368" t="s">
        <v>168</v>
      </c>
      <c r="JWB181" s="369">
        <v>0.5</v>
      </c>
      <c r="JWC181" s="370" t="e">
        <f>10/JVY179</f>
        <v>#DIV/0!</v>
      </c>
      <c r="JWD181" s="371">
        <v>15.38</v>
      </c>
      <c r="JWE181" s="371" t="e">
        <f>JWB181*JWC181*JWD181</f>
        <v>#DIV/0!</v>
      </c>
      <c r="JWF181" s="367" t="s">
        <v>206</v>
      </c>
      <c r="JWG181" s="367"/>
      <c r="JWH181" s="367"/>
      <c r="JWI181" s="368" t="s">
        <v>168</v>
      </c>
      <c r="JWJ181" s="369">
        <v>0.5</v>
      </c>
      <c r="JWK181" s="370" t="e">
        <f>10/JWG179</f>
        <v>#DIV/0!</v>
      </c>
      <c r="JWL181" s="371">
        <v>15.38</v>
      </c>
      <c r="JWM181" s="371" t="e">
        <f>JWJ181*JWK181*JWL181</f>
        <v>#DIV/0!</v>
      </c>
      <c r="JWN181" s="367" t="s">
        <v>206</v>
      </c>
      <c r="JWO181" s="367"/>
      <c r="JWP181" s="367"/>
      <c r="JWQ181" s="368" t="s">
        <v>168</v>
      </c>
      <c r="JWR181" s="369">
        <v>0.5</v>
      </c>
      <c r="JWS181" s="370" t="e">
        <f>10/JWO179</f>
        <v>#DIV/0!</v>
      </c>
      <c r="JWT181" s="371">
        <v>15.38</v>
      </c>
      <c r="JWU181" s="371" t="e">
        <f>JWR181*JWS181*JWT181</f>
        <v>#DIV/0!</v>
      </c>
      <c r="JWV181" s="367" t="s">
        <v>206</v>
      </c>
      <c r="JWW181" s="367"/>
      <c r="JWX181" s="367"/>
      <c r="JWY181" s="368" t="s">
        <v>168</v>
      </c>
      <c r="JWZ181" s="369">
        <v>0.5</v>
      </c>
      <c r="JXA181" s="370" t="e">
        <f>10/JWW179</f>
        <v>#DIV/0!</v>
      </c>
      <c r="JXB181" s="371">
        <v>15.38</v>
      </c>
      <c r="JXC181" s="371" t="e">
        <f>JWZ181*JXA181*JXB181</f>
        <v>#DIV/0!</v>
      </c>
      <c r="JXD181" s="367" t="s">
        <v>206</v>
      </c>
      <c r="JXE181" s="367"/>
      <c r="JXF181" s="367"/>
      <c r="JXG181" s="368" t="s">
        <v>168</v>
      </c>
      <c r="JXH181" s="369">
        <v>0.5</v>
      </c>
      <c r="JXI181" s="370" t="e">
        <f>10/JXE179</f>
        <v>#DIV/0!</v>
      </c>
      <c r="JXJ181" s="371">
        <v>15.38</v>
      </c>
      <c r="JXK181" s="371" t="e">
        <f>JXH181*JXI181*JXJ181</f>
        <v>#DIV/0!</v>
      </c>
      <c r="JXL181" s="367" t="s">
        <v>206</v>
      </c>
      <c r="JXM181" s="367"/>
      <c r="JXN181" s="367"/>
      <c r="JXO181" s="368" t="s">
        <v>168</v>
      </c>
      <c r="JXP181" s="369">
        <v>0.5</v>
      </c>
      <c r="JXQ181" s="370" t="e">
        <f>10/JXM179</f>
        <v>#DIV/0!</v>
      </c>
      <c r="JXR181" s="371">
        <v>15.38</v>
      </c>
      <c r="JXS181" s="371" t="e">
        <f>JXP181*JXQ181*JXR181</f>
        <v>#DIV/0!</v>
      </c>
      <c r="JXT181" s="367" t="s">
        <v>206</v>
      </c>
      <c r="JXU181" s="367"/>
      <c r="JXV181" s="367"/>
      <c r="JXW181" s="368" t="s">
        <v>168</v>
      </c>
      <c r="JXX181" s="369">
        <v>0.5</v>
      </c>
      <c r="JXY181" s="370" t="e">
        <f>10/JXU179</f>
        <v>#DIV/0!</v>
      </c>
      <c r="JXZ181" s="371">
        <v>15.38</v>
      </c>
      <c r="JYA181" s="371" t="e">
        <f>JXX181*JXY181*JXZ181</f>
        <v>#DIV/0!</v>
      </c>
      <c r="JYB181" s="367" t="s">
        <v>206</v>
      </c>
      <c r="JYC181" s="367"/>
      <c r="JYD181" s="367"/>
      <c r="JYE181" s="368" t="s">
        <v>168</v>
      </c>
      <c r="JYF181" s="369">
        <v>0.5</v>
      </c>
      <c r="JYG181" s="370" t="e">
        <f>10/JYC179</f>
        <v>#DIV/0!</v>
      </c>
      <c r="JYH181" s="371">
        <v>15.38</v>
      </c>
      <c r="JYI181" s="371" t="e">
        <f>JYF181*JYG181*JYH181</f>
        <v>#DIV/0!</v>
      </c>
      <c r="JYJ181" s="367" t="s">
        <v>206</v>
      </c>
      <c r="JYK181" s="367"/>
      <c r="JYL181" s="367"/>
      <c r="JYM181" s="368" t="s">
        <v>168</v>
      </c>
      <c r="JYN181" s="369">
        <v>0.5</v>
      </c>
      <c r="JYO181" s="370" t="e">
        <f>10/JYK179</f>
        <v>#DIV/0!</v>
      </c>
      <c r="JYP181" s="371">
        <v>15.38</v>
      </c>
      <c r="JYQ181" s="371" t="e">
        <f>JYN181*JYO181*JYP181</f>
        <v>#DIV/0!</v>
      </c>
      <c r="JYR181" s="367" t="s">
        <v>206</v>
      </c>
      <c r="JYS181" s="367"/>
      <c r="JYT181" s="367"/>
      <c r="JYU181" s="368" t="s">
        <v>168</v>
      </c>
      <c r="JYV181" s="369">
        <v>0.5</v>
      </c>
      <c r="JYW181" s="370" t="e">
        <f>10/JYS179</f>
        <v>#DIV/0!</v>
      </c>
      <c r="JYX181" s="371">
        <v>15.38</v>
      </c>
      <c r="JYY181" s="371" t="e">
        <f>JYV181*JYW181*JYX181</f>
        <v>#DIV/0!</v>
      </c>
      <c r="JYZ181" s="367" t="s">
        <v>206</v>
      </c>
      <c r="JZA181" s="367"/>
      <c r="JZB181" s="367"/>
      <c r="JZC181" s="368" t="s">
        <v>168</v>
      </c>
      <c r="JZD181" s="369">
        <v>0.5</v>
      </c>
      <c r="JZE181" s="370" t="e">
        <f>10/JZA179</f>
        <v>#DIV/0!</v>
      </c>
      <c r="JZF181" s="371">
        <v>15.38</v>
      </c>
      <c r="JZG181" s="371" t="e">
        <f>JZD181*JZE181*JZF181</f>
        <v>#DIV/0!</v>
      </c>
      <c r="JZH181" s="367" t="s">
        <v>206</v>
      </c>
      <c r="JZI181" s="367"/>
      <c r="JZJ181" s="367"/>
      <c r="JZK181" s="368" t="s">
        <v>168</v>
      </c>
      <c r="JZL181" s="369">
        <v>0.5</v>
      </c>
      <c r="JZM181" s="370" t="e">
        <f>10/JZI179</f>
        <v>#DIV/0!</v>
      </c>
      <c r="JZN181" s="371">
        <v>15.38</v>
      </c>
      <c r="JZO181" s="371" t="e">
        <f>JZL181*JZM181*JZN181</f>
        <v>#DIV/0!</v>
      </c>
      <c r="JZP181" s="367" t="s">
        <v>206</v>
      </c>
      <c r="JZQ181" s="367"/>
      <c r="JZR181" s="367"/>
      <c r="JZS181" s="368" t="s">
        <v>168</v>
      </c>
      <c r="JZT181" s="369">
        <v>0.5</v>
      </c>
      <c r="JZU181" s="370" t="e">
        <f>10/JZQ179</f>
        <v>#DIV/0!</v>
      </c>
      <c r="JZV181" s="371">
        <v>15.38</v>
      </c>
      <c r="JZW181" s="371" t="e">
        <f>JZT181*JZU181*JZV181</f>
        <v>#DIV/0!</v>
      </c>
      <c r="JZX181" s="367" t="s">
        <v>206</v>
      </c>
      <c r="JZY181" s="367"/>
      <c r="JZZ181" s="367"/>
      <c r="KAA181" s="368" t="s">
        <v>168</v>
      </c>
      <c r="KAB181" s="369">
        <v>0.5</v>
      </c>
      <c r="KAC181" s="370" t="e">
        <f>10/JZY179</f>
        <v>#DIV/0!</v>
      </c>
      <c r="KAD181" s="371">
        <v>15.38</v>
      </c>
      <c r="KAE181" s="371" t="e">
        <f>KAB181*KAC181*KAD181</f>
        <v>#DIV/0!</v>
      </c>
      <c r="KAF181" s="367" t="s">
        <v>206</v>
      </c>
      <c r="KAG181" s="367"/>
      <c r="KAH181" s="367"/>
      <c r="KAI181" s="368" t="s">
        <v>168</v>
      </c>
      <c r="KAJ181" s="369">
        <v>0.5</v>
      </c>
      <c r="KAK181" s="370" t="e">
        <f>10/KAG179</f>
        <v>#DIV/0!</v>
      </c>
      <c r="KAL181" s="371">
        <v>15.38</v>
      </c>
      <c r="KAM181" s="371" t="e">
        <f>KAJ181*KAK181*KAL181</f>
        <v>#DIV/0!</v>
      </c>
      <c r="KAN181" s="367" t="s">
        <v>206</v>
      </c>
      <c r="KAO181" s="367"/>
      <c r="KAP181" s="367"/>
      <c r="KAQ181" s="368" t="s">
        <v>168</v>
      </c>
      <c r="KAR181" s="369">
        <v>0.5</v>
      </c>
      <c r="KAS181" s="370" t="e">
        <f>10/KAO179</f>
        <v>#DIV/0!</v>
      </c>
      <c r="KAT181" s="371">
        <v>15.38</v>
      </c>
      <c r="KAU181" s="371" t="e">
        <f>KAR181*KAS181*KAT181</f>
        <v>#DIV/0!</v>
      </c>
      <c r="KAV181" s="367" t="s">
        <v>206</v>
      </c>
      <c r="KAW181" s="367"/>
      <c r="KAX181" s="367"/>
      <c r="KAY181" s="368" t="s">
        <v>168</v>
      </c>
      <c r="KAZ181" s="369">
        <v>0.5</v>
      </c>
      <c r="KBA181" s="370" t="e">
        <f>10/KAW179</f>
        <v>#DIV/0!</v>
      </c>
      <c r="KBB181" s="371">
        <v>15.38</v>
      </c>
      <c r="KBC181" s="371" t="e">
        <f>KAZ181*KBA181*KBB181</f>
        <v>#DIV/0!</v>
      </c>
      <c r="KBD181" s="367" t="s">
        <v>206</v>
      </c>
      <c r="KBE181" s="367"/>
      <c r="KBF181" s="367"/>
      <c r="KBG181" s="368" t="s">
        <v>168</v>
      </c>
      <c r="KBH181" s="369">
        <v>0.5</v>
      </c>
      <c r="KBI181" s="370" t="e">
        <f>10/KBE179</f>
        <v>#DIV/0!</v>
      </c>
      <c r="KBJ181" s="371">
        <v>15.38</v>
      </c>
      <c r="KBK181" s="371" t="e">
        <f>KBH181*KBI181*KBJ181</f>
        <v>#DIV/0!</v>
      </c>
      <c r="KBL181" s="367" t="s">
        <v>206</v>
      </c>
      <c r="KBM181" s="367"/>
      <c r="KBN181" s="367"/>
      <c r="KBO181" s="368" t="s">
        <v>168</v>
      </c>
      <c r="KBP181" s="369">
        <v>0.5</v>
      </c>
      <c r="KBQ181" s="370" t="e">
        <f>10/KBM179</f>
        <v>#DIV/0!</v>
      </c>
      <c r="KBR181" s="371">
        <v>15.38</v>
      </c>
      <c r="KBS181" s="371" t="e">
        <f>KBP181*KBQ181*KBR181</f>
        <v>#DIV/0!</v>
      </c>
      <c r="KBT181" s="367" t="s">
        <v>206</v>
      </c>
      <c r="KBU181" s="367"/>
      <c r="KBV181" s="367"/>
      <c r="KBW181" s="368" t="s">
        <v>168</v>
      </c>
      <c r="KBX181" s="369">
        <v>0.5</v>
      </c>
      <c r="KBY181" s="370" t="e">
        <f>10/KBU179</f>
        <v>#DIV/0!</v>
      </c>
      <c r="KBZ181" s="371">
        <v>15.38</v>
      </c>
      <c r="KCA181" s="371" t="e">
        <f>KBX181*KBY181*KBZ181</f>
        <v>#DIV/0!</v>
      </c>
      <c r="KCB181" s="367" t="s">
        <v>206</v>
      </c>
      <c r="KCC181" s="367"/>
      <c r="KCD181" s="367"/>
      <c r="KCE181" s="368" t="s">
        <v>168</v>
      </c>
      <c r="KCF181" s="369">
        <v>0.5</v>
      </c>
      <c r="KCG181" s="370" t="e">
        <f>10/KCC179</f>
        <v>#DIV/0!</v>
      </c>
      <c r="KCH181" s="371">
        <v>15.38</v>
      </c>
      <c r="KCI181" s="371" t="e">
        <f>KCF181*KCG181*KCH181</f>
        <v>#DIV/0!</v>
      </c>
      <c r="KCJ181" s="367" t="s">
        <v>206</v>
      </c>
      <c r="KCK181" s="367"/>
      <c r="KCL181" s="367"/>
      <c r="KCM181" s="368" t="s">
        <v>168</v>
      </c>
      <c r="KCN181" s="369">
        <v>0.5</v>
      </c>
      <c r="KCO181" s="370" t="e">
        <f>10/KCK179</f>
        <v>#DIV/0!</v>
      </c>
      <c r="KCP181" s="371">
        <v>15.38</v>
      </c>
      <c r="KCQ181" s="371" t="e">
        <f>KCN181*KCO181*KCP181</f>
        <v>#DIV/0!</v>
      </c>
      <c r="KCR181" s="367" t="s">
        <v>206</v>
      </c>
      <c r="KCS181" s="367"/>
      <c r="KCT181" s="367"/>
      <c r="KCU181" s="368" t="s">
        <v>168</v>
      </c>
      <c r="KCV181" s="369">
        <v>0.5</v>
      </c>
      <c r="KCW181" s="370" t="e">
        <f>10/KCS179</f>
        <v>#DIV/0!</v>
      </c>
      <c r="KCX181" s="371">
        <v>15.38</v>
      </c>
      <c r="KCY181" s="371" t="e">
        <f>KCV181*KCW181*KCX181</f>
        <v>#DIV/0!</v>
      </c>
      <c r="KCZ181" s="367" t="s">
        <v>206</v>
      </c>
      <c r="KDA181" s="367"/>
      <c r="KDB181" s="367"/>
      <c r="KDC181" s="368" t="s">
        <v>168</v>
      </c>
      <c r="KDD181" s="369">
        <v>0.5</v>
      </c>
      <c r="KDE181" s="370" t="e">
        <f>10/KDA179</f>
        <v>#DIV/0!</v>
      </c>
      <c r="KDF181" s="371">
        <v>15.38</v>
      </c>
      <c r="KDG181" s="371" t="e">
        <f>KDD181*KDE181*KDF181</f>
        <v>#DIV/0!</v>
      </c>
      <c r="KDH181" s="367" t="s">
        <v>206</v>
      </c>
      <c r="KDI181" s="367"/>
      <c r="KDJ181" s="367"/>
      <c r="KDK181" s="368" t="s">
        <v>168</v>
      </c>
      <c r="KDL181" s="369">
        <v>0.5</v>
      </c>
      <c r="KDM181" s="370" t="e">
        <f>10/KDI179</f>
        <v>#DIV/0!</v>
      </c>
      <c r="KDN181" s="371">
        <v>15.38</v>
      </c>
      <c r="KDO181" s="371" t="e">
        <f>KDL181*KDM181*KDN181</f>
        <v>#DIV/0!</v>
      </c>
      <c r="KDP181" s="367" t="s">
        <v>206</v>
      </c>
      <c r="KDQ181" s="367"/>
      <c r="KDR181" s="367"/>
      <c r="KDS181" s="368" t="s">
        <v>168</v>
      </c>
      <c r="KDT181" s="369">
        <v>0.5</v>
      </c>
      <c r="KDU181" s="370" t="e">
        <f>10/KDQ179</f>
        <v>#DIV/0!</v>
      </c>
      <c r="KDV181" s="371">
        <v>15.38</v>
      </c>
      <c r="KDW181" s="371" t="e">
        <f>KDT181*KDU181*KDV181</f>
        <v>#DIV/0!</v>
      </c>
      <c r="KDX181" s="367" t="s">
        <v>206</v>
      </c>
      <c r="KDY181" s="367"/>
      <c r="KDZ181" s="367"/>
      <c r="KEA181" s="368" t="s">
        <v>168</v>
      </c>
      <c r="KEB181" s="369">
        <v>0.5</v>
      </c>
      <c r="KEC181" s="370" t="e">
        <f>10/KDY179</f>
        <v>#DIV/0!</v>
      </c>
      <c r="KED181" s="371">
        <v>15.38</v>
      </c>
      <c r="KEE181" s="371" t="e">
        <f>KEB181*KEC181*KED181</f>
        <v>#DIV/0!</v>
      </c>
      <c r="KEF181" s="367" t="s">
        <v>206</v>
      </c>
      <c r="KEG181" s="367"/>
      <c r="KEH181" s="367"/>
      <c r="KEI181" s="368" t="s">
        <v>168</v>
      </c>
      <c r="KEJ181" s="369">
        <v>0.5</v>
      </c>
      <c r="KEK181" s="370" t="e">
        <f>10/KEG179</f>
        <v>#DIV/0!</v>
      </c>
      <c r="KEL181" s="371">
        <v>15.38</v>
      </c>
      <c r="KEM181" s="371" t="e">
        <f>KEJ181*KEK181*KEL181</f>
        <v>#DIV/0!</v>
      </c>
      <c r="KEN181" s="367" t="s">
        <v>206</v>
      </c>
      <c r="KEO181" s="367"/>
      <c r="KEP181" s="367"/>
      <c r="KEQ181" s="368" t="s">
        <v>168</v>
      </c>
      <c r="KER181" s="369">
        <v>0.5</v>
      </c>
      <c r="KES181" s="370" t="e">
        <f>10/KEO179</f>
        <v>#DIV/0!</v>
      </c>
      <c r="KET181" s="371">
        <v>15.38</v>
      </c>
      <c r="KEU181" s="371" t="e">
        <f>KER181*KES181*KET181</f>
        <v>#DIV/0!</v>
      </c>
      <c r="KEV181" s="367" t="s">
        <v>206</v>
      </c>
      <c r="KEW181" s="367"/>
      <c r="KEX181" s="367"/>
      <c r="KEY181" s="368" t="s">
        <v>168</v>
      </c>
      <c r="KEZ181" s="369">
        <v>0.5</v>
      </c>
      <c r="KFA181" s="370" t="e">
        <f>10/KEW179</f>
        <v>#DIV/0!</v>
      </c>
      <c r="KFB181" s="371">
        <v>15.38</v>
      </c>
      <c r="KFC181" s="371" t="e">
        <f>KEZ181*KFA181*KFB181</f>
        <v>#DIV/0!</v>
      </c>
      <c r="KFD181" s="367" t="s">
        <v>206</v>
      </c>
      <c r="KFE181" s="367"/>
      <c r="KFF181" s="367"/>
      <c r="KFG181" s="368" t="s">
        <v>168</v>
      </c>
      <c r="KFH181" s="369">
        <v>0.5</v>
      </c>
      <c r="KFI181" s="370" t="e">
        <f>10/KFE179</f>
        <v>#DIV/0!</v>
      </c>
      <c r="KFJ181" s="371">
        <v>15.38</v>
      </c>
      <c r="KFK181" s="371" t="e">
        <f>KFH181*KFI181*KFJ181</f>
        <v>#DIV/0!</v>
      </c>
      <c r="KFL181" s="367" t="s">
        <v>206</v>
      </c>
      <c r="KFM181" s="367"/>
      <c r="KFN181" s="367"/>
      <c r="KFO181" s="368" t="s">
        <v>168</v>
      </c>
      <c r="KFP181" s="369">
        <v>0.5</v>
      </c>
      <c r="KFQ181" s="370" t="e">
        <f>10/KFM179</f>
        <v>#DIV/0!</v>
      </c>
      <c r="KFR181" s="371">
        <v>15.38</v>
      </c>
      <c r="KFS181" s="371" t="e">
        <f>KFP181*KFQ181*KFR181</f>
        <v>#DIV/0!</v>
      </c>
      <c r="KFT181" s="367" t="s">
        <v>206</v>
      </c>
      <c r="KFU181" s="367"/>
      <c r="KFV181" s="367"/>
      <c r="KFW181" s="368" t="s">
        <v>168</v>
      </c>
      <c r="KFX181" s="369">
        <v>0.5</v>
      </c>
      <c r="KFY181" s="370" t="e">
        <f>10/KFU179</f>
        <v>#DIV/0!</v>
      </c>
      <c r="KFZ181" s="371">
        <v>15.38</v>
      </c>
      <c r="KGA181" s="371" t="e">
        <f>KFX181*KFY181*KFZ181</f>
        <v>#DIV/0!</v>
      </c>
      <c r="KGB181" s="367" t="s">
        <v>206</v>
      </c>
      <c r="KGC181" s="367"/>
      <c r="KGD181" s="367"/>
      <c r="KGE181" s="368" t="s">
        <v>168</v>
      </c>
      <c r="KGF181" s="369">
        <v>0.5</v>
      </c>
      <c r="KGG181" s="370" t="e">
        <f>10/KGC179</f>
        <v>#DIV/0!</v>
      </c>
      <c r="KGH181" s="371">
        <v>15.38</v>
      </c>
      <c r="KGI181" s="371" t="e">
        <f>KGF181*KGG181*KGH181</f>
        <v>#DIV/0!</v>
      </c>
      <c r="KGJ181" s="367" t="s">
        <v>206</v>
      </c>
      <c r="KGK181" s="367"/>
      <c r="KGL181" s="367"/>
      <c r="KGM181" s="368" t="s">
        <v>168</v>
      </c>
      <c r="KGN181" s="369">
        <v>0.5</v>
      </c>
      <c r="KGO181" s="370" t="e">
        <f>10/KGK179</f>
        <v>#DIV/0!</v>
      </c>
      <c r="KGP181" s="371">
        <v>15.38</v>
      </c>
      <c r="KGQ181" s="371" t="e">
        <f>KGN181*KGO181*KGP181</f>
        <v>#DIV/0!</v>
      </c>
      <c r="KGR181" s="367" t="s">
        <v>206</v>
      </c>
      <c r="KGS181" s="367"/>
      <c r="KGT181" s="367"/>
      <c r="KGU181" s="368" t="s">
        <v>168</v>
      </c>
      <c r="KGV181" s="369">
        <v>0.5</v>
      </c>
      <c r="KGW181" s="370" t="e">
        <f>10/KGS179</f>
        <v>#DIV/0!</v>
      </c>
      <c r="KGX181" s="371">
        <v>15.38</v>
      </c>
      <c r="KGY181" s="371" t="e">
        <f>KGV181*KGW181*KGX181</f>
        <v>#DIV/0!</v>
      </c>
      <c r="KGZ181" s="367" t="s">
        <v>206</v>
      </c>
      <c r="KHA181" s="367"/>
      <c r="KHB181" s="367"/>
      <c r="KHC181" s="368" t="s">
        <v>168</v>
      </c>
      <c r="KHD181" s="369">
        <v>0.5</v>
      </c>
      <c r="KHE181" s="370" t="e">
        <f>10/KHA179</f>
        <v>#DIV/0!</v>
      </c>
      <c r="KHF181" s="371">
        <v>15.38</v>
      </c>
      <c r="KHG181" s="371" t="e">
        <f>KHD181*KHE181*KHF181</f>
        <v>#DIV/0!</v>
      </c>
      <c r="KHH181" s="367" t="s">
        <v>206</v>
      </c>
      <c r="KHI181" s="367"/>
      <c r="KHJ181" s="367"/>
      <c r="KHK181" s="368" t="s">
        <v>168</v>
      </c>
      <c r="KHL181" s="369">
        <v>0.5</v>
      </c>
      <c r="KHM181" s="370" t="e">
        <f>10/KHI179</f>
        <v>#DIV/0!</v>
      </c>
      <c r="KHN181" s="371">
        <v>15.38</v>
      </c>
      <c r="KHO181" s="371" t="e">
        <f>KHL181*KHM181*KHN181</f>
        <v>#DIV/0!</v>
      </c>
      <c r="KHP181" s="367" t="s">
        <v>206</v>
      </c>
      <c r="KHQ181" s="367"/>
      <c r="KHR181" s="367"/>
      <c r="KHS181" s="368" t="s">
        <v>168</v>
      </c>
      <c r="KHT181" s="369">
        <v>0.5</v>
      </c>
      <c r="KHU181" s="370" t="e">
        <f>10/KHQ179</f>
        <v>#DIV/0!</v>
      </c>
      <c r="KHV181" s="371">
        <v>15.38</v>
      </c>
      <c r="KHW181" s="371" t="e">
        <f>KHT181*KHU181*KHV181</f>
        <v>#DIV/0!</v>
      </c>
      <c r="KHX181" s="367" t="s">
        <v>206</v>
      </c>
      <c r="KHY181" s="367"/>
      <c r="KHZ181" s="367"/>
      <c r="KIA181" s="368" t="s">
        <v>168</v>
      </c>
      <c r="KIB181" s="369">
        <v>0.5</v>
      </c>
      <c r="KIC181" s="370" t="e">
        <f>10/KHY179</f>
        <v>#DIV/0!</v>
      </c>
      <c r="KID181" s="371">
        <v>15.38</v>
      </c>
      <c r="KIE181" s="371" t="e">
        <f>KIB181*KIC181*KID181</f>
        <v>#DIV/0!</v>
      </c>
      <c r="KIF181" s="367" t="s">
        <v>206</v>
      </c>
      <c r="KIG181" s="367"/>
      <c r="KIH181" s="367"/>
      <c r="KII181" s="368" t="s">
        <v>168</v>
      </c>
      <c r="KIJ181" s="369">
        <v>0.5</v>
      </c>
      <c r="KIK181" s="370" t="e">
        <f>10/KIG179</f>
        <v>#DIV/0!</v>
      </c>
      <c r="KIL181" s="371">
        <v>15.38</v>
      </c>
      <c r="KIM181" s="371" t="e">
        <f>KIJ181*KIK181*KIL181</f>
        <v>#DIV/0!</v>
      </c>
      <c r="KIN181" s="367" t="s">
        <v>206</v>
      </c>
      <c r="KIO181" s="367"/>
      <c r="KIP181" s="367"/>
      <c r="KIQ181" s="368" t="s">
        <v>168</v>
      </c>
      <c r="KIR181" s="369">
        <v>0.5</v>
      </c>
      <c r="KIS181" s="370" t="e">
        <f>10/KIO179</f>
        <v>#DIV/0!</v>
      </c>
      <c r="KIT181" s="371">
        <v>15.38</v>
      </c>
      <c r="KIU181" s="371" t="e">
        <f>KIR181*KIS181*KIT181</f>
        <v>#DIV/0!</v>
      </c>
      <c r="KIV181" s="367" t="s">
        <v>206</v>
      </c>
      <c r="KIW181" s="367"/>
      <c r="KIX181" s="367"/>
      <c r="KIY181" s="368" t="s">
        <v>168</v>
      </c>
      <c r="KIZ181" s="369">
        <v>0.5</v>
      </c>
      <c r="KJA181" s="370" t="e">
        <f>10/KIW179</f>
        <v>#DIV/0!</v>
      </c>
      <c r="KJB181" s="371">
        <v>15.38</v>
      </c>
      <c r="KJC181" s="371" t="e">
        <f>KIZ181*KJA181*KJB181</f>
        <v>#DIV/0!</v>
      </c>
      <c r="KJD181" s="367" t="s">
        <v>206</v>
      </c>
      <c r="KJE181" s="367"/>
      <c r="KJF181" s="367"/>
      <c r="KJG181" s="368" t="s">
        <v>168</v>
      </c>
      <c r="KJH181" s="369">
        <v>0.5</v>
      </c>
      <c r="KJI181" s="370" t="e">
        <f>10/KJE179</f>
        <v>#DIV/0!</v>
      </c>
      <c r="KJJ181" s="371">
        <v>15.38</v>
      </c>
      <c r="KJK181" s="371" t="e">
        <f>KJH181*KJI181*KJJ181</f>
        <v>#DIV/0!</v>
      </c>
      <c r="KJL181" s="367" t="s">
        <v>206</v>
      </c>
      <c r="KJM181" s="367"/>
      <c r="KJN181" s="367"/>
      <c r="KJO181" s="368" t="s">
        <v>168</v>
      </c>
      <c r="KJP181" s="369">
        <v>0.5</v>
      </c>
      <c r="KJQ181" s="370" t="e">
        <f>10/KJM179</f>
        <v>#DIV/0!</v>
      </c>
      <c r="KJR181" s="371">
        <v>15.38</v>
      </c>
      <c r="KJS181" s="371" t="e">
        <f>KJP181*KJQ181*KJR181</f>
        <v>#DIV/0!</v>
      </c>
      <c r="KJT181" s="367" t="s">
        <v>206</v>
      </c>
      <c r="KJU181" s="367"/>
      <c r="KJV181" s="367"/>
      <c r="KJW181" s="368" t="s">
        <v>168</v>
      </c>
      <c r="KJX181" s="369">
        <v>0.5</v>
      </c>
      <c r="KJY181" s="370" t="e">
        <f>10/KJU179</f>
        <v>#DIV/0!</v>
      </c>
      <c r="KJZ181" s="371">
        <v>15.38</v>
      </c>
      <c r="KKA181" s="371" t="e">
        <f>KJX181*KJY181*KJZ181</f>
        <v>#DIV/0!</v>
      </c>
      <c r="KKB181" s="367" t="s">
        <v>206</v>
      </c>
      <c r="KKC181" s="367"/>
      <c r="KKD181" s="367"/>
      <c r="KKE181" s="368" t="s">
        <v>168</v>
      </c>
      <c r="KKF181" s="369">
        <v>0.5</v>
      </c>
      <c r="KKG181" s="370" t="e">
        <f>10/KKC179</f>
        <v>#DIV/0!</v>
      </c>
      <c r="KKH181" s="371">
        <v>15.38</v>
      </c>
      <c r="KKI181" s="371" t="e">
        <f>KKF181*KKG181*KKH181</f>
        <v>#DIV/0!</v>
      </c>
      <c r="KKJ181" s="367" t="s">
        <v>206</v>
      </c>
      <c r="KKK181" s="367"/>
      <c r="KKL181" s="367"/>
      <c r="KKM181" s="368" t="s">
        <v>168</v>
      </c>
      <c r="KKN181" s="369">
        <v>0.5</v>
      </c>
      <c r="KKO181" s="370" t="e">
        <f>10/KKK179</f>
        <v>#DIV/0!</v>
      </c>
      <c r="KKP181" s="371">
        <v>15.38</v>
      </c>
      <c r="KKQ181" s="371" t="e">
        <f>KKN181*KKO181*KKP181</f>
        <v>#DIV/0!</v>
      </c>
      <c r="KKR181" s="367" t="s">
        <v>206</v>
      </c>
      <c r="KKS181" s="367"/>
      <c r="KKT181" s="367"/>
      <c r="KKU181" s="368" t="s">
        <v>168</v>
      </c>
      <c r="KKV181" s="369">
        <v>0.5</v>
      </c>
      <c r="KKW181" s="370" t="e">
        <f>10/KKS179</f>
        <v>#DIV/0!</v>
      </c>
      <c r="KKX181" s="371">
        <v>15.38</v>
      </c>
      <c r="KKY181" s="371" t="e">
        <f>KKV181*KKW181*KKX181</f>
        <v>#DIV/0!</v>
      </c>
      <c r="KKZ181" s="367" t="s">
        <v>206</v>
      </c>
      <c r="KLA181" s="367"/>
      <c r="KLB181" s="367"/>
      <c r="KLC181" s="368" t="s">
        <v>168</v>
      </c>
      <c r="KLD181" s="369">
        <v>0.5</v>
      </c>
      <c r="KLE181" s="370" t="e">
        <f>10/KLA179</f>
        <v>#DIV/0!</v>
      </c>
      <c r="KLF181" s="371">
        <v>15.38</v>
      </c>
      <c r="KLG181" s="371" t="e">
        <f>KLD181*KLE181*KLF181</f>
        <v>#DIV/0!</v>
      </c>
      <c r="KLH181" s="367" t="s">
        <v>206</v>
      </c>
      <c r="KLI181" s="367"/>
      <c r="KLJ181" s="367"/>
      <c r="KLK181" s="368" t="s">
        <v>168</v>
      </c>
      <c r="KLL181" s="369">
        <v>0.5</v>
      </c>
      <c r="KLM181" s="370" t="e">
        <f>10/KLI179</f>
        <v>#DIV/0!</v>
      </c>
      <c r="KLN181" s="371">
        <v>15.38</v>
      </c>
      <c r="KLO181" s="371" t="e">
        <f>KLL181*KLM181*KLN181</f>
        <v>#DIV/0!</v>
      </c>
      <c r="KLP181" s="367" t="s">
        <v>206</v>
      </c>
      <c r="KLQ181" s="367"/>
      <c r="KLR181" s="367"/>
      <c r="KLS181" s="368" t="s">
        <v>168</v>
      </c>
      <c r="KLT181" s="369">
        <v>0.5</v>
      </c>
      <c r="KLU181" s="370" t="e">
        <f>10/KLQ179</f>
        <v>#DIV/0!</v>
      </c>
      <c r="KLV181" s="371">
        <v>15.38</v>
      </c>
      <c r="KLW181" s="371" t="e">
        <f>KLT181*KLU181*KLV181</f>
        <v>#DIV/0!</v>
      </c>
      <c r="KLX181" s="367" t="s">
        <v>206</v>
      </c>
      <c r="KLY181" s="367"/>
      <c r="KLZ181" s="367"/>
      <c r="KMA181" s="368" t="s">
        <v>168</v>
      </c>
      <c r="KMB181" s="369">
        <v>0.5</v>
      </c>
      <c r="KMC181" s="370" t="e">
        <f>10/KLY179</f>
        <v>#DIV/0!</v>
      </c>
      <c r="KMD181" s="371">
        <v>15.38</v>
      </c>
      <c r="KME181" s="371" t="e">
        <f>KMB181*KMC181*KMD181</f>
        <v>#DIV/0!</v>
      </c>
      <c r="KMF181" s="367" t="s">
        <v>206</v>
      </c>
      <c r="KMG181" s="367"/>
      <c r="KMH181" s="367"/>
      <c r="KMI181" s="368" t="s">
        <v>168</v>
      </c>
      <c r="KMJ181" s="369">
        <v>0.5</v>
      </c>
      <c r="KMK181" s="370" t="e">
        <f>10/KMG179</f>
        <v>#DIV/0!</v>
      </c>
      <c r="KML181" s="371">
        <v>15.38</v>
      </c>
      <c r="KMM181" s="371" t="e">
        <f>KMJ181*KMK181*KML181</f>
        <v>#DIV/0!</v>
      </c>
      <c r="KMN181" s="367" t="s">
        <v>206</v>
      </c>
      <c r="KMO181" s="367"/>
      <c r="KMP181" s="367"/>
      <c r="KMQ181" s="368" t="s">
        <v>168</v>
      </c>
      <c r="KMR181" s="369">
        <v>0.5</v>
      </c>
      <c r="KMS181" s="370" t="e">
        <f>10/KMO179</f>
        <v>#DIV/0!</v>
      </c>
      <c r="KMT181" s="371">
        <v>15.38</v>
      </c>
      <c r="KMU181" s="371" t="e">
        <f>KMR181*KMS181*KMT181</f>
        <v>#DIV/0!</v>
      </c>
      <c r="KMV181" s="367" t="s">
        <v>206</v>
      </c>
      <c r="KMW181" s="367"/>
      <c r="KMX181" s="367"/>
      <c r="KMY181" s="368" t="s">
        <v>168</v>
      </c>
      <c r="KMZ181" s="369">
        <v>0.5</v>
      </c>
      <c r="KNA181" s="370" t="e">
        <f>10/KMW179</f>
        <v>#DIV/0!</v>
      </c>
      <c r="KNB181" s="371">
        <v>15.38</v>
      </c>
      <c r="KNC181" s="371" t="e">
        <f>KMZ181*KNA181*KNB181</f>
        <v>#DIV/0!</v>
      </c>
      <c r="KND181" s="367" t="s">
        <v>206</v>
      </c>
      <c r="KNE181" s="367"/>
      <c r="KNF181" s="367"/>
      <c r="KNG181" s="368" t="s">
        <v>168</v>
      </c>
      <c r="KNH181" s="369">
        <v>0.5</v>
      </c>
      <c r="KNI181" s="370" t="e">
        <f>10/KNE179</f>
        <v>#DIV/0!</v>
      </c>
      <c r="KNJ181" s="371">
        <v>15.38</v>
      </c>
      <c r="KNK181" s="371" t="e">
        <f>KNH181*KNI181*KNJ181</f>
        <v>#DIV/0!</v>
      </c>
      <c r="KNL181" s="367" t="s">
        <v>206</v>
      </c>
      <c r="KNM181" s="367"/>
      <c r="KNN181" s="367"/>
      <c r="KNO181" s="368" t="s">
        <v>168</v>
      </c>
      <c r="KNP181" s="369">
        <v>0.5</v>
      </c>
      <c r="KNQ181" s="370" t="e">
        <f>10/KNM179</f>
        <v>#DIV/0!</v>
      </c>
      <c r="KNR181" s="371">
        <v>15.38</v>
      </c>
      <c r="KNS181" s="371" t="e">
        <f>KNP181*KNQ181*KNR181</f>
        <v>#DIV/0!</v>
      </c>
      <c r="KNT181" s="367" t="s">
        <v>206</v>
      </c>
      <c r="KNU181" s="367"/>
      <c r="KNV181" s="367"/>
      <c r="KNW181" s="368" t="s">
        <v>168</v>
      </c>
      <c r="KNX181" s="369">
        <v>0.5</v>
      </c>
      <c r="KNY181" s="370" t="e">
        <f>10/KNU179</f>
        <v>#DIV/0!</v>
      </c>
      <c r="KNZ181" s="371">
        <v>15.38</v>
      </c>
      <c r="KOA181" s="371" t="e">
        <f>KNX181*KNY181*KNZ181</f>
        <v>#DIV/0!</v>
      </c>
      <c r="KOB181" s="367" t="s">
        <v>206</v>
      </c>
      <c r="KOC181" s="367"/>
      <c r="KOD181" s="367"/>
      <c r="KOE181" s="368" t="s">
        <v>168</v>
      </c>
      <c r="KOF181" s="369">
        <v>0.5</v>
      </c>
      <c r="KOG181" s="370" t="e">
        <f>10/KOC179</f>
        <v>#DIV/0!</v>
      </c>
      <c r="KOH181" s="371">
        <v>15.38</v>
      </c>
      <c r="KOI181" s="371" t="e">
        <f>KOF181*KOG181*KOH181</f>
        <v>#DIV/0!</v>
      </c>
      <c r="KOJ181" s="367" t="s">
        <v>206</v>
      </c>
      <c r="KOK181" s="367"/>
      <c r="KOL181" s="367"/>
      <c r="KOM181" s="368" t="s">
        <v>168</v>
      </c>
      <c r="KON181" s="369">
        <v>0.5</v>
      </c>
      <c r="KOO181" s="370" t="e">
        <f>10/KOK179</f>
        <v>#DIV/0!</v>
      </c>
      <c r="KOP181" s="371">
        <v>15.38</v>
      </c>
      <c r="KOQ181" s="371" t="e">
        <f>KON181*KOO181*KOP181</f>
        <v>#DIV/0!</v>
      </c>
      <c r="KOR181" s="367" t="s">
        <v>206</v>
      </c>
      <c r="KOS181" s="367"/>
      <c r="KOT181" s="367"/>
      <c r="KOU181" s="368" t="s">
        <v>168</v>
      </c>
      <c r="KOV181" s="369">
        <v>0.5</v>
      </c>
      <c r="KOW181" s="370" t="e">
        <f>10/KOS179</f>
        <v>#DIV/0!</v>
      </c>
      <c r="KOX181" s="371">
        <v>15.38</v>
      </c>
      <c r="KOY181" s="371" t="e">
        <f>KOV181*KOW181*KOX181</f>
        <v>#DIV/0!</v>
      </c>
      <c r="KOZ181" s="367" t="s">
        <v>206</v>
      </c>
      <c r="KPA181" s="367"/>
      <c r="KPB181" s="367"/>
      <c r="KPC181" s="368" t="s">
        <v>168</v>
      </c>
      <c r="KPD181" s="369">
        <v>0.5</v>
      </c>
      <c r="KPE181" s="370" t="e">
        <f>10/KPA179</f>
        <v>#DIV/0!</v>
      </c>
      <c r="KPF181" s="371">
        <v>15.38</v>
      </c>
      <c r="KPG181" s="371" t="e">
        <f>KPD181*KPE181*KPF181</f>
        <v>#DIV/0!</v>
      </c>
      <c r="KPH181" s="367" t="s">
        <v>206</v>
      </c>
      <c r="KPI181" s="367"/>
      <c r="KPJ181" s="367"/>
      <c r="KPK181" s="368" t="s">
        <v>168</v>
      </c>
      <c r="KPL181" s="369">
        <v>0.5</v>
      </c>
      <c r="KPM181" s="370" t="e">
        <f>10/KPI179</f>
        <v>#DIV/0!</v>
      </c>
      <c r="KPN181" s="371">
        <v>15.38</v>
      </c>
      <c r="KPO181" s="371" t="e">
        <f>KPL181*KPM181*KPN181</f>
        <v>#DIV/0!</v>
      </c>
      <c r="KPP181" s="367" t="s">
        <v>206</v>
      </c>
      <c r="KPQ181" s="367"/>
      <c r="KPR181" s="367"/>
      <c r="KPS181" s="368" t="s">
        <v>168</v>
      </c>
      <c r="KPT181" s="369">
        <v>0.5</v>
      </c>
      <c r="KPU181" s="370" t="e">
        <f>10/KPQ179</f>
        <v>#DIV/0!</v>
      </c>
      <c r="KPV181" s="371">
        <v>15.38</v>
      </c>
      <c r="KPW181" s="371" t="e">
        <f>KPT181*KPU181*KPV181</f>
        <v>#DIV/0!</v>
      </c>
      <c r="KPX181" s="367" t="s">
        <v>206</v>
      </c>
      <c r="KPY181" s="367"/>
      <c r="KPZ181" s="367"/>
      <c r="KQA181" s="368" t="s">
        <v>168</v>
      </c>
      <c r="KQB181" s="369">
        <v>0.5</v>
      </c>
      <c r="KQC181" s="370" t="e">
        <f>10/KPY179</f>
        <v>#DIV/0!</v>
      </c>
      <c r="KQD181" s="371">
        <v>15.38</v>
      </c>
      <c r="KQE181" s="371" t="e">
        <f>KQB181*KQC181*KQD181</f>
        <v>#DIV/0!</v>
      </c>
      <c r="KQF181" s="367" t="s">
        <v>206</v>
      </c>
      <c r="KQG181" s="367"/>
      <c r="KQH181" s="367"/>
      <c r="KQI181" s="368" t="s">
        <v>168</v>
      </c>
      <c r="KQJ181" s="369">
        <v>0.5</v>
      </c>
      <c r="KQK181" s="370" t="e">
        <f>10/KQG179</f>
        <v>#DIV/0!</v>
      </c>
      <c r="KQL181" s="371">
        <v>15.38</v>
      </c>
      <c r="KQM181" s="371" t="e">
        <f>KQJ181*KQK181*KQL181</f>
        <v>#DIV/0!</v>
      </c>
      <c r="KQN181" s="367" t="s">
        <v>206</v>
      </c>
      <c r="KQO181" s="367"/>
      <c r="KQP181" s="367"/>
      <c r="KQQ181" s="368" t="s">
        <v>168</v>
      </c>
      <c r="KQR181" s="369">
        <v>0.5</v>
      </c>
      <c r="KQS181" s="370" t="e">
        <f>10/KQO179</f>
        <v>#DIV/0!</v>
      </c>
      <c r="KQT181" s="371">
        <v>15.38</v>
      </c>
      <c r="KQU181" s="371" t="e">
        <f>KQR181*KQS181*KQT181</f>
        <v>#DIV/0!</v>
      </c>
      <c r="KQV181" s="367" t="s">
        <v>206</v>
      </c>
      <c r="KQW181" s="367"/>
      <c r="KQX181" s="367"/>
      <c r="KQY181" s="368" t="s">
        <v>168</v>
      </c>
      <c r="KQZ181" s="369">
        <v>0.5</v>
      </c>
      <c r="KRA181" s="370" t="e">
        <f>10/KQW179</f>
        <v>#DIV/0!</v>
      </c>
      <c r="KRB181" s="371">
        <v>15.38</v>
      </c>
      <c r="KRC181" s="371" t="e">
        <f>KQZ181*KRA181*KRB181</f>
        <v>#DIV/0!</v>
      </c>
      <c r="KRD181" s="367" t="s">
        <v>206</v>
      </c>
      <c r="KRE181" s="367"/>
      <c r="KRF181" s="367"/>
      <c r="KRG181" s="368" t="s">
        <v>168</v>
      </c>
      <c r="KRH181" s="369">
        <v>0.5</v>
      </c>
      <c r="KRI181" s="370" t="e">
        <f>10/KRE179</f>
        <v>#DIV/0!</v>
      </c>
      <c r="KRJ181" s="371">
        <v>15.38</v>
      </c>
      <c r="KRK181" s="371" t="e">
        <f>KRH181*KRI181*KRJ181</f>
        <v>#DIV/0!</v>
      </c>
      <c r="KRL181" s="367" t="s">
        <v>206</v>
      </c>
      <c r="KRM181" s="367"/>
      <c r="KRN181" s="367"/>
      <c r="KRO181" s="368" t="s">
        <v>168</v>
      </c>
      <c r="KRP181" s="369">
        <v>0.5</v>
      </c>
      <c r="KRQ181" s="370" t="e">
        <f>10/KRM179</f>
        <v>#DIV/0!</v>
      </c>
      <c r="KRR181" s="371">
        <v>15.38</v>
      </c>
      <c r="KRS181" s="371" t="e">
        <f>KRP181*KRQ181*KRR181</f>
        <v>#DIV/0!</v>
      </c>
      <c r="KRT181" s="367" t="s">
        <v>206</v>
      </c>
      <c r="KRU181" s="367"/>
      <c r="KRV181" s="367"/>
      <c r="KRW181" s="368" t="s">
        <v>168</v>
      </c>
      <c r="KRX181" s="369">
        <v>0.5</v>
      </c>
      <c r="KRY181" s="370" t="e">
        <f>10/KRU179</f>
        <v>#DIV/0!</v>
      </c>
      <c r="KRZ181" s="371">
        <v>15.38</v>
      </c>
      <c r="KSA181" s="371" t="e">
        <f>KRX181*KRY181*KRZ181</f>
        <v>#DIV/0!</v>
      </c>
      <c r="KSB181" s="367" t="s">
        <v>206</v>
      </c>
      <c r="KSC181" s="367"/>
      <c r="KSD181" s="367"/>
      <c r="KSE181" s="368" t="s">
        <v>168</v>
      </c>
      <c r="KSF181" s="369">
        <v>0.5</v>
      </c>
      <c r="KSG181" s="370" t="e">
        <f>10/KSC179</f>
        <v>#DIV/0!</v>
      </c>
      <c r="KSH181" s="371">
        <v>15.38</v>
      </c>
      <c r="KSI181" s="371" t="e">
        <f>KSF181*KSG181*KSH181</f>
        <v>#DIV/0!</v>
      </c>
      <c r="KSJ181" s="367" t="s">
        <v>206</v>
      </c>
      <c r="KSK181" s="367"/>
      <c r="KSL181" s="367"/>
      <c r="KSM181" s="368" t="s">
        <v>168</v>
      </c>
      <c r="KSN181" s="369">
        <v>0.5</v>
      </c>
      <c r="KSO181" s="370" t="e">
        <f>10/KSK179</f>
        <v>#DIV/0!</v>
      </c>
      <c r="KSP181" s="371">
        <v>15.38</v>
      </c>
      <c r="KSQ181" s="371" t="e">
        <f>KSN181*KSO181*KSP181</f>
        <v>#DIV/0!</v>
      </c>
      <c r="KSR181" s="367" t="s">
        <v>206</v>
      </c>
      <c r="KSS181" s="367"/>
      <c r="KST181" s="367"/>
      <c r="KSU181" s="368" t="s">
        <v>168</v>
      </c>
      <c r="KSV181" s="369">
        <v>0.5</v>
      </c>
      <c r="KSW181" s="370" t="e">
        <f>10/KSS179</f>
        <v>#DIV/0!</v>
      </c>
      <c r="KSX181" s="371">
        <v>15.38</v>
      </c>
      <c r="KSY181" s="371" t="e">
        <f>KSV181*KSW181*KSX181</f>
        <v>#DIV/0!</v>
      </c>
      <c r="KSZ181" s="367" t="s">
        <v>206</v>
      </c>
      <c r="KTA181" s="367"/>
      <c r="KTB181" s="367"/>
      <c r="KTC181" s="368" t="s">
        <v>168</v>
      </c>
      <c r="KTD181" s="369">
        <v>0.5</v>
      </c>
      <c r="KTE181" s="370" t="e">
        <f>10/KTA179</f>
        <v>#DIV/0!</v>
      </c>
      <c r="KTF181" s="371">
        <v>15.38</v>
      </c>
      <c r="KTG181" s="371" t="e">
        <f>KTD181*KTE181*KTF181</f>
        <v>#DIV/0!</v>
      </c>
      <c r="KTH181" s="367" t="s">
        <v>206</v>
      </c>
      <c r="KTI181" s="367"/>
      <c r="KTJ181" s="367"/>
      <c r="KTK181" s="368" t="s">
        <v>168</v>
      </c>
      <c r="KTL181" s="369">
        <v>0.5</v>
      </c>
      <c r="KTM181" s="370" t="e">
        <f>10/KTI179</f>
        <v>#DIV/0!</v>
      </c>
      <c r="KTN181" s="371">
        <v>15.38</v>
      </c>
      <c r="KTO181" s="371" t="e">
        <f>KTL181*KTM181*KTN181</f>
        <v>#DIV/0!</v>
      </c>
      <c r="KTP181" s="367" t="s">
        <v>206</v>
      </c>
      <c r="KTQ181" s="367"/>
      <c r="KTR181" s="367"/>
      <c r="KTS181" s="368" t="s">
        <v>168</v>
      </c>
      <c r="KTT181" s="369">
        <v>0.5</v>
      </c>
      <c r="KTU181" s="370" t="e">
        <f>10/KTQ179</f>
        <v>#DIV/0!</v>
      </c>
      <c r="KTV181" s="371">
        <v>15.38</v>
      </c>
      <c r="KTW181" s="371" t="e">
        <f>KTT181*KTU181*KTV181</f>
        <v>#DIV/0!</v>
      </c>
      <c r="KTX181" s="367" t="s">
        <v>206</v>
      </c>
      <c r="KTY181" s="367"/>
      <c r="KTZ181" s="367"/>
      <c r="KUA181" s="368" t="s">
        <v>168</v>
      </c>
      <c r="KUB181" s="369">
        <v>0.5</v>
      </c>
      <c r="KUC181" s="370" t="e">
        <f>10/KTY179</f>
        <v>#DIV/0!</v>
      </c>
      <c r="KUD181" s="371">
        <v>15.38</v>
      </c>
      <c r="KUE181" s="371" t="e">
        <f>KUB181*KUC181*KUD181</f>
        <v>#DIV/0!</v>
      </c>
      <c r="KUF181" s="367" t="s">
        <v>206</v>
      </c>
      <c r="KUG181" s="367"/>
      <c r="KUH181" s="367"/>
      <c r="KUI181" s="368" t="s">
        <v>168</v>
      </c>
      <c r="KUJ181" s="369">
        <v>0.5</v>
      </c>
      <c r="KUK181" s="370" t="e">
        <f>10/KUG179</f>
        <v>#DIV/0!</v>
      </c>
      <c r="KUL181" s="371">
        <v>15.38</v>
      </c>
      <c r="KUM181" s="371" t="e">
        <f>KUJ181*KUK181*KUL181</f>
        <v>#DIV/0!</v>
      </c>
      <c r="KUN181" s="367" t="s">
        <v>206</v>
      </c>
      <c r="KUO181" s="367"/>
      <c r="KUP181" s="367"/>
      <c r="KUQ181" s="368" t="s">
        <v>168</v>
      </c>
      <c r="KUR181" s="369">
        <v>0.5</v>
      </c>
      <c r="KUS181" s="370" t="e">
        <f>10/KUO179</f>
        <v>#DIV/0!</v>
      </c>
      <c r="KUT181" s="371">
        <v>15.38</v>
      </c>
      <c r="KUU181" s="371" t="e">
        <f>KUR181*KUS181*KUT181</f>
        <v>#DIV/0!</v>
      </c>
      <c r="KUV181" s="367" t="s">
        <v>206</v>
      </c>
      <c r="KUW181" s="367"/>
      <c r="KUX181" s="367"/>
      <c r="KUY181" s="368" t="s">
        <v>168</v>
      </c>
      <c r="KUZ181" s="369">
        <v>0.5</v>
      </c>
      <c r="KVA181" s="370" t="e">
        <f>10/KUW179</f>
        <v>#DIV/0!</v>
      </c>
      <c r="KVB181" s="371">
        <v>15.38</v>
      </c>
      <c r="KVC181" s="371" t="e">
        <f>KUZ181*KVA181*KVB181</f>
        <v>#DIV/0!</v>
      </c>
      <c r="KVD181" s="367" t="s">
        <v>206</v>
      </c>
      <c r="KVE181" s="367"/>
      <c r="KVF181" s="367"/>
      <c r="KVG181" s="368" t="s">
        <v>168</v>
      </c>
      <c r="KVH181" s="369">
        <v>0.5</v>
      </c>
      <c r="KVI181" s="370" t="e">
        <f>10/KVE179</f>
        <v>#DIV/0!</v>
      </c>
      <c r="KVJ181" s="371">
        <v>15.38</v>
      </c>
      <c r="KVK181" s="371" t="e">
        <f>KVH181*KVI181*KVJ181</f>
        <v>#DIV/0!</v>
      </c>
      <c r="KVL181" s="367" t="s">
        <v>206</v>
      </c>
      <c r="KVM181" s="367"/>
      <c r="KVN181" s="367"/>
      <c r="KVO181" s="368" t="s">
        <v>168</v>
      </c>
      <c r="KVP181" s="369">
        <v>0.5</v>
      </c>
      <c r="KVQ181" s="370" t="e">
        <f>10/KVM179</f>
        <v>#DIV/0!</v>
      </c>
      <c r="KVR181" s="371">
        <v>15.38</v>
      </c>
      <c r="KVS181" s="371" t="e">
        <f>KVP181*KVQ181*KVR181</f>
        <v>#DIV/0!</v>
      </c>
      <c r="KVT181" s="367" t="s">
        <v>206</v>
      </c>
      <c r="KVU181" s="367"/>
      <c r="KVV181" s="367"/>
      <c r="KVW181" s="368" t="s">
        <v>168</v>
      </c>
      <c r="KVX181" s="369">
        <v>0.5</v>
      </c>
      <c r="KVY181" s="370" t="e">
        <f>10/KVU179</f>
        <v>#DIV/0!</v>
      </c>
      <c r="KVZ181" s="371">
        <v>15.38</v>
      </c>
      <c r="KWA181" s="371" t="e">
        <f>KVX181*KVY181*KVZ181</f>
        <v>#DIV/0!</v>
      </c>
      <c r="KWB181" s="367" t="s">
        <v>206</v>
      </c>
      <c r="KWC181" s="367"/>
      <c r="KWD181" s="367"/>
      <c r="KWE181" s="368" t="s">
        <v>168</v>
      </c>
      <c r="KWF181" s="369">
        <v>0.5</v>
      </c>
      <c r="KWG181" s="370" t="e">
        <f>10/KWC179</f>
        <v>#DIV/0!</v>
      </c>
      <c r="KWH181" s="371">
        <v>15.38</v>
      </c>
      <c r="KWI181" s="371" t="e">
        <f>KWF181*KWG181*KWH181</f>
        <v>#DIV/0!</v>
      </c>
      <c r="KWJ181" s="367" t="s">
        <v>206</v>
      </c>
      <c r="KWK181" s="367"/>
      <c r="KWL181" s="367"/>
      <c r="KWM181" s="368" t="s">
        <v>168</v>
      </c>
      <c r="KWN181" s="369">
        <v>0.5</v>
      </c>
      <c r="KWO181" s="370" t="e">
        <f>10/KWK179</f>
        <v>#DIV/0!</v>
      </c>
      <c r="KWP181" s="371">
        <v>15.38</v>
      </c>
      <c r="KWQ181" s="371" t="e">
        <f>KWN181*KWO181*KWP181</f>
        <v>#DIV/0!</v>
      </c>
      <c r="KWR181" s="367" t="s">
        <v>206</v>
      </c>
      <c r="KWS181" s="367"/>
      <c r="KWT181" s="367"/>
      <c r="KWU181" s="368" t="s">
        <v>168</v>
      </c>
      <c r="KWV181" s="369">
        <v>0.5</v>
      </c>
      <c r="KWW181" s="370" t="e">
        <f>10/KWS179</f>
        <v>#DIV/0!</v>
      </c>
      <c r="KWX181" s="371">
        <v>15.38</v>
      </c>
      <c r="KWY181" s="371" t="e">
        <f>KWV181*KWW181*KWX181</f>
        <v>#DIV/0!</v>
      </c>
      <c r="KWZ181" s="367" t="s">
        <v>206</v>
      </c>
      <c r="KXA181" s="367"/>
      <c r="KXB181" s="367"/>
      <c r="KXC181" s="368" t="s">
        <v>168</v>
      </c>
      <c r="KXD181" s="369">
        <v>0.5</v>
      </c>
      <c r="KXE181" s="370" t="e">
        <f>10/KXA179</f>
        <v>#DIV/0!</v>
      </c>
      <c r="KXF181" s="371">
        <v>15.38</v>
      </c>
      <c r="KXG181" s="371" t="e">
        <f>KXD181*KXE181*KXF181</f>
        <v>#DIV/0!</v>
      </c>
      <c r="KXH181" s="367" t="s">
        <v>206</v>
      </c>
      <c r="KXI181" s="367"/>
      <c r="KXJ181" s="367"/>
      <c r="KXK181" s="368" t="s">
        <v>168</v>
      </c>
      <c r="KXL181" s="369">
        <v>0.5</v>
      </c>
      <c r="KXM181" s="370" t="e">
        <f>10/KXI179</f>
        <v>#DIV/0!</v>
      </c>
      <c r="KXN181" s="371">
        <v>15.38</v>
      </c>
      <c r="KXO181" s="371" t="e">
        <f>KXL181*KXM181*KXN181</f>
        <v>#DIV/0!</v>
      </c>
      <c r="KXP181" s="367" t="s">
        <v>206</v>
      </c>
      <c r="KXQ181" s="367"/>
      <c r="KXR181" s="367"/>
      <c r="KXS181" s="368" t="s">
        <v>168</v>
      </c>
      <c r="KXT181" s="369">
        <v>0.5</v>
      </c>
      <c r="KXU181" s="370" t="e">
        <f>10/KXQ179</f>
        <v>#DIV/0!</v>
      </c>
      <c r="KXV181" s="371">
        <v>15.38</v>
      </c>
      <c r="KXW181" s="371" t="e">
        <f>KXT181*KXU181*KXV181</f>
        <v>#DIV/0!</v>
      </c>
      <c r="KXX181" s="367" t="s">
        <v>206</v>
      </c>
      <c r="KXY181" s="367"/>
      <c r="KXZ181" s="367"/>
      <c r="KYA181" s="368" t="s">
        <v>168</v>
      </c>
      <c r="KYB181" s="369">
        <v>0.5</v>
      </c>
      <c r="KYC181" s="370" t="e">
        <f>10/KXY179</f>
        <v>#DIV/0!</v>
      </c>
      <c r="KYD181" s="371">
        <v>15.38</v>
      </c>
      <c r="KYE181" s="371" t="e">
        <f>KYB181*KYC181*KYD181</f>
        <v>#DIV/0!</v>
      </c>
      <c r="KYF181" s="367" t="s">
        <v>206</v>
      </c>
      <c r="KYG181" s="367"/>
      <c r="KYH181" s="367"/>
      <c r="KYI181" s="368" t="s">
        <v>168</v>
      </c>
      <c r="KYJ181" s="369">
        <v>0.5</v>
      </c>
      <c r="KYK181" s="370" t="e">
        <f>10/KYG179</f>
        <v>#DIV/0!</v>
      </c>
      <c r="KYL181" s="371">
        <v>15.38</v>
      </c>
      <c r="KYM181" s="371" t="e">
        <f>KYJ181*KYK181*KYL181</f>
        <v>#DIV/0!</v>
      </c>
      <c r="KYN181" s="367" t="s">
        <v>206</v>
      </c>
      <c r="KYO181" s="367"/>
      <c r="KYP181" s="367"/>
      <c r="KYQ181" s="368" t="s">
        <v>168</v>
      </c>
      <c r="KYR181" s="369">
        <v>0.5</v>
      </c>
      <c r="KYS181" s="370" t="e">
        <f>10/KYO179</f>
        <v>#DIV/0!</v>
      </c>
      <c r="KYT181" s="371">
        <v>15.38</v>
      </c>
      <c r="KYU181" s="371" t="e">
        <f>KYR181*KYS181*KYT181</f>
        <v>#DIV/0!</v>
      </c>
      <c r="KYV181" s="367" t="s">
        <v>206</v>
      </c>
      <c r="KYW181" s="367"/>
      <c r="KYX181" s="367"/>
      <c r="KYY181" s="368" t="s">
        <v>168</v>
      </c>
      <c r="KYZ181" s="369">
        <v>0.5</v>
      </c>
      <c r="KZA181" s="370" t="e">
        <f>10/KYW179</f>
        <v>#DIV/0!</v>
      </c>
      <c r="KZB181" s="371">
        <v>15.38</v>
      </c>
      <c r="KZC181" s="371" t="e">
        <f>KYZ181*KZA181*KZB181</f>
        <v>#DIV/0!</v>
      </c>
      <c r="KZD181" s="367" t="s">
        <v>206</v>
      </c>
      <c r="KZE181" s="367"/>
      <c r="KZF181" s="367"/>
      <c r="KZG181" s="368" t="s">
        <v>168</v>
      </c>
      <c r="KZH181" s="369">
        <v>0.5</v>
      </c>
      <c r="KZI181" s="370" t="e">
        <f>10/KZE179</f>
        <v>#DIV/0!</v>
      </c>
      <c r="KZJ181" s="371">
        <v>15.38</v>
      </c>
      <c r="KZK181" s="371" t="e">
        <f>KZH181*KZI181*KZJ181</f>
        <v>#DIV/0!</v>
      </c>
      <c r="KZL181" s="367" t="s">
        <v>206</v>
      </c>
      <c r="KZM181" s="367"/>
      <c r="KZN181" s="367"/>
      <c r="KZO181" s="368" t="s">
        <v>168</v>
      </c>
      <c r="KZP181" s="369">
        <v>0.5</v>
      </c>
      <c r="KZQ181" s="370" t="e">
        <f>10/KZM179</f>
        <v>#DIV/0!</v>
      </c>
      <c r="KZR181" s="371">
        <v>15.38</v>
      </c>
      <c r="KZS181" s="371" t="e">
        <f>KZP181*KZQ181*KZR181</f>
        <v>#DIV/0!</v>
      </c>
      <c r="KZT181" s="367" t="s">
        <v>206</v>
      </c>
      <c r="KZU181" s="367"/>
      <c r="KZV181" s="367"/>
      <c r="KZW181" s="368" t="s">
        <v>168</v>
      </c>
      <c r="KZX181" s="369">
        <v>0.5</v>
      </c>
      <c r="KZY181" s="370" t="e">
        <f>10/KZU179</f>
        <v>#DIV/0!</v>
      </c>
      <c r="KZZ181" s="371">
        <v>15.38</v>
      </c>
      <c r="LAA181" s="371" t="e">
        <f>KZX181*KZY181*KZZ181</f>
        <v>#DIV/0!</v>
      </c>
      <c r="LAB181" s="367" t="s">
        <v>206</v>
      </c>
      <c r="LAC181" s="367"/>
      <c r="LAD181" s="367"/>
      <c r="LAE181" s="368" t="s">
        <v>168</v>
      </c>
      <c r="LAF181" s="369">
        <v>0.5</v>
      </c>
      <c r="LAG181" s="370" t="e">
        <f>10/LAC179</f>
        <v>#DIV/0!</v>
      </c>
      <c r="LAH181" s="371">
        <v>15.38</v>
      </c>
      <c r="LAI181" s="371" t="e">
        <f>LAF181*LAG181*LAH181</f>
        <v>#DIV/0!</v>
      </c>
      <c r="LAJ181" s="367" t="s">
        <v>206</v>
      </c>
      <c r="LAK181" s="367"/>
      <c r="LAL181" s="367"/>
      <c r="LAM181" s="368" t="s">
        <v>168</v>
      </c>
      <c r="LAN181" s="369">
        <v>0.5</v>
      </c>
      <c r="LAO181" s="370" t="e">
        <f>10/LAK179</f>
        <v>#DIV/0!</v>
      </c>
      <c r="LAP181" s="371">
        <v>15.38</v>
      </c>
      <c r="LAQ181" s="371" t="e">
        <f>LAN181*LAO181*LAP181</f>
        <v>#DIV/0!</v>
      </c>
      <c r="LAR181" s="367" t="s">
        <v>206</v>
      </c>
      <c r="LAS181" s="367"/>
      <c r="LAT181" s="367"/>
      <c r="LAU181" s="368" t="s">
        <v>168</v>
      </c>
      <c r="LAV181" s="369">
        <v>0.5</v>
      </c>
      <c r="LAW181" s="370" t="e">
        <f>10/LAS179</f>
        <v>#DIV/0!</v>
      </c>
      <c r="LAX181" s="371">
        <v>15.38</v>
      </c>
      <c r="LAY181" s="371" t="e">
        <f>LAV181*LAW181*LAX181</f>
        <v>#DIV/0!</v>
      </c>
      <c r="LAZ181" s="367" t="s">
        <v>206</v>
      </c>
      <c r="LBA181" s="367"/>
      <c r="LBB181" s="367"/>
      <c r="LBC181" s="368" t="s">
        <v>168</v>
      </c>
      <c r="LBD181" s="369">
        <v>0.5</v>
      </c>
      <c r="LBE181" s="370" t="e">
        <f>10/LBA179</f>
        <v>#DIV/0!</v>
      </c>
      <c r="LBF181" s="371">
        <v>15.38</v>
      </c>
      <c r="LBG181" s="371" t="e">
        <f>LBD181*LBE181*LBF181</f>
        <v>#DIV/0!</v>
      </c>
      <c r="LBH181" s="367" t="s">
        <v>206</v>
      </c>
      <c r="LBI181" s="367"/>
      <c r="LBJ181" s="367"/>
      <c r="LBK181" s="368" t="s">
        <v>168</v>
      </c>
      <c r="LBL181" s="369">
        <v>0.5</v>
      </c>
      <c r="LBM181" s="370" t="e">
        <f>10/LBI179</f>
        <v>#DIV/0!</v>
      </c>
      <c r="LBN181" s="371">
        <v>15.38</v>
      </c>
      <c r="LBO181" s="371" t="e">
        <f>LBL181*LBM181*LBN181</f>
        <v>#DIV/0!</v>
      </c>
      <c r="LBP181" s="367" t="s">
        <v>206</v>
      </c>
      <c r="LBQ181" s="367"/>
      <c r="LBR181" s="367"/>
      <c r="LBS181" s="368" t="s">
        <v>168</v>
      </c>
      <c r="LBT181" s="369">
        <v>0.5</v>
      </c>
      <c r="LBU181" s="370" t="e">
        <f>10/LBQ179</f>
        <v>#DIV/0!</v>
      </c>
      <c r="LBV181" s="371">
        <v>15.38</v>
      </c>
      <c r="LBW181" s="371" t="e">
        <f>LBT181*LBU181*LBV181</f>
        <v>#DIV/0!</v>
      </c>
      <c r="LBX181" s="367" t="s">
        <v>206</v>
      </c>
      <c r="LBY181" s="367"/>
      <c r="LBZ181" s="367"/>
      <c r="LCA181" s="368" t="s">
        <v>168</v>
      </c>
      <c r="LCB181" s="369">
        <v>0.5</v>
      </c>
      <c r="LCC181" s="370" t="e">
        <f>10/LBY179</f>
        <v>#DIV/0!</v>
      </c>
      <c r="LCD181" s="371">
        <v>15.38</v>
      </c>
      <c r="LCE181" s="371" t="e">
        <f>LCB181*LCC181*LCD181</f>
        <v>#DIV/0!</v>
      </c>
      <c r="LCF181" s="367" t="s">
        <v>206</v>
      </c>
      <c r="LCG181" s="367"/>
      <c r="LCH181" s="367"/>
      <c r="LCI181" s="368" t="s">
        <v>168</v>
      </c>
      <c r="LCJ181" s="369">
        <v>0.5</v>
      </c>
      <c r="LCK181" s="370" t="e">
        <f>10/LCG179</f>
        <v>#DIV/0!</v>
      </c>
      <c r="LCL181" s="371">
        <v>15.38</v>
      </c>
      <c r="LCM181" s="371" t="e">
        <f>LCJ181*LCK181*LCL181</f>
        <v>#DIV/0!</v>
      </c>
      <c r="LCN181" s="367" t="s">
        <v>206</v>
      </c>
      <c r="LCO181" s="367"/>
      <c r="LCP181" s="367"/>
      <c r="LCQ181" s="368" t="s">
        <v>168</v>
      </c>
      <c r="LCR181" s="369">
        <v>0.5</v>
      </c>
      <c r="LCS181" s="370" t="e">
        <f>10/LCO179</f>
        <v>#DIV/0!</v>
      </c>
      <c r="LCT181" s="371">
        <v>15.38</v>
      </c>
      <c r="LCU181" s="371" t="e">
        <f>LCR181*LCS181*LCT181</f>
        <v>#DIV/0!</v>
      </c>
      <c r="LCV181" s="367" t="s">
        <v>206</v>
      </c>
      <c r="LCW181" s="367"/>
      <c r="LCX181" s="367"/>
      <c r="LCY181" s="368" t="s">
        <v>168</v>
      </c>
      <c r="LCZ181" s="369">
        <v>0.5</v>
      </c>
      <c r="LDA181" s="370" t="e">
        <f>10/LCW179</f>
        <v>#DIV/0!</v>
      </c>
      <c r="LDB181" s="371">
        <v>15.38</v>
      </c>
      <c r="LDC181" s="371" t="e">
        <f>LCZ181*LDA181*LDB181</f>
        <v>#DIV/0!</v>
      </c>
      <c r="LDD181" s="367" t="s">
        <v>206</v>
      </c>
      <c r="LDE181" s="367"/>
      <c r="LDF181" s="367"/>
      <c r="LDG181" s="368" t="s">
        <v>168</v>
      </c>
      <c r="LDH181" s="369">
        <v>0.5</v>
      </c>
      <c r="LDI181" s="370" t="e">
        <f>10/LDE179</f>
        <v>#DIV/0!</v>
      </c>
      <c r="LDJ181" s="371">
        <v>15.38</v>
      </c>
      <c r="LDK181" s="371" t="e">
        <f>LDH181*LDI181*LDJ181</f>
        <v>#DIV/0!</v>
      </c>
      <c r="LDL181" s="367" t="s">
        <v>206</v>
      </c>
      <c r="LDM181" s="367"/>
      <c r="LDN181" s="367"/>
      <c r="LDO181" s="368" t="s">
        <v>168</v>
      </c>
      <c r="LDP181" s="369">
        <v>0.5</v>
      </c>
      <c r="LDQ181" s="370" t="e">
        <f>10/LDM179</f>
        <v>#DIV/0!</v>
      </c>
      <c r="LDR181" s="371">
        <v>15.38</v>
      </c>
      <c r="LDS181" s="371" t="e">
        <f>LDP181*LDQ181*LDR181</f>
        <v>#DIV/0!</v>
      </c>
      <c r="LDT181" s="367" t="s">
        <v>206</v>
      </c>
      <c r="LDU181" s="367"/>
      <c r="LDV181" s="367"/>
      <c r="LDW181" s="368" t="s">
        <v>168</v>
      </c>
      <c r="LDX181" s="369">
        <v>0.5</v>
      </c>
      <c r="LDY181" s="370" t="e">
        <f>10/LDU179</f>
        <v>#DIV/0!</v>
      </c>
      <c r="LDZ181" s="371">
        <v>15.38</v>
      </c>
      <c r="LEA181" s="371" t="e">
        <f>LDX181*LDY181*LDZ181</f>
        <v>#DIV/0!</v>
      </c>
      <c r="LEB181" s="367" t="s">
        <v>206</v>
      </c>
      <c r="LEC181" s="367"/>
      <c r="LED181" s="367"/>
      <c r="LEE181" s="368" t="s">
        <v>168</v>
      </c>
      <c r="LEF181" s="369">
        <v>0.5</v>
      </c>
      <c r="LEG181" s="370" t="e">
        <f>10/LEC179</f>
        <v>#DIV/0!</v>
      </c>
      <c r="LEH181" s="371">
        <v>15.38</v>
      </c>
      <c r="LEI181" s="371" t="e">
        <f>LEF181*LEG181*LEH181</f>
        <v>#DIV/0!</v>
      </c>
      <c r="LEJ181" s="367" t="s">
        <v>206</v>
      </c>
      <c r="LEK181" s="367"/>
      <c r="LEL181" s="367"/>
      <c r="LEM181" s="368" t="s">
        <v>168</v>
      </c>
      <c r="LEN181" s="369">
        <v>0.5</v>
      </c>
      <c r="LEO181" s="370" t="e">
        <f>10/LEK179</f>
        <v>#DIV/0!</v>
      </c>
      <c r="LEP181" s="371">
        <v>15.38</v>
      </c>
      <c r="LEQ181" s="371" t="e">
        <f>LEN181*LEO181*LEP181</f>
        <v>#DIV/0!</v>
      </c>
      <c r="LER181" s="367" t="s">
        <v>206</v>
      </c>
      <c r="LES181" s="367"/>
      <c r="LET181" s="367"/>
      <c r="LEU181" s="368" t="s">
        <v>168</v>
      </c>
      <c r="LEV181" s="369">
        <v>0.5</v>
      </c>
      <c r="LEW181" s="370" t="e">
        <f>10/LES179</f>
        <v>#DIV/0!</v>
      </c>
      <c r="LEX181" s="371">
        <v>15.38</v>
      </c>
      <c r="LEY181" s="371" t="e">
        <f>LEV181*LEW181*LEX181</f>
        <v>#DIV/0!</v>
      </c>
      <c r="LEZ181" s="367" t="s">
        <v>206</v>
      </c>
      <c r="LFA181" s="367"/>
      <c r="LFB181" s="367"/>
      <c r="LFC181" s="368" t="s">
        <v>168</v>
      </c>
      <c r="LFD181" s="369">
        <v>0.5</v>
      </c>
      <c r="LFE181" s="370" t="e">
        <f>10/LFA179</f>
        <v>#DIV/0!</v>
      </c>
      <c r="LFF181" s="371">
        <v>15.38</v>
      </c>
      <c r="LFG181" s="371" t="e">
        <f>LFD181*LFE181*LFF181</f>
        <v>#DIV/0!</v>
      </c>
      <c r="LFH181" s="367" t="s">
        <v>206</v>
      </c>
      <c r="LFI181" s="367"/>
      <c r="LFJ181" s="367"/>
      <c r="LFK181" s="368" t="s">
        <v>168</v>
      </c>
      <c r="LFL181" s="369">
        <v>0.5</v>
      </c>
      <c r="LFM181" s="370" t="e">
        <f>10/LFI179</f>
        <v>#DIV/0!</v>
      </c>
      <c r="LFN181" s="371">
        <v>15.38</v>
      </c>
      <c r="LFO181" s="371" t="e">
        <f>LFL181*LFM181*LFN181</f>
        <v>#DIV/0!</v>
      </c>
      <c r="LFP181" s="367" t="s">
        <v>206</v>
      </c>
      <c r="LFQ181" s="367"/>
      <c r="LFR181" s="367"/>
      <c r="LFS181" s="368" t="s">
        <v>168</v>
      </c>
      <c r="LFT181" s="369">
        <v>0.5</v>
      </c>
      <c r="LFU181" s="370" t="e">
        <f>10/LFQ179</f>
        <v>#DIV/0!</v>
      </c>
      <c r="LFV181" s="371">
        <v>15.38</v>
      </c>
      <c r="LFW181" s="371" t="e">
        <f>LFT181*LFU181*LFV181</f>
        <v>#DIV/0!</v>
      </c>
      <c r="LFX181" s="367" t="s">
        <v>206</v>
      </c>
      <c r="LFY181" s="367"/>
      <c r="LFZ181" s="367"/>
      <c r="LGA181" s="368" t="s">
        <v>168</v>
      </c>
      <c r="LGB181" s="369">
        <v>0.5</v>
      </c>
      <c r="LGC181" s="370" t="e">
        <f>10/LFY179</f>
        <v>#DIV/0!</v>
      </c>
      <c r="LGD181" s="371">
        <v>15.38</v>
      </c>
      <c r="LGE181" s="371" t="e">
        <f>LGB181*LGC181*LGD181</f>
        <v>#DIV/0!</v>
      </c>
      <c r="LGF181" s="367" t="s">
        <v>206</v>
      </c>
      <c r="LGG181" s="367"/>
      <c r="LGH181" s="367"/>
      <c r="LGI181" s="368" t="s">
        <v>168</v>
      </c>
      <c r="LGJ181" s="369">
        <v>0.5</v>
      </c>
      <c r="LGK181" s="370" t="e">
        <f>10/LGG179</f>
        <v>#DIV/0!</v>
      </c>
      <c r="LGL181" s="371">
        <v>15.38</v>
      </c>
      <c r="LGM181" s="371" t="e">
        <f>LGJ181*LGK181*LGL181</f>
        <v>#DIV/0!</v>
      </c>
      <c r="LGN181" s="367" t="s">
        <v>206</v>
      </c>
      <c r="LGO181" s="367"/>
      <c r="LGP181" s="367"/>
      <c r="LGQ181" s="368" t="s">
        <v>168</v>
      </c>
      <c r="LGR181" s="369">
        <v>0.5</v>
      </c>
      <c r="LGS181" s="370" t="e">
        <f>10/LGO179</f>
        <v>#DIV/0!</v>
      </c>
      <c r="LGT181" s="371">
        <v>15.38</v>
      </c>
      <c r="LGU181" s="371" t="e">
        <f>LGR181*LGS181*LGT181</f>
        <v>#DIV/0!</v>
      </c>
      <c r="LGV181" s="367" t="s">
        <v>206</v>
      </c>
      <c r="LGW181" s="367"/>
      <c r="LGX181" s="367"/>
      <c r="LGY181" s="368" t="s">
        <v>168</v>
      </c>
      <c r="LGZ181" s="369">
        <v>0.5</v>
      </c>
      <c r="LHA181" s="370" t="e">
        <f>10/LGW179</f>
        <v>#DIV/0!</v>
      </c>
      <c r="LHB181" s="371">
        <v>15.38</v>
      </c>
      <c r="LHC181" s="371" t="e">
        <f>LGZ181*LHA181*LHB181</f>
        <v>#DIV/0!</v>
      </c>
      <c r="LHD181" s="367" t="s">
        <v>206</v>
      </c>
      <c r="LHE181" s="367"/>
      <c r="LHF181" s="367"/>
      <c r="LHG181" s="368" t="s">
        <v>168</v>
      </c>
      <c r="LHH181" s="369">
        <v>0.5</v>
      </c>
      <c r="LHI181" s="370" t="e">
        <f>10/LHE179</f>
        <v>#DIV/0!</v>
      </c>
      <c r="LHJ181" s="371">
        <v>15.38</v>
      </c>
      <c r="LHK181" s="371" t="e">
        <f>LHH181*LHI181*LHJ181</f>
        <v>#DIV/0!</v>
      </c>
      <c r="LHL181" s="367" t="s">
        <v>206</v>
      </c>
      <c r="LHM181" s="367"/>
      <c r="LHN181" s="367"/>
      <c r="LHO181" s="368" t="s">
        <v>168</v>
      </c>
      <c r="LHP181" s="369">
        <v>0.5</v>
      </c>
      <c r="LHQ181" s="370" t="e">
        <f>10/LHM179</f>
        <v>#DIV/0!</v>
      </c>
      <c r="LHR181" s="371">
        <v>15.38</v>
      </c>
      <c r="LHS181" s="371" t="e">
        <f>LHP181*LHQ181*LHR181</f>
        <v>#DIV/0!</v>
      </c>
      <c r="LHT181" s="367" t="s">
        <v>206</v>
      </c>
      <c r="LHU181" s="367"/>
      <c r="LHV181" s="367"/>
      <c r="LHW181" s="368" t="s">
        <v>168</v>
      </c>
      <c r="LHX181" s="369">
        <v>0.5</v>
      </c>
      <c r="LHY181" s="370" t="e">
        <f>10/LHU179</f>
        <v>#DIV/0!</v>
      </c>
      <c r="LHZ181" s="371">
        <v>15.38</v>
      </c>
      <c r="LIA181" s="371" t="e">
        <f>LHX181*LHY181*LHZ181</f>
        <v>#DIV/0!</v>
      </c>
      <c r="LIB181" s="367" t="s">
        <v>206</v>
      </c>
      <c r="LIC181" s="367"/>
      <c r="LID181" s="367"/>
      <c r="LIE181" s="368" t="s">
        <v>168</v>
      </c>
      <c r="LIF181" s="369">
        <v>0.5</v>
      </c>
      <c r="LIG181" s="370" t="e">
        <f>10/LIC179</f>
        <v>#DIV/0!</v>
      </c>
      <c r="LIH181" s="371">
        <v>15.38</v>
      </c>
      <c r="LII181" s="371" t="e">
        <f>LIF181*LIG181*LIH181</f>
        <v>#DIV/0!</v>
      </c>
      <c r="LIJ181" s="367" t="s">
        <v>206</v>
      </c>
      <c r="LIK181" s="367"/>
      <c r="LIL181" s="367"/>
      <c r="LIM181" s="368" t="s">
        <v>168</v>
      </c>
      <c r="LIN181" s="369">
        <v>0.5</v>
      </c>
      <c r="LIO181" s="370" t="e">
        <f>10/LIK179</f>
        <v>#DIV/0!</v>
      </c>
      <c r="LIP181" s="371">
        <v>15.38</v>
      </c>
      <c r="LIQ181" s="371" t="e">
        <f>LIN181*LIO181*LIP181</f>
        <v>#DIV/0!</v>
      </c>
      <c r="LIR181" s="367" t="s">
        <v>206</v>
      </c>
      <c r="LIS181" s="367"/>
      <c r="LIT181" s="367"/>
      <c r="LIU181" s="368" t="s">
        <v>168</v>
      </c>
      <c r="LIV181" s="369">
        <v>0.5</v>
      </c>
      <c r="LIW181" s="370" t="e">
        <f>10/LIS179</f>
        <v>#DIV/0!</v>
      </c>
      <c r="LIX181" s="371">
        <v>15.38</v>
      </c>
      <c r="LIY181" s="371" t="e">
        <f>LIV181*LIW181*LIX181</f>
        <v>#DIV/0!</v>
      </c>
      <c r="LIZ181" s="367" t="s">
        <v>206</v>
      </c>
      <c r="LJA181" s="367"/>
      <c r="LJB181" s="367"/>
      <c r="LJC181" s="368" t="s">
        <v>168</v>
      </c>
      <c r="LJD181" s="369">
        <v>0.5</v>
      </c>
      <c r="LJE181" s="370" t="e">
        <f>10/LJA179</f>
        <v>#DIV/0!</v>
      </c>
      <c r="LJF181" s="371">
        <v>15.38</v>
      </c>
      <c r="LJG181" s="371" t="e">
        <f>LJD181*LJE181*LJF181</f>
        <v>#DIV/0!</v>
      </c>
      <c r="LJH181" s="367" t="s">
        <v>206</v>
      </c>
      <c r="LJI181" s="367"/>
      <c r="LJJ181" s="367"/>
      <c r="LJK181" s="368" t="s">
        <v>168</v>
      </c>
      <c r="LJL181" s="369">
        <v>0.5</v>
      </c>
      <c r="LJM181" s="370" t="e">
        <f>10/LJI179</f>
        <v>#DIV/0!</v>
      </c>
      <c r="LJN181" s="371">
        <v>15.38</v>
      </c>
      <c r="LJO181" s="371" t="e">
        <f>LJL181*LJM181*LJN181</f>
        <v>#DIV/0!</v>
      </c>
      <c r="LJP181" s="367" t="s">
        <v>206</v>
      </c>
      <c r="LJQ181" s="367"/>
      <c r="LJR181" s="367"/>
      <c r="LJS181" s="368" t="s">
        <v>168</v>
      </c>
      <c r="LJT181" s="369">
        <v>0.5</v>
      </c>
      <c r="LJU181" s="370" t="e">
        <f>10/LJQ179</f>
        <v>#DIV/0!</v>
      </c>
      <c r="LJV181" s="371">
        <v>15.38</v>
      </c>
      <c r="LJW181" s="371" t="e">
        <f>LJT181*LJU181*LJV181</f>
        <v>#DIV/0!</v>
      </c>
      <c r="LJX181" s="367" t="s">
        <v>206</v>
      </c>
      <c r="LJY181" s="367"/>
      <c r="LJZ181" s="367"/>
      <c r="LKA181" s="368" t="s">
        <v>168</v>
      </c>
      <c r="LKB181" s="369">
        <v>0.5</v>
      </c>
      <c r="LKC181" s="370" t="e">
        <f>10/LJY179</f>
        <v>#DIV/0!</v>
      </c>
      <c r="LKD181" s="371">
        <v>15.38</v>
      </c>
      <c r="LKE181" s="371" t="e">
        <f>LKB181*LKC181*LKD181</f>
        <v>#DIV/0!</v>
      </c>
      <c r="LKF181" s="367" t="s">
        <v>206</v>
      </c>
      <c r="LKG181" s="367"/>
      <c r="LKH181" s="367"/>
      <c r="LKI181" s="368" t="s">
        <v>168</v>
      </c>
      <c r="LKJ181" s="369">
        <v>0.5</v>
      </c>
      <c r="LKK181" s="370" t="e">
        <f>10/LKG179</f>
        <v>#DIV/0!</v>
      </c>
      <c r="LKL181" s="371">
        <v>15.38</v>
      </c>
      <c r="LKM181" s="371" t="e">
        <f>LKJ181*LKK181*LKL181</f>
        <v>#DIV/0!</v>
      </c>
      <c r="LKN181" s="367" t="s">
        <v>206</v>
      </c>
      <c r="LKO181" s="367"/>
      <c r="LKP181" s="367"/>
      <c r="LKQ181" s="368" t="s">
        <v>168</v>
      </c>
      <c r="LKR181" s="369">
        <v>0.5</v>
      </c>
      <c r="LKS181" s="370" t="e">
        <f>10/LKO179</f>
        <v>#DIV/0!</v>
      </c>
      <c r="LKT181" s="371">
        <v>15.38</v>
      </c>
      <c r="LKU181" s="371" t="e">
        <f>LKR181*LKS181*LKT181</f>
        <v>#DIV/0!</v>
      </c>
      <c r="LKV181" s="367" t="s">
        <v>206</v>
      </c>
      <c r="LKW181" s="367"/>
      <c r="LKX181" s="367"/>
      <c r="LKY181" s="368" t="s">
        <v>168</v>
      </c>
      <c r="LKZ181" s="369">
        <v>0.5</v>
      </c>
      <c r="LLA181" s="370" t="e">
        <f>10/LKW179</f>
        <v>#DIV/0!</v>
      </c>
      <c r="LLB181" s="371">
        <v>15.38</v>
      </c>
      <c r="LLC181" s="371" t="e">
        <f>LKZ181*LLA181*LLB181</f>
        <v>#DIV/0!</v>
      </c>
      <c r="LLD181" s="367" t="s">
        <v>206</v>
      </c>
      <c r="LLE181" s="367"/>
      <c r="LLF181" s="367"/>
      <c r="LLG181" s="368" t="s">
        <v>168</v>
      </c>
      <c r="LLH181" s="369">
        <v>0.5</v>
      </c>
      <c r="LLI181" s="370" t="e">
        <f>10/LLE179</f>
        <v>#DIV/0!</v>
      </c>
      <c r="LLJ181" s="371">
        <v>15.38</v>
      </c>
      <c r="LLK181" s="371" t="e">
        <f>LLH181*LLI181*LLJ181</f>
        <v>#DIV/0!</v>
      </c>
      <c r="LLL181" s="367" t="s">
        <v>206</v>
      </c>
      <c r="LLM181" s="367"/>
      <c r="LLN181" s="367"/>
      <c r="LLO181" s="368" t="s">
        <v>168</v>
      </c>
      <c r="LLP181" s="369">
        <v>0.5</v>
      </c>
      <c r="LLQ181" s="370" t="e">
        <f>10/LLM179</f>
        <v>#DIV/0!</v>
      </c>
      <c r="LLR181" s="371">
        <v>15.38</v>
      </c>
      <c r="LLS181" s="371" t="e">
        <f>LLP181*LLQ181*LLR181</f>
        <v>#DIV/0!</v>
      </c>
      <c r="LLT181" s="367" t="s">
        <v>206</v>
      </c>
      <c r="LLU181" s="367"/>
      <c r="LLV181" s="367"/>
      <c r="LLW181" s="368" t="s">
        <v>168</v>
      </c>
      <c r="LLX181" s="369">
        <v>0.5</v>
      </c>
      <c r="LLY181" s="370" t="e">
        <f>10/LLU179</f>
        <v>#DIV/0!</v>
      </c>
      <c r="LLZ181" s="371">
        <v>15.38</v>
      </c>
      <c r="LMA181" s="371" t="e">
        <f>LLX181*LLY181*LLZ181</f>
        <v>#DIV/0!</v>
      </c>
      <c r="LMB181" s="367" t="s">
        <v>206</v>
      </c>
      <c r="LMC181" s="367"/>
      <c r="LMD181" s="367"/>
      <c r="LME181" s="368" t="s">
        <v>168</v>
      </c>
      <c r="LMF181" s="369">
        <v>0.5</v>
      </c>
      <c r="LMG181" s="370" t="e">
        <f>10/LMC179</f>
        <v>#DIV/0!</v>
      </c>
      <c r="LMH181" s="371">
        <v>15.38</v>
      </c>
      <c r="LMI181" s="371" t="e">
        <f>LMF181*LMG181*LMH181</f>
        <v>#DIV/0!</v>
      </c>
      <c r="LMJ181" s="367" t="s">
        <v>206</v>
      </c>
      <c r="LMK181" s="367"/>
      <c r="LML181" s="367"/>
      <c r="LMM181" s="368" t="s">
        <v>168</v>
      </c>
      <c r="LMN181" s="369">
        <v>0.5</v>
      </c>
      <c r="LMO181" s="370" t="e">
        <f>10/LMK179</f>
        <v>#DIV/0!</v>
      </c>
      <c r="LMP181" s="371">
        <v>15.38</v>
      </c>
      <c r="LMQ181" s="371" t="e">
        <f>LMN181*LMO181*LMP181</f>
        <v>#DIV/0!</v>
      </c>
      <c r="LMR181" s="367" t="s">
        <v>206</v>
      </c>
      <c r="LMS181" s="367"/>
      <c r="LMT181" s="367"/>
      <c r="LMU181" s="368" t="s">
        <v>168</v>
      </c>
      <c r="LMV181" s="369">
        <v>0.5</v>
      </c>
      <c r="LMW181" s="370" t="e">
        <f>10/LMS179</f>
        <v>#DIV/0!</v>
      </c>
      <c r="LMX181" s="371">
        <v>15.38</v>
      </c>
      <c r="LMY181" s="371" t="e">
        <f>LMV181*LMW181*LMX181</f>
        <v>#DIV/0!</v>
      </c>
      <c r="LMZ181" s="367" t="s">
        <v>206</v>
      </c>
      <c r="LNA181" s="367"/>
      <c r="LNB181" s="367"/>
      <c r="LNC181" s="368" t="s">
        <v>168</v>
      </c>
      <c r="LND181" s="369">
        <v>0.5</v>
      </c>
      <c r="LNE181" s="370" t="e">
        <f>10/LNA179</f>
        <v>#DIV/0!</v>
      </c>
      <c r="LNF181" s="371">
        <v>15.38</v>
      </c>
      <c r="LNG181" s="371" t="e">
        <f>LND181*LNE181*LNF181</f>
        <v>#DIV/0!</v>
      </c>
      <c r="LNH181" s="367" t="s">
        <v>206</v>
      </c>
      <c r="LNI181" s="367"/>
      <c r="LNJ181" s="367"/>
      <c r="LNK181" s="368" t="s">
        <v>168</v>
      </c>
      <c r="LNL181" s="369">
        <v>0.5</v>
      </c>
      <c r="LNM181" s="370" t="e">
        <f>10/LNI179</f>
        <v>#DIV/0!</v>
      </c>
      <c r="LNN181" s="371">
        <v>15.38</v>
      </c>
      <c r="LNO181" s="371" t="e">
        <f>LNL181*LNM181*LNN181</f>
        <v>#DIV/0!</v>
      </c>
      <c r="LNP181" s="367" t="s">
        <v>206</v>
      </c>
      <c r="LNQ181" s="367"/>
      <c r="LNR181" s="367"/>
      <c r="LNS181" s="368" t="s">
        <v>168</v>
      </c>
      <c r="LNT181" s="369">
        <v>0.5</v>
      </c>
      <c r="LNU181" s="370" t="e">
        <f>10/LNQ179</f>
        <v>#DIV/0!</v>
      </c>
      <c r="LNV181" s="371">
        <v>15.38</v>
      </c>
      <c r="LNW181" s="371" t="e">
        <f>LNT181*LNU181*LNV181</f>
        <v>#DIV/0!</v>
      </c>
      <c r="LNX181" s="367" t="s">
        <v>206</v>
      </c>
      <c r="LNY181" s="367"/>
      <c r="LNZ181" s="367"/>
      <c r="LOA181" s="368" t="s">
        <v>168</v>
      </c>
      <c r="LOB181" s="369">
        <v>0.5</v>
      </c>
      <c r="LOC181" s="370" t="e">
        <f>10/LNY179</f>
        <v>#DIV/0!</v>
      </c>
      <c r="LOD181" s="371">
        <v>15.38</v>
      </c>
      <c r="LOE181" s="371" t="e">
        <f>LOB181*LOC181*LOD181</f>
        <v>#DIV/0!</v>
      </c>
      <c r="LOF181" s="367" t="s">
        <v>206</v>
      </c>
      <c r="LOG181" s="367"/>
      <c r="LOH181" s="367"/>
      <c r="LOI181" s="368" t="s">
        <v>168</v>
      </c>
      <c r="LOJ181" s="369">
        <v>0.5</v>
      </c>
      <c r="LOK181" s="370" t="e">
        <f>10/LOG179</f>
        <v>#DIV/0!</v>
      </c>
      <c r="LOL181" s="371">
        <v>15.38</v>
      </c>
      <c r="LOM181" s="371" t="e">
        <f>LOJ181*LOK181*LOL181</f>
        <v>#DIV/0!</v>
      </c>
      <c r="LON181" s="367" t="s">
        <v>206</v>
      </c>
      <c r="LOO181" s="367"/>
      <c r="LOP181" s="367"/>
      <c r="LOQ181" s="368" t="s">
        <v>168</v>
      </c>
      <c r="LOR181" s="369">
        <v>0.5</v>
      </c>
      <c r="LOS181" s="370" t="e">
        <f>10/LOO179</f>
        <v>#DIV/0!</v>
      </c>
      <c r="LOT181" s="371">
        <v>15.38</v>
      </c>
      <c r="LOU181" s="371" t="e">
        <f>LOR181*LOS181*LOT181</f>
        <v>#DIV/0!</v>
      </c>
      <c r="LOV181" s="367" t="s">
        <v>206</v>
      </c>
      <c r="LOW181" s="367"/>
      <c r="LOX181" s="367"/>
      <c r="LOY181" s="368" t="s">
        <v>168</v>
      </c>
      <c r="LOZ181" s="369">
        <v>0.5</v>
      </c>
      <c r="LPA181" s="370" t="e">
        <f>10/LOW179</f>
        <v>#DIV/0!</v>
      </c>
      <c r="LPB181" s="371">
        <v>15.38</v>
      </c>
      <c r="LPC181" s="371" t="e">
        <f>LOZ181*LPA181*LPB181</f>
        <v>#DIV/0!</v>
      </c>
      <c r="LPD181" s="367" t="s">
        <v>206</v>
      </c>
      <c r="LPE181" s="367"/>
      <c r="LPF181" s="367"/>
      <c r="LPG181" s="368" t="s">
        <v>168</v>
      </c>
      <c r="LPH181" s="369">
        <v>0.5</v>
      </c>
      <c r="LPI181" s="370" t="e">
        <f>10/LPE179</f>
        <v>#DIV/0!</v>
      </c>
      <c r="LPJ181" s="371">
        <v>15.38</v>
      </c>
      <c r="LPK181" s="371" t="e">
        <f>LPH181*LPI181*LPJ181</f>
        <v>#DIV/0!</v>
      </c>
      <c r="LPL181" s="367" t="s">
        <v>206</v>
      </c>
      <c r="LPM181" s="367"/>
      <c r="LPN181" s="367"/>
      <c r="LPO181" s="368" t="s">
        <v>168</v>
      </c>
      <c r="LPP181" s="369">
        <v>0.5</v>
      </c>
      <c r="LPQ181" s="370" t="e">
        <f>10/LPM179</f>
        <v>#DIV/0!</v>
      </c>
      <c r="LPR181" s="371">
        <v>15.38</v>
      </c>
      <c r="LPS181" s="371" t="e">
        <f>LPP181*LPQ181*LPR181</f>
        <v>#DIV/0!</v>
      </c>
      <c r="LPT181" s="367" t="s">
        <v>206</v>
      </c>
      <c r="LPU181" s="367"/>
      <c r="LPV181" s="367"/>
      <c r="LPW181" s="368" t="s">
        <v>168</v>
      </c>
      <c r="LPX181" s="369">
        <v>0.5</v>
      </c>
      <c r="LPY181" s="370" t="e">
        <f>10/LPU179</f>
        <v>#DIV/0!</v>
      </c>
      <c r="LPZ181" s="371">
        <v>15.38</v>
      </c>
      <c r="LQA181" s="371" t="e">
        <f>LPX181*LPY181*LPZ181</f>
        <v>#DIV/0!</v>
      </c>
      <c r="LQB181" s="367" t="s">
        <v>206</v>
      </c>
      <c r="LQC181" s="367"/>
      <c r="LQD181" s="367"/>
      <c r="LQE181" s="368" t="s">
        <v>168</v>
      </c>
      <c r="LQF181" s="369">
        <v>0.5</v>
      </c>
      <c r="LQG181" s="370" t="e">
        <f>10/LQC179</f>
        <v>#DIV/0!</v>
      </c>
      <c r="LQH181" s="371">
        <v>15.38</v>
      </c>
      <c r="LQI181" s="371" t="e">
        <f>LQF181*LQG181*LQH181</f>
        <v>#DIV/0!</v>
      </c>
      <c r="LQJ181" s="367" t="s">
        <v>206</v>
      </c>
      <c r="LQK181" s="367"/>
      <c r="LQL181" s="367"/>
      <c r="LQM181" s="368" t="s">
        <v>168</v>
      </c>
      <c r="LQN181" s="369">
        <v>0.5</v>
      </c>
      <c r="LQO181" s="370" t="e">
        <f>10/LQK179</f>
        <v>#DIV/0!</v>
      </c>
      <c r="LQP181" s="371">
        <v>15.38</v>
      </c>
      <c r="LQQ181" s="371" t="e">
        <f>LQN181*LQO181*LQP181</f>
        <v>#DIV/0!</v>
      </c>
      <c r="LQR181" s="367" t="s">
        <v>206</v>
      </c>
      <c r="LQS181" s="367"/>
      <c r="LQT181" s="367"/>
      <c r="LQU181" s="368" t="s">
        <v>168</v>
      </c>
      <c r="LQV181" s="369">
        <v>0.5</v>
      </c>
      <c r="LQW181" s="370" t="e">
        <f>10/LQS179</f>
        <v>#DIV/0!</v>
      </c>
      <c r="LQX181" s="371">
        <v>15.38</v>
      </c>
      <c r="LQY181" s="371" t="e">
        <f>LQV181*LQW181*LQX181</f>
        <v>#DIV/0!</v>
      </c>
      <c r="LQZ181" s="367" t="s">
        <v>206</v>
      </c>
      <c r="LRA181" s="367"/>
      <c r="LRB181" s="367"/>
      <c r="LRC181" s="368" t="s">
        <v>168</v>
      </c>
      <c r="LRD181" s="369">
        <v>0.5</v>
      </c>
      <c r="LRE181" s="370" t="e">
        <f>10/LRA179</f>
        <v>#DIV/0!</v>
      </c>
      <c r="LRF181" s="371">
        <v>15.38</v>
      </c>
      <c r="LRG181" s="371" t="e">
        <f>LRD181*LRE181*LRF181</f>
        <v>#DIV/0!</v>
      </c>
      <c r="LRH181" s="367" t="s">
        <v>206</v>
      </c>
      <c r="LRI181" s="367"/>
      <c r="LRJ181" s="367"/>
      <c r="LRK181" s="368" t="s">
        <v>168</v>
      </c>
      <c r="LRL181" s="369">
        <v>0.5</v>
      </c>
      <c r="LRM181" s="370" t="e">
        <f>10/LRI179</f>
        <v>#DIV/0!</v>
      </c>
      <c r="LRN181" s="371">
        <v>15.38</v>
      </c>
      <c r="LRO181" s="371" t="e">
        <f>LRL181*LRM181*LRN181</f>
        <v>#DIV/0!</v>
      </c>
      <c r="LRP181" s="367" t="s">
        <v>206</v>
      </c>
      <c r="LRQ181" s="367"/>
      <c r="LRR181" s="367"/>
      <c r="LRS181" s="368" t="s">
        <v>168</v>
      </c>
      <c r="LRT181" s="369">
        <v>0.5</v>
      </c>
      <c r="LRU181" s="370" t="e">
        <f>10/LRQ179</f>
        <v>#DIV/0!</v>
      </c>
      <c r="LRV181" s="371">
        <v>15.38</v>
      </c>
      <c r="LRW181" s="371" t="e">
        <f>LRT181*LRU181*LRV181</f>
        <v>#DIV/0!</v>
      </c>
      <c r="LRX181" s="367" t="s">
        <v>206</v>
      </c>
      <c r="LRY181" s="367"/>
      <c r="LRZ181" s="367"/>
      <c r="LSA181" s="368" t="s">
        <v>168</v>
      </c>
      <c r="LSB181" s="369">
        <v>0.5</v>
      </c>
      <c r="LSC181" s="370" t="e">
        <f>10/LRY179</f>
        <v>#DIV/0!</v>
      </c>
      <c r="LSD181" s="371">
        <v>15.38</v>
      </c>
      <c r="LSE181" s="371" t="e">
        <f>LSB181*LSC181*LSD181</f>
        <v>#DIV/0!</v>
      </c>
      <c r="LSF181" s="367" t="s">
        <v>206</v>
      </c>
      <c r="LSG181" s="367"/>
      <c r="LSH181" s="367"/>
      <c r="LSI181" s="368" t="s">
        <v>168</v>
      </c>
      <c r="LSJ181" s="369">
        <v>0.5</v>
      </c>
      <c r="LSK181" s="370" t="e">
        <f>10/LSG179</f>
        <v>#DIV/0!</v>
      </c>
      <c r="LSL181" s="371">
        <v>15.38</v>
      </c>
      <c r="LSM181" s="371" t="e">
        <f>LSJ181*LSK181*LSL181</f>
        <v>#DIV/0!</v>
      </c>
      <c r="LSN181" s="367" t="s">
        <v>206</v>
      </c>
      <c r="LSO181" s="367"/>
      <c r="LSP181" s="367"/>
      <c r="LSQ181" s="368" t="s">
        <v>168</v>
      </c>
      <c r="LSR181" s="369">
        <v>0.5</v>
      </c>
      <c r="LSS181" s="370" t="e">
        <f>10/LSO179</f>
        <v>#DIV/0!</v>
      </c>
      <c r="LST181" s="371">
        <v>15.38</v>
      </c>
      <c r="LSU181" s="371" t="e">
        <f>LSR181*LSS181*LST181</f>
        <v>#DIV/0!</v>
      </c>
      <c r="LSV181" s="367" t="s">
        <v>206</v>
      </c>
      <c r="LSW181" s="367"/>
      <c r="LSX181" s="367"/>
      <c r="LSY181" s="368" t="s">
        <v>168</v>
      </c>
      <c r="LSZ181" s="369">
        <v>0.5</v>
      </c>
      <c r="LTA181" s="370" t="e">
        <f>10/LSW179</f>
        <v>#DIV/0!</v>
      </c>
      <c r="LTB181" s="371">
        <v>15.38</v>
      </c>
      <c r="LTC181" s="371" t="e">
        <f>LSZ181*LTA181*LTB181</f>
        <v>#DIV/0!</v>
      </c>
      <c r="LTD181" s="367" t="s">
        <v>206</v>
      </c>
      <c r="LTE181" s="367"/>
      <c r="LTF181" s="367"/>
      <c r="LTG181" s="368" t="s">
        <v>168</v>
      </c>
      <c r="LTH181" s="369">
        <v>0.5</v>
      </c>
      <c r="LTI181" s="370" t="e">
        <f>10/LTE179</f>
        <v>#DIV/0!</v>
      </c>
      <c r="LTJ181" s="371">
        <v>15.38</v>
      </c>
      <c r="LTK181" s="371" t="e">
        <f>LTH181*LTI181*LTJ181</f>
        <v>#DIV/0!</v>
      </c>
      <c r="LTL181" s="367" t="s">
        <v>206</v>
      </c>
      <c r="LTM181" s="367"/>
      <c r="LTN181" s="367"/>
      <c r="LTO181" s="368" t="s">
        <v>168</v>
      </c>
      <c r="LTP181" s="369">
        <v>0.5</v>
      </c>
      <c r="LTQ181" s="370" t="e">
        <f>10/LTM179</f>
        <v>#DIV/0!</v>
      </c>
      <c r="LTR181" s="371">
        <v>15.38</v>
      </c>
      <c r="LTS181" s="371" t="e">
        <f>LTP181*LTQ181*LTR181</f>
        <v>#DIV/0!</v>
      </c>
      <c r="LTT181" s="367" t="s">
        <v>206</v>
      </c>
      <c r="LTU181" s="367"/>
      <c r="LTV181" s="367"/>
      <c r="LTW181" s="368" t="s">
        <v>168</v>
      </c>
      <c r="LTX181" s="369">
        <v>0.5</v>
      </c>
      <c r="LTY181" s="370" t="e">
        <f>10/LTU179</f>
        <v>#DIV/0!</v>
      </c>
      <c r="LTZ181" s="371">
        <v>15.38</v>
      </c>
      <c r="LUA181" s="371" t="e">
        <f>LTX181*LTY181*LTZ181</f>
        <v>#DIV/0!</v>
      </c>
      <c r="LUB181" s="367" t="s">
        <v>206</v>
      </c>
      <c r="LUC181" s="367"/>
      <c r="LUD181" s="367"/>
      <c r="LUE181" s="368" t="s">
        <v>168</v>
      </c>
      <c r="LUF181" s="369">
        <v>0.5</v>
      </c>
      <c r="LUG181" s="370" t="e">
        <f>10/LUC179</f>
        <v>#DIV/0!</v>
      </c>
      <c r="LUH181" s="371">
        <v>15.38</v>
      </c>
      <c r="LUI181" s="371" t="e">
        <f>LUF181*LUG181*LUH181</f>
        <v>#DIV/0!</v>
      </c>
      <c r="LUJ181" s="367" t="s">
        <v>206</v>
      </c>
      <c r="LUK181" s="367"/>
      <c r="LUL181" s="367"/>
      <c r="LUM181" s="368" t="s">
        <v>168</v>
      </c>
      <c r="LUN181" s="369">
        <v>0.5</v>
      </c>
      <c r="LUO181" s="370" t="e">
        <f>10/LUK179</f>
        <v>#DIV/0!</v>
      </c>
      <c r="LUP181" s="371">
        <v>15.38</v>
      </c>
      <c r="LUQ181" s="371" t="e">
        <f>LUN181*LUO181*LUP181</f>
        <v>#DIV/0!</v>
      </c>
      <c r="LUR181" s="367" t="s">
        <v>206</v>
      </c>
      <c r="LUS181" s="367"/>
      <c r="LUT181" s="367"/>
      <c r="LUU181" s="368" t="s">
        <v>168</v>
      </c>
      <c r="LUV181" s="369">
        <v>0.5</v>
      </c>
      <c r="LUW181" s="370" t="e">
        <f>10/LUS179</f>
        <v>#DIV/0!</v>
      </c>
      <c r="LUX181" s="371">
        <v>15.38</v>
      </c>
      <c r="LUY181" s="371" t="e">
        <f>LUV181*LUW181*LUX181</f>
        <v>#DIV/0!</v>
      </c>
      <c r="LUZ181" s="367" t="s">
        <v>206</v>
      </c>
      <c r="LVA181" s="367"/>
      <c r="LVB181" s="367"/>
      <c r="LVC181" s="368" t="s">
        <v>168</v>
      </c>
      <c r="LVD181" s="369">
        <v>0.5</v>
      </c>
      <c r="LVE181" s="370" t="e">
        <f>10/LVA179</f>
        <v>#DIV/0!</v>
      </c>
      <c r="LVF181" s="371">
        <v>15.38</v>
      </c>
      <c r="LVG181" s="371" t="e">
        <f>LVD181*LVE181*LVF181</f>
        <v>#DIV/0!</v>
      </c>
      <c r="LVH181" s="367" t="s">
        <v>206</v>
      </c>
      <c r="LVI181" s="367"/>
      <c r="LVJ181" s="367"/>
      <c r="LVK181" s="368" t="s">
        <v>168</v>
      </c>
      <c r="LVL181" s="369">
        <v>0.5</v>
      </c>
      <c r="LVM181" s="370" t="e">
        <f>10/LVI179</f>
        <v>#DIV/0!</v>
      </c>
      <c r="LVN181" s="371">
        <v>15.38</v>
      </c>
      <c r="LVO181" s="371" t="e">
        <f>LVL181*LVM181*LVN181</f>
        <v>#DIV/0!</v>
      </c>
      <c r="LVP181" s="367" t="s">
        <v>206</v>
      </c>
      <c r="LVQ181" s="367"/>
      <c r="LVR181" s="367"/>
      <c r="LVS181" s="368" t="s">
        <v>168</v>
      </c>
      <c r="LVT181" s="369">
        <v>0.5</v>
      </c>
      <c r="LVU181" s="370" t="e">
        <f>10/LVQ179</f>
        <v>#DIV/0!</v>
      </c>
      <c r="LVV181" s="371">
        <v>15.38</v>
      </c>
      <c r="LVW181" s="371" t="e">
        <f>LVT181*LVU181*LVV181</f>
        <v>#DIV/0!</v>
      </c>
      <c r="LVX181" s="367" t="s">
        <v>206</v>
      </c>
      <c r="LVY181" s="367"/>
      <c r="LVZ181" s="367"/>
      <c r="LWA181" s="368" t="s">
        <v>168</v>
      </c>
      <c r="LWB181" s="369">
        <v>0.5</v>
      </c>
      <c r="LWC181" s="370" t="e">
        <f>10/LVY179</f>
        <v>#DIV/0!</v>
      </c>
      <c r="LWD181" s="371">
        <v>15.38</v>
      </c>
      <c r="LWE181" s="371" t="e">
        <f>LWB181*LWC181*LWD181</f>
        <v>#DIV/0!</v>
      </c>
      <c r="LWF181" s="367" t="s">
        <v>206</v>
      </c>
      <c r="LWG181" s="367"/>
      <c r="LWH181" s="367"/>
      <c r="LWI181" s="368" t="s">
        <v>168</v>
      </c>
      <c r="LWJ181" s="369">
        <v>0.5</v>
      </c>
      <c r="LWK181" s="370" t="e">
        <f>10/LWG179</f>
        <v>#DIV/0!</v>
      </c>
      <c r="LWL181" s="371">
        <v>15.38</v>
      </c>
      <c r="LWM181" s="371" t="e">
        <f>LWJ181*LWK181*LWL181</f>
        <v>#DIV/0!</v>
      </c>
      <c r="LWN181" s="367" t="s">
        <v>206</v>
      </c>
      <c r="LWO181" s="367"/>
      <c r="LWP181" s="367"/>
      <c r="LWQ181" s="368" t="s">
        <v>168</v>
      </c>
      <c r="LWR181" s="369">
        <v>0.5</v>
      </c>
      <c r="LWS181" s="370" t="e">
        <f>10/LWO179</f>
        <v>#DIV/0!</v>
      </c>
      <c r="LWT181" s="371">
        <v>15.38</v>
      </c>
      <c r="LWU181" s="371" t="e">
        <f>LWR181*LWS181*LWT181</f>
        <v>#DIV/0!</v>
      </c>
      <c r="LWV181" s="367" t="s">
        <v>206</v>
      </c>
      <c r="LWW181" s="367"/>
      <c r="LWX181" s="367"/>
      <c r="LWY181" s="368" t="s">
        <v>168</v>
      </c>
      <c r="LWZ181" s="369">
        <v>0.5</v>
      </c>
      <c r="LXA181" s="370" t="e">
        <f>10/LWW179</f>
        <v>#DIV/0!</v>
      </c>
      <c r="LXB181" s="371">
        <v>15.38</v>
      </c>
      <c r="LXC181" s="371" t="e">
        <f>LWZ181*LXA181*LXB181</f>
        <v>#DIV/0!</v>
      </c>
      <c r="LXD181" s="367" t="s">
        <v>206</v>
      </c>
      <c r="LXE181" s="367"/>
      <c r="LXF181" s="367"/>
      <c r="LXG181" s="368" t="s">
        <v>168</v>
      </c>
      <c r="LXH181" s="369">
        <v>0.5</v>
      </c>
      <c r="LXI181" s="370" t="e">
        <f>10/LXE179</f>
        <v>#DIV/0!</v>
      </c>
      <c r="LXJ181" s="371">
        <v>15.38</v>
      </c>
      <c r="LXK181" s="371" t="e">
        <f>LXH181*LXI181*LXJ181</f>
        <v>#DIV/0!</v>
      </c>
      <c r="LXL181" s="367" t="s">
        <v>206</v>
      </c>
      <c r="LXM181" s="367"/>
      <c r="LXN181" s="367"/>
      <c r="LXO181" s="368" t="s">
        <v>168</v>
      </c>
      <c r="LXP181" s="369">
        <v>0.5</v>
      </c>
      <c r="LXQ181" s="370" t="e">
        <f>10/LXM179</f>
        <v>#DIV/0!</v>
      </c>
      <c r="LXR181" s="371">
        <v>15.38</v>
      </c>
      <c r="LXS181" s="371" t="e">
        <f>LXP181*LXQ181*LXR181</f>
        <v>#DIV/0!</v>
      </c>
      <c r="LXT181" s="367" t="s">
        <v>206</v>
      </c>
      <c r="LXU181" s="367"/>
      <c r="LXV181" s="367"/>
      <c r="LXW181" s="368" t="s">
        <v>168</v>
      </c>
      <c r="LXX181" s="369">
        <v>0.5</v>
      </c>
      <c r="LXY181" s="370" t="e">
        <f>10/LXU179</f>
        <v>#DIV/0!</v>
      </c>
      <c r="LXZ181" s="371">
        <v>15.38</v>
      </c>
      <c r="LYA181" s="371" t="e">
        <f>LXX181*LXY181*LXZ181</f>
        <v>#DIV/0!</v>
      </c>
      <c r="LYB181" s="367" t="s">
        <v>206</v>
      </c>
      <c r="LYC181" s="367"/>
      <c r="LYD181" s="367"/>
      <c r="LYE181" s="368" t="s">
        <v>168</v>
      </c>
      <c r="LYF181" s="369">
        <v>0.5</v>
      </c>
      <c r="LYG181" s="370" t="e">
        <f>10/LYC179</f>
        <v>#DIV/0!</v>
      </c>
      <c r="LYH181" s="371">
        <v>15.38</v>
      </c>
      <c r="LYI181" s="371" t="e">
        <f>LYF181*LYG181*LYH181</f>
        <v>#DIV/0!</v>
      </c>
      <c r="LYJ181" s="367" t="s">
        <v>206</v>
      </c>
      <c r="LYK181" s="367"/>
      <c r="LYL181" s="367"/>
      <c r="LYM181" s="368" t="s">
        <v>168</v>
      </c>
      <c r="LYN181" s="369">
        <v>0.5</v>
      </c>
      <c r="LYO181" s="370" t="e">
        <f>10/LYK179</f>
        <v>#DIV/0!</v>
      </c>
      <c r="LYP181" s="371">
        <v>15.38</v>
      </c>
      <c r="LYQ181" s="371" t="e">
        <f>LYN181*LYO181*LYP181</f>
        <v>#DIV/0!</v>
      </c>
      <c r="LYR181" s="367" t="s">
        <v>206</v>
      </c>
      <c r="LYS181" s="367"/>
      <c r="LYT181" s="367"/>
      <c r="LYU181" s="368" t="s">
        <v>168</v>
      </c>
      <c r="LYV181" s="369">
        <v>0.5</v>
      </c>
      <c r="LYW181" s="370" t="e">
        <f>10/LYS179</f>
        <v>#DIV/0!</v>
      </c>
      <c r="LYX181" s="371">
        <v>15.38</v>
      </c>
      <c r="LYY181" s="371" t="e">
        <f>LYV181*LYW181*LYX181</f>
        <v>#DIV/0!</v>
      </c>
      <c r="LYZ181" s="367" t="s">
        <v>206</v>
      </c>
      <c r="LZA181" s="367"/>
      <c r="LZB181" s="367"/>
      <c r="LZC181" s="368" t="s">
        <v>168</v>
      </c>
      <c r="LZD181" s="369">
        <v>0.5</v>
      </c>
      <c r="LZE181" s="370" t="e">
        <f>10/LZA179</f>
        <v>#DIV/0!</v>
      </c>
      <c r="LZF181" s="371">
        <v>15.38</v>
      </c>
      <c r="LZG181" s="371" t="e">
        <f>LZD181*LZE181*LZF181</f>
        <v>#DIV/0!</v>
      </c>
      <c r="LZH181" s="367" t="s">
        <v>206</v>
      </c>
      <c r="LZI181" s="367"/>
      <c r="LZJ181" s="367"/>
      <c r="LZK181" s="368" t="s">
        <v>168</v>
      </c>
      <c r="LZL181" s="369">
        <v>0.5</v>
      </c>
      <c r="LZM181" s="370" t="e">
        <f>10/LZI179</f>
        <v>#DIV/0!</v>
      </c>
      <c r="LZN181" s="371">
        <v>15.38</v>
      </c>
      <c r="LZO181" s="371" t="e">
        <f>LZL181*LZM181*LZN181</f>
        <v>#DIV/0!</v>
      </c>
      <c r="LZP181" s="367" t="s">
        <v>206</v>
      </c>
      <c r="LZQ181" s="367"/>
      <c r="LZR181" s="367"/>
      <c r="LZS181" s="368" t="s">
        <v>168</v>
      </c>
      <c r="LZT181" s="369">
        <v>0.5</v>
      </c>
      <c r="LZU181" s="370" t="e">
        <f>10/LZQ179</f>
        <v>#DIV/0!</v>
      </c>
      <c r="LZV181" s="371">
        <v>15.38</v>
      </c>
      <c r="LZW181" s="371" t="e">
        <f>LZT181*LZU181*LZV181</f>
        <v>#DIV/0!</v>
      </c>
      <c r="LZX181" s="367" t="s">
        <v>206</v>
      </c>
      <c r="LZY181" s="367"/>
      <c r="LZZ181" s="367"/>
      <c r="MAA181" s="368" t="s">
        <v>168</v>
      </c>
      <c r="MAB181" s="369">
        <v>0.5</v>
      </c>
      <c r="MAC181" s="370" t="e">
        <f>10/LZY179</f>
        <v>#DIV/0!</v>
      </c>
      <c r="MAD181" s="371">
        <v>15.38</v>
      </c>
      <c r="MAE181" s="371" t="e">
        <f>MAB181*MAC181*MAD181</f>
        <v>#DIV/0!</v>
      </c>
      <c r="MAF181" s="367" t="s">
        <v>206</v>
      </c>
      <c r="MAG181" s="367"/>
      <c r="MAH181" s="367"/>
      <c r="MAI181" s="368" t="s">
        <v>168</v>
      </c>
      <c r="MAJ181" s="369">
        <v>0.5</v>
      </c>
      <c r="MAK181" s="370" t="e">
        <f>10/MAG179</f>
        <v>#DIV/0!</v>
      </c>
      <c r="MAL181" s="371">
        <v>15.38</v>
      </c>
      <c r="MAM181" s="371" t="e">
        <f>MAJ181*MAK181*MAL181</f>
        <v>#DIV/0!</v>
      </c>
      <c r="MAN181" s="367" t="s">
        <v>206</v>
      </c>
      <c r="MAO181" s="367"/>
      <c r="MAP181" s="367"/>
      <c r="MAQ181" s="368" t="s">
        <v>168</v>
      </c>
      <c r="MAR181" s="369">
        <v>0.5</v>
      </c>
      <c r="MAS181" s="370" t="e">
        <f>10/MAO179</f>
        <v>#DIV/0!</v>
      </c>
      <c r="MAT181" s="371">
        <v>15.38</v>
      </c>
      <c r="MAU181" s="371" t="e">
        <f>MAR181*MAS181*MAT181</f>
        <v>#DIV/0!</v>
      </c>
      <c r="MAV181" s="367" t="s">
        <v>206</v>
      </c>
      <c r="MAW181" s="367"/>
      <c r="MAX181" s="367"/>
      <c r="MAY181" s="368" t="s">
        <v>168</v>
      </c>
      <c r="MAZ181" s="369">
        <v>0.5</v>
      </c>
      <c r="MBA181" s="370" t="e">
        <f>10/MAW179</f>
        <v>#DIV/0!</v>
      </c>
      <c r="MBB181" s="371">
        <v>15.38</v>
      </c>
      <c r="MBC181" s="371" t="e">
        <f>MAZ181*MBA181*MBB181</f>
        <v>#DIV/0!</v>
      </c>
      <c r="MBD181" s="367" t="s">
        <v>206</v>
      </c>
      <c r="MBE181" s="367"/>
      <c r="MBF181" s="367"/>
      <c r="MBG181" s="368" t="s">
        <v>168</v>
      </c>
      <c r="MBH181" s="369">
        <v>0.5</v>
      </c>
      <c r="MBI181" s="370" t="e">
        <f>10/MBE179</f>
        <v>#DIV/0!</v>
      </c>
      <c r="MBJ181" s="371">
        <v>15.38</v>
      </c>
      <c r="MBK181" s="371" t="e">
        <f>MBH181*MBI181*MBJ181</f>
        <v>#DIV/0!</v>
      </c>
      <c r="MBL181" s="367" t="s">
        <v>206</v>
      </c>
      <c r="MBM181" s="367"/>
      <c r="MBN181" s="367"/>
      <c r="MBO181" s="368" t="s">
        <v>168</v>
      </c>
      <c r="MBP181" s="369">
        <v>0.5</v>
      </c>
      <c r="MBQ181" s="370" t="e">
        <f>10/MBM179</f>
        <v>#DIV/0!</v>
      </c>
      <c r="MBR181" s="371">
        <v>15.38</v>
      </c>
      <c r="MBS181" s="371" t="e">
        <f>MBP181*MBQ181*MBR181</f>
        <v>#DIV/0!</v>
      </c>
      <c r="MBT181" s="367" t="s">
        <v>206</v>
      </c>
      <c r="MBU181" s="367"/>
      <c r="MBV181" s="367"/>
      <c r="MBW181" s="368" t="s">
        <v>168</v>
      </c>
      <c r="MBX181" s="369">
        <v>0.5</v>
      </c>
      <c r="MBY181" s="370" t="e">
        <f>10/MBU179</f>
        <v>#DIV/0!</v>
      </c>
      <c r="MBZ181" s="371">
        <v>15.38</v>
      </c>
      <c r="MCA181" s="371" t="e">
        <f>MBX181*MBY181*MBZ181</f>
        <v>#DIV/0!</v>
      </c>
      <c r="MCB181" s="367" t="s">
        <v>206</v>
      </c>
      <c r="MCC181" s="367"/>
      <c r="MCD181" s="367"/>
      <c r="MCE181" s="368" t="s">
        <v>168</v>
      </c>
      <c r="MCF181" s="369">
        <v>0.5</v>
      </c>
      <c r="MCG181" s="370" t="e">
        <f>10/MCC179</f>
        <v>#DIV/0!</v>
      </c>
      <c r="MCH181" s="371">
        <v>15.38</v>
      </c>
      <c r="MCI181" s="371" t="e">
        <f>MCF181*MCG181*MCH181</f>
        <v>#DIV/0!</v>
      </c>
      <c r="MCJ181" s="367" t="s">
        <v>206</v>
      </c>
      <c r="MCK181" s="367"/>
      <c r="MCL181" s="367"/>
      <c r="MCM181" s="368" t="s">
        <v>168</v>
      </c>
      <c r="MCN181" s="369">
        <v>0.5</v>
      </c>
      <c r="MCO181" s="370" t="e">
        <f>10/MCK179</f>
        <v>#DIV/0!</v>
      </c>
      <c r="MCP181" s="371">
        <v>15.38</v>
      </c>
      <c r="MCQ181" s="371" t="e">
        <f>MCN181*MCO181*MCP181</f>
        <v>#DIV/0!</v>
      </c>
      <c r="MCR181" s="367" t="s">
        <v>206</v>
      </c>
      <c r="MCS181" s="367"/>
      <c r="MCT181" s="367"/>
      <c r="MCU181" s="368" t="s">
        <v>168</v>
      </c>
      <c r="MCV181" s="369">
        <v>0.5</v>
      </c>
      <c r="MCW181" s="370" t="e">
        <f>10/MCS179</f>
        <v>#DIV/0!</v>
      </c>
      <c r="MCX181" s="371">
        <v>15.38</v>
      </c>
      <c r="MCY181" s="371" t="e">
        <f>MCV181*MCW181*MCX181</f>
        <v>#DIV/0!</v>
      </c>
      <c r="MCZ181" s="367" t="s">
        <v>206</v>
      </c>
      <c r="MDA181" s="367"/>
      <c r="MDB181" s="367"/>
      <c r="MDC181" s="368" t="s">
        <v>168</v>
      </c>
      <c r="MDD181" s="369">
        <v>0.5</v>
      </c>
      <c r="MDE181" s="370" t="e">
        <f>10/MDA179</f>
        <v>#DIV/0!</v>
      </c>
      <c r="MDF181" s="371">
        <v>15.38</v>
      </c>
      <c r="MDG181" s="371" t="e">
        <f>MDD181*MDE181*MDF181</f>
        <v>#DIV/0!</v>
      </c>
      <c r="MDH181" s="367" t="s">
        <v>206</v>
      </c>
      <c r="MDI181" s="367"/>
      <c r="MDJ181" s="367"/>
      <c r="MDK181" s="368" t="s">
        <v>168</v>
      </c>
      <c r="MDL181" s="369">
        <v>0.5</v>
      </c>
      <c r="MDM181" s="370" t="e">
        <f>10/MDI179</f>
        <v>#DIV/0!</v>
      </c>
      <c r="MDN181" s="371">
        <v>15.38</v>
      </c>
      <c r="MDO181" s="371" t="e">
        <f>MDL181*MDM181*MDN181</f>
        <v>#DIV/0!</v>
      </c>
      <c r="MDP181" s="367" t="s">
        <v>206</v>
      </c>
      <c r="MDQ181" s="367"/>
      <c r="MDR181" s="367"/>
      <c r="MDS181" s="368" t="s">
        <v>168</v>
      </c>
      <c r="MDT181" s="369">
        <v>0.5</v>
      </c>
      <c r="MDU181" s="370" t="e">
        <f>10/MDQ179</f>
        <v>#DIV/0!</v>
      </c>
      <c r="MDV181" s="371">
        <v>15.38</v>
      </c>
      <c r="MDW181" s="371" t="e">
        <f>MDT181*MDU181*MDV181</f>
        <v>#DIV/0!</v>
      </c>
      <c r="MDX181" s="367" t="s">
        <v>206</v>
      </c>
      <c r="MDY181" s="367"/>
      <c r="MDZ181" s="367"/>
      <c r="MEA181" s="368" t="s">
        <v>168</v>
      </c>
      <c r="MEB181" s="369">
        <v>0.5</v>
      </c>
      <c r="MEC181" s="370" t="e">
        <f>10/MDY179</f>
        <v>#DIV/0!</v>
      </c>
      <c r="MED181" s="371">
        <v>15.38</v>
      </c>
      <c r="MEE181" s="371" t="e">
        <f>MEB181*MEC181*MED181</f>
        <v>#DIV/0!</v>
      </c>
      <c r="MEF181" s="367" t="s">
        <v>206</v>
      </c>
      <c r="MEG181" s="367"/>
      <c r="MEH181" s="367"/>
      <c r="MEI181" s="368" t="s">
        <v>168</v>
      </c>
      <c r="MEJ181" s="369">
        <v>0.5</v>
      </c>
      <c r="MEK181" s="370" t="e">
        <f>10/MEG179</f>
        <v>#DIV/0!</v>
      </c>
      <c r="MEL181" s="371">
        <v>15.38</v>
      </c>
      <c r="MEM181" s="371" t="e">
        <f>MEJ181*MEK181*MEL181</f>
        <v>#DIV/0!</v>
      </c>
      <c r="MEN181" s="367" t="s">
        <v>206</v>
      </c>
      <c r="MEO181" s="367"/>
      <c r="MEP181" s="367"/>
      <c r="MEQ181" s="368" t="s">
        <v>168</v>
      </c>
      <c r="MER181" s="369">
        <v>0.5</v>
      </c>
      <c r="MES181" s="370" t="e">
        <f>10/MEO179</f>
        <v>#DIV/0!</v>
      </c>
      <c r="MET181" s="371">
        <v>15.38</v>
      </c>
      <c r="MEU181" s="371" t="e">
        <f>MER181*MES181*MET181</f>
        <v>#DIV/0!</v>
      </c>
      <c r="MEV181" s="367" t="s">
        <v>206</v>
      </c>
      <c r="MEW181" s="367"/>
      <c r="MEX181" s="367"/>
      <c r="MEY181" s="368" t="s">
        <v>168</v>
      </c>
      <c r="MEZ181" s="369">
        <v>0.5</v>
      </c>
      <c r="MFA181" s="370" t="e">
        <f>10/MEW179</f>
        <v>#DIV/0!</v>
      </c>
      <c r="MFB181" s="371">
        <v>15.38</v>
      </c>
      <c r="MFC181" s="371" t="e">
        <f>MEZ181*MFA181*MFB181</f>
        <v>#DIV/0!</v>
      </c>
      <c r="MFD181" s="367" t="s">
        <v>206</v>
      </c>
      <c r="MFE181" s="367"/>
      <c r="MFF181" s="367"/>
      <c r="MFG181" s="368" t="s">
        <v>168</v>
      </c>
      <c r="MFH181" s="369">
        <v>0.5</v>
      </c>
      <c r="MFI181" s="370" t="e">
        <f>10/MFE179</f>
        <v>#DIV/0!</v>
      </c>
      <c r="MFJ181" s="371">
        <v>15.38</v>
      </c>
      <c r="MFK181" s="371" t="e">
        <f>MFH181*MFI181*MFJ181</f>
        <v>#DIV/0!</v>
      </c>
      <c r="MFL181" s="367" t="s">
        <v>206</v>
      </c>
      <c r="MFM181" s="367"/>
      <c r="MFN181" s="367"/>
      <c r="MFO181" s="368" t="s">
        <v>168</v>
      </c>
      <c r="MFP181" s="369">
        <v>0.5</v>
      </c>
      <c r="MFQ181" s="370" t="e">
        <f>10/MFM179</f>
        <v>#DIV/0!</v>
      </c>
      <c r="MFR181" s="371">
        <v>15.38</v>
      </c>
      <c r="MFS181" s="371" t="e">
        <f>MFP181*MFQ181*MFR181</f>
        <v>#DIV/0!</v>
      </c>
      <c r="MFT181" s="367" t="s">
        <v>206</v>
      </c>
      <c r="MFU181" s="367"/>
      <c r="MFV181" s="367"/>
      <c r="MFW181" s="368" t="s">
        <v>168</v>
      </c>
      <c r="MFX181" s="369">
        <v>0.5</v>
      </c>
      <c r="MFY181" s="370" t="e">
        <f>10/MFU179</f>
        <v>#DIV/0!</v>
      </c>
      <c r="MFZ181" s="371">
        <v>15.38</v>
      </c>
      <c r="MGA181" s="371" t="e">
        <f>MFX181*MFY181*MFZ181</f>
        <v>#DIV/0!</v>
      </c>
      <c r="MGB181" s="367" t="s">
        <v>206</v>
      </c>
      <c r="MGC181" s="367"/>
      <c r="MGD181" s="367"/>
      <c r="MGE181" s="368" t="s">
        <v>168</v>
      </c>
      <c r="MGF181" s="369">
        <v>0.5</v>
      </c>
      <c r="MGG181" s="370" t="e">
        <f>10/MGC179</f>
        <v>#DIV/0!</v>
      </c>
      <c r="MGH181" s="371">
        <v>15.38</v>
      </c>
      <c r="MGI181" s="371" t="e">
        <f>MGF181*MGG181*MGH181</f>
        <v>#DIV/0!</v>
      </c>
      <c r="MGJ181" s="367" t="s">
        <v>206</v>
      </c>
      <c r="MGK181" s="367"/>
      <c r="MGL181" s="367"/>
      <c r="MGM181" s="368" t="s">
        <v>168</v>
      </c>
      <c r="MGN181" s="369">
        <v>0.5</v>
      </c>
      <c r="MGO181" s="370" t="e">
        <f>10/MGK179</f>
        <v>#DIV/0!</v>
      </c>
      <c r="MGP181" s="371">
        <v>15.38</v>
      </c>
      <c r="MGQ181" s="371" t="e">
        <f>MGN181*MGO181*MGP181</f>
        <v>#DIV/0!</v>
      </c>
      <c r="MGR181" s="367" t="s">
        <v>206</v>
      </c>
      <c r="MGS181" s="367"/>
      <c r="MGT181" s="367"/>
      <c r="MGU181" s="368" t="s">
        <v>168</v>
      </c>
      <c r="MGV181" s="369">
        <v>0.5</v>
      </c>
      <c r="MGW181" s="370" t="e">
        <f>10/MGS179</f>
        <v>#DIV/0!</v>
      </c>
      <c r="MGX181" s="371">
        <v>15.38</v>
      </c>
      <c r="MGY181" s="371" t="e">
        <f>MGV181*MGW181*MGX181</f>
        <v>#DIV/0!</v>
      </c>
      <c r="MGZ181" s="367" t="s">
        <v>206</v>
      </c>
      <c r="MHA181" s="367"/>
      <c r="MHB181" s="367"/>
      <c r="MHC181" s="368" t="s">
        <v>168</v>
      </c>
      <c r="MHD181" s="369">
        <v>0.5</v>
      </c>
      <c r="MHE181" s="370" t="e">
        <f>10/MHA179</f>
        <v>#DIV/0!</v>
      </c>
      <c r="MHF181" s="371">
        <v>15.38</v>
      </c>
      <c r="MHG181" s="371" t="e">
        <f>MHD181*MHE181*MHF181</f>
        <v>#DIV/0!</v>
      </c>
      <c r="MHH181" s="367" t="s">
        <v>206</v>
      </c>
      <c r="MHI181" s="367"/>
      <c r="MHJ181" s="367"/>
      <c r="MHK181" s="368" t="s">
        <v>168</v>
      </c>
      <c r="MHL181" s="369">
        <v>0.5</v>
      </c>
      <c r="MHM181" s="370" t="e">
        <f>10/MHI179</f>
        <v>#DIV/0!</v>
      </c>
      <c r="MHN181" s="371">
        <v>15.38</v>
      </c>
      <c r="MHO181" s="371" t="e">
        <f>MHL181*MHM181*MHN181</f>
        <v>#DIV/0!</v>
      </c>
      <c r="MHP181" s="367" t="s">
        <v>206</v>
      </c>
      <c r="MHQ181" s="367"/>
      <c r="MHR181" s="367"/>
      <c r="MHS181" s="368" t="s">
        <v>168</v>
      </c>
      <c r="MHT181" s="369">
        <v>0.5</v>
      </c>
      <c r="MHU181" s="370" t="e">
        <f>10/MHQ179</f>
        <v>#DIV/0!</v>
      </c>
      <c r="MHV181" s="371">
        <v>15.38</v>
      </c>
      <c r="MHW181" s="371" t="e">
        <f>MHT181*MHU181*MHV181</f>
        <v>#DIV/0!</v>
      </c>
      <c r="MHX181" s="367" t="s">
        <v>206</v>
      </c>
      <c r="MHY181" s="367"/>
      <c r="MHZ181" s="367"/>
      <c r="MIA181" s="368" t="s">
        <v>168</v>
      </c>
      <c r="MIB181" s="369">
        <v>0.5</v>
      </c>
      <c r="MIC181" s="370" t="e">
        <f>10/MHY179</f>
        <v>#DIV/0!</v>
      </c>
      <c r="MID181" s="371">
        <v>15.38</v>
      </c>
      <c r="MIE181" s="371" t="e">
        <f>MIB181*MIC181*MID181</f>
        <v>#DIV/0!</v>
      </c>
      <c r="MIF181" s="367" t="s">
        <v>206</v>
      </c>
      <c r="MIG181" s="367"/>
      <c r="MIH181" s="367"/>
      <c r="MII181" s="368" t="s">
        <v>168</v>
      </c>
      <c r="MIJ181" s="369">
        <v>0.5</v>
      </c>
      <c r="MIK181" s="370" t="e">
        <f>10/MIG179</f>
        <v>#DIV/0!</v>
      </c>
      <c r="MIL181" s="371">
        <v>15.38</v>
      </c>
      <c r="MIM181" s="371" t="e">
        <f>MIJ181*MIK181*MIL181</f>
        <v>#DIV/0!</v>
      </c>
      <c r="MIN181" s="367" t="s">
        <v>206</v>
      </c>
      <c r="MIO181" s="367"/>
      <c r="MIP181" s="367"/>
      <c r="MIQ181" s="368" t="s">
        <v>168</v>
      </c>
      <c r="MIR181" s="369">
        <v>0.5</v>
      </c>
      <c r="MIS181" s="370" t="e">
        <f>10/MIO179</f>
        <v>#DIV/0!</v>
      </c>
      <c r="MIT181" s="371">
        <v>15.38</v>
      </c>
      <c r="MIU181" s="371" t="e">
        <f>MIR181*MIS181*MIT181</f>
        <v>#DIV/0!</v>
      </c>
      <c r="MIV181" s="367" t="s">
        <v>206</v>
      </c>
      <c r="MIW181" s="367"/>
      <c r="MIX181" s="367"/>
      <c r="MIY181" s="368" t="s">
        <v>168</v>
      </c>
      <c r="MIZ181" s="369">
        <v>0.5</v>
      </c>
      <c r="MJA181" s="370" t="e">
        <f>10/MIW179</f>
        <v>#DIV/0!</v>
      </c>
      <c r="MJB181" s="371">
        <v>15.38</v>
      </c>
      <c r="MJC181" s="371" t="e">
        <f>MIZ181*MJA181*MJB181</f>
        <v>#DIV/0!</v>
      </c>
      <c r="MJD181" s="367" t="s">
        <v>206</v>
      </c>
      <c r="MJE181" s="367"/>
      <c r="MJF181" s="367"/>
      <c r="MJG181" s="368" t="s">
        <v>168</v>
      </c>
      <c r="MJH181" s="369">
        <v>0.5</v>
      </c>
      <c r="MJI181" s="370" t="e">
        <f>10/MJE179</f>
        <v>#DIV/0!</v>
      </c>
      <c r="MJJ181" s="371">
        <v>15.38</v>
      </c>
      <c r="MJK181" s="371" t="e">
        <f>MJH181*MJI181*MJJ181</f>
        <v>#DIV/0!</v>
      </c>
      <c r="MJL181" s="367" t="s">
        <v>206</v>
      </c>
      <c r="MJM181" s="367"/>
      <c r="MJN181" s="367"/>
      <c r="MJO181" s="368" t="s">
        <v>168</v>
      </c>
      <c r="MJP181" s="369">
        <v>0.5</v>
      </c>
      <c r="MJQ181" s="370" t="e">
        <f>10/MJM179</f>
        <v>#DIV/0!</v>
      </c>
      <c r="MJR181" s="371">
        <v>15.38</v>
      </c>
      <c r="MJS181" s="371" t="e">
        <f>MJP181*MJQ181*MJR181</f>
        <v>#DIV/0!</v>
      </c>
      <c r="MJT181" s="367" t="s">
        <v>206</v>
      </c>
      <c r="MJU181" s="367"/>
      <c r="MJV181" s="367"/>
      <c r="MJW181" s="368" t="s">
        <v>168</v>
      </c>
      <c r="MJX181" s="369">
        <v>0.5</v>
      </c>
      <c r="MJY181" s="370" t="e">
        <f>10/MJU179</f>
        <v>#DIV/0!</v>
      </c>
      <c r="MJZ181" s="371">
        <v>15.38</v>
      </c>
      <c r="MKA181" s="371" t="e">
        <f>MJX181*MJY181*MJZ181</f>
        <v>#DIV/0!</v>
      </c>
      <c r="MKB181" s="367" t="s">
        <v>206</v>
      </c>
      <c r="MKC181" s="367"/>
      <c r="MKD181" s="367"/>
      <c r="MKE181" s="368" t="s">
        <v>168</v>
      </c>
      <c r="MKF181" s="369">
        <v>0.5</v>
      </c>
      <c r="MKG181" s="370" t="e">
        <f>10/MKC179</f>
        <v>#DIV/0!</v>
      </c>
      <c r="MKH181" s="371">
        <v>15.38</v>
      </c>
      <c r="MKI181" s="371" t="e">
        <f>MKF181*MKG181*MKH181</f>
        <v>#DIV/0!</v>
      </c>
      <c r="MKJ181" s="367" t="s">
        <v>206</v>
      </c>
      <c r="MKK181" s="367"/>
      <c r="MKL181" s="367"/>
      <c r="MKM181" s="368" t="s">
        <v>168</v>
      </c>
      <c r="MKN181" s="369">
        <v>0.5</v>
      </c>
      <c r="MKO181" s="370" t="e">
        <f>10/MKK179</f>
        <v>#DIV/0!</v>
      </c>
      <c r="MKP181" s="371">
        <v>15.38</v>
      </c>
      <c r="MKQ181" s="371" t="e">
        <f>MKN181*MKO181*MKP181</f>
        <v>#DIV/0!</v>
      </c>
      <c r="MKR181" s="367" t="s">
        <v>206</v>
      </c>
      <c r="MKS181" s="367"/>
      <c r="MKT181" s="367"/>
      <c r="MKU181" s="368" t="s">
        <v>168</v>
      </c>
      <c r="MKV181" s="369">
        <v>0.5</v>
      </c>
      <c r="MKW181" s="370" t="e">
        <f>10/MKS179</f>
        <v>#DIV/0!</v>
      </c>
      <c r="MKX181" s="371">
        <v>15.38</v>
      </c>
      <c r="MKY181" s="371" t="e">
        <f>MKV181*MKW181*MKX181</f>
        <v>#DIV/0!</v>
      </c>
      <c r="MKZ181" s="367" t="s">
        <v>206</v>
      </c>
      <c r="MLA181" s="367"/>
      <c r="MLB181" s="367"/>
      <c r="MLC181" s="368" t="s">
        <v>168</v>
      </c>
      <c r="MLD181" s="369">
        <v>0.5</v>
      </c>
      <c r="MLE181" s="370" t="e">
        <f>10/MLA179</f>
        <v>#DIV/0!</v>
      </c>
      <c r="MLF181" s="371">
        <v>15.38</v>
      </c>
      <c r="MLG181" s="371" t="e">
        <f>MLD181*MLE181*MLF181</f>
        <v>#DIV/0!</v>
      </c>
      <c r="MLH181" s="367" t="s">
        <v>206</v>
      </c>
      <c r="MLI181" s="367"/>
      <c r="MLJ181" s="367"/>
      <c r="MLK181" s="368" t="s">
        <v>168</v>
      </c>
      <c r="MLL181" s="369">
        <v>0.5</v>
      </c>
      <c r="MLM181" s="370" t="e">
        <f>10/MLI179</f>
        <v>#DIV/0!</v>
      </c>
      <c r="MLN181" s="371">
        <v>15.38</v>
      </c>
      <c r="MLO181" s="371" t="e">
        <f>MLL181*MLM181*MLN181</f>
        <v>#DIV/0!</v>
      </c>
      <c r="MLP181" s="367" t="s">
        <v>206</v>
      </c>
      <c r="MLQ181" s="367"/>
      <c r="MLR181" s="367"/>
      <c r="MLS181" s="368" t="s">
        <v>168</v>
      </c>
      <c r="MLT181" s="369">
        <v>0.5</v>
      </c>
      <c r="MLU181" s="370" t="e">
        <f>10/MLQ179</f>
        <v>#DIV/0!</v>
      </c>
      <c r="MLV181" s="371">
        <v>15.38</v>
      </c>
      <c r="MLW181" s="371" t="e">
        <f>MLT181*MLU181*MLV181</f>
        <v>#DIV/0!</v>
      </c>
      <c r="MLX181" s="367" t="s">
        <v>206</v>
      </c>
      <c r="MLY181" s="367"/>
      <c r="MLZ181" s="367"/>
      <c r="MMA181" s="368" t="s">
        <v>168</v>
      </c>
      <c r="MMB181" s="369">
        <v>0.5</v>
      </c>
      <c r="MMC181" s="370" t="e">
        <f>10/MLY179</f>
        <v>#DIV/0!</v>
      </c>
      <c r="MMD181" s="371">
        <v>15.38</v>
      </c>
      <c r="MME181" s="371" t="e">
        <f>MMB181*MMC181*MMD181</f>
        <v>#DIV/0!</v>
      </c>
      <c r="MMF181" s="367" t="s">
        <v>206</v>
      </c>
      <c r="MMG181" s="367"/>
      <c r="MMH181" s="367"/>
      <c r="MMI181" s="368" t="s">
        <v>168</v>
      </c>
      <c r="MMJ181" s="369">
        <v>0.5</v>
      </c>
      <c r="MMK181" s="370" t="e">
        <f>10/MMG179</f>
        <v>#DIV/0!</v>
      </c>
      <c r="MML181" s="371">
        <v>15.38</v>
      </c>
      <c r="MMM181" s="371" t="e">
        <f>MMJ181*MMK181*MML181</f>
        <v>#DIV/0!</v>
      </c>
      <c r="MMN181" s="367" t="s">
        <v>206</v>
      </c>
      <c r="MMO181" s="367"/>
      <c r="MMP181" s="367"/>
      <c r="MMQ181" s="368" t="s">
        <v>168</v>
      </c>
      <c r="MMR181" s="369">
        <v>0.5</v>
      </c>
      <c r="MMS181" s="370" t="e">
        <f>10/MMO179</f>
        <v>#DIV/0!</v>
      </c>
      <c r="MMT181" s="371">
        <v>15.38</v>
      </c>
      <c r="MMU181" s="371" t="e">
        <f>MMR181*MMS181*MMT181</f>
        <v>#DIV/0!</v>
      </c>
      <c r="MMV181" s="367" t="s">
        <v>206</v>
      </c>
      <c r="MMW181" s="367"/>
      <c r="MMX181" s="367"/>
      <c r="MMY181" s="368" t="s">
        <v>168</v>
      </c>
      <c r="MMZ181" s="369">
        <v>0.5</v>
      </c>
      <c r="MNA181" s="370" t="e">
        <f>10/MMW179</f>
        <v>#DIV/0!</v>
      </c>
      <c r="MNB181" s="371">
        <v>15.38</v>
      </c>
      <c r="MNC181" s="371" t="e">
        <f>MMZ181*MNA181*MNB181</f>
        <v>#DIV/0!</v>
      </c>
      <c r="MND181" s="367" t="s">
        <v>206</v>
      </c>
      <c r="MNE181" s="367"/>
      <c r="MNF181" s="367"/>
      <c r="MNG181" s="368" t="s">
        <v>168</v>
      </c>
      <c r="MNH181" s="369">
        <v>0.5</v>
      </c>
      <c r="MNI181" s="370" t="e">
        <f>10/MNE179</f>
        <v>#DIV/0!</v>
      </c>
      <c r="MNJ181" s="371">
        <v>15.38</v>
      </c>
      <c r="MNK181" s="371" t="e">
        <f>MNH181*MNI181*MNJ181</f>
        <v>#DIV/0!</v>
      </c>
      <c r="MNL181" s="367" t="s">
        <v>206</v>
      </c>
      <c r="MNM181" s="367"/>
      <c r="MNN181" s="367"/>
      <c r="MNO181" s="368" t="s">
        <v>168</v>
      </c>
      <c r="MNP181" s="369">
        <v>0.5</v>
      </c>
      <c r="MNQ181" s="370" t="e">
        <f>10/MNM179</f>
        <v>#DIV/0!</v>
      </c>
      <c r="MNR181" s="371">
        <v>15.38</v>
      </c>
      <c r="MNS181" s="371" t="e">
        <f>MNP181*MNQ181*MNR181</f>
        <v>#DIV/0!</v>
      </c>
      <c r="MNT181" s="367" t="s">
        <v>206</v>
      </c>
      <c r="MNU181" s="367"/>
      <c r="MNV181" s="367"/>
      <c r="MNW181" s="368" t="s">
        <v>168</v>
      </c>
      <c r="MNX181" s="369">
        <v>0.5</v>
      </c>
      <c r="MNY181" s="370" t="e">
        <f>10/MNU179</f>
        <v>#DIV/0!</v>
      </c>
      <c r="MNZ181" s="371">
        <v>15.38</v>
      </c>
      <c r="MOA181" s="371" t="e">
        <f>MNX181*MNY181*MNZ181</f>
        <v>#DIV/0!</v>
      </c>
      <c r="MOB181" s="367" t="s">
        <v>206</v>
      </c>
      <c r="MOC181" s="367"/>
      <c r="MOD181" s="367"/>
      <c r="MOE181" s="368" t="s">
        <v>168</v>
      </c>
      <c r="MOF181" s="369">
        <v>0.5</v>
      </c>
      <c r="MOG181" s="370" t="e">
        <f>10/MOC179</f>
        <v>#DIV/0!</v>
      </c>
      <c r="MOH181" s="371">
        <v>15.38</v>
      </c>
      <c r="MOI181" s="371" t="e">
        <f>MOF181*MOG181*MOH181</f>
        <v>#DIV/0!</v>
      </c>
      <c r="MOJ181" s="367" t="s">
        <v>206</v>
      </c>
      <c r="MOK181" s="367"/>
      <c r="MOL181" s="367"/>
      <c r="MOM181" s="368" t="s">
        <v>168</v>
      </c>
      <c r="MON181" s="369">
        <v>0.5</v>
      </c>
      <c r="MOO181" s="370" t="e">
        <f>10/MOK179</f>
        <v>#DIV/0!</v>
      </c>
      <c r="MOP181" s="371">
        <v>15.38</v>
      </c>
      <c r="MOQ181" s="371" t="e">
        <f>MON181*MOO181*MOP181</f>
        <v>#DIV/0!</v>
      </c>
      <c r="MOR181" s="367" t="s">
        <v>206</v>
      </c>
      <c r="MOS181" s="367"/>
      <c r="MOT181" s="367"/>
      <c r="MOU181" s="368" t="s">
        <v>168</v>
      </c>
      <c r="MOV181" s="369">
        <v>0.5</v>
      </c>
      <c r="MOW181" s="370" t="e">
        <f>10/MOS179</f>
        <v>#DIV/0!</v>
      </c>
      <c r="MOX181" s="371">
        <v>15.38</v>
      </c>
      <c r="MOY181" s="371" t="e">
        <f>MOV181*MOW181*MOX181</f>
        <v>#DIV/0!</v>
      </c>
      <c r="MOZ181" s="367" t="s">
        <v>206</v>
      </c>
      <c r="MPA181" s="367"/>
      <c r="MPB181" s="367"/>
      <c r="MPC181" s="368" t="s">
        <v>168</v>
      </c>
      <c r="MPD181" s="369">
        <v>0.5</v>
      </c>
      <c r="MPE181" s="370" t="e">
        <f>10/MPA179</f>
        <v>#DIV/0!</v>
      </c>
      <c r="MPF181" s="371">
        <v>15.38</v>
      </c>
      <c r="MPG181" s="371" t="e">
        <f>MPD181*MPE181*MPF181</f>
        <v>#DIV/0!</v>
      </c>
      <c r="MPH181" s="367" t="s">
        <v>206</v>
      </c>
      <c r="MPI181" s="367"/>
      <c r="MPJ181" s="367"/>
      <c r="MPK181" s="368" t="s">
        <v>168</v>
      </c>
      <c r="MPL181" s="369">
        <v>0.5</v>
      </c>
      <c r="MPM181" s="370" t="e">
        <f>10/MPI179</f>
        <v>#DIV/0!</v>
      </c>
      <c r="MPN181" s="371">
        <v>15.38</v>
      </c>
      <c r="MPO181" s="371" t="e">
        <f>MPL181*MPM181*MPN181</f>
        <v>#DIV/0!</v>
      </c>
      <c r="MPP181" s="367" t="s">
        <v>206</v>
      </c>
      <c r="MPQ181" s="367"/>
      <c r="MPR181" s="367"/>
      <c r="MPS181" s="368" t="s">
        <v>168</v>
      </c>
      <c r="MPT181" s="369">
        <v>0.5</v>
      </c>
      <c r="MPU181" s="370" t="e">
        <f>10/MPQ179</f>
        <v>#DIV/0!</v>
      </c>
      <c r="MPV181" s="371">
        <v>15.38</v>
      </c>
      <c r="MPW181" s="371" t="e">
        <f>MPT181*MPU181*MPV181</f>
        <v>#DIV/0!</v>
      </c>
      <c r="MPX181" s="367" t="s">
        <v>206</v>
      </c>
      <c r="MPY181" s="367"/>
      <c r="MPZ181" s="367"/>
      <c r="MQA181" s="368" t="s">
        <v>168</v>
      </c>
      <c r="MQB181" s="369">
        <v>0.5</v>
      </c>
      <c r="MQC181" s="370" t="e">
        <f>10/MPY179</f>
        <v>#DIV/0!</v>
      </c>
      <c r="MQD181" s="371">
        <v>15.38</v>
      </c>
      <c r="MQE181" s="371" t="e">
        <f>MQB181*MQC181*MQD181</f>
        <v>#DIV/0!</v>
      </c>
      <c r="MQF181" s="367" t="s">
        <v>206</v>
      </c>
      <c r="MQG181" s="367"/>
      <c r="MQH181" s="367"/>
      <c r="MQI181" s="368" t="s">
        <v>168</v>
      </c>
      <c r="MQJ181" s="369">
        <v>0.5</v>
      </c>
      <c r="MQK181" s="370" t="e">
        <f>10/MQG179</f>
        <v>#DIV/0!</v>
      </c>
      <c r="MQL181" s="371">
        <v>15.38</v>
      </c>
      <c r="MQM181" s="371" t="e">
        <f>MQJ181*MQK181*MQL181</f>
        <v>#DIV/0!</v>
      </c>
      <c r="MQN181" s="367" t="s">
        <v>206</v>
      </c>
      <c r="MQO181" s="367"/>
      <c r="MQP181" s="367"/>
      <c r="MQQ181" s="368" t="s">
        <v>168</v>
      </c>
      <c r="MQR181" s="369">
        <v>0.5</v>
      </c>
      <c r="MQS181" s="370" t="e">
        <f>10/MQO179</f>
        <v>#DIV/0!</v>
      </c>
      <c r="MQT181" s="371">
        <v>15.38</v>
      </c>
      <c r="MQU181" s="371" t="e">
        <f>MQR181*MQS181*MQT181</f>
        <v>#DIV/0!</v>
      </c>
      <c r="MQV181" s="367" t="s">
        <v>206</v>
      </c>
      <c r="MQW181" s="367"/>
      <c r="MQX181" s="367"/>
      <c r="MQY181" s="368" t="s">
        <v>168</v>
      </c>
      <c r="MQZ181" s="369">
        <v>0.5</v>
      </c>
      <c r="MRA181" s="370" t="e">
        <f>10/MQW179</f>
        <v>#DIV/0!</v>
      </c>
      <c r="MRB181" s="371">
        <v>15.38</v>
      </c>
      <c r="MRC181" s="371" t="e">
        <f>MQZ181*MRA181*MRB181</f>
        <v>#DIV/0!</v>
      </c>
      <c r="MRD181" s="367" t="s">
        <v>206</v>
      </c>
      <c r="MRE181" s="367"/>
      <c r="MRF181" s="367"/>
      <c r="MRG181" s="368" t="s">
        <v>168</v>
      </c>
      <c r="MRH181" s="369">
        <v>0.5</v>
      </c>
      <c r="MRI181" s="370" t="e">
        <f>10/MRE179</f>
        <v>#DIV/0!</v>
      </c>
      <c r="MRJ181" s="371">
        <v>15.38</v>
      </c>
      <c r="MRK181" s="371" t="e">
        <f>MRH181*MRI181*MRJ181</f>
        <v>#DIV/0!</v>
      </c>
      <c r="MRL181" s="367" t="s">
        <v>206</v>
      </c>
      <c r="MRM181" s="367"/>
      <c r="MRN181" s="367"/>
      <c r="MRO181" s="368" t="s">
        <v>168</v>
      </c>
      <c r="MRP181" s="369">
        <v>0.5</v>
      </c>
      <c r="MRQ181" s="370" t="e">
        <f>10/MRM179</f>
        <v>#DIV/0!</v>
      </c>
      <c r="MRR181" s="371">
        <v>15.38</v>
      </c>
      <c r="MRS181" s="371" t="e">
        <f>MRP181*MRQ181*MRR181</f>
        <v>#DIV/0!</v>
      </c>
      <c r="MRT181" s="367" t="s">
        <v>206</v>
      </c>
      <c r="MRU181" s="367"/>
      <c r="MRV181" s="367"/>
      <c r="MRW181" s="368" t="s">
        <v>168</v>
      </c>
      <c r="MRX181" s="369">
        <v>0.5</v>
      </c>
      <c r="MRY181" s="370" t="e">
        <f>10/MRU179</f>
        <v>#DIV/0!</v>
      </c>
      <c r="MRZ181" s="371">
        <v>15.38</v>
      </c>
      <c r="MSA181" s="371" t="e">
        <f>MRX181*MRY181*MRZ181</f>
        <v>#DIV/0!</v>
      </c>
      <c r="MSB181" s="367" t="s">
        <v>206</v>
      </c>
      <c r="MSC181" s="367"/>
      <c r="MSD181" s="367"/>
      <c r="MSE181" s="368" t="s">
        <v>168</v>
      </c>
      <c r="MSF181" s="369">
        <v>0.5</v>
      </c>
      <c r="MSG181" s="370" t="e">
        <f>10/MSC179</f>
        <v>#DIV/0!</v>
      </c>
      <c r="MSH181" s="371">
        <v>15.38</v>
      </c>
      <c r="MSI181" s="371" t="e">
        <f>MSF181*MSG181*MSH181</f>
        <v>#DIV/0!</v>
      </c>
      <c r="MSJ181" s="367" t="s">
        <v>206</v>
      </c>
      <c r="MSK181" s="367"/>
      <c r="MSL181" s="367"/>
      <c r="MSM181" s="368" t="s">
        <v>168</v>
      </c>
      <c r="MSN181" s="369">
        <v>0.5</v>
      </c>
      <c r="MSO181" s="370" t="e">
        <f>10/MSK179</f>
        <v>#DIV/0!</v>
      </c>
      <c r="MSP181" s="371">
        <v>15.38</v>
      </c>
      <c r="MSQ181" s="371" t="e">
        <f>MSN181*MSO181*MSP181</f>
        <v>#DIV/0!</v>
      </c>
      <c r="MSR181" s="367" t="s">
        <v>206</v>
      </c>
      <c r="MSS181" s="367"/>
      <c r="MST181" s="367"/>
      <c r="MSU181" s="368" t="s">
        <v>168</v>
      </c>
      <c r="MSV181" s="369">
        <v>0.5</v>
      </c>
      <c r="MSW181" s="370" t="e">
        <f>10/MSS179</f>
        <v>#DIV/0!</v>
      </c>
      <c r="MSX181" s="371">
        <v>15.38</v>
      </c>
      <c r="MSY181" s="371" t="e">
        <f>MSV181*MSW181*MSX181</f>
        <v>#DIV/0!</v>
      </c>
      <c r="MSZ181" s="367" t="s">
        <v>206</v>
      </c>
      <c r="MTA181" s="367"/>
      <c r="MTB181" s="367"/>
      <c r="MTC181" s="368" t="s">
        <v>168</v>
      </c>
      <c r="MTD181" s="369">
        <v>0.5</v>
      </c>
      <c r="MTE181" s="370" t="e">
        <f>10/MTA179</f>
        <v>#DIV/0!</v>
      </c>
      <c r="MTF181" s="371">
        <v>15.38</v>
      </c>
      <c r="MTG181" s="371" t="e">
        <f>MTD181*MTE181*MTF181</f>
        <v>#DIV/0!</v>
      </c>
      <c r="MTH181" s="367" t="s">
        <v>206</v>
      </c>
      <c r="MTI181" s="367"/>
      <c r="MTJ181" s="367"/>
      <c r="MTK181" s="368" t="s">
        <v>168</v>
      </c>
      <c r="MTL181" s="369">
        <v>0.5</v>
      </c>
      <c r="MTM181" s="370" t="e">
        <f>10/MTI179</f>
        <v>#DIV/0!</v>
      </c>
      <c r="MTN181" s="371">
        <v>15.38</v>
      </c>
      <c r="MTO181" s="371" t="e">
        <f>MTL181*MTM181*MTN181</f>
        <v>#DIV/0!</v>
      </c>
      <c r="MTP181" s="367" t="s">
        <v>206</v>
      </c>
      <c r="MTQ181" s="367"/>
      <c r="MTR181" s="367"/>
      <c r="MTS181" s="368" t="s">
        <v>168</v>
      </c>
      <c r="MTT181" s="369">
        <v>0.5</v>
      </c>
      <c r="MTU181" s="370" t="e">
        <f>10/MTQ179</f>
        <v>#DIV/0!</v>
      </c>
      <c r="MTV181" s="371">
        <v>15.38</v>
      </c>
      <c r="MTW181" s="371" t="e">
        <f>MTT181*MTU181*MTV181</f>
        <v>#DIV/0!</v>
      </c>
      <c r="MTX181" s="367" t="s">
        <v>206</v>
      </c>
      <c r="MTY181" s="367"/>
      <c r="MTZ181" s="367"/>
      <c r="MUA181" s="368" t="s">
        <v>168</v>
      </c>
      <c r="MUB181" s="369">
        <v>0.5</v>
      </c>
      <c r="MUC181" s="370" t="e">
        <f>10/MTY179</f>
        <v>#DIV/0!</v>
      </c>
      <c r="MUD181" s="371">
        <v>15.38</v>
      </c>
      <c r="MUE181" s="371" t="e">
        <f>MUB181*MUC181*MUD181</f>
        <v>#DIV/0!</v>
      </c>
      <c r="MUF181" s="367" t="s">
        <v>206</v>
      </c>
      <c r="MUG181" s="367"/>
      <c r="MUH181" s="367"/>
      <c r="MUI181" s="368" t="s">
        <v>168</v>
      </c>
      <c r="MUJ181" s="369">
        <v>0.5</v>
      </c>
      <c r="MUK181" s="370" t="e">
        <f>10/MUG179</f>
        <v>#DIV/0!</v>
      </c>
      <c r="MUL181" s="371">
        <v>15.38</v>
      </c>
      <c r="MUM181" s="371" t="e">
        <f>MUJ181*MUK181*MUL181</f>
        <v>#DIV/0!</v>
      </c>
      <c r="MUN181" s="367" t="s">
        <v>206</v>
      </c>
      <c r="MUO181" s="367"/>
      <c r="MUP181" s="367"/>
      <c r="MUQ181" s="368" t="s">
        <v>168</v>
      </c>
      <c r="MUR181" s="369">
        <v>0.5</v>
      </c>
      <c r="MUS181" s="370" t="e">
        <f>10/MUO179</f>
        <v>#DIV/0!</v>
      </c>
      <c r="MUT181" s="371">
        <v>15.38</v>
      </c>
      <c r="MUU181" s="371" t="e">
        <f>MUR181*MUS181*MUT181</f>
        <v>#DIV/0!</v>
      </c>
      <c r="MUV181" s="367" t="s">
        <v>206</v>
      </c>
      <c r="MUW181" s="367"/>
      <c r="MUX181" s="367"/>
      <c r="MUY181" s="368" t="s">
        <v>168</v>
      </c>
      <c r="MUZ181" s="369">
        <v>0.5</v>
      </c>
      <c r="MVA181" s="370" t="e">
        <f>10/MUW179</f>
        <v>#DIV/0!</v>
      </c>
      <c r="MVB181" s="371">
        <v>15.38</v>
      </c>
      <c r="MVC181" s="371" t="e">
        <f>MUZ181*MVA181*MVB181</f>
        <v>#DIV/0!</v>
      </c>
      <c r="MVD181" s="367" t="s">
        <v>206</v>
      </c>
      <c r="MVE181" s="367"/>
      <c r="MVF181" s="367"/>
      <c r="MVG181" s="368" t="s">
        <v>168</v>
      </c>
      <c r="MVH181" s="369">
        <v>0.5</v>
      </c>
      <c r="MVI181" s="370" t="e">
        <f>10/MVE179</f>
        <v>#DIV/0!</v>
      </c>
      <c r="MVJ181" s="371">
        <v>15.38</v>
      </c>
      <c r="MVK181" s="371" t="e">
        <f>MVH181*MVI181*MVJ181</f>
        <v>#DIV/0!</v>
      </c>
      <c r="MVL181" s="367" t="s">
        <v>206</v>
      </c>
      <c r="MVM181" s="367"/>
      <c r="MVN181" s="367"/>
      <c r="MVO181" s="368" t="s">
        <v>168</v>
      </c>
      <c r="MVP181" s="369">
        <v>0.5</v>
      </c>
      <c r="MVQ181" s="370" t="e">
        <f>10/MVM179</f>
        <v>#DIV/0!</v>
      </c>
      <c r="MVR181" s="371">
        <v>15.38</v>
      </c>
      <c r="MVS181" s="371" t="e">
        <f>MVP181*MVQ181*MVR181</f>
        <v>#DIV/0!</v>
      </c>
      <c r="MVT181" s="367" t="s">
        <v>206</v>
      </c>
      <c r="MVU181" s="367"/>
      <c r="MVV181" s="367"/>
      <c r="MVW181" s="368" t="s">
        <v>168</v>
      </c>
      <c r="MVX181" s="369">
        <v>0.5</v>
      </c>
      <c r="MVY181" s="370" t="e">
        <f>10/MVU179</f>
        <v>#DIV/0!</v>
      </c>
      <c r="MVZ181" s="371">
        <v>15.38</v>
      </c>
      <c r="MWA181" s="371" t="e">
        <f>MVX181*MVY181*MVZ181</f>
        <v>#DIV/0!</v>
      </c>
      <c r="MWB181" s="367" t="s">
        <v>206</v>
      </c>
      <c r="MWC181" s="367"/>
      <c r="MWD181" s="367"/>
      <c r="MWE181" s="368" t="s">
        <v>168</v>
      </c>
      <c r="MWF181" s="369">
        <v>0.5</v>
      </c>
      <c r="MWG181" s="370" t="e">
        <f>10/MWC179</f>
        <v>#DIV/0!</v>
      </c>
      <c r="MWH181" s="371">
        <v>15.38</v>
      </c>
      <c r="MWI181" s="371" t="e">
        <f>MWF181*MWG181*MWH181</f>
        <v>#DIV/0!</v>
      </c>
      <c r="MWJ181" s="367" t="s">
        <v>206</v>
      </c>
      <c r="MWK181" s="367"/>
      <c r="MWL181" s="367"/>
      <c r="MWM181" s="368" t="s">
        <v>168</v>
      </c>
      <c r="MWN181" s="369">
        <v>0.5</v>
      </c>
      <c r="MWO181" s="370" t="e">
        <f>10/MWK179</f>
        <v>#DIV/0!</v>
      </c>
      <c r="MWP181" s="371">
        <v>15.38</v>
      </c>
      <c r="MWQ181" s="371" t="e">
        <f>MWN181*MWO181*MWP181</f>
        <v>#DIV/0!</v>
      </c>
      <c r="MWR181" s="367" t="s">
        <v>206</v>
      </c>
      <c r="MWS181" s="367"/>
      <c r="MWT181" s="367"/>
      <c r="MWU181" s="368" t="s">
        <v>168</v>
      </c>
      <c r="MWV181" s="369">
        <v>0.5</v>
      </c>
      <c r="MWW181" s="370" t="e">
        <f>10/MWS179</f>
        <v>#DIV/0!</v>
      </c>
      <c r="MWX181" s="371">
        <v>15.38</v>
      </c>
      <c r="MWY181" s="371" t="e">
        <f>MWV181*MWW181*MWX181</f>
        <v>#DIV/0!</v>
      </c>
      <c r="MWZ181" s="367" t="s">
        <v>206</v>
      </c>
      <c r="MXA181" s="367"/>
      <c r="MXB181" s="367"/>
      <c r="MXC181" s="368" t="s">
        <v>168</v>
      </c>
      <c r="MXD181" s="369">
        <v>0.5</v>
      </c>
      <c r="MXE181" s="370" t="e">
        <f>10/MXA179</f>
        <v>#DIV/0!</v>
      </c>
      <c r="MXF181" s="371">
        <v>15.38</v>
      </c>
      <c r="MXG181" s="371" t="e">
        <f>MXD181*MXE181*MXF181</f>
        <v>#DIV/0!</v>
      </c>
      <c r="MXH181" s="367" t="s">
        <v>206</v>
      </c>
      <c r="MXI181" s="367"/>
      <c r="MXJ181" s="367"/>
      <c r="MXK181" s="368" t="s">
        <v>168</v>
      </c>
      <c r="MXL181" s="369">
        <v>0.5</v>
      </c>
      <c r="MXM181" s="370" t="e">
        <f>10/MXI179</f>
        <v>#DIV/0!</v>
      </c>
      <c r="MXN181" s="371">
        <v>15.38</v>
      </c>
      <c r="MXO181" s="371" t="e">
        <f>MXL181*MXM181*MXN181</f>
        <v>#DIV/0!</v>
      </c>
      <c r="MXP181" s="367" t="s">
        <v>206</v>
      </c>
      <c r="MXQ181" s="367"/>
      <c r="MXR181" s="367"/>
      <c r="MXS181" s="368" t="s">
        <v>168</v>
      </c>
      <c r="MXT181" s="369">
        <v>0.5</v>
      </c>
      <c r="MXU181" s="370" t="e">
        <f>10/MXQ179</f>
        <v>#DIV/0!</v>
      </c>
      <c r="MXV181" s="371">
        <v>15.38</v>
      </c>
      <c r="MXW181" s="371" t="e">
        <f>MXT181*MXU181*MXV181</f>
        <v>#DIV/0!</v>
      </c>
      <c r="MXX181" s="367" t="s">
        <v>206</v>
      </c>
      <c r="MXY181" s="367"/>
      <c r="MXZ181" s="367"/>
      <c r="MYA181" s="368" t="s">
        <v>168</v>
      </c>
      <c r="MYB181" s="369">
        <v>0.5</v>
      </c>
      <c r="MYC181" s="370" t="e">
        <f>10/MXY179</f>
        <v>#DIV/0!</v>
      </c>
      <c r="MYD181" s="371">
        <v>15.38</v>
      </c>
      <c r="MYE181" s="371" t="e">
        <f>MYB181*MYC181*MYD181</f>
        <v>#DIV/0!</v>
      </c>
      <c r="MYF181" s="367" t="s">
        <v>206</v>
      </c>
      <c r="MYG181" s="367"/>
      <c r="MYH181" s="367"/>
      <c r="MYI181" s="368" t="s">
        <v>168</v>
      </c>
      <c r="MYJ181" s="369">
        <v>0.5</v>
      </c>
      <c r="MYK181" s="370" t="e">
        <f>10/MYG179</f>
        <v>#DIV/0!</v>
      </c>
      <c r="MYL181" s="371">
        <v>15.38</v>
      </c>
      <c r="MYM181" s="371" t="e">
        <f>MYJ181*MYK181*MYL181</f>
        <v>#DIV/0!</v>
      </c>
      <c r="MYN181" s="367" t="s">
        <v>206</v>
      </c>
      <c r="MYO181" s="367"/>
      <c r="MYP181" s="367"/>
      <c r="MYQ181" s="368" t="s">
        <v>168</v>
      </c>
      <c r="MYR181" s="369">
        <v>0.5</v>
      </c>
      <c r="MYS181" s="370" t="e">
        <f>10/MYO179</f>
        <v>#DIV/0!</v>
      </c>
      <c r="MYT181" s="371">
        <v>15.38</v>
      </c>
      <c r="MYU181" s="371" t="e">
        <f>MYR181*MYS181*MYT181</f>
        <v>#DIV/0!</v>
      </c>
      <c r="MYV181" s="367" t="s">
        <v>206</v>
      </c>
      <c r="MYW181" s="367"/>
      <c r="MYX181" s="367"/>
      <c r="MYY181" s="368" t="s">
        <v>168</v>
      </c>
      <c r="MYZ181" s="369">
        <v>0.5</v>
      </c>
      <c r="MZA181" s="370" t="e">
        <f>10/MYW179</f>
        <v>#DIV/0!</v>
      </c>
      <c r="MZB181" s="371">
        <v>15.38</v>
      </c>
      <c r="MZC181" s="371" t="e">
        <f>MYZ181*MZA181*MZB181</f>
        <v>#DIV/0!</v>
      </c>
      <c r="MZD181" s="367" t="s">
        <v>206</v>
      </c>
      <c r="MZE181" s="367"/>
      <c r="MZF181" s="367"/>
      <c r="MZG181" s="368" t="s">
        <v>168</v>
      </c>
      <c r="MZH181" s="369">
        <v>0.5</v>
      </c>
      <c r="MZI181" s="370" t="e">
        <f>10/MZE179</f>
        <v>#DIV/0!</v>
      </c>
      <c r="MZJ181" s="371">
        <v>15.38</v>
      </c>
      <c r="MZK181" s="371" t="e">
        <f>MZH181*MZI181*MZJ181</f>
        <v>#DIV/0!</v>
      </c>
      <c r="MZL181" s="367" t="s">
        <v>206</v>
      </c>
      <c r="MZM181" s="367"/>
      <c r="MZN181" s="367"/>
      <c r="MZO181" s="368" t="s">
        <v>168</v>
      </c>
      <c r="MZP181" s="369">
        <v>0.5</v>
      </c>
      <c r="MZQ181" s="370" t="e">
        <f>10/MZM179</f>
        <v>#DIV/0!</v>
      </c>
      <c r="MZR181" s="371">
        <v>15.38</v>
      </c>
      <c r="MZS181" s="371" t="e">
        <f>MZP181*MZQ181*MZR181</f>
        <v>#DIV/0!</v>
      </c>
      <c r="MZT181" s="367" t="s">
        <v>206</v>
      </c>
      <c r="MZU181" s="367"/>
      <c r="MZV181" s="367"/>
      <c r="MZW181" s="368" t="s">
        <v>168</v>
      </c>
      <c r="MZX181" s="369">
        <v>0.5</v>
      </c>
      <c r="MZY181" s="370" t="e">
        <f>10/MZU179</f>
        <v>#DIV/0!</v>
      </c>
      <c r="MZZ181" s="371">
        <v>15.38</v>
      </c>
      <c r="NAA181" s="371" t="e">
        <f>MZX181*MZY181*MZZ181</f>
        <v>#DIV/0!</v>
      </c>
      <c r="NAB181" s="367" t="s">
        <v>206</v>
      </c>
      <c r="NAC181" s="367"/>
      <c r="NAD181" s="367"/>
      <c r="NAE181" s="368" t="s">
        <v>168</v>
      </c>
      <c r="NAF181" s="369">
        <v>0.5</v>
      </c>
      <c r="NAG181" s="370" t="e">
        <f>10/NAC179</f>
        <v>#DIV/0!</v>
      </c>
      <c r="NAH181" s="371">
        <v>15.38</v>
      </c>
      <c r="NAI181" s="371" t="e">
        <f>NAF181*NAG181*NAH181</f>
        <v>#DIV/0!</v>
      </c>
      <c r="NAJ181" s="367" t="s">
        <v>206</v>
      </c>
      <c r="NAK181" s="367"/>
      <c r="NAL181" s="367"/>
      <c r="NAM181" s="368" t="s">
        <v>168</v>
      </c>
      <c r="NAN181" s="369">
        <v>0.5</v>
      </c>
      <c r="NAO181" s="370" t="e">
        <f>10/NAK179</f>
        <v>#DIV/0!</v>
      </c>
      <c r="NAP181" s="371">
        <v>15.38</v>
      </c>
      <c r="NAQ181" s="371" t="e">
        <f>NAN181*NAO181*NAP181</f>
        <v>#DIV/0!</v>
      </c>
      <c r="NAR181" s="367" t="s">
        <v>206</v>
      </c>
      <c r="NAS181" s="367"/>
      <c r="NAT181" s="367"/>
      <c r="NAU181" s="368" t="s">
        <v>168</v>
      </c>
      <c r="NAV181" s="369">
        <v>0.5</v>
      </c>
      <c r="NAW181" s="370" t="e">
        <f>10/NAS179</f>
        <v>#DIV/0!</v>
      </c>
      <c r="NAX181" s="371">
        <v>15.38</v>
      </c>
      <c r="NAY181" s="371" t="e">
        <f>NAV181*NAW181*NAX181</f>
        <v>#DIV/0!</v>
      </c>
      <c r="NAZ181" s="367" t="s">
        <v>206</v>
      </c>
      <c r="NBA181" s="367"/>
      <c r="NBB181" s="367"/>
      <c r="NBC181" s="368" t="s">
        <v>168</v>
      </c>
      <c r="NBD181" s="369">
        <v>0.5</v>
      </c>
      <c r="NBE181" s="370" t="e">
        <f>10/NBA179</f>
        <v>#DIV/0!</v>
      </c>
      <c r="NBF181" s="371">
        <v>15.38</v>
      </c>
      <c r="NBG181" s="371" t="e">
        <f>NBD181*NBE181*NBF181</f>
        <v>#DIV/0!</v>
      </c>
      <c r="NBH181" s="367" t="s">
        <v>206</v>
      </c>
      <c r="NBI181" s="367"/>
      <c r="NBJ181" s="367"/>
      <c r="NBK181" s="368" t="s">
        <v>168</v>
      </c>
      <c r="NBL181" s="369">
        <v>0.5</v>
      </c>
      <c r="NBM181" s="370" t="e">
        <f>10/NBI179</f>
        <v>#DIV/0!</v>
      </c>
      <c r="NBN181" s="371">
        <v>15.38</v>
      </c>
      <c r="NBO181" s="371" t="e">
        <f>NBL181*NBM181*NBN181</f>
        <v>#DIV/0!</v>
      </c>
      <c r="NBP181" s="367" t="s">
        <v>206</v>
      </c>
      <c r="NBQ181" s="367"/>
      <c r="NBR181" s="367"/>
      <c r="NBS181" s="368" t="s">
        <v>168</v>
      </c>
      <c r="NBT181" s="369">
        <v>0.5</v>
      </c>
      <c r="NBU181" s="370" t="e">
        <f>10/NBQ179</f>
        <v>#DIV/0!</v>
      </c>
      <c r="NBV181" s="371">
        <v>15.38</v>
      </c>
      <c r="NBW181" s="371" t="e">
        <f>NBT181*NBU181*NBV181</f>
        <v>#DIV/0!</v>
      </c>
      <c r="NBX181" s="367" t="s">
        <v>206</v>
      </c>
      <c r="NBY181" s="367"/>
      <c r="NBZ181" s="367"/>
      <c r="NCA181" s="368" t="s">
        <v>168</v>
      </c>
      <c r="NCB181" s="369">
        <v>0.5</v>
      </c>
      <c r="NCC181" s="370" t="e">
        <f>10/NBY179</f>
        <v>#DIV/0!</v>
      </c>
      <c r="NCD181" s="371">
        <v>15.38</v>
      </c>
      <c r="NCE181" s="371" t="e">
        <f>NCB181*NCC181*NCD181</f>
        <v>#DIV/0!</v>
      </c>
      <c r="NCF181" s="367" t="s">
        <v>206</v>
      </c>
      <c r="NCG181" s="367"/>
      <c r="NCH181" s="367"/>
      <c r="NCI181" s="368" t="s">
        <v>168</v>
      </c>
      <c r="NCJ181" s="369">
        <v>0.5</v>
      </c>
      <c r="NCK181" s="370" t="e">
        <f>10/NCG179</f>
        <v>#DIV/0!</v>
      </c>
      <c r="NCL181" s="371">
        <v>15.38</v>
      </c>
      <c r="NCM181" s="371" t="e">
        <f>NCJ181*NCK181*NCL181</f>
        <v>#DIV/0!</v>
      </c>
      <c r="NCN181" s="367" t="s">
        <v>206</v>
      </c>
      <c r="NCO181" s="367"/>
      <c r="NCP181" s="367"/>
      <c r="NCQ181" s="368" t="s">
        <v>168</v>
      </c>
      <c r="NCR181" s="369">
        <v>0.5</v>
      </c>
      <c r="NCS181" s="370" t="e">
        <f>10/NCO179</f>
        <v>#DIV/0!</v>
      </c>
      <c r="NCT181" s="371">
        <v>15.38</v>
      </c>
      <c r="NCU181" s="371" t="e">
        <f>NCR181*NCS181*NCT181</f>
        <v>#DIV/0!</v>
      </c>
      <c r="NCV181" s="367" t="s">
        <v>206</v>
      </c>
      <c r="NCW181" s="367"/>
      <c r="NCX181" s="367"/>
      <c r="NCY181" s="368" t="s">
        <v>168</v>
      </c>
      <c r="NCZ181" s="369">
        <v>0.5</v>
      </c>
      <c r="NDA181" s="370" t="e">
        <f>10/NCW179</f>
        <v>#DIV/0!</v>
      </c>
      <c r="NDB181" s="371">
        <v>15.38</v>
      </c>
      <c r="NDC181" s="371" t="e">
        <f>NCZ181*NDA181*NDB181</f>
        <v>#DIV/0!</v>
      </c>
      <c r="NDD181" s="367" t="s">
        <v>206</v>
      </c>
      <c r="NDE181" s="367"/>
      <c r="NDF181" s="367"/>
      <c r="NDG181" s="368" t="s">
        <v>168</v>
      </c>
      <c r="NDH181" s="369">
        <v>0.5</v>
      </c>
      <c r="NDI181" s="370" t="e">
        <f>10/NDE179</f>
        <v>#DIV/0!</v>
      </c>
      <c r="NDJ181" s="371">
        <v>15.38</v>
      </c>
      <c r="NDK181" s="371" t="e">
        <f>NDH181*NDI181*NDJ181</f>
        <v>#DIV/0!</v>
      </c>
      <c r="NDL181" s="367" t="s">
        <v>206</v>
      </c>
      <c r="NDM181" s="367"/>
      <c r="NDN181" s="367"/>
      <c r="NDO181" s="368" t="s">
        <v>168</v>
      </c>
      <c r="NDP181" s="369">
        <v>0.5</v>
      </c>
      <c r="NDQ181" s="370" t="e">
        <f>10/NDM179</f>
        <v>#DIV/0!</v>
      </c>
      <c r="NDR181" s="371">
        <v>15.38</v>
      </c>
      <c r="NDS181" s="371" t="e">
        <f>NDP181*NDQ181*NDR181</f>
        <v>#DIV/0!</v>
      </c>
      <c r="NDT181" s="367" t="s">
        <v>206</v>
      </c>
      <c r="NDU181" s="367"/>
      <c r="NDV181" s="367"/>
      <c r="NDW181" s="368" t="s">
        <v>168</v>
      </c>
      <c r="NDX181" s="369">
        <v>0.5</v>
      </c>
      <c r="NDY181" s="370" t="e">
        <f>10/NDU179</f>
        <v>#DIV/0!</v>
      </c>
      <c r="NDZ181" s="371">
        <v>15.38</v>
      </c>
      <c r="NEA181" s="371" t="e">
        <f>NDX181*NDY181*NDZ181</f>
        <v>#DIV/0!</v>
      </c>
      <c r="NEB181" s="367" t="s">
        <v>206</v>
      </c>
      <c r="NEC181" s="367"/>
      <c r="NED181" s="367"/>
      <c r="NEE181" s="368" t="s">
        <v>168</v>
      </c>
      <c r="NEF181" s="369">
        <v>0.5</v>
      </c>
      <c r="NEG181" s="370" t="e">
        <f>10/NEC179</f>
        <v>#DIV/0!</v>
      </c>
      <c r="NEH181" s="371">
        <v>15.38</v>
      </c>
      <c r="NEI181" s="371" t="e">
        <f>NEF181*NEG181*NEH181</f>
        <v>#DIV/0!</v>
      </c>
      <c r="NEJ181" s="367" t="s">
        <v>206</v>
      </c>
      <c r="NEK181" s="367"/>
      <c r="NEL181" s="367"/>
      <c r="NEM181" s="368" t="s">
        <v>168</v>
      </c>
      <c r="NEN181" s="369">
        <v>0.5</v>
      </c>
      <c r="NEO181" s="370" t="e">
        <f>10/NEK179</f>
        <v>#DIV/0!</v>
      </c>
      <c r="NEP181" s="371">
        <v>15.38</v>
      </c>
      <c r="NEQ181" s="371" t="e">
        <f>NEN181*NEO181*NEP181</f>
        <v>#DIV/0!</v>
      </c>
      <c r="NER181" s="367" t="s">
        <v>206</v>
      </c>
      <c r="NES181" s="367"/>
      <c r="NET181" s="367"/>
      <c r="NEU181" s="368" t="s">
        <v>168</v>
      </c>
      <c r="NEV181" s="369">
        <v>0.5</v>
      </c>
      <c r="NEW181" s="370" t="e">
        <f>10/NES179</f>
        <v>#DIV/0!</v>
      </c>
      <c r="NEX181" s="371">
        <v>15.38</v>
      </c>
      <c r="NEY181" s="371" t="e">
        <f>NEV181*NEW181*NEX181</f>
        <v>#DIV/0!</v>
      </c>
      <c r="NEZ181" s="367" t="s">
        <v>206</v>
      </c>
      <c r="NFA181" s="367"/>
      <c r="NFB181" s="367"/>
      <c r="NFC181" s="368" t="s">
        <v>168</v>
      </c>
      <c r="NFD181" s="369">
        <v>0.5</v>
      </c>
      <c r="NFE181" s="370" t="e">
        <f>10/NFA179</f>
        <v>#DIV/0!</v>
      </c>
      <c r="NFF181" s="371">
        <v>15.38</v>
      </c>
      <c r="NFG181" s="371" t="e">
        <f>NFD181*NFE181*NFF181</f>
        <v>#DIV/0!</v>
      </c>
      <c r="NFH181" s="367" t="s">
        <v>206</v>
      </c>
      <c r="NFI181" s="367"/>
      <c r="NFJ181" s="367"/>
      <c r="NFK181" s="368" t="s">
        <v>168</v>
      </c>
      <c r="NFL181" s="369">
        <v>0.5</v>
      </c>
      <c r="NFM181" s="370" t="e">
        <f>10/NFI179</f>
        <v>#DIV/0!</v>
      </c>
      <c r="NFN181" s="371">
        <v>15.38</v>
      </c>
      <c r="NFO181" s="371" t="e">
        <f>NFL181*NFM181*NFN181</f>
        <v>#DIV/0!</v>
      </c>
      <c r="NFP181" s="367" t="s">
        <v>206</v>
      </c>
      <c r="NFQ181" s="367"/>
      <c r="NFR181" s="367"/>
      <c r="NFS181" s="368" t="s">
        <v>168</v>
      </c>
      <c r="NFT181" s="369">
        <v>0.5</v>
      </c>
      <c r="NFU181" s="370" t="e">
        <f>10/NFQ179</f>
        <v>#DIV/0!</v>
      </c>
      <c r="NFV181" s="371">
        <v>15.38</v>
      </c>
      <c r="NFW181" s="371" t="e">
        <f>NFT181*NFU181*NFV181</f>
        <v>#DIV/0!</v>
      </c>
      <c r="NFX181" s="367" t="s">
        <v>206</v>
      </c>
      <c r="NFY181" s="367"/>
      <c r="NFZ181" s="367"/>
      <c r="NGA181" s="368" t="s">
        <v>168</v>
      </c>
      <c r="NGB181" s="369">
        <v>0.5</v>
      </c>
      <c r="NGC181" s="370" t="e">
        <f>10/NFY179</f>
        <v>#DIV/0!</v>
      </c>
      <c r="NGD181" s="371">
        <v>15.38</v>
      </c>
      <c r="NGE181" s="371" t="e">
        <f>NGB181*NGC181*NGD181</f>
        <v>#DIV/0!</v>
      </c>
      <c r="NGF181" s="367" t="s">
        <v>206</v>
      </c>
      <c r="NGG181" s="367"/>
      <c r="NGH181" s="367"/>
      <c r="NGI181" s="368" t="s">
        <v>168</v>
      </c>
      <c r="NGJ181" s="369">
        <v>0.5</v>
      </c>
      <c r="NGK181" s="370" t="e">
        <f>10/NGG179</f>
        <v>#DIV/0!</v>
      </c>
      <c r="NGL181" s="371">
        <v>15.38</v>
      </c>
      <c r="NGM181" s="371" t="e">
        <f>NGJ181*NGK181*NGL181</f>
        <v>#DIV/0!</v>
      </c>
      <c r="NGN181" s="367" t="s">
        <v>206</v>
      </c>
      <c r="NGO181" s="367"/>
      <c r="NGP181" s="367"/>
      <c r="NGQ181" s="368" t="s">
        <v>168</v>
      </c>
      <c r="NGR181" s="369">
        <v>0.5</v>
      </c>
      <c r="NGS181" s="370" t="e">
        <f>10/NGO179</f>
        <v>#DIV/0!</v>
      </c>
      <c r="NGT181" s="371">
        <v>15.38</v>
      </c>
      <c r="NGU181" s="371" t="e">
        <f>NGR181*NGS181*NGT181</f>
        <v>#DIV/0!</v>
      </c>
      <c r="NGV181" s="367" t="s">
        <v>206</v>
      </c>
      <c r="NGW181" s="367"/>
      <c r="NGX181" s="367"/>
      <c r="NGY181" s="368" t="s">
        <v>168</v>
      </c>
      <c r="NGZ181" s="369">
        <v>0.5</v>
      </c>
      <c r="NHA181" s="370" t="e">
        <f>10/NGW179</f>
        <v>#DIV/0!</v>
      </c>
      <c r="NHB181" s="371">
        <v>15.38</v>
      </c>
      <c r="NHC181" s="371" t="e">
        <f>NGZ181*NHA181*NHB181</f>
        <v>#DIV/0!</v>
      </c>
      <c r="NHD181" s="367" t="s">
        <v>206</v>
      </c>
      <c r="NHE181" s="367"/>
      <c r="NHF181" s="367"/>
      <c r="NHG181" s="368" t="s">
        <v>168</v>
      </c>
      <c r="NHH181" s="369">
        <v>0.5</v>
      </c>
      <c r="NHI181" s="370" t="e">
        <f>10/NHE179</f>
        <v>#DIV/0!</v>
      </c>
      <c r="NHJ181" s="371">
        <v>15.38</v>
      </c>
      <c r="NHK181" s="371" t="e">
        <f>NHH181*NHI181*NHJ181</f>
        <v>#DIV/0!</v>
      </c>
      <c r="NHL181" s="367" t="s">
        <v>206</v>
      </c>
      <c r="NHM181" s="367"/>
      <c r="NHN181" s="367"/>
      <c r="NHO181" s="368" t="s">
        <v>168</v>
      </c>
      <c r="NHP181" s="369">
        <v>0.5</v>
      </c>
      <c r="NHQ181" s="370" t="e">
        <f>10/NHM179</f>
        <v>#DIV/0!</v>
      </c>
      <c r="NHR181" s="371">
        <v>15.38</v>
      </c>
      <c r="NHS181" s="371" t="e">
        <f>NHP181*NHQ181*NHR181</f>
        <v>#DIV/0!</v>
      </c>
      <c r="NHT181" s="367" t="s">
        <v>206</v>
      </c>
      <c r="NHU181" s="367"/>
      <c r="NHV181" s="367"/>
      <c r="NHW181" s="368" t="s">
        <v>168</v>
      </c>
      <c r="NHX181" s="369">
        <v>0.5</v>
      </c>
      <c r="NHY181" s="370" t="e">
        <f>10/NHU179</f>
        <v>#DIV/0!</v>
      </c>
      <c r="NHZ181" s="371">
        <v>15.38</v>
      </c>
      <c r="NIA181" s="371" t="e">
        <f>NHX181*NHY181*NHZ181</f>
        <v>#DIV/0!</v>
      </c>
      <c r="NIB181" s="367" t="s">
        <v>206</v>
      </c>
      <c r="NIC181" s="367"/>
      <c r="NID181" s="367"/>
      <c r="NIE181" s="368" t="s">
        <v>168</v>
      </c>
      <c r="NIF181" s="369">
        <v>0.5</v>
      </c>
      <c r="NIG181" s="370" t="e">
        <f>10/NIC179</f>
        <v>#DIV/0!</v>
      </c>
      <c r="NIH181" s="371">
        <v>15.38</v>
      </c>
      <c r="NII181" s="371" t="e">
        <f>NIF181*NIG181*NIH181</f>
        <v>#DIV/0!</v>
      </c>
      <c r="NIJ181" s="367" t="s">
        <v>206</v>
      </c>
      <c r="NIK181" s="367"/>
      <c r="NIL181" s="367"/>
      <c r="NIM181" s="368" t="s">
        <v>168</v>
      </c>
      <c r="NIN181" s="369">
        <v>0.5</v>
      </c>
      <c r="NIO181" s="370" t="e">
        <f>10/NIK179</f>
        <v>#DIV/0!</v>
      </c>
      <c r="NIP181" s="371">
        <v>15.38</v>
      </c>
      <c r="NIQ181" s="371" t="e">
        <f>NIN181*NIO181*NIP181</f>
        <v>#DIV/0!</v>
      </c>
      <c r="NIR181" s="367" t="s">
        <v>206</v>
      </c>
      <c r="NIS181" s="367"/>
      <c r="NIT181" s="367"/>
      <c r="NIU181" s="368" t="s">
        <v>168</v>
      </c>
      <c r="NIV181" s="369">
        <v>0.5</v>
      </c>
      <c r="NIW181" s="370" t="e">
        <f>10/NIS179</f>
        <v>#DIV/0!</v>
      </c>
      <c r="NIX181" s="371">
        <v>15.38</v>
      </c>
      <c r="NIY181" s="371" t="e">
        <f>NIV181*NIW181*NIX181</f>
        <v>#DIV/0!</v>
      </c>
      <c r="NIZ181" s="367" t="s">
        <v>206</v>
      </c>
      <c r="NJA181" s="367"/>
      <c r="NJB181" s="367"/>
      <c r="NJC181" s="368" t="s">
        <v>168</v>
      </c>
      <c r="NJD181" s="369">
        <v>0.5</v>
      </c>
      <c r="NJE181" s="370" t="e">
        <f>10/NJA179</f>
        <v>#DIV/0!</v>
      </c>
      <c r="NJF181" s="371">
        <v>15.38</v>
      </c>
      <c r="NJG181" s="371" t="e">
        <f>NJD181*NJE181*NJF181</f>
        <v>#DIV/0!</v>
      </c>
      <c r="NJH181" s="367" t="s">
        <v>206</v>
      </c>
      <c r="NJI181" s="367"/>
      <c r="NJJ181" s="367"/>
      <c r="NJK181" s="368" t="s">
        <v>168</v>
      </c>
      <c r="NJL181" s="369">
        <v>0.5</v>
      </c>
      <c r="NJM181" s="370" t="e">
        <f>10/NJI179</f>
        <v>#DIV/0!</v>
      </c>
      <c r="NJN181" s="371">
        <v>15.38</v>
      </c>
      <c r="NJO181" s="371" t="e">
        <f>NJL181*NJM181*NJN181</f>
        <v>#DIV/0!</v>
      </c>
      <c r="NJP181" s="367" t="s">
        <v>206</v>
      </c>
      <c r="NJQ181" s="367"/>
      <c r="NJR181" s="367"/>
      <c r="NJS181" s="368" t="s">
        <v>168</v>
      </c>
      <c r="NJT181" s="369">
        <v>0.5</v>
      </c>
      <c r="NJU181" s="370" t="e">
        <f>10/NJQ179</f>
        <v>#DIV/0!</v>
      </c>
      <c r="NJV181" s="371">
        <v>15.38</v>
      </c>
      <c r="NJW181" s="371" t="e">
        <f>NJT181*NJU181*NJV181</f>
        <v>#DIV/0!</v>
      </c>
      <c r="NJX181" s="367" t="s">
        <v>206</v>
      </c>
      <c r="NJY181" s="367"/>
      <c r="NJZ181" s="367"/>
      <c r="NKA181" s="368" t="s">
        <v>168</v>
      </c>
      <c r="NKB181" s="369">
        <v>0.5</v>
      </c>
      <c r="NKC181" s="370" t="e">
        <f>10/NJY179</f>
        <v>#DIV/0!</v>
      </c>
      <c r="NKD181" s="371">
        <v>15.38</v>
      </c>
      <c r="NKE181" s="371" t="e">
        <f>NKB181*NKC181*NKD181</f>
        <v>#DIV/0!</v>
      </c>
      <c r="NKF181" s="367" t="s">
        <v>206</v>
      </c>
      <c r="NKG181" s="367"/>
      <c r="NKH181" s="367"/>
      <c r="NKI181" s="368" t="s">
        <v>168</v>
      </c>
      <c r="NKJ181" s="369">
        <v>0.5</v>
      </c>
      <c r="NKK181" s="370" t="e">
        <f>10/NKG179</f>
        <v>#DIV/0!</v>
      </c>
      <c r="NKL181" s="371">
        <v>15.38</v>
      </c>
      <c r="NKM181" s="371" t="e">
        <f>NKJ181*NKK181*NKL181</f>
        <v>#DIV/0!</v>
      </c>
      <c r="NKN181" s="367" t="s">
        <v>206</v>
      </c>
      <c r="NKO181" s="367"/>
      <c r="NKP181" s="367"/>
      <c r="NKQ181" s="368" t="s">
        <v>168</v>
      </c>
      <c r="NKR181" s="369">
        <v>0.5</v>
      </c>
      <c r="NKS181" s="370" t="e">
        <f>10/NKO179</f>
        <v>#DIV/0!</v>
      </c>
      <c r="NKT181" s="371">
        <v>15.38</v>
      </c>
      <c r="NKU181" s="371" t="e">
        <f>NKR181*NKS181*NKT181</f>
        <v>#DIV/0!</v>
      </c>
      <c r="NKV181" s="367" t="s">
        <v>206</v>
      </c>
      <c r="NKW181" s="367"/>
      <c r="NKX181" s="367"/>
      <c r="NKY181" s="368" t="s">
        <v>168</v>
      </c>
      <c r="NKZ181" s="369">
        <v>0.5</v>
      </c>
      <c r="NLA181" s="370" t="e">
        <f>10/NKW179</f>
        <v>#DIV/0!</v>
      </c>
      <c r="NLB181" s="371">
        <v>15.38</v>
      </c>
      <c r="NLC181" s="371" t="e">
        <f>NKZ181*NLA181*NLB181</f>
        <v>#DIV/0!</v>
      </c>
      <c r="NLD181" s="367" t="s">
        <v>206</v>
      </c>
      <c r="NLE181" s="367"/>
      <c r="NLF181" s="367"/>
      <c r="NLG181" s="368" t="s">
        <v>168</v>
      </c>
      <c r="NLH181" s="369">
        <v>0.5</v>
      </c>
      <c r="NLI181" s="370" t="e">
        <f>10/NLE179</f>
        <v>#DIV/0!</v>
      </c>
      <c r="NLJ181" s="371">
        <v>15.38</v>
      </c>
      <c r="NLK181" s="371" t="e">
        <f>NLH181*NLI181*NLJ181</f>
        <v>#DIV/0!</v>
      </c>
      <c r="NLL181" s="367" t="s">
        <v>206</v>
      </c>
      <c r="NLM181" s="367"/>
      <c r="NLN181" s="367"/>
      <c r="NLO181" s="368" t="s">
        <v>168</v>
      </c>
      <c r="NLP181" s="369">
        <v>0.5</v>
      </c>
      <c r="NLQ181" s="370" t="e">
        <f>10/NLM179</f>
        <v>#DIV/0!</v>
      </c>
      <c r="NLR181" s="371">
        <v>15.38</v>
      </c>
      <c r="NLS181" s="371" t="e">
        <f>NLP181*NLQ181*NLR181</f>
        <v>#DIV/0!</v>
      </c>
      <c r="NLT181" s="367" t="s">
        <v>206</v>
      </c>
      <c r="NLU181" s="367"/>
      <c r="NLV181" s="367"/>
      <c r="NLW181" s="368" t="s">
        <v>168</v>
      </c>
      <c r="NLX181" s="369">
        <v>0.5</v>
      </c>
      <c r="NLY181" s="370" t="e">
        <f>10/NLU179</f>
        <v>#DIV/0!</v>
      </c>
      <c r="NLZ181" s="371">
        <v>15.38</v>
      </c>
      <c r="NMA181" s="371" t="e">
        <f>NLX181*NLY181*NLZ181</f>
        <v>#DIV/0!</v>
      </c>
      <c r="NMB181" s="367" t="s">
        <v>206</v>
      </c>
      <c r="NMC181" s="367"/>
      <c r="NMD181" s="367"/>
      <c r="NME181" s="368" t="s">
        <v>168</v>
      </c>
      <c r="NMF181" s="369">
        <v>0.5</v>
      </c>
      <c r="NMG181" s="370" t="e">
        <f>10/NMC179</f>
        <v>#DIV/0!</v>
      </c>
      <c r="NMH181" s="371">
        <v>15.38</v>
      </c>
      <c r="NMI181" s="371" t="e">
        <f>NMF181*NMG181*NMH181</f>
        <v>#DIV/0!</v>
      </c>
      <c r="NMJ181" s="367" t="s">
        <v>206</v>
      </c>
      <c r="NMK181" s="367"/>
      <c r="NML181" s="367"/>
      <c r="NMM181" s="368" t="s">
        <v>168</v>
      </c>
      <c r="NMN181" s="369">
        <v>0.5</v>
      </c>
      <c r="NMO181" s="370" t="e">
        <f>10/NMK179</f>
        <v>#DIV/0!</v>
      </c>
      <c r="NMP181" s="371">
        <v>15.38</v>
      </c>
      <c r="NMQ181" s="371" t="e">
        <f>NMN181*NMO181*NMP181</f>
        <v>#DIV/0!</v>
      </c>
      <c r="NMR181" s="367" t="s">
        <v>206</v>
      </c>
      <c r="NMS181" s="367"/>
      <c r="NMT181" s="367"/>
      <c r="NMU181" s="368" t="s">
        <v>168</v>
      </c>
      <c r="NMV181" s="369">
        <v>0.5</v>
      </c>
      <c r="NMW181" s="370" t="e">
        <f>10/NMS179</f>
        <v>#DIV/0!</v>
      </c>
      <c r="NMX181" s="371">
        <v>15.38</v>
      </c>
      <c r="NMY181" s="371" t="e">
        <f>NMV181*NMW181*NMX181</f>
        <v>#DIV/0!</v>
      </c>
      <c r="NMZ181" s="367" t="s">
        <v>206</v>
      </c>
      <c r="NNA181" s="367"/>
      <c r="NNB181" s="367"/>
      <c r="NNC181" s="368" t="s">
        <v>168</v>
      </c>
      <c r="NND181" s="369">
        <v>0.5</v>
      </c>
      <c r="NNE181" s="370" t="e">
        <f>10/NNA179</f>
        <v>#DIV/0!</v>
      </c>
      <c r="NNF181" s="371">
        <v>15.38</v>
      </c>
      <c r="NNG181" s="371" t="e">
        <f>NND181*NNE181*NNF181</f>
        <v>#DIV/0!</v>
      </c>
      <c r="NNH181" s="367" t="s">
        <v>206</v>
      </c>
      <c r="NNI181" s="367"/>
      <c r="NNJ181" s="367"/>
      <c r="NNK181" s="368" t="s">
        <v>168</v>
      </c>
      <c r="NNL181" s="369">
        <v>0.5</v>
      </c>
      <c r="NNM181" s="370" t="e">
        <f>10/NNI179</f>
        <v>#DIV/0!</v>
      </c>
      <c r="NNN181" s="371">
        <v>15.38</v>
      </c>
      <c r="NNO181" s="371" t="e">
        <f>NNL181*NNM181*NNN181</f>
        <v>#DIV/0!</v>
      </c>
      <c r="NNP181" s="367" t="s">
        <v>206</v>
      </c>
      <c r="NNQ181" s="367"/>
      <c r="NNR181" s="367"/>
      <c r="NNS181" s="368" t="s">
        <v>168</v>
      </c>
      <c r="NNT181" s="369">
        <v>0.5</v>
      </c>
      <c r="NNU181" s="370" t="e">
        <f>10/NNQ179</f>
        <v>#DIV/0!</v>
      </c>
      <c r="NNV181" s="371">
        <v>15.38</v>
      </c>
      <c r="NNW181" s="371" t="e">
        <f>NNT181*NNU181*NNV181</f>
        <v>#DIV/0!</v>
      </c>
      <c r="NNX181" s="367" t="s">
        <v>206</v>
      </c>
      <c r="NNY181" s="367"/>
      <c r="NNZ181" s="367"/>
      <c r="NOA181" s="368" t="s">
        <v>168</v>
      </c>
      <c r="NOB181" s="369">
        <v>0.5</v>
      </c>
      <c r="NOC181" s="370" t="e">
        <f>10/NNY179</f>
        <v>#DIV/0!</v>
      </c>
      <c r="NOD181" s="371">
        <v>15.38</v>
      </c>
      <c r="NOE181" s="371" t="e">
        <f>NOB181*NOC181*NOD181</f>
        <v>#DIV/0!</v>
      </c>
      <c r="NOF181" s="367" t="s">
        <v>206</v>
      </c>
      <c r="NOG181" s="367"/>
      <c r="NOH181" s="367"/>
      <c r="NOI181" s="368" t="s">
        <v>168</v>
      </c>
      <c r="NOJ181" s="369">
        <v>0.5</v>
      </c>
      <c r="NOK181" s="370" t="e">
        <f>10/NOG179</f>
        <v>#DIV/0!</v>
      </c>
      <c r="NOL181" s="371">
        <v>15.38</v>
      </c>
      <c r="NOM181" s="371" t="e">
        <f>NOJ181*NOK181*NOL181</f>
        <v>#DIV/0!</v>
      </c>
      <c r="NON181" s="367" t="s">
        <v>206</v>
      </c>
      <c r="NOO181" s="367"/>
      <c r="NOP181" s="367"/>
      <c r="NOQ181" s="368" t="s">
        <v>168</v>
      </c>
      <c r="NOR181" s="369">
        <v>0.5</v>
      </c>
      <c r="NOS181" s="370" t="e">
        <f>10/NOO179</f>
        <v>#DIV/0!</v>
      </c>
      <c r="NOT181" s="371">
        <v>15.38</v>
      </c>
      <c r="NOU181" s="371" t="e">
        <f>NOR181*NOS181*NOT181</f>
        <v>#DIV/0!</v>
      </c>
      <c r="NOV181" s="367" t="s">
        <v>206</v>
      </c>
      <c r="NOW181" s="367"/>
      <c r="NOX181" s="367"/>
      <c r="NOY181" s="368" t="s">
        <v>168</v>
      </c>
      <c r="NOZ181" s="369">
        <v>0.5</v>
      </c>
      <c r="NPA181" s="370" t="e">
        <f>10/NOW179</f>
        <v>#DIV/0!</v>
      </c>
      <c r="NPB181" s="371">
        <v>15.38</v>
      </c>
      <c r="NPC181" s="371" t="e">
        <f>NOZ181*NPA181*NPB181</f>
        <v>#DIV/0!</v>
      </c>
      <c r="NPD181" s="367" t="s">
        <v>206</v>
      </c>
      <c r="NPE181" s="367"/>
      <c r="NPF181" s="367"/>
      <c r="NPG181" s="368" t="s">
        <v>168</v>
      </c>
      <c r="NPH181" s="369">
        <v>0.5</v>
      </c>
      <c r="NPI181" s="370" t="e">
        <f>10/NPE179</f>
        <v>#DIV/0!</v>
      </c>
      <c r="NPJ181" s="371">
        <v>15.38</v>
      </c>
      <c r="NPK181" s="371" t="e">
        <f>NPH181*NPI181*NPJ181</f>
        <v>#DIV/0!</v>
      </c>
      <c r="NPL181" s="367" t="s">
        <v>206</v>
      </c>
      <c r="NPM181" s="367"/>
      <c r="NPN181" s="367"/>
      <c r="NPO181" s="368" t="s">
        <v>168</v>
      </c>
      <c r="NPP181" s="369">
        <v>0.5</v>
      </c>
      <c r="NPQ181" s="370" t="e">
        <f>10/NPM179</f>
        <v>#DIV/0!</v>
      </c>
      <c r="NPR181" s="371">
        <v>15.38</v>
      </c>
      <c r="NPS181" s="371" t="e">
        <f>NPP181*NPQ181*NPR181</f>
        <v>#DIV/0!</v>
      </c>
      <c r="NPT181" s="367" t="s">
        <v>206</v>
      </c>
      <c r="NPU181" s="367"/>
      <c r="NPV181" s="367"/>
      <c r="NPW181" s="368" t="s">
        <v>168</v>
      </c>
      <c r="NPX181" s="369">
        <v>0.5</v>
      </c>
      <c r="NPY181" s="370" t="e">
        <f>10/NPU179</f>
        <v>#DIV/0!</v>
      </c>
      <c r="NPZ181" s="371">
        <v>15.38</v>
      </c>
      <c r="NQA181" s="371" t="e">
        <f>NPX181*NPY181*NPZ181</f>
        <v>#DIV/0!</v>
      </c>
      <c r="NQB181" s="367" t="s">
        <v>206</v>
      </c>
      <c r="NQC181" s="367"/>
      <c r="NQD181" s="367"/>
      <c r="NQE181" s="368" t="s">
        <v>168</v>
      </c>
      <c r="NQF181" s="369">
        <v>0.5</v>
      </c>
      <c r="NQG181" s="370" t="e">
        <f>10/NQC179</f>
        <v>#DIV/0!</v>
      </c>
      <c r="NQH181" s="371">
        <v>15.38</v>
      </c>
      <c r="NQI181" s="371" t="e">
        <f>NQF181*NQG181*NQH181</f>
        <v>#DIV/0!</v>
      </c>
      <c r="NQJ181" s="367" t="s">
        <v>206</v>
      </c>
      <c r="NQK181" s="367"/>
      <c r="NQL181" s="367"/>
      <c r="NQM181" s="368" t="s">
        <v>168</v>
      </c>
      <c r="NQN181" s="369">
        <v>0.5</v>
      </c>
      <c r="NQO181" s="370" t="e">
        <f>10/NQK179</f>
        <v>#DIV/0!</v>
      </c>
      <c r="NQP181" s="371">
        <v>15.38</v>
      </c>
      <c r="NQQ181" s="371" t="e">
        <f>NQN181*NQO181*NQP181</f>
        <v>#DIV/0!</v>
      </c>
      <c r="NQR181" s="367" t="s">
        <v>206</v>
      </c>
      <c r="NQS181" s="367"/>
      <c r="NQT181" s="367"/>
      <c r="NQU181" s="368" t="s">
        <v>168</v>
      </c>
      <c r="NQV181" s="369">
        <v>0.5</v>
      </c>
      <c r="NQW181" s="370" t="e">
        <f>10/NQS179</f>
        <v>#DIV/0!</v>
      </c>
      <c r="NQX181" s="371">
        <v>15.38</v>
      </c>
      <c r="NQY181" s="371" t="e">
        <f>NQV181*NQW181*NQX181</f>
        <v>#DIV/0!</v>
      </c>
      <c r="NQZ181" s="367" t="s">
        <v>206</v>
      </c>
      <c r="NRA181" s="367"/>
      <c r="NRB181" s="367"/>
      <c r="NRC181" s="368" t="s">
        <v>168</v>
      </c>
      <c r="NRD181" s="369">
        <v>0.5</v>
      </c>
      <c r="NRE181" s="370" t="e">
        <f>10/NRA179</f>
        <v>#DIV/0!</v>
      </c>
      <c r="NRF181" s="371">
        <v>15.38</v>
      </c>
      <c r="NRG181" s="371" t="e">
        <f>NRD181*NRE181*NRF181</f>
        <v>#DIV/0!</v>
      </c>
      <c r="NRH181" s="367" t="s">
        <v>206</v>
      </c>
      <c r="NRI181" s="367"/>
      <c r="NRJ181" s="367"/>
      <c r="NRK181" s="368" t="s">
        <v>168</v>
      </c>
      <c r="NRL181" s="369">
        <v>0.5</v>
      </c>
      <c r="NRM181" s="370" t="e">
        <f>10/NRI179</f>
        <v>#DIV/0!</v>
      </c>
      <c r="NRN181" s="371">
        <v>15.38</v>
      </c>
      <c r="NRO181" s="371" t="e">
        <f>NRL181*NRM181*NRN181</f>
        <v>#DIV/0!</v>
      </c>
      <c r="NRP181" s="367" t="s">
        <v>206</v>
      </c>
      <c r="NRQ181" s="367"/>
      <c r="NRR181" s="367"/>
      <c r="NRS181" s="368" t="s">
        <v>168</v>
      </c>
      <c r="NRT181" s="369">
        <v>0.5</v>
      </c>
      <c r="NRU181" s="370" t="e">
        <f>10/NRQ179</f>
        <v>#DIV/0!</v>
      </c>
      <c r="NRV181" s="371">
        <v>15.38</v>
      </c>
      <c r="NRW181" s="371" t="e">
        <f>NRT181*NRU181*NRV181</f>
        <v>#DIV/0!</v>
      </c>
      <c r="NRX181" s="367" t="s">
        <v>206</v>
      </c>
      <c r="NRY181" s="367"/>
      <c r="NRZ181" s="367"/>
      <c r="NSA181" s="368" t="s">
        <v>168</v>
      </c>
      <c r="NSB181" s="369">
        <v>0.5</v>
      </c>
      <c r="NSC181" s="370" t="e">
        <f>10/NRY179</f>
        <v>#DIV/0!</v>
      </c>
      <c r="NSD181" s="371">
        <v>15.38</v>
      </c>
      <c r="NSE181" s="371" t="e">
        <f>NSB181*NSC181*NSD181</f>
        <v>#DIV/0!</v>
      </c>
      <c r="NSF181" s="367" t="s">
        <v>206</v>
      </c>
      <c r="NSG181" s="367"/>
      <c r="NSH181" s="367"/>
      <c r="NSI181" s="368" t="s">
        <v>168</v>
      </c>
      <c r="NSJ181" s="369">
        <v>0.5</v>
      </c>
      <c r="NSK181" s="370" t="e">
        <f>10/NSG179</f>
        <v>#DIV/0!</v>
      </c>
      <c r="NSL181" s="371">
        <v>15.38</v>
      </c>
      <c r="NSM181" s="371" t="e">
        <f>NSJ181*NSK181*NSL181</f>
        <v>#DIV/0!</v>
      </c>
      <c r="NSN181" s="367" t="s">
        <v>206</v>
      </c>
      <c r="NSO181" s="367"/>
      <c r="NSP181" s="367"/>
      <c r="NSQ181" s="368" t="s">
        <v>168</v>
      </c>
      <c r="NSR181" s="369">
        <v>0.5</v>
      </c>
      <c r="NSS181" s="370" t="e">
        <f>10/NSO179</f>
        <v>#DIV/0!</v>
      </c>
      <c r="NST181" s="371">
        <v>15.38</v>
      </c>
      <c r="NSU181" s="371" t="e">
        <f>NSR181*NSS181*NST181</f>
        <v>#DIV/0!</v>
      </c>
      <c r="NSV181" s="367" t="s">
        <v>206</v>
      </c>
      <c r="NSW181" s="367"/>
      <c r="NSX181" s="367"/>
      <c r="NSY181" s="368" t="s">
        <v>168</v>
      </c>
      <c r="NSZ181" s="369">
        <v>0.5</v>
      </c>
      <c r="NTA181" s="370" t="e">
        <f>10/NSW179</f>
        <v>#DIV/0!</v>
      </c>
      <c r="NTB181" s="371">
        <v>15.38</v>
      </c>
      <c r="NTC181" s="371" t="e">
        <f>NSZ181*NTA181*NTB181</f>
        <v>#DIV/0!</v>
      </c>
      <c r="NTD181" s="367" t="s">
        <v>206</v>
      </c>
      <c r="NTE181" s="367"/>
      <c r="NTF181" s="367"/>
      <c r="NTG181" s="368" t="s">
        <v>168</v>
      </c>
      <c r="NTH181" s="369">
        <v>0.5</v>
      </c>
      <c r="NTI181" s="370" t="e">
        <f>10/NTE179</f>
        <v>#DIV/0!</v>
      </c>
      <c r="NTJ181" s="371">
        <v>15.38</v>
      </c>
      <c r="NTK181" s="371" t="e">
        <f>NTH181*NTI181*NTJ181</f>
        <v>#DIV/0!</v>
      </c>
      <c r="NTL181" s="367" t="s">
        <v>206</v>
      </c>
      <c r="NTM181" s="367"/>
      <c r="NTN181" s="367"/>
      <c r="NTO181" s="368" t="s">
        <v>168</v>
      </c>
      <c r="NTP181" s="369">
        <v>0.5</v>
      </c>
      <c r="NTQ181" s="370" t="e">
        <f>10/NTM179</f>
        <v>#DIV/0!</v>
      </c>
      <c r="NTR181" s="371">
        <v>15.38</v>
      </c>
      <c r="NTS181" s="371" t="e">
        <f>NTP181*NTQ181*NTR181</f>
        <v>#DIV/0!</v>
      </c>
      <c r="NTT181" s="367" t="s">
        <v>206</v>
      </c>
      <c r="NTU181" s="367"/>
      <c r="NTV181" s="367"/>
      <c r="NTW181" s="368" t="s">
        <v>168</v>
      </c>
      <c r="NTX181" s="369">
        <v>0.5</v>
      </c>
      <c r="NTY181" s="370" t="e">
        <f>10/NTU179</f>
        <v>#DIV/0!</v>
      </c>
      <c r="NTZ181" s="371">
        <v>15.38</v>
      </c>
      <c r="NUA181" s="371" t="e">
        <f>NTX181*NTY181*NTZ181</f>
        <v>#DIV/0!</v>
      </c>
      <c r="NUB181" s="367" t="s">
        <v>206</v>
      </c>
      <c r="NUC181" s="367"/>
      <c r="NUD181" s="367"/>
      <c r="NUE181" s="368" t="s">
        <v>168</v>
      </c>
      <c r="NUF181" s="369">
        <v>0.5</v>
      </c>
      <c r="NUG181" s="370" t="e">
        <f>10/NUC179</f>
        <v>#DIV/0!</v>
      </c>
      <c r="NUH181" s="371">
        <v>15.38</v>
      </c>
      <c r="NUI181" s="371" t="e">
        <f>NUF181*NUG181*NUH181</f>
        <v>#DIV/0!</v>
      </c>
      <c r="NUJ181" s="367" t="s">
        <v>206</v>
      </c>
      <c r="NUK181" s="367"/>
      <c r="NUL181" s="367"/>
      <c r="NUM181" s="368" t="s">
        <v>168</v>
      </c>
      <c r="NUN181" s="369">
        <v>0.5</v>
      </c>
      <c r="NUO181" s="370" t="e">
        <f>10/NUK179</f>
        <v>#DIV/0!</v>
      </c>
      <c r="NUP181" s="371">
        <v>15.38</v>
      </c>
      <c r="NUQ181" s="371" t="e">
        <f>NUN181*NUO181*NUP181</f>
        <v>#DIV/0!</v>
      </c>
      <c r="NUR181" s="367" t="s">
        <v>206</v>
      </c>
      <c r="NUS181" s="367"/>
      <c r="NUT181" s="367"/>
      <c r="NUU181" s="368" t="s">
        <v>168</v>
      </c>
      <c r="NUV181" s="369">
        <v>0.5</v>
      </c>
      <c r="NUW181" s="370" t="e">
        <f>10/NUS179</f>
        <v>#DIV/0!</v>
      </c>
      <c r="NUX181" s="371">
        <v>15.38</v>
      </c>
      <c r="NUY181" s="371" t="e">
        <f>NUV181*NUW181*NUX181</f>
        <v>#DIV/0!</v>
      </c>
      <c r="NUZ181" s="367" t="s">
        <v>206</v>
      </c>
      <c r="NVA181" s="367"/>
      <c r="NVB181" s="367"/>
      <c r="NVC181" s="368" t="s">
        <v>168</v>
      </c>
      <c r="NVD181" s="369">
        <v>0.5</v>
      </c>
      <c r="NVE181" s="370" t="e">
        <f>10/NVA179</f>
        <v>#DIV/0!</v>
      </c>
      <c r="NVF181" s="371">
        <v>15.38</v>
      </c>
      <c r="NVG181" s="371" t="e">
        <f>NVD181*NVE181*NVF181</f>
        <v>#DIV/0!</v>
      </c>
      <c r="NVH181" s="367" t="s">
        <v>206</v>
      </c>
      <c r="NVI181" s="367"/>
      <c r="NVJ181" s="367"/>
      <c r="NVK181" s="368" t="s">
        <v>168</v>
      </c>
      <c r="NVL181" s="369">
        <v>0.5</v>
      </c>
      <c r="NVM181" s="370" t="e">
        <f>10/NVI179</f>
        <v>#DIV/0!</v>
      </c>
      <c r="NVN181" s="371">
        <v>15.38</v>
      </c>
      <c r="NVO181" s="371" t="e">
        <f>NVL181*NVM181*NVN181</f>
        <v>#DIV/0!</v>
      </c>
      <c r="NVP181" s="367" t="s">
        <v>206</v>
      </c>
      <c r="NVQ181" s="367"/>
      <c r="NVR181" s="367"/>
      <c r="NVS181" s="368" t="s">
        <v>168</v>
      </c>
      <c r="NVT181" s="369">
        <v>0.5</v>
      </c>
      <c r="NVU181" s="370" t="e">
        <f>10/NVQ179</f>
        <v>#DIV/0!</v>
      </c>
      <c r="NVV181" s="371">
        <v>15.38</v>
      </c>
      <c r="NVW181" s="371" t="e">
        <f>NVT181*NVU181*NVV181</f>
        <v>#DIV/0!</v>
      </c>
      <c r="NVX181" s="367" t="s">
        <v>206</v>
      </c>
      <c r="NVY181" s="367"/>
      <c r="NVZ181" s="367"/>
      <c r="NWA181" s="368" t="s">
        <v>168</v>
      </c>
      <c r="NWB181" s="369">
        <v>0.5</v>
      </c>
      <c r="NWC181" s="370" t="e">
        <f>10/NVY179</f>
        <v>#DIV/0!</v>
      </c>
      <c r="NWD181" s="371">
        <v>15.38</v>
      </c>
      <c r="NWE181" s="371" t="e">
        <f>NWB181*NWC181*NWD181</f>
        <v>#DIV/0!</v>
      </c>
      <c r="NWF181" s="367" t="s">
        <v>206</v>
      </c>
      <c r="NWG181" s="367"/>
      <c r="NWH181" s="367"/>
      <c r="NWI181" s="368" t="s">
        <v>168</v>
      </c>
      <c r="NWJ181" s="369">
        <v>0.5</v>
      </c>
      <c r="NWK181" s="370" t="e">
        <f>10/NWG179</f>
        <v>#DIV/0!</v>
      </c>
      <c r="NWL181" s="371">
        <v>15.38</v>
      </c>
      <c r="NWM181" s="371" t="e">
        <f>NWJ181*NWK181*NWL181</f>
        <v>#DIV/0!</v>
      </c>
      <c r="NWN181" s="367" t="s">
        <v>206</v>
      </c>
      <c r="NWO181" s="367"/>
      <c r="NWP181" s="367"/>
      <c r="NWQ181" s="368" t="s">
        <v>168</v>
      </c>
      <c r="NWR181" s="369">
        <v>0.5</v>
      </c>
      <c r="NWS181" s="370" t="e">
        <f>10/NWO179</f>
        <v>#DIV/0!</v>
      </c>
      <c r="NWT181" s="371">
        <v>15.38</v>
      </c>
      <c r="NWU181" s="371" t="e">
        <f>NWR181*NWS181*NWT181</f>
        <v>#DIV/0!</v>
      </c>
      <c r="NWV181" s="367" t="s">
        <v>206</v>
      </c>
      <c r="NWW181" s="367"/>
      <c r="NWX181" s="367"/>
      <c r="NWY181" s="368" t="s">
        <v>168</v>
      </c>
      <c r="NWZ181" s="369">
        <v>0.5</v>
      </c>
      <c r="NXA181" s="370" t="e">
        <f>10/NWW179</f>
        <v>#DIV/0!</v>
      </c>
      <c r="NXB181" s="371">
        <v>15.38</v>
      </c>
      <c r="NXC181" s="371" t="e">
        <f>NWZ181*NXA181*NXB181</f>
        <v>#DIV/0!</v>
      </c>
      <c r="NXD181" s="367" t="s">
        <v>206</v>
      </c>
      <c r="NXE181" s="367"/>
      <c r="NXF181" s="367"/>
      <c r="NXG181" s="368" t="s">
        <v>168</v>
      </c>
      <c r="NXH181" s="369">
        <v>0.5</v>
      </c>
      <c r="NXI181" s="370" t="e">
        <f>10/NXE179</f>
        <v>#DIV/0!</v>
      </c>
      <c r="NXJ181" s="371">
        <v>15.38</v>
      </c>
      <c r="NXK181" s="371" t="e">
        <f>NXH181*NXI181*NXJ181</f>
        <v>#DIV/0!</v>
      </c>
      <c r="NXL181" s="367" t="s">
        <v>206</v>
      </c>
      <c r="NXM181" s="367"/>
      <c r="NXN181" s="367"/>
      <c r="NXO181" s="368" t="s">
        <v>168</v>
      </c>
      <c r="NXP181" s="369">
        <v>0.5</v>
      </c>
      <c r="NXQ181" s="370" t="e">
        <f>10/NXM179</f>
        <v>#DIV/0!</v>
      </c>
      <c r="NXR181" s="371">
        <v>15.38</v>
      </c>
      <c r="NXS181" s="371" t="e">
        <f>NXP181*NXQ181*NXR181</f>
        <v>#DIV/0!</v>
      </c>
      <c r="NXT181" s="367" t="s">
        <v>206</v>
      </c>
      <c r="NXU181" s="367"/>
      <c r="NXV181" s="367"/>
      <c r="NXW181" s="368" t="s">
        <v>168</v>
      </c>
      <c r="NXX181" s="369">
        <v>0.5</v>
      </c>
      <c r="NXY181" s="370" t="e">
        <f>10/NXU179</f>
        <v>#DIV/0!</v>
      </c>
      <c r="NXZ181" s="371">
        <v>15.38</v>
      </c>
      <c r="NYA181" s="371" t="e">
        <f>NXX181*NXY181*NXZ181</f>
        <v>#DIV/0!</v>
      </c>
      <c r="NYB181" s="367" t="s">
        <v>206</v>
      </c>
      <c r="NYC181" s="367"/>
      <c r="NYD181" s="367"/>
      <c r="NYE181" s="368" t="s">
        <v>168</v>
      </c>
      <c r="NYF181" s="369">
        <v>0.5</v>
      </c>
      <c r="NYG181" s="370" t="e">
        <f>10/NYC179</f>
        <v>#DIV/0!</v>
      </c>
      <c r="NYH181" s="371">
        <v>15.38</v>
      </c>
      <c r="NYI181" s="371" t="e">
        <f>NYF181*NYG181*NYH181</f>
        <v>#DIV/0!</v>
      </c>
      <c r="NYJ181" s="367" t="s">
        <v>206</v>
      </c>
      <c r="NYK181" s="367"/>
      <c r="NYL181" s="367"/>
      <c r="NYM181" s="368" t="s">
        <v>168</v>
      </c>
      <c r="NYN181" s="369">
        <v>0.5</v>
      </c>
      <c r="NYO181" s="370" t="e">
        <f>10/NYK179</f>
        <v>#DIV/0!</v>
      </c>
      <c r="NYP181" s="371">
        <v>15.38</v>
      </c>
      <c r="NYQ181" s="371" t="e">
        <f>NYN181*NYO181*NYP181</f>
        <v>#DIV/0!</v>
      </c>
      <c r="NYR181" s="367" t="s">
        <v>206</v>
      </c>
      <c r="NYS181" s="367"/>
      <c r="NYT181" s="367"/>
      <c r="NYU181" s="368" t="s">
        <v>168</v>
      </c>
      <c r="NYV181" s="369">
        <v>0.5</v>
      </c>
      <c r="NYW181" s="370" t="e">
        <f>10/NYS179</f>
        <v>#DIV/0!</v>
      </c>
      <c r="NYX181" s="371">
        <v>15.38</v>
      </c>
      <c r="NYY181" s="371" t="e">
        <f>NYV181*NYW181*NYX181</f>
        <v>#DIV/0!</v>
      </c>
      <c r="NYZ181" s="367" t="s">
        <v>206</v>
      </c>
      <c r="NZA181" s="367"/>
      <c r="NZB181" s="367"/>
      <c r="NZC181" s="368" t="s">
        <v>168</v>
      </c>
      <c r="NZD181" s="369">
        <v>0.5</v>
      </c>
      <c r="NZE181" s="370" t="e">
        <f>10/NZA179</f>
        <v>#DIV/0!</v>
      </c>
      <c r="NZF181" s="371">
        <v>15.38</v>
      </c>
      <c r="NZG181" s="371" t="e">
        <f>NZD181*NZE181*NZF181</f>
        <v>#DIV/0!</v>
      </c>
      <c r="NZH181" s="367" t="s">
        <v>206</v>
      </c>
      <c r="NZI181" s="367"/>
      <c r="NZJ181" s="367"/>
      <c r="NZK181" s="368" t="s">
        <v>168</v>
      </c>
      <c r="NZL181" s="369">
        <v>0.5</v>
      </c>
      <c r="NZM181" s="370" t="e">
        <f>10/NZI179</f>
        <v>#DIV/0!</v>
      </c>
      <c r="NZN181" s="371">
        <v>15.38</v>
      </c>
      <c r="NZO181" s="371" t="e">
        <f>NZL181*NZM181*NZN181</f>
        <v>#DIV/0!</v>
      </c>
      <c r="NZP181" s="367" t="s">
        <v>206</v>
      </c>
      <c r="NZQ181" s="367"/>
      <c r="NZR181" s="367"/>
      <c r="NZS181" s="368" t="s">
        <v>168</v>
      </c>
      <c r="NZT181" s="369">
        <v>0.5</v>
      </c>
      <c r="NZU181" s="370" t="e">
        <f>10/NZQ179</f>
        <v>#DIV/0!</v>
      </c>
      <c r="NZV181" s="371">
        <v>15.38</v>
      </c>
      <c r="NZW181" s="371" t="e">
        <f>NZT181*NZU181*NZV181</f>
        <v>#DIV/0!</v>
      </c>
      <c r="NZX181" s="367" t="s">
        <v>206</v>
      </c>
      <c r="NZY181" s="367"/>
      <c r="NZZ181" s="367"/>
      <c r="OAA181" s="368" t="s">
        <v>168</v>
      </c>
      <c r="OAB181" s="369">
        <v>0.5</v>
      </c>
      <c r="OAC181" s="370" t="e">
        <f>10/NZY179</f>
        <v>#DIV/0!</v>
      </c>
      <c r="OAD181" s="371">
        <v>15.38</v>
      </c>
      <c r="OAE181" s="371" t="e">
        <f>OAB181*OAC181*OAD181</f>
        <v>#DIV/0!</v>
      </c>
      <c r="OAF181" s="367" t="s">
        <v>206</v>
      </c>
      <c r="OAG181" s="367"/>
      <c r="OAH181" s="367"/>
      <c r="OAI181" s="368" t="s">
        <v>168</v>
      </c>
      <c r="OAJ181" s="369">
        <v>0.5</v>
      </c>
      <c r="OAK181" s="370" t="e">
        <f>10/OAG179</f>
        <v>#DIV/0!</v>
      </c>
      <c r="OAL181" s="371">
        <v>15.38</v>
      </c>
      <c r="OAM181" s="371" t="e">
        <f>OAJ181*OAK181*OAL181</f>
        <v>#DIV/0!</v>
      </c>
      <c r="OAN181" s="367" t="s">
        <v>206</v>
      </c>
      <c r="OAO181" s="367"/>
      <c r="OAP181" s="367"/>
      <c r="OAQ181" s="368" t="s">
        <v>168</v>
      </c>
      <c r="OAR181" s="369">
        <v>0.5</v>
      </c>
      <c r="OAS181" s="370" t="e">
        <f>10/OAO179</f>
        <v>#DIV/0!</v>
      </c>
      <c r="OAT181" s="371">
        <v>15.38</v>
      </c>
      <c r="OAU181" s="371" t="e">
        <f>OAR181*OAS181*OAT181</f>
        <v>#DIV/0!</v>
      </c>
      <c r="OAV181" s="367" t="s">
        <v>206</v>
      </c>
      <c r="OAW181" s="367"/>
      <c r="OAX181" s="367"/>
      <c r="OAY181" s="368" t="s">
        <v>168</v>
      </c>
      <c r="OAZ181" s="369">
        <v>0.5</v>
      </c>
      <c r="OBA181" s="370" t="e">
        <f>10/OAW179</f>
        <v>#DIV/0!</v>
      </c>
      <c r="OBB181" s="371">
        <v>15.38</v>
      </c>
      <c r="OBC181" s="371" t="e">
        <f>OAZ181*OBA181*OBB181</f>
        <v>#DIV/0!</v>
      </c>
      <c r="OBD181" s="367" t="s">
        <v>206</v>
      </c>
      <c r="OBE181" s="367"/>
      <c r="OBF181" s="367"/>
      <c r="OBG181" s="368" t="s">
        <v>168</v>
      </c>
      <c r="OBH181" s="369">
        <v>0.5</v>
      </c>
      <c r="OBI181" s="370" t="e">
        <f>10/OBE179</f>
        <v>#DIV/0!</v>
      </c>
      <c r="OBJ181" s="371">
        <v>15.38</v>
      </c>
      <c r="OBK181" s="371" t="e">
        <f>OBH181*OBI181*OBJ181</f>
        <v>#DIV/0!</v>
      </c>
      <c r="OBL181" s="367" t="s">
        <v>206</v>
      </c>
      <c r="OBM181" s="367"/>
      <c r="OBN181" s="367"/>
      <c r="OBO181" s="368" t="s">
        <v>168</v>
      </c>
      <c r="OBP181" s="369">
        <v>0.5</v>
      </c>
      <c r="OBQ181" s="370" t="e">
        <f>10/OBM179</f>
        <v>#DIV/0!</v>
      </c>
      <c r="OBR181" s="371">
        <v>15.38</v>
      </c>
      <c r="OBS181" s="371" t="e">
        <f>OBP181*OBQ181*OBR181</f>
        <v>#DIV/0!</v>
      </c>
      <c r="OBT181" s="367" t="s">
        <v>206</v>
      </c>
      <c r="OBU181" s="367"/>
      <c r="OBV181" s="367"/>
      <c r="OBW181" s="368" t="s">
        <v>168</v>
      </c>
      <c r="OBX181" s="369">
        <v>0.5</v>
      </c>
      <c r="OBY181" s="370" t="e">
        <f>10/OBU179</f>
        <v>#DIV/0!</v>
      </c>
      <c r="OBZ181" s="371">
        <v>15.38</v>
      </c>
      <c r="OCA181" s="371" t="e">
        <f>OBX181*OBY181*OBZ181</f>
        <v>#DIV/0!</v>
      </c>
      <c r="OCB181" s="367" t="s">
        <v>206</v>
      </c>
      <c r="OCC181" s="367"/>
      <c r="OCD181" s="367"/>
      <c r="OCE181" s="368" t="s">
        <v>168</v>
      </c>
      <c r="OCF181" s="369">
        <v>0.5</v>
      </c>
      <c r="OCG181" s="370" t="e">
        <f>10/OCC179</f>
        <v>#DIV/0!</v>
      </c>
      <c r="OCH181" s="371">
        <v>15.38</v>
      </c>
      <c r="OCI181" s="371" t="e">
        <f>OCF181*OCG181*OCH181</f>
        <v>#DIV/0!</v>
      </c>
      <c r="OCJ181" s="367" t="s">
        <v>206</v>
      </c>
      <c r="OCK181" s="367"/>
      <c r="OCL181" s="367"/>
      <c r="OCM181" s="368" t="s">
        <v>168</v>
      </c>
      <c r="OCN181" s="369">
        <v>0.5</v>
      </c>
      <c r="OCO181" s="370" t="e">
        <f>10/OCK179</f>
        <v>#DIV/0!</v>
      </c>
      <c r="OCP181" s="371">
        <v>15.38</v>
      </c>
      <c r="OCQ181" s="371" t="e">
        <f>OCN181*OCO181*OCP181</f>
        <v>#DIV/0!</v>
      </c>
      <c r="OCR181" s="367" t="s">
        <v>206</v>
      </c>
      <c r="OCS181" s="367"/>
      <c r="OCT181" s="367"/>
      <c r="OCU181" s="368" t="s">
        <v>168</v>
      </c>
      <c r="OCV181" s="369">
        <v>0.5</v>
      </c>
      <c r="OCW181" s="370" t="e">
        <f>10/OCS179</f>
        <v>#DIV/0!</v>
      </c>
      <c r="OCX181" s="371">
        <v>15.38</v>
      </c>
      <c r="OCY181" s="371" t="e">
        <f>OCV181*OCW181*OCX181</f>
        <v>#DIV/0!</v>
      </c>
      <c r="OCZ181" s="367" t="s">
        <v>206</v>
      </c>
      <c r="ODA181" s="367"/>
      <c r="ODB181" s="367"/>
      <c r="ODC181" s="368" t="s">
        <v>168</v>
      </c>
      <c r="ODD181" s="369">
        <v>0.5</v>
      </c>
      <c r="ODE181" s="370" t="e">
        <f>10/ODA179</f>
        <v>#DIV/0!</v>
      </c>
      <c r="ODF181" s="371">
        <v>15.38</v>
      </c>
      <c r="ODG181" s="371" t="e">
        <f>ODD181*ODE181*ODF181</f>
        <v>#DIV/0!</v>
      </c>
      <c r="ODH181" s="367" t="s">
        <v>206</v>
      </c>
      <c r="ODI181" s="367"/>
      <c r="ODJ181" s="367"/>
      <c r="ODK181" s="368" t="s">
        <v>168</v>
      </c>
      <c r="ODL181" s="369">
        <v>0.5</v>
      </c>
      <c r="ODM181" s="370" t="e">
        <f>10/ODI179</f>
        <v>#DIV/0!</v>
      </c>
      <c r="ODN181" s="371">
        <v>15.38</v>
      </c>
      <c r="ODO181" s="371" t="e">
        <f>ODL181*ODM181*ODN181</f>
        <v>#DIV/0!</v>
      </c>
      <c r="ODP181" s="367" t="s">
        <v>206</v>
      </c>
      <c r="ODQ181" s="367"/>
      <c r="ODR181" s="367"/>
      <c r="ODS181" s="368" t="s">
        <v>168</v>
      </c>
      <c r="ODT181" s="369">
        <v>0.5</v>
      </c>
      <c r="ODU181" s="370" t="e">
        <f>10/ODQ179</f>
        <v>#DIV/0!</v>
      </c>
      <c r="ODV181" s="371">
        <v>15.38</v>
      </c>
      <c r="ODW181" s="371" t="e">
        <f>ODT181*ODU181*ODV181</f>
        <v>#DIV/0!</v>
      </c>
      <c r="ODX181" s="367" t="s">
        <v>206</v>
      </c>
      <c r="ODY181" s="367"/>
      <c r="ODZ181" s="367"/>
      <c r="OEA181" s="368" t="s">
        <v>168</v>
      </c>
      <c r="OEB181" s="369">
        <v>0.5</v>
      </c>
      <c r="OEC181" s="370" t="e">
        <f>10/ODY179</f>
        <v>#DIV/0!</v>
      </c>
      <c r="OED181" s="371">
        <v>15.38</v>
      </c>
      <c r="OEE181" s="371" t="e">
        <f>OEB181*OEC181*OED181</f>
        <v>#DIV/0!</v>
      </c>
      <c r="OEF181" s="367" t="s">
        <v>206</v>
      </c>
      <c r="OEG181" s="367"/>
      <c r="OEH181" s="367"/>
      <c r="OEI181" s="368" t="s">
        <v>168</v>
      </c>
      <c r="OEJ181" s="369">
        <v>0.5</v>
      </c>
      <c r="OEK181" s="370" t="e">
        <f>10/OEG179</f>
        <v>#DIV/0!</v>
      </c>
      <c r="OEL181" s="371">
        <v>15.38</v>
      </c>
      <c r="OEM181" s="371" t="e">
        <f>OEJ181*OEK181*OEL181</f>
        <v>#DIV/0!</v>
      </c>
      <c r="OEN181" s="367" t="s">
        <v>206</v>
      </c>
      <c r="OEO181" s="367"/>
      <c r="OEP181" s="367"/>
      <c r="OEQ181" s="368" t="s">
        <v>168</v>
      </c>
      <c r="OER181" s="369">
        <v>0.5</v>
      </c>
      <c r="OES181" s="370" t="e">
        <f>10/OEO179</f>
        <v>#DIV/0!</v>
      </c>
      <c r="OET181" s="371">
        <v>15.38</v>
      </c>
      <c r="OEU181" s="371" t="e">
        <f>OER181*OES181*OET181</f>
        <v>#DIV/0!</v>
      </c>
      <c r="OEV181" s="367" t="s">
        <v>206</v>
      </c>
      <c r="OEW181" s="367"/>
      <c r="OEX181" s="367"/>
      <c r="OEY181" s="368" t="s">
        <v>168</v>
      </c>
      <c r="OEZ181" s="369">
        <v>0.5</v>
      </c>
      <c r="OFA181" s="370" t="e">
        <f>10/OEW179</f>
        <v>#DIV/0!</v>
      </c>
      <c r="OFB181" s="371">
        <v>15.38</v>
      </c>
      <c r="OFC181" s="371" t="e">
        <f>OEZ181*OFA181*OFB181</f>
        <v>#DIV/0!</v>
      </c>
      <c r="OFD181" s="367" t="s">
        <v>206</v>
      </c>
      <c r="OFE181" s="367"/>
      <c r="OFF181" s="367"/>
      <c r="OFG181" s="368" t="s">
        <v>168</v>
      </c>
      <c r="OFH181" s="369">
        <v>0.5</v>
      </c>
      <c r="OFI181" s="370" t="e">
        <f>10/OFE179</f>
        <v>#DIV/0!</v>
      </c>
      <c r="OFJ181" s="371">
        <v>15.38</v>
      </c>
      <c r="OFK181" s="371" t="e">
        <f>OFH181*OFI181*OFJ181</f>
        <v>#DIV/0!</v>
      </c>
      <c r="OFL181" s="367" t="s">
        <v>206</v>
      </c>
      <c r="OFM181" s="367"/>
      <c r="OFN181" s="367"/>
      <c r="OFO181" s="368" t="s">
        <v>168</v>
      </c>
      <c r="OFP181" s="369">
        <v>0.5</v>
      </c>
      <c r="OFQ181" s="370" t="e">
        <f>10/OFM179</f>
        <v>#DIV/0!</v>
      </c>
      <c r="OFR181" s="371">
        <v>15.38</v>
      </c>
      <c r="OFS181" s="371" t="e">
        <f>OFP181*OFQ181*OFR181</f>
        <v>#DIV/0!</v>
      </c>
      <c r="OFT181" s="367" t="s">
        <v>206</v>
      </c>
      <c r="OFU181" s="367"/>
      <c r="OFV181" s="367"/>
      <c r="OFW181" s="368" t="s">
        <v>168</v>
      </c>
      <c r="OFX181" s="369">
        <v>0.5</v>
      </c>
      <c r="OFY181" s="370" t="e">
        <f>10/OFU179</f>
        <v>#DIV/0!</v>
      </c>
      <c r="OFZ181" s="371">
        <v>15.38</v>
      </c>
      <c r="OGA181" s="371" t="e">
        <f>OFX181*OFY181*OFZ181</f>
        <v>#DIV/0!</v>
      </c>
      <c r="OGB181" s="367" t="s">
        <v>206</v>
      </c>
      <c r="OGC181" s="367"/>
      <c r="OGD181" s="367"/>
      <c r="OGE181" s="368" t="s">
        <v>168</v>
      </c>
      <c r="OGF181" s="369">
        <v>0.5</v>
      </c>
      <c r="OGG181" s="370" t="e">
        <f>10/OGC179</f>
        <v>#DIV/0!</v>
      </c>
      <c r="OGH181" s="371">
        <v>15.38</v>
      </c>
      <c r="OGI181" s="371" t="e">
        <f>OGF181*OGG181*OGH181</f>
        <v>#DIV/0!</v>
      </c>
      <c r="OGJ181" s="367" t="s">
        <v>206</v>
      </c>
      <c r="OGK181" s="367"/>
      <c r="OGL181" s="367"/>
      <c r="OGM181" s="368" t="s">
        <v>168</v>
      </c>
      <c r="OGN181" s="369">
        <v>0.5</v>
      </c>
      <c r="OGO181" s="370" t="e">
        <f>10/OGK179</f>
        <v>#DIV/0!</v>
      </c>
      <c r="OGP181" s="371">
        <v>15.38</v>
      </c>
      <c r="OGQ181" s="371" t="e">
        <f>OGN181*OGO181*OGP181</f>
        <v>#DIV/0!</v>
      </c>
      <c r="OGR181" s="367" t="s">
        <v>206</v>
      </c>
      <c r="OGS181" s="367"/>
      <c r="OGT181" s="367"/>
      <c r="OGU181" s="368" t="s">
        <v>168</v>
      </c>
      <c r="OGV181" s="369">
        <v>0.5</v>
      </c>
      <c r="OGW181" s="370" t="e">
        <f>10/OGS179</f>
        <v>#DIV/0!</v>
      </c>
      <c r="OGX181" s="371">
        <v>15.38</v>
      </c>
      <c r="OGY181" s="371" t="e">
        <f>OGV181*OGW181*OGX181</f>
        <v>#DIV/0!</v>
      </c>
      <c r="OGZ181" s="367" t="s">
        <v>206</v>
      </c>
      <c r="OHA181" s="367"/>
      <c r="OHB181" s="367"/>
      <c r="OHC181" s="368" t="s">
        <v>168</v>
      </c>
      <c r="OHD181" s="369">
        <v>0.5</v>
      </c>
      <c r="OHE181" s="370" t="e">
        <f>10/OHA179</f>
        <v>#DIV/0!</v>
      </c>
      <c r="OHF181" s="371">
        <v>15.38</v>
      </c>
      <c r="OHG181" s="371" t="e">
        <f>OHD181*OHE181*OHF181</f>
        <v>#DIV/0!</v>
      </c>
      <c r="OHH181" s="367" t="s">
        <v>206</v>
      </c>
      <c r="OHI181" s="367"/>
      <c r="OHJ181" s="367"/>
      <c r="OHK181" s="368" t="s">
        <v>168</v>
      </c>
      <c r="OHL181" s="369">
        <v>0.5</v>
      </c>
      <c r="OHM181" s="370" t="e">
        <f>10/OHI179</f>
        <v>#DIV/0!</v>
      </c>
      <c r="OHN181" s="371">
        <v>15.38</v>
      </c>
      <c r="OHO181" s="371" t="e">
        <f>OHL181*OHM181*OHN181</f>
        <v>#DIV/0!</v>
      </c>
      <c r="OHP181" s="367" t="s">
        <v>206</v>
      </c>
      <c r="OHQ181" s="367"/>
      <c r="OHR181" s="367"/>
      <c r="OHS181" s="368" t="s">
        <v>168</v>
      </c>
      <c r="OHT181" s="369">
        <v>0.5</v>
      </c>
      <c r="OHU181" s="370" t="e">
        <f>10/OHQ179</f>
        <v>#DIV/0!</v>
      </c>
      <c r="OHV181" s="371">
        <v>15.38</v>
      </c>
      <c r="OHW181" s="371" t="e">
        <f>OHT181*OHU181*OHV181</f>
        <v>#DIV/0!</v>
      </c>
      <c r="OHX181" s="367" t="s">
        <v>206</v>
      </c>
      <c r="OHY181" s="367"/>
      <c r="OHZ181" s="367"/>
      <c r="OIA181" s="368" t="s">
        <v>168</v>
      </c>
      <c r="OIB181" s="369">
        <v>0.5</v>
      </c>
      <c r="OIC181" s="370" t="e">
        <f>10/OHY179</f>
        <v>#DIV/0!</v>
      </c>
      <c r="OID181" s="371">
        <v>15.38</v>
      </c>
      <c r="OIE181" s="371" t="e">
        <f>OIB181*OIC181*OID181</f>
        <v>#DIV/0!</v>
      </c>
      <c r="OIF181" s="367" t="s">
        <v>206</v>
      </c>
      <c r="OIG181" s="367"/>
      <c r="OIH181" s="367"/>
      <c r="OII181" s="368" t="s">
        <v>168</v>
      </c>
      <c r="OIJ181" s="369">
        <v>0.5</v>
      </c>
      <c r="OIK181" s="370" t="e">
        <f>10/OIG179</f>
        <v>#DIV/0!</v>
      </c>
      <c r="OIL181" s="371">
        <v>15.38</v>
      </c>
      <c r="OIM181" s="371" t="e">
        <f>OIJ181*OIK181*OIL181</f>
        <v>#DIV/0!</v>
      </c>
      <c r="OIN181" s="367" t="s">
        <v>206</v>
      </c>
      <c r="OIO181" s="367"/>
      <c r="OIP181" s="367"/>
      <c r="OIQ181" s="368" t="s">
        <v>168</v>
      </c>
      <c r="OIR181" s="369">
        <v>0.5</v>
      </c>
      <c r="OIS181" s="370" t="e">
        <f>10/OIO179</f>
        <v>#DIV/0!</v>
      </c>
      <c r="OIT181" s="371">
        <v>15.38</v>
      </c>
      <c r="OIU181" s="371" t="e">
        <f>OIR181*OIS181*OIT181</f>
        <v>#DIV/0!</v>
      </c>
      <c r="OIV181" s="367" t="s">
        <v>206</v>
      </c>
      <c r="OIW181" s="367"/>
      <c r="OIX181" s="367"/>
      <c r="OIY181" s="368" t="s">
        <v>168</v>
      </c>
      <c r="OIZ181" s="369">
        <v>0.5</v>
      </c>
      <c r="OJA181" s="370" t="e">
        <f>10/OIW179</f>
        <v>#DIV/0!</v>
      </c>
      <c r="OJB181" s="371">
        <v>15.38</v>
      </c>
      <c r="OJC181" s="371" t="e">
        <f>OIZ181*OJA181*OJB181</f>
        <v>#DIV/0!</v>
      </c>
      <c r="OJD181" s="367" t="s">
        <v>206</v>
      </c>
      <c r="OJE181" s="367"/>
      <c r="OJF181" s="367"/>
      <c r="OJG181" s="368" t="s">
        <v>168</v>
      </c>
      <c r="OJH181" s="369">
        <v>0.5</v>
      </c>
      <c r="OJI181" s="370" t="e">
        <f>10/OJE179</f>
        <v>#DIV/0!</v>
      </c>
      <c r="OJJ181" s="371">
        <v>15.38</v>
      </c>
      <c r="OJK181" s="371" t="e">
        <f>OJH181*OJI181*OJJ181</f>
        <v>#DIV/0!</v>
      </c>
      <c r="OJL181" s="367" t="s">
        <v>206</v>
      </c>
      <c r="OJM181" s="367"/>
      <c r="OJN181" s="367"/>
      <c r="OJO181" s="368" t="s">
        <v>168</v>
      </c>
      <c r="OJP181" s="369">
        <v>0.5</v>
      </c>
      <c r="OJQ181" s="370" t="e">
        <f>10/OJM179</f>
        <v>#DIV/0!</v>
      </c>
      <c r="OJR181" s="371">
        <v>15.38</v>
      </c>
      <c r="OJS181" s="371" t="e">
        <f>OJP181*OJQ181*OJR181</f>
        <v>#DIV/0!</v>
      </c>
      <c r="OJT181" s="367" t="s">
        <v>206</v>
      </c>
      <c r="OJU181" s="367"/>
      <c r="OJV181" s="367"/>
      <c r="OJW181" s="368" t="s">
        <v>168</v>
      </c>
      <c r="OJX181" s="369">
        <v>0.5</v>
      </c>
      <c r="OJY181" s="370" t="e">
        <f>10/OJU179</f>
        <v>#DIV/0!</v>
      </c>
      <c r="OJZ181" s="371">
        <v>15.38</v>
      </c>
      <c r="OKA181" s="371" t="e">
        <f>OJX181*OJY181*OJZ181</f>
        <v>#DIV/0!</v>
      </c>
      <c r="OKB181" s="367" t="s">
        <v>206</v>
      </c>
      <c r="OKC181" s="367"/>
      <c r="OKD181" s="367"/>
      <c r="OKE181" s="368" t="s">
        <v>168</v>
      </c>
      <c r="OKF181" s="369">
        <v>0.5</v>
      </c>
      <c r="OKG181" s="370" t="e">
        <f>10/OKC179</f>
        <v>#DIV/0!</v>
      </c>
      <c r="OKH181" s="371">
        <v>15.38</v>
      </c>
      <c r="OKI181" s="371" t="e">
        <f>OKF181*OKG181*OKH181</f>
        <v>#DIV/0!</v>
      </c>
      <c r="OKJ181" s="367" t="s">
        <v>206</v>
      </c>
      <c r="OKK181" s="367"/>
      <c r="OKL181" s="367"/>
      <c r="OKM181" s="368" t="s">
        <v>168</v>
      </c>
      <c r="OKN181" s="369">
        <v>0.5</v>
      </c>
      <c r="OKO181" s="370" t="e">
        <f>10/OKK179</f>
        <v>#DIV/0!</v>
      </c>
      <c r="OKP181" s="371">
        <v>15.38</v>
      </c>
      <c r="OKQ181" s="371" t="e">
        <f>OKN181*OKO181*OKP181</f>
        <v>#DIV/0!</v>
      </c>
      <c r="OKR181" s="367" t="s">
        <v>206</v>
      </c>
      <c r="OKS181" s="367"/>
      <c r="OKT181" s="367"/>
      <c r="OKU181" s="368" t="s">
        <v>168</v>
      </c>
      <c r="OKV181" s="369">
        <v>0.5</v>
      </c>
      <c r="OKW181" s="370" t="e">
        <f>10/OKS179</f>
        <v>#DIV/0!</v>
      </c>
      <c r="OKX181" s="371">
        <v>15.38</v>
      </c>
      <c r="OKY181" s="371" t="e">
        <f>OKV181*OKW181*OKX181</f>
        <v>#DIV/0!</v>
      </c>
      <c r="OKZ181" s="367" t="s">
        <v>206</v>
      </c>
      <c r="OLA181" s="367"/>
      <c r="OLB181" s="367"/>
      <c r="OLC181" s="368" t="s">
        <v>168</v>
      </c>
      <c r="OLD181" s="369">
        <v>0.5</v>
      </c>
      <c r="OLE181" s="370" t="e">
        <f>10/OLA179</f>
        <v>#DIV/0!</v>
      </c>
      <c r="OLF181" s="371">
        <v>15.38</v>
      </c>
      <c r="OLG181" s="371" t="e">
        <f>OLD181*OLE181*OLF181</f>
        <v>#DIV/0!</v>
      </c>
      <c r="OLH181" s="367" t="s">
        <v>206</v>
      </c>
      <c r="OLI181" s="367"/>
      <c r="OLJ181" s="367"/>
      <c r="OLK181" s="368" t="s">
        <v>168</v>
      </c>
      <c r="OLL181" s="369">
        <v>0.5</v>
      </c>
      <c r="OLM181" s="370" t="e">
        <f>10/OLI179</f>
        <v>#DIV/0!</v>
      </c>
      <c r="OLN181" s="371">
        <v>15.38</v>
      </c>
      <c r="OLO181" s="371" t="e">
        <f>OLL181*OLM181*OLN181</f>
        <v>#DIV/0!</v>
      </c>
      <c r="OLP181" s="367" t="s">
        <v>206</v>
      </c>
      <c r="OLQ181" s="367"/>
      <c r="OLR181" s="367"/>
      <c r="OLS181" s="368" t="s">
        <v>168</v>
      </c>
      <c r="OLT181" s="369">
        <v>0.5</v>
      </c>
      <c r="OLU181" s="370" t="e">
        <f>10/OLQ179</f>
        <v>#DIV/0!</v>
      </c>
      <c r="OLV181" s="371">
        <v>15.38</v>
      </c>
      <c r="OLW181" s="371" t="e">
        <f>OLT181*OLU181*OLV181</f>
        <v>#DIV/0!</v>
      </c>
      <c r="OLX181" s="367" t="s">
        <v>206</v>
      </c>
      <c r="OLY181" s="367"/>
      <c r="OLZ181" s="367"/>
      <c r="OMA181" s="368" t="s">
        <v>168</v>
      </c>
      <c r="OMB181" s="369">
        <v>0.5</v>
      </c>
      <c r="OMC181" s="370" t="e">
        <f>10/OLY179</f>
        <v>#DIV/0!</v>
      </c>
      <c r="OMD181" s="371">
        <v>15.38</v>
      </c>
      <c r="OME181" s="371" t="e">
        <f>OMB181*OMC181*OMD181</f>
        <v>#DIV/0!</v>
      </c>
      <c r="OMF181" s="367" t="s">
        <v>206</v>
      </c>
      <c r="OMG181" s="367"/>
      <c r="OMH181" s="367"/>
      <c r="OMI181" s="368" t="s">
        <v>168</v>
      </c>
      <c r="OMJ181" s="369">
        <v>0.5</v>
      </c>
      <c r="OMK181" s="370" t="e">
        <f>10/OMG179</f>
        <v>#DIV/0!</v>
      </c>
      <c r="OML181" s="371">
        <v>15.38</v>
      </c>
      <c r="OMM181" s="371" t="e">
        <f>OMJ181*OMK181*OML181</f>
        <v>#DIV/0!</v>
      </c>
      <c r="OMN181" s="367" t="s">
        <v>206</v>
      </c>
      <c r="OMO181" s="367"/>
      <c r="OMP181" s="367"/>
      <c r="OMQ181" s="368" t="s">
        <v>168</v>
      </c>
      <c r="OMR181" s="369">
        <v>0.5</v>
      </c>
      <c r="OMS181" s="370" t="e">
        <f>10/OMO179</f>
        <v>#DIV/0!</v>
      </c>
      <c r="OMT181" s="371">
        <v>15.38</v>
      </c>
      <c r="OMU181" s="371" t="e">
        <f>OMR181*OMS181*OMT181</f>
        <v>#DIV/0!</v>
      </c>
      <c r="OMV181" s="367" t="s">
        <v>206</v>
      </c>
      <c r="OMW181" s="367"/>
      <c r="OMX181" s="367"/>
      <c r="OMY181" s="368" t="s">
        <v>168</v>
      </c>
      <c r="OMZ181" s="369">
        <v>0.5</v>
      </c>
      <c r="ONA181" s="370" t="e">
        <f>10/OMW179</f>
        <v>#DIV/0!</v>
      </c>
      <c r="ONB181" s="371">
        <v>15.38</v>
      </c>
      <c r="ONC181" s="371" t="e">
        <f>OMZ181*ONA181*ONB181</f>
        <v>#DIV/0!</v>
      </c>
      <c r="OND181" s="367" t="s">
        <v>206</v>
      </c>
      <c r="ONE181" s="367"/>
      <c r="ONF181" s="367"/>
      <c r="ONG181" s="368" t="s">
        <v>168</v>
      </c>
      <c r="ONH181" s="369">
        <v>0.5</v>
      </c>
      <c r="ONI181" s="370" t="e">
        <f>10/ONE179</f>
        <v>#DIV/0!</v>
      </c>
      <c r="ONJ181" s="371">
        <v>15.38</v>
      </c>
      <c r="ONK181" s="371" t="e">
        <f>ONH181*ONI181*ONJ181</f>
        <v>#DIV/0!</v>
      </c>
      <c r="ONL181" s="367" t="s">
        <v>206</v>
      </c>
      <c r="ONM181" s="367"/>
      <c r="ONN181" s="367"/>
      <c r="ONO181" s="368" t="s">
        <v>168</v>
      </c>
      <c r="ONP181" s="369">
        <v>0.5</v>
      </c>
      <c r="ONQ181" s="370" t="e">
        <f>10/ONM179</f>
        <v>#DIV/0!</v>
      </c>
      <c r="ONR181" s="371">
        <v>15.38</v>
      </c>
      <c r="ONS181" s="371" t="e">
        <f>ONP181*ONQ181*ONR181</f>
        <v>#DIV/0!</v>
      </c>
      <c r="ONT181" s="367" t="s">
        <v>206</v>
      </c>
      <c r="ONU181" s="367"/>
      <c r="ONV181" s="367"/>
      <c r="ONW181" s="368" t="s">
        <v>168</v>
      </c>
      <c r="ONX181" s="369">
        <v>0.5</v>
      </c>
      <c r="ONY181" s="370" t="e">
        <f>10/ONU179</f>
        <v>#DIV/0!</v>
      </c>
      <c r="ONZ181" s="371">
        <v>15.38</v>
      </c>
      <c r="OOA181" s="371" t="e">
        <f>ONX181*ONY181*ONZ181</f>
        <v>#DIV/0!</v>
      </c>
      <c r="OOB181" s="367" t="s">
        <v>206</v>
      </c>
      <c r="OOC181" s="367"/>
      <c r="OOD181" s="367"/>
      <c r="OOE181" s="368" t="s">
        <v>168</v>
      </c>
      <c r="OOF181" s="369">
        <v>0.5</v>
      </c>
      <c r="OOG181" s="370" t="e">
        <f>10/OOC179</f>
        <v>#DIV/0!</v>
      </c>
      <c r="OOH181" s="371">
        <v>15.38</v>
      </c>
      <c r="OOI181" s="371" t="e">
        <f>OOF181*OOG181*OOH181</f>
        <v>#DIV/0!</v>
      </c>
      <c r="OOJ181" s="367" t="s">
        <v>206</v>
      </c>
      <c r="OOK181" s="367"/>
      <c r="OOL181" s="367"/>
      <c r="OOM181" s="368" t="s">
        <v>168</v>
      </c>
      <c r="OON181" s="369">
        <v>0.5</v>
      </c>
      <c r="OOO181" s="370" t="e">
        <f>10/OOK179</f>
        <v>#DIV/0!</v>
      </c>
      <c r="OOP181" s="371">
        <v>15.38</v>
      </c>
      <c r="OOQ181" s="371" t="e">
        <f>OON181*OOO181*OOP181</f>
        <v>#DIV/0!</v>
      </c>
      <c r="OOR181" s="367" t="s">
        <v>206</v>
      </c>
      <c r="OOS181" s="367"/>
      <c r="OOT181" s="367"/>
      <c r="OOU181" s="368" t="s">
        <v>168</v>
      </c>
      <c r="OOV181" s="369">
        <v>0.5</v>
      </c>
      <c r="OOW181" s="370" t="e">
        <f>10/OOS179</f>
        <v>#DIV/0!</v>
      </c>
      <c r="OOX181" s="371">
        <v>15.38</v>
      </c>
      <c r="OOY181" s="371" t="e">
        <f>OOV181*OOW181*OOX181</f>
        <v>#DIV/0!</v>
      </c>
      <c r="OOZ181" s="367" t="s">
        <v>206</v>
      </c>
      <c r="OPA181" s="367"/>
      <c r="OPB181" s="367"/>
      <c r="OPC181" s="368" t="s">
        <v>168</v>
      </c>
      <c r="OPD181" s="369">
        <v>0.5</v>
      </c>
      <c r="OPE181" s="370" t="e">
        <f>10/OPA179</f>
        <v>#DIV/0!</v>
      </c>
      <c r="OPF181" s="371">
        <v>15.38</v>
      </c>
      <c r="OPG181" s="371" t="e">
        <f>OPD181*OPE181*OPF181</f>
        <v>#DIV/0!</v>
      </c>
      <c r="OPH181" s="367" t="s">
        <v>206</v>
      </c>
      <c r="OPI181" s="367"/>
      <c r="OPJ181" s="367"/>
      <c r="OPK181" s="368" t="s">
        <v>168</v>
      </c>
      <c r="OPL181" s="369">
        <v>0.5</v>
      </c>
      <c r="OPM181" s="370" t="e">
        <f>10/OPI179</f>
        <v>#DIV/0!</v>
      </c>
      <c r="OPN181" s="371">
        <v>15.38</v>
      </c>
      <c r="OPO181" s="371" t="e">
        <f>OPL181*OPM181*OPN181</f>
        <v>#DIV/0!</v>
      </c>
      <c r="OPP181" s="367" t="s">
        <v>206</v>
      </c>
      <c r="OPQ181" s="367"/>
      <c r="OPR181" s="367"/>
      <c r="OPS181" s="368" t="s">
        <v>168</v>
      </c>
      <c r="OPT181" s="369">
        <v>0.5</v>
      </c>
      <c r="OPU181" s="370" t="e">
        <f>10/OPQ179</f>
        <v>#DIV/0!</v>
      </c>
      <c r="OPV181" s="371">
        <v>15.38</v>
      </c>
      <c r="OPW181" s="371" t="e">
        <f>OPT181*OPU181*OPV181</f>
        <v>#DIV/0!</v>
      </c>
      <c r="OPX181" s="367" t="s">
        <v>206</v>
      </c>
      <c r="OPY181" s="367"/>
      <c r="OPZ181" s="367"/>
      <c r="OQA181" s="368" t="s">
        <v>168</v>
      </c>
      <c r="OQB181" s="369">
        <v>0.5</v>
      </c>
      <c r="OQC181" s="370" t="e">
        <f>10/OPY179</f>
        <v>#DIV/0!</v>
      </c>
      <c r="OQD181" s="371">
        <v>15.38</v>
      </c>
      <c r="OQE181" s="371" t="e">
        <f>OQB181*OQC181*OQD181</f>
        <v>#DIV/0!</v>
      </c>
      <c r="OQF181" s="367" t="s">
        <v>206</v>
      </c>
      <c r="OQG181" s="367"/>
      <c r="OQH181" s="367"/>
      <c r="OQI181" s="368" t="s">
        <v>168</v>
      </c>
      <c r="OQJ181" s="369">
        <v>0.5</v>
      </c>
      <c r="OQK181" s="370" t="e">
        <f>10/OQG179</f>
        <v>#DIV/0!</v>
      </c>
      <c r="OQL181" s="371">
        <v>15.38</v>
      </c>
      <c r="OQM181" s="371" t="e">
        <f>OQJ181*OQK181*OQL181</f>
        <v>#DIV/0!</v>
      </c>
      <c r="OQN181" s="367" t="s">
        <v>206</v>
      </c>
      <c r="OQO181" s="367"/>
      <c r="OQP181" s="367"/>
      <c r="OQQ181" s="368" t="s">
        <v>168</v>
      </c>
      <c r="OQR181" s="369">
        <v>0.5</v>
      </c>
      <c r="OQS181" s="370" t="e">
        <f>10/OQO179</f>
        <v>#DIV/0!</v>
      </c>
      <c r="OQT181" s="371">
        <v>15.38</v>
      </c>
      <c r="OQU181" s="371" t="e">
        <f>OQR181*OQS181*OQT181</f>
        <v>#DIV/0!</v>
      </c>
      <c r="OQV181" s="367" t="s">
        <v>206</v>
      </c>
      <c r="OQW181" s="367"/>
      <c r="OQX181" s="367"/>
      <c r="OQY181" s="368" t="s">
        <v>168</v>
      </c>
      <c r="OQZ181" s="369">
        <v>0.5</v>
      </c>
      <c r="ORA181" s="370" t="e">
        <f>10/OQW179</f>
        <v>#DIV/0!</v>
      </c>
      <c r="ORB181" s="371">
        <v>15.38</v>
      </c>
      <c r="ORC181" s="371" t="e">
        <f>OQZ181*ORA181*ORB181</f>
        <v>#DIV/0!</v>
      </c>
      <c r="ORD181" s="367" t="s">
        <v>206</v>
      </c>
      <c r="ORE181" s="367"/>
      <c r="ORF181" s="367"/>
      <c r="ORG181" s="368" t="s">
        <v>168</v>
      </c>
      <c r="ORH181" s="369">
        <v>0.5</v>
      </c>
      <c r="ORI181" s="370" t="e">
        <f>10/ORE179</f>
        <v>#DIV/0!</v>
      </c>
      <c r="ORJ181" s="371">
        <v>15.38</v>
      </c>
      <c r="ORK181" s="371" t="e">
        <f>ORH181*ORI181*ORJ181</f>
        <v>#DIV/0!</v>
      </c>
      <c r="ORL181" s="367" t="s">
        <v>206</v>
      </c>
      <c r="ORM181" s="367"/>
      <c r="ORN181" s="367"/>
      <c r="ORO181" s="368" t="s">
        <v>168</v>
      </c>
      <c r="ORP181" s="369">
        <v>0.5</v>
      </c>
      <c r="ORQ181" s="370" t="e">
        <f>10/ORM179</f>
        <v>#DIV/0!</v>
      </c>
      <c r="ORR181" s="371">
        <v>15.38</v>
      </c>
      <c r="ORS181" s="371" t="e">
        <f>ORP181*ORQ181*ORR181</f>
        <v>#DIV/0!</v>
      </c>
      <c r="ORT181" s="367" t="s">
        <v>206</v>
      </c>
      <c r="ORU181" s="367"/>
      <c r="ORV181" s="367"/>
      <c r="ORW181" s="368" t="s">
        <v>168</v>
      </c>
      <c r="ORX181" s="369">
        <v>0.5</v>
      </c>
      <c r="ORY181" s="370" t="e">
        <f>10/ORU179</f>
        <v>#DIV/0!</v>
      </c>
      <c r="ORZ181" s="371">
        <v>15.38</v>
      </c>
      <c r="OSA181" s="371" t="e">
        <f>ORX181*ORY181*ORZ181</f>
        <v>#DIV/0!</v>
      </c>
      <c r="OSB181" s="367" t="s">
        <v>206</v>
      </c>
      <c r="OSC181" s="367"/>
      <c r="OSD181" s="367"/>
      <c r="OSE181" s="368" t="s">
        <v>168</v>
      </c>
      <c r="OSF181" s="369">
        <v>0.5</v>
      </c>
      <c r="OSG181" s="370" t="e">
        <f>10/OSC179</f>
        <v>#DIV/0!</v>
      </c>
      <c r="OSH181" s="371">
        <v>15.38</v>
      </c>
      <c r="OSI181" s="371" t="e">
        <f>OSF181*OSG181*OSH181</f>
        <v>#DIV/0!</v>
      </c>
      <c r="OSJ181" s="367" t="s">
        <v>206</v>
      </c>
      <c r="OSK181" s="367"/>
      <c r="OSL181" s="367"/>
      <c r="OSM181" s="368" t="s">
        <v>168</v>
      </c>
      <c r="OSN181" s="369">
        <v>0.5</v>
      </c>
      <c r="OSO181" s="370" t="e">
        <f>10/OSK179</f>
        <v>#DIV/0!</v>
      </c>
      <c r="OSP181" s="371">
        <v>15.38</v>
      </c>
      <c r="OSQ181" s="371" t="e">
        <f>OSN181*OSO181*OSP181</f>
        <v>#DIV/0!</v>
      </c>
      <c r="OSR181" s="367" t="s">
        <v>206</v>
      </c>
      <c r="OSS181" s="367"/>
      <c r="OST181" s="367"/>
      <c r="OSU181" s="368" t="s">
        <v>168</v>
      </c>
      <c r="OSV181" s="369">
        <v>0.5</v>
      </c>
      <c r="OSW181" s="370" t="e">
        <f>10/OSS179</f>
        <v>#DIV/0!</v>
      </c>
      <c r="OSX181" s="371">
        <v>15.38</v>
      </c>
      <c r="OSY181" s="371" t="e">
        <f>OSV181*OSW181*OSX181</f>
        <v>#DIV/0!</v>
      </c>
      <c r="OSZ181" s="367" t="s">
        <v>206</v>
      </c>
      <c r="OTA181" s="367"/>
      <c r="OTB181" s="367"/>
      <c r="OTC181" s="368" t="s">
        <v>168</v>
      </c>
      <c r="OTD181" s="369">
        <v>0.5</v>
      </c>
      <c r="OTE181" s="370" t="e">
        <f>10/OTA179</f>
        <v>#DIV/0!</v>
      </c>
      <c r="OTF181" s="371">
        <v>15.38</v>
      </c>
      <c r="OTG181" s="371" t="e">
        <f>OTD181*OTE181*OTF181</f>
        <v>#DIV/0!</v>
      </c>
      <c r="OTH181" s="367" t="s">
        <v>206</v>
      </c>
      <c r="OTI181" s="367"/>
      <c r="OTJ181" s="367"/>
      <c r="OTK181" s="368" t="s">
        <v>168</v>
      </c>
      <c r="OTL181" s="369">
        <v>0.5</v>
      </c>
      <c r="OTM181" s="370" t="e">
        <f>10/OTI179</f>
        <v>#DIV/0!</v>
      </c>
      <c r="OTN181" s="371">
        <v>15.38</v>
      </c>
      <c r="OTO181" s="371" t="e">
        <f>OTL181*OTM181*OTN181</f>
        <v>#DIV/0!</v>
      </c>
      <c r="OTP181" s="367" t="s">
        <v>206</v>
      </c>
      <c r="OTQ181" s="367"/>
      <c r="OTR181" s="367"/>
      <c r="OTS181" s="368" t="s">
        <v>168</v>
      </c>
      <c r="OTT181" s="369">
        <v>0.5</v>
      </c>
      <c r="OTU181" s="370" t="e">
        <f>10/OTQ179</f>
        <v>#DIV/0!</v>
      </c>
      <c r="OTV181" s="371">
        <v>15.38</v>
      </c>
      <c r="OTW181" s="371" t="e">
        <f>OTT181*OTU181*OTV181</f>
        <v>#DIV/0!</v>
      </c>
      <c r="OTX181" s="367" t="s">
        <v>206</v>
      </c>
      <c r="OTY181" s="367"/>
      <c r="OTZ181" s="367"/>
      <c r="OUA181" s="368" t="s">
        <v>168</v>
      </c>
      <c r="OUB181" s="369">
        <v>0.5</v>
      </c>
      <c r="OUC181" s="370" t="e">
        <f>10/OTY179</f>
        <v>#DIV/0!</v>
      </c>
      <c r="OUD181" s="371">
        <v>15.38</v>
      </c>
      <c r="OUE181" s="371" t="e">
        <f>OUB181*OUC181*OUD181</f>
        <v>#DIV/0!</v>
      </c>
      <c r="OUF181" s="367" t="s">
        <v>206</v>
      </c>
      <c r="OUG181" s="367"/>
      <c r="OUH181" s="367"/>
      <c r="OUI181" s="368" t="s">
        <v>168</v>
      </c>
      <c r="OUJ181" s="369">
        <v>0.5</v>
      </c>
      <c r="OUK181" s="370" t="e">
        <f>10/OUG179</f>
        <v>#DIV/0!</v>
      </c>
      <c r="OUL181" s="371">
        <v>15.38</v>
      </c>
      <c r="OUM181" s="371" t="e">
        <f>OUJ181*OUK181*OUL181</f>
        <v>#DIV/0!</v>
      </c>
      <c r="OUN181" s="367" t="s">
        <v>206</v>
      </c>
      <c r="OUO181" s="367"/>
      <c r="OUP181" s="367"/>
      <c r="OUQ181" s="368" t="s">
        <v>168</v>
      </c>
      <c r="OUR181" s="369">
        <v>0.5</v>
      </c>
      <c r="OUS181" s="370" t="e">
        <f>10/OUO179</f>
        <v>#DIV/0!</v>
      </c>
      <c r="OUT181" s="371">
        <v>15.38</v>
      </c>
      <c r="OUU181" s="371" t="e">
        <f>OUR181*OUS181*OUT181</f>
        <v>#DIV/0!</v>
      </c>
      <c r="OUV181" s="367" t="s">
        <v>206</v>
      </c>
      <c r="OUW181" s="367"/>
      <c r="OUX181" s="367"/>
      <c r="OUY181" s="368" t="s">
        <v>168</v>
      </c>
      <c r="OUZ181" s="369">
        <v>0.5</v>
      </c>
      <c r="OVA181" s="370" t="e">
        <f>10/OUW179</f>
        <v>#DIV/0!</v>
      </c>
      <c r="OVB181" s="371">
        <v>15.38</v>
      </c>
      <c r="OVC181" s="371" t="e">
        <f>OUZ181*OVA181*OVB181</f>
        <v>#DIV/0!</v>
      </c>
      <c r="OVD181" s="367" t="s">
        <v>206</v>
      </c>
      <c r="OVE181" s="367"/>
      <c r="OVF181" s="367"/>
      <c r="OVG181" s="368" t="s">
        <v>168</v>
      </c>
      <c r="OVH181" s="369">
        <v>0.5</v>
      </c>
      <c r="OVI181" s="370" t="e">
        <f>10/OVE179</f>
        <v>#DIV/0!</v>
      </c>
      <c r="OVJ181" s="371">
        <v>15.38</v>
      </c>
      <c r="OVK181" s="371" t="e">
        <f>OVH181*OVI181*OVJ181</f>
        <v>#DIV/0!</v>
      </c>
      <c r="OVL181" s="367" t="s">
        <v>206</v>
      </c>
      <c r="OVM181" s="367"/>
      <c r="OVN181" s="367"/>
      <c r="OVO181" s="368" t="s">
        <v>168</v>
      </c>
      <c r="OVP181" s="369">
        <v>0.5</v>
      </c>
      <c r="OVQ181" s="370" t="e">
        <f>10/OVM179</f>
        <v>#DIV/0!</v>
      </c>
      <c r="OVR181" s="371">
        <v>15.38</v>
      </c>
      <c r="OVS181" s="371" t="e">
        <f>OVP181*OVQ181*OVR181</f>
        <v>#DIV/0!</v>
      </c>
      <c r="OVT181" s="367" t="s">
        <v>206</v>
      </c>
      <c r="OVU181" s="367"/>
      <c r="OVV181" s="367"/>
      <c r="OVW181" s="368" t="s">
        <v>168</v>
      </c>
      <c r="OVX181" s="369">
        <v>0.5</v>
      </c>
      <c r="OVY181" s="370" t="e">
        <f>10/OVU179</f>
        <v>#DIV/0!</v>
      </c>
      <c r="OVZ181" s="371">
        <v>15.38</v>
      </c>
      <c r="OWA181" s="371" t="e">
        <f>OVX181*OVY181*OVZ181</f>
        <v>#DIV/0!</v>
      </c>
      <c r="OWB181" s="367" t="s">
        <v>206</v>
      </c>
      <c r="OWC181" s="367"/>
      <c r="OWD181" s="367"/>
      <c r="OWE181" s="368" t="s">
        <v>168</v>
      </c>
      <c r="OWF181" s="369">
        <v>0.5</v>
      </c>
      <c r="OWG181" s="370" t="e">
        <f>10/OWC179</f>
        <v>#DIV/0!</v>
      </c>
      <c r="OWH181" s="371">
        <v>15.38</v>
      </c>
      <c r="OWI181" s="371" t="e">
        <f>OWF181*OWG181*OWH181</f>
        <v>#DIV/0!</v>
      </c>
      <c r="OWJ181" s="367" t="s">
        <v>206</v>
      </c>
      <c r="OWK181" s="367"/>
      <c r="OWL181" s="367"/>
      <c r="OWM181" s="368" t="s">
        <v>168</v>
      </c>
      <c r="OWN181" s="369">
        <v>0.5</v>
      </c>
      <c r="OWO181" s="370" t="e">
        <f>10/OWK179</f>
        <v>#DIV/0!</v>
      </c>
      <c r="OWP181" s="371">
        <v>15.38</v>
      </c>
      <c r="OWQ181" s="371" t="e">
        <f>OWN181*OWO181*OWP181</f>
        <v>#DIV/0!</v>
      </c>
      <c r="OWR181" s="367" t="s">
        <v>206</v>
      </c>
      <c r="OWS181" s="367"/>
      <c r="OWT181" s="367"/>
      <c r="OWU181" s="368" t="s">
        <v>168</v>
      </c>
      <c r="OWV181" s="369">
        <v>0.5</v>
      </c>
      <c r="OWW181" s="370" t="e">
        <f>10/OWS179</f>
        <v>#DIV/0!</v>
      </c>
      <c r="OWX181" s="371">
        <v>15.38</v>
      </c>
      <c r="OWY181" s="371" t="e">
        <f>OWV181*OWW181*OWX181</f>
        <v>#DIV/0!</v>
      </c>
      <c r="OWZ181" s="367" t="s">
        <v>206</v>
      </c>
      <c r="OXA181" s="367"/>
      <c r="OXB181" s="367"/>
      <c r="OXC181" s="368" t="s">
        <v>168</v>
      </c>
      <c r="OXD181" s="369">
        <v>0.5</v>
      </c>
      <c r="OXE181" s="370" t="e">
        <f>10/OXA179</f>
        <v>#DIV/0!</v>
      </c>
      <c r="OXF181" s="371">
        <v>15.38</v>
      </c>
      <c r="OXG181" s="371" t="e">
        <f>OXD181*OXE181*OXF181</f>
        <v>#DIV/0!</v>
      </c>
      <c r="OXH181" s="367" t="s">
        <v>206</v>
      </c>
      <c r="OXI181" s="367"/>
      <c r="OXJ181" s="367"/>
      <c r="OXK181" s="368" t="s">
        <v>168</v>
      </c>
      <c r="OXL181" s="369">
        <v>0.5</v>
      </c>
      <c r="OXM181" s="370" t="e">
        <f>10/OXI179</f>
        <v>#DIV/0!</v>
      </c>
      <c r="OXN181" s="371">
        <v>15.38</v>
      </c>
      <c r="OXO181" s="371" t="e">
        <f>OXL181*OXM181*OXN181</f>
        <v>#DIV/0!</v>
      </c>
      <c r="OXP181" s="367" t="s">
        <v>206</v>
      </c>
      <c r="OXQ181" s="367"/>
      <c r="OXR181" s="367"/>
      <c r="OXS181" s="368" t="s">
        <v>168</v>
      </c>
      <c r="OXT181" s="369">
        <v>0.5</v>
      </c>
      <c r="OXU181" s="370" t="e">
        <f>10/OXQ179</f>
        <v>#DIV/0!</v>
      </c>
      <c r="OXV181" s="371">
        <v>15.38</v>
      </c>
      <c r="OXW181" s="371" t="e">
        <f>OXT181*OXU181*OXV181</f>
        <v>#DIV/0!</v>
      </c>
      <c r="OXX181" s="367" t="s">
        <v>206</v>
      </c>
      <c r="OXY181" s="367"/>
      <c r="OXZ181" s="367"/>
      <c r="OYA181" s="368" t="s">
        <v>168</v>
      </c>
      <c r="OYB181" s="369">
        <v>0.5</v>
      </c>
      <c r="OYC181" s="370" t="e">
        <f>10/OXY179</f>
        <v>#DIV/0!</v>
      </c>
      <c r="OYD181" s="371">
        <v>15.38</v>
      </c>
      <c r="OYE181" s="371" t="e">
        <f>OYB181*OYC181*OYD181</f>
        <v>#DIV/0!</v>
      </c>
      <c r="OYF181" s="367" t="s">
        <v>206</v>
      </c>
      <c r="OYG181" s="367"/>
      <c r="OYH181" s="367"/>
      <c r="OYI181" s="368" t="s">
        <v>168</v>
      </c>
      <c r="OYJ181" s="369">
        <v>0.5</v>
      </c>
      <c r="OYK181" s="370" t="e">
        <f>10/OYG179</f>
        <v>#DIV/0!</v>
      </c>
      <c r="OYL181" s="371">
        <v>15.38</v>
      </c>
      <c r="OYM181" s="371" t="e">
        <f>OYJ181*OYK181*OYL181</f>
        <v>#DIV/0!</v>
      </c>
      <c r="OYN181" s="367" t="s">
        <v>206</v>
      </c>
      <c r="OYO181" s="367"/>
      <c r="OYP181" s="367"/>
      <c r="OYQ181" s="368" t="s">
        <v>168</v>
      </c>
      <c r="OYR181" s="369">
        <v>0.5</v>
      </c>
      <c r="OYS181" s="370" t="e">
        <f>10/OYO179</f>
        <v>#DIV/0!</v>
      </c>
      <c r="OYT181" s="371">
        <v>15.38</v>
      </c>
      <c r="OYU181" s="371" t="e">
        <f>OYR181*OYS181*OYT181</f>
        <v>#DIV/0!</v>
      </c>
      <c r="OYV181" s="367" t="s">
        <v>206</v>
      </c>
      <c r="OYW181" s="367"/>
      <c r="OYX181" s="367"/>
      <c r="OYY181" s="368" t="s">
        <v>168</v>
      </c>
      <c r="OYZ181" s="369">
        <v>0.5</v>
      </c>
      <c r="OZA181" s="370" t="e">
        <f>10/OYW179</f>
        <v>#DIV/0!</v>
      </c>
      <c r="OZB181" s="371">
        <v>15.38</v>
      </c>
      <c r="OZC181" s="371" t="e">
        <f>OYZ181*OZA181*OZB181</f>
        <v>#DIV/0!</v>
      </c>
      <c r="OZD181" s="367" t="s">
        <v>206</v>
      </c>
      <c r="OZE181" s="367"/>
      <c r="OZF181" s="367"/>
      <c r="OZG181" s="368" t="s">
        <v>168</v>
      </c>
      <c r="OZH181" s="369">
        <v>0.5</v>
      </c>
      <c r="OZI181" s="370" t="e">
        <f>10/OZE179</f>
        <v>#DIV/0!</v>
      </c>
      <c r="OZJ181" s="371">
        <v>15.38</v>
      </c>
      <c r="OZK181" s="371" t="e">
        <f>OZH181*OZI181*OZJ181</f>
        <v>#DIV/0!</v>
      </c>
      <c r="OZL181" s="367" t="s">
        <v>206</v>
      </c>
      <c r="OZM181" s="367"/>
      <c r="OZN181" s="367"/>
      <c r="OZO181" s="368" t="s">
        <v>168</v>
      </c>
      <c r="OZP181" s="369">
        <v>0.5</v>
      </c>
      <c r="OZQ181" s="370" t="e">
        <f>10/OZM179</f>
        <v>#DIV/0!</v>
      </c>
      <c r="OZR181" s="371">
        <v>15.38</v>
      </c>
      <c r="OZS181" s="371" t="e">
        <f>OZP181*OZQ181*OZR181</f>
        <v>#DIV/0!</v>
      </c>
      <c r="OZT181" s="367" t="s">
        <v>206</v>
      </c>
      <c r="OZU181" s="367"/>
      <c r="OZV181" s="367"/>
      <c r="OZW181" s="368" t="s">
        <v>168</v>
      </c>
      <c r="OZX181" s="369">
        <v>0.5</v>
      </c>
      <c r="OZY181" s="370" t="e">
        <f>10/OZU179</f>
        <v>#DIV/0!</v>
      </c>
      <c r="OZZ181" s="371">
        <v>15.38</v>
      </c>
      <c r="PAA181" s="371" t="e">
        <f>OZX181*OZY181*OZZ181</f>
        <v>#DIV/0!</v>
      </c>
      <c r="PAB181" s="367" t="s">
        <v>206</v>
      </c>
      <c r="PAC181" s="367"/>
      <c r="PAD181" s="367"/>
      <c r="PAE181" s="368" t="s">
        <v>168</v>
      </c>
      <c r="PAF181" s="369">
        <v>0.5</v>
      </c>
      <c r="PAG181" s="370" t="e">
        <f>10/PAC179</f>
        <v>#DIV/0!</v>
      </c>
      <c r="PAH181" s="371">
        <v>15.38</v>
      </c>
      <c r="PAI181" s="371" t="e">
        <f>PAF181*PAG181*PAH181</f>
        <v>#DIV/0!</v>
      </c>
      <c r="PAJ181" s="367" t="s">
        <v>206</v>
      </c>
      <c r="PAK181" s="367"/>
      <c r="PAL181" s="367"/>
      <c r="PAM181" s="368" t="s">
        <v>168</v>
      </c>
      <c r="PAN181" s="369">
        <v>0.5</v>
      </c>
      <c r="PAO181" s="370" t="e">
        <f>10/PAK179</f>
        <v>#DIV/0!</v>
      </c>
      <c r="PAP181" s="371">
        <v>15.38</v>
      </c>
      <c r="PAQ181" s="371" t="e">
        <f>PAN181*PAO181*PAP181</f>
        <v>#DIV/0!</v>
      </c>
      <c r="PAR181" s="367" t="s">
        <v>206</v>
      </c>
      <c r="PAS181" s="367"/>
      <c r="PAT181" s="367"/>
      <c r="PAU181" s="368" t="s">
        <v>168</v>
      </c>
      <c r="PAV181" s="369">
        <v>0.5</v>
      </c>
      <c r="PAW181" s="370" t="e">
        <f>10/PAS179</f>
        <v>#DIV/0!</v>
      </c>
      <c r="PAX181" s="371">
        <v>15.38</v>
      </c>
      <c r="PAY181" s="371" t="e">
        <f>PAV181*PAW181*PAX181</f>
        <v>#DIV/0!</v>
      </c>
      <c r="PAZ181" s="367" t="s">
        <v>206</v>
      </c>
      <c r="PBA181" s="367"/>
      <c r="PBB181" s="367"/>
      <c r="PBC181" s="368" t="s">
        <v>168</v>
      </c>
      <c r="PBD181" s="369">
        <v>0.5</v>
      </c>
      <c r="PBE181" s="370" t="e">
        <f>10/PBA179</f>
        <v>#DIV/0!</v>
      </c>
      <c r="PBF181" s="371">
        <v>15.38</v>
      </c>
      <c r="PBG181" s="371" t="e">
        <f>PBD181*PBE181*PBF181</f>
        <v>#DIV/0!</v>
      </c>
      <c r="PBH181" s="367" t="s">
        <v>206</v>
      </c>
      <c r="PBI181" s="367"/>
      <c r="PBJ181" s="367"/>
      <c r="PBK181" s="368" t="s">
        <v>168</v>
      </c>
      <c r="PBL181" s="369">
        <v>0.5</v>
      </c>
      <c r="PBM181" s="370" t="e">
        <f>10/PBI179</f>
        <v>#DIV/0!</v>
      </c>
      <c r="PBN181" s="371">
        <v>15.38</v>
      </c>
      <c r="PBO181" s="371" t="e">
        <f>PBL181*PBM181*PBN181</f>
        <v>#DIV/0!</v>
      </c>
      <c r="PBP181" s="367" t="s">
        <v>206</v>
      </c>
      <c r="PBQ181" s="367"/>
      <c r="PBR181" s="367"/>
      <c r="PBS181" s="368" t="s">
        <v>168</v>
      </c>
      <c r="PBT181" s="369">
        <v>0.5</v>
      </c>
      <c r="PBU181" s="370" t="e">
        <f>10/PBQ179</f>
        <v>#DIV/0!</v>
      </c>
      <c r="PBV181" s="371">
        <v>15.38</v>
      </c>
      <c r="PBW181" s="371" t="e">
        <f>PBT181*PBU181*PBV181</f>
        <v>#DIV/0!</v>
      </c>
      <c r="PBX181" s="367" t="s">
        <v>206</v>
      </c>
      <c r="PBY181" s="367"/>
      <c r="PBZ181" s="367"/>
      <c r="PCA181" s="368" t="s">
        <v>168</v>
      </c>
      <c r="PCB181" s="369">
        <v>0.5</v>
      </c>
      <c r="PCC181" s="370" t="e">
        <f>10/PBY179</f>
        <v>#DIV/0!</v>
      </c>
      <c r="PCD181" s="371">
        <v>15.38</v>
      </c>
      <c r="PCE181" s="371" t="e">
        <f>PCB181*PCC181*PCD181</f>
        <v>#DIV/0!</v>
      </c>
      <c r="PCF181" s="367" t="s">
        <v>206</v>
      </c>
      <c r="PCG181" s="367"/>
      <c r="PCH181" s="367"/>
      <c r="PCI181" s="368" t="s">
        <v>168</v>
      </c>
      <c r="PCJ181" s="369">
        <v>0.5</v>
      </c>
      <c r="PCK181" s="370" t="e">
        <f>10/PCG179</f>
        <v>#DIV/0!</v>
      </c>
      <c r="PCL181" s="371">
        <v>15.38</v>
      </c>
      <c r="PCM181" s="371" t="e">
        <f>PCJ181*PCK181*PCL181</f>
        <v>#DIV/0!</v>
      </c>
      <c r="PCN181" s="367" t="s">
        <v>206</v>
      </c>
      <c r="PCO181" s="367"/>
      <c r="PCP181" s="367"/>
      <c r="PCQ181" s="368" t="s">
        <v>168</v>
      </c>
      <c r="PCR181" s="369">
        <v>0.5</v>
      </c>
      <c r="PCS181" s="370" t="e">
        <f>10/PCO179</f>
        <v>#DIV/0!</v>
      </c>
      <c r="PCT181" s="371">
        <v>15.38</v>
      </c>
      <c r="PCU181" s="371" t="e">
        <f>PCR181*PCS181*PCT181</f>
        <v>#DIV/0!</v>
      </c>
      <c r="PCV181" s="367" t="s">
        <v>206</v>
      </c>
      <c r="PCW181" s="367"/>
      <c r="PCX181" s="367"/>
      <c r="PCY181" s="368" t="s">
        <v>168</v>
      </c>
      <c r="PCZ181" s="369">
        <v>0.5</v>
      </c>
      <c r="PDA181" s="370" t="e">
        <f>10/PCW179</f>
        <v>#DIV/0!</v>
      </c>
      <c r="PDB181" s="371">
        <v>15.38</v>
      </c>
      <c r="PDC181" s="371" t="e">
        <f>PCZ181*PDA181*PDB181</f>
        <v>#DIV/0!</v>
      </c>
      <c r="PDD181" s="367" t="s">
        <v>206</v>
      </c>
      <c r="PDE181" s="367"/>
      <c r="PDF181" s="367"/>
      <c r="PDG181" s="368" t="s">
        <v>168</v>
      </c>
      <c r="PDH181" s="369">
        <v>0.5</v>
      </c>
      <c r="PDI181" s="370" t="e">
        <f>10/PDE179</f>
        <v>#DIV/0!</v>
      </c>
      <c r="PDJ181" s="371">
        <v>15.38</v>
      </c>
      <c r="PDK181" s="371" t="e">
        <f>PDH181*PDI181*PDJ181</f>
        <v>#DIV/0!</v>
      </c>
      <c r="PDL181" s="367" t="s">
        <v>206</v>
      </c>
      <c r="PDM181" s="367"/>
      <c r="PDN181" s="367"/>
      <c r="PDO181" s="368" t="s">
        <v>168</v>
      </c>
      <c r="PDP181" s="369">
        <v>0.5</v>
      </c>
      <c r="PDQ181" s="370" t="e">
        <f>10/PDM179</f>
        <v>#DIV/0!</v>
      </c>
      <c r="PDR181" s="371">
        <v>15.38</v>
      </c>
      <c r="PDS181" s="371" t="e">
        <f>PDP181*PDQ181*PDR181</f>
        <v>#DIV/0!</v>
      </c>
      <c r="PDT181" s="367" t="s">
        <v>206</v>
      </c>
      <c r="PDU181" s="367"/>
      <c r="PDV181" s="367"/>
      <c r="PDW181" s="368" t="s">
        <v>168</v>
      </c>
      <c r="PDX181" s="369">
        <v>0.5</v>
      </c>
      <c r="PDY181" s="370" t="e">
        <f>10/PDU179</f>
        <v>#DIV/0!</v>
      </c>
      <c r="PDZ181" s="371">
        <v>15.38</v>
      </c>
      <c r="PEA181" s="371" t="e">
        <f>PDX181*PDY181*PDZ181</f>
        <v>#DIV/0!</v>
      </c>
      <c r="PEB181" s="367" t="s">
        <v>206</v>
      </c>
      <c r="PEC181" s="367"/>
      <c r="PED181" s="367"/>
      <c r="PEE181" s="368" t="s">
        <v>168</v>
      </c>
      <c r="PEF181" s="369">
        <v>0.5</v>
      </c>
      <c r="PEG181" s="370" t="e">
        <f>10/PEC179</f>
        <v>#DIV/0!</v>
      </c>
      <c r="PEH181" s="371">
        <v>15.38</v>
      </c>
      <c r="PEI181" s="371" t="e">
        <f>PEF181*PEG181*PEH181</f>
        <v>#DIV/0!</v>
      </c>
      <c r="PEJ181" s="367" t="s">
        <v>206</v>
      </c>
      <c r="PEK181" s="367"/>
      <c r="PEL181" s="367"/>
      <c r="PEM181" s="368" t="s">
        <v>168</v>
      </c>
      <c r="PEN181" s="369">
        <v>0.5</v>
      </c>
      <c r="PEO181" s="370" t="e">
        <f>10/PEK179</f>
        <v>#DIV/0!</v>
      </c>
      <c r="PEP181" s="371">
        <v>15.38</v>
      </c>
      <c r="PEQ181" s="371" t="e">
        <f>PEN181*PEO181*PEP181</f>
        <v>#DIV/0!</v>
      </c>
      <c r="PER181" s="367" t="s">
        <v>206</v>
      </c>
      <c r="PES181" s="367"/>
      <c r="PET181" s="367"/>
      <c r="PEU181" s="368" t="s">
        <v>168</v>
      </c>
      <c r="PEV181" s="369">
        <v>0.5</v>
      </c>
      <c r="PEW181" s="370" t="e">
        <f>10/PES179</f>
        <v>#DIV/0!</v>
      </c>
      <c r="PEX181" s="371">
        <v>15.38</v>
      </c>
      <c r="PEY181" s="371" t="e">
        <f>PEV181*PEW181*PEX181</f>
        <v>#DIV/0!</v>
      </c>
      <c r="PEZ181" s="367" t="s">
        <v>206</v>
      </c>
      <c r="PFA181" s="367"/>
      <c r="PFB181" s="367"/>
      <c r="PFC181" s="368" t="s">
        <v>168</v>
      </c>
      <c r="PFD181" s="369">
        <v>0.5</v>
      </c>
      <c r="PFE181" s="370" t="e">
        <f>10/PFA179</f>
        <v>#DIV/0!</v>
      </c>
      <c r="PFF181" s="371">
        <v>15.38</v>
      </c>
      <c r="PFG181" s="371" t="e">
        <f>PFD181*PFE181*PFF181</f>
        <v>#DIV/0!</v>
      </c>
      <c r="PFH181" s="367" t="s">
        <v>206</v>
      </c>
      <c r="PFI181" s="367"/>
      <c r="PFJ181" s="367"/>
      <c r="PFK181" s="368" t="s">
        <v>168</v>
      </c>
      <c r="PFL181" s="369">
        <v>0.5</v>
      </c>
      <c r="PFM181" s="370" t="e">
        <f>10/PFI179</f>
        <v>#DIV/0!</v>
      </c>
      <c r="PFN181" s="371">
        <v>15.38</v>
      </c>
      <c r="PFO181" s="371" t="e">
        <f>PFL181*PFM181*PFN181</f>
        <v>#DIV/0!</v>
      </c>
      <c r="PFP181" s="367" t="s">
        <v>206</v>
      </c>
      <c r="PFQ181" s="367"/>
      <c r="PFR181" s="367"/>
      <c r="PFS181" s="368" t="s">
        <v>168</v>
      </c>
      <c r="PFT181" s="369">
        <v>0.5</v>
      </c>
      <c r="PFU181" s="370" t="e">
        <f>10/PFQ179</f>
        <v>#DIV/0!</v>
      </c>
      <c r="PFV181" s="371">
        <v>15.38</v>
      </c>
      <c r="PFW181" s="371" t="e">
        <f>PFT181*PFU181*PFV181</f>
        <v>#DIV/0!</v>
      </c>
      <c r="PFX181" s="367" t="s">
        <v>206</v>
      </c>
      <c r="PFY181" s="367"/>
      <c r="PFZ181" s="367"/>
      <c r="PGA181" s="368" t="s">
        <v>168</v>
      </c>
      <c r="PGB181" s="369">
        <v>0.5</v>
      </c>
      <c r="PGC181" s="370" t="e">
        <f>10/PFY179</f>
        <v>#DIV/0!</v>
      </c>
      <c r="PGD181" s="371">
        <v>15.38</v>
      </c>
      <c r="PGE181" s="371" t="e">
        <f>PGB181*PGC181*PGD181</f>
        <v>#DIV/0!</v>
      </c>
      <c r="PGF181" s="367" t="s">
        <v>206</v>
      </c>
      <c r="PGG181" s="367"/>
      <c r="PGH181" s="367"/>
      <c r="PGI181" s="368" t="s">
        <v>168</v>
      </c>
      <c r="PGJ181" s="369">
        <v>0.5</v>
      </c>
      <c r="PGK181" s="370" t="e">
        <f>10/PGG179</f>
        <v>#DIV/0!</v>
      </c>
      <c r="PGL181" s="371">
        <v>15.38</v>
      </c>
      <c r="PGM181" s="371" t="e">
        <f>PGJ181*PGK181*PGL181</f>
        <v>#DIV/0!</v>
      </c>
      <c r="PGN181" s="367" t="s">
        <v>206</v>
      </c>
      <c r="PGO181" s="367"/>
      <c r="PGP181" s="367"/>
      <c r="PGQ181" s="368" t="s">
        <v>168</v>
      </c>
      <c r="PGR181" s="369">
        <v>0.5</v>
      </c>
      <c r="PGS181" s="370" t="e">
        <f>10/PGO179</f>
        <v>#DIV/0!</v>
      </c>
      <c r="PGT181" s="371">
        <v>15.38</v>
      </c>
      <c r="PGU181" s="371" t="e">
        <f>PGR181*PGS181*PGT181</f>
        <v>#DIV/0!</v>
      </c>
      <c r="PGV181" s="367" t="s">
        <v>206</v>
      </c>
      <c r="PGW181" s="367"/>
      <c r="PGX181" s="367"/>
      <c r="PGY181" s="368" t="s">
        <v>168</v>
      </c>
      <c r="PGZ181" s="369">
        <v>0.5</v>
      </c>
      <c r="PHA181" s="370" t="e">
        <f>10/PGW179</f>
        <v>#DIV/0!</v>
      </c>
      <c r="PHB181" s="371">
        <v>15.38</v>
      </c>
      <c r="PHC181" s="371" t="e">
        <f>PGZ181*PHA181*PHB181</f>
        <v>#DIV/0!</v>
      </c>
      <c r="PHD181" s="367" t="s">
        <v>206</v>
      </c>
      <c r="PHE181" s="367"/>
      <c r="PHF181" s="367"/>
      <c r="PHG181" s="368" t="s">
        <v>168</v>
      </c>
      <c r="PHH181" s="369">
        <v>0.5</v>
      </c>
      <c r="PHI181" s="370" t="e">
        <f>10/PHE179</f>
        <v>#DIV/0!</v>
      </c>
      <c r="PHJ181" s="371">
        <v>15.38</v>
      </c>
      <c r="PHK181" s="371" t="e">
        <f>PHH181*PHI181*PHJ181</f>
        <v>#DIV/0!</v>
      </c>
      <c r="PHL181" s="367" t="s">
        <v>206</v>
      </c>
      <c r="PHM181" s="367"/>
      <c r="PHN181" s="367"/>
      <c r="PHO181" s="368" t="s">
        <v>168</v>
      </c>
      <c r="PHP181" s="369">
        <v>0.5</v>
      </c>
      <c r="PHQ181" s="370" t="e">
        <f>10/PHM179</f>
        <v>#DIV/0!</v>
      </c>
      <c r="PHR181" s="371">
        <v>15.38</v>
      </c>
      <c r="PHS181" s="371" t="e">
        <f>PHP181*PHQ181*PHR181</f>
        <v>#DIV/0!</v>
      </c>
      <c r="PHT181" s="367" t="s">
        <v>206</v>
      </c>
      <c r="PHU181" s="367"/>
      <c r="PHV181" s="367"/>
      <c r="PHW181" s="368" t="s">
        <v>168</v>
      </c>
      <c r="PHX181" s="369">
        <v>0.5</v>
      </c>
      <c r="PHY181" s="370" t="e">
        <f>10/PHU179</f>
        <v>#DIV/0!</v>
      </c>
      <c r="PHZ181" s="371">
        <v>15.38</v>
      </c>
      <c r="PIA181" s="371" t="e">
        <f>PHX181*PHY181*PHZ181</f>
        <v>#DIV/0!</v>
      </c>
      <c r="PIB181" s="367" t="s">
        <v>206</v>
      </c>
      <c r="PIC181" s="367"/>
      <c r="PID181" s="367"/>
      <c r="PIE181" s="368" t="s">
        <v>168</v>
      </c>
      <c r="PIF181" s="369">
        <v>0.5</v>
      </c>
      <c r="PIG181" s="370" t="e">
        <f>10/PIC179</f>
        <v>#DIV/0!</v>
      </c>
      <c r="PIH181" s="371">
        <v>15.38</v>
      </c>
      <c r="PII181" s="371" t="e">
        <f>PIF181*PIG181*PIH181</f>
        <v>#DIV/0!</v>
      </c>
      <c r="PIJ181" s="367" t="s">
        <v>206</v>
      </c>
      <c r="PIK181" s="367"/>
      <c r="PIL181" s="367"/>
      <c r="PIM181" s="368" t="s">
        <v>168</v>
      </c>
      <c r="PIN181" s="369">
        <v>0.5</v>
      </c>
      <c r="PIO181" s="370" t="e">
        <f>10/PIK179</f>
        <v>#DIV/0!</v>
      </c>
      <c r="PIP181" s="371">
        <v>15.38</v>
      </c>
      <c r="PIQ181" s="371" t="e">
        <f>PIN181*PIO181*PIP181</f>
        <v>#DIV/0!</v>
      </c>
      <c r="PIR181" s="367" t="s">
        <v>206</v>
      </c>
      <c r="PIS181" s="367"/>
      <c r="PIT181" s="367"/>
      <c r="PIU181" s="368" t="s">
        <v>168</v>
      </c>
      <c r="PIV181" s="369">
        <v>0.5</v>
      </c>
      <c r="PIW181" s="370" t="e">
        <f>10/PIS179</f>
        <v>#DIV/0!</v>
      </c>
      <c r="PIX181" s="371">
        <v>15.38</v>
      </c>
      <c r="PIY181" s="371" t="e">
        <f>PIV181*PIW181*PIX181</f>
        <v>#DIV/0!</v>
      </c>
      <c r="PIZ181" s="367" t="s">
        <v>206</v>
      </c>
      <c r="PJA181" s="367"/>
      <c r="PJB181" s="367"/>
      <c r="PJC181" s="368" t="s">
        <v>168</v>
      </c>
      <c r="PJD181" s="369">
        <v>0.5</v>
      </c>
      <c r="PJE181" s="370" t="e">
        <f>10/PJA179</f>
        <v>#DIV/0!</v>
      </c>
      <c r="PJF181" s="371">
        <v>15.38</v>
      </c>
      <c r="PJG181" s="371" t="e">
        <f>PJD181*PJE181*PJF181</f>
        <v>#DIV/0!</v>
      </c>
      <c r="PJH181" s="367" t="s">
        <v>206</v>
      </c>
      <c r="PJI181" s="367"/>
      <c r="PJJ181" s="367"/>
      <c r="PJK181" s="368" t="s">
        <v>168</v>
      </c>
      <c r="PJL181" s="369">
        <v>0.5</v>
      </c>
      <c r="PJM181" s="370" t="e">
        <f>10/PJI179</f>
        <v>#DIV/0!</v>
      </c>
      <c r="PJN181" s="371">
        <v>15.38</v>
      </c>
      <c r="PJO181" s="371" t="e">
        <f>PJL181*PJM181*PJN181</f>
        <v>#DIV/0!</v>
      </c>
      <c r="PJP181" s="367" t="s">
        <v>206</v>
      </c>
      <c r="PJQ181" s="367"/>
      <c r="PJR181" s="367"/>
      <c r="PJS181" s="368" t="s">
        <v>168</v>
      </c>
      <c r="PJT181" s="369">
        <v>0.5</v>
      </c>
      <c r="PJU181" s="370" t="e">
        <f>10/PJQ179</f>
        <v>#DIV/0!</v>
      </c>
      <c r="PJV181" s="371">
        <v>15.38</v>
      </c>
      <c r="PJW181" s="371" t="e">
        <f>PJT181*PJU181*PJV181</f>
        <v>#DIV/0!</v>
      </c>
      <c r="PJX181" s="367" t="s">
        <v>206</v>
      </c>
      <c r="PJY181" s="367"/>
      <c r="PJZ181" s="367"/>
      <c r="PKA181" s="368" t="s">
        <v>168</v>
      </c>
      <c r="PKB181" s="369">
        <v>0.5</v>
      </c>
      <c r="PKC181" s="370" t="e">
        <f>10/PJY179</f>
        <v>#DIV/0!</v>
      </c>
      <c r="PKD181" s="371">
        <v>15.38</v>
      </c>
      <c r="PKE181" s="371" t="e">
        <f>PKB181*PKC181*PKD181</f>
        <v>#DIV/0!</v>
      </c>
      <c r="PKF181" s="367" t="s">
        <v>206</v>
      </c>
      <c r="PKG181" s="367"/>
      <c r="PKH181" s="367"/>
      <c r="PKI181" s="368" t="s">
        <v>168</v>
      </c>
      <c r="PKJ181" s="369">
        <v>0.5</v>
      </c>
      <c r="PKK181" s="370" t="e">
        <f>10/PKG179</f>
        <v>#DIV/0!</v>
      </c>
      <c r="PKL181" s="371">
        <v>15.38</v>
      </c>
      <c r="PKM181" s="371" t="e">
        <f>PKJ181*PKK181*PKL181</f>
        <v>#DIV/0!</v>
      </c>
      <c r="PKN181" s="367" t="s">
        <v>206</v>
      </c>
      <c r="PKO181" s="367"/>
      <c r="PKP181" s="367"/>
      <c r="PKQ181" s="368" t="s">
        <v>168</v>
      </c>
      <c r="PKR181" s="369">
        <v>0.5</v>
      </c>
      <c r="PKS181" s="370" t="e">
        <f>10/PKO179</f>
        <v>#DIV/0!</v>
      </c>
      <c r="PKT181" s="371">
        <v>15.38</v>
      </c>
      <c r="PKU181" s="371" t="e">
        <f>PKR181*PKS181*PKT181</f>
        <v>#DIV/0!</v>
      </c>
      <c r="PKV181" s="367" t="s">
        <v>206</v>
      </c>
      <c r="PKW181" s="367"/>
      <c r="PKX181" s="367"/>
      <c r="PKY181" s="368" t="s">
        <v>168</v>
      </c>
      <c r="PKZ181" s="369">
        <v>0.5</v>
      </c>
      <c r="PLA181" s="370" t="e">
        <f>10/PKW179</f>
        <v>#DIV/0!</v>
      </c>
      <c r="PLB181" s="371">
        <v>15.38</v>
      </c>
      <c r="PLC181" s="371" t="e">
        <f>PKZ181*PLA181*PLB181</f>
        <v>#DIV/0!</v>
      </c>
      <c r="PLD181" s="367" t="s">
        <v>206</v>
      </c>
      <c r="PLE181" s="367"/>
      <c r="PLF181" s="367"/>
      <c r="PLG181" s="368" t="s">
        <v>168</v>
      </c>
      <c r="PLH181" s="369">
        <v>0.5</v>
      </c>
      <c r="PLI181" s="370" t="e">
        <f>10/PLE179</f>
        <v>#DIV/0!</v>
      </c>
      <c r="PLJ181" s="371">
        <v>15.38</v>
      </c>
      <c r="PLK181" s="371" t="e">
        <f>PLH181*PLI181*PLJ181</f>
        <v>#DIV/0!</v>
      </c>
      <c r="PLL181" s="367" t="s">
        <v>206</v>
      </c>
      <c r="PLM181" s="367"/>
      <c r="PLN181" s="367"/>
      <c r="PLO181" s="368" t="s">
        <v>168</v>
      </c>
      <c r="PLP181" s="369">
        <v>0.5</v>
      </c>
      <c r="PLQ181" s="370" t="e">
        <f>10/PLM179</f>
        <v>#DIV/0!</v>
      </c>
      <c r="PLR181" s="371">
        <v>15.38</v>
      </c>
      <c r="PLS181" s="371" t="e">
        <f>PLP181*PLQ181*PLR181</f>
        <v>#DIV/0!</v>
      </c>
      <c r="PLT181" s="367" t="s">
        <v>206</v>
      </c>
      <c r="PLU181" s="367"/>
      <c r="PLV181" s="367"/>
      <c r="PLW181" s="368" t="s">
        <v>168</v>
      </c>
      <c r="PLX181" s="369">
        <v>0.5</v>
      </c>
      <c r="PLY181" s="370" t="e">
        <f>10/PLU179</f>
        <v>#DIV/0!</v>
      </c>
      <c r="PLZ181" s="371">
        <v>15.38</v>
      </c>
      <c r="PMA181" s="371" t="e">
        <f>PLX181*PLY181*PLZ181</f>
        <v>#DIV/0!</v>
      </c>
      <c r="PMB181" s="367" t="s">
        <v>206</v>
      </c>
      <c r="PMC181" s="367"/>
      <c r="PMD181" s="367"/>
      <c r="PME181" s="368" t="s">
        <v>168</v>
      </c>
      <c r="PMF181" s="369">
        <v>0.5</v>
      </c>
      <c r="PMG181" s="370" t="e">
        <f>10/PMC179</f>
        <v>#DIV/0!</v>
      </c>
      <c r="PMH181" s="371">
        <v>15.38</v>
      </c>
      <c r="PMI181" s="371" t="e">
        <f>PMF181*PMG181*PMH181</f>
        <v>#DIV/0!</v>
      </c>
      <c r="PMJ181" s="367" t="s">
        <v>206</v>
      </c>
      <c r="PMK181" s="367"/>
      <c r="PML181" s="367"/>
      <c r="PMM181" s="368" t="s">
        <v>168</v>
      </c>
      <c r="PMN181" s="369">
        <v>0.5</v>
      </c>
      <c r="PMO181" s="370" t="e">
        <f>10/PMK179</f>
        <v>#DIV/0!</v>
      </c>
      <c r="PMP181" s="371">
        <v>15.38</v>
      </c>
      <c r="PMQ181" s="371" t="e">
        <f>PMN181*PMO181*PMP181</f>
        <v>#DIV/0!</v>
      </c>
      <c r="PMR181" s="367" t="s">
        <v>206</v>
      </c>
      <c r="PMS181" s="367"/>
      <c r="PMT181" s="367"/>
      <c r="PMU181" s="368" t="s">
        <v>168</v>
      </c>
      <c r="PMV181" s="369">
        <v>0.5</v>
      </c>
      <c r="PMW181" s="370" t="e">
        <f>10/PMS179</f>
        <v>#DIV/0!</v>
      </c>
      <c r="PMX181" s="371">
        <v>15.38</v>
      </c>
      <c r="PMY181" s="371" t="e">
        <f>PMV181*PMW181*PMX181</f>
        <v>#DIV/0!</v>
      </c>
      <c r="PMZ181" s="367" t="s">
        <v>206</v>
      </c>
      <c r="PNA181" s="367"/>
      <c r="PNB181" s="367"/>
      <c r="PNC181" s="368" t="s">
        <v>168</v>
      </c>
      <c r="PND181" s="369">
        <v>0.5</v>
      </c>
      <c r="PNE181" s="370" t="e">
        <f>10/PNA179</f>
        <v>#DIV/0!</v>
      </c>
      <c r="PNF181" s="371">
        <v>15.38</v>
      </c>
      <c r="PNG181" s="371" t="e">
        <f>PND181*PNE181*PNF181</f>
        <v>#DIV/0!</v>
      </c>
      <c r="PNH181" s="367" t="s">
        <v>206</v>
      </c>
      <c r="PNI181" s="367"/>
      <c r="PNJ181" s="367"/>
      <c r="PNK181" s="368" t="s">
        <v>168</v>
      </c>
      <c r="PNL181" s="369">
        <v>0.5</v>
      </c>
      <c r="PNM181" s="370" t="e">
        <f>10/PNI179</f>
        <v>#DIV/0!</v>
      </c>
      <c r="PNN181" s="371">
        <v>15.38</v>
      </c>
      <c r="PNO181" s="371" t="e">
        <f>PNL181*PNM181*PNN181</f>
        <v>#DIV/0!</v>
      </c>
      <c r="PNP181" s="367" t="s">
        <v>206</v>
      </c>
      <c r="PNQ181" s="367"/>
      <c r="PNR181" s="367"/>
      <c r="PNS181" s="368" t="s">
        <v>168</v>
      </c>
      <c r="PNT181" s="369">
        <v>0.5</v>
      </c>
      <c r="PNU181" s="370" t="e">
        <f>10/PNQ179</f>
        <v>#DIV/0!</v>
      </c>
      <c r="PNV181" s="371">
        <v>15.38</v>
      </c>
      <c r="PNW181" s="371" t="e">
        <f>PNT181*PNU181*PNV181</f>
        <v>#DIV/0!</v>
      </c>
      <c r="PNX181" s="367" t="s">
        <v>206</v>
      </c>
      <c r="PNY181" s="367"/>
      <c r="PNZ181" s="367"/>
      <c r="POA181" s="368" t="s">
        <v>168</v>
      </c>
      <c r="POB181" s="369">
        <v>0.5</v>
      </c>
      <c r="POC181" s="370" t="e">
        <f>10/PNY179</f>
        <v>#DIV/0!</v>
      </c>
      <c r="POD181" s="371">
        <v>15.38</v>
      </c>
      <c r="POE181" s="371" t="e">
        <f>POB181*POC181*POD181</f>
        <v>#DIV/0!</v>
      </c>
      <c r="POF181" s="367" t="s">
        <v>206</v>
      </c>
      <c r="POG181" s="367"/>
      <c r="POH181" s="367"/>
      <c r="POI181" s="368" t="s">
        <v>168</v>
      </c>
      <c r="POJ181" s="369">
        <v>0.5</v>
      </c>
      <c r="POK181" s="370" t="e">
        <f>10/POG179</f>
        <v>#DIV/0!</v>
      </c>
      <c r="POL181" s="371">
        <v>15.38</v>
      </c>
      <c r="POM181" s="371" t="e">
        <f>POJ181*POK181*POL181</f>
        <v>#DIV/0!</v>
      </c>
      <c r="PON181" s="367" t="s">
        <v>206</v>
      </c>
      <c r="POO181" s="367"/>
      <c r="POP181" s="367"/>
      <c r="POQ181" s="368" t="s">
        <v>168</v>
      </c>
      <c r="POR181" s="369">
        <v>0.5</v>
      </c>
      <c r="POS181" s="370" t="e">
        <f>10/POO179</f>
        <v>#DIV/0!</v>
      </c>
      <c r="POT181" s="371">
        <v>15.38</v>
      </c>
      <c r="POU181" s="371" t="e">
        <f>POR181*POS181*POT181</f>
        <v>#DIV/0!</v>
      </c>
      <c r="POV181" s="367" t="s">
        <v>206</v>
      </c>
      <c r="POW181" s="367"/>
      <c r="POX181" s="367"/>
      <c r="POY181" s="368" t="s">
        <v>168</v>
      </c>
      <c r="POZ181" s="369">
        <v>0.5</v>
      </c>
      <c r="PPA181" s="370" t="e">
        <f>10/POW179</f>
        <v>#DIV/0!</v>
      </c>
      <c r="PPB181" s="371">
        <v>15.38</v>
      </c>
      <c r="PPC181" s="371" t="e">
        <f>POZ181*PPA181*PPB181</f>
        <v>#DIV/0!</v>
      </c>
      <c r="PPD181" s="367" t="s">
        <v>206</v>
      </c>
      <c r="PPE181" s="367"/>
      <c r="PPF181" s="367"/>
      <c r="PPG181" s="368" t="s">
        <v>168</v>
      </c>
      <c r="PPH181" s="369">
        <v>0.5</v>
      </c>
      <c r="PPI181" s="370" t="e">
        <f>10/PPE179</f>
        <v>#DIV/0!</v>
      </c>
      <c r="PPJ181" s="371">
        <v>15.38</v>
      </c>
      <c r="PPK181" s="371" t="e">
        <f>PPH181*PPI181*PPJ181</f>
        <v>#DIV/0!</v>
      </c>
      <c r="PPL181" s="367" t="s">
        <v>206</v>
      </c>
      <c r="PPM181" s="367"/>
      <c r="PPN181" s="367"/>
      <c r="PPO181" s="368" t="s">
        <v>168</v>
      </c>
      <c r="PPP181" s="369">
        <v>0.5</v>
      </c>
      <c r="PPQ181" s="370" t="e">
        <f>10/PPM179</f>
        <v>#DIV/0!</v>
      </c>
      <c r="PPR181" s="371">
        <v>15.38</v>
      </c>
      <c r="PPS181" s="371" t="e">
        <f>PPP181*PPQ181*PPR181</f>
        <v>#DIV/0!</v>
      </c>
      <c r="PPT181" s="367" t="s">
        <v>206</v>
      </c>
      <c r="PPU181" s="367"/>
      <c r="PPV181" s="367"/>
      <c r="PPW181" s="368" t="s">
        <v>168</v>
      </c>
      <c r="PPX181" s="369">
        <v>0.5</v>
      </c>
      <c r="PPY181" s="370" t="e">
        <f>10/PPU179</f>
        <v>#DIV/0!</v>
      </c>
      <c r="PPZ181" s="371">
        <v>15.38</v>
      </c>
      <c r="PQA181" s="371" t="e">
        <f>PPX181*PPY181*PPZ181</f>
        <v>#DIV/0!</v>
      </c>
      <c r="PQB181" s="367" t="s">
        <v>206</v>
      </c>
      <c r="PQC181" s="367"/>
      <c r="PQD181" s="367"/>
      <c r="PQE181" s="368" t="s">
        <v>168</v>
      </c>
      <c r="PQF181" s="369">
        <v>0.5</v>
      </c>
      <c r="PQG181" s="370" t="e">
        <f>10/PQC179</f>
        <v>#DIV/0!</v>
      </c>
      <c r="PQH181" s="371">
        <v>15.38</v>
      </c>
      <c r="PQI181" s="371" t="e">
        <f>PQF181*PQG181*PQH181</f>
        <v>#DIV/0!</v>
      </c>
      <c r="PQJ181" s="367" t="s">
        <v>206</v>
      </c>
      <c r="PQK181" s="367"/>
      <c r="PQL181" s="367"/>
      <c r="PQM181" s="368" t="s">
        <v>168</v>
      </c>
      <c r="PQN181" s="369">
        <v>0.5</v>
      </c>
      <c r="PQO181" s="370" t="e">
        <f>10/PQK179</f>
        <v>#DIV/0!</v>
      </c>
      <c r="PQP181" s="371">
        <v>15.38</v>
      </c>
      <c r="PQQ181" s="371" t="e">
        <f>PQN181*PQO181*PQP181</f>
        <v>#DIV/0!</v>
      </c>
      <c r="PQR181" s="367" t="s">
        <v>206</v>
      </c>
      <c r="PQS181" s="367"/>
      <c r="PQT181" s="367"/>
      <c r="PQU181" s="368" t="s">
        <v>168</v>
      </c>
      <c r="PQV181" s="369">
        <v>0.5</v>
      </c>
      <c r="PQW181" s="370" t="e">
        <f>10/PQS179</f>
        <v>#DIV/0!</v>
      </c>
      <c r="PQX181" s="371">
        <v>15.38</v>
      </c>
      <c r="PQY181" s="371" t="e">
        <f>PQV181*PQW181*PQX181</f>
        <v>#DIV/0!</v>
      </c>
      <c r="PQZ181" s="367" t="s">
        <v>206</v>
      </c>
      <c r="PRA181" s="367"/>
      <c r="PRB181" s="367"/>
      <c r="PRC181" s="368" t="s">
        <v>168</v>
      </c>
      <c r="PRD181" s="369">
        <v>0.5</v>
      </c>
      <c r="PRE181" s="370" t="e">
        <f>10/PRA179</f>
        <v>#DIV/0!</v>
      </c>
      <c r="PRF181" s="371">
        <v>15.38</v>
      </c>
      <c r="PRG181" s="371" t="e">
        <f>PRD181*PRE181*PRF181</f>
        <v>#DIV/0!</v>
      </c>
      <c r="PRH181" s="367" t="s">
        <v>206</v>
      </c>
      <c r="PRI181" s="367"/>
      <c r="PRJ181" s="367"/>
      <c r="PRK181" s="368" t="s">
        <v>168</v>
      </c>
      <c r="PRL181" s="369">
        <v>0.5</v>
      </c>
      <c r="PRM181" s="370" t="e">
        <f>10/PRI179</f>
        <v>#DIV/0!</v>
      </c>
      <c r="PRN181" s="371">
        <v>15.38</v>
      </c>
      <c r="PRO181" s="371" t="e">
        <f>PRL181*PRM181*PRN181</f>
        <v>#DIV/0!</v>
      </c>
      <c r="PRP181" s="367" t="s">
        <v>206</v>
      </c>
      <c r="PRQ181" s="367"/>
      <c r="PRR181" s="367"/>
      <c r="PRS181" s="368" t="s">
        <v>168</v>
      </c>
      <c r="PRT181" s="369">
        <v>0.5</v>
      </c>
      <c r="PRU181" s="370" t="e">
        <f>10/PRQ179</f>
        <v>#DIV/0!</v>
      </c>
      <c r="PRV181" s="371">
        <v>15.38</v>
      </c>
      <c r="PRW181" s="371" t="e">
        <f>PRT181*PRU181*PRV181</f>
        <v>#DIV/0!</v>
      </c>
      <c r="PRX181" s="367" t="s">
        <v>206</v>
      </c>
      <c r="PRY181" s="367"/>
      <c r="PRZ181" s="367"/>
      <c r="PSA181" s="368" t="s">
        <v>168</v>
      </c>
      <c r="PSB181" s="369">
        <v>0.5</v>
      </c>
      <c r="PSC181" s="370" t="e">
        <f>10/PRY179</f>
        <v>#DIV/0!</v>
      </c>
      <c r="PSD181" s="371">
        <v>15.38</v>
      </c>
      <c r="PSE181" s="371" t="e">
        <f>PSB181*PSC181*PSD181</f>
        <v>#DIV/0!</v>
      </c>
      <c r="PSF181" s="367" t="s">
        <v>206</v>
      </c>
      <c r="PSG181" s="367"/>
      <c r="PSH181" s="367"/>
      <c r="PSI181" s="368" t="s">
        <v>168</v>
      </c>
      <c r="PSJ181" s="369">
        <v>0.5</v>
      </c>
      <c r="PSK181" s="370" t="e">
        <f>10/PSG179</f>
        <v>#DIV/0!</v>
      </c>
      <c r="PSL181" s="371">
        <v>15.38</v>
      </c>
      <c r="PSM181" s="371" t="e">
        <f>PSJ181*PSK181*PSL181</f>
        <v>#DIV/0!</v>
      </c>
      <c r="PSN181" s="367" t="s">
        <v>206</v>
      </c>
      <c r="PSO181" s="367"/>
      <c r="PSP181" s="367"/>
      <c r="PSQ181" s="368" t="s">
        <v>168</v>
      </c>
      <c r="PSR181" s="369">
        <v>0.5</v>
      </c>
      <c r="PSS181" s="370" t="e">
        <f>10/PSO179</f>
        <v>#DIV/0!</v>
      </c>
      <c r="PST181" s="371">
        <v>15.38</v>
      </c>
      <c r="PSU181" s="371" t="e">
        <f>PSR181*PSS181*PST181</f>
        <v>#DIV/0!</v>
      </c>
      <c r="PSV181" s="367" t="s">
        <v>206</v>
      </c>
      <c r="PSW181" s="367"/>
      <c r="PSX181" s="367"/>
      <c r="PSY181" s="368" t="s">
        <v>168</v>
      </c>
      <c r="PSZ181" s="369">
        <v>0.5</v>
      </c>
      <c r="PTA181" s="370" t="e">
        <f>10/PSW179</f>
        <v>#DIV/0!</v>
      </c>
      <c r="PTB181" s="371">
        <v>15.38</v>
      </c>
      <c r="PTC181" s="371" t="e">
        <f>PSZ181*PTA181*PTB181</f>
        <v>#DIV/0!</v>
      </c>
      <c r="PTD181" s="367" t="s">
        <v>206</v>
      </c>
      <c r="PTE181" s="367"/>
      <c r="PTF181" s="367"/>
      <c r="PTG181" s="368" t="s">
        <v>168</v>
      </c>
      <c r="PTH181" s="369">
        <v>0.5</v>
      </c>
      <c r="PTI181" s="370" t="e">
        <f>10/PTE179</f>
        <v>#DIV/0!</v>
      </c>
      <c r="PTJ181" s="371">
        <v>15.38</v>
      </c>
      <c r="PTK181" s="371" t="e">
        <f>PTH181*PTI181*PTJ181</f>
        <v>#DIV/0!</v>
      </c>
      <c r="PTL181" s="367" t="s">
        <v>206</v>
      </c>
      <c r="PTM181" s="367"/>
      <c r="PTN181" s="367"/>
      <c r="PTO181" s="368" t="s">
        <v>168</v>
      </c>
      <c r="PTP181" s="369">
        <v>0.5</v>
      </c>
      <c r="PTQ181" s="370" t="e">
        <f>10/PTM179</f>
        <v>#DIV/0!</v>
      </c>
      <c r="PTR181" s="371">
        <v>15.38</v>
      </c>
      <c r="PTS181" s="371" t="e">
        <f>PTP181*PTQ181*PTR181</f>
        <v>#DIV/0!</v>
      </c>
      <c r="PTT181" s="367" t="s">
        <v>206</v>
      </c>
      <c r="PTU181" s="367"/>
      <c r="PTV181" s="367"/>
      <c r="PTW181" s="368" t="s">
        <v>168</v>
      </c>
      <c r="PTX181" s="369">
        <v>0.5</v>
      </c>
      <c r="PTY181" s="370" t="e">
        <f>10/PTU179</f>
        <v>#DIV/0!</v>
      </c>
      <c r="PTZ181" s="371">
        <v>15.38</v>
      </c>
      <c r="PUA181" s="371" t="e">
        <f>PTX181*PTY181*PTZ181</f>
        <v>#DIV/0!</v>
      </c>
      <c r="PUB181" s="367" t="s">
        <v>206</v>
      </c>
      <c r="PUC181" s="367"/>
      <c r="PUD181" s="367"/>
      <c r="PUE181" s="368" t="s">
        <v>168</v>
      </c>
      <c r="PUF181" s="369">
        <v>0.5</v>
      </c>
      <c r="PUG181" s="370" t="e">
        <f>10/PUC179</f>
        <v>#DIV/0!</v>
      </c>
      <c r="PUH181" s="371">
        <v>15.38</v>
      </c>
      <c r="PUI181" s="371" t="e">
        <f>PUF181*PUG181*PUH181</f>
        <v>#DIV/0!</v>
      </c>
      <c r="PUJ181" s="367" t="s">
        <v>206</v>
      </c>
      <c r="PUK181" s="367"/>
      <c r="PUL181" s="367"/>
      <c r="PUM181" s="368" t="s">
        <v>168</v>
      </c>
      <c r="PUN181" s="369">
        <v>0.5</v>
      </c>
      <c r="PUO181" s="370" t="e">
        <f>10/PUK179</f>
        <v>#DIV/0!</v>
      </c>
      <c r="PUP181" s="371">
        <v>15.38</v>
      </c>
      <c r="PUQ181" s="371" t="e">
        <f>PUN181*PUO181*PUP181</f>
        <v>#DIV/0!</v>
      </c>
      <c r="PUR181" s="367" t="s">
        <v>206</v>
      </c>
      <c r="PUS181" s="367"/>
      <c r="PUT181" s="367"/>
      <c r="PUU181" s="368" t="s">
        <v>168</v>
      </c>
      <c r="PUV181" s="369">
        <v>0.5</v>
      </c>
      <c r="PUW181" s="370" t="e">
        <f>10/PUS179</f>
        <v>#DIV/0!</v>
      </c>
      <c r="PUX181" s="371">
        <v>15.38</v>
      </c>
      <c r="PUY181" s="371" t="e">
        <f>PUV181*PUW181*PUX181</f>
        <v>#DIV/0!</v>
      </c>
      <c r="PUZ181" s="367" t="s">
        <v>206</v>
      </c>
      <c r="PVA181" s="367"/>
      <c r="PVB181" s="367"/>
      <c r="PVC181" s="368" t="s">
        <v>168</v>
      </c>
      <c r="PVD181" s="369">
        <v>0.5</v>
      </c>
      <c r="PVE181" s="370" t="e">
        <f>10/PVA179</f>
        <v>#DIV/0!</v>
      </c>
      <c r="PVF181" s="371">
        <v>15.38</v>
      </c>
      <c r="PVG181" s="371" t="e">
        <f>PVD181*PVE181*PVF181</f>
        <v>#DIV/0!</v>
      </c>
      <c r="PVH181" s="367" t="s">
        <v>206</v>
      </c>
      <c r="PVI181" s="367"/>
      <c r="PVJ181" s="367"/>
      <c r="PVK181" s="368" t="s">
        <v>168</v>
      </c>
      <c r="PVL181" s="369">
        <v>0.5</v>
      </c>
      <c r="PVM181" s="370" t="e">
        <f>10/PVI179</f>
        <v>#DIV/0!</v>
      </c>
      <c r="PVN181" s="371">
        <v>15.38</v>
      </c>
      <c r="PVO181" s="371" t="e">
        <f>PVL181*PVM181*PVN181</f>
        <v>#DIV/0!</v>
      </c>
      <c r="PVP181" s="367" t="s">
        <v>206</v>
      </c>
      <c r="PVQ181" s="367"/>
      <c r="PVR181" s="367"/>
      <c r="PVS181" s="368" t="s">
        <v>168</v>
      </c>
      <c r="PVT181" s="369">
        <v>0.5</v>
      </c>
      <c r="PVU181" s="370" t="e">
        <f>10/PVQ179</f>
        <v>#DIV/0!</v>
      </c>
      <c r="PVV181" s="371">
        <v>15.38</v>
      </c>
      <c r="PVW181" s="371" t="e">
        <f>PVT181*PVU181*PVV181</f>
        <v>#DIV/0!</v>
      </c>
      <c r="PVX181" s="367" t="s">
        <v>206</v>
      </c>
      <c r="PVY181" s="367"/>
      <c r="PVZ181" s="367"/>
      <c r="PWA181" s="368" t="s">
        <v>168</v>
      </c>
      <c r="PWB181" s="369">
        <v>0.5</v>
      </c>
      <c r="PWC181" s="370" t="e">
        <f>10/PVY179</f>
        <v>#DIV/0!</v>
      </c>
      <c r="PWD181" s="371">
        <v>15.38</v>
      </c>
      <c r="PWE181" s="371" t="e">
        <f>PWB181*PWC181*PWD181</f>
        <v>#DIV/0!</v>
      </c>
      <c r="PWF181" s="367" t="s">
        <v>206</v>
      </c>
      <c r="PWG181" s="367"/>
      <c r="PWH181" s="367"/>
      <c r="PWI181" s="368" t="s">
        <v>168</v>
      </c>
      <c r="PWJ181" s="369">
        <v>0.5</v>
      </c>
      <c r="PWK181" s="370" t="e">
        <f>10/PWG179</f>
        <v>#DIV/0!</v>
      </c>
      <c r="PWL181" s="371">
        <v>15.38</v>
      </c>
      <c r="PWM181" s="371" t="e">
        <f>PWJ181*PWK181*PWL181</f>
        <v>#DIV/0!</v>
      </c>
      <c r="PWN181" s="367" t="s">
        <v>206</v>
      </c>
      <c r="PWO181" s="367"/>
      <c r="PWP181" s="367"/>
      <c r="PWQ181" s="368" t="s">
        <v>168</v>
      </c>
      <c r="PWR181" s="369">
        <v>0.5</v>
      </c>
      <c r="PWS181" s="370" t="e">
        <f>10/PWO179</f>
        <v>#DIV/0!</v>
      </c>
      <c r="PWT181" s="371">
        <v>15.38</v>
      </c>
      <c r="PWU181" s="371" t="e">
        <f>PWR181*PWS181*PWT181</f>
        <v>#DIV/0!</v>
      </c>
      <c r="PWV181" s="367" t="s">
        <v>206</v>
      </c>
      <c r="PWW181" s="367"/>
      <c r="PWX181" s="367"/>
      <c r="PWY181" s="368" t="s">
        <v>168</v>
      </c>
      <c r="PWZ181" s="369">
        <v>0.5</v>
      </c>
      <c r="PXA181" s="370" t="e">
        <f>10/PWW179</f>
        <v>#DIV/0!</v>
      </c>
      <c r="PXB181" s="371">
        <v>15.38</v>
      </c>
      <c r="PXC181" s="371" t="e">
        <f>PWZ181*PXA181*PXB181</f>
        <v>#DIV/0!</v>
      </c>
      <c r="PXD181" s="367" t="s">
        <v>206</v>
      </c>
      <c r="PXE181" s="367"/>
      <c r="PXF181" s="367"/>
      <c r="PXG181" s="368" t="s">
        <v>168</v>
      </c>
      <c r="PXH181" s="369">
        <v>0.5</v>
      </c>
      <c r="PXI181" s="370" t="e">
        <f>10/PXE179</f>
        <v>#DIV/0!</v>
      </c>
      <c r="PXJ181" s="371">
        <v>15.38</v>
      </c>
      <c r="PXK181" s="371" t="e">
        <f>PXH181*PXI181*PXJ181</f>
        <v>#DIV/0!</v>
      </c>
      <c r="PXL181" s="367" t="s">
        <v>206</v>
      </c>
      <c r="PXM181" s="367"/>
      <c r="PXN181" s="367"/>
      <c r="PXO181" s="368" t="s">
        <v>168</v>
      </c>
      <c r="PXP181" s="369">
        <v>0.5</v>
      </c>
      <c r="PXQ181" s="370" t="e">
        <f>10/PXM179</f>
        <v>#DIV/0!</v>
      </c>
      <c r="PXR181" s="371">
        <v>15.38</v>
      </c>
      <c r="PXS181" s="371" t="e">
        <f>PXP181*PXQ181*PXR181</f>
        <v>#DIV/0!</v>
      </c>
      <c r="PXT181" s="367" t="s">
        <v>206</v>
      </c>
      <c r="PXU181" s="367"/>
      <c r="PXV181" s="367"/>
      <c r="PXW181" s="368" t="s">
        <v>168</v>
      </c>
      <c r="PXX181" s="369">
        <v>0.5</v>
      </c>
      <c r="PXY181" s="370" t="e">
        <f>10/PXU179</f>
        <v>#DIV/0!</v>
      </c>
      <c r="PXZ181" s="371">
        <v>15.38</v>
      </c>
      <c r="PYA181" s="371" t="e">
        <f>PXX181*PXY181*PXZ181</f>
        <v>#DIV/0!</v>
      </c>
      <c r="PYB181" s="367" t="s">
        <v>206</v>
      </c>
      <c r="PYC181" s="367"/>
      <c r="PYD181" s="367"/>
      <c r="PYE181" s="368" t="s">
        <v>168</v>
      </c>
      <c r="PYF181" s="369">
        <v>0.5</v>
      </c>
      <c r="PYG181" s="370" t="e">
        <f>10/PYC179</f>
        <v>#DIV/0!</v>
      </c>
      <c r="PYH181" s="371">
        <v>15.38</v>
      </c>
      <c r="PYI181" s="371" t="e">
        <f>PYF181*PYG181*PYH181</f>
        <v>#DIV/0!</v>
      </c>
      <c r="PYJ181" s="367" t="s">
        <v>206</v>
      </c>
      <c r="PYK181" s="367"/>
      <c r="PYL181" s="367"/>
      <c r="PYM181" s="368" t="s">
        <v>168</v>
      </c>
      <c r="PYN181" s="369">
        <v>0.5</v>
      </c>
      <c r="PYO181" s="370" t="e">
        <f>10/PYK179</f>
        <v>#DIV/0!</v>
      </c>
      <c r="PYP181" s="371">
        <v>15.38</v>
      </c>
      <c r="PYQ181" s="371" t="e">
        <f>PYN181*PYO181*PYP181</f>
        <v>#DIV/0!</v>
      </c>
      <c r="PYR181" s="367" t="s">
        <v>206</v>
      </c>
      <c r="PYS181" s="367"/>
      <c r="PYT181" s="367"/>
      <c r="PYU181" s="368" t="s">
        <v>168</v>
      </c>
      <c r="PYV181" s="369">
        <v>0.5</v>
      </c>
      <c r="PYW181" s="370" t="e">
        <f>10/PYS179</f>
        <v>#DIV/0!</v>
      </c>
      <c r="PYX181" s="371">
        <v>15.38</v>
      </c>
      <c r="PYY181" s="371" t="e">
        <f>PYV181*PYW181*PYX181</f>
        <v>#DIV/0!</v>
      </c>
      <c r="PYZ181" s="367" t="s">
        <v>206</v>
      </c>
      <c r="PZA181" s="367"/>
      <c r="PZB181" s="367"/>
      <c r="PZC181" s="368" t="s">
        <v>168</v>
      </c>
      <c r="PZD181" s="369">
        <v>0.5</v>
      </c>
      <c r="PZE181" s="370" t="e">
        <f>10/PZA179</f>
        <v>#DIV/0!</v>
      </c>
      <c r="PZF181" s="371">
        <v>15.38</v>
      </c>
      <c r="PZG181" s="371" t="e">
        <f>PZD181*PZE181*PZF181</f>
        <v>#DIV/0!</v>
      </c>
      <c r="PZH181" s="367" t="s">
        <v>206</v>
      </c>
      <c r="PZI181" s="367"/>
      <c r="PZJ181" s="367"/>
      <c r="PZK181" s="368" t="s">
        <v>168</v>
      </c>
      <c r="PZL181" s="369">
        <v>0.5</v>
      </c>
      <c r="PZM181" s="370" t="e">
        <f>10/PZI179</f>
        <v>#DIV/0!</v>
      </c>
      <c r="PZN181" s="371">
        <v>15.38</v>
      </c>
      <c r="PZO181" s="371" t="e">
        <f>PZL181*PZM181*PZN181</f>
        <v>#DIV/0!</v>
      </c>
      <c r="PZP181" s="367" t="s">
        <v>206</v>
      </c>
      <c r="PZQ181" s="367"/>
      <c r="PZR181" s="367"/>
      <c r="PZS181" s="368" t="s">
        <v>168</v>
      </c>
      <c r="PZT181" s="369">
        <v>0.5</v>
      </c>
      <c r="PZU181" s="370" t="e">
        <f>10/PZQ179</f>
        <v>#DIV/0!</v>
      </c>
      <c r="PZV181" s="371">
        <v>15.38</v>
      </c>
      <c r="PZW181" s="371" t="e">
        <f>PZT181*PZU181*PZV181</f>
        <v>#DIV/0!</v>
      </c>
      <c r="PZX181" s="367" t="s">
        <v>206</v>
      </c>
      <c r="PZY181" s="367"/>
      <c r="PZZ181" s="367"/>
      <c r="QAA181" s="368" t="s">
        <v>168</v>
      </c>
      <c r="QAB181" s="369">
        <v>0.5</v>
      </c>
      <c r="QAC181" s="370" t="e">
        <f>10/PZY179</f>
        <v>#DIV/0!</v>
      </c>
      <c r="QAD181" s="371">
        <v>15.38</v>
      </c>
      <c r="QAE181" s="371" t="e">
        <f>QAB181*QAC181*QAD181</f>
        <v>#DIV/0!</v>
      </c>
      <c r="QAF181" s="367" t="s">
        <v>206</v>
      </c>
      <c r="QAG181" s="367"/>
      <c r="QAH181" s="367"/>
      <c r="QAI181" s="368" t="s">
        <v>168</v>
      </c>
      <c r="QAJ181" s="369">
        <v>0.5</v>
      </c>
      <c r="QAK181" s="370" t="e">
        <f>10/QAG179</f>
        <v>#DIV/0!</v>
      </c>
      <c r="QAL181" s="371">
        <v>15.38</v>
      </c>
      <c r="QAM181" s="371" t="e">
        <f>QAJ181*QAK181*QAL181</f>
        <v>#DIV/0!</v>
      </c>
      <c r="QAN181" s="367" t="s">
        <v>206</v>
      </c>
      <c r="QAO181" s="367"/>
      <c r="QAP181" s="367"/>
      <c r="QAQ181" s="368" t="s">
        <v>168</v>
      </c>
      <c r="QAR181" s="369">
        <v>0.5</v>
      </c>
      <c r="QAS181" s="370" t="e">
        <f>10/QAO179</f>
        <v>#DIV/0!</v>
      </c>
      <c r="QAT181" s="371">
        <v>15.38</v>
      </c>
      <c r="QAU181" s="371" t="e">
        <f>QAR181*QAS181*QAT181</f>
        <v>#DIV/0!</v>
      </c>
      <c r="QAV181" s="367" t="s">
        <v>206</v>
      </c>
      <c r="QAW181" s="367"/>
      <c r="QAX181" s="367"/>
      <c r="QAY181" s="368" t="s">
        <v>168</v>
      </c>
      <c r="QAZ181" s="369">
        <v>0.5</v>
      </c>
      <c r="QBA181" s="370" t="e">
        <f>10/QAW179</f>
        <v>#DIV/0!</v>
      </c>
      <c r="QBB181" s="371">
        <v>15.38</v>
      </c>
      <c r="QBC181" s="371" t="e">
        <f>QAZ181*QBA181*QBB181</f>
        <v>#DIV/0!</v>
      </c>
      <c r="QBD181" s="367" t="s">
        <v>206</v>
      </c>
      <c r="QBE181" s="367"/>
      <c r="QBF181" s="367"/>
      <c r="QBG181" s="368" t="s">
        <v>168</v>
      </c>
      <c r="QBH181" s="369">
        <v>0.5</v>
      </c>
      <c r="QBI181" s="370" t="e">
        <f>10/QBE179</f>
        <v>#DIV/0!</v>
      </c>
      <c r="QBJ181" s="371">
        <v>15.38</v>
      </c>
      <c r="QBK181" s="371" t="e">
        <f>QBH181*QBI181*QBJ181</f>
        <v>#DIV/0!</v>
      </c>
      <c r="QBL181" s="367" t="s">
        <v>206</v>
      </c>
      <c r="QBM181" s="367"/>
      <c r="QBN181" s="367"/>
      <c r="QBO181" s="368" t="s">
        <v>168</v>
      </c>
      <c r="QBP181" s="369">
        <v>0.5</v>
      </c>
      <c r="QBQ181" s="370" t="e">
        <f>10/QBM179</f>
        <v>#DIV/0!</v>
      </c>
      <c r="QBR181" s="371">
        <v>15.38</v>
      </c>
      <c r="QBS181" s="371" t="e">
        <f>QBP181*QBQ181*QBR181</f>
        <v>#DIV/0!</v>
      </c>
      <c r="QBT181" s="367" t="s">
        <v>206</v>
      </c>
      <c r="QBU181" s="367"/>
      <c r="QBV181" s="367"/>
      <c r="QBW181" s="368" t="s">
        <v>168</v>
      </c>
      <c r="QBX181" s="369">
        <v>0.5</v>
      </c>
      <c r="QBY181" s="370" t="e">
        <f>10/QBU179</f>
        <v>#DIV/0!</v>
      </c>
      <c r="QBZ181" s="371">
        <v>15.38</v>
      </c>
      <c r="QCA181" s="371" t="e">
        <f>QBX181*QBY181*QBZ181</f>
        <v>#DIV/0!</v>
      </c>
      <c r="QCB181" s="367" t="s">
        <v>206</v>
      </c>
      <c r="QCC181" s="367"/>
      <c r="QCD181" s="367"/>
      <c r="QCE181" s="368" t="s">
        <v>168</v>
      </c>
      <c r="QCF181" s="369">
        <v>0.5</v>
      </c>
      <c r="QCG181" s="370" t="e">
        <f>10/QCC179</f>
        <v>#DIV/0!</v>
      </c>
      <c r="QCH181" s="371">
        <v>15.38</v>
      </c>
      <c r="QCI181" s="371" t="e">
        <f>QCF181*QCG181*QCH181</f>
        <v>#DIV/0!</v>
      </c>
      <c r="QCJ181" s="367" t="s">
        <v>206</v>
      </c>
      <c r="QCK181" s="367"/>
      <c r="QCL181" s="367"/>
      <c r="QCM181" s="368" t="s">
        <v>168</v>
      </c>
      <c r="QCN181" s="369">
        <v>0.5</v>
      </c>
      <c r="QCO181" s="370" t="e">
        <f>10/QCK179</f>
        <v>#DIV/0!</v>
      </c>
      <c r="QCP181" s="371">
        <v>15.38</v>
      </c>
      <c r="QCQ181" s="371" t="e">
        <f>QCN181*QCO181*QCP181</f>
        <v>#DIV/0!</v>
      </c>
      <c r="QCR181" s="367" t="s">
        <v>206</v>
      </c>
      <c r="QCS181" s="367"/>
      <c r="QCT181" s="367"/>
      <c r="QCU181" s="368" t="s">
        <v>168</v>
      </c>
      <c r="QCV181" s="369">
        <v>0.5</v>
      </c>
      <c r="QCW181" s="370" t="e">
        <f>10/QCS179</f>
        <v>#DIV/0!</v>
      </c>
      <c r="QCX181" s="371">
        <v>15.38</v>
      </c>
      <c r="QCY181" s="371" t="e">
        <f>QCV181*QCW181*QCX181</f>
        <v>#DIV/0!</v>
      </c>
      <c r="QCZ181" s="367" t="s">
        <v>206</v>
      </c>
      <c r="QDA181" s="367"/>
      <c r="QDB181" s="367"/>
      <c r="QDC181" s="368" t="s">
        <v>168</v>
      </c>
      <c r="QDD181" s="369">
        <v>0.5</v>
      </c>
      <c r="QDE181" s="370" t="e">
        <f>10/QDA179</f>
        <v>#DIV/0!</v>
      </c>
      <c r="QDF181" s="371">
        <v>15.38</v>
      </c>
      <c r="QDG181" s="371" t="e">
        <f>QDD181*QDE181*QDF181</f>
        <v>#DIV/0!</v>
      </c>
      <c r="QDH181" s="367" t="s">
        <v>206</v>
      </c>
      <c r="QDI181" s="367"/>
      <c r="QDJ181" s="367"/>
      <c r="QDK181" s="368" t="s">
        <v>168</v>
      </c>
      <c r="QDL181" s="369">
        <v>0.5</v>
      </c>
      <c r="QDM181" s="370" t="e">
        <f>10/QDI179</f>
        <v>#DIV/0!</v>
      </c>
      <c r="QDN181" s="371">
        <v>15.38</v>
      </c>
      <c r="QDO181" s="371" t="e">
        <f>QDL181*QDM181*QDN181</f>
        <v>#DIV/0!</v>
      </c>
      <c r="QDP181" s="367" t="s">
        <v>206</v>
      </c>
      <c r="QDQ181" s="367"/>
      <c r="QDR181" s="367"/>
      <c r="QDS181" s="368" t="s">
        <v>168</v>
      </c>
      <c r="QDT181" s="369">
        <v>0.5</v>
      </c>
      <c r="QDU181" s="370" t="e">
        <f>10/QDQ179</f>
        <v>#DIV/0!</v>
      </c>
      <c r="QDV181" s="371">
        <v>15.38</v>
      </c>
      <c r="QDW181" s="371" t="e">
        <f>QDT181*QDU181*QDV181</f>
        <v>#DIV/0!</v>
      </c>
      <c r="QDX181" s="367" t="s">
        <v>206</v>
      </c>
      <c r="QDY181" s="367"/>
      <c r="QDZ181" s="367"/>
      <c r="QEA181" s="368" t="s">
        <v>168</v>
      </c>
      <c r="QEB181" s="369">
        <v>0.5</v>
      </c>
      <c r="QEC181" s="370" t="e">
        <f>10/QDY179</f>
        <v>#DIV/0!</v>
      </c>
      <c r="QED181" s="371">
        <v>15.38</v>
      </c>
      <c r="QEE181" s="371" t="e">
        <f>QEB181*QEC181*QED181</f>
        <v>#DIV/0!</v>
      </c>
      <c r="QEF181" s="367" t="s">
        <v>206</v>
      </c>
      <c r="QEG181" s="367"/>
      <c r="QEH181" s="367"/>
      <c r="QEI181" s="368" t="s">
        <v>168</v>
      </c>
      <c r="QEJ181" s="369">
        <v>0.5</v>
      </c>
      <c r="QEK181" s="370" t="e">
        <f>10/QEG179</f>
        <v>#DIV/0!</v>
      </c>
      <c r="QEL181" s="371">
        <v>15.38</v>
      </c>
      <c r="QEM181" s="371" t="e">
        <f>QEJ181*QEK181*QEL181</f>
        <v>#DIV/0!</v>
      </c>
      <c r="QEN181" s="367" t="s">
        <v>206</v>
      </c>
      <c r="QEO181" s="367"/>
      <c r="QEP181" s="367"/>
      <c r="QEQ181" s="368" t="s">
        <v>168</v>
      </c>
      <c r="QER181" s="369">
        <v>0.5</v>
      </c>
      <c r="QES181" s="370" t="e">
        <f>10/QEO179</f>
        <v>#DIV/0!</v>
      </c>
      <c r="QET181" s="371">
        <v>15.38</v>
      </c>
      <c r="QEU181" s="371" t="e">
        <f>QER181*QES181*QET181</f>
        <v>#DIV/0!</v>
      </c>
      <c r="QEV181" s="367" t="s">
        <v>206</v>
      </c>
      <c r="QEW181" s="367"/>
      <c r="QEX181" s="367"/>
      <c r="QEY181" s="368" t="s">
        <v>168</v>
      </c>
      <c r="QEZ181" s="369">
        <v>0.5</v>
      </c>
      <c r="QFA181" s="370" t="e">
        <f>10/QEW179</f>
        <v>#DIV/0!</v>
      </c>
      <c r="QFB181" s="371">
        <v>15.38</v>
      </c>
      <c r="QFC181" s="371" t="e">
        <f>QEZ181*QFA181*QFB181</f>
        <v>#DIV/0!</v>
      </c>
      <c r="QFD181" s="367" t="s">
        <v>206</v>
      </c>
      <c r="QFE181" s="367"/>
      <c r="QFF181" s="367"/>
      <c r="QFG181" s="368" t="s">
        <v>168</v>
      </c>
      <c r="QFH181" s="369">
        <v>0.5</v>
      </c>
      <c r="QFI181" s="370" t="e">
        <f>10/QFE179</f>
        <v>#DIV/0!</v>
      </c>
      <c r="QFJ181" s="371">
        <v>15.38</v>
      </c>
      <c r="QFK181" s="371" t="e">
        <f>QFH181*QFI181*QFJ181</f>
        <v>#DIV/0!</v>
      </c>
      <c r="QFL181" s="367" t="s">
        <v>206</v>
      </c>
      <c r="QFM181" s="367"/>
      <c r="QFN181" s="367"/>
      <c r="QFO181" s="368" t="s">
        <v>168</v>
      </c>
      <c r="QFP181" s="369">
        <v>0.5</v>
      </c>
      <c r="QFQ181" s="370" t="e">
        <f>10/QFM179</f>
        <v>#DIV/0!</v>
      </c>
      <c r="QFR181" s="371">
        <v>15.38</v>
      </c>
      <c r="QFS181" s="371" t="e">
        <f>QFP181*QFQ181*QFR181</f>
        <v>#DIV/0!</v>
      </c>
      <c r="QFT181" s="367" t="s">
        <v>206</v>
      </c>
      <c r="QFU181" s="367"/>
      <c r="QFV181" s="367"/>
      <c r="QFW181" s="368" t="s">
        <v>168</v>
      </c>
      <c r="QFX181" s="369">
        <v>0.5</v>
      </c>
      <c r="QFY181" s="370" t="e">
        <f>10/QFU179</f>
        <v>#DIV/0!</v>
      </c>
      <c r="QFZ181" s="371">
        <v>15.38</v>
      </c>
      <c r="QGA181" s="371" t="e">
        <f>QFX181*QFY181*QFZ181</f>
        <v>#DIV/0!</v>
      </c>
      <c r="QGB181" s="367" t="s">
        <v>206</v>
      </c>
      <c r="QGC181" s="367"/>
      <c r="QGD181" s="367"/>
      <c r="QGE181" s="368" t="s">
        <v>168</v>
      </c>
      <c r="QGF181" s="369">
        <v>0.5</v>
      </c>
      <c r="QGG181" s="370" t="e">
        <f>10/QGC179</f>
        <v>#DIV/0!</v>
      </c>
      <c r="QGH181" s="371">
        <v>15.38</v>
      </c>
      <c r="QGI181" s="371" t="e">
        <f>QGF181*QGG181*QGH181</f>
        <v>#DIV/0!</v>
      </c>
      <c r="QGJ181" s="367" t="s">
        <v>206</v>
      </c>
      <c r="QGK181" s="367"/>
      <c r="QGL181" s="367"/>
      <c r="QGM181" s="368" t="s">
        <v>168</v>
      </c>
      <c r="QGN181" s="369">
        <v>0.5</v>
      </c>
      <c r="QGO181" s="370" t="e">
        <f>10/QGK179</f>
        <v>#DIV/0!</v>
      </c>
      <c r="QGP181" s="371">
        <v>15.38</v>
      </c>
      <c r="QGQ181" s="371" t="e">
        <f>QGN181*QGO181*QGP181</f>
        <v>#DIV/0!</v>
      </c>
      <c r="QGR181" s="367" t="s">
        <v>206</v>
      </c>
      <c r="QGS181" s="367"/>
      <c r="QGT181" s="367"/>
      <c r="QGU181" s="368" t="s">
        <v>168</v>
      </c>
      <c r="QGV181" s="369">
        <v>0.5</v>
      </c>
      <c r="QGW181" s="370" t="e">
        <f>10/QGS179</f>
        <v>#DIV/0!</v>
      </c>
      <c r="QGX181" s="371">
        <v>15.38</v>
      </c>
      <c r="QGY181" s="371" t="e">
        <f>QGV181*QGW181*QGX181</f>
        <v>#DIV/0!</v>
      </c>
      <c r="QGZ181" s="367" t="s">
        <v>206</v>
      </c>
      <c r="QHA181" s="367"/>
      <c r="QHB181" s="367"/>
      <c r="QHC181" s="368" t="s">
        <v>168</v>
      </c>
      <c r="QHD181" s="369">
        <v>0.5</v>
      </c>
      <c r="QHE181" s="370" t="e">
        <f>10/QHA179</f>
        <v>#DIV/0!</v>
      </c>
      <c r="QHF181" s="371">
        <v>15.38</v>
      </c>
      <c r="QHG181" s="371" t="e">
        <f>QHD181*QHE181*QHF181</f>
        <v>#DIV/0!</v>
      </c>
      <c r="QHH181" s="367" t="s">
        <v>206</v>
      </c>
      <c r="QHI181" s="367"/>
      <c r="QHJ181" s="367"/>
      <c r="QHK181" s="368" t="s">
        <v>168</v>
      </c>
      <c r="QHL181" s="369">
        <v>0.5</v>
      </c>
      <c r="QHM181" s="370" t="e">
        <f>10/QHI179</f>
        <v>#DIV/0!</v>
      </c>
      <c r="QHN181" s="371">
        <v>15.38</v>
      </c>
      <c r="QHO181" s="371" t="e">
        <f>QHL181*QHM181*QHN181</f>
        <v>#DIV/0!</v>
      </c>
      <c r="QHP181" s="367" t="s">
        <v>206</v>
      </c>
      <c r="QHQ181" s="367"/>
      <c r="QHR181" s="367"/>
      <c r="QHS181" s="368" t="s">
        <v>168</v>
      </c>
      <c r="QHT181" s="369">
        <v>0.5</v>
      </c>
      <c r="QHU181" s="370" t="e">
        <f>10/QHQ179</f>
        <v>#DIV/0!</v>
      </c>
      <c r="QHV181" s="371">
        <v>15.38</v>
      </c>
      <c r="QHW181" s="371" t="e">
        <f>QHT181*QHU181*QHV181</f>
        <v>#DIV/0!</v>
      </c>
      <c r="QHX181" s="367" t="s">
        <v>206</v>
      </c>
      <c r="QHY181" s="367"/>
      <c r="QHZ181" s="367"/>
      <c r="QIA181" s="368" t="s">
        <v>168</v>
      </c>
      <c r="QIB181" s="369">
        <v>0.5</v>
      </c>
      <c r="QIC181" s="370" t="e">
        <f>10/QHY179</f>
        <v>#DIV/0!</v>
      </c>
      <c r="QID181" s="371">
        <v>15.38</v>
      </c>
      <c r="QIE181" s="371" t="e">
        <f>QIB181*QIC181*QID181</f>
        <v>#DIV/0!</v>
      </c>
      <c r="QIF181" s="367" t="s">
        <v>206</v>
      </c>
      <c r="QIG181" s="367"/>
      <c r="QIH181" s="367"/>
      <c r="QII181" s="368" t="s">
        <v>168</v>
      </c>
      <c r="QIJ181" s="369">
        <v>0.5</v>
      </c>
      <c r="QIK181" s="370" t="e">
        <f>10/QIG179</f>
        <v>#DIV/0!</v>
      </c>
      <c r="QIL181" s="371">
        <v>15.38</v>
      </c>
      <c r="QIM181" s="371" t="e">
        <f>QIJ181*QIK181*QIL181</f>
        <v>#DIV/0!</v>
      </c>
      <c r="QIN181" s="367" t="s">
        <v>206</v>
      </c>
      <c r="QIO181" s="367"/>
      <c r="QIP181" s="367"/>
      <c r="QIQ181" s="368" t="s">
        <v>168</v>
      </c>
      <c r="QIR181" s="369">
        <v>0.5</v>
      </c>
      <c r="QIS181" s="370" t="e">
        <f>10/QIO179</f>
        <v>#DIV/0!</v>
      </c>
      <c r="QIT181" s="371">
        <v>15.38</v>
      </c>
      <c r="QIU181" s="371" t="e">
        <f>QIR181*QIS181*QIT181</f>
        <v>#DIV/0!</v>
      </c>
      <c r="QIV181" s="367" t="s">
        <v>206</v>
      </c>
      <c r="QIW181" s="367"/>
      <c r="QIX181" s="367"/>
      <c r="QIY181" s="368" t="s">
        <v>168</v>
      </c>
      <c r="QIZ181" s="369">
        <v>0.5</v>
      </c>
      <c r="QJA181" s="370" t="e">
        <f>10/QIW179</f>
        <v>#DIV/0!</v>
      </c>
      <c r="QJB181" s="371">
        <v>15.38</v>
      </c>
      <c r="QJC181" s="371" t="e">
        <f>QIZ181*QJA181*QJB181</f>
        <v>#DIV/0!</v>
      </c>
      <c r="QJD181" s="367" t="s">
        <v>206</v>
      </c>
      <c r="QJE181" s="367"/>
      <c r="QJF181" s="367"/>
      <c r="QJG181" s="368" t="s">
        <v>168</v>
      </c>
      <c r="QJH181" s="369">
        <v>0.5</v>
      </c>
      <c r="QJI181" s="370" t="e">
        <f>10/QJE179</f>
        <v>#DIV/0!</v>
      </c>
      <c r="QJJ181" s="371">
        <v>15.38</v>
      </c>
      <c r="QJK181" s="371" t="e">
        <f>QJH181*QJI181*QJJ181</f>
        <v>#DIV/0!</v>
      </c>
      <c r="QJL181" s="367" t="s">
        <v>206</v>
      </c>
      <c r="QJM181" s="367"/>
      <c r="QJN181" s="367"/>
      <c r="QJO181" s="368" t="s">
        <v>168</v>
      </c>
      <c r="QJP181" s="369">
        <v>0.5</v>
      </c>
      <c r="QJQ181" s="370" t="e">
        <f>10/QJM179</f>
        <v>#DIV/0!</v>
      </c>
      <c r="QJR181" s="371">
        <v>15.38</v>
      </c>
      <c r="QJS181" s="371" t="e">
        <f>QJP181*QJQ181*QJR181</f>
        <v>#DIV/0!</v>
      </c>
      <c r="QJT181" s="367" t="s">
        <v>206</v>
      </c>
      <c r="QJU181" s="367"/>
      <c r="QJV181" s="367"/>
      <c r="QJW181" s="368" t="s">
        <v>168</v>
      </c>
      <c r="QJX181" s="369">
        <v>0.5</v>
      </c>
      <c r="QJY181" s="370" t="e">
        <f>10/QJU179</f>
        <v>#DIV/0!</v>
      </c>
      <c r="QJZ181" s="371">
        <v>15.38</v>
      </c>
      <c r="QKA181" s="371" t="e">
        <f>QJX181*QJY181*QJZ181</f>
        <v>#DIV/0!</v>
      </c>
      <c r="QKB181" s="367" t="s">
        <v>206</v>
      </c>
      <c r="QKC181" s="367"/>
      <c r="QKD181" s="367"/>
      <c r="QKE181" s="368" t="s">
        <v>168</v>
      </c>
      <c r="QKF181" s="369">
        <v>0.5</v>
      </c>
      <c r="QKG181" s="370" t="e">
        <f>10/QKC179</f>
        <v>#DIV/0!</v>
      </c>
      <c r="QKH181" s="371">
        <v>15.38</v>
      </c>
      <c r="QKI181" s="371" t="e">
        <f>QKF181*QKG181*QKH181</f>
        <v>#DIV/0!</v>
      </c>
      <c r="QKJ181" s="367" t="s">
        <v>206</v>
      </c>
      <c r="QKK181" s="367"/>
      <c r="QKL181" s="367"/>
      <c r="QKM181" s="368" t="s">
        <v>168</v>
      </c>
      <c r="QKN181" s="369">
        <v>0.5</v>
      </c>
      <c r="QKO181" s="370" t="e">
        <f>10/QKK179</f>
        <v>#DIV/0!</v>
      </c>
      <c r="QKP181" s="371">
        <v>15.38</v>
      </c>
      <c r="QKQ181" s="371" t="e">
        <f>QKN181*QKO181*QKP181</f>
        <v>#DIV/0!</v>
      </c>
      <c r="QKR181" s="367" t="s">
        <v>206</v>
      </c>
      <c r="QKS181" s="367"/>
      <c r="QKT181" s="367"/>
      <c r="QKU181" s="368" t="s">
        <v>168</v>
      </c>
      <c r="QKV181" s="369">
        <v>0.5</v>
      </c>
      <c r="QKW181" s="370" t="e">
        <f>10/QKS179</f>
        <v>#DIV/0!</v>
      </c>
      <c r="QKX181" s="371">
        <v>15.38</v>
      </c>
      <c r="QKY181" s="371" t="e">
        <f>QKV181*QKW181*QKX181</f>
        <v>#DIV/0!</v>
      </c>
      <c r="QKZ181" s="367" t="s">
        <v>206</v>
      </c>
      <c r="QLA181" s="367"/>
      <c r="QLB181" s="367"/>
      <c r="QLC181" s="368" t="s">
        <v>168</v>
      </c>
      <c r="QLD181" s="369">
        <v>0.5</v>
      </c>
      <c r="QLE181" s="370" t="e">
        <f>10/QLA179</f>
        <v>#DIV/0!</v>
      </c>
      <c r="QLF181" s="371">
        <v>15.38</v>
      </c>
      <c r="QLG181" s="371" t="e">
        <f>QLD181*QLE181*QLF181</f>
        <v>#DIV/0!</v>
      </c>
      <c r="QLH181" s="367" t="s">
        <v>206</v>
      </c>
      <c r="QLI181" s="367"/>
      <c r="QLJ181" s="367"/>
      <c r="QLK181" s="368" t="s">
        <v>168</v>
      </c>
      <c r="QLL181" s="369">
        <v>0.5</v>
      </c>
      <c r="QLM181" s="370" t="e">
        <f>10/QLI179</f>
        <v>#DIV/0!</v>
      </c>
      <c r="QLN181" s="371">
        <v>15.38</v>
      </c>
      <c r="QLO181" s="371" t="e">
        <f>QLL181*QLM181*QLN181</f>
        <v>#DIV/0!</v>
      </c>
      <c r="QLP181" s="367" t="s">
        <v>206</v>
      </c>
      <c r="QLQ181" s="367"/>
      <c r="QLR181" s="367"/>
      <c r="QLS181" s="368" t="s">
        <v>168</v>
      </c>
      <c r="QLT181" s="369">
        <v>0.5</v>
      </c>
      <c r="QLU181" s="370" t="e">
        <f>10/QLQ179</f>
        <v>#DIV/0!</v>
      </c>
      <c r="QLV181" s="371">
        <v>15.38</v>
      </c>
      <c r="QLW181" s="371" t="e">
        <f>QLT181*QLU181*QLV181</f>
        <v>#DIV/0!</v>
      </c>
      <c r="QLX181" s="367" t="s">
        <v>206</v>
      </c>
      <c r="QLY181" s="367"/>
      <c r="QLZ181" s="367"/>
      <c r="QMA181" s="368" t="s">
        <v>168</v>
      </c>
      <c r="QMB181" s="369">
        <v>0.5</v>
      </c>
      <c r="QMC181" s="370" t="e">
        <f>10/QLY179</f>
        <v>#DIV/0!</v>
      </c>
      <c r="QMD181" s="371">
        <v>15.38</v>
      </c>
      <c r="QME181" s="371" t="e">
        <f>QMB181*QMC181*QMD181</f>
        <v>#DIV/0!</v>
      </c>
      <c r="QMF181" s="367" t="s">
        <v>206</v>
      </c>
      <c r="QMG181" s="367"/>
      <c r="QMH181" s="367"/>
      <c r="QMI181" s="368" t="s">
        <v>168</v>
      </c>
      <c r="QMJ181" s="369">
        <v>0.5</v>
      </c>
      <c r="QMK181" s="370" t="e">
        <f>10/QMG179</f>
        <v>#DIV/0!</v>
      </c>
      <c r="QML181" s="371">
        <v>15.38</v>
      </c>
      <c r="QMM181" s="371" t="e">
        <f>QMJ181*QMK181*QML181</f>
        <v>#DIV/0!</v>
      </c>
      <c r="QMN181" s="367" t="s">
        <v>206</v>
      </c>
      <c r="QMO181" s="367"/>
      <c r="QMP181" s="367"/>
      <c r="QMQ181" s="368" t="s">
        <v>168</v>
      </c>
      <c r="QMR181" s="369">
        <v>0.5</v>
      </c>
      <c r="QMS181" s="370" t="e">
        <f>10/QMO179</f>
        <v>#DIV/0!</v>
      </c>
      <c r="QMT181" s="371">
        <v>15.38</v>
      </c>
      <c r="QMU181" s="371" t="e">
        <f>QMR181*QMS181*QMT181</f>
        <v>#DIV/0!</v>
      </c>
      <c r="QMV181" s="367" t="s">
        <v>206</v>
      </c>
      <c r="QMW181" s="367"/>
      <c r="QMX181" s="367"/>
      <c r="QMY181" s="368" t="s">
        <v>168</v>
      </c>
      <c r="QMZ181" s="369">
        <v>0.5</v>
      </c>
      <c r="QNA181" s="370" t="e">
        <f>10/QMW179</f>
        <v>#DIV/0!</v>
      </c>
      <c r="QNB181" s="371">
        <v>15.38</v>
      </c>
      <c r="QNC181" s="371" t="e">
        <f>QMZ181*QNA181*QNB181</f>
        <v>#DIV/0!</v>
      </c>
      <c r="QND181" s="367" t="s">
        <v>206</v>
      </c>
      <c r="QNE181" s="367"/>
      <c r="QNF181" s="367"/>
      <c r="QNG181" s="368" t="s">
        <v>168</v>
      </c>
      <c r="QNH181" s="369">
        <v>0.5</v>
      </c>
      <c r="QNI181" s="370" t="e">
        <f>10/QNE179</f>
        <v>#DIV/0!</v>
      </c>
      <c r="QNJ181" s="371">
        <v>15.38</v>
      </c>
      <c r="QNK181" s="371" t="e">
        <f>QNH181*QNI181*QNJ181</f>
        <v>#DIV/0!</v>
      </c>
      <c r="QNL181" s="367" t="s">
        <v>206</v>
      </c>
      <c r="QNM181" s="367"/>
      <c r="QNN181" s="367"/>
      <c r="QNO181" s="368" t="s">
        <v>168</v>
      </c>
      <c r="QNP181" s="369">
        <v>0.5</v>
      </c>
      <c r="QNQ181" s="370" t="e">
        <f>10/QNM179</f>
        <v>#DIV/0!</v>
      </c>
      <c r="QNR181" s="371">
        <v>15.38</v>
      </c>
      <c r="QNS181" s="371" t="e">
        <f>QNP181*QNQ181*QNR181</f>
        <v>#DIV/0!</v>
      </c>
      <c r="QNT181" s="367" t="s">
        <v>206</v>
      </c>
      <c r="QNU181" s="367"/>
      <c r="QNV181" s="367"/>
      <c r="QNW181" s="368" t="s">
        <v>168</v>
      </c>
      <c r="QNX181" s="369">
        <v>0.5</v>
      </c>
      <c r="QNY181" s="370" t="e">
        <f>10/QNU179</f>
        <v>#DIV/0!</v>
      </c>
      <c r="QNZ181" s="371">
        <v>15.38</v>
      </c>
      <c r="QOA181" s="371" t="e">
        <f>QNX181*QNY181*QNZ181</f>
        <v>#DIV/0!</v>
      </c>
      <c r="QOB181" s="367" t="s">
        <v>206</v>
      </c>
      <c r="QOC181" s="367"/>
      <c r="QOD181" s="367"/>
      <c r="QOE181" s="368" t="s">
        <v>168</v>
      </c>
      <c r="QOF181" s="369">
        <v>0.5</v>
      </c>
      <c r="QOG181" s="370" t="e">
        <f>10/QOC179</f>
        <v>#DIV/0!</v>
      </c>
      <c r="QOH181" s="371">
        <v>15.38</v>
      </c>
      <c r="QOI181" s="371" t="e">
        <f>QOF181*QOG181*QOH181</f>
        <v>#DIV/0!</v>
      </c>
      <c r="QOJ181" s="367" t="s">
        <v>206</v>
      </c>
      <c r="QOK181" s="367"/>
      <c r="QOL181" s="367"/>
      <c r="QOM181" s="368" t="s">
        <v>168</v>
      </c>
      <c r="QON181" s="369">
        <v>0.5</v>
      </c>
      <c r="QOO181" s="370" t="e">
        <f>10/QOK179</f>
        <v>#DIV/0!</v>
      </c>
      <c r="QOP181" s="371">
        <v>15.38</v>
      </c>
      <c r="QOQ181" s="371" t="e">
        <f>QON181*QOO181*QOP181</f>
        <v>#DIV/0!</v>
      </c>
      <c r="QOR181" s="367" t="s">
        <v>206</v>
      </c>
      <c r="QOS181" s="367"/>
      <c r="QOT181" s="367"/>
      <c r="QOU181" s="368" t="s">
        <v>168</v>
      </c>
      <c r="QOV181" s="369">
        <v>0.5</v>
      </c>
      <c r="QOW181" s="370" t="e">
        <f>10/QOS179</f>
        <v>#DIV/0!</v>
      </c>
      <c r="QOX181" s="371">
        <v>15.38</v>
      </c>
      <c r="QOY181" s="371" t="e">
        <f>QOV181*QOW181*QOX181</f>
        <v>#DIV/0!</v>
      </c>
      <c r="QOZ181" s="367" t="s">
        <v>206</v>
      </c>
      <c r="QPA181" s="367"/>
      <c r="QPB181" s="367"/>
      <c r="QPC181" s="368" t="s">
        <v>168</v>
      </c>
      <c r="QPD181" s="369">
        <v>0.5</v>
      </c>
      <c r="QPE181" s="370" t="e">
        <f>10/QPA179</f>
        <v>#DIV/0!</v>
      </c>
      <c r="QPF181" s="371">
        <v>15.38</v>
      </c>
      <c r="QPG181" s="371" t="e">
        <f>QPD181*QPE181*QPF181</f>
        <v>#DIV/0!</v>
      </c>
      <c r="QPH181" s="367" t="s">
        <v>206</v>
      </c>
      <c r="QPI181" s="367"/>
      <c r="QPJ181" s="367"/>
      <c r="QPK181" s="368" t="s">
        <v>168</v>
      </c>
      <c r="QPL181" s="369">
        <v>0.5</v>
      </c>
      <c r="QPM181" s="370" t="e">
        <f>10/QPI179</f>
        <v>#DIV/0!</v>
      </c>
      <c r="QPN181" s="371">
        <v>15.38</v>
      </c>
      <c r="QPO181" s="371" t="e">
        <f>QPL181*QPM181*QPN181</f>
        <v>#DIV/0!</v>
      </c>
      <c r="QPP181" s="367" t="s">
        <v>206</v>
      </c>
      <c r="QPQ181" s="367"/>
      <c r="QPR181" s="367"/>
      <c r="QPS181" s="368" t="s">
        <v>168</v>
      </c>
      <c r="QPT181" s="369">
        <v>0.5</v>
      </c>
      <c r="QPU181" s="370" t="e">
        <f>10/QPQ179</f>
        <v>#DIV/0!</v>
      </c>
      <c r="QPV181" s="371">
        <v>15.38</v>
      </c>
      <c r="QPW181" s="371" t="e">
        <f>QPT181*QPU181*QPV181</f>
        <v>#DIV/0!</v>
      </c>
      <c r="QPX181" s="367" t="s">
        <v>206</v>
      </c>
      <c r="QPY181" s="367"/>
      <c r="QPZ181" s="367"/>
      <c r="QQA181" s="368" t="s">
        <v>168</v>
      </c>
      <c r="QQB181" s="369">
        <v>0.5</v>
      </c>
      <c r="QQC181" s="370" t="e">
        <f>10/QPY179</f>
        <v>#DIV/0!</v>
      </c>
      <c r="QQD181" s="371">
        <v>15.38</v>
      </c>
      <c r="QQE181" s="371" t="e">
        <f>QQB181*QQC181*QQD181</f>
        <v>#DIV/0!</v>
      </c>
      <c r="QQF181" s="367" t="s">
        <v>206</v>
      </c>
      <c r="QQG181" s="367"/>
      <c r="QQH181" s="367"/>
      <c r="QQI181" s="368" t="s">
        <v>168</v>
      </c>
      <c r="QQJ181" s="369">
        <v>0.5</v>
      </c>
      <c r="QQK181" s="370" t="e">
        <f>10/QQG179</f>
        <v>#DIV/0!</v>
      </c>
      <c r="QQL181" s="371">
        <v>15.38</v>
      </c>
      <c r="QQM181" s="371" t="e">
        <f>QQJ181*QQK181*QQL181</f>
        <v>#DIV/0!</v>
      </c>
      <c r="QQN181" s="367" t="s">
        <v>206</v>
      </c>
      <c r="QQO181" s="367"/>
      <c r="QQP181" s="367"/>
      <c r="QQQ181" s="368" t="s">
        <v>168</v>
      </c>
      <c r="QQR181" s="369">
        <v>0.5</v>
      </c>
      <c r="QQS181" s="370" t="e">
        <f>10/QQO179</f>
        <v>#DIV/0!</v>
      </c>
      <c r="QQT181" s="371">
        <v>15.38</v>
      </c>
      <c r="QQU181" s="371" t="e">
        <f>QQR181*QQS181*QQT181</f>
        <v>#DIV/0!</v>
      </c>
      <c r="QQV181" s="367" t="s">
        <v>206</v>
      </c>
      <c r="QQW181" s="367"/>
      <c r="QQX181" s="367"/>
      <c r="QQY181" s="368" t="s">
        <v>168</v>
      </c>
      <c r="QQZ181" s="369">
        <v>0.5</v>
      </c>
      <c r="QRA181" s="370" t="e">
        <f>10/QQW179</f>
        <v>#DIV/0!</v>
      </c>
      <c r="QRB181" s="371">
        <v>15.38</v>
      </c>
      <c r="QRC181" s="371" t="e">
        <f>QQZ181*QRA181*QRB181</f>
        <v>#DIV/0!</v>
      </c>
      <c r="QRD181" s="367" t="s">
        <v>206</v>
      </c>
      <c r="QRE181" s="367"/>
      <c r="QRF181" s="367"/>
      <c r="QRG181" s="368" t="s">
        <v>168</v>
      </c>
      <c r="QRH181" s="369">
        <v>0.5</v>
      </c>
      <c r="QRI181" s="370" t="e">
        <f>10/QRE179</f>
        <v>#DIV/0!</v>
      </c>
      <c r="QRJ181" s="371">
        <v>15.38</v>
      </c>
      <c r="QRK181" s="371" t="e">
        <f>QRH181*QRI181*QRJ181</f>
        <v>#DIV/0!</v>
      </c>
      <c r="QRL181" s="367" t="s">
        <v>206</v>
      </c>
      <c r="QRM181" s="367"/>
      <c r="QRN181" s="367"/>
      <c r="QRO181" s="368" t="s">
        <v>168</v>
      </c>
      <c r="QRP181" s="369">
        <v>0.5</v>
      </c>
      <c r="QRQ181" s="370" t="e">
        <f>10/QRM179</f>
        <v>#DIV/0!</v>
      </c>
      <c r="QRR181" s="371">
        <v>15.38</v>
      </c>
      <c r="QRS181" s="371" t="e">
        <f>QRP181*QRQ181*QRR181</f>
        <v>#DIV/0!</v>
      </c>
      <c r="QRT181" s="367" t="s">
        <v>206</v>
      </c>
      <c r="QRU181" s="367"/>
      <c r="QRV181" s="367"/>
      <c r="QRW181" s="368" t="s">
        <v>168</v>
      </c>
      <c r="QRX181" s="369">
        <v>0.5</v>
      </c>
      <c r="QRY181" s="370" t="e">
        <f>10/QRU179</f>
        <v>#DIV/0!</v>
      </c>
      <c r="QRZ181" s="371">
        <v>15.38</v>
      </c>
      <c r="QSA181" s="371" t="e">
        <f>QRX181*QRY181*QRZ181</f>
        <v>#DIV/0!</v>
      </c>
      <c r="QSB181" s="367" t="s">
        <v>206</v>
      </c>
      <c r="QSC181" s="367"/>
      <c r="QSD181" s="367"/>
      <c r="QSE181" s="368" t="s">
        <v>168</v>
      </c>
      <c r="QSF181" s="369">
        <v>0.5</v>
      </c>
      <c r="QSG181" s="370" t="e">
        <f>10/QSC179</f>
        <v>#DIV/0!</v>
      </c>
      <c r="QSH181" s="371">
        <v>15.38</v>
      </c>
      <c r="QSI181" s="371" t="e">
        <f>QSF181*QSG181*QSH181</f>
        <v>#DIV/0!</v>
      </c>
      <c r="QSJ181" s="367" t="s">
        <v>206</v>
      </c>
      <c r="QSK181" s="367"/>
      <c r="QSL181" s="367"/>
      <c r="QSM181" s="368" t="s">
        <v>168</v>
      </c>
      <c r="QSN181" s="369">
        <v>0.5</v>
      </c>
      <c r="QSO181" s="370" t="e">
        <f>10/QSK179</f>
        <v>#DIV/0!</v>
      </c>
      <c r="QSP181" s="371">
        <v>15.38</v>
      </c>
      <c r="QSQ181" s="371" t="e">
        <f>QSN181*QSO181*QSP181</f>
        <v>#DIV/0!</v>
      </c>
      <c r="QSR181" s="367" t="s">
        <v>206</v>
      </c>
      <c r="QSS181" s="367"/>
      <c r="QST181" s="367"/>
      <c r="QSU181" s="368" t="s">
        <v>168</v>
      </c>
      <c r="QSV181" s="369">
        <v>0.5</v>
      </c>
      <c r="QSW181" s="370" t="e">
        <f>10/QSS179</f>
        <v>#DIV/0!</v>
      </c>
      <c r="QSX181" s="371">
        <v>15.38</v>
      </c>
      <c r="QSY181" s="371" t="e">
        <f>QSV181*QSW181*QSX181</f>
        <v>#DIV/0!</v>
      </c>
      <c r="QSZ181" s="367" t="s">
        <v>206</v>
      </c>
      <c r="QTA181" s="367"/>
      <c r="QTB181" s="367"/>
      <c r="QTC181" s="368" t="s">
        <v>168</v>
      </c>
      <c r="QTD181" s="369">
        <v>0.5</v>
      </c>
      <c r="QTE181" s="370" t="e">
        <f>10/QTA179</f>
        <v>#DIV/0!</v>
      </c>
      <c r="QTF181" s="371">
        <v>15.38</v>
      </c>
      <c r="QTG181" s="371" t="e">
        <f>QTD181*QTE181*QTF181</f>
        <v>#DIV/0!</v>
      </c>
      <c r="QTH181" s="367" t="s">
        <v>206</v>
      </c>
      <c r="QTI181" s="367"/>
      <c r="QTJ181" s="367"/>
      <c r="QTK181" s="368" t="s">
        <v>168</v>
      </c>
      <c r="QTL181" s="369">
        <v>0.5</v>
      </c>
      <c r="QTM181" s="370" t="e">
        <f>10/QTI179</f>
        <v>#DIV/0!</v>
      </c>
      <c r="QTN181" s="371">
        <v>15.38</v>
      </c>
      <c r="QTO181" s="371" t="e">
        <f>QTL181*QTM181*QTN181</f>
        <v>#DIV/0!</v>
      </c>
      <c r="QTP181" s="367" t="s">
        <v>206</v>
      </c>
      <c r="QTQ181" s="367"/>
      <c r="QTR181" s="367"/>
      <c r="QTS181" s="368" t="s">
        <v>168</v>
      </c>
      <c r="QTT181" s="369">
        <v>0.5</v>
      </c>
      <c r="QTU181" s="370" t="e">
        <f>10/QTQ179</f>
        <v>#DIV/0!</v>
      </c>
      <c r="QTV181" s="371">
        <v>15.38</v>
      </c>
      <c r="QTW181" s="371" t="e">
        <f>QTT181*QTU181*QTV181</f>
        <v>#DIV/0!</v>
      </c>
      <c r="QTX181" s="367" t="s">
        <v>206</v>
      </c>
      <c r="QTY181" s="367"/>
      <c r="QTZ181" s="367"/>
      <c r="QUA181" s="368" t="s">
        <v>168</v>
      </c>
      <c r="QUB181" s="369">
        <v>0.5</v>
      </c>
      <c r="QUC181" s="370" t="e">
        <f>10/QTY179</f>
        <v>#DIV/0!</v>
      </c>
      <c r="QUD181" s="371">
        <v>15.38</v>
      </c>
      <c r="QUE181" s="371" t="e">
        <f>QUB181*QUC181*QUD181</f>
        <v>#DIV/0!</v>
      </c>
      <c r="QUF181" s="367" t="s">
        <v>206</v>
      </c>
      <c r="QUG181" s="367"/>
      <c r="QUH181" s="367"/>
      <c r="QUI181" s="368" t="s">
        <v>168</v>
      </c>
      <c r="QUJ181" s="369">
        <v>0.5</v>
      </c>
      <c r="QUK181" s="370" t="e">
        <f>10/QUG179</f>
        <v>#DIV/0!</v>
      </c>
      <c r="QUL181" s="371">
        <v>15.38</v>
      </c>
      <c r="QUM181" s="371" t="e">
        <f>QUJ181*QUK181*QUL181</f>
        <v>#DIV/0!</v>
      </c>
      <c r="QUN181" s="367" t="s">
        <v>206</v>
      </c>
      <c r="QUO181" s="367"/>
      <c r="QUP181" s="367"/>
      <c r="QUQ181" s="368" t="s">
        <v>168</v>
      </c>
      <c r="QUR181" s="369">
        <v>0.5</v>
      </c>
      <c r="QUS181" s="370" t="e">
        <f>10/QUO179</f>
        <v>#DIV/0!</v>
      </c>
      <c r="QUT181" s="371">
        <v>15.38</v>
      </c>
      <c r="QUU181" s="371" t="e">
        <f>QUR181*QUS181*QUT181</f>
        <v>#DIV/0!</v>
      </c>
      <c r="QUV181" s="367" t="s">
        <v>206</v>
      </c>
      <c r="QUW181" s="367"/>
      <c r="QUX181" s="367"/>
      <c r="QUY181" s="368" t="s">
        <v>168</v>
      </c>
      <c r="QUZ181" s="369">
        <v>0.5</v>
      </c>
      <c r="QVA181" s="370" t="e">
        <f>10/QUW179</f>
        <v>#DIV/0!</v>
      </c>
      <c r="QVB181" s="371">
        <v>15.38</v>
      </c>
      <c r="QVC181" s="371" t="e">
        <f>QUZ181*QVA181*QVB181</f>
        <v>#DIV/0!</v>
      </c>
      <c r="QVD181" s="367" t="s">
        <v>206</v>
      </c>
      <c r="QVE181" s="367"/>
      <c r="QVF181" s="367"/>
      <c r="QVG181" s="368" t="s">
        <v>168</v>
      </c>
      <c r="QVH181" s="369">
        <v>0.5</v>
      </c>
      <c r="QVI181" s="370" t="e">
        <f>10/QVE179</f>
        <v>#DIV/0!</v>
      </c>
      <c r="QVJ181" s="371">
        <v>15.38</v>
      </c>
      <c r="QVK181" s="371" t="e">
        <f>QVH181*QVI181*QVJ181</f>
        <v>#DIV/0!</v>
      </c>
      <c r="QVL181" s="367" t="s">
        <v>206</v>
      </c>
      <c r="QVM181" s="367"/>
      <c r="QVN181" s="367"/>
      <c r="QVO181" s="368" t="s">
        <v>168</v>
      </c>
      <c r="QVP181" s="369">
        <v>0.5</v>
      </c>
      <c r="QVQ181" s="370" t="e">
        <f>10/QVM179</f>
        <v>#DIV/0!</v>
      </c>
      <c r="QVR181" s="371">
        <v>15.38</v>
      </c>
      <c r="QVS181" s="371" t="e">
        <f>QVP181*QVQ181*QVR181</f>
        <v>#DIV/0!</v>
      </c>
      <c r="QVT181" s="367" t="s">
        <v>206</v>
      </c>
      <c r="QVU181" s="367"/>
      <c r="QVV181" s="367"/>
      <c r="QVW181" s="368" t="s">
        <v>168</v>
      </c>
      <c r="QVX181" s="369">
        <v>0.5</v>
      </c>
      <c r="QVY181" s="370" t="e">
        <f>10/QVU179</f>
        <v>#DIV/0!</v>
      </c>
      <c r="QVZ181" s="371">
        <v>15.38</v>
      </c>
      <c r="QWA181" s="371" t="e">
        <f>QVX181*QVY181*QVZ181</f>
        <v>#DIV/0!</v>
      </c>
      <c r="QWB181" s="367" t="s">
        <v>206</v>
      </c>
      <c r="QWC181" s="367"/>
      <c r="QWD181" s="367"/>
      <c r="QWE181" s="368" t="s">
        <v>168</v>
      </c>
      <c r="QWF181" s="369">
        <v>0.5</v>
      </c>
      <c r="QWG181" s="370" t="e">
        <f>10/QWC179</f>
        <v>#DIV/0!</v>
      </c>
      <c r="QWH181" s="371">
        <v>15.38</v>
      </c>
      <c r="QWI181" s="371" t="e">
        <f>QWF181*QWG181*QWH181</f>
        <v>#DIV/0!</v>
      </c>
      <c r="QWJ181" s="367" t="s">
        <v>206</v>
      </c>
      <c r="QWK181" s="367"/>
      <c r="QWL181" s="367"/>
      <c r="QWM181" s="368" t="s">
        <v>168</v>
      </c>
      <c r="QWN181" s="369">
        <v>0.5</v>
      </c>
      <c r="QWO181" s="370" t="e">
        <f>10/QWK179</f>
        <v>#DIV/0!</v>
      </c>
      <c r="QWP181" s="371">
        <v>15.38</v>
      </c>
      <c r="QWQ181" s="371" t="e">
        <f>QWN181*QWO181*QWP181</f>
        <v>#DIV/0!</v>
      </c>
      <c r="QWR181" s="367" t="s">
        <v>206</v>
      </c>
      <c r="QWS181" s="367"/>
      <c r="QWT181" s="367"/>
      <c r="QWU181" s="368" t="s">
        <v>168</v>
      </c>
      <c r="QWV181" s="369">
        <v>0.5</v>
      </c>
      <c r="QWW181" s="370" t="e">
        <f>10/QWS179</f>
        <v>#DIV/0!</v>
      </c>
      <c r="QWX181" s="371">
        <v>15.38</v>
      </c>
      <c r="QWY181" s="371" t="e">
        <f>QWV181*QWW181*QWX181</f>
        <v>#DIV/0!</v>
      </c>
      <c r="QWZ181" s="367" t="s">
        <v>206</v>
      </c>
      <c r="QXA181" s="367"/>
      <c r="QXB181" s="367"/>
      <c r="QXC181" s="368" t="s">
        <v>168</v>
      </c>
      <c r="QXD181" s="369">
        <v>0.5</v>
      </c>
      <c r="QXE181" s="370" t="e">
        <f>10/QXA179</f>
        <v>#DIV/0!</v>
      </c>
      <c r="QXF181" s="371">
        <v>15.38</v>
      </c>
      <c r="QXG181" s="371" t="e">
        <f>QXD181*QXE181*QXF181</f>
        <v>#DIV/0!</v>
      </c>
      <c r="QXH181" s="367" t="s">
        <v>206</v>
      </c>
      <c r="QXI181" s="367"/>
      <c r="QXJ181" s="367"/>
      <c r="QXK181" s="368" t="s">
        <v>168</v>
      </c>
      <c r="QXL181" s="369">
        <v>0.5</v>
      </c>
      <c r="QXM181" s="370" t="e">
        <f>10/QXI179</f>
        <v>#DIV/0!</v>
      </c>
      <c r="QXN181" s="371">
        <v>15.38</v>
      </c>
      <c r="QXO181" s="371" t="e">
        <f>QXL181*QXM181*QXN181</f>
        <v>#DIV/0!</v>
      </c>
      <c r="QXP181" s="367" t="s">
        <v>206</v>
      </c>
      <c r="QXQ181" s="367"/>
      <c r="QXR181" s="367"/>
      <c r="QXS181" s="368" t="s">
        <v>168</v>
      </c>
      <c r="QXT181" s="369">
        <v>0.5</v>
      </c>
      <c r="QXU181" s="370" t="e">
        <f>10/QXQ179</f>
        <v>#DIV/0!</v>
      </c>
      <c r="QXV181" s="371">
        <v>15.38</v>
      </c>
      <c r="QXW181" s="371" t="e">
        <f>QXT181*QXU181*QXV181</f>
        <v>#DIV/0!</v>
      </c>
      <c r="QXX181" s="367" t="s">
        <v>206</v>
      </c>
      <c r="QXY181" s="367"/>
      <c r="QXZ181" s="367"/>
      <c r="QYA181" s="368" t="s">
        <v>168</v>
      </c>
      <c r="QYB181" s="369">
        <v>0.5</v>
      </c>
      <c r="QYC181" s="370" t="e">
        <f>10/QXY179</f>
        <v>#DIV/0!</v>
      </c>
      <c r="QYD181" s="371">
        <v>15.38</v>
      </c>
      <c r="QYE181" s="371" t="e">
        <f>QYB181*QYC181*QYD181</f>
        <v>#DIV/0!</v>
      </c>
      <c r="QYF181" s="367" t="s">
        <v>206</v>
      </c>
      <c r="QYG181" s="367"/>
      <c r="QYH181" s="367"/>
      <c r="QYI181" s="368" t="s">
        <v>168</v>
      </c>
      <c r="QYJ181" s="369">
        <v>0.5</v>
      </c>
      <c r="QYK181" s="370" t="e">
        <f>10/QYG179</f>
        <v>#DIV/0!</v>
      </c>
      <c r="QYL181" s="371">
        <v>15.38</v>
      </c>
      <c r="QYM181" s="371" t="e">
        <f>QYJ181*QYK181*QYL181</f>
        <v>#DIV/0!</v>
      </c>
      <c r="QYN181" s="367" t="s">
        <v>206</v>
      </c>
      <c r="QYO181" s="367"/>
      <c r="QYP181" s="367"/>
      <c r="QYQ181" s="368" t="s">
        <v>168</v>
      </c>
      <c r="QYR181" s="369">
        <v>0.5</v>
      </c>
      <c r="QYS181" s="370" t="e">
        <f>10/QYO179</f>
        <v>#DIV/0!</v>
      </c>
      <c r="QYT181" s="371">
        <v>15.38</v>
      </c>
      <c r="QYU181" s="371" t="e">
        <f>QYR181*QYS181*QYT181</f>
        <v>#DIV/0!</v>
      </c>
      <c r="QYV181" s="367" t="s">
        <v>206</v>
      </c>
      <c r="QYW181" s="367"/>
      <c r="QYX181" s="367"/>
      <c r="QYY181" s="368" t="s">
        <v>168</v>
      </c>
      <c r="QYZ181" s="369">
        <v>0.5</v>
      </c>
      <c r="QZA181" s="370" t="e">
        <f>10/QYW179</f>
        <v>#DIV/0!</v>
      </c>
      <c r="QZB181" s="371">
        <v>15.38</v>
      </c>
      <c r="QZC181" s="371" t="e">
        <f>QYZ181*QZA181*QZB181</f>
        <v>#DIV/0!</v>
      </c>
      <c r="QZD181" s="367" t="s">
        <v>206</v>
      </c>
      <c r="QZE181" s="367"/>
      <c r="QZF181" s="367"/>
      <c r="QZG181" s="368" t="s">
        <v>168</v>
      </c>
      <c r="QZH181" s="369">
        <v>0.5</v>
      </c>
      <c r="QZI181" s="370" t="e">
        <f>10/QZE179</f>
        <v>#DIV/0!</v>
      </c>
      <c r="QZJ181" s="371">
        <v>15.38</v>
      </c>
      <c r="QZK181" s="371" t="e">
        <f>QZH181*QZI181*QZJ181</f>
        <v>#DIV/0!</v>
      </c>
      <c r="QZL181" s="367" t="s">
        <v>206</v>
      </c>
      <c r="QZM181" s="367"/>
      <c r="QZN181" s="367"/>
      <c r="QZO181" s="368" t="s">
        <v>168</v>
      </c>
      <c r="QZP181" s="369">
        <v>0.5</v>
      </c>
      <c r="QZQ181" s="370" t="e">
        <f>10/QZM179</f>
        <v>#DIV/0!</v>
      </c>
      <c r="QZR181" s="371">
        <v>15.38</v>
      </c>
      <c r="QZS181" s="371" t="e">
        <f>QZP181*QZQ181*QZR181</f>
        <v>#DIV/0!</v>
      </c>
      <c r="QZT181" s="367" t="s">
        <v>206</v>
      </c>
      <c r="QZU181" s="367"/>
      <c r="QZV181" s="367"/>
      <c r="QZW181" s="368" t="s">
        <v>168</v>
      </c>
      <c r="QZX181" s="369">
        <v>0.5</v>
      </c>
      <c r="QZY181" s="370" t="e">
        <f>10/QZU179</f>
        <v>#DIV/0!</v>
      </c>
      <c r="QZZ181" s="371">
        <v>15.38</v>
      </c>
      <c r="RAA181" s="371" t="e">
        <f>QZX181*QZY181*QZZ181</f>
        <v>#DIV/0!</v>
      </c>
      <c r="RAB181" s="367" t="s">
        <v>206</v>
      </c>
      <c r="RAC181" s="367"/>
      <c r="RAD181" s="367"/>
      <c r="RAE181" s="368" t="s">
        <v>168</v>
      </c>
      <c r="RAF181" s="369">
        <v>0.5</v>
      </c>
      <c r="RAG181" s="370" t="e">
        <f>10/RAC179</f>
        <v>#DIV/0!</v>
      </c>
      <c r="RAH181" s="371">
        <v>15.38</v>
      </c>
      <c r="RAI181" s="371" t="e">
        <f>RAF181*RAG181*RAH181</f>
        <v>#DIV/0!</v>
      </c>
      <c r="RAJ181" s="367" t="s">
        <v>206</v>
      </c>
      <c r="RAK181" s="367"/>
      <c r="RAL181" s="367"/>
      <c r="RAM181" s="368" t="s">
        <v>168</v>
      </c>
      <c r="RAN181" s="369">
        <v>0.5</v>
      </c>
      <c r="RAO181" s="370" t="e">
        <f>10/RAK179</f>
        <v>#DIV/0!</v>
      </c>
      <c r="RAP181" s="371">
        <v>15.38</v>
      </c>
      <c r="RAQ181" s="371" t="e">
        <f>RAN181*RAO181*RAP181</f>
        <v>#DIV/0!</v>
      </c>
      <c r="RAR181" s="367" t="s">
        <v>206</v>
      </c>
      <c r="RAS181" s="367"/>
      <c r="RAT181" s="367"/>
      <c r="RAU181" s="368" t="s">
        <v>168</v>
      </c>
      <c r="RAV181" s="369">
        <v>0.5</v>
      </c>
      <c r="RAW181" s="370" t="e">
        <f>10/RAS179</f>
        <v>#DIV/0!</v>
      </c>
      <c r="RAX181" s="371">
        <v>15.38</v>
      </c>
      <c r="RAY181" s="371" t="e">
        <f>RAV181*RAW181*RAX181</f>
        <v>#DIV/0!</v>
      </c>
      <c r="RAZ181" s="367" t="s">
        <v>206</v>
      </c>
      <c r="RBA181" s="367"/>
      <c r="RBB181" s="367"/>
      <c r="RBC181" s="368" t="s">
        <v>168</v>
      </c>
      <c r="RBD181" s="369">
        <v>0.5</v>
      </c>
      <c r="RBE181" s="370" t="e">
        <f>10/RBA179</f>
        <v>#DIV/0!</v>
      </c>
      <c r="RBF181" s="371">
        <v>15.38</v>
      </c>
      <c r="RBG181" s="371" t="e">
        <f>RBD181*RBE181*RBF181</f>
        <v>#DIV/0!</v>
      </c>
      <c r="RBH181" s="367" t="s">
        <v>206</v>
      </c>
      <c r="RBI181" s="367"/>
      <c r="RBJ181" s="367"/>
      <c r="RBK181" s="368" t="s">
        <v>168</v>
      </c>
      <c r="RBL181" s="369">
        <v>0.5</v>
      </c>
      <c r="RBM181" s="370" t="e">
        <f>10/RBI179</f>
        <v>#DIV/0!</v>
      </c>
      <c r="RBN181" s="371">
        <v>15.38</v>
      </c>
      <c r="RBO181" s="371" t="e">
        <f>RBL181*RBM181*RBN181</f>
        <v>#DIV/0!</v>
      </c>
      <c r="RBP181" s="367" t="s">
        <v>206</v>
      </c>
      <c r="RBQ181" s="367"/>
      <c r="RBR181" s="367"/>
      <c r="RBS181" s="368" t="s">
        <v>168</v>
      </c>
      <c r="RBT181" s="369">
        <v>0.5</v>
      </c>
      <c r="RBU181" s="370" t="e">
        <f>10/RBQ179</f>
        <v>#DIV/0!</v>
      </c>
      <c r="RBV181" s="371">
        <v>15.38</v>
      </c>
      <c r="RBW181" s="371" t="e">
        <f>RBT181*RBU181*RBV181</f>
        <v>#DIV/0!</v>
      </c>
      <c r="RBX181" s="367" t="s">
        <v>206</v>
      </c>
      <c r="RBY181" s="367"/>
      <c r="RBZ181" s="367"/>
      <c r="RCA181" s="368" t="s">
        <v>168</v>
      </c>
      <c r="RCB181" s="369">
        <v>0.5</v>
      </c>
      <c r="RCC181" s="370" t="e">
        <f>10/RBY179</f>
        <v>#DIV/0!</v>
      </c>
      <c r="RCD181" s="371">
        <v>15.38</v>
      </c>
      <c r="RCE181" s="371" t="e">
        <f>RCB181*RCC181*RCD181</f>
        <v>#DIV/0!</v>
      </c>
      <c r="RCF181" s="367" t="s">
        <v>206</v>
      </c>
      <c r="RCG181" s="367"/>
      <c r="RCH181" s="367"/>
      <c r="RCI181" s="368" t="s">
        <v>168</v>
      </c>
      <c r="RCJ181" s="369">
        <v>0.5</v>
      </c>
      <c r="RCK181" s="370" t="e">
        <f>10/RCG179</f>
        <v>#DIV/0!</v>
      </c>
      <c r="RCL181" s="371">
        <v>15.38</v>
      </c>
      <c r="RCM181" s="371" t="e">
        <f>RCJ181*RCK181*RCL181</f>
        <v>#DIV/0!</v>
      </c>
      <c r="RCN181" s="367" t="s">
        <v>206</v>
      </c>
      <c r="RCO181" s="367"/>
      <c r="RCP181" s="367"/>
      <c r="RCQ181" s="368" t="s">
        <v>168</v>
      </c>
      <c r="RCR181" s="369">
        <v>0.5</v>
      </c>
      <c r="RCS181" s="370" t="e">
        <f>10/RCO179</f>
        <v>#DIV/0!</v>
      </c>
      <c r="RCT181" s="371">
        <v>15.38</v>
      </c>
      <c r="RCU181" s="371" t="e">
        <f>RCR181*RCS181*RCT181</f>
        <v>#DIV/0!</v>
      </c>
      <c r="RCV181" s="367" t="s">
        <v>206</v>
      </c>
      <c r="RCW181" s="367"/>
      <c r="RCX181" s="367"/>
      <c r="RCY181" s="368" t="s">
        <v>168</v>
      </c>
      <c r="RCZ181" s="369">
        <v>0.5</v>
      </c>
      <c r="RDA181" s="370" t="e">
        <f>10/RCW179</f>
        <v>#DIV/0!</v>
      </c>
      <c r="RDB181" s="371">
        <v>15.38</v>
      </c>
      <c r="RDC181" s="371" t="e">
        <f>RCZ181*RDA181*RDB181</f>
        <v>#DIV/0!</v>
      </c>
      <c r="RDD181" s="367" t="s">
        <v>206</v>
      </c>
      <c r="RDE181" s="367"/>
      <c r="RDF181" s="367"/>
      <c r="RDG181" s="368" t="s">
        <v>168</v>
      </c>
      <c r="RDH181" s="369">
        <v>0.5</v>
      </c>
      <c r="RDI181" s="370" t="e">
        <f>10/RDE179</f>
        <v>#DIV/0!</v>
      </c>
      <c r="RDJ181" s="371">
        <v>15.38</v>
      </c>
      <c r="RDK181" s="371" t="e">
        <f>RDH181*RDI181*RDJ181</f>
        <v>#DIV/0!</v>
      </c>
      <c r="RDL181" s="367" t="s">
        <v>206</v>
      </c>
      <c r="RDM181" s="367"/>
      <c r="RDN181" s="367"/>
      <c r="RDO181" s="368" t="s">
        <v>168</v>
      </c>
      <c r="RDP181" s="369">
        <v>0.5</v>
      </c>
      <c r="RDQ181" s="370" t="e">
        <f>10/RDM179</f>
        <v>#DIV/0!</v>
      </c>
      <c r="RDR181" s="371">
        <v>15.38</v>
      </c>
      <c r="RDS181" s="371" t="e">
        <f>RDP181*RDQ181*RDR181</f>
        <v>#DIV/0!</v>
      </c>
      <c r="RDT181" s="367" t="s">
        <v>206</v>
      </c>
      <c r="RDU181" s="367"/>
      <c r="RDV181" s="367"/>
      <c r="RDW181" s="368" t="s">
        <v>168</v>
      </c>
      <c r="RDX181" s="369">
        <v>0.5</v>
      </c>
      <c r="RDY181" s="370" t="e">
        <f>10/RDU179</f>
        <v>#DIV/0!</v>
      </c>
      <c r="RDZ181" s="371">
        <v>15.38</v>
      </c>
      <c r="REA181" s="371" t="e">
        <f>RDX181*RDY181*RDZ181</f>
        <v>#DIV/0!</v>
      </c>
      <c r="REB181" s="367" t="s">
        <v>206</v>
      </c>
      <c r="REC181" s="367"/>
      <c r="RED181" s="367"/>
      <c r="REE181" s="368" t="s">
        <v>168</v>
      </c>
      <c r="REF181" s="369">
        <v>0.5</v>
      </c>
      <c r="REG181" s="370" t="e">
        <f>10/REC179</f>
        <v>#DIV/0!</v>
      </c>
      <c r="REH181" s="371">
        <v>15.38</v>
      </c>
      <c r="REI181" s="371" t="e">
        <f>REF181*REG181*REH181</f>
        <v>#DIV/0!</v>
      </c>
      <c r="REJ181" s="367" t="s">
        <v>206</v>
      </c>
      <c r="REK181" s="367"/>
      <c r="REL181" s="367"/>
      <c r="REM181" s="368" t="s">
        <v>168</v>
      </c>
      <c r="REN181" s="369">
        <v>0.5</v>
      </c>
      <c r="REO181" s="370" t="e">
        <f>10/REK179</f>
        <v>#DIV/0!</v>
      </c>
      <c r="REP181" s="371">
        <v>15.38</v>
      </c>
      <c r="REQ181" s="371" t="e">
        <f>REN181*REO181*REP181</f>
        <v>#DIV/0!</v>
      </c>
      <c r="RER181" s="367" t="s">
        <v>206</v>
      </c>
      <c r="RES181" s="367"/>
      <c r="RET181" s="367"/>
      <c r="REU181" s="368" t="s">
        <v>168</v>
      </c>
      <c r="REV181" s="369">
        <v>0.5</v>
      </c>
      <c r="REW181" s="370" t="e">
        <f>10/RES179</f>
        <v>#DIV/0!</v>
      </c>
      <c r="REX181" s="371">
        <v>15.38</v>
      </c>
      <c r="REY181" s="371" t="e">
        <f>REV181*REW181*REX181</f>
        <v>#DIV/0!</v>
      </c>
      <c r="REZ181" s="367" t="s">
        <v>206</v>
      </c>
      <c r="RFA181" s="367"/>
      <c r="RFB181" s="367"/>
      <c r="RFC181" s="368" t="s">
        <v>168</v>
      </c>
      <c r="RFD181" s="369">
        <v>0.5</v>
      </c>
      <c r="RFE181" s="370" t="e">
        <f>10/RFA179</f>
        <v>#DIV/0!</v>
      </c>
      <c r="RFF181" s="371">
        <v>15.38</v>
      </c>
      <c r="RFG181" s="371" t="e">
        <f>RFD181*RFE181*RFF181</f>
        <v>#DIV/0!</v>
      </c>
      <c r="RFH181" s="367" t="s">
        <v>206</v>
      </c>
      <c r="RFI181" s="367"/>
      <c r="RFJ181" s="367"/>
      <c r="RFK181" s="368" t="s">
        <v>168</v>
      </c>
      <c r="RFL181" s="369">
        <v>0.5</v>
      </c>
      <c r="RFM181" s="370" t="e">
        <f>10/RFI179</f>
        <v>#DIV/0!</v>
      </c>
      <c r="RFN181" s="371">
        <v>15.38</v>
      </c>
      <c r="RFO181" s="371" t="e">
        <f>RFL181*RFM181*RFN181</f>
        <v>#DIV/0!</v>
      </c>
      <c r="RFP181" s="367" t="s">
        <v>206</v>
      </c>
      <c r="RFQ181" s="367"/>
      <c r="RFR181" s="367"/>
      <c r="RFS181" s="368" t="s">
        <v>168</v>
      </c>
      <c r="RFT181" s="369">
        <v>0.5</v>
      </c>
      <c r="RFU181" s="370" t="e">
        <f>10/RFQ179</f>
        <v>#DIV/0!</v>
      </c>
      <c r="RFV181" s="371">
        <v>15.38</v>
      </c>
      <c r="RFW181" s="371" t="e">
        <f>RFT181*RFU181*RFV181</f>
        <v>#DIV/0!</v>
      </c>
      <c r="RFX181" s="367" t="s">
        <v>206</v>
      </c>
      <c r="RFY181" s="367"/>
      <c r="RFZ181" s="367"/>
      <c r="RGA181" s="368" t="s">
        <v>168</v>
      </c>
      <c r="RGB181" s="369">
        <v>0.5</v>
      </c>
      <c r="RGC181" s="370" t="e">
        <f>10/RFY179</f>
        <v>#DIV/0!</v>
      </c>
      <c r="RGD181" s="371">
        <v>15.38</v>
      </c>
      <c r="RGE181" s="371" t="e">
        <f>RGB181*RGC181*RGD181</f>
        <v>#DIV/0!</v>
      </c>
      <c r="RGF181" s="367" t="s">
        <v>206</v>
      </c>
      <c r="RGG181" s="367"/>
      <c r="RGH181" s="367"/>
      <c r="RGI181" s="368" t="s">
        <v>168</v>
      </c>
      <c r="RGJ181" s="369">
        <v>0.5</v>
      </c>
      <c r="RGK181" s="370" t="e">
        <f>10/RGG179</f>
        <v>#DIV/0!</v>
      </c>
      <c r="RGL181" s="371">
        <v>15.38</v>
      </c>
      <c r="RGM181" s="371" t="e">
        <f>RGJ181*RGK181*RGL181</f>
        <v>#DIV/0!</v>
      </c>
      <c r="RGN181" s="367" t="s">
        <v>206</v>
      </c>
      <c r="RGO181" s="367"/>
      <c r="RGP181" s="367"/>
      <c r="RGQ181" s="368" t="s">
        <v>168</v>
      </c>
      <c r="RGR181" s="369">
        <v>0.5</v>
      </c>
      <c r="RGS181" s="370" t="e">
        <f>10/RGO179</f>
        <v>#DIV/0!</v>
      </c>
      <c r="RGT181" s="371">
        <v>15.38</v>
      </c>
      <c r="RGU181" s="371" t="e">
        <f>RGR181*RGS181*RGT181</f>
        <v>#DIV/0!</v>
      </c>
      <c r="RGV181" s="367" t="s">
        <v>206</v>
      </c>
      <c r="RGW181" s="367"/>
      <c r="RGX181" s="367"/>
      <c r="RGY181" s="368" t="s">
        <v>168</v>
      </c>
      <c r="RGZ181" s="369">
        <v>0.5</v>
      </c>
      <c r="RHA181" s="370" t="e">
        <f>10/RGW179</f>
        <v>#DIV/0!</v>
      </c>
      <c r="RHB181" s="371">
        <v>15.38</v>
      </c>
      <c r="RHC181" s="371" t="e">
        <f>RGZ181*RHA181*RHB181</f>
        <v>#DIV/0!</v>
      </c>
      <c r="RHD181" s="367" t="s">
        <v>206</v>
      </c>
      <c r="RHE181" s="367"/>
      <c r="RHF181" s="367"/>
      <c r="RHG181" s="368" t="s">
        <v>168</v>
      </c>
      <c r="RHH181" s="369">
        <v>0.5</v>
      </c>
      <c r="RHI181" s="370" t="e">
        <f>10/RHE179</f>
        <v>#DIV/0!</v>
      </c>
      <c r="RHJ181" s="371">
        <v>15.38</v>
      </c>
      <c r="RHK181" s="371" t="e">
        <f>RHH181*RHI181*RHJ181</f>
        <v>#DIV/0!</v>
      </c>
      <c r="RHL181" s="367" t="s">
        <v>206</v>
      </c>
      <c r="RHM181" s="367"/>
      <c r="RHN181" s="367"/>
      <c r="RHO181" s="368" t="s">
        <v>168</v>
      </c>
      <c r="RHP181" s="369">
        <v>0.5</v>
      </c>
      <c r="RHQ181" s="370" t="e">
        <f>10/RHM179</f>
        <v>#DIV/0!</v>
      </c>
      <c r="RHR181" s="371">
        <v>15.38</v>
      </c>
      <c r="RHS181" s="371" t="e">
        <f>RHP181*RHQ181*RHR181</f>
        <v>#DIV/0!</v>
      </c>
      <c r="RHT181" s="367" t="s">
        <v>206</v>
      </c>
      <c r="RHU181" s="367"/>
      <c r="RHV181" s="367"/>
      <c r="RHW181" s="368" t="s">
        <v>168</v>
      </c>
      <c r="RHX181" s="369">
        <v>0.5</v>
      </c>
      <c r="RHY181" s="370" t="e">
        <f>10/RHU179</f>
        <v>#DIV/0!</v>
      </c>
      <c r="RHZ181" s="371">
        <v>15.38</v>
      </c>
      <c r="RIA181" s="371" t="e">
        <f>RHX181*RHY181*RHZ181</f>
        <v>#DIV/0!</v>
      </c>
      <c r="RIB181" s="367" t="s">
        <v>206</v>
      </c>
      <c r="RIC181" s="367"/>
      <c r="RID181" s="367"/>
      <c r="RIE181" s="368" t="s">
        <v>168</v>
      </c>
      <c r="RIF181" s="369">
        <v>0.5</v>
      </c>
      <c r="RIG181" s="370" t="e">
        <f>10/RIC179</f>
        <v>#DIV/0!</v>
      </c>
      <c r="RIH181" s="371">
        <v>15.38</v>
      </c>
      <c r="RII181" s="371" t="e">
        <f>RIF181*RIG181*RIH181</f>
        <v>#DIV/0!</v>
      </c>
      <c r="RIJ181" s="367" t="s">
        <v>206</v>
      </c>
      <c r="RIK181" s="367"/>
      <c r="RIL181" s="367"/>
      <c r="RIM181" s="368" t="s">
        <v>168</v>
      </c>
      <c r="RIN181" s="369">
        <v>0.5</v>
      </c>
      <c r="RIO181" s="370" t="e">
        <f>10/RIK179</f>
        <v>#DIV/0!</v>
      </c>
      <c r="RIP181" s="371">
        <v>15.38</v>
      </c>
      <c r="RIQ181" s="371" t="e">
        <f>RIN181*RIO181*RIP181</f>
        <v>#DIV/0!</v>
      </c>
      <c r="RIR181" s="367" t="s">
        <v>206</v>
      </c>
      <c r="RIS181" s="367"/>
      <c r="RIT181" s="367"/>
      <c r="RIU181" s="368" t="s">
        <v>168</v>
      </c>
      <c r="RIV181" s="369">
        <v>0.5</v>
      </c>
      <c r="RIW181" s="370" t="e">
        <f>10/RIS179</f>
        <v>#DIV/0!</v>
      </c>
      <c r="RIX181" s="371">
        <v>15.38</v>
      </c>
      <c r="RIY181" s="371" t="e">
        <f>RIV181*RIW181*RIX181</f>
        <v>#DIV/0!</v>
      </c>
      <c r="RIZ181" s="367" t="s">
        <v>206</v>
      </c>
      <c r="RJA181" s="367"/>
      <c r="RJB181" s="367"/>
      <c r="RJC181" s="368" t="s">
        <v>168</v>
      </c>
      <c r="RJD181" s="369">
        <v>0.5</v>
      </c>
      <c r="RJE181" s="370" t="e">
        <f>10/RJA179</f>
        <v>#DIV/0!</v>
      </c>
      <c r="RJF181" s="371">
        <v>15.38</v>
      </c>
      <c r="RJG181" s="371" t="e">
        <f>RJD181*RJE181*RJF181</f>
        <v>#DIV/0!</v>
      </c>
      <c r="RJH181" s="367" t="s">
        <v>206</v>
      </c>
      <c r="RJI181" s="367"/>
      <c r="RJJ181" s="367"/>
      <c r="RJK181" s="368" t="s">
        <v>168</v>
      </c>
      <c r="RJL181" s="369">
        <v>0.5</v>
      </c>
      <c r="RJM181" s="370" t="e">
        <f>10/RJI179</f>
        <v>#DIV/0!</v>
      </c>
      <c r="RJN181" s="371">
        <v>15.38</v>
      </c>
      <c r="RJO181" s="371" t="e">
        <f>RJL181*RJM181*RJN181</f>
        <v>#DIV/0!</v>
      </c>
      <c r="RJP181" s="367" t="s">
        <v>206</v>
      </c>
      <c r="RJQ181" s="367"/>
      <c r="RJR181" s="367"/>
      <c r="RJS181" s="368" t="s">
        <v>168</v>
      </c>
      <c r="RJT181" s="369">
        <v>0.5</v>
      </c>
      <c r="RJU181" s="370" t="e">
        <f>10/RJQ179</f>
        <v>#DIV/0!</v>
      </c>
      <c r="RJV181" s="371">
        <v>15.38</v>
      </c>
      <c r="RJW181" s="371" t="e">
        <f>RJT181*RJU181*RJV181</f>
        <v>#DIV/0!</v>
      </c>
      <c r="RJX181" s="367" t="s">
        <v>206</v>
      </c>
      <c r="RJY181" s="367"/>
      <c r="RJZ181" s="367"/>
      <c r="RKA181" s="368" t="s">
        <v>168</v>
      </c>
      <c r="RKB181" s="369">
        <v>0.5</v>
      </c>
      <c r="RKC181" s="370" t="e">
        <f>10/RJY179</f>
        <v>#DIV/0!</v>
      </c>
      <c r="RKD181" s="371">
        <v>15.38</v>
      </c>
      <c r="RKE181" s="371" t="e">
        <f>RKB181*RKC181*RKD181</f>
        <v>#DIV/0!</v>
      </c>
      <c r="RKF181" s="367" t="s">
        <v>206</v>
      </c>
      <c r="RKG181" s="367"/>
      <c r="RKH181" s="367"/>
      <c r="RKI181" s="368" t="s">
        <v>168</v>
      </c>
      <c r="RKJ181" s="369">
        <v>0.5</v>
      </c>
      <c r="RKK181" s="370" t="e">
        <f>10/RKG179</f>
        <v>#DIV/0!</v>
      </c>
      <c r="RKL181" s="371">
        <v>15.38</v>
      </c>
      <c r="RKM181" s="371" t="e">
        <f>RKJ181*RKK181*RKL181</f>
        <v>#DIV/0!</v>
      </c>
      <c r="RKN181" s="367" t="s">
        <v>206</v>
      </c>
      <c r="RKO181" s="367"/>
      <c r="RKP181" s="367"/>
      <c r="RKQ181" s="368" t="s">
        <v>168</v>
      </c>
      <c r="RKR181" s="369">
        <v>0.5</v>
      </c>
      <c r="RKS181" s="370" t="e">
        <f>10/RKO179</f>
        <v>#DIV/0!</v>
      </c>
      <c r="RKT181" s="371">
        <v>15.38</v>
      </c>
      <c r="RKU181" s="371" t="e">
        <f>RKR181*RKS181*RKT181</f>
        <v>#DIV/0!</v>
      </c>
      <c r="RKV181" s="367" t="s">
        <v>206</v>
      </c>
      <c r="RKW181" s="367"/>
      <c r="RKX181" s="367"/>
      <c r="RKY181" s="368" t="s">
        <v>168</v>
      </c>
      <c r="RKZ181" s="369">
        <v>0.5</v>
      </c>
      <c r="RLA181" s="370" t="e">
        <f>10/RKW179</f>
        <v>#DIV/0!</v>
      </c>
      <c r="RLB181" s="371">
        <v>15.38</v>
      </c>
      <c r="RLC181" s="371" t="e">
        <f>RKZ181*RLA181*RLB181</f>
        <v>#DIV/0!</v>
      </c>
      <c r="RLD181" s="367" t="s">
        <v>206</v>
      </c>
      <c r="RLE181" s="367"/>
      <c r="RLF181" s="367"/>
      <c r="RLG181" s="368" t="s">
        <v>168</v>
      </c>
      <c r="RLH181" s="369">
        <v>0.5</v>
      </c>
      <c r="RLI181" s="370" t="e">
        <f>10/RLE179</f>
        <v>#DIV/0!</v>
      </c>
      <c r="RLJ181" s="371">
        <v>15.38</v>
      </c>
      <c r="RLK181" s="371" t="e">
        <f>RLH181*RLI181*RLJ181</f>
        <v>#DIV/0!</v>
      </c>
      <c r="RLL181" s="367" t="s">
        <v>206</v>
      </c>
      <c r="RLM181" s="367"/>
      <c r="RLN181" s="367"/>
      <c r="RLO181" s="368" t="s">
        <v>168</v>
      </c>
      <c r="RLP181" s="369">
        <v>0.5</v>
      </c>
      <c r="RLQ181" s="370" t="e">
        <f>10/RLM179</f>
        <v>#DIV/0!</v>
      </c>
      <c r="RLR181" s="371">
        <v>15.38</v>
      </c>
      <c r="RLS181" s="371" t="e">
        <f>RLP181*RLQ181*RLR181</f>
        <v>#DIV/0!</v>
      </c>
      <c r="RLT181" s="367" t="s">
        <v>206</v>
      </c>
      <c r="RLU181" s="367"/>
      <c r="RLV181" s="367"/>
      <c r="RLW181" s="368" t="s">
        <v>168</v>
      </c>
      <c r="RLX181" s="369">
        <v>0.5</v>
      </c>
      <c r="RLY181" s="370" t="e">
        <f>10/RLU179</f>
        <v>#DIV/0!</v>
      </c>
      <c r="RLZ181" s="371">
        <v>15.38</v>
      </c>
      <c r="RMA181" s="371" t="e">
        <f>RLX181*RLY181*RLZ181</f>
        <v>#DIV/0!</v>
      </c>
      <c r="RMB181" s="367" t="s">
        <v>206</v>
      </c>
      <c r="RMC181" s="367"/>
      <c r="RMD181" s="367"/>
      <c r="RME181" s="368" t="s">
        <v>168</v>
      </c>
      <c r="RMF181" s="369">
        <v>0.5</v>
      </c>
      <c r="RMG181" s="370" t="e">
        <f>10/RMC179</f>
        <v>#DIV/0!</v>
      </c>
      <c r="RMH181" s="371">
        <v>15.38</v>
      </c>
      <c r="RMI181" s="371" t="e">
        <f>RMF181*RMG181*RMH181</f>
        <v>#DIV/0!</v>
      </c>
      <c r="RMJ181" s="367" t="s">
        <v>206</v>
      </c>
      <c r="RMK181" s="367"/>
      <c r="RML181" s="367"/>
      <c r="RMM181" s="368" t="s">
        <v>168</v>
      </c>
      <c r="RMN181" s="369">
        <v>0.5</v>
      </c>
      <c r="RMO181" s="370" t="e">
        <f>10/RMK179</f>
        <v>#DIV/0!</v>
      </c>
      <c r="RMP181" s="371">
        <v>15.38</v>
      </c>
      <c r="RMQ181" s="371" t="e">
        <f>RMN181*RMO181*RMP181</f>
        <v>#DIV/0!</v>
      </c>
      <c r="RMR181" s="367" t="s">
        <v>206</v>
      </c>
      <c r="RMS181" s="367"/>
      <c r="RMT181" s="367"/>
      <c r="RMU181" s="368" t="s">
        <v>168</v>
      </c>
      <c r="RMV181" s="369">
        <v>0.5</v>
      </c>
      <c r="RMW181" s="370" t="e">
        <f>10/RMS179</f>
        <v>#DIV/0!</v>
      </c>
      <c r="RMX181" s="371">
        <v>15.38</v>
      </c>
      <c r="RMY181" s="371" t="e">
        <f>RMV181*RMW181*RMX181</f>
        <v>#DIV/0!</v>
      </c>
      <c r="RMZ181" s="367" t="s">
        <v>206</v>
      </c>
      <c r="RNA181" s="367"/>
      <c r="RNB181" s="367"/>
      <c r="RNC181" s="368" t="s">
        <v>168</v>
      </c>
      <c r="RND181" s="369">
        <v>0.5</v>
      </c>
      <c r="RNE181" s="370" t="e">
        <f>10/RNA179</f>
        <v>#DIV/0!</v>
      </c>
      <c r="RNF181" s="371">
        <v>15.38</v>
      </c>
      <c r="RNG181" s="371" t="e">
        <f>RND181*RNE181*RNF181</f>
        <v>#DIV/0!</v>
      </c>
      <c r="RNH181" s="367" t="s">
        <v>206</v>
      </c>
      <c r="RNI181" s="367"/>
      <c r="RNJ181" s="367"/>
      <c r="RNK181" s="368" t="s">
        <v>168</v>
      </c>
      <c r="RNL181" s="369">
        <v>0.5</v>
      </c>
      <c r="RNM181" s="370" t="e">
        <f>10/RNI179</f>
        <v>#DIV/0!</v>
      </c>
      <c r="RNN181" s="371">
        <v>15.38</v>
      </c>
      <c r="RNO181" s="371" t="e">
        <f>RNL181*RNM181*RNN181</f>
        <v>#DIV/0!</v>
      </c>
      <c r="RNP181" s="367" t="s">
        <v>206</v>
      </c>
      <c r="RNQ181" s="367"/>
      <c r="RNR181" s="367"/>
      <c r="RNS181" s="368" t="s">
        <v>168</v>
      </c>
      <c r="RNT181" s="369">
        <v>0.5</v>
      </c>
      <c r="RNU181" s="370" t="e">
        <f>10/RNQ179</f>
        <v>#DIV/0!</v>
      </c>
      <c r="RNV181" s="371">
        <v>15.38</v>
      </c>
      <c r="RNW181" s="371" t="e">
        <f>RNT181*RNU181*RNV181</f>
        <v>#DIV/0!</v>
      </c>
      <c r="RNX181" s="367" t="s">
        <v>206</v>
      </c>
      <c r="RNY181" s="367"/>
      <c r="RNZ181" s="367"/>
      <c r="ROA181" s="368" t="s">
        <v>168</v>
      </c>
      <c r="ROB181" s="369">
        <v>0.5</v>
      </c>
      <c r="ROC181" s="370" t="e">
        <f>10/RNY179</f>
        <v>#DIV/0!</v>
      </c>
      <c r="ROD181" s="371">
        <v>15.38</v>
      </c>
      <c r="ROE181" s="371" t="e">
        <f>ROB181*ROC181*ROD181</f>
        <v>#DIV/0!</v>
      </c>
      <c r="ROF181" s="367" t="s">
        <v>206</v>
      </c>
      <c r="ROG181" s="367"/>
      <c r="ROH181" s="367"/>
      <c r="ROI181" s="368" t="s">
        <v>168</v>
      </c>
      <c r="ROJ181" s="369">
        <v>0.5</v>
      </c>
      <c r="ROK181" s="370" t="e">
        <f>10/ROG179</f>
        <v>#DIV/0!</v>
      </c>
      <c r="ROL181" s="371">
        <v>15.38</v>
      </c>
      <c r="ROM181" s="371" t="e">
        <f>ROJ181*ROK181*ROL181</f>
        <v>#DIV/0!</v>
      </c>
      <c r="RON181" s="367" t="s">
        <v>206</v>
      </c>
      <c r="ROO181" s="367"/>
      <c r="ROP181" s="367"/>
      <c r="ROQ181" s="368" t="s">
        <v>168</v>
      </c>
      <c r="ROR181" s="369">
        <v>0.5</v>
      </c>
      <c r="ROS181" s="370" t="e">
        <f>10/ROO179</f>
        <v>#DIV/0!</v>
      </c>
      <c r="ROT181" s="371">
        <v>15.38</v>
      </c>
      <c r="ROU181" s="371" t="e">
        <f>ROR181*ROS181*ROT181</f>
        <v>#DIV/0!</v>
      </c>
      <c r="ROV181" s="367" t="s">
        <v>206</v>
      </c>
      <c r="ROW181" s="367"/>
      <c r="ROX181" s="367"/>
      <c r="ROY181" s="368" t="s">
        <v>168</v>
      </c>
      <c r="ROZ181" s="369">
        <v>0.5</v>
      </c>
      <c r="RPA181" s="370" t="e">
        <f>10/ROW179</f>
        <v>#DIV/0!</v>
      </c>
      <c r="RPB181" s="371">
        <v>15.38</v>
      </c>
      <c r="RPC181" s="371" t="e">
        <f>ROZ181*RPA181*RPB181</f>
        <v>#DIV/0!</v>
      </c>
      <c r="RPD181" s="367" t="s">
        <v>206</v>
      </c>
      <c r="RPE181" s="367"/>
      <c r="RPF181" s="367"/>
      <c r="RPG181" s="368" t="s">
        <v>168</v>
      </c>
      <c r="RPH181" s="369">
        <v>0.5</v>
      </c>
      <c r="RPI181" s="370" t="e">
        <f>10/RPE179</f>
        <v>#DIV/0!</v>
      </c>
      <c r="RPJ181" s="371">
        <v>15.38</v>
      </c>
      <c r="RPK181" s="371" t="e">
        <f>RPH181*RPI181*RPJ181</f>
        <v>#DIV/0!</v>
      </c>
      <c r="RPL181" s="367" t="s">
        <v>206</v>
      </c>
      <c r="RPM181" s="367"/>
      <c r="RPN181" s="367"/>
      <c r="RPO181" s="368" t="s">
        <v>168</v>
      </c>
      <c r="RPP181" s="369">
        <v>0.5</v>
      </c>
      <c r="RPQ181" s="370" t="e">
        <f>10/RPM179</f>
        <v>#DIV/0!</v>
      </c>
      <c r="RPR181" s="371">
        <v>15.38</v>
      </c>
      <c r="RPS181" s="371" t="e">
        <f>RPP181*RPQ181*RPR181</f>
        <v>#DIV/0!</v>
      </c>
      <c r="RPT181" s="367" t="s">
        <v>206</v>
      </c>
      <c r="RPU181" s="367"/>
      <c r="RPV181" s="367"/>
      <c r="RPW181" s="368" t="s">
        <v>168</v>
      </c>
      <c r="RPX181" s="369">
        <v>0.5</v>
      </c>
      <c r="RPY181" s="370" t="e">
        <f>10/RPU179</f>
        <v>#DIV/0!</v>
      </c>
      <c r="RPZ181" s="371">
        <v>15.38</v>
      </c>
      <c r="RQA181" s="371" t="e">
        <f>RPX181*RPY181*RPZ181</f>
        <v>#DIV/0!</v>
      </c>
      <c r="RQB181" s="367" t="s">
        <v>206</v>
      </c>
      <c r="RQC181" s="367"/>
      <c r="RQD181" s="367"/>
      <c r="RQE181" s="368" t="s">
        <v>168</v>
      </c>
      <c r="RQF181" s="369">
        <v>0.5</v>
      </c>
      <c r="RQG181" s="370" t="e">
        <f>10/RQC179</f>
        <v>#DIV/0!</v>
      </c>
      <c r="RQH181" s="371">
        <v>15.38</v>
      </c>
      <c r="RQI181" s="371" t="e">
        <f>RQF181*RQG181*RQH181</f>
        <v>#DIV/0!</v>
      </c>
      <c r="RQJ181" s="367" t="s">
        <v>206</v>
      </c>
      <c r="RQK181" s="367"/>
      <c r="RQL181" s="367"/>
      <c r="RQM181" s="368" t="s">
        <v>168</v>
      </c>
      <c r="RQN181" s="369">
        <v>0.5</v>
      </c>
      <c r="RQO181" s="370" t="e">
        <f>10/RQK179</f>
        <v>#DIV/0!</v>
      </c>
      <c r="RQP181" s="371">
        <v>15.38</v>
      </c>
      <c r="RQQ181" s="371" t="e">
        <f>RQN181*RQO181*RQP181</f>
        <v>#DIV/0!</v>
      </c>
      <c r="RQR181" s="367" t="s">
        <v>206</v>
      </c>
      <c r="RQS181" s="367"/>
      <c r="RQT181" s="367"/>
      <c r="RQU181" s="368" t="s">
        <v>168</v>
      </c>
      <c r="RQV181" s="369">
        <v>0.5</v>
      </c>
      <c r="RQW181" s="370" t="e">
        <f>10/RQS179</f>
        <v>#DIV/0!</v>
      </c>
      <c r="RQX181" s="371">
        <v>15.38</v>
      </c>
      <c r="RQY181" s="371" t="e">
        <f>RQV181*RQW181*RQX181</f>
        <v>#DIV/0!</v>
      </c>
      <c r="RQZ181" s="367" t="s">
        <v>206</v>
      </c>
      <c r="RRA181" s="367"/>
      <c r="RRB181" s="367"/>
      <c r="RRC181" s="368" t="s">
        <v>168</v>
      </c>
      <c r="RRD181" s="369">
        <v>0.5</v>
      </c>
      <c r="RRE181" s="370" t="e">
        <f>10/RRA179</f>
        <v>#DIV/0!</v>
      </c>
      <c r="RRF181" s="371">
        <v>15.38</v>
      </c>
      <c r="RRG181" s="371" t="e">
        <f>RRD181*RRE181*RRF181</f>
        <v>#DIV/0!</v>
      </c>
      <c r="RRH181" s="367" t="s">
        <v>206</v>
      </c>
      <c r="RRI181" s="367"/>
      <c r="RRJ181" s="367"/>
      <c r="RRK181" s="368" t="s">
        <v>168</v>
      </c>
      <c r="RRL181" s="369">
        <v>0.5</v>
      </c>
      <c r="RRM181" s="370" t="e">
        <f>10/RRI179</f>
        <v>#DIV/0!</v>
      </c>
      <c r="RRN181" s="371">
        <v>15.38</v>
      </c>
      <c r="RRO181" s="371" t="e">
        <f>RRL181*RRM181*RRN181</f>
        <v>#DIV/0!</v>
      </c>
      <c r="RRP181" s="367" t="s">
        <v>206</v>
      </c>
      <c r="RRQ181" s="367"/>
      <c r="RRR181" s="367"/>
      <c r="RRS181" s="368" t="s">
        <v>168</v>
      </c>
      <c r="RRT181" s="369">
        <v>0.5</v>
      </c>
      <c r="RRU181" s="370" t="e">
        <f>10/RRQ179</f>
        <v>#DIV/0!</v>
      </c>
      <c r="RRV181" s="371">
        <v>15.38</v>
      </c>
      <c r="RRW181" s="371" t="e">
        <f>RRT181*RRU181*RRV181</f>
        <v>#DIV/0!</v>
      </c>
      <c r="RRX181" s="367" t="s">
        <v>206</v>
      </c>
      <c r="RRY181" s="367"/>
      <c r="RRZ181" s="367"/>
      <c r="RSA181" s="368" t="s">
        <v>168</v>
      </c>
      <c r="RSB181" s="369">
        <v>0.5</v>
      </c>
      <c r="RSC181" s="370" t="e">
        <f>10/RRY179</f>
        <v>#DIV/0!</v>
      </c>
      <c r="RSD181" s="371">
        <v>15.38</v>
      </c>
      <c r="RSE181" s="371" t="e">
        <f>RSB181*RSC181*RSD181</f>
        <v>#DIV/0!</v>
      </c>
      <c r="RSF181" s="367" t="s">
        <v>206</v>
      </c>
      <c r="RSG181" s="367"/>
      <c r="RSH181" s="367"/>
      <c r="RSI181" s="368" t="s">
        <v>168</v>
      </c>
      <c r="RSJ181" s="369">
        <v>0.5</v>
      </c>
      <c r="RSK181" s="370" t="e">
        <f>10/RSG179</f>
        <v>#DIV/0!</v>
      </c>
      <c r="RSL181" s="371">
        <v>15.38</v>
      </c>
      <c r="RSM181" s="371" t="e">
        <f>RSJ181*RSK181*RSL181</f>
        <v>#DIV/0!</v>
      </c>
      <c r="RSN181" s="367" t="s">
        <v>206</v>
      </c>
      <c r="RSO181" s="367"/>
      <c r="RSP181" s="367"/>
      <c r="RSQ181" s="368" t="s">
        <v>168</v>
      </c>
      <c r="RSR181" s="369">
        <v>0.5</v>
      </c>
      <c r="RSS181" s="370" t="e">
        <f>10/RSO179</f>
        <v>#DIV/0!</v>
      </c>
      <c r="RST181" s="371">
        <v>15.38</v>
      </c>
      <c r="RSU181" s="371" t="e">
        <f>RSR181*RSS181*RST181</f>
        <v>#DIV/0!</v>
      </c>
      <c r="RSV181" s="367" t="s">
        <v>206</v>
      </c>
      <c r="RSW181" s="367"/>
      <c r="RSX181" s="367"/>
      <c r="RSY181" s="368" t="s">
        <v>168</v>
      </c>
      <c r="RSZ181" s="369">
        <v>0.5</v>
      </c>
      <c r="RTA181" s="370" t="e">
        <f>10/RSW179</f>
        <v>#DIV/0!</v>
      </c>
      <c r="RTB181" s="371">
        <v>15.38</v>
      </c>
      <c r="RTC181" s="371" t="e">
        <f>RSZ181*RTA181*RTB181</f>
        <v>#DIV/0!</v>
      </c>
      <c r="RTD181" s="367" t="s">
        <v>206</v>
      </c>
      <c r="RTE181" s="367"/>
      <c r="RTF181" s="367"/>
      <c r="RTG181" s="368" t="s">
        <v>168</v>
      </c>
      <c r="RTH181" s="369">
        <v>0.5</v>
      </c>
      <c r="RTI181" s="370" t="e">
        <f>10/RTE179</f>
        <v>#DIV/0!</v>
      </c>
      <c r="RTJ181" s="371">
        <v>15.38</v>
      </c>
      <c r="RTK181" s="371" t="e">
        <f>RTH181*RTI181*RTJ181</f>
        <v>#DIV/0!</v>
      </c>
      <c r="RTL181" s="367" t="s">
        <v>206</v>
      </c>
      <c r="RTM181" s="367"/>
      <c r="RTN181" s="367"/>
      <c r="RTO181" s="368" t="s">
        <v>168</v>
      </c>
      <c r="RTP181" s="369">
        <v>0.5</v>
      </c>
      <c r="RTQ181" s="370" t="e">
        <f>10/RTM179</f>
        <v>#DIV/0!</v>
      </c>
      <c r="RTR181" s="371">
        <v>15.38</v>
      </c>
      <c r="RTS181" s="371" t="e">
        <f>RTP181*RTQ181*RTR181</f>
        <v>#DIV/0!</v>
      </c>
      <c r="RTT181" s="367" t="s">
        <v>206</v>
      </c>
      <c r="RTU181" s="367"/>
      <c r="RTV181" s="367"/>
      <c r="RTW181" s="368" t="s">
        <v>168</v>
      </c>
      <c r="RTX181" s="369">
        <v>0.5</v>
      </c>
      <c r="RTY181" s="370" t="e">
        <f>10/RTU179</f>
        <v>#DIV/0!</v>
      </c>
      <c r="RTZ181" s="371">
        <v>15.38</v>
      </c>
      <c r="RUA181" s="371" t="e">
        <f>RTX181*RTY181*RTZ181</f>
        <v>#DIV/0!</v>
      </c>
      <c r="RUB181" s="367" t="s">
        <v>206</v>
      </c>
      <c r="RUC181" s="367"/>
      <c r="RUD181" s="367"/>
      <c r="RUE181" s="368" t="s">
        <v>168</v>
      </c>
      <c r="RUF181" s="369">
        <v>0.5</v>
      </c>
      <c r="RUG181" s="370" t="e">
        <f>10/RUC179</f>
        <v>#DIV/0!</v>
      </c>
      <c r="RUH181" s="371">
        <v>15.38</v>
      </c>
      <c r="RUI181" s="371" t="e">
        <f>RUF181*RUG181*RUH181</f>
        <v>#DIV/0!</v>
      </c>
      <c r="RUJ181" s="367" t="s">
        <v>206</v>
      </c>
      <c r="RUK181" s="367"/>
      <c r="RUL181" s="367"/>
      <c r="RUM181" s="368" t="s">
        <v>168</v>
      </c>
      <c r="RUN181" s="369">
        <v>0.5</v>
      </c>
      <c r="RUO181" s="370" t="e">
        <f>10/RUK179</f>
        <v>#DIV/0!</v>
      </c>
      <c r="RUP181" s="371">
        <v>15.38</v>
      </c>
      <c r="RUQ181" s="371" t="e">
        <f>RUN181*RUO181*RUP181</f>
        <v>#DIV/0!</v>
      </c>
      <c r="RUR181" s="367" t="s">
        <v>206</v>
      </c>
      <c r="RUS181" s="367"/>
      <c r="RUT181" s="367"/>
      <c r="RUU181" s="368" t="s">
        <v>168</v>
      </c>
      <c r="RUV181" s="369">
        <v>0.5</v>
      </c>
      <c r="RUW181" s="370" t="e">
        <f>10/RUS179</f>
        <v>#DIV/0!</v>
      </c>
      <c r="RUX181" s="371">
        <v>15.38</v>
      </c>
      <c r="RUY181" s="371" t="e">
        <f>RUV181*RUW181*RUX181</f>
        <v>#DIV/0!</v>
      </c>
      <c r="RUZ181" s="367" t="s">
        <v>206</v>
      </c>
      <c r="RVA181" s="367"/>
      <c r="RVB181" s="367"/>
      <c r="RVC181" s="368" t="s">
        <v>168</v>
      </c>
      <c r="RVD181" s="369">
        <v>0.5</v>
      </c>
      <c r="RVE181" s="370" t="e">
        <f>10/RVA179</f>
        <v>#DIV/0!</v>
      </c>
      <c r="RVF181" s="371">
        <v>15.38</v>
      </c>
      <c r="RVG181" s="371" t="e">
        <f>RVD181*RVE181*RVF181</f>
        <v>#DIV/0!</v>
      </c>
      <c r="RVH181" s="367" t="s">
        <v>206</v>
      </c>
      <c r="RVI181" s="367"/>
      <c r="RVJ181" s="367"/>
      <c r="RVK181" s="368" t="s">
        <v>168</v>
      </c>
      <c r="RVL181" s="369">
        <v>0.5</v>
      </c>
      <c r="RVM181" s="370" t="e">
        <f>10/RVI179</f>
        <v>#DIV/0!</v>
      </c>
      <c r="RVN181" s="371">
        <v>15.38</v>
      </c>
      <c r="RVO181" s="371" t="e">
        <f>RVL181*RVM181*RVN181</f>
        <v>#DIV/0!</v>
      </c>
      <c r="RVP181" s="367" t="s">
        <v>206</v>
      </c>
      <c r="RVQ181" s="367"/>
      <c r="RVR181" s="367"/>
      <c r="RVS181" s="368" t="s">
        <v>168</v>
      </c>
      <c r="RVT181" s="369">
        <v>0.5</v>
      </c>
      <c r="RVU181" s="370" t="e">
        <f>10/RVQ179</f>
        <v>#DIV/0!</v>
      </c>
      <c r="RVV181" s="371">
        <v>15.38</v>
      </c>
      <c r="RVW181" s="371" t="e">
        <f>RVT181*RVU181*RVV181</f>
        <v>#DIV/0!</v>
      </c>
      <c r="RVX181" s="367" t="s">
        <v>206</v>
      </c>
      <c r="RVY181" s="367"/>
      <c r="RVZ181" s="367"/>
      <c r="RWA181" s="368" t="s">
        <v>168</v>
      </c>
      <c r="RWB181" s="369">
        <v>0.5</v>
      </c>
      <c r="RWC181" s="370" t="e">
        <f>10/RVY179</f>
        <v>#DIV/0!</v>
      </c>
      <c r="RWD181" s="371">
        <v>15.38</v>
      </c>
      <c r="RWE181" s="371" t="e">
        <f>RWB181*RWC181*RWD181</f>
        <v>#DIV/0!</v>
      </c>
      <c r="RWF181" s="367" t="s">
        <v>206</v>
      </c>
      <c r="RWG181" s="367"/>
      <c r="RWH181" s="367"/>
      <c r="RWI181" s="368" t="s">
        <v>168</v>
      </c>
      <c r="RWJ181" s="369">
        <v>0.5</v>
      </c>
      <c r="RWK181" s="370" t="e">
        <f>10/RWG179</f>
        <v>#DIV/0!</v>
      </c>
      <c r="RWL181" s="371">
        <v>15.38</v>
      </c>
      <c r="RWM181" s="371" t="e">
        <f>RWJ181*RWK181*RWL181</f>
        <v>#DIV/0!</v>
      </c>
      <c r="RWN181" s="367" t="s">
        <v>206</v>
      </c>
      <c r="RWO181" s="367"/>
      <c r="RWP181" s="367"/>
      <c r="RWQ181" s="368" t="s">
        <v>168</v>
      </c>
      <c r="RWR181" s="369">
        <v>0.5</v>
      </c>
      <c r="RWS181" s="370" t="e">
        <f>10/RWO179</f>
        <v>#DIV/0!</v>
      </c>
      <c r="RWT181" s="371">
        <v>15.38</v>
      </c>
      <c r="RWU181" s="371" t="e">
        <f>RWR181*RWS181*RWT181</f>
        <v>#DIV/0!</v>
      </c>
      <c r="RWV181" s="367" t="s">
        <v>206</v>
      </c>
      <c r="RWW181" s="367"/>
      <c r="RWX181" s="367"/>
      <c r="RWY181" s="368" t="s">
        <v>168</v>
      </c>
      <c r="RWZ181" s="369">
        <v>0.5</v>
      </c>
      <c r="RXA181" s="370" t="e">
        <f>10/RWW179</f>
        <v>#DIV/0!</v>
      </c>
      <c r="RXB181" s="371">
        <v>15.38</v>
      </c>
      <c r="RXC181" s="371" t="e">
        <f>RWZ181*RXA181*RXB181</f>
        <v>#DIV/0!</v>
      </c>
      <c r="RXD181" s="367" t="s">
        <v>206</v>
      </c>
      <c r="RXE181" s="367"/>
      <c r="RXF181" s="367"/>
      <c r="RXG181" s="368" t="s">
        <v>168</v>
      </c>
      <c r="RXH181" s="369">
        <v>0.5</v>
      </c>
      <c r="RXI181" s="370" t="e">
        <f>10/RXE179</f>
        <v>#DIV/0!</v>
      </c>
      <c r="RXJ181" s="371">
        <v>15.38</v>
      </c>
      <c r="RXK181" s="371" t="e">
        <f>RXH181*RXI181*RXJ181</f>
        <v>#DIV/0!</v>
      </c>
      <c r="RXL181" s="367" t="s">
        <v>206</v>
      </c>
      <c r="RXM181" s="367"/>
      <c r="RXN181" s="367"/>
      <c r="RXO181" s="368" t="s">
        <v>168</v>
      </c>
      <c r="RXP181" s="369">
        <v>0.5</v>
      </c>
      <c r="RXQ181" s="370" t="e">
        <f>10/RXM179</f>
        <v>#DIV/0!</v>
      </c>
      <c r="RXR181" s="371">
        <v>15.38</v>
      </c>
      <c r="RXS181" s="371" t="e">
        <f>RXP181*RXQ181*RXR181</f>
        <v>#DIV/0!</v>
      </c>
      <c r="RXT181" s="367" t="s">
        <v>206</v>
      </c>
      <c r="RXU181" s="367"/>
      <c r="RXV181" s="367"/>
      <c r="RXW181" s="368" t="s">
        <v>168</v>
      </c>
      <c r="RXX181" s="369">
        <v>0.5</v>
      </c>
      <c r="RXY181" s="370" t="e">
        <f>10/RXU179</f>
        <v>#DIV/0!</v>
      </c>
      <c r="RXZ181" s="371">
        <v>15.38</v>
      </c>
      <c r="RYA181" s="371" t="e">
        <f>RXX181*RXY181*RXZ181</f>
        <v>#DIV/0!</v>
      </c>
      <c r="RYB181" s="367" t="s">
        <v>206</v>
      </c>
      <c r="RYC181" s="367"/>
      <c r="RYD181" s="367"/>
      <c r="RYE181" s="368" t="s">
        <v>168</v>
      </c>
      <c r="RYF181" s="369">
        <v>0.5</v>
      </c>
      <c r="RYG181" s="370" t="e">
        <f>10/RYC179</f>
        <v>#DIV/0!</v>
      </c>
      <c r="RYH181" s="371">
        <v>15.38</v>
      </c>
      <c r="RYI181" s="371" t="e">
        <f>RYF181*RYG181*RYH181</f>
        <v>#DIV/0!</v>
      </c>
      <c r="RYJ181" s="367" t="s">
        <v>206</v>
      </c>
      <c r="RYK181" s="367"/>
      <c r="RYL181" s="367"/>
      <c r="RYM181" s="368" t="s">
        <v>168</v>
      </c>
      <c r="RYN181" s="369">
        <v>0.5</v>
      </c>
      <c r="RYO181" s="370" t="e">
        <f>10/RYK179</f>
        <v>#DIV/0!</v>
      </c>
      <c r="RYP181" s="371">
        <v>15.38</v>
      </c>
      <c r="RYQ181" s="371" t="e">
        <f>RYN181*RYO181*RYP181</f>
        <v>#DIV/0!</v>
      </c>
      <c r="RYR181" s="367" t="s">
        <v>206</v>
      </c>
      <c r="RYS181" s="367"/>
      <c r="RYT181" s="367"/>
      <c r="RYU181" s="368" t="s">
        <v>168</v>
      </c>
      <c r="RYV181" s="369">
        <v>0.5</v>
      </c>
      <c r="RYW181" s="370" t="e">
        <f>10/RYS179</f>
        <v>#DIV/0!</v>
      </c>
      <c r="RYX181" s="371">
        <v>15.38</v>
      </c>
      <c r="RYY181" s="371" t="e">
        <f>RYV181*RYW181*RYX181</f>
        <v>#DIV/0!</v>
      </c>
      <c r="RYZ181" s="367" t="s">
        <v>206</v>
      </c>
      <c r="RZA181" s="367"/>
      <c r="RZB181" s="367"/>
      <c r="RZC181" s="368" t="s">
        <v>168</v>
      </c>
      <c r="RZD181" s="369">
        <v>0.5</v>
      </c>
      <c r="RZE181" s="370" t="e">
        <f>10/RZA179</f>
        <v>#DIV/0!</v>
      </c>
      <c r="RZF181" s="371">
        <v>15.38</v>
      </c>
      <c r="RZG181" s="371" t="e">
        <f>RZD181*RZE181*RZF181</f>
        <v>#DIV/0!</v>
      </c>
      <c r="RZH181" s="367" t="s">
        <v>206</v>
      </c>
      <c r="RZI181" s="367"/>
      <c r="RZJ181" s="367"/>
      <c r="RZK181" s="368" t="s">
        <v>168</v>
      </c>
      <c r="RZL181" s="369">
        <v>0.5</v>
      </c>
      <c r="RZM181" s="370" t="e">
        <f>10/RZI179</f>
        <v>#DIV/0!</v>
      </c>
      <c r="RZN181" s="371">
        <v>15.38</v>
      </c>
      <c r="RZO181" s="371" t="e">
        <f>RZL181*RZM181*RZN181</f>
        <v>#DIV/0!</v>
      </c>
      <c r="RZP181" s="367" t="s">
        <v>206</v>
      </c>
      <c r="RZQ181" s="367"/>
      <c r="RZR181" s="367"/>
      <c r="RZS181" s="368" t="s">
        <v>168</v>
      </c>
      <c r="RZT181" s="369">
        <v>0.5</v>
      </c>
      <c r="RZU181" s="370" t="e">
        <f>10/RZQ179</f>
        <v>#DIV/0!</v>
      </c>
      <c r="RZV181" s="371">
        <v>15.38</v>
      </c>
      <c r="RZW181" s="371" t="e">
        <f>RZT181*RZU181*RZV181</f>
        <v>#DIV/0!</v>
      </c>
      <c r="RZX181" s="367" t="s">
        <v>206</v>
      </c>
      <c r="RZY181" s="367"/>
      <c r="RZZ181" s="367"/>
      <c r="SAA181" s="368" t="s">
        <v>168</v>
      </c>
      <c r="SAB181" s="369">
        <v>0.5</v>
      </c>
      <c r="SAC181" s="370" t="e">
        <f>10/RZY179</f>
        <v>#DIV/0!</v>
      </c>
      <c r="SAD181" s="371">
        <v>15.38</v>
      </c>
      <c r="SAE181" s="371" t="e">
        <f>SAB181*SAC181*SAD181</f>
        <v>#DIV/0!</v>
      </c>
      <c r="SAF181" s="367" t="s">
        <v>206</v>
      </c>
      <c r="SAG181" s="367"/>
      <c r="SAH181" s="367"/>
      <c r="SAI181" s="368" t="s">
        <v>168</v>
      </c>
      <c r="SAJ181" s="369">
        <v>0.5</v>
      </c>
      <c r="SAK181" s="370" t="e">
        <f>10/SAG179</f>
        <v>#DIV/0!</v>
      </c>
      <c r="SAL181" s="371">
        <v>15.38</v>
      </c>
      <c r="SAM181" s="371" t="e">
        <f>SAJ181*SAK181*SAL181</f>
        <v>#DIV/0!</v>
      </c>
      <c r="SAN181" s="367" t="s">
        <v>206</v>
      </c>
      <c r="SAO181" s="367"/>
      <c r="SAP181" s="367"/>
      <c r="SAQ181" s="368" t="s">
        <v>168</v>
      </c>
      <c r="SAR181" s="369">
        <v>0.5</v>
      </c>
      <c r="SAS181" s="370" t="e">
        <f>10/SAO179</f>
        <v>#DIV/0!</v>
      </c>
      <c r="SAT181" s="371">
        <v>15.38</v>
      </c>
      <c r="SAU181" s="371" t="e">
        <f>SAR181*SAS181*SAT181</f>
        <v>#DIV/0!</v>
      </c>
      <c r="SAV181" s="367" t="s">
        <v>206</v>
      </c>
      <c r="SAW181" s="367"/>
      <c r="SAX181" s="367"/>
      <c r="SAY181" s="368" t="s">
        <v>168</v>
      </c>
      <c r="SAZ181" s="369">
        <v>0.5</v>
      </c>
      <c r="SBA181" s="370" t="e">
        <f>10/SAW179</f>
        <v>#DIV/0!</v>
      </c>
      <c r="SBB181" s="371">
        <v>15.38</v>
      </c>
      <c r="SBC181" s="371" t="e">
        <f>SAZ181*SBA181*SBB181</f>
        <v>#DIV/0!</v>
      </c>
      <c r="SBD181" s="367" t="s">
        <v>206</v>
      </c>
      <c r="SBE181" s="367"/>
      <c r="SBF181" s="367"/>
      <c r="SBG181" s="368" t="s">
        <v>168</v>
      </c>
      <c r="SBH181" s="369">
        <v>0.5</v>
      </c>
      <c r="SBI181" s="370" t="e">
        <f>10/SBE179</f>
        <v>#DIV/0!</v>
      </c>
      <c r="SBJ181" s="371">
        <v>15.38</v>
      </c>
      <c r="SBK181" s="371" t="e">
        <f>SBH181*SBI181*SBJ181</f>
        <v>#DIV/0!</v>
      </c>
      <c r="SBL181" s="367" t="s">
        <v>206</v>
      </c>
      <c r="SBM181" s="367"/>
      <c r="SBN181" s="367"/>
      <c r="SBO181" s="368" t="s">
        <v>168</v>
      </c>
      <c r="SBP181" s="369">
        <v>0.5</v>
      </c>
      <c r="SBQ181" s="370" t="e">
        <f>10/SBM179</f>
        <v>#DIV/0!</v>
      </c>
      <c r="SBR181" s="371">
        <v>15.38</v>
      </c>
      <c r="SBS181" s="371" t="e">
        <f>SBP181*SBQ181*SBR181</f>
        <v>#DIV/0!</v>
      </c>
      <c r="SBT181" s="367" t="s">
        <v>206</v>
      </c>
      <c r="SBU181" s="367"/>
      <c r="SBV181" s="367"/>
      <c r="SBW181" s="368" t="s">
        <v>168</v>
      </c>
      <c r="SBX181" s="369">
        <v>0.5</v>
      </c>
      <c r="SBY181" s="370" t="e">
        <f>10/SBU179</f>
        <v>#DIV/0!</v>
      </c>
      <c r="SBZ181" s="371">
        <v>15.38</v>
      </c>
      <c r="SCA181" s="371" t="e">
        <f>SBX181*SBY181*SBZ181</f>
        <v>#DIV/0!</v>
      </c>
      <c r="SCB181" s="367" t="s">
        <v>206</v>
      </c>
      <c r="SCC181" s="367"/>
      <c r="SCD181" s="367"/>
      <c r="SCE181" s="368" t="s">
        <v>168</v>
      </c>
      <c r="SCF181" s="369">
        <v>0.5</v>
      </c>
      <c r="SCG181" s="370" t="e">
        <f>10/SCC179</f>
        <v>#DIV/0!</v>
      </c>
      <c r="SCH181" s="371">
        <v>15.38</v>
      </c>
      <c r="SCI181" s="371" t="e">
        <f>SCF181*SCG181*SCH181</f>
        <v>#DIV/0!</v>
      </c>
      <c r="SCJ181" s="367" t="s">
        <v>206</v>
      </c>
      <c r="SCK181" s="367"/>
      <c r="SCL181" s="367"/>
      <c r="SCM181" s="368" t="s">
        <v>168</v>
      </c>
      <c r="SCN181" s="369">
        <v>0.5</v>
      </c>
      <c r="SCO181" s="370" t="e">
        <f>10/SCK179</f>
        <v>#DIV/0!</v>
      </c>
      <c r="SCP181" s="371">
        <v>15.38</v>
      </c>
      <c r="SCQ181" s="371" t="e">
        <f>SCN181*SCO181*SCP181</f>
        <v>#DIV/0!</v>
      </c>
      <c r="SCR181" s="367" t="s">
        <v>206</v>
      </c>
      <c r="SCS181" s="367"/>
      <c r="SCT181" s="367"/>
      <c r="SCU181" s="368" t="s">
        <v>168</v>
      </c>
      <c r="SCV181" s="369">
        <v>0.5</v>
      </c>
      <c r="SCW181" s="370" t="e">
        <f>10/SCS179</f>
        <v>#DIV/0!</v>
      </c>
      <c r="SCX181" s="371">
        <v>15.38</v>
      </c>
      <c r="SCY181" s="371" t="e">
        <f>SCV181*SCW181*SCX181</f>
        <v>#DIV/0!</v>
      </c>
      <c r="SCZ181" s="367" t="s">
        <v>206</v>
      </c>
      <c r="SDA181" s="367"/>
      <c r="SDB181" s="367"/>
      <c r="SDC181" s="368" t="s">
        <v>168</v>
      </c>
      <c r="SDD181" s="369">
        <v>0.5</v>
      </c>
      <c r="SDE181" s="370" t="e">
        <f>10/SDA179</f>
        <v>#DIV/0!</v>
      </c>
      <c r="SDF181" s="371">
        <v>15.38</v>
      </c>
      <c r="SDG181" s="371" t="e">
        <f>SDD181*SDE181*SDF181</f>
        <v>#DIV/0!</v>
      </c>
      <c r="SDH181" s="367" t="s">
        <v>206</v>
      </c>
      <c r="SDI181" s="367"/>
      <c r="SDJ181" s="367"/>
      <c r="SDK181" s="368" t="s">
        <v>168</v>
      </c>
      <c r="SDL181" s="369">
        <v>0.5</v>
      </c>
      <c r="SDM181" s="370" t="e">
        <f>10/SDI179</f>
        <v>#DIV/0!</v>
      </c>
      <c r="SDN181" s="371">
        <v>15.38</v>
      </c>
      <c r="SDO181" s="371" t="e">
        <f>SDL181*SDM181*SDN181</f>
        <v>#DIV/0!</v>
      </c>
      <c r="SDP181" s="367" t="s">
        <v>206</v>
      </c>
      <c r="SDQ181" s="367"/>
      <c r="SDR181" s="367"/>
      <c r="SDS181" s="368" t="s">
        <v>168</v>
      </c>
      <c r="SDT181" s="369">
        <v>0.5</v>
      </c>
      <c r="SDU181" s="370" t="e">
        <f>10/SDQ179</f>
        <v>#DIV/0!</v>
      </c>
      <c r="SDV181" s="371">
        <v>15.38</v>
      </c>
      <c r="SDW181" s="371" t="e">
        <f>SDT181*SDU181*SDV181</f>
        <v>#DIV/0!</v>
      </c>
      <c r="SDX181" s="367" t="s">
        <v>206</v>
      </c>
      <c r="SDY181" s="367"/>
      <c r="SDZ181" s="367"/>
      <c r="SEA181" s="368" t="s">
        <v>168</v>
      </c>
      <c r="SEB181" s="369">
        <v>0.5</v>
      </c>
      <c r="SEC181" s="370" t="e">
        <f>10/SDY179</f>
        <v>#DIV/0!</v>
      </c>
      <c r="SED181" s="371">
        <v>15.38</v>
      </c>
      <c r="SEE181" s="371" t="e">
        <f>SEB181*SEC181*SED181</f>
        <v>#DIV/0!</v>
      </c>
      <c r="SEF181" s="367" t="s">
        <v>206</v>
      </c>
      <c r="SEG181" s="367"/>
      <c r="SEH181" s="367"/>
      <c r="SEI181" s="368" t="s">
        <v>168</v>
      </c>
      <c r="SEJ181" s="369">
        <v>0.5</v>
      </c>
      <c r="SEK181" s="370" t="e">
        <f>10/SEG179</f>
        <v>#DIV/0!</v>
      </c>
      <c r="SEL181" s="371">
        <v>15.38</v>
      </c>
      <c r="SEM181" s="371" t="e">
        <f>SEJ181*SEK181*SEL181</f>
        <v>#DIV/0!</v>
      </c>
      <c r="SEN181" s="367" t="s">
        <v>206</v>
      </c>
      <c r="SEO181" s="367"/>
      <c r="SEP181" s="367"/>
      <c r="SEQ181" s="368" t="s">
        <v>168</v>
      </c>
      <c r="SER181" s="369">
        <v>0.5</v>
      </c>
      <c r="SES181" s="370" t="e">
        <f>10/SEO179</f>
        <v>#DIV/0!</v>
      </c>
      <c r="SET181" s="371">
        <v>15.38</v>
      </c>
      <c r="SEU181" s="371" t="e">
        <f>SER181*SES181*SET181</f>
        <v>#DIV/0!</v>
      </c>
      <c r="SEV181" s="367" t="s">
        <v>206</v>
      </c>
      <c r="SEW181" s="367"/>
      <c r="SEX181" s="367"/>
      <c r="SEY181" s="368" t="s">
        <v>168</v>
      </c>
      <c r="SEZ181" s="369">
        <v>0.5</v>
      </c>
      <c r="SFA181" s="370" t="e">
        <f>10/SEW179</f>
        <v>#DIV/0!</v>
      </c>
      <c r="SFB181" s="371">
        <v>15.38</v>
      </c>
      <c r="SFC181" s="371" t="e">
        <f>SEZ181*SFA181*SFB181</f>
        <v>#DIV/0!</v>
      </c>
      <c r="SFD181" s="367" t="s">
        <v>206</v>
      </c>
      <c r="SFE181" s="367"/>
      <c r="SFF181" s="367"/>
      <c r="SFG181" s="368" t="s">
        <v>168</v>
      </c>
      <c r="SFH181" s="369">
        <v>0.5</v>
      </c>
      <c r="SFI181" s="370" t="e">
        <f>10/SFE179</f>
        <v>#DIV/0!</v>
      </c>
      <c r="SFJ181" s="371">
        <v>15.38</v>
      </c>
      <c r="SFK181" s="371" t="e">
        <f>SFH181*SFI181*SFJ181</f>
        <v>#DIV/0!</v>
      </c>
      <c r="SFL181" s="367" t="s">
        <v>206</v>
      </c>
      <c r="SFM181" s="367"/>
      <c r="SFN181" s="367"/>
      <c r="SFO181" s="368" t="s">
        <v>168</v>
      </c>
      <c r="SFP181" s="369">
        <v>0.5</v>
      </c>
      <c r="SFQ181" s="370" t="e">
        <f>10/SFM179</f>
        <v>#DIV/0!</v>
      </c>
      <c r="SFR181" s="371">
        <v>15.38</v>
      </c>
      <c r="SFS181" s="371" t="e">
        <f>SFP181*SFQ181*SFR181</f>
        <v>#DIV/0!</v>
      </c>
      <c r="SFT181" s="367" t="s">
        <v>206</v>
      </c>
      <c r="SFU181" s="367"/>
      <c r="SFV181" s="367"/>
      <c r="SFW181" s="368" t="s">
        <v>168</v>
      </c>
      <c r="SFX181" s="369">
        <v>0.5</v>
      </c>
      <c r="SFY181" s="370" t="e">
        <f>10/SFU179</f>
        <v>#DIV/0!</v>
      </c>
      <c r="SFZ181" s="371">
        <v>15.38</v>
      </c>
      <c r="SGA181" s="371" t="e">
        <f>SFX181*SFY181*SFZ181</f>
        <v>#DIV/0!</v>
      </c>
      <c r="SGB181" s="367" t="s">
        <v>206</v>
      </c>
      <c r="SGC181" s="367"/>
      <c r="SGD181" s="367"/>
      <c r="SGE181" s="368" t="s">
        <v>168</v>
      </c>
      <c r="SGF181" s="369">
        <v>0.5</v>
      </c>
      <c r="SGG181" s="370" t="e">
        <f>10/SGC179</f>
        <v>#DIV/0!</v>
      </c>
      <c r="SGH181" s="371">
        <v>15.38</v>
      </c>
      <c r="SGI181" s="371" t="e">
        <f>SGF181*SGG181*SGH181</f>
        <v>#DIV/0!</v>
      </c>
      <c r="SGJ181" s="367" t="s">
        <v>206</v>
      </c>
      <c r="SGK181" s="367"/>
      <c r="SGL181" s="367"/>
      <c r="SGM181" s="368" t="s">
        <v>168</v>
      </c>
      <c r="SGN181" s="369">
        <v>0.5</v>
      </c>
      <c r="SGO181" s="370" t="e">
        <f>10/SGK179</f>
        <v>#DIV/0!</v>
      </c>
      <c r="SGP181" s="371">
        <v>15.38</v>
      </c>
      <c r="SGQ181" s="371" t="e">
        <f>SGN181*SGO181*SGP181</f>
        <v>#DIV/0!</v>
      </c>
      <c r="SGR181" s="367" t="s">
        <v>206</v>
      </c>
      <c r="SGS181" s="367"/>
      <c r="SGT181" s="367"/>
      <c r="SGU181" s="368" t="s">
        <v>168</v>
      </c>
      <c r="SGV181" s="369">
        <v>0.5</v>
      </c>
      <c r="SGW181" s="370" t="e">
        <f>10/SGS179</f>
        <v>#DIV/0!</v>
      </c>
      <c r="SGX181" s="371">
        <v>15.38</v>
      </c>
      <c r="SGY181" s="371" t="e">
        <f>SGV181*SGW181*SGX181</f>
        <v>#DIV/0!</v>
      </c>
      <c r="SGZ181" s="367" t="s">
        <v>206</v>
      </c>
      <c r="SHA181" s="367"/>
      <c r="SHB181" s="367"/>
      <c r="SHC181" s="368" t="s">
        <v>168</v>
      </c>
      <c r="SHD181" s="369">
        <v>0.5</v>
      </c>
      <c r="SHE181" s="370" t="e">
        <f>10/SHA179</f>
        <v>#DIV/0!</v>
      </c>
      <c r="SHF181" s="371">
        <v>15.38</v>
      </c>
      <c r="SHG181" s="371" t="e">
        <f>SHD181*SHE181*SHF181</f>
        <v>#DIV/0!</v>
      </c>
      <c r="SHH181" s="367" t="s">
        <v>206</v>
      </c>
      <c r="SHI181" s="367"/>
      <c r="SHJ181" s="367"/>
      <c r="SHK181" s="368" t="s">
        <v>168</v>
      </c>
      <c r="SHL181" s="369">
        <v>0.5</v>
      </c>
      <c r="SHM181" s="370" t="e">
        <f>10/SHI179</f>
        <v>#DIV/0!</v>
      </c>
      <c r="SHN181" s="371">
        <v>15.38</v>
      </c>
      <c r="SHO181" s="371" t="e">
        <f>SHL181*SHM181*SHN181</f>
        <v>#DIV/0!</v>
      </c>
      <c r="SHP181" s="367" t="s">
        <v>206</v>
      </c>
      <c r="SHQ181" s="367"/>
      <c r="SHR181" s="367"/>
      <c r="SHS181" s="368" t="s">
        <v>168</v>
      </c>
      <c r="SHT181" s="369">
        <v>0.5</v>
      </c>
      <c r="SHU181" s="370" t="e">
        <f>10/SHQ179</f>
        <v>#DIV/0!</v>
      </c>
      <c r="SHV181" s="371">
        <v>15.38</v>
      </c>
      <c r="SHW181" s="371" t="e">
        <f>SHT181*SHU181*SHV181</f>
        <v>#DIV/0!</v>
      </c>
      <c r="SHX181" s="367" t="s">
        <v>206</v>
      </c>
      <c r="SHY181" s="367"/>
      <c r="SHZ181" s="367"/>
      <c r="SIA181" s="368" t="s">
        <v>168</v>
      </c>
      <c r="SIB181" s="369">
        <v>0.5</v>
      </c>
      <c r="SIC181" s="370" t="e">
        <f>10/SHY179</f>
        <v>#DIV/0!</v>
      </c>
      <c r="SID181" s="371">
        <v>15.38</v>
      </c>
      <c r="SIE181" s="371" t="e">
        <f>SIB181*SIC181*SID181</f>
        <v>#DIV/0!</v>
      </c>
      <c r="SIF181" s="367" t="s">
        <v>206</v>
      </c>
      <c r="SIG181" s="367"/>
      <c r="SIH181" s="367"/>
      <c r="SII181" s="368" t="s">
        <v>168</v>
      </c>
      <c r="SIJ181" s="369">
        <v>0.5</v>
      </c>
      <c r="SIK181" s="370" t="e">
        <f>10/SIG179</f>
        <v>#DIV/0!</v>
      </c>
      <c r="SIL181" s="371">
        <v>15.38</v>
      </c>
      <c r="SIM181" s="371" t="e">
        <f>SIJ181*SIK181*SIL181</f>
        <v>#DIV/0!</v>
      </c>
      <c r="SIN181" s="367" t="s">
        <v>206</v>
      </c>
      <c r="SIO181" s="367"/>
      <c r="SIP181" s="367"/>
      <c r="SIQ181" s="368" t="s">
        <v>168</v>
      </c>
      <c r="SIR181" s="369">
        <v>0.5</v>
      </c>
      <c r="SIS181" s="370" t="e">
        <f>10/SIO179</f>
        <v>#DIV/0!</v>
      </c>
      <c r="SIT181" s="371">
        <v>15.38</v>
      </c>
      <c r="SIU181" s="371" t="e">
        <f>SIR181*SIS181*SIT181</f>
        <v>#DIV/0!</v>
      </c>
      <c r="SIV181" s="367" t="s">
        <v>206</v>
      </c>
      <c r="SIW181" s="367"/>
      <c r="SIX181" s="367"/>
      <c r="SIY181" s="368" t="s">
        <v>168</v>
      </c>
      <c r="SIZ181" s="369">
        <v>0.5</v>
      </c>
      <c r="SJA181" s="370" t="e">
        <f>10/SIW179</f>
        <v>#DIV/0!</v>
      </c>
      <c r="SJB181" s="371">
        <v>15.38</v>
      </c>
      <c r="SJC181" s="371" t="e">
        <f>SIZ181*SJA181*SJB181</f>
        <v>#DIV/0!</v>
      </c>
      <c r="SJD181" s="367" t="s">
        <v>206</v>
      </c>
      <c r="SJE181" s="367"/>
      <c r="SJF181" s="367"/>
      <c r="SJG181" s="368" t="s">
        <v>168</v>
      </c>
      <c r="SJH181" s="369">
        <v>0.5</v>
      </c>
      <c r="SJI181" s="370" t="e">
        <f>10/SJE179</f>
        <v>#DIV/0!</v>
      </c>
      <c r="SJJ181" s="371">
        <v>15.38</v>
      </c>
      <c r="SJK181" s="371" t="e">
        <f>SJH181*SJI181*SJJ181</f>
        <v>#DIV/0!</v>
      </c>
      <c r="SJL181" s="367" t="s">
        <v>206</v>
      </c>
      <c r="SJM181" s="367"/>
      <c r="SJN181" s="367"/>
      <c r="SJO181" s="368" t="s">
        <v>168</v>
      </c>
      <c r="SJP181" s="369">
        <v>0.5</v>
      </c>
      <c r="SJQ181" s="370" t="e">
        <f>10/SJM179</f>
        <v>#DIV/0!</v>
      </c>
      <c r="SJR181" s="371">
        <v>15.38</v>
      </c>
      <c r="SJS181" s="371" t="e">
        <f>SJP181*SJQ181*SJR181</f>
        <v>#DIV/0!</v>
      </c>
      <c r="SJT181" s="367" t="s">
        <v>206</v>
      </c>
      <c r="SJU181" s="367"/>
      <c r="SJV181" s="367"/>
      <c r="SJW181" s="368" t="s">
        <v>168</v>
      </c>
      <c r="SJX181" s="369">
        <v>0.5</v>
      </c>
      <c r="SJY181" s="370" t="e">
        <f>10/SJU179</f>
        <v>#DIV/0!</v>
      </c>
      <c r="SJZ181" s="371">
        <v>15.38</v>
      </c>
      <c r="SKA181" s="371" t="e">
        <f>SJX181*SJY181*SJZ181</f>
        <v>#DIV/0!</v>
      </c>
      <c r="SKB181" s="367" t="s">
        <v>206</v>
      </c>
      <c r="SKC181" s="367"/>
      <c r="SKD181" s="367"/>
      <c r="SKE181" s="368" t="s">
        <v>168</v>
      </c>
      <c r="SKF181" s="369">
        <v>0.5</v>
      </c>
      <c r="SKG181" s="370" t="e">
        <f>10/SKC179</f>
        <v>#DIV/0!</v>
      </c>
      <c r="SKH181" s="371">
        <v>15.38</v>
      </c>
      <c r="SKI181" s="371" t="e">
        <f>SKF181*SKG181*SKH181</f>
        <v>#DIV/0!</v>
      </c>
      <c r="SKJ181" s="367" t="s">
        <v>206</v>
      </c>
      <c r="SKK181" s="367"/>
      <c r="SKL181" s="367"/>
      <c r="SKM181" s="368" t="s">
        <v>168</v>
      </c>
      <c r="SKN181" s="369">
        <v>0.5</v>
      </c>
      <c r="SKO181" s="370" t="e">
        <f>10/SKK179</f>
        <v>#DIV/0!</v>
      </c>
      <c r="SKP181" s="371">
        <v>15.38</v>
      </c>
      <c r="SKQ181" s="371" t="e">
        <f>SKN181*SKO181*SKP181</f>
        <v>#DIV/0!</v>
      </c>
      <c r="SKR181" s="367" t="s">
        <v>206</v>
      </c>
      <c r="SKS181" s="367"/>
      <c r="SKT181" s="367"/>
      <c r="SKU181" s="368" t="s">
        <v>168</v>
      </c>
      <c r="SKV181" s="369">
        <v>0.5</v>
      </c>
      <c r="SKW181" s="370" t="e">
        <f>10/SKS179</f>
        <v>#DIV/0!</v>
      </c>
      <c r="SKX181" s="371">
        <v>15.38</v>
      </c>
      <c r="SKY181" s="371" t="e">
        <f>SKV181*SKW181*SKX181</f>
        <v>#DIV/0!</v>
      </c>
      <c r="SKZ181" s="367" t="s">
        <v>206</v>
      </c>
      <c r="SLA181" s="367"/>
      <c r="SLB181" s="367"/>
      <c r="SLC181" s="368" t="s">
        <v>168</v>
      </c>
      <c r="SLD181" s="369">
        <v>0.5</v>
      </c>
      <c r="SLE181" s="370" t="e">
        <f>10/SLA179</f>
        <v>#DIV/0!</v>
      </c>
      <c r="SLF181" s="371">
        <v>15.38</v>
      </c>
      <c r="SLG181" s="371" t="e">
        <f>SLD181*SLE181*SLF181</f>
        <v>#DIV/0!</v>
      </c>
      <c r="SLH181" s="367" t="s">
        <v>206</v>
      </c>
      <c r="SLI181" s="367"/>
      <c r="SLJ181" s="367"/>
      <c r="SLK181" s="368" t="s">
        <v>168</v>
      </c>
      <c r="SLL181" s="369">
        <v>0.5</v>
      </c>
      <c r="SLM181" s="370" t="e">
        <f>10/SLI179</f>
        <v>#DIV/0!</v>
      </c>
      <c r="SLN181" s="371">
        <v>15.38</v>
      </c>
      <c r="SLO181" s="371" t="e">
        <f>SLL181*SLM181*SLN181</f>
        <v>#DIV/0!</v>
      </c>
      <c r="SLP181" s="367" t="s">
        <v>206</v>
      </c>
      <c r="SLQ181" s="367"/>
      <c r="SLR181" s="367"/>
      <c r="SLS181" s="368" t="s">
        <v>168</v>
      </c>
      <c r="SLT181" s="369">
        <v>0.5</v>
      </c>
      <c r="SLU181" s="370" t="e">
        <f>10/SLQ179</f>
        <v>#DIV/0!</v>
      </c>
      <c r="SLV181" s="371">
        <v>15.38</v>
      </c>
      <c r="SLW181" s="371" t="e">
        <f>SLT181*SLU181*SLV181</f>
        <v>#DIV/0!</v>
      </c>
      <c r="SLX181" s="367" t="s">
        <v>206</v>
      </c>
      <c r="SLY181" s="367"/>
      <c r="SLZ181" s="367"/>
      <c r="SMA181" s="368" t="s">
        <v>168</v>
      </c>
      <c r="SMB181" s="369">
        <v>0.5</v>
      </c>
      <c r="SMC181" s="370" t="e">
        <f>10/SLY179</f>
        <v>#DIV/0!</v>
      </c>
      <c r="SMD181" s="371">
        <v>15.38</v>
      </c>
      <c r="SME181" s="371" t="e">
        <f>SMB181*SMC181*SMD181</f>
        <v>#DIV/0!</v>
      </c>
      <c r="SMF181" s="367" t="s">
        <v>206</v>
      </c>
      <c r="SMG181" s="367"/>
      <c r="SMH181" s="367"/>
      <c r="SMI181" s="368" t="s">
        <v>168</v>
      </c>
      <c r="SMJ181" s="369">
        <v>0.5</v>
      </c>
      <c r="SMK181" s="370" t="e">
        <f>10/SMG179</f>
        <v>#DIV/0!</v>
      </c>
      <c r="SML181" s="371">
        <v>15.38</v>
      </c>
      <c r="SMM181" s="371" t="e">
        <f>SMJ181*SMK181*SML181</f>
        <v>#DIV/0!</v>
      </c>
      <c r="SMN181" s="367" t="s">
        <v>206</v>
      </c>
      <c r="SMO181" s="367"/>
      <c r="SMP181" s="367"/>
      <c r="SMQ181" s="368" t="s">
        <v>168</v>
      </c>
      <c r="SMR181" s="369">
        <v>0.5</v>
      </c>
      <c r="SMS181" s="370" t="e">
        <f>10/SMO179</f>
        <v>#DIV/0!</v>
      </c>
      <c r="SMT181" s="371">
        <v>15.38</v>
      </c>
      <c r="SMU181" s="371" t="e">
        <f>SMR181*SMS181*SMT181</f>
        <v>#DIV/0!</v>
      </c>
      <c r="SMV181" s="367" t="s">
        <v>206</v>
      </c>
      <c r="SMW181" s="367"/>
      <c r="SMX181" s="367"/>
      <c r="SMY181" s="368" t="s">
        <v>168</v>
      </c>
      <c r="SMZ181" s="369">
        <v>0.5</v>
      </c>
      <c r="SNA181" s="370" t="e">
        <f>10/SMW179</f>
        <v>#DIV/0!</v>
      </c>
      <c r="SNB181" s="371">
        <v>15.38</v>
      </c>
      <c r="SNC181" s="371" t="e">
        <f>SMZ181*SNA181*SNB181</f>
        <v>#DIV/0!</v>
      </c>
      <c r="SND181" s="367" t="s">
        <v>206</v>
      </c>
      <c r="SNE181" s="367"/>
      <c r="SNF181" s="367"/>
      <c r="SNG181" s="368" t="s">
        <v>168</v>
      </c>
      <c r="SNH181" s="369">
        <v>0.5</v>
      </c>
      <c r="SNI181" s="370" t="e">
        <f>10/SNE179</f>
        <v>#DIV/0!</v>
      </c>
      <c r="SNJ181" s="371">
        <v>15.38</v>
      </c>
      <c r="SNK181" s="371" t="e">
        <f>SNH181*SNI181*SNJ181</f>
        <v>#DIV/0!</v>
      </c>
      <c r="SNL181" s="367" t="s">
        <v>206</v>
      </c>
      <c r="SNM181" s="367"/>
      <c r="SNN181" s="367"/>
      <c r="SNO181" s="368" t="s">
        <v>168</v>
      </c>
      <c r="SNP181" s="369">
        <v>0.5</v>
      </c>
      <c r="SNQ181" s="370" t="e">
        <f>10/SNM179</f>
        <v>#DIV/0!</v>
      </c>
      <c r="SNR181" s="371">
        <v>15.38</v>
      </c>
      <c r="SNS181" s="371" t="e">
        <f>SNP181*SNQ181*SNR181</f>
        <v>#DIV/0!</v>
      </c>
      <c r="SNT181" s="367" t="s">
        <v>206</v>
      </c>
      <c r="SNU181" s="367"/>
      <c r="SNV181" s="367"/>
      <c r="SNW181" s="368" t="s">
        <v>168</v>
      </c>
      <c r="SNX181" s="369">
        <v>0.5</v>
      </c>
      <c r="SNY181" s="370" t="e">
        <f>10/SNU179</f>
        <v>#DIV/0!</v>
      </c>
      <c r="SNZ181" s="371">
        <v>15.38</v>
      </c>
      <c r="SOA181" s="371" t="e">
        <f>SNX181*SNY181*SNZ181</f>
        <v>#DIV/0!</v>
      </c>
      <c r="SOB181" s="367" t="s">
        <v>206</v>
      </c>
      <c r="SOC181" s="367"/>
      <c r="SOD181" s="367"/>
      <c r="SOE181" s="368" t="s">
        <v>168</v>
      </c>
      <c r="SOF181" s="369">
        <v>0.5</v>
      </c>
      <c r="SOG181" s="370" t="e">
        <f>10/SOC179</f>
        <v>#DIV/0!</v>
      </c>
      <c r="SOH181" s="371">
        <v>15.38</v>
      </c>
      <c r="SOI181" s="371" t="e">
        <f>SOF181*SOG181*SOH181</f>
        <v>#DIV/0!</v>
      </c>
      <c r="SOJ181" s="367" t="s">
        <v>206</v>
      </c>
      <c r="SOK181" s="367"/>
      <c r="SOL181" s="367"/>
      <c r="SOM181" s="368" t="s">
        <v>168</v>
      </c>
      <c r="SON181" s="369">
        <v>0.5</v>
      </c>
      <c r="SOO181" s="370" t="e">
        <f>10/SOK179</f>
        <v>#DIV/0!</v>
      </c>
      <c r="SOP181" s="371">
        <v>15.38</v>
      </c>
      <c r="SOQ181" s="371" t="e">
        <f>SON181*SOO181*SOP181</f>
        <v>#DIV/0!</v>
      </c>
      <c r="SOR181" s="367" t="s">
        <v>206</v>
      </c>
      <c r="SOS181" s="367"/>
      <c r="SOT181" s="367"/>
      <c r="SOU181" s="368" t="s">
        <v>168</v>
      </c>
      <c r="SOV181" s="369">
        <v>0.5</v>
      </c>
      <c r="SOW181" s="370" t="e">
        <f>10/SOS179</f>
        <v>#DIV/0!</v>
      </c>
      <c r="SOX181" s="371">
        <v>15.38</v>
      </c>
      <c r="SOY181" s="371" t="e">
        <f>SOV181*SOW181*SOX181</f>
        <v>#DIV/0!</v>
      </c>
      <c r="SOZ181" s="367" t="s">
        <v>206</v>
      </c>
      <c r="SPA181" s="367"/>
      <c r="SPB181" s="367"/>
      <c r="SPC181" s="368" t="s">
        <v>168</v>
      </c>
      <c r="SPD181" s="369">
        <v>0.5</v>
      </c>
      <c r="SPE181" s="370" t="e">
        <f>10/SPA179</f>
        <v>#DIV/0!</v>
      </c>
      <c r="SPF181" s="371">
        <v>15.38</v>
      </c>
      <c r="SPG181" s="371" t="e">
        <f>SPD181*SPE181*SPF181</f>
        <v>#DIV/0!</v>
      </c>
      <c r="SPH181" s="367" t="s">
        <v>206</v>
      </c>
      <c r="SPI181" s="367"/>
      <c r="SPJ181" s="367"/>
      <c r="SPK181" s="368" t="s">
        <v>168</v>
      </c>
      <c r="SPL181" s="369">
        <v>0.5</v>
      </c>
      <c r="SPM181" s="370" t="e">
        <f>10/SPI179</f>
        <v>#DIV/0!</v>
      </c>
      <c r="SPN181" s="371">
        <v>15.38</v>
      </c>
      <c r="SPO181" s="371" t="e">
        <f>SPL181*SPM181*SPN181</f>
        <v>#DIV/0!</v>
      </c>
      <c r="SPP181" s="367" t="s">
        <v>206</v>
      </c>
      <c r="SPQ181" s="367"/>
      <c r="SPR181" s="367"/>
      <c r="SPS181" s="368" t="s">
        <v>168</v>
      </c>
      <c r="SPT181" s="369">
        <v>0.5</v>
      </c>
      <c r="SPU181" s="370" t="e">
        <f>10/SPQ179</f>
        <v>#DIV/0!</v>
      </c>
      <c r="SPV181" s="371">
        <v>15.38</v>
      </c>
      <c r="SPW181" s="371" t="e">
        <f>SPT181*SPU181*SPV181</f>
        <v>#DIV/0!</v>
      </c>
      <c r="SPX181" s="367" t="s">
        <v>206</v>
      </c>
      <c r="SPY181" s="367"/>
      <c r="SPZ181" s="367"/>
      <c r="SQA181" s="368" t="s">
        <v>168</v>
      </c>
      <c r="SQB181" s="369">
        <v>0.5</v>
      </c>
      <c r="SQC181" s="370" t="e">
        <f>10/SPY179</f>
        <v>#DIV/0!</v>
      </c>
      <c r="SQD181" s="371">
        <v>15.38</v>
      </c>
      <c r="SQE181" s="371" t="e">
        <f>SQB181*SQC181*SQD181</f>
        <v>#DIV/0!</v>
      </c>
      <c r="SQF181" s="367" t="s">
        <v>206</v>
      </c>
      <c r="SQG181" s="367"/>
      <c r="SQH181" s="367"/>
      <c r="SQI181" s="368" t="s">
        <v>168</v>
      </c>
      <c r="SQJ181" s="369">
        <v>0.5</v>
      </c>
      <c r="SQK181" s="370" t="e">
        <f>10/SQG179</f>
        <v>#DIV/0!</v>
      </c>
      <c r="SQL181" s="371">
        <v>15.38</v>
      </c>
      <c r="SQM181" s="371" t="e">
        <f>SQJ181*SQK181*SQL181</f>
        <v>#DIV/0!</v>
      </c>
      <c r="SQN181" s="367" t="s">
        <v>206</v>
      </c>
      <c r="SQO181" s="367"/>
      <c r="SQP181" s="367"/>
      <c r="SQQ181" s="368" t="s">
        <v>168</v>
      </c>
      <c r="SQR181" s="369">
        <v>0.5</v>
      </c>
      <c r="SQS181" s="370" t="e">
        <f>10/SQO179</f>
        <v>#DIV/0!</v>
      </c>
      <c r="SQT181" s="371">
        <v>15.38</v>
      </c>
      <c r="SQU181" s="371" t="e">
        <f>SQR181*SQS181*SQT181</f>
        <v>#DIV/0!</v>
      </c>
      <c r="SQV181" s="367" t="s">
        <v>206</v>
      </c>
      <c r="SQW181" s="367"/>
      <c r="SQX181" s="367"/>
      <c r="SQY181" s="368" t="s">
        <v>168</v>
      </c>
      <c r="SQZ181" s="369">
        <v>0.5</v>
      </c>
      <c r="SRA181" s="370" t="e">
        <f>10/SQW179</f>
        <v>#DIV/0!</v>
      </c>
      <c r="SRB181" s="371">
        <v>15.38</v>
      </c>
      <c r="SRC181" s="371" t="e">
        <f>SQZ181*SRA181*SRB181</f>
        <v>#DIV/0!</v>
      </c>
      <c r="SRD181" s="367" t="s">
        <v>206</v>
      </c>
      <c r="SRE181" s="367"/>
      <c r="SRF181" s="367"/>
      <c r="SRG181" s="368" t="s">
        <v>168</v>
      </c>
      <c r="SRH181" s="369">
        <v>0.5</v>
      </c>
      <c r="SRI181" s="370" t="e">
        <f>10/SRE179</f>
        <v>#DIV/0!</v>
      </c>
      <c r="SRJ181" s="371">
        <v>15.38</v>
      </c>
      <c r="SRK181" s="371" t="e">
        <f>SRH181*SRI181*SRJ181</f>
        <v>#DIV/0!</v>
      </c>
      <c r="SRL181" s="367" t="s">
        <v>206</v>
      </c>
      <c r="SRM181" s="367"/>
      <c r="SRN181" s="367"/>
      <c r="SRO181" s="368" t="s">
        <v>168</v>
      </c>
      <c r="SRP181" s="369">
        <v>0.5</v>
      </c>
      <c r="SRQ181" s="370" t="e">
        <f>10/SRM179</f>
        <v>#DIV/0!</v>
      </c>
      <c r="SRR181" s="371">
        <v>15.38</v>
      </c>
      <c r="SRS181" s="371" t="e">
        <f>SRP181*SRQ181*SRR181</f>
        <v>#DIV/0!</v>
      </c>
      <c r="SRT181" s="367" t="s">
        <v>206</v>
      </c>
      <c r="SRU181" s="367"/>
      <c r="SRV181" s="367"/>
      <c r="SRW181" s="368" t="s">
        <v>168</v>
      </c>
      <c r="SRX181" s="369">
        <v>0.5</v>
      </c>
      <c r="SRY181" s="370" t="e">
        <f>10/SRU179</f>
        <v>#DIV/0!</v>
      </c>
      <c r="SRZ181" s="371">
        <v>15.38</v>
      </c>
      <c r="SSA181" s="371" t="e">
        <f>SRX181*SRY181*SRZ181</f>
        <v>#DIV/0!</v>
      </c>
      <c r="SSB181" s="367" t="s">
        <v>206</v>
      </c>
      <c r="SSC181" s="367"/>
      <c r="SSD181" s="367"/>
      <c r="SSE181" s="368" t="s">
        <v>168</v>
      </c>
      <c r="SSF181" s="369">
        <v>0.5</v>
      </c>
      <c r="SSG181" s="370" t="e">
        <f>10/SSC179</f>
        <v>#DIV/0!</v>
      </c>
      <c r="SSH181" s="371">
        <v>15.38</v>
      </c>
      <c r="SSI181" s="371" t="e">
        <f>SSF181*SSG181*SSH181</f>
        <v>#DIV/0!</v>
      </c>
      <c r="SSJ181" s="367" t="s">
        <v>206</v>
      </c>
      <c r="SSK181" s="367"/>
      <c r="SSL181" s="367"/>
      <c r="SSM181" s="368" t="s">
        <v>168</v>
      </c>
      <c r="SSN181" s="369">
        <v>0.5</v>
      </c>
      <c r="SSO181" s="370" t="e">
        <f>10/SSK179</f>
        <v>#DIV/0!</v>
      </c>
      <c r="SSP181" s="371">
        <v>15.38</v>
      </c>
      <c r="SSQ181" s="371" t="e">
        <f>SSN181*SSO181*SSP181</f>
        <v>#DIV/0!</v>
      </c>
      <c r="SSR181" s="367" t="s">
        <v>206</v>
      </c>
      <c r="SSS181" s="367"/>
      <c r="SST181" s="367"/>
      <c r="SSU181" s="368" t="s">
        <v>168</v>
      </c>
      <c r="SSV181" s="369">
        <v>0.5</v>
      </c>
      <c r="SSW181" s="370" t="e">
        <f>10/SSS179</f>
        <v>#DIV/0!</v>
      </c>
      <c r="SSX181" s="371">
        <v>15.38</v>
      </c>
      <c r="SSY181" s="371" t="e">
        <f>SSV181*SSW181*SSX181</f>
        <v>#DIV/0!</v>
      </c>
      <c r="SSZ181" s="367" t="s">
        <v>206</v>
      </c>
      <c r="STA181" s="367"/>
      <c r="STB181" s="367"/>
      <c r="STC181" s="368" t="s">
        <v>168</v>
      </c>
      <c r="STD181" s="369">
        <v>0.5</v>
      </c>
      <c r="STE181" s="370" t="e">
        <f>10/STA179</f>
        <v>#DIV/0!</v>
      </c>
      <c r="STF181" s="371">
        <v>15.38</v>
      </c>
      <c r="STG181" s="371" t="e">
        <f>STD181*STE181*STF181</f>
        <v>#DIV/0!</v>
      </c>
      <c r="STH181" s="367" t="s">
        <v>206</v>
      </c>
      <c r="STI181" s="367"/>
      <c r="STJ181" s="367"/>
      <c r="STK181" s="368" t="s">
        <v>168</v>
      </c>
      <c r="STL181" s="369">
        <v>0.5</v>
      </c>
      <c r="STM181" s="370" t="e">
        <f>10/STI179</f>
        <v>#DIV/0!</v>
      </c>
      <c r="STN181" s="371">
        <v>15.38</v>
      </c>
      <c r="STO181" s="371" t="e">
        <f>STL181*STM181*STN181</f>
        <v>#DIV/0!</v>
      </c>
      <c r="STP181" s="367" t="s">
        <v>206</v>
      </c>
      <c r="STQ181" s="367"/>
      <c r="STR181" s="367"/>
      <c r="STS181" s="368" t="s">
        <v>168</v>
      </c>
      <c r="STT181" s="369">
        <v>0.5</v>
      </c>
      <c r="STU181" s="370" t="e">
        <f>10/STQ179</f>
        <v>#DIV/0!</v>
      </c>
      <c r="STV181" s="371">
        <v>15.38</v>
      </c>
      <c r="STW181" s="371" t="e">
        <f>STT181*STU181*STV181</f>
        <v>#DIV/0!</v>
      </c>
      <c r="STX181" s="367" t="s">
        <v>206</v>
      </c>
      <c r="STY181" s="367"/>
      <c r="STZ181" s="367"/>
      <c r="SUA181" s="368" t="s">
        <v>168</v>
      </c>
      <c r="SUB181" s="369">
        <v>0.5</v>
      </c>
      <c r="SUC181" s="370" t="e">
        <f>10/STY179</f>
        <v>#DIV/0!</v>
      </c>
      <c r="SUD181" s="371">
        <v>15.38</v>
      </c>
      <c r="SUE181" s="371" t="e">
        <f>SUB181*SUC181*SUD181</f>
        <v>#DIV/0!</v>
      </c>
      <c r="SUF181" s="367" t="s">
        <v>206</v>
      </c>
      <c r="SUG181" s="367"/>
      <c r="SUH181" s="367"/>
      <c r="SUI181" s="368" t="s">
        <v>168</v>
      </c>
      <c r="SUJ181" s="369">
        <v>0.5</v>
      </c>
      <c r="SUK181" s="370" t="e">
        <f>10/SUG179</f>
        <v>#DIV/0!</v>
      </c>
      <c r="SUL181" s="371">
        <v>15.38</v>
      </c>
      <c r="SUM181" s="371" t="e">
        <f>SUJ181*SUK181*SUL181</f>
        <v>#DIV/0!</v>
      </c>
      <c r="SUN181" s="367" t="s">
        <v>206</v>
      </c>
      <c r="SUO181" s="367"/>
      <c r="SUP181" s="367"/>
      <c r="SUQ181" s="368" t="s">
        <v>168</v>
      </c>
      <c r="SUR181" s="369">
        <v>0.5</v>
      </c>
      <c r="SUS181" s="370" t="e">
        <f>10/SUO179</f>
        <v>#DIV/0!</v>
      </c>
      <c r="SUT181" s="371">
        <v>15.38</v>
      </c>
      <c r="SUU181" s="371" t="e">
        <f>SUR181*SUS181*SUT181</f>
        <v>#DIV/0!</v>
      </c>
      <c r="SUV181" s="367" t="s">
        <v>206</v>
      </c>
      <c r="SUW181" s="367"/>
      <c r="SUX181" s="367"/>
      <c r="SUY181" s="368" t="s">
        <v>168</v>
      </c>
      <c r="SUZ181" s="369">
        <v>0.5</v>
      </c>
      <c r="SVA181" s="370" t="e">
        <f>10/SUW179</f>
        <v>#DIV/0!</v>
      </c>
      <c r="SVB181" s="371">
        <v>15.38</v>
      </c>
      <c r="SVC181" s="371" t="e">
        <f>SUZ181*SVA181*SVB181</f>
        <v>#DIV/0!</v>
      </c>
      <c r="SVD181" s="367" t="s">
        <v>206</v>
      </c>
      <c r="SVE181" s="367"/>
      <c r="SVF181" s="367"/>
      <c r="SVG181" s="368" t="s">
        <v>168</v>
      </c>
      <c r="SVH181" s="369">
        <v>0.5</v>
      </c>
      <c r="SVI181" s="370" t="e">
        <f>10/SVE179</f>
        <v>#DIV/0!</v>
      </c>
      <c r="SVJ181" s="371">
        <v>15.38</v>
      </c>
      <c r="SVK181" s="371" t="e">
        <f>SVH181*SVI181*SVJ181</f>
        <v>#DIV/0!</v>
      </c>
      <c r="SVL181" s="367" t="s">
        <v>206</v>
      </c>
      <c r="SVM181" s="367"/>
      <c r="SVN181" s="367"/>
      <c r="SVO181" s="368" t="s">
        <v>168</v>
      </c>
      <c r="SVP181" s="369">
        <v>0.5</v>
      </c>
      <c r="SVQ181" s="370" t="e">
        <f>10/SVM179</f>
        <v>#DIV/0!</v>
      </c>
      <c r="SVR181" s="371">
        <v>15.38</v>
      </c>
      <c r="SVS181" s="371" t="e">
        <f>SVP181*SVQ181*SVR181</f>
        <v>#DIV/0!</v>
      </c>
      <c r="SVT181" s="367" t="s">
        <v>206</v>
      </c>
      <c r="SVU181" s="367"/>
      <c r="SVV181" s="367"/>
      <c r="SVW181" s="368" t="s">
        <v>168</v>
      </c>
      <c r="SVX181" s="369">
        <v>0.5</v>
      </c>
      <c r="SVY181" s="370" t="e">
        <f>10/SVU179</f>
        <v>#DIV/0!</v>
      </c>
      <c r="SVZ181" s="371">
        <v>15.38</v>
      </c>
      <c r="SWA181" s="371" t="e">
        <f>SVX181*SVY181*SVZ181</f>
        <v>#DIV/0!</v>
      </c>
      <c r="SWB181" s="367" t="s">
        <v>206</v>
      </c>
      <c r="SWC181" s="367"/>
      <c r="SWD181" s="367"/>
      <c r="SWE181" s="368" t="s">
        <v>168</v>
      </c>
      <c r="SWF181" s="369">
        <v>0.5</v>
      </c>
      <c r="SWG181" s="370" t="e">
        <f>10/SWC179</f>
        <v>#DIV/0!</v>
      </c>
      <c r="SWH181" s="371">
        <v>15.38</v>
      </c>
      <c r="SWI181" s="371" t="e">
        <f>SWF181*SWG181*SWH181</f>
        <v>#DIV/0!</v>
      </c>
      <c r="SWJ181" s="367" t="s">
        <v>206</v>
      </c>
      <c r="SWK181" s="367"/>
      <c r="SWL181" s="367"/>
      <c r="SWM181" s="368" t="s">
        <v>168</v>
      </c>
      <c r="SWN181" s="369">
        <v>0.5</v>
      </c>
      <c r="SWO181" s="370" t="e">
        <f>10/SWK179</f>
        <v>#DIV/0!</v>
      </c>
      <c r="SWP181" s="371">
        <v>15.38</v>
      </c>
      <c r="SWQ181" s="371" t="e">
        <f>SWN181*SWO181*SWP181</f>
        <v>#DIV/0!</v>
      </c>
      <c r="SWR181" s="367" t="s">
        <v>206</v>
      </c>
      <c r="SWS181" s="367"/>
      <c r="SWT181" s="367"/>
      <c r="SWU181" s="368" t="s">
        <v>168</v>
      </c>
      <c r="SWV181" s="369">
        <v>0.5</v>
      </c>
      <c r="SWW181" s="370" t="e">
        <f>10/SWS179</f>
        <v>#DIV/0!</v>
      </c>
      <c r="SWX181" s="371">
        <v>15.38</v>
      </c>
      <c r="SWY181" s="371" t="e">
        <f>SWV181*SWW181*SWX181</f>
        <v>#DIV/0!</v>
      </c>
      <c r="SWZ181" s="367" t="s">
        <v>206</v>
      </c>
      <c r="SXA181" s="367"/>
      <c r="SXB181" s="367"/>
      <c r="SXC181" s="368" t="s">
        <v>168</v>
      </c>
      <c r="SXD181" s="369">
        <v>0.5</v>
      </c>
      <c r="SXE181" s="370" t="e">
        <f>10/SXA179</f>
        <v>#DIV/0!</v>
      </c>
      <c r="SXF181" s="371">
        <v>15.38</v>
      </c>
      <c r="SXG181" s="371" t="e">
        <f>SXD181*SXE181*SXF181</f>
        <v>#DIV/0!</v>
      </c>
      <c r="SXH181" s="367" t="s">
        <v>206</v>
      </c>
      <c r="SXI181" s="367"/>
      <c r="SXJ181" s="367"/>
      <c r="SXK181" s="368" t="s">
        <v>168</v>
      </c>
      <c r="SXL181" s="369">
        <v>0.5</v>
      </c>
      <c r="SXM181" s="370" t="e">
        <f>10/SXI179</f>
        <v>#DIV/0!</v>
      </c>
      <c r="SXN181" s="371">
        <v>15.38</v>
      </c>
      <c r="SXO181" s="371" t="e">
        <f>SXL181*SXM181*SXN181</f>
        <v>#DIV/0!</v>
      </c>
      <c r="SXP181" s="367" t="s">
        <v>206</v>
      </c>
      <c r="SXQ181" s="367"/>
      <c r="SXR181" s="367"/>
      <c r="SXS181" s="368" t="s">
        <v>168</v>
      </c>
      <c r="SXT181" s="369">
        <v>0.5</v>
      </c>
      <c r="SXU181" s="370" t="e">
        <f>10/SXQ179</f>
        <v>#DIV/0!</v>
      </c>
      <c r="SXV181" s="371">
        <v>15.38</v>
      </c>
      <c r="SXW181" s="371" t="e">
        <f>SXT181*SXU181*SXV181</f>
        <v>#DIV/0!</v>
      </c>
      <c r="SXX181" s="367" t="s">
        <v>206</v>
      </c>
      <c r="SXY181" s="367"/>
      <c r="SXZ181" s="367"/>
      <c r="SYA181" s="368" t="s">
        <v>168</v>
      </c>
      <c r="SYB181" s="369">
        <v>0.5</v>
      </c>
      <c r="SYC181" s="370" t="e">
        <f>10/SXY179</f>
        <v>#DIV/0!</v>
      </c>
      <c r="SYD181" s="371">
        <v>15.38</v>
      </c>
      <c r="SYE181" s="371" t="e">
        <f>SYB181*SYC181*SYD181</f>
        <v>#DIV/0!</v>
      </c>
      <c r="SYF181" s="367" t="s">
        <v>206</v>
      </c>
      <c r="SYG181" s="367"/>
      <c r="SYH181" s="367"/>
      <c r="SYI181" s="368" t="s">
        <v>168</v>
      </c>
      <c r="SYJ181" s="369">
        <v>0.5</v>
      </c>
      <c r="SYK181" s="370" t="e">
        <f>10/SYG179</f>
        <v>#DIV/0!</v>
      </c>
      <c r="SYL181" s="371">
        <v>15.38</v>
      </c>
      <c r="SYM181" s="371" t="e">
        <f>SYJ181*SYK181*SYL181</f>
        <v>#DIV/0!</v>
      </c>
      <c r="SYN181" s="367" t="s">
        <v>206</v>
      </c>
      <c r="SYO181" s="367"/>
      <c r="SYP181" s="367"/>
      <c r="SYQ181" s="368" t="s">
        <v>168</v>
      </c>
      <c r="SYR181" s="369">
        <v>0.5</v>
      </c>
      <c r="SYS181" s="370" t="e">
        <f>10/SYO179</f>
        <v>#DIV/0!</v>
      </c>
      <c r="SYT181" s="371">
        <v>15.38</v>
      </c>
      <c r="SYU181" s="371" t="e">
        <f>SYR181*SYS181*SYT181</f>
        <v>#DIV/0!</v>
      </c>
      <c r="SYV181" s="367" t="s">
        <v>206</v>
      </c>
      <c r="SYW181" s="367"/>
      <c r="SYX181" s="367"/>
      <c r="SYY181" s="368" t="s">
        <v>168</v>
      </c>
      <c r="SYZ181" s="369">
        <v>0.5</v>
      </c>
      <c r="SZA181" s="370" t="e">
        <f>10/SYW179</f>
        <v>#DIV/0!</v>
      </c>
      <c r="SZB181" s="371">
        <v>15.38</v>
      </c>
      <c r="SZC181" s="371" t="e">
        <f>SYZ181*SZA181*SZB181</f>
        <v>#DIV/0!</v>
      </c>
      <c r="SZD181" s="367" t="s">
        <v>206</v>
      </c>
      <c r="SZE181" s="367"/>
      <c r="SZF181" s="367"/>
      <c r="SZG181" s="368" t="s">
        <v>168</v>
      </c>
      <c r="SZH181" s="369">
        <v>0.5</v>
      </c>
      <c r="SZI181" s="370" t="e">
        <f>10/SZE179</f>
        <v>#DIV/0!</v>
      </c>
      <c r="SZJ181" s="371">
        <v>15.38</v>
      </c>
      <c r="SZK181" s="371" t="e">
        <f>SZH181*SZI181*SZJ181</f>
        <v>#DIV/0!</v>
      </c>
      <c r="SZL181" s="367" t="s">
        <v>206</v>
      </c>
      <c r="SZM181" s="367"/>
      <c r="SZN181" s="367"/>
      <c r="SZO181" s="368" t="s">
        <v>168</v>
      </c>
      <c r="SZP181" s="369">
        <v>0.5</v>
      </c>
      <c r="SZQ181" s="370" t="e">
        <f>10/SZM179</f>
        <v>#DIV/0!</v>
      </c>
      <c r="SZR181" s="371">
        <v>15.38</v>
      </c>
      <c r="SZS181" s="371" t="e">
        <f>SZP181*SZQ181*SZR181</f>
        <v>#DIV/0!</v>
      </c>
      <c r="SZT181" s="367" t="s">
        <v>206</v>
      </c>
      <c r="SZU181" s="367"/>
      <c r="SZV181" s="367"/>
      <c r="SZW181" s="368" t="s">
        <v>168</v>
      </c>
      <c r="SZX181" s="369">
        <v>0.5</v>
      </c>
      <c r="SZY181" s="370" t="e">
        <f>10/SZU179</f>
        <v>#DIV/0!</v>
      </c>
      <c r="SZZ181" s="371">
        <v>15.38</v>
      </c>
      <c r="TAA181" s="371" t="e">
        <f>SZX181*SZY181*SZZ181</f>
        <v>#DIV/0!</v>
      </c>
      <c r="TAB181" s="367" t="s">
        <v>206</v>
      </c>
      <c r="TAC181" s="367"/>
      <c r="TAD181" s="367"/>
      <c r="TAE181" s="368" t="s">
        <v>168</v>
      </c>
      <c r="TAF181" s="369">
        <v>0.5</v>
      </c>
      <c r="TAG181" s="370" t="e">
        <f>10/TAC179</f>
        <v>#DIV/0!</v>
      </c>
      <c r="TAH181" s="371">
        <v>15.38</v>
      </c>
      <c r="TAI181" s="371" t="e">
        <f>TAF181*TAG181*TAH181</f>
        <v>#DIV/0!</v>
      </c>
      <c r="TAJ181" s="367" t="s">
        <v>206</v>
      </c>
      <c r="TAK181" s="367"/>
      <c r="TAL181" s="367"/>
      <c r="TAM181" s="368" t="s">
        <v>168</v>
      </c>
      <c r="TAN181" s="369">
        <v>0.5</v>
      </c>
      <c r="TAO181" s="370" t="e">
        <f>10/TAK179</f>
        <v>#DIV/0!</v>
      </c>
      <c r="TAP181" s="371">
        <v>15.38</v>
      </c>
      <c r="TAQ181" s="371" t="e">
        <f>TAN181*TAO181*TAP181</f>
        <v>#DIV/0!</v>
      </c>
      <c r="TAR181" s="367" t="s">
        <v>206</v>
      </c>
      <c r="TAS181" s="367"/>
      <c r="TAT181" s="367"/>
      <c r="TAU181" s="368" t="s">
        <v>168</v>
      </c>
      <c r="TAV181" s="369">
        <v>0.5</v>
      </c>
      <c r="TAW181" s="370" t="e">
        <f>10/TAS179</f>
        <v>#DIV/0!</v>
      </c>
      <c r="TAX181" s="371">
        <v>15.38</v>
      </c>
      <c r="TAY181" s="371" t="e">
        <f>TAV181*TAW181*TAX181</f>
        <v>#DIV/0!</v>
      </c>
      <c r="TAZ181" s="367" t="s">
        <v>206</v>
      </c>
      <c r="TBA181" s="367"/>
      <c r="TBB181" s="367"/>
      <c r="TBC181" s="368" t="s">
        <v>168</v>
      </c>
      <c r="TBD181" s="369">
        <v>0.5</v>
      </c>
      <c r="TBE181" s="370" t="e">
        <f>10/TBA179</f>
        <v>#DIV/0!</v>
      </c>
      <c r="TBF181" s="371">
        <v>15.38</v>
      </c>
      <c r="TBG181" s="371" t="e">
        <f>TBD181*TBE181*TBF181</f>
        <v>#DIV/0!</v>
      </c>
      <c r="TBH181" s="367" t="s">
        <v>206</v>
      </c>
      <c r="TBI181" s="367"/>
      <c r="TBJ181" s="367"/>
      <c r="TBK181" s="368" t="s">
        <v>168</v>
      </c>
      <c r="TBL181" s="369">
        <v>0.5</v>
      </c>
      <c r="TBM181" s="370" t="e">
        <f>10/TBI179</f>
        <v>#DIV/0!</v>
      </c>
      <c r="TBN181" s="371">
        <v>15.38</v>
      </c>
      <c r="TBO181" s="371" t="e">
        <f>TBL181*TBM181*TBN181</f>
        <v>#DIV/0!</v>
      </c>
      <c r="TBP181" s="367" t="s">
        <v>206</v>
      </c>
      <c r="TBQ181" s="367"/>
      <c r="TBR181" s="367"/>
      <c r="TBS181" s="368" t="s">
        <v>168</v>
      </c>
      <c r="TBT181" s="369">
        <v>0.5</v>
      </c>
      <c r="TBU181" s="370" t="e">
        <f>10/TBQ179</f>
        <v>#DIV/0!</v>
      </c>
      <c r="TBV181" s="371">
        <v>15.38</v>
      </c>
      <c r="TBW181" s="371" t="e">
        <f>TBT181*TBU181*TBV181</f>
        <v>#DIV/0!</v>
      </c>
      <c r="TBX181" s="367" t="s">
        <v>206</v>
      </c>
      <c r="TBY181" s="367"/>
      <c r="TBZ181" s="367"/>
      <c r="TCA181" s="368" t="s">
        <v>168</v>
      </c>
      <c r="TCB181" s="369">
        <v>0.5</v>
      </c>
      <c r="TCC181" s="370" t="e">
        <f>10/TBY179</f>
        <v>#DIV/0!</v>
      </c>
      <c r="TCD181" s="371">
        <v>15.38</v>
      </c>
      <c r="TCE181" s="371" t="e">
        <f>TCB181*TCC181*TCD181</f>
        <v>#DIV/0!</v>
      </c>
      <c r="TCF181" s="367" t="s">
        <v>206</v>
      </c>
      <c r="TCG181" s="367"/>
      <c r="TCH181" s="367"/>
      <c r="TCI181" s="368" t="s">
        <v>168</v>
      </c>
      <c r="TCJ181" s="369">
        <v>0.5</v>
      </c>
      <c r="TCK181" s="370" t="e">
        <f>10/TCG179</f>
        <v>#DIV/0!</v>
      </c>
      <c r="TCL181" s="371">
        <v>15.38</v>
      </c>
      <c r="TCM181" s="371" t="e">
        <f>TCJ181*TCK181*TCL181</f>
        <v>#DIV/0!</v>
      </c>
      <c r="TCN181" s="367" t="s">
        <v>206</v>
      </c>
      <c r="TCO181" s="367"/>
      <c r="TCP181" s="367"/>
      <c r="TCQ181" s="368" t="s">
        <v>168</v>
      </c>
      <c r="TCR181" s="369">
        <v>0.5</v>
      </c>
      <c r="TCS181" s="370" t="e">
        <f>10/TCO179</f>
        <v>#DIV/0!</v>
      </c>
      <c r="TCT181" s="371">
        <v>15.38</v>
      </c>
      <c r="TCU181" s="371" t="e">
        <f>TCR181*TCS181*TCT181</f>
        <v>#DIV/0!</v>
      </c>
      <c r="TCV181" s="367" t="s">
        <v>206</v>
      </c>
      <c r="TCW181" s="367"/>
      <c r="TCX181" s="367"/>
      <c r="TCY181" s="368" t="s">
        <v>168</v>
      </c>
      <c r="TCZ181" s="369">
        <v>0.5</v>
      </c>
      <c r="TDA181" s="370" t="e">
        <f>10/TCW179</f>
        <v>#DIV/0!</v>
      </c>
      <c r="TDB181" s="371">
        <v>15.38</v>
      </c>
      <c r="TDC181" s="371" t="e">
        <f>TCZ181*TDA181*TDB181</f>
        <v>#DIV/0!</v>
      </c>
      <c r="TDD181" s="367" t="s">
        <v>206</v>
      </c>
      <c r="TDE181" s="367"/>
      <c r="TDF181" s="367"/>
      <c r="TDG181" s="368" t="s">
        <v>168</v>
      </c>
      <c r="TDH181" s="369">
        <v>0.5</v>
      </c>
      <c r="TDI181" s="370" t="e">
        <f>10/TDE179</f>
        <v>#DIV/0!</v>
      </c>
      <c r="TDJ181" s="371">
        <v>15.38</v>
      </c>
      <c r="TDK181" s="371" t="e">
        <f>TDH181*TDI181*TDJ181</f>
        <v>#DIV/0!</v>
      </c>
      <c r="TDL181" s="367" t="s">
        <v>206</v>
      </c>
      <c r="TDM181" s="367"/>
      <c r="TDN181" s="367"/>
      <c r="TDO181" s="368" t="s">
        <v>168</v>
      </c>
      <c r="TDP181" s="369">
        <v>0.5</v>
      </c>
      <c r="TDQ181" s="370" t="e">
        <f>10/TDM179</f>
        <v>#DIV/0!</v>
      </c>
      <c r="TDR181" s="371">
        <v>15.38</v>
      </c>
      <c r="TDS181" s="371" t="e">
        <f>TDP181*TDQ181*TDR181</f>
        <v>#DIV/0!</v>
      </c>
      <c r="TDT181" s="367" t="s">
        <v>206</v>
      </c>
      <c r="TDU181" s="367"/>
      <c r="TDV181" s="367"/>
      <c r="TDW181" s="368" t="s">
        <v>168</v>
      </c>
      <c r="TDX181" s="369">
        <v>0.5</v>
      </c>
      <c r="TDY181" s="370" t="e">
        <f>10/TDU179</f>
        <v>#DIV/0!</v>
      </c>
      <c r="TDZ181" s="371">
        <v>15.38</v>
      </c>
      <c r="TEA181" s="371" t="e">
        <f>TDX181*TDY181*TDZ181</f>
        <v>#DIV/0!</v>
      </c>
      <c r="TEB181" s="367" t="s">
        <v>206</v>
      </c>
      <c r="TEC181" s="367"/>
      <c r="TED181" s="367"/>
      <c r="TEE181" s="368" t="s">
        <v>168</v>
      </c>
      <c r="TEF181" s="369">
        <v>0.5</v>
      </c>
      <c r="TEG181" s="370" t="e">
        <f>10/TEC179</f>
        <v>#DIV/0!</v>
      </c>
      <c r="TEH181" s="371">
        <v>15.38</v>
      </c>
      <c r="TEI181" s="371" t="e">
        <f>TEF181*TEG181*TEH181</f>
        <v>#DIV/0!</v>
      </c>
      <c r="TEJ181" s="367" t="s">
        <v>206</v>
      </c>
      <c r="TEK181" s="367"/>
      <c r="TEL181" s="367"/>
      <c r="TEM181" s="368" t="s">
        <v>168</v>
      </c>
      <c r="TEN181" s="369">
        <v>0.5</v>
      </c>
      <c r="TEO181" s="370" t="e">
        <f>10/TEK179</f>
        <v>#DIV/0!</v>
      </c>
      <c r="TEP181" s="371">
        <v>15.38</v>
      </c>
      <c r="TEQ181" s="371" t="e">
        <f>TEN181*TEO181*TEP181</f>
        <v>#DIV/0!</v>
      </c>
      <c r="TER181" s="367" t="s">
        <v>206</v>
      </c>
      <c r="TES181" s="367"/>
      <c r="TET181" s="367"/>
      <c r="TEU181" s="368" t="s">
        <v>168</v>
      </c>
      <c r="TEV181" s="369">
        <v>0.5</v>
      </c>
      <c r="TEW181" s="370" t="e">
        <f>10/TES179</f>
        <v>#DIV/0!</v>
      </c>
      <c r="TEX181" s="371">
        <v>15.38</v>
      </c>
      <c r="TEY181" s="371" t="e">
        <f>TEV181*TEW181*TEX181</f>
        <v>#DIV/0!</v>
      </c>
      <c r="TEZ181" s="367" t="s">
        <v>206</v>
      </c>
      <c r="TFA181" s="367"/>
      <c r="TFB181" s="367"/>
      <c r="TFC181" s="368" t="s">
        <v>168</v>
      </c>
      <c r="TFD181" s="369">
        <v>0.5</v>
      </c>
      <c r="TFE181" s="370" t="e">
        <f>10/TFA179</f>
        <v>#DIV/0!</v>
      </c>
      <c r="TFF181" s="371">
        <v>15.38</v>
      </c>
      <c r="TFG181" s="371" t="e">
        <f>TFD181*TFE181*TFF181</f>
        <v>#DIV/0!</v>
      </c>
      <c r="TFH181" s="367" t="s">
        <v>206</v>
      </c>
      <c r="TFI181" s="367"/>
      <c r="TFJ181" s="367"/>
      <c r="TFK181" s="368" t="s">
        <v>168</v>
      </c>
      <c r="TFL181" s="369">
        <v>0.5</v>
      </c>
      <c r="TFM181" s="370" t="e">
        <f>10/TFI179</f>
        <v>#DIV/0!</v>
      </c>
      <c r="TFN181" s="371">
        <v>15.38</v>
      </c>
      <c r="TFO181" s="371" t="e">
        <f>TFL181*TFM181*TFN181</f>
        <v>#DIV/0!</v>
      </c>
      <c r="TFP181" s="367" t="s">
        <v>206</v>
      </c>
      <c r="TFQ181" s="367"/>
      <c r="TFR181" s="367"/>
      <c r="TFS181" s="368" t="s">
        <v>168</v>
      </c>
      <c r="TFT181" s="369">
        <v>0.5</v>
      </c>
      <c r="TFU181" s="370" t="e">
        <f>10/TFQ179</f>
        <v>#DIV/0!</v>
      </c>
      <c r="TFV181" s="371">
        <v>15.38</v>
      </c>
      <c r="TFW181" s="371" t="e">
        <f>TFT181*TFU181*TFV181</f>
        <v>#DIV/0!</v>
      </c>
      <c r="TFX181" s="367" t="s">
        <v>206</v>
      </c>
      <c r="TFY181" s="367"/>
      <c r="TFZ181" s="367"/>
      <c r="TGA181" s="368" t="s">
        <v>168</v>
      </c>
      <c r="TGB181" s="369">
        <v>0.5</v>
      </c>
      <c r="TGC181" s="370" t="e">
        <f>10/TFY179</f>
        <v>#DIV/0!</v>
      </c>
      <c r="TGD181" s="371">
        <v>15.38</v>
      </c>
      <c r="TGE181" s="371" t="e">
        <f>TGB181*TGC181*TGD181</f>
        <v>#DIV/0!</v>
      </c>
      <c r="TGF181" s="367" t="s">
        <v>206</v>
      </c>
      <c r="TGG181" s="367"/>
      <c r="TGH181" s="367"/>
      <c r="TGI181" s="368" t="s">
        <v>168</v>
      </c>
      <c r="TGJ181" s="369">
        <v>0.5</v>
      </c>
      <c r="TGK181" s="370" t="e">
        <f>10/TGG179</f>
        <v>#DIV/0!</v>
      </c>
      <c r="TGL181" s="371">
        <v>15.38</v>
      </c>
      <c r="TGM181" s="371" t="e">
        <f>TGJ181*TGK181*TGL181</f>
        <v>#DIV/0!</v>
      </c>
      <c r="TGN181" s="367" t="s">
        <v>206</v>
      </c>
      <c r="TGO181" s="367"/>
      <c r="TGP181" s="367"/>
      <c r="TGQ181" s="368" t="s">
        <v>168</v>
      </c>
      <c r="TGR181" s="369">
        <v>0.5</v>
      </c>
      <c r="TGS181" s="370" t="e">
        <f>10/TGO179</f>
        <v>#DIV/0!</v>
      </c>
      <c r="TGT181" s="371">
        <v>15.38</v>
      </c>
      <c r="TGU181" s="371" t="e">
        <f>TGR181*TGS181*TGT181</f>
        <v>#DIV/0!</v>
      </c>
      <c r="TGV181" s="367" t="s">
        <v>206</v>
      </c>
      <c r="TGW181" s="367"/>
      <c r="TGX181" s="367"/>
      <c r="TGY181" s="368" t="s">
        <v>168</v>
      </c>
      <c r="TGZ181" s="369">
        <v>0.5</v>
      </c>
      <c r="THA181" s="370" t="e">
        <f>10/TGW179</f>
        <v>#DIV/0!</v>
      </c>
      <c r="THB181" s="371">
        <v>15.38</v>
      </c>
      <c r="THC181" s="371" t="e">
        <f>TGZ181*THA181*THB181</f>
        <v>#DIV/0!</v>
      </c>
      <c r="THD181" s="367" t="s">
        <v>206</v>
      </c>
      <c r="THE181" s="367"/>
      <c r="THF181" s="367"/>
      <c r="THG181" s="368" t="s">
        <v>168</v>
      </c>
      <c r="THH181" s="369">
        <v>0.5</v>
      </c>
      <c r="THI181" s="370" t="e">
        <f>10/THE179</f>
        <v>#DIV/0!</v>
      </c>
      <c r="THJ181" s="371">
        <v>15.38</v>
      </c>
      <c r="THK181" s="371" t="e">
        <f>THH181*THI181*THJ181</f>
        <v>#DIV/0!</v>
      </c>
      <c r="THL181" s="367" t="s">
        <v>206</v>
      </c>
      <c r="THM181" s="367"/>
      <c r="THN181" s="367"/>
      <c r="THO181" s="368" t="s">
        <v>168</v>
      </c>
      <c r="THP181" s="369">
        <v>0.5</v>
      </c>
      <c r="THQ181" s="370" t="e">
        <f>10/THM179</f>
        <v>#DIV/0!</v>
      </c>
      <c r="THR181" s="371">
        <v>15.38</v>
      </c>
      <c r="THS181" s="371" t="e">
        <f>THP181*THQ181*THR181</f>
        <v>#DIV/0!</v>
      </c>
      <c r="THT181" s="367" t="s">
        <v>206</v>
      </c>
      <c r="THU181" s="367"/>
      <c r="THV181" s="367"/>
      <c r="THW181" s="368" t="s">
        <v>168</v>
      </c>
      <c r="THX181" s="369">
        <v>0.5</v>
      </c>
      <c r="THY181" s="370" t="e">
        <f>10/THU179</f>
        <v>#DIV/0!</v>
      </c>
      <c r="THZ181" s="371">
        <v>15.38</v>
      </c>
      <c r="TIA181" s="371" t="e">
        <f>THX181*THY181*THZ181</f>
        <v>#DIV/0!</v>
      </c>
      <c r="TIB181" s="367" t="s">
        <v>206</v>
      </c>
      <c r="TIC181" s="367"/>
      <c r="TID181" s="367"/>
      <c r="TIE181" s="368" t="s">
        <v>168</v>
      </c>
      <c r="TIF181" s="369">
        <v>0.5</v>
      </c>
      <c r="TIG181" s="370" t="e">
        <f>10/TIC179</f>
        <v>#DIV/0!</v>
      </c>
      <c r="TIH181" s="371">
        <v>15.38</v>
      </c>
      <c r="TII181" s="371" t="e">
        <f>TIF181*TIG181*TIH181</f>
        <v>#DIV/0!</v>
      </c>
      <c r="TIJ181" s="367" t="s">
        <v>206</v>
      </c>
      <c r="TIK181" s="367"/>
      <c r="TIL181" s="367"/>
      <c r="TIM181" s="368" t="s">
        <v>168</v>
      </c>
      <c r="TIN181" s="369">
        <v>0.5</v>
      </c>
      <c r="TIO181" s="370" t="e">
        <f>10/TIK179</f>
        <v>#DIV/0!</v>
      </c>
      <c r="TIP181" s="371">
        <v>15.38</v>
      </c>
      <c r="TIQ181" s="371" t="e">
        <f>TIN181*TIO181*TIP181</f>
        <v>#DIV/0!</v>
      </c>
      <c r="TIR181" s="367" t="s">
        <v>206</v>
      </c>
      <c r="TIS181" s="367"/>
      <c r="TIT181" s="367"/>
      <c r="TIU181" s="368" t="s">
        <v>168</v>
      </c>
      <c r="TIV181" s="369">
        <v>0.5</v>
      </c>
      <c r="TIW181" s="370" t="e">
        <f>10/TIS179</f>
        <v>#DIV/0!</v>
      </c>
      <c r="TIX181" s="371">
        <v>15.38</v>
      </c>
      <c r="TIY181" s="371" t="e">
        <f>TIV181*TIW181*TIX181</f>
        <v>#DIV/0!</v>
      </c>
      <c r="TIZ181" s="367" t="s">
        <v>206</v>
      </c>
      <c r="TJA181" s="367"/>
      <c r="TJB181" s="367"/>
      <c r="TJC181" s="368" t="s">
        <v>168</v>
      </c>
      <c r="TJD181" s="369">
        <v>0.5</v>
      </c>
      <c r="TJE181" s="370" t="e">
        <f>10/TJA179</f>
        <v>#DIV/0!</v>
      </c>
      <c r="TJF181" s="371">
        <v>15.38</v>
      </c>
      <c r="TJG181" s="371" t="e">
        <f>TJD181*TJE181*TJF181</f>
        <v>#DIV/0!</v>
      </c>
      <c r="TJH181" s="367" t="s">
        <v>206</v>
      </c>
      <c r="TJI181" s="367"/>
      <c r="TJJ181" s="367"/>
      <c r="TJK181" s="368" t="s">
        <v>168</v>
      </c>
      <c r="TJL181" s="369">
        <v>0.5</v>
      </c>
      <c r="TJM181" s="370" t="e">
        <f>10/TJI179</f>
        <v>#DIV/0!</v>
      </c>
      <c r="TJN181" s="371">
        <v>15.38</v>
      </c>
      <c r="TJO181" s="371" t="e">
        <f>TJL181*TJM181*TJN181</f>
        <v>#DIV/0!</v>
      </c>
      <c r="TJP181" s="367" t="s">
        <v>206</v>
      </c>
      <c r="TJQ181" s="367"/>
      <c r="TJR181" s="367"/>
      <c r="TJS181" s="368" t="s">
        <v>168</v>
      </c>
      <c r="TJT181" s="369">
        <v>0.5</v>
      </c>
      <c r="TJU181" s="370" t="e">
        <f>10/TJQ179</f>
        <v>#DIV/0!</v>
      </c>
      <c r="TJV181" s="371">
        <v>15.38</v>
      </c>
      <c r="TJW181" s="371" t="e">
        <f>TJT181*TJU181*TJV181</f>
        <v>#DIV/0!</v>
      </c>
      <c r="TJX181" s="367" t="s">
        <v>206</v>
      </c>
      <c r="TJY181" s="367"/>
      <c r="TJZ181" s="367"/>
      <c r="TKA181" s="368" t="s">
        <v>168</v>
      </c>
      <c r="TKB181" s="369">
        <v>0.5</v>
      </c>
      <c r="TKC181" s="370" t="e">
        <f>10/TJY179</f>
        <v>#DIV/0!</v>
      </c>
      <c r="TKD181" s="371">
        <v>15.38</v>
      </c>
      <c r="TKE181" s="371" t="e">
        <f>TKB181*TKC181*TKD181</f>
        <v>#DIV/0!</v>
      </c>
      <c r="TKF181" s="367" t="s">
        <v>206</v>
      </c>
      <c r="TKG181" s="367"/>
      <c r="TKH181" s="367"/>
      <c r="TKI181" s="368" t="s">
        <v>168</v>
      </c>
      <c r="TKJ181" s="369">
        <v>0.5</v>
      </c>
      <c r="TKK181" s="370" t="e">
        <f>10/TKG179</f>
        <v>#DIV/0!</v>
      </c>
      <c r="TKL181" s="371">
        <v>15.38</v>
      </c>
      <c r="TKM181" s="371" t="e">
        <f>TKJ181*TKK181*TKL181</f>
        <v>#DIV/0!</v>
      </c>
      <c r="TKN181" s="367" t="s">
        <v>206</v>
      </c>
      <c r="TKO181" s="367"/>
      <c r="TKP181" s="367"/>
      <c r="TKQ181" s="368" t="s">
        <v>168</v>
      </c>
      <c r="TKR181" s="369">
        <v>0.5</v>
      </c>
      <c r="TKS181" s="370" t="e">
        <f>10/TKO179</f>
        <v>#DIV/0!</v>
      </c>
      <c r="TKT181" s="371">
        <v>15.38</v>
      </c>
      <c r="TKU181" s="371" t="e">
        <f>TKR181*TKS181*TKT181</f>
        <v>#DIV/0!</v>
      </c>
      <c r="TKV181" s="367" t="s">
        <v>206</v>
      </c>
      <c r="TKW181" s="367"/>
      <c r="TKX181" s="367"/>
      <c r="TKY181" s="368" t="s">
        <v>168</v>
      </c>
      <c r="TKZ181" s="369">
        <v>0.5</v>
      </c>
      <c r="TLA181" s="370" t="e">
        <f>10/TKW179</f>
        <v>#DIV/0!</v>
      </c>
      <c r="TLB181" s="371">
        <v>15.38</v>
      </c>
      <c r="TLC181" s="371" t="e">
        <f>TKZ181*TLA181*TLB181</f>
        <v>#DIV/0!</v>
      </c>
      <c r="TLD181" s="367" t="s">
        <v>206</v>
      </c>
      <c r="TLE181" s="367"/>
      <c r="TLF181" s="367"/>
      <c r="TLG181" s="368" t="s">
        <v>168</v>
      </c>
      <c r="TLH181" s="369">
        <v>0.5</v>
      </c>
      <c r="TLI181" s="370" t="e">
        <f>10/TLE179</f>
        <v>#DIV/0!</v>
      </c>
      <c r="TLJ181" s="371">
        <v>15.38</v>
      </c>
      <c r="TLK181" s="371" t="e">
        <f>TLH181*TLI181*TLJ181</f>
        <v>#DIV/0!</v>
      </c>
      <c r="TLL181" s="367" t="s">
        <v>206</v>
      </c>
      <c r="TLM181" s="367"/>
      <c r="TLN181" s="367"/>
      <c r="TLO181" s="368" t="s">
        <v>168</v>
      </c>
      <c r="TLP181" s="369">
        <v>0.5</v>
      </c>
      <c r="TLQ181" s="370" t="e">
        <f>10/TLM179</f>
        <v>#DIV/0!</v>
      </c>
      <c r="TLR181" s="371">
        <v>15.38</v>
      </c>
      <c r="TLS181" s="371" t="e">
        <f>TLP181*TLQ181*TLR181</f>
        <v>#DIV/0!</v>
      </c>
      <c r="TLT181" s="367" t="s">
        <v>206</v>
      </c>
      <c r="TLU181" s="367"/>
      <c r="TLV181" s="367"/>
      <c r="TLW181" s="368" t="s">
        <v>168</v>
      </c>
      <c r="TLX181" s="369">
        <v>0.5</v>
      </c>
      <c r="TLY181" s="370" t="e">
        <f>10/TLU179</f>
        <v>#DIV/0!</v>
      </c>
      <c r="TLZ181" s="371">
        <v>15.38</v>
      </c>
      <c r="TMA181" s="371" t="e">
        <f>TLX181*TLY181*TLZ181</f>
        <v>#DIV/0!</v>
      </c>
      <c r="TMB181" s="367" t="s">
        <v>206</v>
      </c>
      <c r="TMC181" s="367"/>
      <c r="TMD181" s="367"/>
      <c r="TME181" s="368" t="s">
        <v>168</v>
      </c>
      <c r="TMF181" s="369">
        <v>0.5</v>
      </c>
      <c r="TMG181" s="370" t="e">
        <f>10/TMC179</f>
        <v>#DIV/0!</v>
      </c>
      <c r="TMH181" s="371">
        <v>15.38</v>
      </c>
      <c r="TMI181" s="371" t="e">
        <f>TMF181*TMG181*TMH181</f>
        <v>#DIV/0!</v>
      </c>
      <c r="TMJ181" s="367" t="s">
        <v>206</v>
      </c>
      <c r="TMK181" s="367"/>
      <c r="TML181" s="367"/>
      <c r="TMM181" s="368" t="s">
        <v>168</v>
      </c>
      <c r="TMN181" s="369">
        <v>0.5</v>
      </c>
      <c r="TMO181" s="370" t="e">
        <f>10/TMK179</f>
        <v>#DIV/0!</v>
      </c>
      <c r="TMP181" s="371">
        <v>15.38</v>
      </c>
      <c r="TMQ181" s="371" t="e">
        <f>TMN181*TMO181*TMP181</f>
        <v>#DIV/0!</v>
      </c>
      <c r="TMR181" s="367" t="s">
        <v>206</v>
      </c>
      <c r="TMS181" s="367"/>
      <c r="TMT181" s="367"/>
      <c r="TMU181" s="368" t="s">
        <v>168</v>
      </c>
      <c r="TMV181" s="369">
        <v>0.5</v>
      </c>
      <c r="TMW181" s="370" t="e">
        <f>10/TMS179</f>
        <v>#DIV/0!</v>
      </c>
      <c r="TMX181" s="371">
        <v>15.38</v>
      </c>
      <c r="TMY181" s="371" t="e">
        <f>TMV181*TMW181*TMX181</f>
        <v>#DIV/0!</v>
      </c>
      <c r="TMZ181" s="367" t="s">
        <v>206</v>
      </c>
      <c r="TNA181" s="367"/>
      <c r="TNB181" s="367"/>
      <c r="TNC181" s="368" t="s">
        <v>168</v>
      </c>
      <c r="TND181" s="369">
        <v>0.5</v>
      </c>
      <c r="TNE181" s="370" t="e">
        <f>10/TNA179</f>
        <v>#DIV/0!</v>
      </c>
      <c r="TNF181" s="371">
        <v>15.38</v>
      </c>
      <c r="TNG181" s="371" t="e">
        <f>TND181*TNE181*TNF181</f>
        <v>#DIV/0!</v>
      </c>
      <c r="TNH181" s="367" t="s">
        <v>206</v>
      </c>
      <c r="TNI181" s="367"/>
      <c r="TNJ181" s="367"/>
      <c r="TNK181" s="368" t="s">
        <v>168</v>
      </c>
      <c r="TNL181" s="369">
        <v>0.5</v>
      </c>
      <c r="TNM181" s="370" t="e">
        <f>10/TNI179</f>
        <v>#DIV/0!</v>
      </c>
      <c r="TNN181" s="371">
        <v>15.38</v>
      </c>
      <c r="TNO181" s="371" t="e">
        <f>TNL181*TNM181*TNN181</f>
        <v>#DIV/0!</v>
      </c>
      <c r="TNP181" s="367" t="s">
        <v>206</v>
      </c>
      <c r="TNQ181" s="367"/>
      <c r="TNR181" s="367"/>
      <c r="TNS181" s="368" t="s">
        <v>168</v>
      </c>
      <c r="TNT181" s="369">
        <v>0.5</v>
      </c>
      <c r="TNU181" s="370" t="e">
        <f>10/TNQ179</f>
        <v>#DIV/0!</v>
      </c>
      <c r="TNV181" s="371">
        <v>15.38</v>
      </c>
      <c r="TNW181" s="371" t="e">
        <f>TNT181*TNU181*TNV181</f>
        <v>#DIV/0!</v>
      </c>
      <c r="TNX181" s="367" t="s">
        <v>206</v>
      </c>
      <c r="TNY181" s="367"/>
      <c r="TNZ181" s="367"/>
      <c r="TOA181" s="368" t="s">
        <v>168</v>
      </c>
      <c r="TOB181" s="369">
        <v>0.5</v>
      </c>
      <c r="TOC181" s="370" t="e">
        <f>10/TNY179</f>
        <v>#DIV/0!</v>
      </c>
      <c r="TOD181" s="371">
        <v>15.38</v>
      </c>
      <c r="TOE181" s="371" t="e">
        <f>TOB181*TOC181*TOD181</f>
        <v>#DIV/0!</v>
      </c>
      <c r="TOF181" s="367" t="s">
        <v>206</v>
      </c>
      <c r="TOG181" s="367"/>
      <c r="TOH181" s="367"/>
      <c r="TOI181" s="368" t="s">
        <v>168</v>
      </c>
      <c r="TOJ181" s="369">
        <v>0.5</v>
      </c>
      <c r="TOK181" s="370" t="e">
        <f>10/TOG179</f>
        <v>#DIV/0!</v>
      </c>
      <c r="TOL181" s="371">
        <v>15.38</v>
      </c>
      <c r="TOM181" s="371" t="e">
        <f>TOJ181*TOK181*TOL181</f>
        <v>#DIV/0!</v>
      </c>
      <c r="TON181" s="367" t="s">
        <v>206</v>
      </c>
      <c r="TOO181" s="367"/>
      <c r="TOP181" s="367"/>
      <c r="TOQ181" s="368" t="s">
        <v>168</v>
      </c>
      <c r="TOR181" s="369">
        <v>0.5</v>
      </c>
      <c r="TOS181" s="370" t="e">
        <f>10/TOO179</f>
        <v>#DIV/0!</v>
      </c>
      <c r="TOT181" s="371">
        <v>15.38</v>
      </c>
      <c r="TOU181" s="371" t="e">
        <f>TOR181*TOS181*TOT181</f>
        <v>#DIV/0!</v>
      </c>
      <c r="TOV181" s="367" t="s">
        <v>206</v>
      </c>
      <c r="TOW181" s="367"/>
      <c r="TOX181" s="367"/>
      <c r="TOY181" s="368" t="s">
        <v>168</v>
      </c>
      <c r="TOZ181" s="369">
        <v>0.5</v>
      </c>
      <c r="TPA181" s="370" t="e">
        <f>10/TOW179</f>
        <v>#DIV/0!</v>
      </c>
      <c r="TPB181" s="371">
        <v>15.38</v>
      </c>
      <c r="TPC181" s="371" t="e">
        <f>TOZ181*TPA181*TPB181</f>
        <v>#DIV/0!</v>
      </c>
      <c r="TPD181" s="367" t="s">
        <v>206</v>
      </c>
      <c r="TPE181" s="367"/>
      <c r="TPF181" s="367"/>
      <c r="TPG181" s="368" t="s">
        <v>168</v>
      </c>
      <c r="TPH181" s="369">
        <v>0.5</v>
      </c>
      <c r="TPI181" s="370" t="e">
        <f>10/TPE179</f>
        <v>#DIV/0!</v>
      </c>
      <c r="TPJ181" s="371">
        <v>15.38</v>
      </c>
      <c r="TPK181" s="371" t="e">
        <f>TPH181*TPI181*TPJ181</f>
        <v>#DIV/0!</v>
      </c>
      <c r="TPL181" s="367" t="s">
        <v>206</v>
      </c>
      <c r="TPM181" s="367"/>
      <c r="TPN181" s="367"/>
      <c r="TPO181" s="368" t="s">
        <v>168</v>
      </c>
      <c r="TPP181" s="369">
        <v>0.5</v>
      </c>
      <c r="TPQ181" s="370" t="e">
        <f>10/TPM179</f>
        <v>#DIV/0!</v>
      </c>
      <c r="TPR181" s="371">
        <v>15.38</v>
      </c>
      <c r="TPS181" s="371" t="e">
        <f>TPP181*TPQ181*TPR181</f>
        <v>#DIV/0!</v>
      </c>
      <c r="TPT181" s="367" t="s">
        <v>206</v>
      </c>
      <c r="TPU181" s="367"/>
      <c r="TPV181" s="367"/>
      <c r="TPW181" s="368" t="s">
        <v>168</v>
      </c>
      <c r="TPX181" s="369">
        <v>0.5</v>
      </c>
      <c r="TPY181" s="370" t="e">
        <f>10/TPU179</f>
        <v>#DIV/0!</v>
      </c>
      <c r="TPZ181" s="371">
        <v>15.38</v>
      </c>
      <c r="TQA181" s="371" t="e">
        <f>TPX181*TPY181*TPZ181</f>
        <v>#DIV/0!</v>
      </c>
      <c r="TQB181" s="367" t="s">
        <v>206</v>
      </c>
      <c r="TQC181" s="367"/>
      <c r="TQD181" s="367"/>
      <c r="TQE181" s="368" t="s">
        <v>168</v>
      </c>
      <c r="TQF181" s="369">
        <v>0.5</v>
      </c>
      <c r="TQG181" s="370" t="e">
        <f>10/TQC179</f>
        <v>#DIV/0!</v>
      </c>
      <c r="TQH181" s="371">
        <v>15.38</v>
      </c>
      <c r="TQI181" s="371" t="e">
        <f>TQF181*TQG181*TQH181</f>
        <v>#DIV/0!</v>
      </c>
      <c r="TQJ181" s="367" t="s">
        <v>206</v>
      </c>
      <c r="TQK181" s="367"/>
      <c r="TQL181" s="367"/>
      <c r="TQM181" s="368" t="s">
        <v>168</v>
      </c>
      <c r="TQN181" s="369">
        <v>0.5</v>
      </c>
      <c r="TQO181" s="370" t="e">
        <f>10/TQK179</f>
        <v>#DIV/0!</v>
      </c>
      <c r="TQP181" s="371">
        <v>15.38</v>
      </c>
      <c r="TQQ181" s="371" t="e">
        <f>TQN181*TQO181*TQP181</f>
        <v>#DIV/0!</v>
      </c>
      <c r="TQR181" s="367" t="s">
        <v>206</v>
      </c>
      <c r="TQS181" s="367"/>
      <c r="TQT181" s="367"/>
      <c r="TQU181" s="368" t="s">
        <v>168</v>
      </c>
      <c r="TQV181" s="369">
        <v>0.5</v>
      </c>
      <c r="TQW181" s="370" t="e">
        <f>10/TQS179</f>
        <v>#DIV/0!</v>
      </c>
      <c r="TQX181" s="371">
        <v>15.38</v>
      </c>
      <c r="TQY181" s="371" t="e">
        <f>TQV181*TQW181*TQX181</f>
        <v>#DIV/0!</v>
      </c>
      <c r="TQZ181" s="367" t="s">
        <v>206</v>
      </c>
      <c r="TRA181" s="367"/>
      <c r="TRB181" s="367"/>
      <c r="TRC181" s="368" t="s">
        <v>168</v>
      </c>
      <c r="TRD181" s="369">
        <v>0.5</v>
      </c>
      <c r="TRE181" s="370" t="e">
        <f>10/TRA179</f>
        <v>#DIV/0!</v>
      </c>
      <c r="TRF181" s="371">
        <v>15.38</v>
      </c>
      <c r="TRG181" s="371" t="e">
        <f>TRD181*TRE181*TRF181</f>
        <v>#DIV/0!</v>
      </c>
      <c r="TRH181" s="367" t="s">
        <v>206</v>
      </c>
      <c r="TRI181" s="367"/>
      <c r="TRJ181" s="367"/>
      <c r="TRK181" s="368" t="s">
        <v>168</v>
      </c>
      <c r="TRL181" s="369">
        <v>0.5</v>
      </c>
      <c r="TRM181" s="370" t="e">
        <f>10/TRI179</f>
        <v>#DIV/0!</v>
      </c>
      <c r="TRN181" s="371">
        <v>15.38</v>
      </c>
      <c r="TRO181" s="371" t="e">
        <f>TRL181*TRM181*TRN181</f>
        <v>#DIV/0!</v>
      </c>
      <c r="TRP181" s="367" t="s">
        <v>206</v>
      </c>
      <c r="TRQ181" s="367"/>
      <c r="TRR181" s="367"/>
      <c r="TRS181" s="368" t="s">
        <v>168</v>
      </c>
      <c r="TRT181" s="369">
        <v>0.5</v>
      </c>
      <c r="TRU181" s="370" t="e">
        <f>10/TRQ179</f>
        <v>#DIV/0!</v>
      </c>
      <c r="TRV181" s="371">
        <v>15.38</v>
      </c>
      <c r="TRW181" s="371" t="e">
        <f>TRT181*TRU181*TRV181</f>
        <v>#DIV/0!</v>
      </c>
      <c r="TRX181" s="367" t="s">
        <v>206</v>
      </c>
      <c r="TRY181" s="367"/>
      <c r="TRZ181" s="367"/>
      <c r="TSA181" s="368" t="s">
        <v>168</v>
      </c>
      <c r="TSB181" s="369">
        <v>0.5</v>
      </c>
      <c r="TSC181" s="370" t="e">
        <f>10/TRY179</f>
        <v>#DIV/0!</v>
      </c>
      <c r="TSD181" s="371">
        <v>15.38</v>
      </c>
      <c r="TSE181" s="371" t="e">
        <f>TSB181*TSC181*TSD181</f>
        <v>#DIV/0!</v>
      </c>
      <c r="TSF181" s="367" t="s">
        <v>206</v>
      </c>
      <c r="TSG181" s="367"/>
      <c r="TSH181" s="367"/>
      <c r="TSI181" s="368" t="s">
        <v>168</v>
      </c>
      <c r="TSJ181" s="369">
        <v>0.5</v>
      </c>
      <c r="TSK181" s="370" t="e">
        <f>10/TSG179</f>
        <v>#DIV/0!</v>
      </c>
      <c r="TSL181" s="371">
        <v>15.38</v>
      </c>
      <c r="TSM181" s="371" t="e">
        <f>TSJ181*TSK181*TSL181</f>
        <v>#DIV/0!</v>
      </c>
      <c r="TSN181" s="367" t="s">
        <v>206</v>
      </c>
      <c r="TSO181" s="367"/>
      <c r="TSP181" s="367"/>
      <c r="TSQ181" s="368" t="s">
        <v>168</v>
      </c>
      <c r="TSR181" s="369">
        <v>0.5</v>
      </c>
      <c r="TSS181" s="370" t="e">
        <f>10/TSO179</f>
        <v>#DIV/0!</v>
      </c>
      <c r="TST181" s="371">
        <v>15.38</v>
      </c>
      <c r="TSU181" s="371" t="e">
        <f>TSR181*TSS181*TST181</f>
        <v>#DIV/0!</v>
      </c>
      <c r="TSV181" s="367" t="s">
        <v>206</v>
      </c>
      <c r="TSW181" s="367"/>
      <c r="TSX181" s="367"/>
      <c r="TSY181" s="368" t="s">
        <v>168</v>
      </c>
      <c r="TSZ181" s="369">
        <v>0.5</v>
      </c>
      <c r="TTA181" s="370" t="e">
        <f>10/TSW179</f>
        <v>#DIV/0!</v>
      </c>
      <c r="TTB181" s="371">
        <v>15.38</v>
      </c>
      <c r="TTC181" s="371" t="e">
        <f>TSZ181*TTA181*TTB181</f>
        <v>#DIV/0!</v>
      </c>
      <c r="TTD181" s="367" t="s">
        <v>206</v>
      </c>
      <c r="TTE181" s="367"/>
      <c r="TTF181" s="367"/>
      <c r="TTG181" s="368" t="s">
        <v>168</v>
      </c>
      <c r="TTH181" s="369">
        <v>0.5</v>
      </c>
      <c r="TTI181" s="370" t="e">
        <f>10/TTE179</f>
        <v>#DIV/0!</v>
      </c>
      <c r="TTJ181" s="371">
        <v>15.38</v>
      </c>
      <c r="TTK181" s="371" t="e">
        <f>TTH181*TTI181*TTJ181</f>
        <v>#DIV/0!</v>
      </c>
      <c r="TTL181" s="367" t="s">
        <v>206</v>
      </c>
      <c r="TTM181" s="367"/>
      <c r="TTN181" s="367"/>
      <c r="TTO181" s="368" t="s">
        <v>168</v>
      </c>
      <c r="TTP181" s="369">
        <v>0.5</v>
      </c>
      <c r="TTQ181" s="370" t="e">
        <f>10/TTM179</f>
        <v>#DIV/0!</v>
      </c>
      <c r="TTR181" s="371">
        <v>15.38</v>
      </c>
      <c r="TTS181" s="371" t="e">
        <f>TTP181*TTQ181*TTR181</f>
        <v>#DIV/0!</v>
      </c>
      <c r="TTT181" s="367" t="s">
        <v>206</v>
      </c>
      <c r="TTU181" s="367"/>
      <c r="TTV181" s="367"/>
      <c r="TTW181" s="368" t="s">
        <v>168</v>
      </c>
      <c r="TTX181" s="369">
        <v>0.5</v>
      </c>
      <c r="TTY181" s="370" t="e">
        <f>10/TTU179</f>
        <v>#DIV/0!</v>
      </c>
      <c r="TTZ181" s="371">
        <v>15.38</v>
      </c>
      <c r="TUA181" s="371" t="e">
        <f>TTX181*TTY181*TTZ181</f>
        <v>#DIV/0!</v>
      </c>
      <c r="TUB181" s="367" t="s">
        <v>206</v>
      </c>
      <c r="TUC181" s="367"/>
      <c r="TUD181" s="367"/>
      <c r="TUE181" s="368" t="s">
        <v>168</v>
      </c>
      <c r="TUF181" s="369">
        <v>0.5</v>
      </c>
      <c r="TUG181" s="370" t="e">
        <f>10/TUC179</f>
        <v>#DIV/0!</v>
      </c>
      <c r="TUH181" s="371">
        <v>15.38</v>
      </c>
      <c r="TUI181" s="371" t="e">
        <f>TUF181*TUG181*TUH181</f>
        <v>#DIV/0!</v>
      </c>
      <c r="TUJ181" s="367" t="s">
        <v>206</v>
      </c>
      <c r="TUK181" s="367"/>
      <c r="TUL181" s="367"/>
      <c r="TUM181" s="368" t="s">
        <v>168</v>
      </c>
      <c r="TUN181" s="369">
        <v>0.5</v>
      </c>
      <c r="TUO181" s="370" t="e">
        <f>10/TUK179</f>
        <v>#DIV/0!</v>
      </c>
      <c r="TUP181" s="371">
        <v>15.38</v>
      </c>
      <c r="TUQ181" s="371" t="e">
        <f>TUN181*TUO181*TUP181</f>
        <v>#DIV/0!</v>
      </c>
      <c r="TUR181" s="367" t="s">
        <v>206</v>
      </c>
      <c r="TUS181" s="367"/>
      <c r="TUT181" s="367"/>
      <c r="TUU181" s="368" t="s">
        <v>168</v>
      </c>
      <c r="TUV181" s="369">
        <v>0.5</v>
      </c>
      <c r="TUW181" s="370" t="e">
        <f>10/TUS179</f>
        <v>#DIV/0!</v>
      </c>
      <c r="TUX181" s="371">
        <v>15.38</v>
      </c>
      <c r="TUY181" s="371" t="e">
        <f>TUV181*TUW181*TUX181</f>
        <v>#DIV/0!</v>
      </c>
      <c r="TUZ181" s="367" t="s">
        <v>206</v>
      </c>
      <c r="TVA181" s="367"/>
      <c r="TVB181" s="367"/>
      <c r="TVC181" s="368" t="s">
        <v>168</v>
      </c>
      <c r="TVD181" s="369">
        <v>0.5</v>
      </c>
      <c r="TVE181" s="370" t="e">
        <f>10/TVA179</f>
        <v>#DIV/0!</v>
      </c>
      <c r="TVF181" s="371">
        <v>15.38</v>
      </c>
      <c r="TVG181" s="371" t="e">
        <f>TVD181*TVE181*TVF181</f>
        <v>#DIV/0!</v>
      </c>
      <c r="TVH181" s="367" t="s">
        <v>206</v>
      </c>
      <c r="TVI181" s="367"/>
      <c r="TVJ181" s="367"/>
      <c r="TVK181" s="368" t="s">
        <v>168</v>
      </c>
      <c r="TVL181" s="369">
        <v>0.5</v>
      </c>
      <c r="TVM181" s="370" t="e">
        <f>10/TVI179</f>
        <v>#DIV/0!</v>
      </c>
      <c r="TVN181" s="371">
        <v>15.38</v>
      </c>
      <c r="TVO181" s="371" t="e">
        <f>TVL181*TVM181*TVN181</f>
        <v>#DIV/0!</v>
      </c>
      <c r="TVP181" s="367" t="s">
        <v>206</v>
      </c>
      <c r="TVQ181" s="367"/>
      <c r="TVR181" s="367"/>
      <c r="TVS181" s="368" t="s">
        <v>168</v>
      </c>
      <c r="TVT181" s="369">
        <v>0.5</v>
      </c>
      <c r="TVU181" s="370" t="e">
        <f>10/TVQ179</f>
        <v>#DIV/0!</v>
      </c>
      <c r="TVV181" s="371">
        <v>15.38</v>
      </c>
      <c r="TVW181" s="371" t="e">
        <f>TVT181*TVU181*TVV181</f>
        <v>#DIV/0!</v>
      </c>
      <c r="TVX181" s="367" t="s">
        <v>206</v>
      </c>
      <c r="TVY181" s="367"/>
      <c r="TVZ181" s="367"/>
      <c r="TWA181" s="368" t="s">
        <v>168</v>
      </c>
      <c r="TWB181" s="369">
        <v>0.5</v>
      </c>
      <c r="TWC181" s="370" t="e">
        <f>10/TVY179</f>
        <v>#DIV/0!</v>
      </c>
      <c r="TWD181" s="371">
        <v>15.38</v>
      </c>
      <c r="TWE181" s="371" t="e">
        <f>TWB181*TWC181*TWD181</f>
        <v>#DIV/0!</v>
      </c>
      <c r="TWF181" s="367" t="s">
        <v>206</v>
      </c>
      <c r="TWG181" s="367"/>
      <c r="TWH181" s="367"/>
      <c r="TWI181" s="368" t="s">
        <v>168</v>
      </c>
      <c r="TWJ181" s="369">
        <v>0.5</v>
      </c>
      <c r="TWK181" s="370" t="e">
        <f>10/TWG179</f>
        <v>#DIV/0!</v>
      </c>
      <c r="TWL181" s="371">
        <v>15.38</v>
      </c>
      <c r="TWM181" s="371" t="e">
        <f>TWJ181*TWK181*TWL181</f>
        <v>#DIV/0!</v>
      </c>
      <c r="TWN181" s="367" t="s">
        <v>206</v>
      </c>
      <c r="TWO181" s="367"/>
      <c r="TWP181" s="367"/>
      <c r="TWQ181" s="368" t="s">
        <v>168</v>
      </c>
      <c r="TWR181" s="369">
        <v>0.5</v>
      </c>
      <c r="TWS181" s="370" t="e">
        <f>10/TWO179</f>
        <v>#DIV/0!</v>
      </c>
      <c r="TWT181" s="371">
        <v>15.38</v>
      </c>
      <c r="TWU181" s="371" t="e">
        <f>TWR181*TWS181*TWT181</f>
        <v>#DIV/0!</v>
      </c>
      <c r="TWV181" s="367" t="s">
        <v>206</v>
      </c>
      <c r="TWW181" s="367"/>
      <c r="TWX181" s="367"/>
      <c r="TWY181" s="368" t="s">
        <v>168</v>
      </c>
      <c r="TWZ181" s="369">
        <v>0.5</v>
      </c>
      <c r="TXA181" s="370" t="e">
        <f>10/TWW179</f>
        <v>#DIV/0!</v>
      </c>
      <c r="TXB181" s="371">
        <v>15.38</v>
      </c>
      <c r="TXC181" s="371" t="e">
        <f>TWZ181*TXA181*TXB181</f>
        <v>#DIV/0!</v>
      </c>
      <c r="TXD181" s="367" t="s">
        <v>206</v>
      </c>
      <c r="TXE181" s="367"/>
      <c r="TXF181" s="367"/>
      <c r="TXG181" s="368" t="s">
        <v>168</v>
      </c>
      <c r="TXH181" s="369">
        <v>0.5</v>
      </c>
      <c r="TXI181" s="370" t="e">
        <f>10/TXE179</f>
        <v>#DIV/0!</v>
      </c>
      <c r="TXJ181" s="371">
        <v>15.38</v>
      </c>
      <c r="TXK181" s="371" t="e">
        <f>TXH181*TXI181*TXJ181</f>
        <v>#DIV/0!</v>
      </c>
      <c r="TXL181" s="367" t="s">
        <v>206</v>
      </c>
      <c r="TXM181" s="367"/>
      <c r="TXN181" s="367"/>
      <c r="TXO181" s="368" t="s">
        <v>168</v>
      </c>
      <c r="TXP181" s="369">
        <v>0.5</v>
      </c>
      <c r="TXQ181" s="370" t="e">
        <f>10/TXM179</f>
        <v>#DIV/0!</v>
      </c>
      <c r="TXR181" s="371">
        <v>15.38</v>
      </c>
      <c r="TXS181" s="371" t="e">
        <f>TXP181*TXQ181*TXR181</f>
        <v>#DIV/0!</v>
      </c>
      <c r="TXT181" s="367" t="s">
        <v>206</v>
      </c>
      <c r="TXU181" s="367"/>
      <c r="TXV181" s="367"/>
      <c r="TXW181" s="368" t="s">
        <v>168</v>
      </c>
      <c r="TXX181" s="369">
        <v>0.5</v>
      </c>
      <c r="TXY181" s="370" t="e">
        <f>10/TXU179</f>
        <v>#DIV/0!</v>
      </c>
      <c r="TXZ181" s="371">
        <v>15.38</v>
      </c>
      <c r="TYA181" s="371" t="e">
        <f>TXX181*TXY181*TXZ181</f>
        <v>#DIV/0!</v>
      </c>
      <c r="TYB181" s="367" t="s">
        <v>206</v>
      </c>
      <c r="TYC181" s="367"/>
      <c r="TYD181" s="367"/>
      <c r="TYE181" s="368" t="s">
        <v>168</v>
      </c>
      <c r="TYF181" s="369">
        <v>0.5</v>
      </c>
      <c r="TYG181" s="370" t="e">
        <f>10/TYC179</f>
        <v>#DIV/0!</v>
      </c>
      <c r="TYH181" s="371">
        <v>15.38</v>
      </c>
      <c r="TYI181" s="371" t="e">
        <f>TYF181*TYG181*TYH181</f>
        <v>#DIV/0!</v>
      </c>
      <c r="TYJ181" s="367" t="s">
        <v>206</v>
      </c>
      <c r="TYK181" s="367"/>
      <c r="TYL181" s="367"/>
      <c r="TYM181" s="368" t="s">
        <v>168</v>
      </c>
      <c r="TYN181" s="369">
        <v>0.5</v>
      </c>
      <c r="TYO181" s="370" t="e">
        <f>10/TYK179</f>
        <v>#DIV/0!</v>
      </c>
      <c r="TYP181" s="371">
        <v>15.38</v>
      </c>
      <c r="TYQ181" s="371" t="e">
        <f>TYN181*TYO181*TYP181</f>
        <v>#DIV/0!</v>
      </c>
      <c r="TYR181" s="367" t="s">
        <v>206</v>
      </c>
      <c r="TYS181" s="367"/>
      <c r="TYT181" s="367"/>
      <c r="TYU181" s="368" t="s">
        <v>168</v>
      </c>
      <c r="TYV181" s="369">
        <v>0.5</v>
      </c>
      <c r="TYW181" s="370" t="e">
        <f>10/TYS179</f>
        <v>#DIV/0!</v>
      </c>
      <c r="TYX181" s="371">
        <v>15.38</v>
      </c>
      <c r="TYY181" s="371" t="e">
        <f>TYV181*TYW181*TYX181</f>
        <v>#DIV/0!</v>
      </c>
      <c r="TYZ181" s="367" t="s">
        <v>206</v>
      </c>
      <c r="TZA181" s="367"/>
      <c r="TZB181" s="367"/>
      <c r="TZC181" s="368" t="s">
        <v>168</v>
      </c>
      <c r="TZD181" s="369">
        <v>0.5</v>
      </c>
      <c r="TZE181" s="370" t="e">
        <f>10/TZA179</f>
        <v>#DIV/0!</v>
      </c>
      <c r="TZF181" s="371">
        <v>15.38</v>
      </c>
      <c r="TZG181" s="371" t="e">
        <f>TZD181*TZE181*TZF181</f>
        <v>#DIV/0!</v>
      </c>
      <c r="TZH181" s="367" t="s">
        <v>206</v>
      </c>
      <c r="TZI181" s="367"/>
      <c r="TZJ181" s="367"/>
      <c r="TZK181" s="368" t="s">
        <v>168</v>
      </c>
      <c r="TZL181" s="369">
        <v>0.5</v>
      </c>
      <c r="TZM181" s="370" t="e">
        <f>10/TZI179</f>
        <v>#DIV/0!</v>
      </c>
      <c r="TZN181" s="371">
        <v>15.38</v>
      </c>
      <c r="TZO181" s="371" t="e">
        <f>TZL181*TZM181*TZN181</f>
        <v>#DIV/0!</v>
      </c>
      <c r="TZP181" s="367" t="s">
        <v>206</v>
      </c>
      <c r="TZQ181" s="367"/>
      <c r="TZR181" s="367"/>
      <c r="TZS181" s="368" t="s">
        <v>168</v>
      </c>
      <c r="TZT181" s="369">
        <v>0.5</v>
      </c>
      <c r="TZU181" s="370" t="e">
        <f>10/TZQ179</f>
        <v>#DIV/0!</v>
      </c>
      <c r="TZV181" s="371">
        <v>15.38</v>
      </c>
      <c r="TZW181" s="371" t="e">
        <f>TZT181*TZU181*TZV181</f>
        <v>#DIV/0!</v>
      </c>
      <c r="TZX181" s="367" t="s">
        <v>206</v>
      </c>
      <c r="TZY181" s="367"/>
      <c r="TZZ181" s="367"/>
      <c r="UAA181" s="368" t="s">
        <v>168</v>
      </c>
      <c r="UAB181" s="369">
        <v>0.5</v>
      </c>
      <c r="UAC181" s="370" t="e">
        <f>10/TZY179</f>
        <v>#DIV/0!</v>
      </c>
      <c r="UAD181" s="371">
        <v>15.38</v>
      </c>
      <c r="UAE181" s="371" t="e">
        <f>UAB181*UAC181*UAD181</f>
        <v>#DIV/0!</v>
      </c>
      <c r="UAF181" s="367" t="s">
        <v>206</v>
      </c>
      <c r="UAG181" s="367"/>
      <c r="UAH181" s="367"/>
      <c r="UAI181" s="368" t="s">
        <v>168</v>
      </c>
      <c r="UAJ181" s="369">
        <v>0.5</v>
      </c>
      <c r="UAK181" s="370" t="e">
        <f>10/UAG179</f>
        <v>#DIV/0!</v>
      </c>
      <c r="UAL181" s="371">
        <v>15.38</v>
      </c>
      <c r="UAM181" s="371" t="e">
        <f>UAJ181*UAK181*UAL181</f>
        <v>#DIV/0!</v>
      </c>
      <c r="UAN181" s="367" t="s">
        <v>206</v>
      </c>
      <c r="UAO181" s="367"/>
      <c r="UAP181" s="367"/>
      <c r="UAQ181" s="368" t="s">
        <v>168</v>
      </c>
      <c r="UAR181" s="369">
        <v>0.5</v>
      </c>
      <c r="UAS181" s="370" t="e">
        <f>10/UAO179</f>
        <v>#DIV/0!</v>
      </c>
      <c r="UAT181" s="371">
        <v>15.38</v>
      </c>
      <c r="UAU181" s="371" t="e">
        <f>UAR181*UAS181*UAT181</f>
        <v>#DIV/0!</v>
      </c>
      <c r="UAV181" s="367" t="s">
        <v>206</v>
      </c>
      <c r="UAW181" s="367"/>
      <c r="UAX181" s="367"/>
      <c r="UAY181" s="368" t="s">
        <v>168</v>
      </c>
      <c r="UAZ181" s="369">
        <v>0.5</v>
      </c>
      <c r="UBA181" s="370" t="e">
        <f>10/UAW179</f>
        <v>#DIV/0!</v>
      </c>
      <c r="UBB181" s="371">
        <v>15.38</v>
      </c>
      <c r="UBC181" s="371" t="e">
        <f>UAZ181*UBA181*UBB181</f>
        <v>#DIV/0!</v>
      </c>
      <c r="UBD181" s="367" t="s">
        <v>206</v>
      </c>
      <c r="UBE181" s="367"/>
      <c r="UBF181" s="367"/>
      <c r="UBG181" s="368" t="s">
        <v>168</v>
      </c>
      <c r="UBH181" s="369">
        <v>0.5</v>
      </c>
      <c r="UBI181" s="370" t="e">
        <f>10/UBE179</f>
        <v>#DIV/0!</v>
      </c>
      <c r="UBJ181" s="371">
        <v>15.38</v>
      </c>
      <c r="UBK181" s="371" t="e">
        <f>UBH181*UBI181*UBJ181</f>
        <v>#DIV/0!</v>
      </c>
      <c r="UBL181" s="367" t="s">
        <v>206</v>
      </c>
      <c r="UBM181" s="367"/>
      <c r="UBN181" s="367"/>
      <c r="UBO181" s="368" t="s">
        <v>168</v>
      </c>
      <c r="UBP181" s="369">
        <v>0.5</v>
      </c>
      <c r="UBQ181" s="370" t="e">
        <f>10/UBM179</f>
        <v>#DIV/0!</v>
      </c>
      <c r="UBR181" s="371">
        <v>15.38</v>
      </c>
      <c r="UBS181" s="371" t="e">
        <f>UBP181*UBQ181*UBR181</f>
        <v>#DIV/0!</v>
      </c>
      <c r="UBT181" s="367" t="s">
        <v>206</v>
      </c>
      <c r="UBU181" s="367"/>
      <c r="UBV181" s="367"/>
      <c r="UBW181" s="368" t="s">
        <v>168</v>
      </c>
      <c r="UBX181" s="369">
        <v>0.5</v>
      </c>
      <c r="UBY181" s="370" t="e">
        <f>10/UBU179</f>
        <v>#DIV/0!</v>
      </c>
      <c r="UBZ181" s="371">
        <v>15.38</v>
      </c>
      <c r="UCA181" s="371" t="e">
        <f>UBX181*UBY181*UBZ181</f>
        <v>#DIV/0!</v>
      </c>
      <c r="UCB181" s="367" t="s">
        <v>206</v>
      </c>
      <c r="UCC181" s="367"/>
      <c r="UCD181" s="367"/>
      <c r="UCE181" s="368" t="s">
        <v>168</v>
      </c>
      <c r="UCF181" s="369">
        <v>0.5</v>
      </c>
      <c r="UCG181" s="370" t="e">
        <f>10/UCC179</f>
        <v>#DIV/0!</v>
      </c>
      <c r="UCH181" s="371">
        <v>15.38</v>
      </c>
      <c r="UCI181" s="371" t="e">
        <f>UCF181*UCG181*UCH181</f>
        <v>#DIV/0!</v>
      </c>
      <c r="UCJ181" s="367" t="s">
        <v>206</v>
      </c>
      <c r="UCK181" s="367"/>
      <c r="UCL181" s="367"/>
      <c r="UCM181" s="368" t="s">
        <v>168</v>
      </c>
      <c r="UCN181" s="369">
        <v>0.5</v>
      </c>
      <c r="UCO181" s="370" t="e">
        <f>10/UCK179</f>
        <v>#DIV/0!</v>
      </c>
      <c r="UCP181" s="371">
        <v>15.38</v>
      </c>
      <c r="UCQ181" s="371" t="e">
        <f>UCN181*UCO181*UCP181</f>
        <v>#DIV/0!</v>
      </c>
      <c r="UCR181" s="367" t="s">
        <v>206</v>
      </c>
      <c r="UCS181" s="367"/>
      <c r="UCT181" s="367"/>
      <c r="UCU181" s="368" t="s">
        <v>168</v>
      </c>
      <c r="UCV181" s="369">
        <v>0.5</v>
      </c>
      <c r="UCW181" s="370" t="e">
        <f>10/UCS179</f>
        <v>#DIV/0!</v>
      </c>
      <c r="UCX181" s="371">
        <v>15.38</v>
      </c>
      <c r="UCY181" s="371" t="e">
        <f>UCV181*UCW181*UCX181</f>
        <v>#DIV/0!</v>
      </c>
      <c r="UCZ181" s="367" t="s">
        <v>206</v>
      </c>
      <c r="UDA181" s="367"/>
      <c r="UDB181" s="367"/>
      <c r="UDC181" s="368" t="s">
        <v>168</v>
      </c>
      <c r="UDD181" s="369">
        <v>0.5</v>
      </c>
      <c r="UDE181" s="370" t="e">
        <f>10/UDA179</f>
        <v>#DIV/0!</v>
      </c>
      <c r="UDF181" s="371">
        <v>15.38</v>
      </c>
      <c r="UDG181" s="371" t="e">
        <f>UDD181*UDE181*UDF181</f>
        <v>#DIV/0!</v>
      </c>
      <c r="UDH181" s="367" t="s">
        <v>206</v>
      </c>
      <c r="UDI181" s="367"/>
      <c r="UDJ181" s="367"/>
      <c r="UDK181" s="368" t="s">
        <v>168</v>
      </c>
      <c r="UDL181" s="369">
        <v>0.5</v>
      </c>
      <c r="UDM181" s="370" t="e">
        <f>10/UDI179</f>
        <v>#DIV/0!</v>
      </c>
      <c r="UDN181" s="371">
        <v>15.38</v>
      </c>
      <c r="UDO181" s="371" t="e">
        <f>UDL181*UDM181*UDN181</f>
        <v>#DIV/0!</v>
      </c>
      <c r="UDP181" s="367" t="s">
        <v>206</v>
      </c>
      <c r="UDQ181" s="367"/>
      <c r="UDR181" s="367"/>
      <c r="UDS181" s="368" t="s">
        <v>168</v>
      </c>
      <c r="UDT181" s="369">
        <v>0.5</v>
      </c>
      <c r="UDU181" s="370" t="e">
        <f>10/UDQ179</f>
        <v>#DIV/0!</v>
      </c>
      <c r="UDV181" s="371">
        <v>15.38</v>
      </c>
      <c r="UDW181" s="371" t="e">
        <f>UDT181*UDU181*UDV181</f>
        <v>#DIV/0!</v>
      </c>
      <c r="UDX181" s="367" t="s">
        <v>206</v>
      </c>
      <c r="UDY181" s="367"/>
      <c r="UDZ181" s="367"/>
      <c r="UEA181" s="368" t="s">
        <v>168</v>
      </c>
      <c r="UEB181" s="369">
        <v>0.5</v>
      </c>
      <c r="UEC181" s="370" t="e">
        <f>10/UDY179</f>
        <v>#DIV/0!</v>
      </c>
      <c r="UED181" s="371">
        <v>15.38</v>
      </c>
      <c r="UEE181" s="371" t="e">
        <f>UEB181*UEC181*UED181</f>
        <v>#DIV/0!</v>
      </c>
      <c r="UEF181" s="367" t="s">
        <v>206</v>
      </c>
      <c r="UEG181" s="367"/>
      <c r="UEH181" s="367"/>
      <c r="UEI181" s="368" t="s">
        <v>168</v>
      </c>
      <c r="UEJ181" s="369">
        <v>0.5</v>
      </c>
      <c r="UEK181" s="370" t="e">
        <f>10/UEG179</f>
        <v>#DIV/0!</v>
      </c>
      <c r="UEL181" s="371">
        <v>15.38</v>
      </c>
      <c r="UEM181" s="371" t="e">
        <f>UEJ181*UEK181*UEL181</f>
        <v>#DIV/0!</v>
      </c>
      <c r="UEN181" s="367" t="s">
        <v>206</v>
      </c>
      <c r="UEO181" s="367"/>
      <c r="UEP181" s="367"/>
      <c r="UEQ181" s="368" t="s">
        <v>168</v>
      </c>
      <c r="UER181" s="369">
        <v>0.5</v>
      </c>
      <c r="UES181" s="370" t="e">
        <f>10/UEO179</f>
        <v>#DIV/0!</v>
      </c>
      <c r="UET181" s="371">
        <v>15.38</v>
      </c>
      <c r="UEU181" s="371" t="e">
        <f>UER181*UES181*UET181</f>
        <v>#DIV/0!</v>
      </c>
      <c r="UEV181" s="367" t="s">
        <v>206</v>
      </c>
      <c r="UEW181" s="367"/>
      <c r="UEX181" s="367"/>
      <c r="UEY181" s="368" t="s">
        <v>168</v>
      </c>
      <c r="UEZ181" s="369">
        <v>0.5</v>
      </c>
      <c r="UFA181" s="370" t="e">
        <f>10/UEW179</f>
        <v>#DIV/0!</v>
      </c>
      <c r="UFB181" s="371">
        <v>15.38</v>
      </c>
      <c r="UFC181" s="371" t="e">
        <f>UEZ181*UFA181*UFB181</f>
        <v>#DIV/0!</v>
      </c>
      <c r="UFD181" s="367" t="s">
        <v>206</v>
      </c>
      <c r="UFE181" s="367"/>
      <c r="UFF181" s="367"/>
      <c r="UFG181" s="368" t="s">
        <v>168</v>
      </c>
      <c r="UFH181" s="369">
        <v>0.5</v>
      </c>
      <c r="UFI181" s="370" t="e">
        <f>10/UFE179</f>
        <v>#DIV/0!</v>
      </c>
      <c r="UFJ181" s="371">
        <v>15.38</v>
      </c>
      <c r="UFK181" s="371" t="e">
        <f>UFH181*UFI181*UFJ181</f>
        <v>#DIV/0!</v>
      </c>
      <c r="UFL181" s="367" t="s">
        <v>206</v>
      </c>
      <c r="UFM181" s="367"/>
      <c r="UFN181" s="367"/>
      <c r="UFO181" s="368" t="s">
        <v>168</v>
      </c>
      <c r="UFP181" s="369">
        <v>0.5</v>
      </c>
      <c r="UFQ181" s="370" t="e">
        <f>10/UFM179</f>
        <v>#DIV/0!</v>
      </c>
      <c r="UFR181" s="371">
        <v>15.38</v>
      </c>
      <c r="UFS181" s="371" t="e">
        <f>UFP181*UFQ181*UFR181</f>
        <v>#DIV/0!</v>
      </c>
      <c r="UFT181" s="367" t="s">
        <v>206</v>
      </c>
      <c r="UFU181" s="367"/>
      <c r="UFV181" s="367"/>
      <c r="UFW181" s="368" t="s">
        <v>168</v>
      </c>
      <c r="UFX181" s="369">
        <v>0.5</v>
      </c>
      <c r="UFY181" s="370" t="e">
        <f>10/UFU179</f>
        <v>#DIV/0!</v>
      </c>
      <c r="UFZ181" s="371">
        <v>15.38</v>
      </c>
      <c r="UGA181" s="371" t="e">
        <f>UFX181*UFY181*UFZ181</f>
        <v>#DIV/0!</v>
      </c>
      <c r="UGB181" s="367" t="s">
        <v>206</v>
      </c>
      <c r="UGC181" s="367"/>
      <c r="UGD181" s="367"/>
      <c r="UGE181" s="368" t="s">
        <v>168</v>
      </c>
      <c r="UGF181" s="369">
        <v>0.5</v>
      </c>
      <c r="UGG181" s="370" t="e">
        <f>10/UGC179</f>
        <v>#DIV/0!</v>
      </c>
      <c r="UGH181" s="371">
        <v>15.38</v>
      </c>
      <c r="UGI181" s="371" t="e">
        <f>UGF181*UGG181*UGH181</f>
        <v>#DIV/0!</v>
      </c>
      <c r="UGJ181" s="367" t="s">
        <v>206</v>
      </c>
      <c r="UGK181" s="367"/>
      <c r="UGL181" s="367"/>
      <c r="UGM181" s="368" t="s">
        <v>168</v>
      </c>
      <c r="UGN181" s="369">
        <v>0.5</v>
      </c>
      <c r="UGO181" s="370" t="e">
        <f>10/UGK179</f>
        <v>#DIV/0!</v>
      </c>
      <c r="UGP181" s="371">
        <v>15.38</v>
      </c>
      <c r="UGQ181" s="371" t="e">
        <f>UGN181*UGO181*UGP181</f>
        <v>#DIV/0!</v>
      </c>
      <c r="UGR181" s="367" t="s">
        <v>206</v>
      </c>
      <c r="UGS181" s="367"/>
      <c r="UGT181" s="367"/>
      <c r="UGU181" s="368" t="s">
        <v>168</v>
      </c>
      <c r="UGV181" s="369">
        <v>0.5</v>
      </c>
      <c r="UGW181" s="370" t="e">
        <f>10/UGS179</f>
        <v>#DIV/0!</v>
      </c>
      <c r="UGX181" s="371">
        <v>15.38</v>
      </c>
      <c r="UGY181" s="371" t="e">
        <f>UGV181*UGW181*UGX181</f>
        <v>#DIV/0!</v>
      </c>
      <c r="UGZ181" s="367" t="s">
        <v>206</v>
      </c>
      <c r="UHA181" s="367"/>
      <c r="UHB181" s="367"/>
      <c r="UHC181" s="368" t="s">
        <v>168</v>
      </c>
      <c r="UHD181" s="369">
        <v>0.5</v>
      </c>
      <c r="UHE181" s="370" t="e">
        <f>10/UHA179</f>
        <v>#DIV/0!</v>
      </c>
      <c r="UHF181" s="371">
        <v>15.38</v>
      </c>
      <c r="UHG181" s="371" t="e">
        <f>UHD181*UHE181*UHF181</f>
        <v>#DIV/0!</v>
      </c>
      <c r="UHH181" s="367" t="s">
        <v>206</v>
      </c>
      <c r="UHI181" s="367"/>
      <c r="UHJ181" s="367"/>
      <c r="UHK181" s="368" t="s">
        <v>168</v>
      </c>
      <c r="UHL181" s="369">
        <v>0.5</v>
      </c>
      <c r="UHM181" s="370" t="e">
        <f>10/UHI179</f>
        <v>#DIV/0!</v>
      </c>
      <c r="UHN181" s="371">
        <v>15.38</v>
      </c>
      <c r="UHO181" s="371" t="e">
        <f>UHL181*UHM181*UHN181</f>
        <v>#DIV/0!</v>
      </c>
      <c r="UHP181" s="367" t="s">
        <v>206</v>
      </c>
      <c r="UHQ181" s="367"/>
      <c r="UHR181" s="367"/>
      <c r="UHS181" s="368" t="s">
        <v>168</v>
      </c>
      <c r="UHT181" s="369">
        <v>0.5</v>
      </c>
      <c r="UHU181" s="370" t="e">
        <f>10/UHQ179</f>
        <v>#DIV/0!</v>
      </c>
      <c r="UHV181" s="371">
        <v>15.38</v>
      </c>
      <c r="UHW181" s="371" t="e">
        <f>UHT181*UHU181*UHV181</f>
        <v>#DIV/0!</v>
      </c>
      <c r="UHX181" s="367" t="s">
        <v>206</v>
      </c>
      <c r="UHY181" s="367"/>
      <c r="UHZ181" s="367"/>
      <c r="UIA181" s="368" t="s">
        <v>168</v>
      </c>
      <c r="UIB181" s="369">
        <v>0.5</v>
      </c>
      <c r="UIC181" s="370" t="e">
        <f>10/UHY179</f>
        <v>#DIV/0!</v>
      </c>
      <c r="UID181" s="371">
        <v>15.38</v>
      </c>
      <c r="UIE181" s="371" t="e">
        <f>UIB181*UIC181*UID181</f>
        <v>#DIV/0!</v>
      </c>
      <c r="UIF181" s="367" t="s">
        <v>206</v>
      </c>
      <c r="UIG181" s="367"/>
      <c r="UIH181" s="367"/>
      <c r="UII181" s="368" t="s">
        <v>168</v>
      </c>
      <c r="UIJ181" s="369">
        <v>0.5</v>
      </c>
      <c r="UIK181" s="370" t="e">
        <f>10/UIG179</f>
        <v>#DIV/0!</v>
      </c>
      <c r="UIL181" s="371">
        <v>15.38</v>
      </c>
      <c r="UIM181" s="371" t="e">
        <f>UIJ181*UIK181*UIL181</f>
        <v>#DIV/0!</v>
      </c>
      <c r="UIN181" s="367" t="s">
        <v>206</v>
      </c>
      <c r="UIO181" s="367"/>
      <c r="UIP181" s="367"/>
      <c r="UIQ181" s="368" t="s">
        <v>168</v>
      </c>
      <c r="UIR181" s="369">
        <v>0.5</v>
      </c>
      <c r="UIS181" s="370" t="e">
        <f>10/UIO179</f>
        <v>#DIV/0!</v>
      </c>
      <c r="UIT181" s="371">
        <v>15.38</v>
      </c>
      <c r="UIU181" s="371" t="e">
        <f>UIR181*UIS181*UIT181</f>
        <v>#DIV/0!</v>
      </c>
      <c r="UIV181" s="367" t="s">
        <v>206</v>
      </c>
      <c r="UIW181" s="367"/>
      <c r="UIX181" s="367"/>
      <c r="UIY181" s="368" t="s">
        <v>168</v>
      </c>
      <c r="UIZ181" s="369">
        <v>0.5</v>
      </c>
      <c r="UJA181" s="370" t="e">
        <f>10/UIW179</f>
        <v>#DIV/0!</v>
      </c>
      <c r="UJB181" s="371">
        <v>15.38</v>
      </c>
      <c r="UJC181" s="371" t="e">
        <f>UIZ181*UJA181*UJB181</f>
        <v>#DIV/0!</v>
      </c>
      <c r="UJD181" s="367" t="s">
        <v>206</v>
      </c>
      <c r="UJE181" s="367"/>
      <c r="UJF181" s="367"/>
      <c r="UJG181" s="368" t="s">
        <v>168</v>
      </c>
      <c r="UJH181" s="369">
        <v>0.5</v>
      </c>
      <c r="UJI181" s="370" t="e">
        <f>10/UJE179</f>
        <v>#DIV/0!</v>
      </c>
      <c r="UJJ181" s="371">
        <v>15.38</v>
      </c>
      <c r="UJK181" s="371" t="e">
        <f>UJH181*UJI181*UJJ181</f>
        <v>#DIV/0!</v>
      </c>
      <c r="UJL181" s="367" t="s">
        <v>206</v>
      </c>
      <c r="UJM181" s="367"/>
      <c r="UJN181" s="367"/>
      <c r="UJO181" s="368" t="s">
        <v>168</v>
      </c>
      <c r="UJP181" s="369">
        <v>0.5</v>
      </c>
      <c r="UJQ181" s="370" t="e">
        <f>10/UJM179</f>
        <v>#DIV/0!</v>
      </c>
      <c r="UJR181" s="371">
        <v>15.38</v>
      </c>
      <c r="UJS181" s="371" t="e">
        <f>UJP181*UJQ181*UJR181</f>
        <v>#DIV/0!</v>
      </c>
      <c r="UJT181" s="367" t="s">
        <v>206</v>
      </c>
      <c r="UJU181" s="367"/>
      <c r="UJV181" s="367"/>
      <c r="UJW181" s="368" t="s">
        <v>168</v>
      </c>
      <c r="UJX181" s="369">
        <v>0.5</v>
      </c>
      <c r="UJY181" s="370" t="e">
        <f>10/UJU179</f>
        <v>#DIV/0!</v>
      </c>
      <c r="UJZ181" s="371">
        <v>15.38</v>
      </c>
      <c r="UKA181" s="371" t="e">
        <f>UJX181*UJY181*UJZ181</f>
        <v>#DIV/0!</v>
      </c>
      <c r="UKB181" s="367" t="s">
        <v>206</v>
      </c>
      <c r="UKC181" s="367"/>
      <c r="UKD181" s="367"/>
      <c r="UKE181" s="368" t="s">
        <v>168</v>
      </c>
      <c r="UKF181" s="369">
        <v>0.5</v>
      </c>
      <c r="UKG181" s="370" t="e">
        <f>10/UKC179</f>
        <v>#DIV/0!</v>
      </c>
      <c r="UKH181" s="371">
        <v>15.38</v>
      </c>
      <c r="UKI181" s="371" t="e">
        <f>UKF181*UKG181*UKH181</f>
        <v>#DIV/0!</v>
      </c>
      <c r="UKJ181" s="367" t="s">
        <v>206</v>
      </c>
      <c r="UKK181" s="367"/>
      <c r="UKL181" s="367"/>
      <c r="UKM181" s="368" t="s">
        <v>168</v>
      </c>
      <c r="UKN181" s="369">
        <v>0.5</v>
      </c>
      <c r="UKO181" s="370" t="e">
        <f>10/UKK179</f>
        <v>#DIV/0!</v>
      </c>
      <c r="UKP181" s="371">
        <v>15.38</v>
      </c>
      <c r="UKQ181" s="371" t="e">
        <f>UKN181*UKO181*UKP181</f>
        <v>#DIV/0!</v>
      </c>
      <c r="UKR181" s="367" t="s">
        <v>206</v>
      </c>
      <c r="UKS181" s="367"/>
      <c r="UKT181" s="367"/>
      <c r="UKU181" s="368" t="s">
        <v>168</v>
      </c>
      <c r="UKV181" s="369">
        <v>0.5</v>
      </c>
      <c r="UKW181" s="370" t="e">
        <f>10/UKS179</f>
        <v>#DIV/0!</v>
      </c>
      <c r="UKX181" s="371">
        <v>15.38</v>
      </c>
      <c r="UKY181" s="371" t="e">
        <f>UKV181*UKW181*UKX181</f>
        <v>#DIV/0!</v>
      </c>
      <c r="UKZ181" s="367" t="s">
        <v>206</v>
      </c>
      <c r="ULA181" s="367"/>
      <c r="ULB181" s="367"/>
      <c r="ULC181" s="368" t="s">
        <v>168</v>
      </c>
      <c r="ULD181" s="369">
        <v>0.5</v>
      </c>
      <c r="ULE181" s="370" t="e">
        <f>10/ULA179</f>
        <v>#DIV/0!</v>
      </c>
      <c r="ULF181" s="371">
        <v>15.38</v>
      </c>
      <c r="ULG181" s="371" t="e">
        <f>ULD181*ULE181*ULF181</f>
        <v>#DIV/0!</v>
      </c>
      <c r="ULH181" s="367" t="s">
        <v>206</v>
      </c>
      <c r="ULI181" s="367"/>
      <c r="ULJ181" s="367"/>
      <c r="ULK181" s="368" t="s">
        <v>168</v>
      </c>
      <c r="ULL181" s="369">
        <v>0.5</v>
      </c>
      <c r="ULM181" s="370" t="e">
        <f>10/ULI179</f>
        <v>#DIV/0!</v>
      </c>
      <c r="ULN181" s="371">
        <v>15.38</v>
      </c>
      <c r="ULO181" s="371" t="e">
        <f>ULL181*ULM181*ULN181</f>
        <v>#DIV/0!</v>
      </c>
      <c r="ULP181" s="367" t="s">
        <v>206</v>
      </c>
      <c r="ULQ181" s="367"/>
      <c r="ULR181" s="367"/>
      <c r="ULS181" s="368" t="s">
        <v>168</v>
      </c>
      <c r="ULT181" s="369">
        <v>0.5</v>
      </c>
      <c r="ULU181" s="370" t="e">
        <f>10/ULQ179</f>
        <v>#DIV/0!</v>
      </c>
      <c r="ULV181" s="371">
        <v>15.38</v>
      </c>
      <c r="ULW181" s="371" t="e">
        <f>ULT181*ULU181*ULV181</f>
        <v>#DIV/0!</v>
      </c>
      <c r="ULX181" s="367" t="s">
        <v>206</v>
      </c>
      <c r="ULY181" s="367"/>
      <c r="ULZ181" s="367"/>
      <c r="UMA181" s="368" t="s">
        <v>168</v>
      </c>
      <c r="UMB181" s="369">
        <v>0.5</v>
      </c>
      <c r="UMC181" s="370" t="e">
        <f>10/ULY179</f>
        <v>#DIV/0!</v>
      </c>
      <c r="UMD181" s="371">
        <v>15.38</v>
      </c>
      <c r="UME181" s="371" t="e">
        <f>UMB181*UMC181*UMD181</f>
        <v>#DIV/0!</v>
      </c>
      <c r="UMF181" s="367" t="s">
        <v>206</v>
      </c>
      <c r="UMG181" s="367"/>
      <c r="UMH181" s="367"/>
      <c r="UMI181" s="368" t="s">
        <v>168</v>
      </c>
      <c r="UMJ181" s="369">
        <v>0.5</v>
      </c>
      <c r="UMK181" s="370" t="e">
        <f>10/UMG179</f>
        <v>#DIV/0!</v>
      </c>
      <c r="UML181" s="371">
        <v>15.38</v>
      </c>
      <c r="UMM181" s="371" t="e">
        <f>UMJ181*UMK181*UML181</f>
        <v>#DIV/0!</v>
      </c>
      <c r="UMN181" s="367" t="s">
        <v>206</v>
      </c>
      <c r="UMO181" s="367"/>
      <c r="UMP181" s="367"/>
      <c r="UMQ181" s="368" t="s">
        <v>168</v>
      </c>
      <c r="UMR181" s="369">
        <v>0.5</v>
      </c>
      <c r="UMS181" s="370" t="e">
        <f>10/UMO179</f>
        <v>#DIV/0!</v>
      </c>
      <c r="UMT181" s="371">
        <v>15.38</v>
      </c>
      <c r="UMU181" s="371" t="e">
        <f>UMR181*UMS181*UMT181</f>
        <v>#DIV/0!</v>
      </c>
      <c r="UMV181" s="367" t="s">
        <v>206</v>
      </c>
      <c r="UMW181" s="367"/>
      <c r="UMX181" s="367"/>
      <c r="UMY181" s="368" t="s">
        <v>168</v>
      </c>
      <c r="UMZ181" s="369">
        <v>0.5</v>
      </c>
      <c r="UNA181" s="370" t="e">
        <f>10/UMW179</f>
        <v>#DIV/0!</v>
      </c>
      <c r="UNB181" s="371">
        <v>15.38</v>
      </c>
      <c r="UNC181" s="371" t="e">
        <f>UMZ181*UNA181*UNB181</f>
        <v>#DIV/0!</v>
      </c>
      <c r="UND181" s="367" t="s">
        <v>206</v>
      </c>
      <c r="UNE181" s="367"/>
      <c r="UNF181" s="367"/>
      <c r="UNG181" s="368" t="s">
        <v>168</v>
      </c>
      <c r="UNH181" s="369">
        <v>0.5</v>
      </c>
      <c r="UNI181" s="370" t="e">
        <f>10/UNE179</f>
        <v>#DIV/0!</v>
      </c>
      <c r="UNJ181" s="371">
        <v>15.38</v>
      </c>
      <c r="UNK181" s="371" t="e">
        <f>UNH181*UNI181*UNJ181</f>
        <v>#DIV/0!</v>
      </c>
      <c r="UNL181" s="367" t="s">
        <v>206</v>
      </c>
      <c r="UNM181" s="367"/>
      <c r="UNN181" s="367"/>
      <c r="UNO181" s="368" t="s">
        <v>168</v>
      </c>
      <c r="UNP181" s="369">
        <v>0.5</v>
      </c>
      <c r="UNQ181" s="370" t="e">
        <f>10/UNM179</f>
        <v>#DIV/0!</v>
      </c>
      <c r="UNR181" s="371">
        <v>15.38</v>
      </c>
      <c r="UNS181" s="371" t="e">
        <f>UNP181*UNQ181*UNR181</f>
        <v>#DIV/0!</v>
      </c>
      <c r="UNT181" s="367" t="s">
        <v>206</v>
      </c>
      <c r="UNU181" s="367"/>
      <c r="UNV181" s="367"/>
      <c r="UNW181" s="368" t="s">
        <v>168</v>
      </c>
      <c r="UNX181" s="369">
        <v>0.5</v>
      </c>
      <c r="UNY181" s="370" t="e">
        <f>10/UNU179</f>
        <v>#DIV/0!</v>
      </c>
      <c r="UNZ181" s="371">
        <v>15.38</v>
      </c>
      <c r="UOA181" s="371" t="e">
        <f>UNX181*UNY181*UNZ181</f>
        <v>#DIV/0!</v>
      </c>
      <c r="UOB181" s="367" t="s">
        <v>206</v>
      </c>
      <c r="UOC181" s="367"/>
      <c r="UOD181" s="367"/>
      <c r="UOE181" s="368" t="s">
        <v>168</v>
      </c>
      <c r="UOF181" s="369">
        <v>0.5</v>
      </c>
      <c r="UOG181" s="370" t="e">
        <f>10/UOC179</f>
        <v>#DIV/0!</v>
      </c>
      <c r="UOH181" s="371">
        <v>15.38</v>
      </c>
      <c r="UOI181" s="371" t="e">
        <f>UOF181*UOG181*UOH181</f>
        <v>#DIV/0!</v>
      </c>
      <c r="UOJ181" s="367" t="s">
        <v>206</v>
      </c>
      <c r="UOK181" s="367"/>
      <c r="UOL181" s="367"/>
      <c r="UOM181" s="368" t="s">
        <v>168</v>
      </c>
      <c r="UON181" s="369">
        <v>0.5</v>
      </c>
      <c r="UOO181" s="370" t="e">
        <f>10/UOK179</f>
        <v>#DIV/0!</v>
      </c>
      <c r="UOP181" s="371">
        <v>15.38</v>
      </c>
      <c r="UOQ181" s="371" t="e">
        <f>UON181*UOO181*UOP181</f>
        <v>#DIV/0!</v>
      </c>
      <c r="UOR181" s="367" t="s">
        <v>206</v>
      </c>
      <c r="UOS181" s="367"/>
      <c r="UOT181" s="367"/>
      <c r="UOU181" s="368" t="s">
        <v>168</v>
      </c>
      <c r="UOV181" s="369">
        <v>0.5</v>
      </c>
      <c r="UOW181" s="370" t="e">
        <f>10/UOS179</f>
        <v>#DIV/0!</v>
      </c>
      <c r="UOX181" s="371">
        <v>15.38</v>
      </c>
      <c r="UOY181" s="371" t="e">
        <f>UOV181*UOW181*UOX181</f>
        <v>#DIV/0!</v>
      </c>
      <c r="UOZ181" s="367" t="s">
        <v>206</v>
      </c>
      <c r="UPA181" s="367"/>
      <c r="UPB181" s="367"/>
      <c r="UPC181" s="368" t="s">
        <v>168</v>
      </c>
      <c r="UPD181" s="369">
        <v>0.5</v>
      </c>
      <c r="UPE181" s="370" t="e">
        <f>10/UPA179</f>
        <v>#DIV/0!</v>
      </c>
      <c r="UPF181" s="371">
        <v>15.38</v>
      </c>
      <c r="UPG181" s="371" t="e">
        <f>UPD181*UPE181*UPF181</f>
        <v>#DIV/0!</v>
      </c>
      <c r="UPH181" s="367" t="s">
        <v>206</v>
      </c>
      <c r="UPI181" s="367"/>
      <c r="UPJ181" s="367"/>
      <c r="UPK181" s="368" t="s">
        <v>168</v>
      </c>
      <c r="UPL181" s="369">
        <v>0.5</v>
      </c>
      <c r="UPM181" s="370" t="e">
        <f>10/UPI179</f>
        <v>#DIV/0!</v>
      </c>
      <c r="UPN181" s="371">
        <v>15.38</v>
      </c>
      <c r="UPO181" s="371" t="e">
        <f>UPL181*UPM181*UPN181</f>
        <v>#DIV/0!</v>
      </c>
      <c r="UPP181" s="367" t="s">
        <v>206</v>
      </c>
      <c r="UPQ181" s="367"/>
      <c r="UPR181" s="367"/>
      <c r="UPS181" s="368" t="s">
        <v>168</v>
      </c>
      <c r="UPT181" s="369">
        <v>0.5</v>
      </c>
      <c r="UPU181" s="370" t="e">
        <f>10/UPQ179</f>
        <v>#DIV/0!</v>
      </c>
      <c r="UPV181" s="371">
        <v>15.38</v>
      </c>
      <c r="UPW181" s="371" t="e">
        <f>UPT181*UPU181*UPV181</f>
        <v>#DIV/0!</v>
      </c>
      <c r="UPX181" s="367" t="s">
        <v>206</v>
      </c>
      <c r="UPY181" s="367"/>
      <c r="UPZ181" s="367"/>
      <c r="UQA181" s="368" t="s">
        <v>168</v>
      </c>
      <c r="UQB181" s="369">
        <v>0.5</v>
      </c>
      <c r="UQC181" s="370" t="e">
        <f>10/UPY179</f>
        <v>#DIV/0!</v>
      </c>
      <c r="UQD181" s="371">
        <v>15.38</v>
      </c>
      <c r="UQE181" s="371" t="e">
        <f>UQB181*UQC181*UQD181</f>
        <v>#DIV/0!</v>
      </c>
      <c r="UQF181" s="367" t="s">
        <v>206</v>
      </c>
      <c r="UQG181" s="367"/>
      <c r="UQH181" s="367"/>
      <c r="UQI181" s="368" t="s">
        <v>168</v>
      </c>
      <c r="UQJ181" s="369">
        <v>0.5</v>
      </c>
      <c r="UQK181" s="370" t="e">
        <f>10/UQG179</f>
        <v>#DIV/0!</v>
      </c>
      <c r="UQL181" s="371">
        <v>15.38</v>
      </c>
      <c r="UQM181" s="371" t="e">
        <f>UQJ181*UQK181*UQL181</f>
        <v>#DIV/0!</v>
      </c>
      <c r="UQN181" s="367" t="s">
        <v>206</v>
      </c>
      <c r="UQO181" s="367"/>
      <c r="UQP181" s="367"/>
      <c r="UQQ181" s="368" t="s">
        <v>168</v>
      </c>
      <c r="UQR181" s="369">
        <v>0.5</v>
      </c>
      <c r="UQS181" s="370" t="e">
        <f>10/UQO179</f>
        <v>#DIV/0!</v>
      </c>
      <c r="UQT181" s="371">
        <v>15.38</v>
      </c>
      <c r="UQU181" s="371" t="e">
        <f>UQR181*UQS181*UQT181</f>
        <v>#DIV/0!</v>
      </c>
      <c r="UQV181" s="367" t="s">
        <v>206</v>
      </c>
      <c r="UQW181" s="367"/>
      <c r="UQX181" s="367"/>
      <c r="UQY181" s="368" t="s">
        <v>168</v>
      </c>
      <c r="UQZ181" s="369">
        <v>0.5</v>
      </c>
      <c r="URA181" s="370" t="e">
        <f>10/UQW179</f>
        <v>#DIV/0!</v>
      </c>
      <c r="URB181" s="371">
        <v>15.38</v>
      </c>
      <c r="URC181" s="371" t="e">
        <f>UQZ181*URA181*URB181</f>
        <v>#DIV/0!</v>
      </c>
      <c r="URD181" s="367" t="s">
        <v>206</v>
      </c>
      <c r="URE181" s="367"/>
      <c r="URF181" s="367"/>
      <c r="URG181" s="368" t="s">
        <v>168</v>
      </c>
      <c r="URH181" s="369">
        <v>0.5</v>
      </c>
      <c r="URI181" s="370" t="e">
        <f>10/URE179</f>
        <v>#DIV/0!</v>
      </c>
      <c r="URJ181" s="371">
        <v>15.38</v>
      </c>
      <c r="URK181" s="371" t="e">
        <f>URH181*URI181*URJ181</f>
        <v>#DIV/0!</v>
      </c>
      <c r="URL181" s="367" t="s">
        <v>206</v>
      </c>
      <c r="URM181" s="367"/>
      <c r="URN181" s="367"/>
      <c r="URO181" s="368" t="s">
        <v>168</v>
      </c>
      <c r="URP181" s="369">
        <v>0.5</v>
      </c>
      <c r="URQ181" s="370" t="e">
        <f>10/URM179</f>
        <v>#DIV/0!</v>
      </c>
      <c r="URR181" s="371">
        <v>15.38</v>
      </c>
      <c r="URS181" s="371" t="e">
        <f>URP181*URQ181*URR181</f>
        <v>#DIV/0!</v>
      </c>
      <c r="URT181" s="367" t="s">
        <v>206</v>
      </c>
      <c r="URU181" s="367"/>
      <c r="URV181" s="367"/>
      <c r="URW181" s="368" t="s">
        <v>168</v>
      </c>
      <c r="URX181" s="369">
        <v>0.5</v>
      </c>
      <c r="URY181" s="370" t="e">
        <f>10/URU179</f>
        <v>#DIV/0!</v>
      </c>
      <c r="URZ181" s="371">
        <v>15.38</v>
      </c>
      <c r="USA181" s="371" t="e">
        <f>URX181*URY181*URZ181</f>
        <v>#DIV/0!</v>
      </c>
      <c r="USB181" s="367" t="s">
        <v>206</v>
      </c>
      <c r="USC181" s="367"/>
      <c r="USD181" s="367"/>
      <c r="USE181" s="368" t="s">
        <v>168</v>
      </c>
      <c r="USF181" s="369">
        <v>0.5</v>
      </c>
      <c r="USG181" s="370" t="e">
        <f>10/USC179</f>
        <v>#DIV/0!</v>
      </c>
      <c r="USH181" s="371">
        <v>15.38</v>
      </c>
      <c r="USI181" s="371" t="e">
        <f>USF181*USG181*USH181</f>
        <v>#DIV/0!</v>
      </c>
      <c r="USJ181" s="367" t="s">
        <v>206</v>
      </c>
      <c r="USK181" s="367"/>
      <c r="USL181" s="367"/>
      <c r="USM181" s="368" t="s">
        <v>168</v>
      </c>
      <c r="USN181" s="369">
        <v>0.5</v>
      </c>
      <c r="USO181" s="370" t="e">
        <f>10/USK179</f>
        <v>#DIV/0!</v>
      </c>
      <c r="USP181" s="371">
        <v>15.38</v>
      </c>
      <c r="USQ181" s="371" t="e">
        <f>USN181*USO181*USP181</f>
        <v>#DIV/0!</v>
      </c>
      <c r="USR181" s="367" t="s">
        <v>206</v>
      </c>
      <c r="USS181" s="367"/>
      <c r="UST181" s="367"/>
      <c r="USU181" s="368" t="s">
        <v>168</v>
      </c>
      <c r="USV181" s="369">
        <v>0.5</v>
      </c>
      <c r="USW181" s="370" t="e">
        <f>10/USS179</f>
        <v>#DIV/0!</v>
      </c>
      <c r="USX181" s="371">
        <v>15.38</v>
      </c>
      <c r="USY181" s="371" t="e">
        <f>USV181*USW181*USX181</f>
        <v>#DIV/0!</v>
      </c>
      <c r="USZ181" s="367" t="s">
        <v>206</v>
      </c>
      <c r="UTA181" s="367"/>
      <c r="UTB181" s="367"/>
      <c r="UTC181" s="368" t="s">
        <v>168</v>
      </c>
      <c r="UTD181" s="369">
        <v>0.5</v>
      </c>
      <c r="UTE181" s="370" t="e">
        <f>10/UTA179</f>
        <v>#DIV/0!</v>
      </c>
      <c r="UTF181" s="371">
        <v>15.38</v>
      </c>
      <c r="UTG181" s="371" t="e">
        <f>UTD181*UTE181*UTF181</f>
        <v>#DIV/0!</v>
      </c>
      <c r="UTH181" s="367" t="s">
        <v>206</v>
      </c>
      <c r="UTI181" s="367"/>
      <c r="UTJ181" s="367"/>
      <c r="UTK181" s="368" t="s">
        <v>168</v>
      </c>
      <c r="UTL181" s="369">
        <v>0.5</v>
      </c>
      <c r="UTM181" s="370" t="e">
        <f>10/UTI179</f>
        <v>#DIV/0!</v>
      </c>
      <c r="UTN181" s="371">
        <v>15.38</v>
      </c>
      <c r="UTO181" s="371" t="e">
        <f>UTL181*UTM181*UTN181</f>
        <v>#DIV/0!</v>
      </c>
      <c r="UTP181" s="367" t="s">
        <v>206</v>
      </c>
      <c r="UTQ181" s="367"/>
      <c r="UTR181" s="367"/>
      <c r="UTS181" s="368" t="s">
        <v>168</v>
      </c>
      <c r="UTT181" s="369">
        <v>0.5</v>
      </c>
      <c r="UTU181" s="370" t="e">
        <f>10/UTQ179</f>
        <v>#DIV/0!</v>
      </c>
      <c r="UTV181" s="371">
        <v>15.38</v>
      </c>
      <c r="UTW181" s="371" t="e">
        <f>UTT181*UTU181*UTV181</f>
        <v>#DIV/0!</v>
      </c>
      <c r="UTX181" s="367" t="s">
        <v>206</v>
      </c>
      <c r="UTY181" s="367"/>
      <c r="UTZ181" s="367"/>
      <c r="UUA181" s="368" t="s">
        <v>168</v>
      </c>
      <c r="UUB181" s="369">
        <v>0.5</v>
      </c>
      <c r="UUC181" s="370" t="e">
        <f>10/UTY179</f>
        <v>#DIV/0!</v>
      </c>
      <c r="UUD181" s="371">
        <v>15.38</v>
      </c>
      <c r="UUE181" s="371" t="e">
        <f>UUB181*UUC181*UUD181</f>
        <v>#DIV/0!</v>
      </c>
      <c r="UUF181" s="367" t="s">
        <v>206</v>
      </c>
      <c r="UUG181" s="367"/>
      <c r="UUH181" s="367"/>
      <c r="UUI181" s="368" t="s">
        <v>168</v>
      </c>
      <c r="UUJ181" s="369">
        <v>0.5</v>
      </c>
      <c r="UUK181" s="370" t="e">
        <f>10/UUG179</f>
        <v>#DIV/0!</v>
      </c>
      <c r="UUL181" s="371">
        <v>15.38</v>
      </c>
      <c r="UUM181" s="371" t="e">
        <f>UUJ181*UUK181*UUL181</f>
        <v>#DIV/0!</v>
      </c>
      <c r="UUN181" s="367" t="s">
        <v>206</v>
      </c>
      <c r="UUO181" s="367"/>
      <c r="UUP181" s="367"/>
      <c r="UUQ181" s="368" t="s">
        <v>168</v>
      </c>
      <c r="UUR181" s="369">
        <v>0.5</v>
      </c>
      <c r="UUS181" s="370" t="e">
        <f>10/UUO179</f>
        <v>#DIV/0!</v>
      </c>
      <c r="UUT181" s="371">
        <v>15.38</v>
      </c>
      <c r="UUU181" s="371" t="e">
        <f>UUR181*UUS181*UUT181</f>
        <v>#DIV/0!</v>
      </c>
      <c r="UUV181" s="367" t="s">
        <v>206</v>
      </c>
      <c r="UUW181" s="367"/>
      <c r="UUX181" s="367"/>
      <c r="UUY181" s="368" t="s">
        <v>168</v>
      </c>
      <c r="UUZ181" s="369">
        <v>0.5</v>
      </c>
      <c r="UVA181" s="370" t="e">
        <f>10/UUW179</f>
        <v>#DIV/0!</v>
      </c>
      <c r="UVB181" s="371">
        <v>15.38</v>
      </c>
      <c r="UVC181" s="371" t="e">
        <f>UUZ181*UVA181*UVB181</f>
        <v>#DIV/0!</v>
      </c>
      <c r="UVD181" s="367" t="s">
        <v>206</v>
      </c>
      <c r="UVE181" s="367"/>
      <c r="UVF181" s="367"/>
      <c r="UVG181" s="368" t="s">
        <v>168</v>
      </c>
      <c r="UVH181" s="369">
        <v>0.5</v>
      </c>
      <c r="UVI181" s="370" t="e">
        <f>10/UVE179</f>
        <v>#DIV/0!</v>
      </c>
      <c r="UVJ181" s="371">
        <v>15.38</v>
      </c>
      <c r="UVK181" s="371" t="e">
        <f>UVH181*UVI181*UVJ181</f>
        <v>#DIV/0!</v>
      </c>
      <c r="UVL181" s="367" t="s">
        <v>206</v>
      </c>
      <c r="UVM181" s="367"/>
      <c r="UVN181" s="367"/>
      <c r="UVO181" s="368" t="s">
        <v>168</v>
      </c>
      <c r="UVP181" s="369">
        <v>0.5</v>
      </c>
      <c r="UVQ181" s="370" t="e">
        <f>10/UVM179</f>
        <v>#DIV/0!</v>
      </c>
      <c r="UVR181" s="371">
        <v>15.38</v>
      </c>
      <c r="UVS181" s="371" t="e">
        <f>UVP181*UVQ181*UVR181</f>
        <v>#DIV/0!</v>
      </c>
      <c r="UVT181" s="367" t="s">
        <v>206</v>
      </c>
      <c r="UVU181" s="367"/>
      <c r="UVV181" s="367"/>
      <c r="UVW181" s="368" t="s">
        <v>168</v>
      </c>
      <c r="UVX181" s="369">
        <v>0.5</v>
      </c>
      <c r="UVY181" s="370" t="e">
        <f>10/UVU179</f>
        <v>#DIV/0!</v>
      </c>
      <c r="UVZ181" s="371">
        <v>15.38</v>
      </c>
      <c r="UWA181" s="371" t="e">
        <f>UVX181*UVY181*UVZ181</f>
        <v>#DIV/0!</v>
      </c>
      <c r="UWB181" s="367" t="s">
        <v>206</v>
      </c>
      <c r="UWC181" s="367"/>
      <c r="UWD181" s="367"/>
      <c r="UWE181" s="368" t="s">
        <v>168</v>
      </c>
      <c r="UWF181" s="369">
        <v>0.5</v>
      </c>
      <c r="UWG181" s="370" t="e">
        <f>10/UWC179</f>
        <v>#DIV/0!</v>
      </c>
      <c r="UWH181" s="371">
        <v>15.38</v>
      </c>
      <c r="UWI181" s="371" t="e">
        <f>UWF181*UWG181*UWH181</f>
        <v>#DIV/0!</v>
      </c>
      <c r="UWJ181" s="367" t="s">
        <v>206</v>
      </c>
      <c r="UWK181" s="367"/>
      <c r="UWL181" s="367"/>
      <c r="UWM181" s="368" t="s">
        <v>168</v>
      </c>
      <c r="UWN181" s="369">
        <v>0.5</v>
      </c>
      <c r="UWO181" s="370" t="e">
        <f>10/UWK179</f>
        <v>#DIV/0!</v>
      </c>
      <c r="UWP181" s="371">
        <v>15.38</v>
      </c>
      <c r="UWQ181" s="371" t="e">
        <f>UWN181*UWO181*UWP181</f>
        <v>#DIV/0!</v>
      </c>
      <c r="UWR181" s="367" t="s">
        <v>206</v>
      </c>
      <c r="UWS181" s="367"/>
      <c r="UWT181" s="367"/>
      <c r="UWU181" s="368" t="s">
        <v>168</v>
      </c>
      <c r="UWV181" s="369">
        <v>0.5</v>
      </c>
      <c r="UWW181" s="370" t="e">
        <f>10/UWS179</f>
        <v>#DIV/0!</v>
      </c>
      <c r="UWX181" s="371">
        <v>15.38</v>
      </c>
      <c r="UWY181" s="371" t="e">
        <f>UWV181*UWW181*UWX181</f>
        <v>#DIV/0!</v>
      </c>
      <c r="UWZ181" s="367" t="s">
        <v>206</v>
      </c>
      <c r="UXA181" s="367"/>
      <c r="UXB181" s="367"/>
      <c r="UXC181" s="368" t="s">
        <v>168</v>
      </c>
      <c r="UXD181" s="369">
        <v>0.5</v>
      </c>
      <c r="UXE181" s="370" t="e">
        <f>10/UXA179</f>
        <v>#DIV/0!</v>
      </c>
      <c r="UXF181" s="371">
        <v>15.38</v>
      </c>
      <c r="UXG181" s="371" t="e">
        <f>UXD181*UXE181*UXF181</f>
        <v>#DIV/0!</v>
      </c>
      <c r="UXH181" s="367" t="s">
        <v>206</v>
      </c>
      <c r="UXI181" s="367"/>
      <c r="UXJ181" s="367"/>
      <c r="UXK181" s="368" t="s">
        <v>168</v>
      </c>
      <c r="UXL181" s="369">
        <v>0.5</v>
      </c>
      <c r="UXM181" s="370" t="e">
        <f>10/UXI179</f>
        <v>#DIV/0!</v>
      </c>
      <c r="UXN181" s="371">
        <v>15.38</v>
      </c>
      <c r="UXO181" s="371" t="e">
        <f>UXL181*UXM181*UXN181</f>
        <v>#DIV/0!</v>
      </c>
      <c r="UXP181" s="367" t="s">
        <v>206</v>
      </c>
      <c r="UXQ181" s="367"/>
      <c r="UXR181" s="367"/>
      <c r="UXS181" s="368" t="s">
        <v>168</v>
      </c>
      <c r="UXT181" s="369">
        <v>0.5</v>
      </c>
      <c r="UXU181" s="370" t="e">
        <f>10/UXQ179</f>
        <v>#DIV/0!</v>
      </c>
      <c r="UXV181" s="371">
        <v>15.38</v>
      </c>
      <c r="UXW181" s="371" t="e">
        <f>UXT181*UXU181*UXV181</f>
        <v>#DIV/0!</v>
      </c>
      <c r="UXX181" s="367" t="s">
        <v>206</v>
      </c>
      <c r="UXY181" s="367"/>
      <c r="UXZ181" s="367"/>
      <c r="UYA181" s="368" t="s">
        <v>168</v>
      </c>
      <c r="UYB181" s="369">
        <v>0.5</v>
      </c>
      <c r="UYC181" s="370" t="e">
        <f>10/UXY179</f>
        <v>#DIV/0!</v>
      </c>
      <c r="UYD181" s="371">
        <v>15.38</v>
      </c>
      <c r="UYE181" s="371" t="e">
        <f>UYB181*UYC181*UYD181</f>
        <v>#DIV/0!</v>
      </c>
      <c r="UYF181" s="367" t="s">
        <v>206</v>
      </c>
      <c r="UYG181" s="367"/>
      <c r="UYH181" s="367"/>
      <c r="UYI181" s="368" t="s">
        <v>168</v>
      </c>
      <c r="UYJ181" s="369">
        <v>0.5</v>
      </c>
      <c r="UYK181" s="370" t="e">
        <f>10/UYG179</f>
        <v>#DIV/0!</v>
      </c>
      <c r="UYL181" s="371">
        <v>15.38</v>
      </c>
      <c r="UYM181" s="371" t="e">
        <f>UYJ181*UYK181*UYL181</f>
        <v>#DIV/0!</v>
      </c>
      <c r="UYN181" s="367" t="s">
        <v>206</v>
      </c>
      <c r="UYO181" s="367"/>
      <c r="UYP181" s="367"/>
      <c r="UYQ181" s="368" t="s">
        <v>168</v>
      </c>
      <c r="UYR181" s="369">
        <v>0.5</v>
      </c>
      <c r="UYS181" s="370" t="e">
        <f>10/UYO179</f>
        <v>#DIV/0!</v>
      </c>
      <c r="UYT181" s="371">
        <v>15.38</v>
      </c>
      <c r="UYU181" s="371" t="e">
        <f>UYR181*UYS181*UYT181</f>
        <v>#DIV/0!</v>
      </c>
      <c r="UYV181" s="367" t="s">
        <v>206</v>
      </c>
      <c r="UYW181" s="367"/>
      <c r="UYX181" s="367"/>
      <c r="UYY181" s="368" t="s">
        <v>168</v>
      </c>
      <c r="UYZ181" s="369">
        <v>0.5</v>
      </c>
      <c r="UZA181" s="370" t="e">
        <f>10/UYW179</f>
        <v>#DIV/0!</v>
      </c>
      <c r="UZB181" s="371">
        <v>15.38</v>
      </c>
      <c r="UZC181" s="371" t="e">
        <f>UYZ181*UZA181*UZB181</f>
        <v>#DIV/0!</v>
      </c>
      <c r="UZD181" s="367" t="s">
        <v>206</v>
      </c>
      <c r="UZE181" s="367"/>
      <c r="UZF181" s="367"/>
      <c r="UZG181" s="368" t="s">
        <v>168</v>
      </c>
      <c r="UZH181" s="369">
        <v>0.5</v>
      </c>
      <c r="UZI181" s="370" t="e">
        <f>10/UZE179</f>
        <v>#DIV/0!</v>
      </c>
      <c r="UZJ181" s="371">
        <v>15.38</v>
      </c>
      <c r="UZK181" s="371" t="e">
        <f>UZH181*UZI181*UZJ181</f>
        <v>#DIV/0!</v>
      </c>
      <c r="UZL181" s="367" t="s">
        <v>206</v>
      </c>
      <c r="UZM181" s="367"/>
      <c r="UZN181" s="367"/>
      <c r="UZO181" s="368" t="s">
        <v>168</v>
      </c>
      <c r="UZP181" s="369">
        <v>0.5</v>
      </c>
      <c r="UZQ181" s="370" t="e">
        <f>10/UZM179</f>
        <v>#DIV/0!</v>
      </c>
      <c r="UZR181" s="371">
        <v>15.38</v>
      </c>
      <c r="UZS181" s="371" t="e">
        <f>UZP181*UZQ181*UZR181</f>
        <v>#DIV/0!</v>
      </c>
      <c r="UZT181" s="367" t="s">
        <v>206</v>
      </c>
      <c r="UZU181" s="367"/>
      <c r="UZV181" s="367"/>
      <c r="UZW181" s="368" t="s">
        <v>168</v>
      </c>
      <c r="UZX181" s="369">
        <v>0.5</v>
      </c>
      <c r="UZY181" s="370" t="e">
        <f>10/UZU179</f>
        <v>#DIV/0!</v>
      </c>
      <c r="UZZ181" s="371">
        <v>15.38</v>
      </c>
      <c r="VAA181" s="371" t="e">
        <f>UZX181*UZY181*UZZ181</f>
        <v>#DIV/0!</v>
      </c>
      <c r="VAB181" s="367" t="s">
        <v>206</v>
      </c>
      <c r="VAC181" s="367"/>
      <c r="VAD181" s="367"/>
      <c r="VAE181" s="368" t="s">
        <v>168</v>
      </c>
      <c r="VAF181" s="369">
        <v>0.5</v>
      </c>
      <c r="VAG181" s="370" t="e">
        <f>10/VAC179</f>
        <v>#DIV/0!</v>
      </c>
      <c r="VAH181" s="371">
        <v>15.38</v>
      </c>
      <c r="VAI181" s="371" t="e">
        <f>VAF181*VAG181*VAH181</f>
        <v>#DIV/0!</v>
      </c>
      <c r="VAJ181" s="367" t="s">
        <v>206</v>
      </c>
      <c r="VAK181" s="367"/>
      <c r="VAL181" s="367"/>
      <c r="VAM181" s="368" t="s">
        <v>168</v>
      </c>
      <c r="VAN181" s="369">
        <v>0.5</v>
      </c>
      <c r="VAO181" s="370" t="e">
        <f>10/VAK179</f>
        <v>#DIV/0!</v>
      </c>
      <c r="VAP181" s="371">
        <v>15.38</v>
      </c>
      <c r="VAQ181" s="371" t="e">
        <f>VAN181*VAO181*VAP181</f>
        <v>#DIV/0!</v>
      </c>
      <c r="VAR181" s="367" t="s">
        <v>206</v>
      </c>
      <c r="VAS181" s="367"/>
      <c r="VAT181" s="367"/>
      <c r="VAU181" s="368" t="s">
        <v>168</v>
      </c>
      <c r="VAV181" s="369">
        <v>0.5</v>
      </c>
      <c r="VAW181" s="370" t="e">
        <f>10/VAS179</f>
        <v>#DIV/0!</v>
      </c>
      <c r="VAX181" s="371">
        <v>15.38</v>
      </c>
      <c r="VAY181" s="371" t="e">
        <f>VAV181*VAW181*VAX181</f>
        <v>#DIV/0!</v>
      </c>
      <c r="VAZ181" s="367" t="s">
        <v>206</v>
      </c>
      <c r="VBA181" s="367"/>
      <c r="VBB181" s="367"/>
      <c r="VBC181" s="368" t="s">
        <v>168</v>
      </c>
      <c r="VBD181" s="369">
        <v>0.5</v>
      </c>
      <c r="VBE181" s="370" t="e">
        <f>10/VBA179</f>
        <v>#DIV/0!</v>
      </c>
      <c r="VBF181" s="371">
        <v>15.38</v>
      </c>
      <c r="VBG181" s="371" t="e">
        <f>VBD181*VBE181*VBF181</f>
        <v>#DIV/0!</v>
      </c>
      <c r="VBH181" s="367" t="s">
        <v>206</v>
      </c>
      <c r="VBI181" s="367"/>
      <c r="VBJ181" s="367"/>
      <c r="VBK181" s="368" t="s">
        <v>168</v>
      </c>
      <c r="VBL181" s="369">
        <v>0.5</v>
      </c>
      <c r="VBM181" s="370" t="e">
        <f>10/VBI179</f>
        <v>#DIV/0!</v>
      </c>
      <c r="VBN181" s="371">
        <v>15.38</v>
      </c>
      <c r="VBO181" s="371" t="e">
        <f>VBL181*VBM181*VBN181</f>
        <v>#DIV/0!</v>
      </c>
      <c r="VBP181" s="367" t="s">
        <v>206</v>
      </c>
      <c r="VBQ181" s="367"/>
      <c r="VBR181" s="367"/>
      <c r="VBS181" s="368" t="s">
        <v>168</v>
      </c>
      <c r="VBT181" s="369">
        <v>0.5</v>
      </c>
      <c r="VBU181" s="370" t="e">
        <f>10/VBQ179</f>
        <v>#DIV/0!</v>
      </c>
      <c r="VBV181" s="371">
        <v>15.38</v>
      </c>
      <c r="VBW181" s="371" t="e">
        <f>VBT181*VBU181*VBV181</f>
        <v>#DIV/0!</v>
      </c>
      <c r="VBX181" s="367" t="s">
        <v>206</v>
      </c>
      <c r="VBY181" s="367"/>
      <c r="VBZ181" s="367"/>
      <c r="VCA181" s="368" t="s">
        <v>168</v>
      </c>
      <c r="VCB181" s="369">
        <v>0.5</v>
      </c>
      <c r="VCC181" s="370" t="e">
        <f>10/VBY179</f>
        <v>#DIV/0!</v>
      </c>
      <c r="VCD181" s="371">
        <v>15.38</v>
      </c>
      <c r="VCE181" s="371" t="e">
        <f>VCB181*VCC181*VCD181</f>
        <v>#DIV/0!</v>
      </c>
      <c r="VCF181" s="367" t="s">
        <v>206</v>
      </c>
      <c r="VCG181" s="367"/>
      <c r="VCH181" s="367"/>
      <c r="VCI181" s="368" t="s">
        <v>168</v>
      </c>
      <c r="VCJ181" s="369">
        <v>0.5</v>
      </c>
      <c r="VCK181" s="370" t="e">
        <f>10/VCG179</f>
        <v>#DIV/0!</v>
      </c>
      <c r="VCL181" s="371">
        <v>15.38</v>
      </c>
      <c r="VCM181" s="371" t="e">
        <f>VCJ181*VCK181*VCL181</f>
        <v>#DIV/0!</v>
      </c>
      <c r="VCN181" s="367" t="s">
        <v>206</v>
      </c>
      <c r="VCO181" s="367"/>
      <c r="VCP181" s="367"/>
      <c r="VCQ181" s="368" t="s">
        <v>168</v>
      </c>
      <c r="VCR181" s="369">
        <v>0.5</v>
      </c>
      <c r="VCS181" s="370" t="e">
        <f>10/VCO179</f>
        <v>#DIV/0!</v>
      </c>
      <c r="VCT181" s="371">
        <v>15.38</v>
      </c>
      <c r="VCU181" s="371" t="e">
        <f>VCR181*VCS181*VCT181</f>
        <v>#DIV/0!</v>
      </c>
      <c r="VCV181" s="367" t="s">
        <v>206</v>
      </c>
      <c r="VCW181" s="367"/>
      <c r="VCX181" s="367"/>
      <c r="VCY181" s="368" t="s">
        <v>168</v>
      </c>
      <c r="VCZ181" s="369">
        <v>0.5</v>
      </c>
      <c r="VDA181" s="370" t="e">
        <f>10/VCW179</f>
        <v>#DIV/0!</v>
      </c>
      <c r="VDB181" s="371">
        <v>15.38</v>
      </c>
      <c r="VDC181" s="371" t="e">
        <f>VCZ181*VDA181*VDB181</f>
        <v>#DIV/0!</v>
      </c>
      <c r="VDD181" s="367" t="s">
        <v>206</v>
      </c>
      <c r="VDE181" s="367"/>
      <c r="VDF181" s="367"/>
      <c r="VDG181" s="368" t="s">
        <v>168</v>
      </c>
      <c r="VDH181" s="369">
        <v>0.5</v>
      </c>
      <c r="VDI181" s="370" t="e">
        <f>10/VDE179</f>
        <v>#DIV/0!</v>
      </c>
      <c r="VDJ181" s="371">
        <v>15.38</v>
      </c>
      <c r="VDK181" s="371" t="e">
        <f>VDH181*VDI181*VDJ181</f>
        <v>#DIV/0!</v>
      </c>
      <c r="VDL181" s="367" t="s">
        <v>206</v>
      </c>
      <c r="VDM181" s="367"/>
      <c r="VDN181" s="367"/>
      <c r="VDO181" s="368" t="s">
        <v>168</v>
      </c>
      <c r="VDP181" s="369">
        <v>0.5</v>
      </c>
      <c r="VDQ181" s="370" t="e">
        <f>10/VDM179</f>
        <v>#DIV/0!</v>
      </c>
      <c r="VDR181" s="371">
        <v>15.38</v>
      </c>
      <c r="VDS181" s="371" t="e">
        <f>VDP181*VDQ181*VDR181</f>
        <v>#DIV/0!</v>
      </c>
      <c r="VDT181" s="367" t="s">
        <v>206</v>
      </c>
      <c r="VDU181" s="367"/>
      <c r="VDV181" s="367"/>
      <c r="VDW181" s="368" t="s">
        <v>168</v>
      </c>
      <c r="VDX181" s="369">
        <v>0.5</v>
      </c>
      <c r="VDY181" s="370" t="e">
        <f>10/VDU179</f>
        <v>#DIV/0!</v>
      </c>
      <c r="VDZ181" s="371">
        <v>15.38</v>
      </c>
      <c r="VEA181" s="371" t="e">
        <f>VDX181*VDY181*VDZ181</f>
        <v>#DIV/0!</v>
      </c>
      <c r="VEB181" s="367" t="s">
        <v>206</v>
      </c>
      <c r="VEC181" s="367"/>
      <c r="VED181" s="367"/>
      <c r="VEE181" s="368" t="s">
        <v>168</v>
      </c>
      <c r="VEF181" s="369">
        <v>0.5</v>
      </c>
      <c r="VEG181" s="370" t="e">
        <f>10/VEC179</f>
        <v>#DIV/0!</v>
      </c>
      <c r="VEH181" s="371">
        <v>15.38</v>
      </c>
      <c r="VEI181" s="371" t="e">
        <f>VEF181*VEG181*VEH181</f>
        <v>#DIV/0!</v>
      </c>
      <c r="VEJ181" s="367" t="s">
        <v>206</v>
      </c>
      <c r="VEK181" s="367"/>
      <c r="VEL181" s="367"/>
      <c r="VEM181" s="368" t="s">
        <v>168</v>
      </c>
      <c r="VEN181" s="369">
        <v>0.5</v>
      </c>
      <c r="VEO181" s="370" t="e">
        <f>10/VEK179</f>
        <v>#DIV/0!</v>
      </c>
      <c r="VEP181" s="371">
        <v>15.38</v>
      </c>
      <c r="VEQ181" s="371" t="e">
        <f>VEN181*VEO181*VEP181</f>
        <v>#DIV/0!</v>
      </c>
      <c r="VER181" s="367" t="s">
        <v>206</v>
      </c>
      <c r="VES181" s="367"/>
      <c r="VET181" s="367"/>
      <c r="VEU181" s="368" t="s">
        <v>168</v>
      </c>
      <c r="VEV181" s="369">
        <v>0.5</v>
      </c>
      <c r="VEW181" s="370" t="e">
        <f>10/VES179</f>
        <v>#DIV/0!</v>
      </c>
      <c r="VEX181" s="371">
        <v>15.38</v>
      </c>
      <c r="VEY181" s="371" t="e">
        <f>VEV181*VEW181*VEX181</f>
        <v>#DIV/0!</v>
      </c>
      <c r="VEZ181" s="367" t="s">
        <v>206</v>
      </c>
      <c r="VFA181" s="367"/>
      <c r="VFB181" s="367"/>
      <c r="VFC181" s="368" t="s">
        <v>168</v>
      </c>
      <c r="VFD181" s="369">
        <v>0.5</v>
      </c>
      <c r="VFE181" s="370" t="e">
        <f>10/VFA179</f>
        <v>#DIV/0!</v>
      </c>
      <c r="VFF181" s="371">
        <v>15.38</v>
      </c>
      <c r="VFG181" s="371" t="e">
        <f>VFD181*VFE181*VFF181</f>
        <v>#DIV/0!</v>
      </c>
      <c r="VFH181" s="367" t="s">
        <v>206</v>
      </c>
      <c r="VFI181" s="367"/>
      <c r="VFJ181" s="367"/>
      <c r="VFK181" s="368" t="s">
        <v>168</v>
      </c>
      <c r="VFL181" s="369">
        <v>0.5</v>
      </c>
      <c r="VFM181" s="370" t="e">
        <f>10/VFI179</f>
        <v>#DIV/0!</v>
      </c>
      <c r="VFN181" s="371">
        <v>15.38</v>
      </c>
      <c r="VFO181" s="371" t="e">
        <f>VFL181*VFM181*VFN181</f>
        <v>#DIV/0!</v>
      </c>
      <c r="VFP181" s="367" t="s">
        <v>206</v>
      </c>
      <c r="VFQ181" s="367"/>
      <c r="VFR181" s="367"/>
      <c r="VFS181" s="368" t="s">
        <v>168</v>
      </c>
      <c r="VFT181" s="369">
        <v>0.5</v>
      </c>
      <c r="VFU181" s="370" t="e">
        <f>10/VFQ179</f>
        <v>#DIV/0!</v>
      </c>
      <c r="VFV181" s="371">
        <v>15.38</v>
      </c>
      <c r="VFW181" s="371" t="e">
        <f>VFT181*VFU181*VFV181</f>
        <v>#DIV/0!</v>
      </c>
      <c r="VFX181" s="367" t="s">
        <v>206</v>
      </c>
      <c r="VFY181" s="367"/>
      <c r="VFZ181" s="367"/>
      <c r="VGA181" s="368" t="s">
        <v>168</v>
      </c>
      <c r="VGB181" s="369">
        <v>0.5</v>
      </c>
      <c r="VGC181" s="370" t="e">
        <f>10/VFY179</f>
        <v>#DIV/0!</v>
      </c>
      <c r="VGD181" s="371">
        <v>15.38</v>
      </c>
      <c r="VGE181" s="371" t="e">
        <f>VGB181*VGC181*VGD181</f>
        <v>#DIV/0!</v>
      </c>
      <c r="VGF181" s="367" t="s">
        <v>206</v>
      </c>
      <c r="VGG181" s="367"/>
      <c r="VGH181" s="367"/>
      <c r="VGI181" s="368" t="s">
        <v>168</v>
      </c>
      <c r="VGJ181" s="369">
        <v>0.5</v>
      </c>
      <c r="VGK181" s="370" t="e">
        <f>10/VGG179</f>
        <v>#DIV/0!</v>
      </c>
      <c r="VGL181" s="371">
        <v>15.38</v>
      </c>
      <c r="VGM181" s="371" t="e">
        <f>VGJ181*VGK181*VGL181</f>
        <v>#DIV/0!</v>
      </c>
      <c r="VGN181" s="367" t="s">
        <v>206</v>
      </c>
      <c r="VGO181" s="367"/>
      <c r="VGP181" s="367"/>
      <c r="VGQ181" s="368" t="s">
        <v>168</v>
      </c>
      <c r="VGR181" s="369">
        <v>0.5</v>
      </c>
      <c r="VGS181" s="370" t="e">
        <f>10/VGO179</f>
        <v>#DIV/0!</v>
      </c>
      <c r="VGT181" s="371">
        <v>15.38</v>
      </c>
      <c r="VGU181" s="371" t="e">
        <f>VGR181*VGS181*VGT181</f>
        <v>#DIV/0!</v>
      </c>
      <c r="VGV181" s="367" t="s">
        <v>206</v>
      </c>
      <c r="VGW181" s="367"/>
      <c r="VGX181" s="367"/>
      <c r="VGY181" s="368" t="s">
        <v>168</v>
      </c>
      <c r="VGZ181" s="369">
        <v>0.5</v>
      </c>
      <c r="VHA181" s="370" t="e">
        <f>10/VGW179</f>
        <v>#DIV/0!</v>
      </c>
      <c r="VHB181" s="371">
        <v>15.38</v>
      </c>
      <c r="VHC181" s="371" t="e">
        <f>VGZ181*VHA181*VHB181</f>
        <v>#DIV/0!</v>
      </c>
      <c r="VHD181" s="367" t="s">
        <v>206</v>
      </c>
      <c r="VHE181" s="367"/>
      <c r="VHF181" s="367"/>
      <c r="VHG181" s="368" t="s">
        <v>168</v>
      </c>
      <c r="VHH181" s="369">
        <v>0.5</v>
      </c>
      <c r="VHI181" s="370" t="e">
        <f>10/VHE179</f>
        <v>#DIV/0!</v>
      </c>
      <c r="VHJ181" s="371">
        <v>15.38</v>
      </c>
      <c r="VHK181" s="371" t="e">
        <f>VHH181*VHI181*VHJ181</f>
        <v>#DIV/0!</v>
      </c>
      <c r="VHL181" s="367" t="s">
        <v>206</v>
      </c>
      <c r="VHM181" s="367"/>
      <c r="VHN181" s="367"/>
      <c r="VHO181" s="368" t="s">
        <v>168</v>
      </c>
      <c r="VHP181" s="369">
        <v>0.5</v>
      </c>
      <c r="VHQ181" s="370" t="e">
        <f>10/VHM179</f>
        <v>#DIV/0!</v>
      </c>
      <c r="VHR181" s="371">
        <v>15.38</v>
      </c>
      <c r="VHS181" s="371" t="e">
        <f>VHP181*VHQ181*VHR181</f>
        <v>#DIV/0!</v>
      </c>
      <c r="VHT181" s="367" t="s">
        <v>206</v>
      </c>
      <c r="VHU181" s="367"/>
      <c r="VHV181" s="367"/>
      <c r="VHW181" s="368" t="s">
        <v>168</v>
      </c>
      <c r="VHX181" s="369">
        <v>0.5</v>
      </c>
      <c r="VHY181" s="370" t="e">
        <f>10/VHU179</f>
        <v>#DIV/0!</v>
      </c>
      <c r="VHZ181" s="371">
        <v>15.38</v>
      </c>
      <c r="VIA181" s="371" t="e">
        <f>VHX181*VHY181*VHZ181</f>
        <v>#DIV/0!</v>
      </c>
      <c r="VIB181" s="367" t="s">
        <v>206</v>
      </c>
      <c r="VIC181" s="367"/>
      <c r="VID181" s="367"/>
      <c r="VIE181" s="368" t="s">
        <v>168</v>
      </c>
      <c r="VIF181" s="369">
        <v>0.5</v>
      </c>
      <c r="VIG181" s="370" t="e">
        <f>10/VIC179</f>
        <v>#DIV/0!</v>
      </c>
      <c r="VIH181" s="371">
        <v>15.38</v>
      </c>
      <c r="VII181" s="371" t="e">
        <f>VIF181*VIG181*VIH181</f>
        <v>#DIV/0!</v>
      </c>
      <c r="VIJ181" s="367" t="s">
        <v>206</v>
      </c>
      <c r="VIK181" s="367"/>
      <c r="VIL181" s="367"/>
      <c r="VIM181" s="368" t="s">
        <v>168</v>
      </c>
      <c r="VIN181" s="369">
        <v>0.5</v>
      </c>
      <c r="VIO181" s="370" t="e">
        <f>10/VIK179</f>
        <v>#DIV/0!</v>
      </c>
      <c r="VIP181" s="371">
        <v>15.38</v>
      </c>
      <c r="VIQ181" s="371" t="e">
        <f>VIN181*VIO181*VIP181</f>
        <v>#DIV/0!</v>
      </c>
      <c r="VIR181" s="367" t="s">
        <v>206</v>
      </c>
      <c r="VIS181" s="367"/>
      <c r="VIT181" s="367"/>
      <c r="VIU181" s="368" t="s">
        <v>168</v>
      </c>
      <c r="VIV181" s="369">
        <v>0.5</v>
      </c>
      <c r="VIW181" s="370" t="e">
        <f>10/VIS179</f>
        <v>#DIV/0!</v>
      </c>
      <c r="VIX181" s="371">
        <v>15.38</v>
      </c>
      <c r="VIY181" s="371" t="e">
        <f>VIV181*VIW181*VIX181</f>
        <v>#DIV/0!</v>
      </c>
      <c r="VIZ181" s="367" t="s">
        <v>206</v>
      </c>
      <c r="VJA181" s="367"/>
      <c r="VJB181" s="367"/>
      <c r="VJC181" s="368" t="s">
        <v>168</v>
      </c>
      <c r="VJD181" s="369">
        <v>0.5</v>
      </c>
      <c r="VJE181" s="370" t="e">
        <f>10/VJA179</f>
        <v>#DIV/0!</v>
      </c>
      <c r="VJF181" s="371">
        <v>15.38</v>
      </c>
      <c r="VJG181" s="371" t="e">
        <f>VJD181*VJE181*VJF181</f>
        <v>#DIV/0!</v>
      </c>
      <c r="VJH181" s="367" t="s">
        <v>206</v>
      </c>
      <c r="VJI181" s="367"/>
      <c r="VJJ181" s="367"/>
      <c r="VJK181" s="368" t="s">
        <v>168</v>
      </c>
      <c r="VJL181" s="369">
        <v>0.5</v>
      </c>
      <c r="VJM181" s="370" t="e">
        <f>10/VJI179</f>
        <v>#DIV/0!</v>
      </c>
      <c r="VJN181" s="371">
        <v>15.38</v>
      </c>
      <c r="VJO181" s="371" t="e">
        <f>VJL181*VJM181*VJN181</f>
        <v>#DIV/0!</v>
      </c>
      <c r="VJP181" s="367" t="s">
        <v>206</v>
      </c>
      <c r="VJQ181" s="367"/>
      <c r="VJR181" s="367"/>
      <c r="VJS181" s="368" t="s">
        <v>168</v>
      </c>
      <c r="VJT181" s="369">
        <v>0.5</v>
      </c>
      <c r="VJU181" s="370" t="e">
        <f>10/VJQ179</f>
        <v>#DIV/0!</v>
      </c>
      <c r="VJV181" s="371">
        <v>15.38</v>
      </c>
      <c r="VJW181" s="371" t="e">
        <f>VJT181*VJU181*VJV181</f>
        <v>#DIV/0!</v>
      </c>
      <c r="VJX181" s="367" t="s">
        <v>206</v>
      </c>
      <c r="VJY181" s="367"/>
      <c r="VJZ181" s="367"/>
      <c r="VKA181" s="368" t="s">
        <v>168</v>
      </c>
      <c r="VKB181" s="369">
        <v>0.5</v>
      </c>
      <c r="VKC181" s="370" t="e">
        <f>10/VJY179</f>
        <v>#DIV/0!</v>
      </c>
      <c r="VKD181" s="371">
        <v>15.38</v>
      </c>
      <c r="VKE181" s="371" t="e">
        <f>VKB181*VKC181*VKD181</f>
        <v>#DIV/0!</v>
      </c>
      <c r="VKF181" s="367" t="s">
        <v>206</v>
      </c>
      <c r="VKG181" s="367"/>
      <c r="VKH181" s="367"/>
      <c r="VKI181" s="368" t="s">
        <v>168</v>
      </c>
      <c r="VKJ181" s="369">
        <v>0.5</v>
      </c>
      <c r="VKK181" s="370" t="e">
        <f>10/VKG179</f>
        <v>#DIV/0!</v>
      </c>
      <c r="VKL181" s="371">
        <v>15.38</v>
      </c>
      <c r="VKM181" s="371" t="e">
        <f>VKJ181*VKK181*VKL181</f>
        <v>#DIV/0!</v>
      </c>
      <c r="VKN181" s="367" t="s">
        <v>206</v>
      </c>
      <c r="VKO181" s="367"/>
      <c r="VKP181" s="367"/>
      <c r="VKQ181" s="368" t="s">
        <v>168</v>
      </c>
      <c r="VKR181" s="369">
        <v>0.5</v>
      </c>
      <c r="VKS181" s="370" t="e">
        <f>10/VKO179</f>
        <v>#DIV/0!</v>
      </c>
      <c r="VKT181" s="371">
        <v>15.38</v>
      </c>
      <c r="VKU181" s="371" t="e">
        <f>VKR181*VKS181*VKT181</f>
        <v>#DIV/0!</v>
      </c>
      <c r="VKV181" s="367" t="s">
        <v>206</v>
      </c>
      <c r="VKW181" s="367"/>
      <c r="VKX181" s="367"/>
      <c r="VKY181" s="368" t="s">
        <v>168</v>
      </c>
      <c r="VKZ181" s="369">
        <v>0.5</v>
      </c>
      <c r="VLA181" s="370" t="e">
        <f>10/VKW179</f>
        <v>#DIV/0!</v>
      </c>
      <c r="VLB181" s="371">
        <v>15.38</v>
      </c>
      <c r="VLC181" s="371" t="e">
        <f>VKZ181*VLA181*VLB181</f>
        <v>#DIV/0!</v>
      </c>
      <c r="VLD181" s="367" t="s">
        <v>206</v>
      </c>
      <c r="VLE181" s="367"/>
      <c r="VLF181" s="367"/>
      <c r="VLG181" s="368" t="s">
        <v>168</v>
      </c>
      <c r="VLH181" s="369">
        <v>0.5</v>
      </c>
      <c r="VLI181" s="370" t="e">
        <f>10/VLE179</f>
        <v>#DIV/0!</v>
      </c>
      <c r="VLJ181" s="371">
        <v>15.38</v>
      </c>
      <c r="VLK181" s="371" t="e">
        <f>VLH181*VLI181*VLJ181</f>
        <v>#DIV/0!</v>
      </c>
      <c r="VLL181" s="367" t="s">
        <v>206</v>
      </c>
      <c r="VLM181" s="367"/>
      <c r="VLN181" s="367"/>
      <c r="VLO181" s="368" t="s">
        <v>168</v>
      </c>
      <c r="VLP181" s="369">
        <v>0.5</v>
      </c>
      <c r="VLQ181" s="370" t="e">
        <f>10/VLM179</f>
        <v>#DIV/0!</v>
      </c>
      <c r="VLR181" s="371">
        <v>15.38</v>
      </c>
      <c r="VLS181" s="371" t="e">
        <f>VLP181*VLQ181*VLR181</f>
        <v>#DIV/0!</v>
      </c>
      <c r="VLT181" s="367" t="s">
        <v>206</v>
      </c>
      <c r="VLU181" s="367"/>
      <c r="VLV181" s="367"/>
      <c r="VLW181" s="368" t="s">
        <v>168</v>
      </c>
      <c r="VLX181" s="369">
        <v>0.5</v>
      </c>
      <c r="VLY181" s="370" t="e">
        <f>10/VLU179</f>
        <v>#DIV/0!</v>
      </c>
      <c r="VLZ181" s="371">
        <v>15.38</v>
      </c>
      <c r="VMA181" s="371" t="e">
        <f>VLX181*VLY181*VLZ181</f>
        <v>#DIV/0!</v>
      </c>
      <c r="VMB181" s="367" t="s">
        <v>206</v>
      </c>
      <c r="VMC181" s="367"/>
      <c r="VMD181" s="367"/>
      <c r="VME181" s="368" t="s">
        <v>168</v>
      </c>
      <c r="VMF181" s="369">
        <v>0.5</v>
      </c>
      <c r="VMG181" s="370" t="e">
        <f>10/VMC179</f>
        <v>#DIV/0!</v>
      </c>
      <c r="VMH181" s="371">
        <v>15.38</v>
      </c>
      <c r="VMI181" s="371" t="e">
        <f>VMF181*VMG181*VMH181</f>
        <v>#DIV/0!</v>
      </c>
      <c r="VMJ181" s="367" t="s">
        <v>206</v>
      </c>
      <c r="VMK181" s="367"/>
      <c r="VML181" s="367"/>
      <c r="VMM181" s="368" t="s">
        <v>168</v>
      </c>
      <c r="VMN181" s="369">
        <v>0.5</v>
      </c>
      <c r="VMO181" s="370" t="e">
        <f>10/VMK179</f>
        <v>#DIV/0!</v>
      </c>
      <c r="VMP181" s="371">
        <v>15.38</v>
      </c>
      <c r="VMQ181" s="371" t="e">
        <f>VMN181*VMO181*VMP181</f>
        <v>#DIV/0!</v>
      </c>
      <c r="VMR181" s="367" t="s">
        <v>206</v>
      </c>
      <c r="VMS181" s="367"/>
      <c r="VMT181" s="367"/>
      <c r="VMU181" s="368" t="s">
        <v>168</v>
      </c>
      <c r="VMV181" s="369">
        <v>0.5</v>
      </c>
      <c r="VMW181" s="370" t="e">
        <f>10/VMS179</f>
        <v>#DIV/0!</v>
      </c>
      <c r="VMX181" s="371">
        <v>15.38</v>
      </c>
      <c r="VMY181" s="371" t="e">
        <f>VMV181*VMW181*VMX181</f>
        <v>#DIV/0!</v>
      </c>
      <c r="VMZ181" s="367" t="s">
        <v>206</v>
      </c>
      <c r="VNA181" s="367"/>
      <c r="VNB181" s="367"/>
      <c r="VNC181" s="368" t="s">
        <v>168</v>
      </c>
      <c r="VND181" s="369">
        <v>0.5</v>
      </c>
      <c r="VNE181" s="370" t="e">
        <f>10/VNA179</f>
        <v>#DIV/0!</v>
      </c>
      <c r="VNF181" s="371">
        <v>15.38</v>
      </c>
      <c r="VNG181" s="371" t="e">
        <f>VND181*VNE181*VNF181</f>
        <v>#DIV/0!</v>
      </c>
      <c r="VNH181" s="367" t="s">
        <v>206</v>
      </c>
      <c r="VNI181" s="367"/>
      <c r="VNJ181" s="367"/>
      <c r="VNK181" s="368" t="s">
        <v>168</v>
      </c>
      <c r="VNL181" s="369">
        <v>0.5</v>
      </c>
      <c r="VNM181" s="370" t="e">
        <f>10/VNI179</f>
        <v>#DIV/0!</v>
      </c>
      <c r="VNN181" s="371">
        <v>15.38</v>
      </c>
      <c r="VNO181" s="371" t="e">
        <f>VNL181*VNM181*VNN181</f>
        <v>#DIV/0!</v>
      </c>
      <c r="VNP181" s="367" t="s">
        <v>206</v>
      </c>
      <c r="VNQ181" s="367"/>
      <c r="VNR181" s="367"/>
      <c r="VNS181" s="368" t="s">
        <v>168</v>
      </c>
      <c r="VNT181" s="369">
        <v>0.5</v>
      </c>
      <c r="VNU181" s="370" t="e">
        <f>10/VNQ179</f>
        <v>#DIV/0!</v>
      </c>
      <c r="VNV181" s="371">
        <v>15.38</v>
      </c>
      <c r="VNW181" s="371" t="e">
        <f>VNT181*VNU181*VNV181</f>
        <v>#DIV/0!</v>
      </c>
      <c r="VNX181" s="367" t="s">
        <v>206</v>
      </c>
      <c r="VNY181" s="367"/>
      <c r="VNZ181" s="367"/>
      <c r="VOA181" s="368" t="s">
        <v>168</v>
      </c>
      <c r="VOB181" s="369">
        <v>0.5</v>
      </c>
      <c r="VOC181" s="370" t="e">
        <f>10/VNY179</f>
        <v>#DIV/0!</v>
      </c>
      <c r="VOD181" s="371">
        <v>15.38</v>
      </c>
      <c r="VOE181" s="371" t="e">
        <f>VOB181*VOC181*VOD181</f>
        <v>#DIV/0!</v>
      </c>
      <c r="VOF181" s="367" t="s">
        <v>206</v>
      </c>
      <c r="VOG181" s="367"/>
      <c r="VOH181" s="367"/>
      <c r="VOI181" s="368" t="s">
        <v>168</v>
      </c>
      <c r="VOJ181" s="369">
        <v>0.5</v>
      </c>
      <c r="VOK181" s="370" t="e">
        <f>10/VOG179</f>
        <v>#DIV/0!</v>
      </c>
      <c r="VOL181" s="371">
        <v>15.38</v>
      </c>
      <c r="VOM181" s="371" t="e">
        <f>VOJ181*VOK181*VOL181</f>
        <v>#DIV/0!</v>
      </c>
      <c r="VON181" s="367" t="s">
        <v>206</v>
      </c>
      <c r="VOO181" s="367"/>
      <c r="VOP181" s="367"/>
      <c r="VOQ181" s="368" t="s">
        <v>168</v>
      </c>
      <c r="VOR181" s="369">
        <v>0.5</v>
      </c>
      <c r="VOS181" s="370" t="e">
        <f>10/VOO179</f>
        <v>#DIV/0!</v>
      </c>
      <c r="VOT181" s="371">
        <v>15.38</v>
      </c>
      <c r="VOU181" s="371" t="e">
        <f>VOR181*VOS181*VOT181</f>
        <v>#DIV/0!</v>
      </c>
      <c r="VOV181" s="367" t="s">
        <v>206</v>
      </c>
      <c r="VOW181" s="367"/>
      <c r="VOX181" s="367"/>
      <c r="VOY181" s="368" t="s">
        <v>168</v>
      </c>
      <c r="VOZ181" s="369">
        <v>0.5</v>
      </c>
      <c r="VPA181" s="370" t="e">
        <f>10/VOW179</f>
        <v>#DIV/0!</v>
      </c>
      <c r="VPB181" s="371">
        <v>15.38</v>
      </c>
      <c r="VPC181" s="371" t="e">
        <f>VOZ181*VPA181*VPB181</f>
        <v>#DIV/0!</v>
      </c>
      <c r="VPD181" s="367" t="s">
        <v>206</v>
      </c>
      <c r="VPE181" s="367"/>
      <c r="VPF181" s="367"/>
      <c r="VPG181" s="368" t="s">
        <v>168</v>
      </c>
      <c r="VPH181" s="369">
        <v>0.5</v>
      </c>
      <c r="VPI181" s="370" t="e">
        <f>10/VPE179</f>
        <v>#DIV/0!</v>
      </c>
      <c r="VPJ181" s="371">
        <v>15.38</v>
      </c>
      <c r="VPK181" s="371" t="e">
        <f>VPH181*VPI181*VPJ181</f>
        <v>#DIV/0!</v>
      </c>
      <c r="VPL181" s="367" t="s">
        <v>206</v>
      </c>
      <c r="VPM181" s="367"/>
      <c r="VPN181" s="367"/>
      <c r="VPO181" s="368" t="s">
        <v>168</v>
      </c>
      <c r="VPP181" s="369">
        <v>0.5</v>
      </c>
      <c r="VPQ181" s="370" t="e">
        <f>10/VPM179</f>
        <v>#DIV/0!</v>
      </c>
      <c r="VPR181" s="371">
        <v>15.38</v>
      </c>
      <c r="VPS181" s="371" t="e">
        <f>VPP181*VPQ181*VPR181</f>
        <v>#DIV/0!</v>
      </c>
      <c r="VPT181" s="367" t="s">
        <v>206</v>
      </c>
      <c r="VPU181" s="367"/>
      <c r="VPV181" s="367"/>
      <c r="VPW181" s="368" t="s">
        <v>168</v>
      </c>
      <c r="VPX181" s="369">
        <v>0.5</v>
      </c>
      <c r="VPY181" s="370" t="e">
        <f>10/VPU179</f>
        <v>#DIV/0!</v>
      </c>
      <c r="VPZ181" s="371">
        <v>15.38</v>
      </c>
      <c r="VQA181" s="371" t="e">
        <f>VPX181*VPY181*VPZ181</f>
        <v>#DIV/0!</v>
      </c>
      <c r="VQB181" s="367" t="s">
        <v>206</v>
      </c>
      <c r="VQC181" s="367"/>
      <c r="VQD181" s="367"/>
      <c r="VQE181" s="368" t="s">
        <v>168</v>
      </c>
      <c r="VQF181" s="369">
        <v>0.5</v>
      </c>
      <c r="VQG181" s="370" t="e">
        <f>10/VQC179</f>
        <v>#DIV/0!</v>
      </c>
      <c r="VQH181" s="371">
        <v>15.38</v>
      </c>
      <c r="VQI181" s="371" t="e">
        <f>VQF181*VQG181*VQH181</f>
        <v>#DIV/0!</v>
      </c>
      <c r="VQJ181" s="367" t="s">
        <v>206</v>
      </c>
      <c r="VQK181" s="367"/>
      <c r="VQL181" s="367"/>
      <c r="VQM181" s="368" t="s">
        <v>168</v>
      </c>
      <c r="VQN181" s="369">
        <v>0.5</v>
      </c>
      <c r="VQO181" s="370" t="e">
        <f>10/VQK179</f>
        <v>#DIV/0!</v>
      </c>
      <c r="VQP181" s="371">
        <v>15.38</v>
      </c>
      <c r="VQQ181" s="371" t="e">
        <f>VQN181*VQO181*VQP181</f>
        <v>#DIV/0!</v>
      </c>
      <c r="VQR181" s="367" t="s">
        <v>206</v>
      </c>
      <c r="VQS181" s="367"/>
      <c r="VQT181" s="367"/>
      <c r="VQU181" s="368" t="s">
        <v>168</v>
      </c>
      <c r="VQV181" s="369">
        <v>0.5</v>
      </c>
      <c r="VQW181" s="370" t="e">
        <f>10/VQS179</f>
        <v>#DIV/0!</v>
      </c>
      <c r="VQX181" s="371">
        <v>15.38</v>
      </c>
      <c r="VQY181" s="371" t="e">
        <f>VQV181*VQW181*VQX181</f>
        <v>#DIV/0!</v>
      </c>
      <c r="VQZ181" s="367" t="s">
        <v>206</v>
      </c>
      <c r="VRA181" s="367"/>
      <c r="VRB181" s="367"/>
      <c r="VRC181" s="368" t="s">
        <v>168</v>
      </c>
      <c r="VRD181" s="369">
        <v>0.5</v>
      </c>
      <c r="VRE181" s="370" t="e">
        <f>10/VRA179</f>
        <v>#DIV/0!</v>
      </c>
      <c r="VRF181" s="371">
        <v>15.38</v>
      </c>
      <c r="VRG181" s="371" t="e">
        <f>VRD181*VRE181*VRF181</f>
        <v>#DIV/0!</v>
      </c>
      <c r="VRH181" s="367" t="s">
        <v>206</v>
      </c>
      <c r="VRI181" s="367"/>
      <c r="VRJ181" s="367"/>
      <c r="VRK181" s="368" t="s">
        <v>168</v>
      </c>
      <c r="VRL181" s="369">
        <v>0.5</v>
      </c>
      <c r="VRM181" s="370" t="e">
        <f>10/VRI179</f>
        <v>#DIV/0!</v>
      </c>
      <c r="VRN181" s="371">
        <v>15.38</v>
      </c>
      <c r="VRO181" s="371" t="e">
        <f>VRL181*VRM181*VRN181</f>
        <v>#DIV/0!</v>
      </c>
      <c r="VRP181" s="367" t="s">
        <v>206</v>
      </c>
      <c r="VRQ181" s="367"/>
      <c r="VRR181" s="367"/>
      <c r="VRS181" s="368" t="s">
        <v>168</v>
      </c>
      <c r="VRT181" s="369">
        <v>0.5</v>
      </c>
      <c r="VRU181" s="370" t="e">
        <f>10/VRQ179</f>
        <v>#DIV/0!</v>
      </c>
      <c r="VRV181" s="371">
        <v>15.38</v>
      </c>
      <c r="VRW181" s="371" t="e">
        <f>VRT181*VRU181*VRV181</f>
        <v>#DIV/0!</v>
      </c>
      <c r="VRX181" s="367" t="s">
        <v>206</v>
      </c>
      <c r="VRY181" s="367"/>
      <c r="VRZ181" s="367"/>
      <c r="VSA181" s="368" t="s">
        <v>168</v>
      </c>
      <c r="VSB181" s="369">
        <v>0.5</v>
      </c>
      <c r="VSC181" s="370" t="e">
        <f>10/VRY179</f>
        <v>#DIV/0!</v>
      </c>
      <c r="VSD181" s="371">
        <v>15.38</v>
      </c>
      <c r="VSE181" s="371" t="e">
        <f>VSB181*VSC181*VSD181</f>
        <v>#DIV/0!</v>
      </c>
      <c r="VSF181" s="367" t="s">
        <v>206</v>
      </c>
      <c r="VSG181" s="367"/>
      <c r="VSH181" s="367"/>
      <c r="VSI181" s="368" t="s">
        <v>168</v>
      </c>
      <c r="VSJ181" s="369">
        <v>0.5</v>
      </c>
      <c r="VSK181" s="370" t="e">
        <f>10/VSG179</f>
        <v>#DIV/0!</v>
      </c>
      <c r="VSL181" s="371">
        <v>15.38</v>
      </c>
      <c r="VSM181" s="371" t="e">
        <f>VSJ181*VSK181*VSL181</f>
        <v>#DIV/0!</v>
      </c>
      <c r="VSN181" s="367" t="s">
        <v>206</v>
      </c>
      <c r="VSO181" s="367"/>
      <c r="VSP181" s="367"/>
      <c r="VSQ181" s="368" t="s">
        <v>168</v>
      </c>
      <c r="VSR181" s="369">
        <v>0.5</v>
      </c>
      <c r="VSS181" s="370" t="e">
        <f>10/VSO179</f>
        <v>#DIV/0!</v>
      </c>
      <c r="VST181" s="371">
        <v>15.38</v>
      </c>
      <c r="VSU181" s="371" t="e">
        <f>VSR181*VSS181*VST181</f>
        <v>#DIV/0!</v>
      </c>
      <c r="VSV181" s="367" t="s">
        <v>206</v>
      </c>
      <c r="VSW181" s="367"/>
      <c r="VSX181" s="367"/>
      <c r="VSY181" s="368" t="s">
        <v>168</v>
      </c>
      <c r="VSZ181" s="369">
        <v>0.5</v>
      </c>
      <c r="VTA181" s="370" t="e">
        <f>10/VSW179</f>
        <v>#DIV/0!</v>
      </c>
      <c r="VTB181" s="371">
        <v>15.38</v>
      </c>
      <c r="VTC181" s="371" t="e">
        <f>VSZ181*VTA181*VTB181</f>
        <v>#DIV/0!</v>
      </c>
      <c r="VTD181" s="367" t="s">
        <v>206</v>
      </c>
      <c r="VTE181" s="367"/>
      <c r="VTF181" s="367"/>
      <c r="VTG181" s="368" t="s">
        <v>168</v>
      </c>
      <c r="VTH181" s="369">
        <v>0.5</v>
      </c>
      <c r="VTI181" s="370" t="e">
        <f>10/VTE179</f>
        <v>#DIV/0!</v>
      </c>
      <c r="VTJ181" s="371">
        <v>15.38</v>
      </c>
      <c r="VTK181" s="371" t="e">
        <f>VTH181*VTI181*VTJ181</f>
        <v>#DIV/0!</v>
      </c>
      <c r="VTL181" s="367" t="s">
        <v>206</v>
      </c>
      <c r="VTM181" s="367"/>
      <c r="VTN181" s="367"/>
      <c r="VTO181" s="368" t="s">
        <v>168</v>
      </c>
      <c r="VTP181" s="369">
        <v>0.5</v>
      </c>
      <c r="VTQ181" s="370" t="e">
        <f>10/VTM179</f>
        <v>#DIV/0!</v>
      </c>
      <c r="VTR181" s="371">
        <v>15.38</v>
      </c>
      <c r="VTS181" s="371" t="e">
        <f>VTP181*VTQ181*VTR181</f>
        <v>#DIV/0!</v>
      </c>
      <c r="VTT181" s="367" t="s">
        <v>206</v>
      </c>
      <c r="VTU181" s="367"/>
      <c r="VTV181" s="367"/>
      <c r="VTW181" s="368" t="s">
        <v>168</v>
      </c>
      <c r="VTX181" s="369">
        <v>0.5</v>
      </c>
      <c r="VTY181" s="370" t="e">
        <f>10/VTU179</f>
        <v>#DIV/0!</v>
      </c>
      <c r="VTZ181" s="371">
        <v>15.38</v>
      </c>
      <c r="VUA181" s="371" t="e">
        <f>VTX181*VTY181*VTZ181</f>
        <v>#DIV/0!</v>
      </c>
      <c r="VUB181" s="367" t="s">
        <v>206</v>
      </c>
      <c r="VUC181" s="367"/>
      <c r="VUD181" s="367"/>
      <c r="VUE181" s="368" t="s">
        <v>168</v>
      </c>
      <c r="VUF181" s="369">
        <v>0.5</v>
      </c>
      <c r="VUG181" s="370" t="e">
        <f>10/VUC179</f>
        <v>#DIV/0!</v>
      </c>
      <c r="VUH181" s="371">
        <v>15.38</v>
      </c>
      <c r="VUI181" s="371" t="e">
        <f>VUF181*VUG181*VUH181</f>
        <v>#DIV/0!</v>
      </c>
      <c r="VUJ181" s="367" t="s">
        <v>206</v>
      </c>
      <c r="VUK181" s="367"/>
      <c r="VUL181" s="367"/>
      <c r="VUM181" s="368" t="s">
        <v>168</v>
      </c>
      <c r="VUN181" s="369">
        <v>0.5</v>
      </c>
      <c r="VUO181" s="370" t="e">
        <f>10/VUK179</f>
        <v>#DIV/0!</v>
      </c>
      <c r="VUP181" s="371">
        <v>15.38</v>
      </c>
      <c r="VUQ181" s="371" t="e">
        <f>VUN181*VUO181*VUP181</f>
        <v>#DIV/0!</v>
      </c>
      <c r="VUR181" s="367" t="s">
        <v>206</v>
      </c>
      <c r="VUS181" s="367"/>
      <c r="VUT181" s="367"/>
      <c r="VUU181" s="368" t="s">
        <v>168</v>
      </c>
      <c r="VUV181" s="369">
        <v>0.5</v>
      </c>
      <c r="VUW181" s="370" t="e">
        <f>10/VUS179</f>
        <v>#DIV/0!</v>
      </c>
      <c r="VUX181" s="371">
        <v>15.38</v>
      </c>
      <c r="VUY181" s="371" t="e">
        <f>VUV181*VUW181*VUX181</f>
        <v>#DIV/0!</v>
      </c>
      <c r="VUZ181" s="367" t="s">
        <v>206</v>
      </c>
      <c r="VVA181" s="367"/>
      <c r="VVB181" s="367"/>
      <c r="VVC181" s="368" t="s">
        <v>168</v>
      </c>
      <c r="VVD181" s="369">
        <v>0.5</v>
      </c>
      <c r="VVE181" s="370" t="e">
        <f>10/VVA179</f>
        <v>#DIV/0!</v>
      </c>
      <c r="VVF181" s="371">
        <v>15.38</v>
      </c>
      <c r="VVG181" s="371" t="e">
        <f>VVD181*VVE181*VVF181</f>
        <v>#DIV/0!</v>
      </c>
      <c r="VVH181" s="367" t="s">
        <v>206</v>
      </c>
      <c r="VVI181" s="367"/>
      <c r="VVJ181" s="367"/>
      <c r="VVK181" s="368" t="s">
        <v>168</v>
      </c>
      <c r="VVL181" s="369">
        <v>0.5</v>
      </c>
      <c r="VVM181" s="370" t="e">
        <f>10/VVI179</f>
        <v>#DIV/0!</v>
      </c>
      <c r="VVN181" s="371">
        <v>15.38</v>
      </c>
      <c r="VVO181" s="371" t="e">
        <f>VVL181*VVM181*VVN181</f>
        <v>#DIV/0!</v>
      </c>
      <c r="VVP181" s="367" t="s">
        <v>206</v>
      </c>
      <c r="VVQ181" s="367"/>
      <c r="VVR181" s="367"/>
      <c r="VVS181" s="368" t="s">
        <v>168</v>
      </c>
      <c r="VVT181" s="369">
        <v>0.5</v>
      </c>
      <c r="VVU181" s="370" t="e">
        <f>10/VVQ179</f>
        <v>#DIV/0!</v>
      </c>
      <c r="VVV181" s="371">
        <v>15.38</v>
      </c>
      <c r="VVW181" s="371" t="e">
        <f>VVT181*VVU181*VVV181</f>
        <v>#DIV/0!</v>
      </c>
      <c r="VVX181" s="367" t="s">
        <v>206</v>
      </c>
      <c r="VVY181" s="367"/>
      <c r="VVZ181" s="367"/>
      <c r="VWA181" s="368" t="s">
        <v>168</v>
      </c>
      <c r="VWB181" s="369">
        <v>0.5</v>
      </c>
      <c r="VWC181" s="370" t="e">
        <f>10/VVY179</f>
        <v>#DIV/0!</v>
      </c>
      <c r="VWD181" s="371">
        <v>15.38</v>
      </c>
      <c r="VWE181" s="371" t="e">
        <f>VWB181*VWC181*VWD181</f>
        <v>#DIV/0!</v>
      </c>
      <c r="VWF181" s="367" t="s">
        <v>206</v>
      </c>
      <c r="VWG181" s="367"/>
      <c r="VWH181" s="367"/>
      <c r="VWI181" s="368" t="s">
        <v>168</v>
      </c>
      <c r="VWJ181" s="369">
        <v>0.5</v>
      </c>
      <c r="VWK181" s="370" t="e">
        <f>10/VWG179</f>
        <v>#DIV/0!</v>
      </c>
      <c r="VWL181" s="371">
        <v>15.38</v>
      </c>
      <c r="VWM181" s="371" t="e">
        <f>VWJ181*VWK181*VWL181</f>
        <v>#DIV/0!</v>
      </c>
      <c r="VWN181" s="367" t="s">
        <v>206</v>
      </c>
      <c r="VWO181" s="367"/>
      <c r="VWP181" s="367"/>
      <c r="VWQ181" s="368" t="s">
        <v>168</v>
      </c>
      <c r="VWR181" s="369">
        <v>0.5</v>
      </c>
      <c r="VWS181" s="370" t="e">
        <f>10/VWO179</f>
        <v>#DIV/0!</v>
      </c>
      <c r="VWT181" s="371">
        <v>15.38</v>
      </c>
      <c r="VWU181" s="371" t="e">
        <f>VWR181*VWS181*VWT181</f>
        <v>#DIV/0!</v>
      </c>
      <c r="VWV181" s="367" t="s">
        <v>206</v>
      </c>
      <c r="VWW181" s="367"/>
      <c r="VWX181" s="367"/>
      <c r="VWY181" s="368" t="s">
        <v>168</v>
      </c>
      <c r="VWZ181" s="369">
        <v>0.5</v>
      </c>
      <c r="VXA181" s="370" t="e">
        <f>10/VWW179</f>
        <v>#DIV/0!</v>
      </c>
      <c r="VXB181" s="371">
        <v>15.38</v>
      </c>
      <c r="VXC181" s="371" t="e">
        <f>VWZ181*VXA181*VXB181</f>
        <v>#DIV/0!</v>
      </c>
      <c r="VXD181" s="367" t="s">
        <v>206</v>
      </c>
      <c r="VXE181" s="367"/>
      <c r="VXF181" s="367"/>
      <c r="VXG181" s="368" t="s">
        <v>168</v>
      </c>
      <c r="VXH181" s="369">
        <v>0.5</v>
      </c>
      <c r="VXI181" s="370" t="e">
        <f>10/VXE179</f>
        <v>#DIV/0!</v>
      </c>
      <c r="VXJ181" s="371">
        <v>15.38</v>
      </c>
      <c r="VXK181" s="371" t="e">
        <f>VXH181*VXI181*VXJ181</f>
        <v>#DIV/0!</v>
      </c>
      <c r="VXL181" s="367" t="s">
        <v>206</v>
      </c>
      <c r="VXM181" s="367"/>
      <c r="VXN181" s="367"/>
      <c r="VXO181" s="368" t="s">
        <v>168</v>
      </c>
      <c r="VXP181" s="369">
        <v>0.5</v>
      </c>
      <c r="VXQ181" s="370" t="e">
        <f>10/VXM179</f>
        <v>#DIV/0!</v>
      </c>
      <c r="VXR181" s="371">
        <v>15.38</v>
      </c>
      <c r="VXS181" s="371" t="e">
        <f>VXP181*VXQ181*VXR181</f>
        <v>#DIV/0!</v>
      </c>
      <c r="VXT181" s="367" t="s">
        <v>206</v>
      </c>
      <c r="VXU181" s="367"/>
      <c r="VXV181" s="367"/>
      <c r="VXW181" s="368" t="s">
        <v>168</v>
      </c>
      <c r="VXX181" s="369">
        <v>0.5</v>
      </c>
      <c r="VXY181" s="370" t="e">
        <f>10/VXU179</f>
        <v>#DIV/0!</v>
      </c>
      <c r="VXZ181" s="371">
        <v>15.38</v>
      </c>
      <c r="VYA181" s="371" t="e">
        <f>VXX181*VXY181*VXZ181</f>
        <v>#DIV/0!</v>
      </c>
      <c r="VYB181" s="367" t="s">
        <v>206</v>
      </c>
      <c r="VYC181" s="367"/>
      <c r="VYD181" s="367"/>
      <c r="VYE181" s="368" t="s">
        <v>168</v>
      </c>
      <c r="VYF181" s="369">
        <v>0.5</v>
      </c>
      <c r="VYG181" s="370" t="e">
        <f>10/VYC179</f>
        <v>#DIV/0!</v>
      </c>
      <c r="VYH181" s="371">
        <v>15.38</v>
      </c>
      <c r="VYI181" s="371" t="e">
        <f>VYF181*VYG181*VYH181</f>
        <v>#DIV/0!</v>
      </c>
      <c r="VYJ181" s="367" t="s">
        <v>206</v>
      </c>
      <c r="VYK181" s="367"/>
      <c r="VYL181" s="367"/>
      <c r="VYM181" s="368" t="s">
        <v>168</v>
      </c>
      <c r="VYN181" s="369">
        <v>0.5</v>
      </c>
      <c r="VYO181" s="370" t="e">
        <f>10/VYK179</f>
        <v>#DIV/0!</v>
      </c>
      <c r="VYP181" s="371">
        <v>15.38</v>
      </c>
      <c r="VYQ181" s="371" t="e">
        <f>VYN181*VYO181*VYP181</f>
        <v>#DIV/0!</v>
      </c>
      <c r="VYR181" s="367" t="s">
        <v>206</v>
      </c>
      <c r="VYS181" s="367"/>
      <c r="VYT181" s="367"/>
      <c r="VYU181" s="368" t="s">
        <v>168</v>
      </c>
      <c r="VYV181" s="369">
        <v>0.5</v>
      </c>
      <c r="VYW181" s="370" t="e">
        <f>10/VYS179</f>
        <v>#DIV/0!</v>
      </c>
      <c r="VYX181" s="371">
        <v>15.38</v>
      </c>
      <c r="VYY181" s="371" t="e">
        <f>VYV181*VYW181*VYX181</f>
        <v>#DIV/0!</v>
      </c>
      <c r="VYZ181" s="367" t="s">
        <v>206</v>
      </c>
      <c r="VZA181" s="367"/>
      <c r="VZB181" s="367"/>
      <c r="VZC181" s="368" t="s">
        <v>168</v>
      </c>
      <c r="VZD181" s="369">
        <v>0.5</v>
      </c>
      <c r="VZE181" s="370" t="e">
        <f>10/VZA179</f>
        <v>#DIV/0!</v>
      </c>
      <c r="VZF181" s="371">
        <v>15.38</v>
      </c>
      <c r="VZG181" s="371" t="e">
        <f>VZD181*VZE181*VZF181</f>
        <v>#DIV/0!</v>
      </c>
      <c r="VZH181" s="367" t="s">
        <v>206</v>
      </c>
      <c r="VZI181" s="367"/>
      <c r="VZJ181" s="367"/>
      <c r="VZK181" s="368" t="s">
        <v>168</v>
      </c>
      <c r="VZL181" s="369">
        <v>0.5</v>
      </c>
      <c r="VZM181" s="370" t="e">
        <f>10/VZI179</f>
        <v>#DIV/0!</v>
      </c>
      <c r="VZN181" s="371">
        <v>15.38</v>
      </c>
      <c r="VZO181" s="371" t="e">
        <f>VZL181*VZM181*VZN181</f>
        <v>#DIV/0!</v>
      </c>
      <c r="VZP181" s="367" t="s">
        <v>206</v>
      </c>
      <c r="VZQ181" s="367"/>
      <c r="VZR181" s="367"/>
      <c r="VZS181" s="368" t="s">
        <v>168</v>
      </c>
      <c r="VZT181" s="369">
        <v>0.5</v>
      </c>
      <c r="VZU181" s="370" t="e">
        <f>10/VZQ179</f>
        <v>#DIV/0!</v>
      </c>
      <c r="VZV181" s="371">
        <v>15.38</v>
      </c>
      <c r="VZW181" s="371" t="e">
        <f>VZT181*VZU181*VZV181</f>
        <v>#DIV/0!</v>
      </c>
      <c r="VZX181" s="367" t="s">
        <v>206</v>
      </c>
      <c r="VZY181" s="367"/>
      <c r="VZZ181" s="367"/>
      <c r="WAA181" s="368" t="s">
        <v>168</v>
      </c>
      <c r="WAB181" s="369">
        <v>0.5</v>
      </c>
      <c r="WAC181" s="370" t="e">
        <f>10/VZY179</f>
        <v>#DIV/0!</v>
      </c>
      <c r="WAD181" s="371">
        <v>15.38</v>
      </c>
      <c r="WAE181" s="371" t="e">
        <f>WAB181*WAC181*WAD181</f>
        <v>#DIV/0!</v>
      </c>
      <c r="WAF181" s="367" t="s">
        <v>206</v>
      </c>
      <c r="WAG181" s="367"/>
      <c r="WAH181" s="367"/>
      <c r="WAI181" s="368" t="s">
        <v>168</v>
      </c>
      <c r="WAJ181" s="369">
        <v>0.5</v>
      </c>
      <c r="WAK181" s="370" t="e">
        <f>10/WAG179</f>
        <v>#DIV/0!</v>
      </c>
      <c r="WAL181" s="371">
        <v>15.38</v>
      </c>
      <c r="WAM181" s="371" t="e">
        <f>WAJ181*WAK181*WAL181</f>
        <v>#DIV/0!</v>
      </c>
      <c r="WAN181" s="367" t="s">
        <v>206</v>
      </c>
      <c r="WAO181" s="367"/>
      <c r="WAP181" s="367"/>
      <c r="WAQ181" s="368" t="s">
        <v>168</v>
      </c>
      <c r="WAR181" s="369">
        <v>0.5</v>
      </c>
      <c r="WAS181" s="370" t="e">
        <f>10/WAO179</f>
        <v>#DIV/0!</v>
      </c>
      <c r="WAT181" s="371">
        <v>15.38</v>
      </c>
      <c r="WAU181" s="371" t="e">
        <f>WAR181*WAS181*WAT181</f>
        <v>#DIV/0!</v>
      </c>
      <c r="WAV181" s="367" t="s">
        <v>206</v>
      </c>
      <c r="WAW181" s="367"/>
      <c r="WAX181" s="367"/>
      <c r="WAY181" s="368" t="s">
        <v>168</v>
      </c>
      <c r="WAZ181" s="369">
        <v>0.5</v>
      </c>
      <c r="WBA181" s="370" t="e">
        <f>10/WAW179</f>
        <v>#DIV/0!</v>
      </c>
      <c r="WBB181" s="371">
        <v>15.38</v>
      </c>
      <c r="WBC181" s="371" t="e">
        <f>WAZ181*WBA181*WBB181</f>
        <v>#DIV/0!</v>
      </c>
      <c r="WBD181" s="367" t="s">
        <v>206</v>
      </c>
      <c r="WBE181" s="367"/>
      <c r="WBF181" s="367"/>
      <c r="WBG181" s="368" t="s">
        <v>168</v>
      </c>
      <c r="WBH181" s="369">
        <v>0.5</v>
      </c>
      <c r="WBI181" s="370" t="e">
        <f>10/WBE179</f>
        <v>#DIV/0!</v>
      </c>
      <c r="WBJ181" s="371">
        <v>15.38</v>
      </c>
      <c r="WBK181" s="371" t="e">
        <f>WBH181*WBI181*WBJ181</f>
        <v>#DIV/0!</v>
      </c>
      <c r="WBL181" s="367" t="s">
        <v>206</v>
      </c>
      <c r="WBM181" s="367"/>
      <c r="WBN181" s="367"/>
      <c r="WBO181" s="368" t="s">
        <v>168</v>
      </c>
      <c r="WBP181" s="369">
        <v>0.5</v>
      </c>
      <c r="WBQ181" s="370" t="e">
        <f>10/WBM179</f>
        <v>#DIV/0!</v>
      </c>
      <c r="WBR181" s="371">
        <v>15.38</v>
      </c>
      <c r="WBS181" s="371" t="e">
        <f>WBP181*WBQ181*WBR181</f>
        <v>#DIV/0!</v>
      </c>
      <c r="WBT181" s="367" t="s">
        <v>206</v>
      </c>
      <c r="WBU181" s="367"/>
      <c r="WBV181" s="367"/>
      <c r="WBW181" s="368" t="s">
        <v>168</v>
      </c>
      <c r="WBX181" s="369">
        <v>0.5</v>
      </c>
      <c r="WBY181" s="370" t="e">
        <f>10/WBU179</f>
        <v>#DIV/0!</v>
      </c>
      <c r="WBZ181" s="371">
        <v>15.38</v>
      </c>
      <c r="WCA181" s="371" t="e">
        <f>WBX181*WBY181*WBZ181</f>
        <v>#DIV/0!</v>
      </c>
      <c r="WCB181" s="367" t="s">
        <v>206</v>
      </c>
      <c r="WCC181" s="367"/>
      <c r="WCD181" s="367"/>
      <c r="WCE181" s="368" t="s">
        <v>168</v>
      </c>
      <c r="WCF181" s="369">
        <v>0.5</v>
      </c>
      <c r="WCG181" s="370" t="e">
        <f>10/WCC179</f>
        <v>#DIV/0!</v>
      </c>
      <c r="WCH181" s="371">
        <v>15.38</v>
      </c>
      <c r="WCI181" s="371" t="e">
        <f>WCF181*WCG181*WCH181</f>
        <v>#DIV/0!</v>
      </c>
      <c r="WCJ181" s="367" t="s">
        <v>206</v>
      </c>
      <c r="WCK181" s="367"/>
      <c r="WCL181" s="367"/>
      <c r="WCM181" s="368" t="s">
        <v>168</v>
      </c>
      <c r="WCN181" s="369">
        <v>0.5</v>
      </c>
      <c r="WCO181" s="370" t="e">
        <f>10/WCK179</f>
        <v>#DIV/0!</v>
      </c>
      <c r="WCP181" s="371">
        <v>15.38</v>
      </c>
      <c r="WCQ181" s="371" t="e">
        <f>WCN181*WCO181*WCP181</f>
        <v>#DIV/0!</v>
      </c>
      <c r="WCR181" s="367" t="s">
        <v>206</v>
      </c>
      <c r="WCS181" s="367"/>
      <c r="WCT181" s="367"/>
      <c r="WCU181" s="368" t="s">
        <v>168</v>
      </c>
      <c r="WCV181" s="369">
        <v>0.5</v>
      </c>
      <c r="WCW181" s="370" t="e">
        <f>10/WCS179</f>
        <v>#DIV/0!</v>
      </c>
      <c r="WCX181" s="371">
        <v>15.38</v>
      </c>
      <c r="WCY181" s="371" t="e">
        <f>WCV181*WCW181*WCX181</f>
        <v>#DIV/0!</v>
      </c>
      <c r="WCZ181" s="367" t="s">
        <v>206</v>
      </c>
      <c r="WDA181" s="367"/>
      <c r="WDB181" s="367"/>
      <c r="WDC181" s="368" t="s">
        <v>168</v>
      </c>
      <c r="WDD181" s="369">
        <v>0.5</v>
      </c>
      <c r="WDE181" s="370" t="e">
        <f>10/WDA179</f>
        <v>#DIV/0!</v>
      </c>
      <c r="WDF181" s="371">
        <v>15.38</v>
      </c>
      <c r="WDG181" s="371" t="e">
        <f>WDD181*WDE181*WDF181</f>
        <v>#DIV/0!</v>
      </c>
      <c r="WDH181" s="367" t="s">
        <v>206</v>
      </c>
      <c r="WDI181" s="367"/>
      <c r="WDJ181" s="367"/>
      <c r="WDK181" s="368" t="s">
        <v>168</v>
      </c>
      <c r="WDL181" s="369">
        <v>0.5</v>
      </c>
      <c r="WDM181" s="370" t="e">
        <f>10/WDI179</f>
        <v>#DIV/0!</v>
      </c>
      <c r="WDN181" s="371">
        <v>15.38</v>
      </c>
      <c r="WDO181" s="371" t="e">
        <f>WDL181*WDM181*WDN181</f>
        <v>#DIV/0!</v>
      </c>
      <c r="WDP181" s="367" t="s">
        <v>206</v>
      </c>
      <c r="WDQ181" s="367"/>
      <c r="WDR181" s="367"/>
      <c r="WDS181" s="368" t="s">
        <v>168</v>
      </c>
      <c r="WDT181" s="369">
        <v>0.5</v>
      </c>
      <c r="WDU181" s="370" t="e">
        <f>10/WDQ179</f>
        <v>#DIV/0!</v>
      </c>
      <c r="WDV181" s="371">
        <v>15.38</v>
      </c>
      <c r="WDW181" s="371" t="e">
        <f>WDT181*WDU181*WDV181</f>
        <v>#DIV/0!</v>
      </c>
      <c r="WDX181" s="367" t="s">
        <v>206</v>
      </c>
      <c r="WDY181" s="367"/>
      <c r="WDZ181" s="367"/>
      <c r="WEA181" s="368" t="s">
        <v>168</v>
      </c>
      <c r="WEB181" s="369">
        <v>0.5</v>
      </c>
      <c r="WEC181" s="370" t="e">
        <f>10/WDY179</f>
        <v>#DIV/0!</v>
      </c>
      <c r="WED181" s="371">
        <v>15.38</v>
      </c>
      <c r="WEE181" s="371" t="e">
        <f>WEB181*WEC181*WED181</f>
        <v>#DIV/0!</v>
      </c>
      <c r="WEF181" s="367" t="s">
        <v>206</v>
      </c>
      <c r="WEG181" s="367"/>
      <c r="WEH181" s="367"/>
      <c r="WEI181" s="368" t="s">
        <v>168</v>
      </c>
      <c r="WEJ181" s="369">
        <v>0.5</v>
      </c>
      <c r="WEK181" s="370" t="e">
        <f>10/WEG179</f>
        <v>#DIV/0!</v>
      </c>
      <c r="WEL181" s="371">
        <v>15.38</v>
      </c>
      <c r="WEM181" s="371" t="e">
        <f>WEJ181*WEK181*WEL181</f>
        <v>#DIV/0!</v>
      </c>
      <c r="WEN181" s="367" t="s">
        <v>206</v>
      </c>
      <c r="WEO181" s="367"/>
      <c r="WEP181" s="367"/>
      <c r="WEQ181" s="368" t="s">
        <v>168</v>
      </c>
      <c r="WER181" s="369">
        <v>0.5</v>
      </c>
      <c r="WES181" s="370" t="e">
        <f>10/WEO179</f>
        <v>#DIV/0!</v>
      </c>
      <c r="WET181" s="371">
        <v>15.38</v>
      </c>
      <c r="WEU181" s="371" t="e">
        <f>WER181*WES181*WET181</f>
        <v>#DIV/0!</v>
      </c>
      <c r="WEV181" s="367" t="s">
        <v>206</v>
      </c>
      <c r="WEW181" s="367"/>
      <c r="WEX181" s="367"/>
      <c r="WEY181" s="368" t="s">
        <v>168</v>
      </c>
      <c r="WEZ181" s="369">
        <v>0.5</v>
      </c>
      <c r="WFA181" s="370" t="e">
        <f>10/WEW179</f>
        <v>#DIV/0!</v>
      </c>
      <c r="WFB181" s="371">
        <v>15.38</v>
      </c>
      <c r="WFC181" s="371" t="e">
        <f>WEZ181*WFA181*WFB181</f>
        <v>#DIV/0!</v>
      </c>
      <c r="WFD181" s="367" t="s">
        <v>206</v>
      </c>
      <c r="WFE181" s="367"/>
      <c r="WFF181" s="367"/>
      <c r="WFG181" s="368" t="s">
        <v>168</v>
      </c>
      <c r="WFH181" s="369">
        <v>0.5</v>
      </c>
      <c r="WFI181" s="370" t="e">
        <f>10/WFE179</f>
        <v>#DIV/0!</v>
      </c>
      <c r="WFJ181" s="371">
        <v>15.38</v>
      </c>
      <c r="WFK181" s="371" t="e">
        <f>WFH181*WFI181*WFJ181</f>
        <v>#DIV/0!</v>
      </c>
      <c r="WFL181" s="367" t="s">
        <v>206</v>
      </c>
      <c r="WFM181" s="367"/>
      <c r="WFN181" s="367"/>
      <c r="WFO181" s="368" t="s">
        <v>168</v>
      </c>
      <c r="WFP181" s="369">
        <v>0.5</v>
      </c>
      <c r="WFQ181" s="370" t="e">
        <f>10/WFM179</f>
        <v>#DIV/0!</v>
      </c>
      <c r="WFR181" s="371">
        <v>15.38</v>
      </c>
      <c r="WFS181" s="371" t="e">
        <f>WFP181*WFQ181*WFR181</f>
        <v>#DIV/0!</v>
      </c>
      <c r="WFT181" s="367" t="s">
        <v>206</v>
      </c>
      <c r="WFU181" s="367"/>
      <c r="WFV181" s="367"/>
      <c r="WFW181" s="368" t="s">
        <v>168</v>
      </c>
      <c r="WFX181" s="369">
        <v>0.5</v>
      </c>
      <c r="WFY181" s="370" t="e">
        <f>10/WFU179</f>
        <v>#DIV/0!</v>
      </c>
      <c r="WFZ181" s="371">
        <v>15.38</v>
      </c>
      <c r="WGA181" s="371" t="e">
        <f>WFX181*WFY181*WFZ181</f>
        <v>#DIV/0!</v>
      </c>
      <c r="WGB181" s="367" t="s">
        <v>206</v>
      </c>
      <c r="WGC181" s="367"/>
      <c r="WGD181" s="367"/>
      <c r="WGE181" s="368" t="s">
        <v>168</v>
      </c>
      <c r="WGF181" s="369">
        <v>0.5</v>
      </c>
      <c r="WGG181" s="370" t="e">
        <f>10/WGC179</f>
        <v>#DIV/0!</v>
      </c>
      <c r="WGH181" s="371">
        <v>15.38</v>
      </c>
      <c r="WGI181" s="371" t="e">
        <f>WGF181*WGG181*WGH181</f>
        <v>#DIV/0!</v>
      </c>
      <c r="WGJ181" s="367" t="s">
        <v>206</v>
      </c>
      <c r="WGK181" s="367"/>
      <c r="WGL181" s="367"/>
      <c r="WGM181" s="368" t="s">
        <v>168</v>
      </c>
      <c r="WGN181" s="369">
        <v>0.5</v>
      </c>
      <c r="WGO181" s="370" t="e">
        <f>10/WGK179</f>
        <v>#DIV/0!</v>
      </c>
      <c r="WGP181" s="371">
        <v>15.38</v>
      </c>
      <c r="WGQ181" s="371" t="e">
        <f>WGN181*WGO181*WGP181</f>
        <v>#DIV/0!</v>
      </c>
      <c r="WGR181" s="367" t="s">
        <v>206</v>
      </c>
      <c r="WGS181" s="367"/>
      <c r="WGT181" s="367"/>
      <c r="WGU181" s="368" t="s">
        <v>168</v>
      </c>
      <c r="WGV181" s="369">
        <v>0.5</v>
      </c>
      <c r="WGW181" s="370" t="e">
        <f>10/WGS179</f>
        <v>#DIV/0!</v>
      </c>
      <c r="WGX181" s="371">
        <v>15.38</v>
      </c>
      <c r="WGY181" s="371" t="e">
        <f>WGV181*WGW181*WGX181</f>
        <v>#DIV/0!</v>
      </c>
      <c r="WGZ181" s="367" t="s">
        <v>206</v>
      </c>
      <c r="WHA181" s="367"/>
      <c r="WHB181" s="367"/>
      <c r="WHC181" s="368" t="s">
        <v>168</v>
      </c>
      <c r="WHD181" s="369">
        <v>0.5</v>
      </c>
      <c r="WHE181" s="370" t="e">
        <f>10/WHA179</f>
        <v>#DIV/0!</v>
      </c>
      <c r="WHF181" s="371">
        <v>15.38</v>
      </c>
      <c r="WHG181" s="371" t="e">
        <f>WHD181*WHE181*WHF181</f>
        <v>#DIV/0!</v>
      </c>
      <c r="WHH181" s="367" t="s">
        <v>206</v>
      </c>
      <c r="WHI181" s="367"/>
      <c r="WHJ181" s="367"/>
      <c r="WHK181" s="368" t="s">
        <v>168</v>
      </c>
      <c r="WHL181" s="369">
        <v>0.5</v>
      </c>
      <c r="WHM181" s="370" t="e">
        <f>10/WHI179</f>
        <v>#DIV/0!</v>
      </c>
      <c r="WHN181" s="371">
        <v>15.38</v>
      </c>
      <c r="WHO181" s="371" t="e">
        <f>WHL181*WHM181*WHN181</f>
        <v>#DIV/0!</v>
      </c>
      <c r="WHP181" s="367" t="s">
        <v>206</v>
      </c>
      <c r="WHQ181" s="367"/>
      <c r="WHR181" s="367"/>
      <c r="WHS181" s="368" t="s">
        <v>168</v>
      </c>
      <c r="WHT181" s="369">
        <v>0.5</v>
      </c>
      <c r="WHU181" s="370" t="e">
        <f>10/WHQ179</f>
        <v>#DIV/0!</v>
      </c>
      <c r="WHV181" s="371">
        <v>15.38</v>
      </c>
      <c r="WHW181" s="371" t="e">
        <f>WHT181*WHU181*WHV181</f>
        <v>#DIV/0!</v>
      </c>
      <c r="WHX181" s="367" t="s">
        <v>206</v>
      </c>
      <c r="WHY181" s="367"/>
      <c r="WHZ181" s="367"/>
      <c r="WIA181" s="368" t="s">
        <v>168</v>
      </c>
      <c r="WIB181" s="369">
        <v>0.5</v>
      </c>
      <c r="WIC181" s="370" t="e">
        <f>10/WHY179</f>
        <v>#DIV/0!</v>
      </c>
      <c r="WID181" s="371">
        <v>15.38</v>
      </c>
      <c r="WIE181" s="371" t="e">
        <f>WIB181*WIC181*WID181</f>
        <v>#DIV/0!</v>
      </c>
      <c r="WIF181" s="367" t="s">
        <v>206</v>
      </c>
      <c r="WIG181" s="367"/>
      <c r="WIH181" s="367"/>
      <c r="WII181" s="368" t="s">
        <v>168</v>
      </c>
      <c r="WIJ181" s="369">
        <v>0.5</v>
      </c>
      <c r="WIK181" s="370" t="e">
        <f>10/WIG179</f>
        <v>#DIV/0!</v>
      </c>
      <c r="WIL181" s="371">
        <v>15.38</v>
      </c>
      <c r="WIM181" s="371" t="e">
        <f>WIJ181*WIK181*WIL181</f>
        <v>#DIV/0!</v>
      </c>
      <c r="WIN181" s="367" t="s">
        <v>206</v>
      </c>
      <c r="WIO181" s="367"/>
      <c r="WIP181" s="367"/>
      <c r="WIQ181" s="368" t="s">
        <v>168</v>
      </c>
      <c r="WIR181" s="369">
        <v>0.5</v>
      </c>
      <c r="WIS181" s="370" t="e">
        <f>10/WIO179</f>
        <v>#DIV/0!</v>
      </c>
      <c r="WIT181" s="371">
        <v>15.38</v>
      </c>
      <c r="WIU181" s="371" t="e">
        <f>WIR181*WIS181*WIT181</f>
        <v>#DIV/0!</v>
      </c>
      <c r="WIV181" s="367" t="s">
        <v>206</v>
      </c>
      <c r="WIW181" s="367"/>
      <c r="WIX181" s="367"/>
      <c r="WIY181" s="368" t="s">
        <v>168</v>
      </c>
      <c r="WIZ181" s="369">
        <v>0.5</v>
      </c>
      <c r="WJA181" s="370" t="e">
        <f>10/WIW179</f>
        <v>#DIV/0!</v>
      </c>
      <c r="WJB181" s="371">
        <v>15.38</v>
      </c>
      <c r="WJC181" s="371" t="e">
        <f>WIZ181*WJA181*WJB181</f>
        <v>#DIV/0!</v>
      </c>
      <c r="WJD181" s="367" t="s">
        <v>206</v>
      </c>
      <c r="WJE181" s="367"/>
      <c r="WJF181" s="367"/>
      <c r="WJG181" s="368" t="s">
        <v>168</v>
      </c>
      <c r="WJH181" s="369">
        <v>0.5</v>
      </c>
      <c r="WJI181" s="370" t="e">
        <f>10/WJE179</f>
        <v>#DIV/0!</v>
      </c>
      <c r="WJJ181" s="371">
        <v>15.38</v>
      </c>
      <c r="WJK181" s="371" t="e">
        <f>WJH181*WJI181*WJJ181</f>
        <v>#DIV/0!</v>
      </c>
      <c r="WJL181" s="367" t="s">
        <v>206</v>
      </c>
      <c r="WJM181" s="367"/>
      <c r="WJN181" s="367"/>
      <c r="WJO181" s="368" t="s">
        <v>168</v>
      </c>
      <c r="WJP181" s="369">
        <v>0.5</v>
      </c>
      <c r="WJQ181" s="370" t="e">
        <f>10/WJM179</f>
        <v>#DIV/0!</v>
      </c>
      <c r="WJR181" s="371">
        <v>15.38</v>
      </c>
      <c r="WJS181" s="371" t="e">
        <f>WJP181*WJQ181*WJR181</f>
        <v>#DIV/0!</v>
      </c>
      <c r="WJT181" s="367" t="s">
        <v>206</v>
      </c>
      <c r="WJU181" s="367"/>
      <c r="WJV181" s="367"/>
      <c r="WJW181" s="368" t="s">
        <v>168</v>
      </c>
      <c r="WJX181" s="369">
        <v>0.5</v>
      </c>
      <c r="WJY181" s="370" t="e">
        <f>10/WJU179</f>
        <v>#DIV/0!</v>
      </c>
      <c r="WJZ181" s="371">
        <v>15.38</v>
      </c>
      <c r="WKA181" s="371" t="e">
        <f>WJX181*WJY181*WJZ181</f>
        <v>#DIV/0!</v>
      </c>
      <c r="WKB181" s="367" t="s">
        <v>206</v>
      </c>
      <c r="WKC181" s="367"/>
      <c r="WKD181" s="367"/>
      <c r="WKE181" s="368" t="s">
        <v>168</v>
      </c>
      <c r="WKF181" s="369">
        <v>0.5</v>
      </c>
      <c r="WKG181" s="370" t="e">
        <f>10/WKC179</f>
        <v>#DIV/0!</v>
      </c>
      <c r="WKH181" s="371">
        <v>15.38</v>
      </c>
      <c r="WKI181" s="371" t="e">
        <f>WKF181*WKG181*WKH181</f>
        <v>#DIV/0!</v>
      </c>
      <c r="WKJ181" s="367" t="s">
        <v>206</v>
      </c>
      <c r="WKK181" s="367"/>
      <c r="WKL181" s="367"/>
      <c r="WKM181" s="368" t="s">
        <v>168</v>
      </c>
      <c r="WKN181" s="369">
        <v>0.5</v>
      </c>
      <c r="WKO181" s="370" t="e">
        <f>10/WKK179</f>
        <v>#DIV/0!</v>
      </c>
      <c r="WKP181" s="371">
        <v>15.38</v>
      </c>
      <c r="WKQ181" s="371" t="e">
        <f>WKN181*WKO181*WKP181</f>
        <v>#DIV/0!</v>
      </c>
      <c r="WKR181" s="367" t="s">
        <v>206</v>
      </c>
      <c r="WKS181" s="367"/>
      <c r="WKT181" s="367"/>
      <c r="WKU181" s="368" t="s">
        <v>168</v>
      </c>
      <c r="WKV181" s="369">
        <v>0.5</v>
      </c>
      <c r="WKW181" s="370" t="e">
        <f>10/WKS179</f>
        <v>#DIV/0!</v>
      </c>
      <c r="WKX181" s="371">
        <v>15.38</v>
      </c>
      <c r="WKY181" s="371" t="e">
        <f>WKV181*WKW181*WKX181</f>
        <v>#DIV/0!</v>
      </c>
      <c r="WKZ181" s="367" t="s">
        <v>206</v>
      </c>
      <c r="WLA181" s="367"/>
      <c r="WLB181" s="367"/>
      <c r="WLC181" s="368" t="s">
        <v>168</v>
      </c>
      <c r="WLD181" s="369">
        <v>0.5</v>
      </c>
      <c r="WLE181" s="370" t="e">
        <f>10/WLA179</f>
        <v>#DIV/0!</v>
      </c>
      <c r="WLF181" s="371">
        <v>15.38</v>
      </c>
      <c r="WLG181" s="371" t="e">
        <f>WLD181*WLE181*WLF181</f>
        <v>#DIV/0!</v>
      </c>
      <c r="WLH181" s="367" t="s">
        <v>206</v>
      </c>
      <c r="WLI181" s="367"/>
      <c r="WLJ181" s="367"/>
      <c r="WLK181" s="368" t="s">
        <v>168</v>
      </c>
      <c r="WLL181" s="369">
        <v>0.5</v>
      </c>
      <c r="WLM181" s="370" t="e">
        <f>10/WLI179</f>
        <v>#DIV/0!</v>
      </c>
      <c r="WLN181" s="371">
        <v>15.38</v>
      </c>
      <c r="WLO181" s="371" t="e">
        <f>WLL181*WLM181*WLN181</f>
        <v>#DIV/0!</v>
      </c>
      <c r="WLP181" s="367" t="s">
        <v>206</v>
      </c>
      <c r="WLQ181" s="367"/>
      <c r="WLR181" s="367"/>
      <c r="WLS181" s="368" t="s">
        <v>168</v>
      </c>
      <c r="WLT181" s="369">
        <v>0.5</v>
      </c>
      <c r="WLU181" s="370" t="e">
        <f>10/WLQ179</f>
        <v>#DIV/0!</v>
      </c>
      <c r="WLV181" s="371">
        <v>15.38</v>
      </c>
      <c r="WLW181" s="371" t="e">
        <f>WLT181*WLU181*WLV181</f>
        <v>#DIV/0!</v>
      </c>
      <c r="WLX181" s="367" t="s">
        <v>206</v>
      </c>
      <c r="WLY181" s="367"/>
      <c r="WLZ181" s="367"/>
      <c r="WMA181" s="368" t="s">
        <v>168</v>
      </c>
      <c r="WMB181" s="369">
        <v>0.5</v>
      </c>
      <c r="WMC181" s="370" t="e">
        <f>10/WLY179</f>
        <v>#DIV/0!</v>
      </c>
      <c r="WMD181" s="371">
        <v>15.38</v>
      </c>
      <c r="WME181" s="371" t="e">
        <f>WMB181*WMC181*WMD181</f>
        <v>#DIV/0!</v>
      </c>
      <c r="WMF181" s="367" t="s">
        <v>206</v>
      </c>
      <c r="WMG181" s="367"/>
      <c r="WMH181" s="367"/>
      <c r="WMI181" s="368" t="s">
        <v>168</v>
      </c>
      <c r="WMJ181" s="369">
        <v>0.5</v>
      </c>
      <c r="WMK181" s="370" t="e">
        <f>10/WMG179</f>
        <v>#DIV/0!</v>
      </c>
      <c r="WML181" s="371">
        <v>15.38</v>
      </c>
      <c r="WMM181" s="371" t="e">
        <f>WMJ181*WMK181*WML181</f>
        <v>#DIV/0!</v>
      </c>
      <c r="WMN181" s="367" t="s">
        <v>206</v>
      </c>
      <c r="WMO181" s="367"/>
      <c r="WMP181" s="367"/>
      <c r="WMQ181" s="368" t="s">
        <v>168</v>
      </c>
      <c r="WMR181" s="369">
        <v>0.5</v>
      </c>
      <c r="WMS181" s="370" t="e">
        <f>10/WMO179</f>
        <v>#DIV/0!</v>
      </c>
      <c r="WMT181" s="371">
        <v>15.38</v>
      </c>
      <c r="WMU181" s="371" t="e">
        <f>WMR181*WMS181*WMT181</f>
        <v>#DIV/0!</v>
      </c>
      <c r="WMV181" s="367" t="s">
        <v>206</v>
      </c>
      <c r="WMW181" s="367"/>
      <c r="WMX181" s="367"/>
      <c r="WMY181" s="368" t="s">
        <v>168</v>
      </c>
      <c r="WMZ181" s="369">
        <v>0.5</v>
      </c>
      <c r="WNA181" s="370" t="e">
        <f>10/WMW179</f>
        <v>#DIV/0!</v>
      </c>
      <c r="WNB181" s="371">
        <v>15.38</v>
      </c>
      <c r="WNC181" s="371" t="e">
        <f>WMZ181*WNA181*WNB181</f>
        <v>#DIV/0!</v>
      </c>
      <c r="WND181" s="367" t="s">
        <v>206</v>
      </c>
      <c r="WNE181" s="367"/>
      <c r="WNF181" s="367"/>
      <c r="WNG181" s="368" t="s">
        <v>168</v>
      </c>
      <c r="WNH181" s="369">
        <v>0.5</v>
      </c>
      <c r="WNI181" s="370" t="e">
        <f>10/WNE179</f>
        <v>#DIV/0!</v>
      </c>
      <c r="WNJ181" s="371">
        <v>15.38</v>
      </c>
      <c r="WNK181" s="371" t="e">
        <f>WNH181*WNI181*WNJ181</f>
        <v>#DIV/0!</v>
      </c>
      <c r="WNL181" s="367" t="s">
        <v>206</v>
      </c>
      <c r="WNM181" s="367"/>
      <c r="WNN181" s="367"/>
      <c r="WNO181" s="368" t="s">
        <v>168</v>
      </c>
      <c r="WNP181" s="369">
        <v>0.5</v>
      </c>
      <c r="WNQ181" s="370" t="e">
        <f>10/WNM179</f>
        <v>#DIV/0!</v>
      </c>
      <c r="WNR181" s="371">
        <v>15.38</v>
      </c>
      <c r="WNS181" s="371" t="e">
        <f>WNP181*WNQ181*WNR181</f>
        <v>#DIV/0!</v>
      </c>
      <c r="WNT181" s="367" t="s">
        <v>206</v>
      </c>
      <c r="WNU181" s="367"/>
      <c r="WNV181" s="367"/>
      <c r="WNW181" s="368" t="s">
        <v>168</v>
      </c>
      <c r="WNX181" s="369">
        <v>0.5</v>
      </c>
      <c r="WNY181" s="370" t="e">
        <f>10/WNU179</f>
        <v>#DIV/0!</v>
      </c>
      <c r="WNZ181" s="371">
        <v>15.38</v>
      </c>
      <c r="WOA181" s="371" t="e">
        <f>WNX181*WNY181*WNZ181</f>
        <v>#DIV/0!</v>
      </c>
      <c r="WOB181" s="367" t="s">
        <v>206</v>
      </c>
      <c r="WOC181" s="367"/>
      <c r="WOD181" s="367"/>
      <c r="WOE181" s="368" t="s">
        <v>168</v>
      </c>
      <c r="WOF181" s="369">
        <v>0.5</v>
      </c>
      <c r="WOG181" s="370" t="e">
        <f>10/WOC179</f>
        <v>#DIV/0!</v>
      </c>
      <c r="WOH181" s="371">
        <v>15.38</v>
      </c>
      <c r="WOI181" s="371" t="e">
        <f>WOF181*WOG181*WOH181</f>
        <v>#DIV/0!</v>
      </c>
      <c r="WOJ181" s="367" t="s">
        <v>206</v>
      </c>
      <c r="WOK181" s="367"/>
      <c r="WOL181" s="367"/>
      <c r="WOM181" s="368" t="s">
        <v>168</v>
      </c>
      <c r="WON181" s="369">
        <v>0.5</v>
      </c>
      <c r="WOO181" s="370" t="e">
        <f>10/WOK179</f>
        <v>#DIV/0!</v>
      </c>
      <c r="WOP181" s="371">
        <v>15.38</v>
      </c>
      <c r="WOQ181" s="371" t="e">
        <f>WON181*WOO181*WOP181</f>
        <v>#DIV/0!</v>
      </c>
      <c r="WOR181" s="367" t="s">
        <v>206</v>
      </c>
      <c r="WOS181" s="367"/>
      <c r="WOT181" s="367"/>
      <c r="WOU181" s="368" t="s">
        <v>168</v>
      </c>
      <c r="WOV181" s="369">
        <v>0.5</v>
      </c>
      <c r="WOW181" s="370" t="e">
        <f>10/WOS179</f>
        <v>#DIV/0!</v>
      </c>
      <c r="WOX181" s="371">
        <v>15.38</v>
      </c>
      <c r="WOY181" s="371" t="e">
        <f>WOV181*WOW181*WOX181</f>
        <v>#DIV/0!</v>
      </c>
      <c r="WOZ181" s="367" t="s">
        <v>206</v>
      </c>
      <c r="WPA181" s="367"/>
      <c r="WPB181" s="367"/>
      <c r="WPC181" s="368" t="s">
        <v>168</v>
      </c>
      <c r="WPD181" s="369">
        <v>0.5</v>
      </c>
      <c r="WPE181" s="370" t="e">
        <f>10/WPA179</f>
        <v>#DIV/0!</v>
      </c>
      <c r="WPF181" s="371">
        <v>15.38</v>
      </c>
      <c r="WPG181" s="371" t="e">
        <f>WPD181*WPE181*WPF181</f>
        <v>#DIV/0!</v>
      </c>
      <c r="WPH181" s="367" t="s">
        <v>206</v>
      </c>
      <c r="WPI181" s="367"/>
      <c r="WPJ181" s="367"/>
      <c r="WPK181" s="368" t="s">
        <v>168</v>
      </c>
      <c r="WPL181" s="369">
        <v>0.5</v>
      </c>
      <c r="WPM181" s="370" t="e">
        <f>10/WPI179</f>
        <v>#DIV/0!</v>
      </c>
      <c r="WPN181" s="371">
        <v>15.38</v>
      </c>
      <c r="WPO181" s="371" t="e">
        <f>WPL181*WPM181*WPN181</f>
        <v>#DIV/0!</v>
      </c>
      <c r="WPP181" s="367" t="s">
        <v>206</v>
      </c>
      <c r="WPQ181" s="367"/>
      <c r="WPR181" s="367"/>
      <c r="WPS181" s="368" t="s">
        <v>168</v>
      </c>
      <c r="WPT181" s="369">
        <v>0.5</v>
      </c>
      <c r="WPU181" s="370" t="e">
        <f>10/WPQ179</f>
        <v>#DIV/0!</v>
      </c>
      <c r="WPV181" s="371">
        <v>15.38</v>
      </c>
      <c r="WPW181" s="371" t="e">
        <f>WPT181*WPU181*WPV181</f>
        <v>#DIV/0!</v>
      </c>
      <c r="WPX181" s="367" t="s">
        <v>206</v>
      </c>
      <c r="WPY181" s="367"/>
      <c r="WPZ181" s="367"/>
      <c r="WQA181" s="368" t="s">
        <v>168</v>
      </c>
      <c r="WQB181" s="369">
        <v>0.5</v>
      </c>
      <c r="WQC181" s="370" t="e">
        <f>10/WPY179</f>
        <v>#DIV/0!</v>
      </c>
      <c r="WQD181" s="371">
        <v>15.38</v>
      </c>
      <c r="WQE181" s="371" t="e">
        <f>WQB181*WQC181*WQD181</f>
        <v>#DIV/0!</v>
      </c>
      <c r="WQF181" s="367" t="s">
        <v>206</v>
      </c>
      <c r="WQG181" s="367"/>
      <c r="WQH181" s="367"/>
      <c r="WQI181" s="368" t="s">
        <v>168</v>
      </c>
      <c r="WQJ181" s="369">
        <v>0.5</v>
      </c>
      <c r="WQK181" s="370" t="e">
        <f>10/WQG179</f>
        <v>#DIV/0!</v>
      </c>
      <c r="WQL181" s="371">
        <v>15.38</v>
      </c>
      <c r="WQM181" s="371" t="e">
        <f>WQJ181*WQK181*WQL181</f>
        <v>#DIV/0!</v>
      </c>
      <c r="WQN181" s="367" t="s">
        <v>206</v>
      </c>
      <c r="WQO181" s="367"/>
      <c r="WQP181" s="367"/>
      <c r="WQQ181" s="368" t="s">
        <v>168</v>
      </c>
      <c r="WQR181" s="369">
        <v>0.5</v>
      </c>
      <c r="WQS181" s="370" t="e">
        <f>10/WQO179</f>
        <v>#DIV/0!</v>
      </c>
      <c r="WQT181" s="371">
        <v>15.38</v>
      </c>
      <c r="WQU181" s="371" t="e">
        <f>WQR181*WQS181*WQT181</f>
        <v>#DIV/0!</v>
      </c>
      <c r="WQV181" s="367" t="s">
        <v>206</v>
      </c>
      <c r="WQW181" s="367"/>
      <c r="WQX181" s="367"/>
      <c r="WQY181" s="368" t="s">
        <v>168</v>
      </c>
      <c r="WQZ181" s="369">
        <v>0.5</v>
      </c>
      <c r="WRA181" s="370" t="e">
        <f>10/WQW179</f>
        <v>#DIV/0!</v>
      </c>
      <c r="WRB181" s="371">
        <v>15.38</v>
      </c>
      <c r="WRC181" s="371" t="e">
        <f>WQZ181*WRA181*WRB181</f>
        <v>#DIV/0!</v>
      </c>
      <c r="WRD181" s="367" t="s">
        <v>206</v>
      </c>
      <c r="WRE181" s="367"/>
      <c r="WRF181" s="367"/>
      <c r="WRG181" s="368" t="s">
        <v>168</v>
      </c>
      <c r="WRH181" s="369">
        <v>0.5</v>
      </c>
      <c r="WRI181" s="370" t="e">
        <f>10/WRE179</f>
        <v>#DIV/0!</v>
      </c>
      <c r="WRJ181" s="371">
        <v>15.38</v>
      </c>
      <c r="WRK181" s="371" t="e">
        <f>WRH181*WRI181*WRJ181</f>
        <v>#DIV/0!</v>
      </c>
      <c r="WRL181" s="367" t="s">
        <v>206</v>
      </c>
      <c r="WRM181" s="367"/>
      <c r="WRN181" s="367"/>
      <c r="WRO181" s="368" t="s">
        <v>168</v>
      </c>
      <c r="WRP181" s="369">
        <v>0.5</v>
      </c>
      <c r="WRQ181" s="370" t="e">
        <f>10/WRM179</f>
        <v>#DIV/0!</v>
      </c>
      <c r="WRR181" s="371">
        <v>15.38</v>
      </c>
      <c r="WRS181" s="371" t="e">
        <f>WRP181*WRQ181*WRR181</f>
        <v>#DIV/0!</v>
      </c>
      <c r="WRT181" s="367" t="s">
        <v>206</v>
      </c>
      <c r="WRU181" s="367"/>
      <c r="WRV181" s="367"/>
      <c r="WRW181" s="368" t="s">
        <v>168</v>
      </c>
      <c r="WRX181" s="369">
        <v>0.5</v>
      </c>
      <c r="WRY181" s="370" t="e">
        <f>10/WRU179</f>
        <v>#DIV/0!</v>
      </c>
      <c r="WRZ181" s="371">
        <v>15.38</v>
      </c>
      <c r="WSA181" s="371" t="e">
        <f>WRX181*WRY181*WRZ181</f>
        <v>#DIV/0!</v>
      </c>
      <c r="WSB181" s="367" t="s">
        <v>206</v>
      </c>
      <c r="WSC181" s="367"/>
      <c r="WSD181" s="367"/>
      <c r="WSE181" s="368" t="s">
        <v>168</v>
      </c>
      <c r="WSF181" s="369">
        <v>0.5</v>
      </c>
      <c r="WSG181" s="370" t="e">
        <f>10/WSC179</f>
        <v>#DIV/0!</v>
      </c>
      <c r="WSH181" s="371">
        <v>15.38</v>
      </c>
      <c r="WSI181" s="371" t="e">
        <f>WSF181*WSG181*WSH181</f>
        <v>#DIV/0!</v>
      </c>
      <c r="WSJ181" s="367" t="s">
        <v>206</v>
      </c>
      <c r="WSK181" s="367"/>
      <c r="WSL181" s="367"/>
      <c r="WSM181" s="368" t="s">
        <v>168</v>
      </c>
      <c r="WSN181" s="369">
        <v>0.5</v>
      </c>
      <c r="WSO181" s="370" t="e">
        <f>10/WSK179</f>
        <v>#DIV/0!</v>
      </c>
      <c r="WSP181" s="371">
        <v>15.38</v>
      </c>
      <c r="WSQ181" s="371" t="e">
        <f>WSN181*WSO181*WSP181</f>
        <v>#DIV/0!</v>
      </c>
      <c r="WSR181" s="367" t="s">
        <v>206</v>
      </c>
      <c r="WSS181" s="367"/>
      <c r="WST181" s="367"/>
      <c r="WSU181" s="368" t="s">
        <v>168</v>
      </c>
      <c r="WSV181" s="369">
        <v>0.5</v>
      </c>
      <c r="WSW181" s="370" t="e">
        <f>10/WSS179</f>
        <v>#DIV/0!</v>
      </c>
      <c r="WSX181" s="371">
        <v>15.38</v>
      </c>
      <c r="WSY181" s="371" t="e">
        <f>WSV181*WSW181*WSX181</f>
        <v>#DIV/0!</v>
      </c>
      <c r="WSZ181" s="367" t="s">
        <v>206</v>
      </c>
      <c r="WTA181" s="367"/>
      <c r="WTB181" s="367"/>
      <c r="WTC181" s="368" t="s">
        <v>168</v>
      </c>
      <c r="WTD181" s="369">
        <v>0.5</v>
      </c>
      <c r="WTE181" s="370" t="e">
        <f>10/WTA179</f>
        <v>#DIV/0!</v>
      </c>
      <c r="WTF181" s="371">
        <v>15.38</v>
      </c>
      <c r="WTG181" s="371" t="e">
        <f>WTD181*WTE181*WTF181</f>
        <v>#DIV/0!</v>
      </c>
      <c r="WTH181" s="367" t="s">
        <v>206</v>
      </c>
      <c r="WTI181" s="367"/>
      <c r="WTJ181" s="367"/>
      <c r="WTK181" s="368" t="s">
        <v>168</v>
      </c>
      <c r="WTL181" s="369">
        <v>0.5</v>
      </c>
      <c r="WTM181" s="370" t="e">
        <f>10/WTI179</f>
        <v>#DIV/0!</v>
      </c>
      <c r="WTN181" s="371">
        <v>15.38</v>
      </c>
      <c r="WTO181" s="371" t="e">
        <f>WTL181*WTM181*WTN181</f>
        <v>#DIV/0!</v>
      </c>
      <c r="WTP181" s="367" t="s">
        <v>206</v>
      </c>
      <c r="WTQ181" s="367"/>
      <c r="WTR181" s="367"/>
      <c r="WTS181" s="368" t="s">
        <v>168</v>
      </c>
      <c r="WTT181" s="369">
        <v>0.5</v>
      </c>
      <c r="WTU181" s="370" t="e">
        <f>10/WTQ179</f>
        <v>#DIV/0!</v>
      </c>
      <c r="WTV181" s="371">
        <v>15.38</v>
      </c>
      <c r="WTW181" s="371" t="e">
        <f>WTT181*WTU181*WTV181</f>
        <v>#DIV/0!</v>
      </c>
      <c r="WTX181" s="367" t="s">
        <v>206</v>
      </c>
      <c r="WTY181" s="367"/>
      <c r="WTZ181" s="367"/>
      <c r="WUA181" s="368" t="s">
        <v>168</v>
      </c>
      <c r="WUB181" s="369">
        <v>0.5</v>
      </c>
      <c r="WUC181" s="370" t="e">
        <f>10/WTY179</f>
        <v>#DIV/0!</v>
      </c>
      <c r="WUD181" s="371">
        <v>15.38</v>
      </c>
      <c r="WUE181" s="371" t="e">
        <f>WUB181*WUC181*WUD181</f>
        <v>#DIV/0!</v>
      </c>
      <c r="WUF181" s="367" t="s">
        <v>206</v>
      </c>
      <c r="WUG181" s="367"/>
      <c r="WUH181" s="367"/>
      <c r="WUI181" s="368" t="s">
        <v>168</v>
      </c>
      <c r="WUJ181" s="369">
        <v>0.5</v>
      </c>
      <c r="WUK181" s="370" t="e">
        <f>10/WUG179</f>
        <v>#DIV/0!</v>
      </c>
      <c r="WUL181" s="371">
        <v>15.38</v>
      </c>
      <c r="WUM181" s="371" t="e">
        <f>WUJ181*WUK181*WUL181</f>
        <v>#DIV/0!</v>
      </c>
      <c r="WUN181" s="367" t="s">
        <v>206</v>
      </c>
      <c r="WUO181" s="367"/>
      <c r="WUP181" s="367"/>
      <c r="WUQ181" s="368" t="s">
        <v>168</v>
      </c>
      <c r="WUR181" s="369">
        <v>0.5</v>
      </c>
      <c r="WUS181" s="370" t="e">
        <f>10/WUO179</f>
        <v>#DIV/0!</v>
      </c>
      <c r="WUT181" s="371">
        <v>15.38</v>
      </c>
      <c r="WUU181" s="371" t="e">
        <f>WUR181*WUS181*WUT181</f>
        <v>#DIV/0!</v>
      </c>
      <c r="WUV181" s="367" t="s">
        <v>206</v>
      </c>
      <c r="WUW181" s="367"/>
      <c r="WUX181" s="367"/>
      <c r="WUY181" s="368" t="s">
        <v>168</v>
      </c>
      <c r="WUZ181" s="369">
        <v>0.5</v>
      </c>
      <c r="WVA181" s="370" t="e">
        <f>10/WUW179</f>
        <v>#DIV/0!</v>
      </c>
      <c r="WVB181" s="371">
        <v>15.38</v>
      </c>
      <c r="WVC181" s="371" t="e">
        <f>WUZ181*WVA181*WVB181</f>
        <v>#DIV/0!</v>
      </c>
      <c r="WVD181" s="367" t="s">
        <v>206</v>
      </c>
      <c r="WVE181" s="367"/>
      <c r="WVF181" s="367"/>
      <c r="WVG181" s="368" t="s">
        <v>168</v>
      </c>
      <c r="WVH181" s="369">
        <v>0.5</v>
      </c>
      <c r="WVI181" s="370" t="e">
        <f>10/WVE179</f>
        <v>#DIV/0!</v>
      </c>
      <c r="WVJ181" s="371">
        <v>15.38</v>
      </c>
      <c r="WVK181" s="371" t="e">
        <f>WVH181*WVI181*WVJ181</f>
        <v>#DIV/0!</v>
      </c>
      <c r="WVL181" s="367" t="s">
        <v>206</v>
      </c>
      <c r="WVM181" s="367"/>
      <c r="WVN181" s="367"/>
      <c r="WVO181" s="368" t="s">
        <v>168</v>
      </c>
      <c r="WVP181" s="369">
        <v>0.5</v>
      </c>
      <c r="WVQ181" s="370" t="e">
        <f>10/WVM179</f>
        <v>#DIV/0!</v>
      </c>
      <c r="WVR181" s="371">
        <v>15.38</v>
      </c>
      <c r="WVS181" s="371" t="e">
        <f>WVP181*WVQ181*WVR181</f>
        <v>#DIV/0!</v>
      </c>
      <c r="WVT181" s="367" t="s">
        <v>206</v>
      </c>
      <c r="WVU181" s="367"/>
      <c r="WVV181" s="367"/>
      <c r="WVW181" s="368" t="s">
        <v>168</v>
      </c>
      <c r="WVX181" s="369">
        <v>0.5</v>
      </c>
      <c r="WVY181" s="370" t="e">
        <f>10/WVU179</f>
        <v>#DIV/0!</v>
      </c>
      <c r="WVZ181" s="371">
        <v>15.38</v>
      </c>
      <c r="WWA181" s="371" t="e">
        <f>WVX181*WVY181*WVZ181</f>
        <v>#DIV/0!</v>
      </c>
      <c r="WWB181" s="367" t="s">
        <v>206</v>
      </c>
      <c r="WWC181" s="367"/>
      <c r="WWD181" s="367"/>
      <c r="WWE181" s="368" t="s">
        <v>168</v>
      </c>
      <c r="WWF181" s="369">
        <v>0.5</v>
      </c>
      <c r="WWG181" s="370" t="e">
        <f>10/WWC179</f>
        <v>#DIV/0!</v>
      </c>
      <c r="WWH181" s="371">
        <v>15.38</v>
      </c>
      <c r="WWI181" s="371" t="e">
        <f>WWF181*WWG181*WWH181</f>
        <v>#DIV/0!</v>
      </c>
      <c r="WWJ181" s="367" t="s">
        <v>206</v>
      </c>
      <c r="WWK181" s="367"/>
      <c r="WWL181" s="367"/>
      <c r="WWM181" s="368" t="s">
        <v>168</v>
      </c>
      <c r="WWN181" s="369">
        <v>0.5</v>
      </c>
      <c r="WWO181" s="370" t="e">
        <f>10/WWK179</f>
        <v>#DIV/0!</v>
      </c>
      <c r="WWP181" s="371">
        <v>15.38</v>
      </c>
      <c r="WWQ181" s="371" t="e">
        <f>WWN181*WWO181*WWP181</f>
        <v>#DIV/0!</v>
      </c>
      <c r="WWR181" s="367" t="s">
        <v>206</v>
      </c>
      <c r="WWS181" s="367"/>
      <c r="WWT181" s="367"/>
      <c r="WWU181" s="368" t="s">
        <v>168</v>
      </c>
      <c r="WWV181" s="369">
        <v>0.5</v>
      </c>
      <c r="WWW181" s="370" t="e">
        <f>10/WWS179</f>
        <v>#DIV/0!</v>
      </c>
      <c r="WWX181" s="371">
        <v>15.38</v>
      </c>
      <c r="WWY181" s="371" t="e">
        <f>WWV181*WWW181*WWX181</f>
        <v>#DIV/0!</v>
      </c>
      <c r="WWZ181" s="367" t="s">
        <v>206</v>
      </c>
      <c r="WXA181" s="367"/>
      <c r="WXB181" s="367"/>
      <c r="WXC181" s="368" t="s">
        <v>168</v>
      </c>
      <c r="WXD181" s="369">
        <v>0.5</v>
      </c>
      <c r="WXE181" s="370" t="e">
        <f>10/WXA179</f>
        <v>#DIV/0!</v>
      </c>
      <c r="WXF181" s="371">
        <v>15.38</v>
      </c>
      <c r="WXG181" s="371" t="e">
        <f>WXD181*WXE181*WXF181</f>
        <v>#DIV/0!</v>
      </c>
      <c r="WXH181" s="367" t="s">
        <v>206</v>
      </c>
      <c r="WXI181" s="367"/>
      <c r="WXJ181" s="367"/>
      <c r="WXK181" s="368" t="s">
        <v>168</v>
      </c>
      <c r="WXL181" s="369">
        <v>0.5</v>
      </c>
      <c r="WXM181" s="370" t="e">
        <f>10/WXI179</f>
        <v>#DIV/0!</v>
      </c>
      <c r="WXN181" s="371">
        <v>15.38</v>
      </c>
      <c r="WXO181" s="371" t="e">
        <f>WXL181*WXM181*WXN181</f>
        <v>#DIV/0!</v>
      </c>
      <c r="WXP181" s="367" t="s">
        <v>206</v>
      </c>
      <c r="WXQ181" s="367"/>
      <c r="WXR181" s="367"/>
      <c r="WXS181" s="368" t="s">
        <v>168</v>
      </c>
      <c r="WXT181" s="369">
        <v>0.5</v>
      </c>
      <c r="WXU181" s="370" t="e">
        <f>10/WXQ179</f>
        <v>#DIV/0!</v>
      </c>
      <c r="WXV181" s="371">
        <v>15.38</v>
      </c>
      <c r="WXW181" s="371" t="e">
        <f>WXT181*WXU181*WXV181</f>
        <v>#DIV/0!</v>
      </c>
      <c r="WXX181" s="367" t="s">
        <v>206</v>
      </c>
      <c r="WXY181" s="367"/>
      <c r="WXZ181" s="367"/>
      <c r="WYA181" s="368" t="s">
        <v>168</v>
      </c>
      <c r="WYB181" s="369">
        <v>0.5</v>
      </c>
      <c r="WYC181" s="370" t="e">
        <f>10/WXY179</f>
        <v>#DIV/0!</v>
      </c>
      <c r="WYD181" s="371">
        <v>15.38</v>
      </c>
      <c r="WYE181" s="371" t="e">
        <f>WYB181*WYC181*WYD181</f>
        <v>#DIV/0!</v>
      </c>
      <c r="WYF181" s="367" t="s">
        <v>206</v>
      </c>
      <c r="WYG181" s="367"/>
      <c r="WYH181" s="367"/>
      <c r="WYI181" s="368" t="s">
        <v>168</v>
      </c>
      <c r="WYJ181" s="369">
        <v>0.5</v>
      </c>
      <c r="WYK181" s="370" t="e">
        <f>10/WYG179</f>
        <v>#DIV/0!</v>
      </c>
      <c r="WYL181" s="371">
        <v>15.38</v>
      </c>
      <c r="WYM181" s="371" t="e">
        <f>WYJ181*WYK181*WYL181</f>
        <v>#DIV/0!</v>
      </c>
      <c r="WYN181" s="367" t="s">
        <v>206</v>
      </c>
      <c r="WYO181" s="367"/>
      <c r="WYP181" s="367"/>
      <c r="WYQ181" s="368" t="s">
        <v>168</v>
      </c>
      <c r="WYR181" s="369">
        <v>0.5</v>
      </c>
      <c r="WYS181" s="370" t="e">
        <f>10/WYO179</f>
        <v>#DIV/0!</v>
      </c>
      <c r="WYT181" s="371">
        <v>15.38</v>
      </c>
      <c r="WYU181" s="371" t="e">
        <f>WYR181*WYS181*WYT181</f>
        <v>#DIV/0!</v>
      </c>
      <c r="WYV181" s="367" t="s">
        <v>206</v>
      </c>
      <c r="WYW181" s="367"/>
      <c r="WYX181" s="367"/>
      <c r="WYY181" s="368" t="s">
        <v>168</v>
      </c>
      <c r="WYZ181" s="369">
        <v>0.5</v>
      </c>
      <c r="WZA181" s="370" t="e">
        <f>10/WYW179</f>
        <v>#DIV/0!</v>
      </c>
      <c r="WZB181" s="371">
        <v>15.38</v>
      </c>
      <c r="WZC181" s="371" t="e">
        <f>WYZ181*WZA181*WZB181</f>
        <v>#DIV/0!</v>
      </c>
      <c r="WZD181" s="367" t="s">
        <v>206</v>
      </c>
      <c r="WZE181" s="367"/>
      <c r="WZF181" s="367"/>
      <c r="WZG181" s="368" t="s">
        <v>168</v>
      </c>
      <c r="WZH181" s="369">
        <v>0.5</v>
      </c>
      <c r="WZI181" s="370" t="e">
        <f>10/WZE179</f>
        <v>#DIV/0!</v>
      </c>
      <c r="WZJ181" s="371">
        <v>15.38</v>
      </c>
      <c r="WZK181" s="371" t="e">
        <f>WZH181*WZI181*WZJ181</f>
        <v>#DIV/0!</v>
      </c>
      <c r="WZL181" s="367" t="s">
        <v>206</v>
      </c>
      <c r="WZM181" s="367"/>
      <c r="WZN181" s="367"/>
      <c r="WZO181" s="368" t="s">
        <v>168</v>
      </c>
      <c r="WZP181" s="369">
        <v>0.5</v>
      </c>
      <c r="WZQ181" s="370" t="e">
        <f>10/WZM179</f>
        <v>#DIV/0!</v>
      </c>
      <c r="WZR181" s="371">
        <v>15.38</v>
      </c>
      <c r="WZS181" s="371" t="e">
        <f>WZP181*WZQ181*WZR181</f>
        <v>#DIV/0!</v>
      </c>
      <c r="WZT181" s="367" t="s">
        <v>206</v>
      </c>
      <c r="WZU181" s="367"/>
      <c r="WZV181" s="367"/>
      <c r="WZW181" s="368" t="s">
        <v>168</v>
      </c>
      <c r="WZX181" s="369">
        <v>0.5</v>
      </c>
      <c r="WZY181" s="370" t="e">
        <f>10/WZU179</f>
        <v>#DIV/0!</v>
      </c>
      <c r="WZZ181" s="371">
        <v>15.38</v>
      </c>
      <c r="XAA181" s="371" t="e">
        <f>WZX181*WZY181*WZZ181</f>
        <v>#DIV/0!</v>
      </c>
      <c r="XAB181" s="367" t="s">
        <v>206</v>
      </c>
      <c r="XAC181" s="367"/>
      <c r="XAD181" s="367"/>
      <c r="XAE181" s="368" t="s">
        <v>168</v>
      </c>
      <c r="XAF181" s="369">
        <v>0.5</v>
      </c>
      <c r="XAG181" s="370" t="e">
        <f>10/XAC179</f>
        <v>#DIV/0!</v>
      </c>
      <c r="XAH181" s="371">
        <v>15.38</v>
      </c>
      <c r="XAI181" s="371" t="e">
        <f>XAF181*XAG181*XAH181</f>
        <v>#DIV/0!</v>
      </c>
      <c r="XAJ181" s="367" t="s">
        <v>206</v>
      </c>
      <c r="XAK181" s="367"/>
      <c r="XAL181" s="367"/>
      <c r="XAM181" s="368" t="s">
        <v>168</v>
      </c>
      <c r="XAN181" s="369">
        <v>0.5</v>
      </c>
      <c r="XAO181" s="370" t="e">
        <f>10/XAK179</f>
        <v>#DIV/0!</v>
      </c>
      <c r="XAP181" s="371">
        <v>15.38</v>
      </c>
      <c r="XAQ181" s="371" t="e">
        <f>XAN181*XAO181*XAP181</f>
        <v>#DIV/0!</v>
      </c>
      <c r="XAR181" s="367" t="s">
        <v>206</v>
      </c>
      <c r="XAS181" s="367"/>
      <c r="XAT181" s="367"/>
      <c r="XAU181" s="368" t="s">
        <v>168</v>
      </c>
      <c r="XAV181" s="369">
        <v>0.5</v>
      </c>
      <c r="XAW181" s="370" t="e">
        <f>10/XAS179</f>
        <v>#DIV/0!</v>
      </c>
      <c r="XAX181" s="371">
        <v>15.38</v>
      </c>
      <c r="XAY181" s="371" t="e">
        <f>XAV181*XAW181*XAX181</f>
        <v>#DIV/0!</v>
      </c>
      <c r="XAZ181" s="367" t="s">
        <v>206</v>
      </c>
      <c r="XBA181" s="367"/>
      <c r="XBB181" s="367"/>
      <c r="XBC181" s="368" t="s">
        <v>168</v>
      </c>
      <c r="XBD181" s="369">
        <v>0.5</v>
      </c>
      <c r="XBE181" s="370" t="e">
        <f>10/XBA179</f>
        <v>#DIV/0!</v>
      </c>
      <c r="XBF181" s="371">
        <v>15.38</v>
      </c>
      <c r="XBG181" s="371" t="e">
        <f>XBD181*XBE181*XBF181</f>
        <v>#DIV/0!</v>
      </c>
      <c r="XBH181" s="367" t="s">
        <v>206</v>
      </c>
      <c r="XBI181" s="367"/>
      <c r="XBJ181" s="367"/>
      <c r="XBK181" s="368" t="s">
        <v>168</v>
      </c>
      <c r="XBL181" s="369">
        <v>0.5</v>
      </c>
      <c r="XBM181" s="370" t="e">
        <f>10/XBI179</f>
        <v>#DIV/0!</v>
      </c>
      <c r="XBN181" s="371">
        <v>15.38</v>
      </c>
      <c r="XBO181" s="371" t="e">
        <f>XBL181*XBM181*XBN181</f>
        <v>#DIV/0!</v>
      </c>
      <c r="XBP181" s="367" t="s">
        <v>206</v>
      </c>
      <c r="XBQ181" s="367"/>
      <c r="XBR181" s="367"/>
      <c r="XBS181" s="368" t="s">
        <v>168</v>
      </c>
      <c r="XBT181" s="369">
        <v>0.5</v>
      </c>
      <c r="XBU181" s="370" t="e">
        <f>10/XBQ179</f>
        <v>#DIV/0!</v>
      </c>
      <c r="XBV181" s="371">
        <v>15.38</v>
      </c>
      <c r="XBW181" s="371" t="e">
        <f>XBT181*XBU181*XBV181</f>
        <v>#DIV/0!</v>
      </c>
    </row>
    <row r="182" spans="1:16299" x14ac:dyDescent="0.25">
      <c r="A182" s="367" t="s">
        <v>167</v>
      </c>
      <c r="D182" s="368" t="s">
        <v>168</v>
      </c>
      <c r="E182" s="369">
        <v>1</v>
      </c>
      <c r="F182" s="370">
        <f>10/B179</f>
        <v>2.5</v>
      </c>
      <c r="G182" s="371">
        <v>13.94</v>
      </c>
      <c r="H182" s="371">
        <f>E182*F182*G182</f>
        <v>34.85</v>
      </c>
    </row>
    <row r="183" spans="1:16299" x14ac:dyDescent="0.25">
      <c r="A183" s="367" t="s">
        <v>169</v>
      </c>
      <c r="D183" s="368" t="s">
        <v>168</v>
      </c>
      <c r="E183" s="369">
        <v>1</v>
      </c>
      <c r="F183" s="370">
        <f>10/B179</f>
        <v>2.5</v>
      </c>
      <c r="G183" s="320">
        <v>13</v>
      </c>
      <c r="H183" s="371">
        <f>E183*F183*G183</f>
        <v>32.5</v>
      </c>
    </row>
    <row r="184" spans="1:16299" ht="15" customHeight="1" x14ac:dyDescent="0.25">
      <c r="A184" s="299"/>
      <c r="B184" s="299"/>
      <c r="C184" s="299"/>
      <c r="D184" s="300"/>
      <c r="E184" s="330"/>
      <c r="F184" s="331"/>
      <c r="G184" s="301" t="s">
        <v>170</v>
      </c>
      <c r="H184" s="301">
        <f>SUM(H181:H183)</f>
        <v>86.575000000000003</v>
      </c>
    </row>
    <row r="186" spans="1:16299" x14ac:dyDescent="0.25">
      <c r="A186" s="367" t="s">
        <v>209</v>
      </c>
      <c r="D186" s="368" t="s">
        <v>210</v>
      </c>
      <c r="F186" s="370">
        <v>3</v>
      </c>
      <c r="G186" s="371">
        <f>H184</f>
        <v>86.575000000000003</v>
      </c>
      <c r="H186" s="371">
        <f>G186*F186/100</f>
        <v>2.5972500000000003</v>
      </c>
    </row>
    <row r="187" spans="1:16299" ht="15" customHeight="1" x14ac:dyDescent="0.25">
      <c r="A187" s="299"/>
      <c r="B187" s="299"/>
      <c r="C187" s="299"/>
      <c r="D187" s="300"/>
      <c r="E187" s="330"/>
      <c r="F187" s="331"/>
      <c r="G187" s="301" t="s">
        <v>173</v>
      </c>
      <c r="H187" s="301">
        <f>SUM(H186:H186)</f>
        <v>2.5972500000000003</v>
      </c>
    </row>
    <row r="190" spans="1:16299" ht="15" customHeight="1" x14ac:dyDescent="0.3">
      <c r="A190" s="295" t="s">
        <v>224</v>
      </c>
      <c r="B190" s="295"/>
      <c r="C190" s="295"/>
      <c r="D190" s="295"/>
      <c r="E190" s="295"/>
      <c r="F190" s="295"/>
      <c r="G190" s="295"/>
      <c r="H190" s="295"/>
    </row>
    <row r="191" spans="1:16299" ht="15" customHeight="1" x14ac:dyDescent="0.25">
      <c r="A191" s="285" t="s">
        <v>204</v>
      </c>
      <c r="B191" s="377">
        <v>4</v>
      </c>
      <c r="C191" s="285" t="s">
        <v>215</v>
      </c>
      <c r="D191" s="296"/>
      <c r="E191" s="327" t="s">
        <v>176</v>
      </c>
      <c r="F191" s="328"/>
      <c r="G191" s="297" t="s">
        <v>161</v>
      </c>
      <c r="H191" s="297">
        <f>H196+H199</f>
        <v>89.172250000000005</v>
      </c>
    </row>
    <row r="192" spans="1:16299" ht="15" customHeight="1" x14ac:dyDescent="0.25">
      <c r="A192" s="296" t="s">
        <v>162</v>
      </c>
      <c r="B192" s="296"/>
      <c r="C192" s="296"/>
      <c r="D192" s="296" t="s">
        <v>163</v>
      </c>
      <c r="E192" s="329" t="s">
        <v>164</v>
      </c>
      <c r="F192" s="329" t="s">
        <v>24</v>
      </c>
      <c r="G192" s="298" t="s">
        <v>165</v>
      </c>
      <c r="H192" s="298" t="s">
        <v>166</v>
      </c>
    </row>
    <row r="193" spans="1:16299" ht="15" customHeight="1" x14ac:dyDescent="0.25">
      <c r="A193" s="367" t="s">
        <v>206</v>
      </c>
      <c r="D193" s="368" t="s">
        <v>168</v>
      </c>
      <c r="E193" s="369">
        <v>0.5</v>
      </c>
      <c r="F193" s="370">
        <f>10/B191</f>
        <v>2.5</v>
      </c>
      <c r="G193" s="371">
        <v>15.38</v>
      </c>
      <c r="H193" s="371">
        <f>E193*F193*G193</f>
        <v>19.225000000000001</v>
      </c>
      <c r="I193" s="367"/>
      <c r="J193" s="371"/>
      <c r="K193" s="371"/>
      <c r="L193" s="367"/>
      <c r="M193" s="367"/>
      <c r="N193" s="367"/>
      <c r="O193" s="368"/>
      <c r="P193" s="369"/>
      <c r="Q193" s="370"/>
      <c r="R193" s="371"/>
      <c r="S193" s="371"/>
      <c r="T193" s="367"/>
      <c r="U193" s="367"/>
      <c r="V193" s="367"/>
      <c r="W193" s="368"/>
      <c r="X193" s="369"/>
      <c r="Y193" s="370"/>
      <c r="Z193" s="371"/>
      <c r="AA193" s="371">
        <f>X193*Y193*Z193</f>
        <v>0</v>
      </c>
      <c r="AB193" s="367" t="s">
        <v>206</v>
      </c>
      <c r="AC193" s="367"/>
      <c r="AD193" s="367"/>
      <c r="AE193" s="368" t="s">
        <v>168</v>
      </c>
      <c r="AF193" s="369">
        <v>0.5</v>
      </c>
      <c r="AG193" s="370" t="e">
        <f>10/AC191</f>
        <v>#DIV/0!</v>
      </c>
      <c r="AH193" s="371">
        <v>15.38</v>
      </c>
      <c r="AI193" s="371" t="e">
        <f>AF193*AG193*AH193</f>
        <v>#DIV/0!</v>
      </c>
      <c r="AJ193" s="367" t="s">
        <v>206</v>
      </c>
      <c r="AK193" s="367"/>
      <c r="AL193" s="367"/>
      <c r="AM193" s="368" t="s">
        <v>168</v>
      </c>
      <c r="AN193" s="369">
        <v>0.5</v>
      </c>
      <c r="AO193" s="370" t="e">
        <f>10/AK191</f>
        <v>#DIV/0!</v>
      </c>
      <c r="AP193" s="371">
        <v>15.38</v>
      </c>
      <c r="AQ193" s="371" t="e">
        <f>AN193*AO193*AP193</f>
        <v>#DIV/0!</v>
      </c>
      <c r="AR193" s="367" t="s">
        <v>206</v>
      </c>
      <c r="AS193" s="367"/>
      <c r="AT193" s="367"/>
      <c r="AU193" s="368" t="s">
        <v>168</v>
      </c>
      <c r="AV193" s="369">
        <v>0.5</v>
      </c>
      <c r="AW193" s="370" t="e">
        <f>10/AS191</f>
        <v>#DIV/0!</v>
      </c>
      <c r="AX193" s="371">
        <v>15.38</v>
      </c>
      <c r="AY193" s="371" t="e">
        <f>AV193*AW193*AX193</f>
        <v>#DIV/0!</v>
      </c>
      <c r="AZ193" s="367" t="s">
        <v>206</v>
      </c>
      <c r="BA193" s="367"/>
      <c r="BB193" s="367"/>
      <c r="BC193" s="368" t="s">
        <v>168</v>
      </c>
      <c r="BD193" s="369">
        <v>0.5</v>
      </c>
      <c r="BE193" s="370" t="e">
        <f>10/BA191</f>
        <v>#DIV/0!</v>
      </c>
      <c r="BF193" s="371">
        <v>15.38</v>
      </c>
      <c r="BG193" s="371" t="e">
        <f>BD193*BE193*BF193</f>
        <v>#DIV/0!</v>
      </c>
      <c r="BH193" s="367" t="s">
        <v>206</v>
      </c>
      <c r="BI193" s="367"/>
      <c r="BJ193" s="367"/>
      <c r="BK193" s="368" t="s">
        <v>168</v>
      </c>
      <c r="BL193" s="369">
        <v>0.5</v>
      </c>
      <c r="BM193" s="370" t="e">
        <f>10/BI191</f>
        <v>#DIV/0!</v>
      </c>
      <c r="BN193" s="371">
        <v>15.38</v>
      </c>
      <c r="BO193" s="371" t="e">
        <f>BL193*BM193*BN193</f>
        <v>#DIV/0!</v>
      </c>
      <c r="BP193" s="367" t="s">
        <v>206</v>
      </c>
      <c r="BQ193" s="367"/>
      <c r="BR193" s="367"/>
      <c r="BS193" s="368" t="s">
        <v>168</v>
      </c>
      <c r="BT193" s="369">
        <v>0.5</v>
      </c>
      <c r="BU193" s="370" t="e">
        <f>10/BQ191</f>
        <v>#DIV/0!</v>
      </c>
      <c r="BV193" s="371">
        <v>15.38</v>
      </c>
      <c r="BW193" s="371" t="e">
        <f>BT193*BU193*BV193</f>
        <v>#DIV/0!</v>
      </c>
      <c r="BX193" s="367" t="s">
        <v>206</v>
      </c>
      <c r="BY193" s="367"/>
      <c r="BZ193" s="367"/>
      <c r="CA193" s="368" t="s">
        <v>168</v>
      </c>
      <c r="CB193" s="369">
        <v>0.5</v>
      </c>
      <c r="CC193" s="370" t="e">
        <f>10/BY191</f>
        <v>#DIV/0!</v>
      </c>
      <c r="CD193" s="371">
        <v>15.38</v>
      </c>
      <c r="CE193" s="371" t="e">
        <f>CB193*CC193*CD193</f>
        <v>#DIV/0!</v>
      </c>
      <c r="CF193" s="367" t="s">
        <v>206</v>
      </c>
      <c r="CG193" s="367"/>
      <c r="CH193" s="367"/>
      <c r="CI193" s="368" t="s">
        <v>168</v>
      </c>
      <c r="CJ193" s="369">
        <v>0.5</v>
      </c>
      <c r="CK193" s="370" t="e">
        <f>10/CG191</f>
        <v>#DIV/0!</v>
      </c>
      <c r="CL193" s="371">
        <v>15.38</v>
      </c>
      <c r="CM193" s="371" t="e">
        <f>CJ193*CK193*CL193</f>
        <v>#DIV/0!</v>
      </c>
      <c r="CN193" s="367" t="s">
        <v>206</v>
      </c>
      <c r="CO193" s="367"/>
      <c r="CP193" s="367"/>
      <c r="CQ193" s="368" t="s">
        <v>168</v>
      </c>
      <c r="CR193" s="369">
        <v>0.5</v>
      </c>
      <c r="CS193" s="370" t="e">
        <f>10/CO191</f>
        <v>#DIV/0!</v>
      </c>
      <c r="CT193" s="371">
        <v>15.38</v>
      </c>
      <c r="CU193" s="371" t="e">
        <f>CR193*CS193*CT193</f>
        <v>#DIV/0!</v>
      </c>
      <c r="CV193" s="367" t="s">
        <v>206</v>
      </c>
      <c r="CW193" s="367"/>
      <c r="CX193" s="367"/>
      <c r="CY193" s="368" t="s">
        <v>168</v>
      </c>
      <c r="CZ193" s="369">
        <v>0.5</v>
      </c>
      <c r="DA193" s="370" t="e">
        <f>10/CW191</f>
        <v>#DIV/0!</v>
      </c>
      <c r="DB193" s="371">
        <v>15.38</v>
      </c>
      <c r="DC193" s="371" t="e">
        <f>CZ193*DA193*DB193</f>
        <v>#DIV/0!</v>
      </c>
      <c r="DD193" s="367" t="s">
        <v>206</v>
      </c>
      <c r="DE193" s="367"/>
      <c r="DF193" s="367"/>
      <c r="DG193" s="368" t="s">
        <v>168</v>
      </c>
      <c r="DH193" s="369">
        <v>0.5</v>
      </c>
      <c r="DI193" s="370" t="e">
        <f>10/DE191</f>
        <v>#DIV/0!</v>
      </c>
      <c r="DJ193" s="371">
        <v>15.38</v>
      </c>
      <c r="DK193" s="371" t="e">
        <f>DH193*DI193*DJ193</f>
        <v>#DIV/0!</v>
      </c>
      <c r="DL193" s="367" t="s">
        <v>206</v>
      </c>
      <c r="DM193" s="367"/>
      <c r="DN193" s="367"/>
      <c r="DO193" s="368" t="s">
        <v>168</v>
      </c>
      <c r="DP193" s="369">
        <v>0.5</v>
      </c>
      <c r="DQ193" s="370" t="e">
        <f>10/DM191</f>
        <v>#DIV/0!</v>
      </c>
      <c r="DR193" s="371">
        <v>15.38</v>
      </c>
      <c r="DS193" s="371" t="e">
        <f>DP193*DQ193*DR193</f>
        <v>#DIV/0!</v>
      </c>
      <c r="DT193" s="367" t="s">
        <v>206</v>
      </c>
      <c r="DU193" s="367"/>
      <c r="DV193" s="367"/>
      <c r="DW193" s="368" t="s">
        <v>168</v>
      </c>
      <c r="DX193" s="369">
        <v>0.5</v>
      </c>
      <c r="DY193" s="370" t="e">
        <f>10/DU191</f>
        <v>#DIV/0!</v>
      </c>
      <c r="DZ193" s="371">
        <v>15.38</v>
      </c>
      <c r="EA193" s="371" t="e">
        <f>DX193*DY193*DZ193</f>
        <v>#DIV/0!</v>
      </c>
      <c r="EB193" s="367" t="s">
        <v>206</v>
      </c>
      <c r="EC193" s="367"/>
      <c r="ED193" s="367"/>
      <c r="EE193" s="368" t="s">
        <v>168</v>
      </c>
      <c r="EF193" s="369">
        <v>0.5</v>
      </c>
      <c r="EG193" s="370" t="e">
        <f>10/EC191</f>
        <v>#DIV/0!</v>
      </c>
      <c r="EH193" s="371">
        <v>15.38</v>
      </c>
      <c r="EI193" s="371" t="e">
        <f>EF193*EG193*EH193</f>
        <v>#DIV/0!</v>
      </c>
      <c r="EJ193" s="367" t="s">
        <v>206</v>
      </c>
      <c r="EK193" s="367"/>
      <c r="EL193" s="367"/>
      <c r="EM193" s="368" t="s">
        <v>168</v>
      </c>
      <c r="EN193" s="369">
        <v>0.5</v>
      </c>
      <c r="EO193" s="370" t="e">
        <f>10/EK191</f>
        <v>#DIV/0!</v>
      </c>
      <c r="EP193" s="371">
        <v>15.38</v>
      </c>
      <c r="EQ193" s="371" t="e">
        <f>EN193*EO193*EP193</f>
        <v>#DIV/0!</v>
      </c>
      <c r="ER193" s="367" t="s">
        <v>206</v>
      </c>
      <c r="ES193" s="367"/>
      <c r="ET193" s="367"/>
      <c r="EU193" s="368" t="s">
        <v>168</v>
      </c>
      <c r="EV193" s="369">
        <v>0.5</v>
      </c>
      <c r="EW193" s="370" t="e">
        <f>10/ES191</f>
        <v>#DIV/0!</v>
      </c>
      <c r="EX193" s="371">
        <v>15.38</v>
      </c>
      <c r="EY193" s="371" t="e">
        <f>EV193*EW193*EX193</f>
        <v>#DIV/0!</v>
      </c>
      <c r="EZ193" s="367" t="s">
        <v>206</v>
      </c>
      <c r="FA193" s="367"/>
      <c r="FB193" s="367"/>
      <c r="FC193" s="368" t="s">
        <v>168</v>
      </c>
      <c r="FD193" s="369">
        <v>0.5</v>
      </c>
      <c r="FE193" s="370" t="e">
        <f>10/FA191</f>
        <v>#DIV/0!</v>
      </c>
      <c r="FF193" s="371">
        <v>15.38</v>
      </c>
      <c r="FG193" s="371" t="e">
        <f>FD193*FE193*FF193</f>
        <v>#DIV/0!</v>
      </c>
      <c r="FH193" s="367" t="s">
        <v>206</v>
      </c>
      <c r="FI193" s="367"/>
      <c r="FJ193" s="367"/>
      <c r="FK193" s="368" t="s">
        <v>168</v>
      </c>
      <c r="FL193" s="369">
        <v>0.5</v>
      </c>
      <c r="FM193" s="370" t="e">
        <f>10/FI191</f>
        <v>#DIV/0!</v>
      </c>
      <c r="FN193" s="371">
        <v>15.38</v>
      </c>
      <c r="FO193" s="371" t="e">
        <f>FL193*FM193*FN193</f>
        <v>#DIV/0!</v>
      </c>
      <c r="FP193" s="367" t="s">
        <v>206</v>
      </c>
      <c r="FQ193" s="367"/>
      <c r="FR193" s="367"/>
      <c r="FS193" s="368" t="s">
        <v>168</v>
      </c>
      <c r="FT193" s="369">
        <v>0.5</v>
      </c>
      <c r="FU193" s="370" t="e">
        <f>10/FQ191</f>
        <v>#DIV/0!</v>
      </c>
      <c r="FV193" s="371">
        <v>15.38</v>
      </c>
      <c r="FW193" s="371" t="e">
        <f>FT193*FU193*FV193</f>
        <v>#DIV/0!</v>
      </c>
      <c r="FX193" s="367" t="s">
        <v>206</v>
      </c>
      <c r="FY193" s="367"/>
      <c r="FZ193" s="367"/>
      <c r="GA193" s="368" t="s">
        <v>168</v>
      </c>
      <c r="GB193" s="369">
        <v>0.5</v>
      </c>
      <c r="GC193" s="370" t="e">
        <f>10/FY191</f>
        <v>#DIV/0!</v>
      </c>
      <c r="GD193" s="371">
        <v>15.38</v>
      </c>
      <c r="GE193" s="371" t="e">
        <f>GB193*GC193*GD193</f>
        <v>#DIV/0!</v>
      </c>
      <c r="GF193" s="367" t="s">
        <v>206</v>
      </c>
      <c r="GG193" s="367"/>
      <c r="GH193" s="367"/>
      <c r="GI193" s="368" t="s">
        <v>168</v>
      </c>
      <c r="GJ193" s="369">
        <v>0.5</v>
      </c>
      <c r="GK193" s="370" t="e">
        <f>10/GG191</f>
        <v>#DIV/0!</v>
      </c>
      <c r="GL193" s="371">
        <v>15.38</v>
      </c>
      <c r="GM193" s="371" t="e">
        <f>GJ193*GK193*GL193</f>
        <v>#DIV/0!</v>
      </c>
      <c r="GN193" s="367" t="s">
        <v>206</v>
      </c>
      <c r="GO193" s="367"/>
      <c r="GP193" s="367"/>
      <c r="GQ193" s="368" t="s">
        <v>168</v>
      </c>
      <c r="GR193" s="369">
        <v>0.5</v>
      </c>
      <c r="GS193" s="370" t="e">
        <f>10/GO191</f>
        <v>#DIV/0!</v>
      </c>
      <c r="GT193" s="371">
        <v>15.38</v>
      </c>
      <c r="GU193" s="371" t="e">
        <f>GR193*GS193*GT193</f>
        <v>#DIV/0!</v>
      </c>
      <c r="GV193" s="367" t="s">
        <v>206</v>
      </c>
      <c r="GW193" s="367"/>
      <c r="GX193" s="367"/>
      <c r="GY193" s="368" t="s">
        <v>168</v>
      </c>
      <c r="GZ193" s="369">
        <v>0.5</v>
      </c>
      <c r="HA193" s="370" t="e">
        <f>10/GW191</f>
        <v>#DIV/0!</v>
      </c>
      <c r="HB193" s="371">
        <v>15.38</v>
      </c>
      <c r="HC193" s="371" t="e">
        <f>GZ193*HA193*HB193</f>
        <v>#DIV/0!</v>
      </c>
      <c r="HD193" s="367" t="s">
        <v>206</v>
      </c>
      <c r="HE193" s="367"/>
      <c r="HF193" s="367"/>
      <c r="HG193" s="368" t="s">
        <v>168</v>
      </c>
      <c r="HH193" s="369">
        <v>0.5</v>
      </c>
      <c r="HI193" s="370" t="e">
        <f>10/HE191</f>
        <v>#DIV/0!</v>
      </c>
      <c r="HJ193" s="371">
        <v>15.38</v>
      </c>
      <c r="HK193" s="371" t="e">
        <f>HH193*HI193*HJ193</f>
        <v>#DIV/0!</v>
      </c>
      <c r="HL193" s="367" t="s">
        <v>206</v>
      </c>
      <c r="HM193" s="367"/>
      <c r="HN193" s="367"/>
      <c r="HO193" s="368" t="s">
        <v>168</v>
      </c>
      <c r="HP193" s="369">
        <v>0.5</v>
      </c>
      <c r="HQ193" s="370" t="e">
        <f>10/HM191</f>
        <v>#DIV/0!</v>
      </c>
      <c r="HR193" s="371">
        <v>15.38</v>
      </c>
      <c r="HS193" s="371" t="e">
        <f>HP193*HQ193*HR193</f>
        <v>#DIV/0!</v>
      </c>
      <c r="HT193" s="367" t="s">
        <v>206</v>
      </c>
      <c r="HU193" s="367"/>
      <c r="HV193" s="367"/>
      <c r="HW193" s="368" t="s">
        <v>168</v>
      </c>
      <c r="HX193" s="369">
        <v>0.5</v>
      </c>
      <c r="HY193" s="370" t="e">
        <f>10/HU191</f>
        <v>#DIV/0!</v>
      </c>
      <c r="HZ193" s="371">
        <v>15.38</v>
      </c>
      <c r="IA193" s="371" t="e">
        <f>HX193*HY193*HZ193</f>
        <v>#DIV/0!</v>
      </c>
      <c r="IB193" s="367" t="s">
        <v>206</v>
      </c>
      <c r="IC193" s="367"/>
      <c r="ID193" s="367"/>
      <c r="IE193" s="368" t="s">
        <v>168</v>
      </c>
      <c r="IF193" s="369">
        <v>0.5</v>
      </c>
      <c r="IG193" s="370" t="e">
        <f>10/IC191</f>
        <v>#DIV/0!</v>
      </c>
      <c r="IH193" s="371">
        <v>15.38</v>
      </c>
      <c r="II193" s="371" t="e">
        <f>IF193*IG193*IH193</f>
        <v>#DIV/0!</v>
      </c>
      <c r="IJ193" s="367" t="s">
        <v>206</v>
      </c>
      <c r="IK193" s="367"/>
      <c r="IL193" s="367"/>
      <c r="IM193" s="368" t="s">
        <v>168</v>
      </c>
      <c r="IN193" s="369">
        <v>0.5</v>
      </c>
      <c r="IO193" s="370" t="e">
        <f>10/IK191</f>
        <v>#DIV/0!</v>
      </c>
      <c r="IP193" s="371">
        <v>15.38</v>
      </c>
      <c r="IQ193" s="371" t="e">
        <f>IN193*IO193*IP193</f>
        <v>#DIV/0!</v>
      </c>
      <c r="IR193" s="367" t="s">
        <v>206</v>
      </c>
      <c r="IS193" s="367"/>
      <c r="IT193" s="367"/>
      <c r="IU193" s="368" t="s">
        <v>168</v>
      </c>
      <c r="IV193" s="369">
        <v>0.5</v>
      </c>
      <c r="IW193" s="370" t="e">
        <f>10/IS191</f>
        <v>#DIV/0!</v>
      </c>
      <c r="IX193" s="371">
        <v>15.38</v>
      </c>
      <c r="IY193" s="371" t="e">
        <f>IV193*IW193*IX193</f>
        <v>#DIV/0!</v>
      </c>
      <c r="IZ193" s="367" t="s">
        <v>206</v>
      </c>
      <c r="JA193" s="367"/>
      <c r="JB193" s="367"/>
      <c r="JC193" s="368" t="s">
        <v>168</v>
      </c>
      <c r="JD193" s="369">
        <v>0.5</v>
      </c>
      <c r="JE193" s="370" t="e">
        <f>10/JA191</f>
        <v>#DIV/0!</v>
      </c>
      <c r="JF193" s="371">
        <v>15.38</v>
      </c>
      <c r="JG193" s="371" t="e">
        <f>JD193*JE193*JF193</f>
        <v>#DIV/0!</v>
      </c>
      <c r="JH193" s="367" t="s">
        <v>206</v>
      </c>
      <c r="JI193" s="367"/>
      <c r="JJ193" s="367"/>
      <c r="JK193" s="368" t="s">
        <v>168</v>
      </c>
      <c r="JL193" s="369">
        <v>0.5</v>
      </c>
      <c r="JM193" s="370" t="e">
        <f>10/JI191</f>
        <v>#DIV/0!</v>
      </c>
      <c r="JN193" s="371">
        <v>15.38</v>
      </c>
      <c r="JO193" s="371" t="e">
        <f>JL193*JM193*JN193</f>
        <v>#DIV/0!</v>
      </c>
      <c r="JP193" s="367" t="s">
        <v>206</v>
      </c>
      <c r="JQ193" s="367"/>
      <c r="JR193" s="367"/>
      <c r="JS193" s="368" t="s">
        <v>168</v>
      </c>
      <c r="JT193" s="369">
        <v>0.5</v>
      </c>
      <c r="JU193" s="370" t="e">
        <f>10/JQ191</f>
        <v>#DIV/0!</v>
      </c>
      <c r="JV193" s="371">
        <v>15.38</v>
      </c>
      <c r="JW193" s="371" t="e">
        <f>JT193*JU193*JV193</f>
        <v>#DIV/0!</v>
      </c>
      <c r="JX193" s="367" t="s">
        <v>206</v>
      </c>
      <c r="JY193" s="367"/>
      <c r="JZ193" s="367"/>
      <c r="KA193" s="368" t="s">
        <v>168</v>
      </c>
      <c r="KB193" s="369">
        <v>0.5</v>
      </c>
      <c r="KC193" s="370" t="e">
        <f>10/JY191</f>
        <v>#DIV/0!</v>
      </c>
      <c r="KD193" s="371">
        <v>15.38</v>
      </c>
      <c r="KE193" s="371" t="e">
        <f>KB193*KC193*KD193</f>
        <v>#DIV/0!</v>
      </c>
      <c r="KF193" s="367" t="s">
        <v>206</v>
      </c>
      <c r="KG193" s="367"/>
      <c r="KH193" s="367"/>
      <c r="KI193" s="368" t="s">
        <v>168</v>
      </c>
      <c r="KJ193" s="369">
        <v>0.5</v>
      </c>
      <c r="KK193" s="370" t="e">
        <f>10/KG191</f>
        <v>#DIV/0!</v>
      </c>
      <c r="KL193" s="371">
        <v>15.38</v>
      </c>
      <c r="KM193" s="371" t="e">
        <f>KJ193*KK193*KL193</f>
        <v>#DIV/0!</v>
      </c>
      <c r="KN193" s="367" t="s">
        <v>206</v>
      </c>
      <c r="KO193" s="367"/>
      <c r="KP193" s="367"/>
      <c r="KQ193" s="368" t="s">
        <v>168</v>
      </c>
      <c r="KR193" s="369">
        <v>0.5</v>
      </c>
      <c r="KS193" s="370" t="e">
        <f>10/KO191</f>
        <v>#DIV/0!</v>
      </c>
      <c r="KT193" s="371">
        <v>15.38</v>
      </c>
      <c r="KU193" s="371" t="e">
        <f>KR193*KS193*KT193</f>
        <v>#DIV/0!</v>
      </c>
      <c r="KV193" s="367" t="s">
        <v>206</v>
      </c>
      <c r="KW193" s="367"/>
      <c r="KX193" s="367"/>
      <c r="KY193" s="368" t="s">
        <v>168</v>
      </c>
      <c r="KZ193" s="369">
        <v>0.5</v>
      </c>
      <c r="LA193" s="370" t="e">
        <f>10/KW191</f>
        <v>#DIV/0!</v>
      </c>
      <c r="LB193" s="371">
        <v>15.38</v>
      </c>
      <c r="LC193" s="371" t="e">
        <f>KZ193*LA193*LB193</f>
        <v>#DIV/0!</v>
      </c>
      <c r="LD193" s="367" t="s">
        <v>206</v>
      </c>
      <c r="LE193" s="367"/>
      <c r="LF193" s="367"/>
      <c r="LG193" s="368" t="s">
        <v>168</v>
      </c>
      <c r="LH193" s="369">
        <v>0.5</v>
      </c>
      <c r="LI193" s="370" t="e">
        <f>10/LE191</f>
        <v>#DIV/0!</v>
      </c>
      <c r="LJ193" s="371">
        <v>15.38</v>
      </c>
      <c r="LK193" s="371" t="e">
        <f>LH193*LI193*LJ193</f>
        <v>#DIV/0!</v>
      </c>
      <c r="LL193" s="367" t="s">
        <v>206</v>
      </c>
      <c r="LM193" s="367"/>
      <c r="LN193" s="367"/>
      <c r="LO193" s="368" t="s">
        <v>168</v>
      </c>
      <c r="LP193" s="369">
        <v>0.5</v>
      </c>
      <c r="LQ193" s="370" t="e">
        <f>10/LM191</f>
        <v>#DIV/0!</v>
      </c>
      <c r="LR193" s="371">
        <v>15.38</v>
      </c>
      <c r="LS193" s="371" t="e">
        <f>LP193*LQ193*LR193</f>
        <v>#DIV/0!</v>
      </c>
      <c r="LT193" s="367" t="s">
        <v>206</v>
      </c>
      <c r="LU193" s="367"/>
      <c r="LV193" s="367"/>
      <c r="LW193" s="368" t="s">
        <v>168</v>
      </c>
      <c r="LX193" s="369">
        <v>0.5</v>
      </c>
      <c r="LY193" s="370" t="e">
        <f>10/LU191</f>
        <v>#DIV/0!</v>
      </c>
      <c r="LZ193" s="371">
        <v>15.38</v>
      </c>
      <c r="MA193" s="371" t="e">
        <f>LX193*LY193*LZ193</f>
        <v>#DIV/0!</v>
      </c>
      <c r="MB193" s="367" t="s">
        <v>206</v>
      </c>
      <c r="MC193" s="367"/>
      <c r="MD193" s="367"/>
      <c r="ME193" s="368" t="s">
        <v>168</v>
      </c>
      <c r="MF193" s="369">
        <v>0.5</v>
      </c>
      <c r="MG193" s="370" t="e">
        <f>10/MC191</f>
        <v>#DIV/0!</v>
      </c>
      <c r="MH193" s="371">
        <v>15.38</v>
      </c>
      <c r="MI193" s="371" t="e">
        <f>MF193*MG193*MH193</f>
        <v>#DIV/0!</v>
      </c>
      <c r="MJ193" s="367" t="s">
        <v>206</v>
      </c>
      <c r="MK193" s="367"/>
      <c r="ML193" s="367"/>
      <c r="MM193" s="368" t="s">
        <v>168</v>
      </c>
      <c r="MN193" s="369">
        <v>0.5</v>
      </c>
      <c r="MO193" s="370" t="e">
        <f>10/MK191</f>
        <v>#DIV/0!</v>
      </c>
      <c r="MP193" s="371">
        <v>15.38</v>
      </c>
      <c r="MQ193" s="371" t="e">
        <f>MN193*MO193*MP193</f>
        <v>#DIV/0!</v>
      </c>
      <c r="MR193" s="367" t="s">
        <v>206</v>
      </c>
      <c r="MS193" s="367"/>
      <c r="MT193" s="367"/>
      <c r="MU193" s="368" t="s">
        <v>168</v>
      </c>
      <c r="MV193" s="369">
        <v>0.5</v>
      </c>
      <c r="MW193" s="370" t="e">
        <f>10/MS191</f>
        <v>#DIV/0!</v>
      </c>
      <c r="MX193" s="371">
        <v>15.38</v>
      </c>
      <c r="MY193" s="371" t="e">
        <f>MV193*MW193*MX193</f>
        <v>#DIV/0!</v>
      </c>
      <c r="MZ193" s="367" t="s">
        <v>206</v>
      </c>
      <c r="NA193" s="367"/>
      <c r="NB193" s="367"/>
      <c r="NC193" s="368" t="s">
        <v>168</v>
      </c>
      <c r="ND193" s="369">
        <v>0.5</v>
      </c>
      <c r="NE193" s="370" t="e">
        <f>10/NA191</f>
        <v>#DIV/0!</v>
      </c>
      <c r="NF193" s="371">
        <v>15.38</v>
      </c>
      <c r="NG193" s="371" t="e">
        <f>ND193*NE193*NF193</f>
        <v>#DIV/0!</v>
      </c>
      <c r="NH193" s="367" t="s">
        <v>206</v>
      </c>
      <c r="NI193" s="367"/>
      <c r="NJ193" s="367"/>
      <c r="NK193" s="368" t="s">
        <v>168</v>
      </c>
      <c r="NL193" s="369">
        <v>0.5</v>
      </c>
      <c r="NM193" s="370" t="e">
        <f>10/NI191</f>
        <v>#DIV/0!</v>
      </c>
      <c r="NN193" s="371">
        <v>15.38</v>
      </c>
      <c r="NO193" s="371" t="e">
        <f>NL193*NM193*NN193</f>
        <v>#DIV/0!</v>
      </c>
      <c r="NP193" s="367" t="s">
        <v>206</v>
      </c>
      <c r="NQ193" s="367"/>
      <c r="NR193" s="367"/>
      <c r="NS193" s="368" t="s">
        <v>168</v>
      </c>
      <c r="NT193" s="369">
        <v>0.5</v>
      </c>
      <c r="NU193" s="370" t="e">
        <f>10/NQ191</f>
        <v>#DIV/0!</v>
      </c>
      <c r="NV193" s="371">
        <v>15.38</v>
      </c>
      <c r="NW193" s="371" t="e">
        <f>NT193*NU193*NV193</f>
        <v>#DIV/0!</v>
      </c>
      <c r="NX193" s="367" t="s">
        <v>206</v>
      </c>
      <c r="NY193" s="367"/>
      <c r="NZ193" s="367"/>
      <c r="OA193" s="368" t="s">
        <v>168</v>
      </c>
      <c r="OB193" s="369">
        <v>0.5</v>
      </c>
      <c r="OC193" s="370" t="e">
        <f>10/NY191</f>
        <v>#DIV/0!</v>
      </c>
      <c r="OD193" s="371">
        <v>15.38</v>
      </c>
      <c r="OE193" s="371" t="e">
        <f>OB193*OC193*OD193</f>
        <v>#DIV/0!</v>
      </c>
      <c r="OF193" s="367" t="s">
        <v>206</v>
      </c>
      <c r="OG193" s="367"/>
      <c r="OH193" s="367"/>
      <c r="OI193" s="368" t="s">
        <v>168</v>
      </c>
      <c r="OJ193" s="369">
        <v>0.5</v>
      </c>
      <c r="OK193" s="370" t="e">
        <f>10/OG191</f>
        <v>#DIV/0!</v>
      </c>
      <c r="OL193" s="371">
        <v>15.38</v>
      </c>
      <c r="OM193" s="371" t="e">
        <f>OJ193*OK193*OL193</f>
        <v>#DIV/0!</v>
      </c>
      <c r="ON193" s="367" t="s">
        <v>206</v>
      </c>
      <c r="OO193" s="367"/>
      <c r="OP193" s="367"/>
      <c r="OQ193" s="368" t="s">
        <v>168</v>
      </c>
      <c r="OR193" s="369">
        <v>0.5</v>
      </c>
      <c r="OS193" s="370" t="e">
        <f>10/OO191</f>
        <v>#DIV/0!</v>
      </c>
      <c r="OT193" s="371">
        <v>15.38</v>
      </c>
      <c r="OU193" s="371" t="e">
        <f>OR193*OS193*OT193</f>
        <v>#DIV/0!</v>
      </c>
      <c r="OV193" s="367" t="s">
        <v>206</v>
      </c>
      <c r="OW193" s="367"/>
      <c r="OX193" s="367"/>
      <c r="OY193" s="368" t="s">
        <v>168</v>
      </c>
      <c r="OZ193" s="369">
        <v>0.5</v>
      </c>
      <c r="PA193" s="370" t="e">
        <f>10/OW191</f>
        <v>#DIV/0!</v>
      </c>
      <c r="PB193" s="371">
        <v>15.38</v>
      </c>
      <c r="PC193" s="371" t="e">
        <f>OZ193*PA193*PB193</f>
        <v>#DIV/0!</v>
      </c>
      <c r="PD193" s="367" t="s">
        <v>206</v>
      </c>
      <c r="PE193" s="367"/>
      <c r="PF193" s="367"/>
      <c r="PG193" s="368" t="s">
        <v>168</v>
      </c>
      <c r="PH193" s="369">
        <v>0.5</v>
      </c>
      <c r="PI193" s="370" t="e">
        <f>10/PE191</f>
        <v>#DIV/0!</v>
      </c>
      <c r="PJ193" s="371">
        <v>15.38</v>
      </c>
      <c r="PK193" s="371" t="e">
        <f>PH193*PI193*PJ193</f>
        <v>#DIV/0!</v>
      </c>
      <c r="PL193" s="367" t="s">
        <v>206</v>
      </c>
      <c r="PM193" s="367"/>
      <c r="PN193" s="367"/>
      <c r="PO193" s="368" t="s">
        <v>168</v>
      </c>
      <c r="PP193" s="369">
        <v>0.5</v>
      </c>
      <c r="PQ193" s="370" t="e">
        <f>10/PM191</f>
        <v>#DIV/0!</v>
      </c>
      <c r="PR193" s="371">
        <v>15.38</v>
      </c>
      <c r="PS193" s="371" t="e">
        <f>PP193*PQ193*PR193</f>
        <v>#DIV/0!</v>
      </c>
      <c r="PT193" s="367" t="s">
        <v>206</v>
      </c>
      <c r="PU193" s="367"/>
      <c r="PV193" s="367"/>
      <c r="PW193" s="368" t="s">
        <v>168</v>
      </c>
      <c r="PX193" s="369">
        <v>0.5</v>
      </c>
      <c r="PY193" s="370" t="e">
        <f>10/PU191</f>
        <v>#DIV/0!</v>
      </c>
      <c r="PZ193" s="371">
        <v>15.38</v>
      </c>
      <c r="QA193" s="371" t="e">
        <f>PX193*PY193*PZ193</f>
        <v>#DIV/0!</v>
      </c>
      <c r="QB193" s="367" t="s">
        <v>206</v>
      </c>
      <c r="QC193" s="367"/>
      <c r="QD193" s="367"/>
      <c r="QE193" s="368" t="s">
        <v>168</v>
      </c>
      <c r="QF193" s="369">
        <v>0.5</v>
      </c>
      <c r="QG193" s="370" t="e">
        <f>10/QC191</f>
        <v>#DIV/0!</v>
      </c>
      <c r="QH193" s="371">
        <v>15.38</v>
      </c>
      <c r="QI193" s="371" t="e">
        <f>QF193*QG193*QH193</f>
        <v>#DIV/0!</v>
      </c>
      <c r="QJ193" s="367" t="s">
        <v>206</v>
      </c>
      <c r="QK193" s="367"/>
      <c r="QL193" s="367"/>
      <c r="QM193" s="368" t="s">
        <v>168</v>
      </c>
      <c r="QN193" s="369">
        <v>0.5</v>
      </c>
      <c r="QO193" s="370" t="e">
        <f>10/QK191</f>
        <v>#DIV/0!</v>
      </c>
      <c r="QP193" s="371">
        <v>15.38</v>
      </c>
      <c r="QQ193" s="371" t="e">
        <f>QN193*QO193*QP193</f>
        <v>#DIV/0!</v>
      </c>
      <c r="QR193" s="367" t="s">
        <v>206</v>
      </c>
      <c r="QS193" s="367"/>
      <c r="QT193" s="367"/>
      <c r="QU193" s="368" t="s">
        <v>168</v>
      </c>
      <c r="QV193" s="369">
        <v>0.5</v>
      </c>
      <c r="QW193" s="370" t="e">
        <f>10/QS191</f>
        <v>#DIV/0!</v>
      </c>
      <c r="QX193" s="371">
        <v>15.38</v>
      </c>
      <c r="QY193" s="371" t="e">
        <f>QV193*QW193*QX193</f>
        <v>#DIV/0!</v>
      </c>
      <c r="QZ193" s="367" t="s">
        <v>206</v>
      </c>
      <c r="RA193" s="367"/>
      <c r="RB193" s="367"/>
      <c r="RC193" s="368" t="s">
        <v>168</v>
      </c>
      <c r="RD193" s="369">
        <v>0.5</v>
      </c>
      <c r="RE193" s="370" t="e">
        <f>10/RA191</f>
        <v>#DIV/0!</v>
      </c>
      <c r="RF193" s="371">
        <v>15.38</v>
      </c>
      <c r="RG193" s="371" t="e">
        <f>RD193*RE193*RF193</f>
        <v>#DIV/0!</v>
      </c>
      <c r="RH193" s="367" t="s">
        <v>206</v>
      </c>
      <c r="RI193" s="367"/>
      <c r="RJ193" s="367"/>
      <c r="RK193" s="368" t="s">
        <v>168</v>
      </c>
      <c r="RL193" s="369">
        <v>0.5</v>
      </c>
      <c r="RM193" s="370" t="e">
        <f>10/RI191</f>
        <v>#DIV/0!</v>
      </c>
      <c r="RN193" s="371">
        <v>15.38</v>
      </c>
      <c r="RO193" s="371" t="e">
        <f>RL193*RM193*RN193</f>
        <v>#DIV/0!</v>
      </c>
      <c r="RP193" s="367" t="s">
        <v>206</v>
      </c>
      <c r="RQ193" s="367"/>
      <c r="RR193" s="367"/>
      <c r="RS193" s="368" t="s">
        <v>168</v>
      </c>
      <c r="RT193" s="369">
        <v>0.5</v>
      </c>
      <c r="RU193" s="370" t="e">
        <f>10/RQ191</f>
        <v>#DIV/0!</v>
      </c>
      <c r="RV193" s="371">
        <v>15.38</v>
      </c>
      <c r="RW193" s="371" t="e">
        <f>RT193*RU193*RV193</f>
        <v>#DIV/0!</v>
      </c>
      <c r="RX193" s="367" t="s">
        <v>206</v>
      </c>
      <c r="RY193" s="367"/>
      <c r="RZ193" s="367"/>
      <c r="SA193" s="368" t="s">
        <v>168</v>
      </c>
      <c r="SB193" s="369">
        <v>0.5</v>
      </c>
      <c r="SC193" s="370" t="e">
        <f>10/RY191</f>
        <v>#DIV/0!</v>
      </c>
      <c r="SD193" s="371">
        <v>15.38</v>
      </c>
      <c r="SE193" s="371" t="e">
        <f>SB193*SC193*SD193</f>
        <v>#DIV/0!</v>
      </c>
      <c r="SF193" s="367" t="s">
        <v>206</v>
      </c>
      <c r="SG193" s="367"/>
      <c r="SH193" s="367"/>
      <c r="SI193" s="368" t="s">
        <v>168</v>
      </c>
      <c r="SJ193" s="369">
        <v>0.5</v>
      </c>
      <c r="SK193" s="370" t="e">
        <f>10/SG191</f>
        <v>#DIV/0!</v>
      </c>
      <c r="SL193" s="371">
        <v>15.38</v>
      </c>
      <c r="SM193" s="371" t="e">
        <f>SJ193*SK193*SL193</f>
        <v>#DIV/0!</v>
      </c>
      <c r="SN193" s="367" t="s">
        <v>206</v>
      </c>
      <c r="SO193" s="367"/>
      <c r="SP193" s="367"/>
      <c r="SQ193" s="368" t="s">
        <v>168</v>
      </c>
      <c r="SR193" s="369">
        <v>0.5</v>
      </c>
      <c r="SS193" s="370" t="e">
        <f>10/SO191</f>
        <v>#DIV/0!</v>
      </c>
      <c r="ST193" s="371">
        <v>15.38</v>
      </c>
      <c r="SU193" s="371" t="e">
        <f>SR193*SS193*ST193</f>
        <v>#DIV/0!</v>
      </c>
      <c r="SV193" s="367" t="s">
        <v>206</v>
      </c>
      <c r="SW193" s="367"/>
      <c r="SX193" s="367"/>
      <c r="SY193" s="368" t="s">
        <v>168</v>
      </c>
      <c r="SZ193" s="369">
        <v>0.5</v>
      </c>
      <c r="TA193" s="370" t="e">
        <f>10/SW191</f>
        <v>#DIV/0!</v>
      </c>
      <c r="TB193" s="371">
        <v>15.38</v>
      </c>
      <c r="TC193" s="371" t="e">
        <f>SZ193*TA193*TB193</f>
        <v>#DIV/0!</v>
      </c>
      <c r="TD193" s="367" t="s">
        <v>206</v>
      </c>
      <c r="TE193" s="367"/>
      <c r="TF193" s="367"/>
      <c r="TG193" s="368" t="s">
        <v>168</v>
      </c>
      <c r="TH193" s="369">
        <v>0.5</v>
      </c>
      <c r="TI193" s="370" t="e">
        <f>10/TE191</f>
        <v>#DIV/0!</v>
      </c>
      <c r="TJ193" s="371">
        <v>15.38</v>
      </c>
      <c r="TK193" s="371" t="e">
        <f>TH193*TI193*TJ193</f>
        <v>#DIV/0!</v>
      </c>
      <c r="TL193" s="367" t="s">
        <v>206</v>
      </c>
      <c r="TM193" s="367"/>
      <c r="TN193" s="367"/>
      <c r="TO193" s="368" t="s">
        <v>168</v>
      </c>
      <c r="TP193" s="369">
        <v>0.5</v>
      </c>
      <c r="TQ193" s="370" t="e">
        <f>10/TM191</f>
        <v>#DIV/0!</v>
      </c>
      <c r="TR193" s="371">
        <v>15.38</v>
      </c>
      <c r="TS193" s="371" t="e">
        <f>TP193*TQ193*TR193</f>
        <v>#DIV/0!</v>
      </c>
      <c r="TT193" s="367" t="s">
        <v>206</v>
      </c>
      <c r="TU193" s="367"/>
      <c r="TV193" s="367"/>
      <c r="TW193" s="368" t="s">
        <v>168</v>
      </c>
      <c r="TX193" s="369">
        <v>0.5</v>
      </c>
      <c r="TY193" s="370" t="e">
        <f>10/TU191</f>
        <v>#DIV/0!</v>
      </c>
      <c r="TZ193" s="371">
        <v>15.38</v>
      </c>
      <c r="UA193" s="371" t="e">
        <f>TX193*TY193*TZ193</f>
        <v>#DIV/0!</v>
      </c>
      <c r="UB193" s="367" t="s">
        <v>206</v>
      </c>
      <c r="UC193" s="367"/>
      <c r="UD193" s="367"/>
      <c r="UE193" s="368" t="s">
        <v>168</v>
      </c>
      <c r="UF193" s="369">
        <v>0.5</v>
      </c>
      <c r="UG193" s="370" t="e">
        <f>10/UC191</f>
        <v>#DIV/0!</v>
      </c>
      <c r="UH193" s="371">
        <v>15.38</v>
      </c>
      <c r="UI193" s="371" t="e">
        <f>UF193*UG193*UH193</f>
        <v>#DIV/0!</v>
      </c>
      <c r="UJ193" s="367" t="s">
        <v>206</v>
      </c>
      <c r="UK193" s="367"/>
      <c r="UL193" s="367"/>
      <c r="UM193" s="368" t="s">
        <v>168</v>
      </c>
      <c r="UN193" s="369">
        <v>0.5</v>
      </c>
      <c r="UO193" s="370" t="e">
        <f>10/UK191</f>
        <v>#DIV/0!</v>
      </c>
      <c r="UP193" s="371">
        <v>15.38</v>
      </c>
      <c r="UQ193" s="371" t="e">
        <f>UN193*UO193*UP193</f>
        <v>#DIV/0!</v>
      </c>
      <c r="UR193" s="367" t="s">
        <v>206</v>
      </c>
      <c r="US193" s="367"/>
      <c r="UT193" s="367"/>
      <c r="UU193" s="368" t="s">
        <v>168</v>
      </c>
      <c r="UV193" s="369">
        <v>0.5</v>
      </c>
      <c r="UW193" s="370" t="e">
        <f>10/US191</f>
        <v>#DIV/0!</v>
      </c>
      <c r="UX193" s="371">
        <v>15.38</v>
      </c>
      <c r="UY193" s="371" t="e">
        <f>UV193*UW193*UX193</f>
        <v>#DIV/0!</v>
      </c>
      <c r="UZ193" s="367" t="s">
        <v>206</v>
      </c>
      <c r="VA193" s="367"/>
      <c r="VB193" s="367"/>
      <c r="VC193" s="368" t="s">
        <v>168</v>
      </c>
      <c r="VD193" s="369">
        <v>0.5</v>
      </c>
      <c r="VE193" s="370" t="e">
        <f>10/VA191</f>
        <v>#DIV/0!</v>
      </c>
      <c r="VF193" s="371">
        <v>15.38</v>
      </c>
      <c r="VG193" s="371" t="e">
        <f>VD193*VE193*VF193</f>
        <v>#DIV/0!</v>
      </c>
      <c r="VH193" s="367" t="s">
        <v>206</v>
      </c>
      <c r="VI193" s="367"/>
      <c r="VJ193" s="367"/>
      <c r="VK193" s="368" t="s">
        <v>168</v>
      </c>
      <c r="VL193" s="369">
        <v>0.5</v>
      </c>
      <c r="VM193" s="370" t="e">
        <f>10/VI191</f>
        <v>#DIV/0!</v>
      </c>
      <c r="VN193" s="371">
        <v>15.38</v>
      </c>
      <c r="VO193" s="371" t="e">
        <f>VL193*VM193*VN193</f>
        <v>#DIV/0!</v>
      </c>
      <c r="VP193" s="367" t="s">
        <v>206</v>
      </c>
      <c r="VQ193" s="367"/>
      <c r="VR193" s="367"/>
      <c r="VS193" s="368" t="s">
        <v>168</v>
      </c>
      <c r="VT193" s="369">
        <v>0.5</v>
      </c>
      <c r="VU193" s="370" t="e">
        <f>10/VQ191</f>
        <v>#DIV/0!</v>
      </c>
      <c r="VV193" s="371">
        <v>15.38</v>
      </c>
      <c r="VW193" s="371" t="e">
        <f>VT193*VU193*VV193</f>
        <v>#DIV/0!</v>
      </c>
      <c r="VX193" s="367" t="s">
        <v>206</v>
      </c>
      <c r="VY193" s="367"/>
      <c r="VZ193" s="367"/>
      <c r="WA193" s="368" t="s">
        <v>168</v>
      </c>
      <c r="WB193" s="369">
        <v>0.5</v>
      </c>
      <c r="WC193" s="370" t="e">
        <f>10/VY191</f>
        <v>#DIV/0!</v>
      </c>
      <c r="WD193" s="371">
        <v>15.38</v>
      </c>
      <c r="WE193" s="371" t="e">
        <f>WB193*WC193*WD193</f>
        <v>#DIV/0!</v>
      </c>
      <c r="WF193" s="367" t="s">
        <v>206</v>
      </c>
      <c r="WG193" s="367"/>
      <c r="WH193" s="367"/>
      <c r="WI193" s="368" t="s">
        <v>168</v>
      </c>
      <c r="WJ193" s="369">
        <v>0.5</v>
      </c>
      <c r="WK193" s="370" t="e">
        <f>10/WG191</f>
        <v>#DIV/0!</v>
      </c>
      <c r="WL193" s="371">
        <v>15.38</v>
      </c>
      <c r="WM193" s="371" t="e">
        <f>WJ193*WK193*WL193</f>
        <v>#DIV/0!</v>
      </c>
      <c r="WN193" s="367" t="s">
        <v>206</v>
      </c>
      <c r="WO193" s="367"/>
      <c r="WP193" s="367"/>
      <c r="WQ193" s="368" t="s">
        <v>168</v>
      </c>
      <c r="WR193" s="369">
        <v>0.5</v>
      </c>
      <c r="WS193" s="370" t="e">
        <f>10/WO191</f>
        <v>#DIV/0!</v>
      </c>
      <c r="WT193" s="371">
        <v>15.38</v>
      </c>
      <c r="WU193" s="371" t="e">
        <f>WR193*WS193*WT193</f>
        <v>#DIV/0!</v>
      </c>
      <c r="WV193" s="367" t="s">
        <v>206</v>
      </c>
      <c r="WW193" s="367"/>
      <c r="WX193" s="367"/>
      <c r="WY193" s="368" t="s">
        <v>168</v>
      </c>
      <c r="WZ193" s="369">
        <v>0.5</v>
      </c>
      <c r="XA193" s="370" t="e">
        <f>10/WW191</f>
        <v>#DIV/0!</v>
      </c>
      <c r="XB193" s="371">
        <v>15.38</v>
      </c>
      <c r="XC193" s="371" t="e">
        <f>WZ193*XA193*XB193</f>
        <v>#DIV/0!</v>
      </c>
      <c r="XD193" s="367" t="s">
        <v>206</v>
      </c>
      <c r="XE193" s="367"/>
      <c r="XF193" s="367"/>
      <c r="XG193" s="368" t="s">
        <v>168</v>
      </c>
      <c r="XH193" s="369">
        <v>0.5</v>
      </c>
      <c r="XI193" s="370" t="e">
        <f>10/XE191</f>
        <v>#DIV/0!</v>
      </c>
      <c r="XJ193" s="371">
        <v>15.38</v>
      </c>
      <c r="XK193" s="371" t="e">
        <f>XH193*XI193*XJ193</f>
        <v>#DIV/0!</v>
      </c>
      <c r="XL193" s="367" t="s">
        <v>206</v>
      </c>
      <c r="XM193" s="367"/>
      <c r="XN193" s="367"/>
      <c r="XO193" s="368" t="s">
        <v>168</v>
      </c>
      <c r="XP193" s="369">
        <v>0.5</v>
      </c>
      <c r="XQ193" s="370" t="e">
        <f>10/XM191</f>
        <v>#DIV/0!</v>
      </c>
      <c r="XR193" s="371">
        <v>15.38</v>
      </c>
      <c r="XS193" s="371" t="e">
        <f>XP193*XQ193*XR193</f>
        <v>#DIV/0!</v>
      </c>
      <c r="XT193" s="367" t="s">
        <v>206</v>
      </c>
      <c r="XU193" s="367"/>
      <c r="XV193" s="367"/>
      <c r="XW193" s="368" t="s">
        <v>168</v>
      </c>
      <c r="XX193" s="369">
        <v>0.5</v>
      </c>
      <c r="XY193" s="370" t="e">
        <f>10/XU191</f>
        <v>#DIV/0!</v>
      </c>
      <c r="XZ193" s="371">
        <v>15.38</v>
      </c>
      <c r="YA193" s="371" t="e">
        <f>XX193*XY193*XZ193</f>
        <v>#DIV/0!</v>
      </c>
      <c r="YB193" s="367" t="s">
        <v>206</v>
      </c>
      <c r="YC193" s="367"/>
      <c r="YD193" s="367"/>
      <c r="YE193" s="368" t="s">
        <v>168</v>
      </c>
      <c r="YF193" s="369">
        <v>0.5</v>
      </c>
      <c r="YG193" s="370" t="e">
        <f>10/YC191</f>
        <v>#DIV/0!</v>
      </c>
      <c r="YH193" s="371">
        <v>15.38</v>
      </c>
      <c r="YI193" s="371" t="e">
        <f>YF193*YG193*YH193</f>
        <v>#DIV/0!</v>
      </c>
      <c r="YJ193" s="367" t="s">
        <v>206</v>
      </c>
      <c r="YK193" s="367"/>
      <c r="YL193" s="367"/>
      <c r="YM193" s="368" t="s">
        <v>168</v>
      </c>
      <c r="YN193" s="369">
        <v>0.5</v>
      </c>
      <c r="YO193" s="370" t="e">
        <f>10/YK191</f>
        <v>#DIV/0!</v>
      </c>
      <c r="YP193" s="371">
        <v>15.38</v>
      </c>
      <c r="YQ193" s="371" t="e">
        <f>YN193*YO193*YP193</f>
        <v>#DIV/0!</v>
      </c>
      <c r="YR193" s="367" t="s">
        <v>206</v>
      </c>
      <c r="YS193" s="367"/>
      <c r="YT193" s="367"/>
      <c r="YU193" s="368" t="s">
        <v>168</v>
      </c>
      <c r="YV193" s="369">
        <v>0.5</v>
      </c>
      <c r="YW193" s="370" t="e">
        <f>10/YS191</f>
        <v>#DIV/0!</v>
      </c>
      <c r="YX193" s="371">
        <v>15.38</v>
      </c>
      <c r="YY193" s="371" t="e">
        <f>YV193*YW193*YX193</f>
        <v>#DIV/0!</v>
      </c>
      <c r="YZ193" s="367" t="s">
        <v>206</v>
      </c>
      <c r="ZA193" s="367"/>
      <c r="ZB193" s="367"/>
      <c r="ZC193" s="368" t="s">
        <v>168</v>
      </c>
      <c r="ZD193" s="369">
        <v>0.5</v>
      </c>
      <c r="ZE193" s="370" t="e">
        <f>10/ZA191</f>
        <v>#DIV/0!</v>
      </c>
      <c r="ZF193" s="371">
        <v>15.38</v>
      </c>
      <c r="ZG193" s="371" t="e">
        <f>ZD193*ZE193*ZF193</f>
        <v>#DIV/0!</v>
      </c>
      <c r="ZH193" s="367" t="s">
        <v>206</v>
      </c>
      <c r="ZI193" s="367"/>
      <c r="ZJ193" s="367"/>
      <c r="ZK193" s="368" t="s">
        <v>168</v>
      </c>
      <c r="ZL193" s="369">
        <v>0.5</v>
      </c>
      <c r="ZM193" s="370" t="e">
        <f>10/ZI191</f>
        <v>#DIV/0!</v>
      </c>
      <c r="ZN193" s="371">
        <v>15.38</v>
      </c>
      <c r="ZO193" s="371" t="e">
        <f>ZL193*ZM193*ZN193</f>
        <v>#DIV/0!</v>
      </c>
      <c r="ZP193" s="367" t="s">
        <v>206</v>
      </c>
      <c r="ZQ193" s="367"/>
      <c r="ZR193" s="367"/>
      <c r="ZS193" s="368" t="s">
        <v>168</v>
      </c>
      <c r="ZT193" s="369">
        <v>0.5</v>
      </c>
      <c r="ZU193" s="370" t="e">
        <f>10/ZQ191</f>
        <v>#DIV/0!</v>
      </c>
      <c r="ZV193" s="371">
        <v>15.38</v>
      </c>
      <c r="ZW193" s="371" t="e">
        <f>ZT193*ZU193*ZV193</f>
        <v>#DIV/0!</v>
      </c>
      <c r="ZX193" s="367" t="s">
        <v>206</v>
      </c>
      <c r="ZY193" s="367"/>
      <c r="ZZ193" s="367"/>
      <c r="AAA193" s="368" t="s">
        <v>168</v>
      </c>
      <c r="AAB193" s="369">
        <v>0.5</v>
      </c>
      <c r="AAC193" s="370" t="e">
        <f>10/ZY191</f>
        <v>#DIV/0!</v>
      </c>
      <c r="AAD193" s="371">
        <v>15.38</v>
      </c>
      <c r="AAE193" s="371" t="e">
        <f>AAB193*AAC193*AAD193</f>
        <v>#DIV/0!</v>
      </c>
      <c r="AAF193" s="367" t="s">
        <v>206</v>
      </c>
      <c r="AAG193" s="367"/>
      <c r="AAH193" s="367"/>
      <c r="AAI193" s="368" t="s">
        <v>168</v>
      </c>
      <c r="AAJ193" s="369">
        <v>0.5</v>
      </c>
      <c r="AAK193" s="370" t="e">
        <f>10/AAG191</f>
        <v>#DIV/0!</v>
      </c>
      <c r="AAL193" s="371">
        <v>15.38</v>
      </c>
      <c r="AAM193" s="371" t="e">
        <f>AAJ193*AAK193*AAL193</f>
        <v>#DIV/0!</v>
      </c>
      <c r="AAN193" s="367" t="s">
        <v>206</v>
      </c>
      <c r="AAO193" s="367"/>
      <c r="AAP193" s="367"/>
      <c r="AAQ193" s="368" t="s">
        <v>168</v>
      </c>
      <c r="AAR193" s="369">
        <v>0.5</v>
      </c>
      <c r="AAS193" s="370" t="e">
        <f>10/AAO191</f>
        <v>#DIV/0!</v>
      </c>
      <c r="AAT193" s="371">
        <v>15.38</v>
      </c>
      <c r="AAU193" s="371" t="e">
        <f>AAR193*AAS193*AAT193</f>
        <v>#DIV/0!</v>
      </c>
      <c r="AAV193" s="367" t="s">
        <v>206</v>
      </c>
      <c r="AAW193" s="367"/>
      <c r="AAX193" s="367"/>
      <c r="AAY193" s="368" t="s">
        <v>168</v>
      </c>
      <c r="AAZ193" s="369">
        <v>0.5</v>
      </c>
      <c r="ABA193" s="370" t="e">
        <f>10/AAW191</f>
        <v>#DIV/0!</v>
      </c>
      <c r="ABB193" s="371">
        <v>15.38</v>
      </c>
      <c r="ABC193" s="371" t="e">
        <f>AAZ193*ABA193*ABB193</f>
        <v>#DIV/0!</v>
      </c>
      <c r="ABD193" s="367" t="s">
        <v>206</v>
      </c>
      <c r="ABE193" s="367"/>
      <c r="ABF193" s="367"/>
      <c r="ABG193" s="368" t="s">
        <v>168</v>
      </c>
      <c r="ABH193" s="369">
        <v>0.5</v>
      </c>
      <c r="ABI193" s="370" t="e">
        <f>10/ABE191</f>
        <v>#DIV/0!</v>
      </c>
      <c r="ABJ193" s="371">
        <v>15.38</v>
      </c>
      <c r="ABK193" s="371" t="e">
        <f>ABH193*ABI193*ABJ193</f>
        <v>#DIV/0!</v>
      </c>
      <c r="ABL193" s="367" t="s">
        <v>206</v>
      </c>
      <c r="ABM193" s="367"/>
      <c r="ABN193" s="367"/>
      <c r="ABO193" s="368" t="s">
        <v>168</v>
      </c>
      <c r="ABP193" s="369">
        <v>0.5</v>
      </c>
      <c r="ABQ193" s="370" t="e">
        <f>10/ABM191</f>
        <v>#DIV/0!</v>
      </c>
      <c r="ABR193" s="371">
        <v>15.38</v>
      </c>
      <c r="ABS193" s="371" t="e">
        <f>ABP193*ABQ193*ABR193</f>
        <v>#DIV/0!</v>
      </c>
      <c r="ABT193" s="367" t="s">
        <v>206</v>
      </c>
      <c r="ABU193" s="367"/>
      <c r="ABV193" s="367"/>
      <c r="ABW193" s="368" t="s">
        <v>168</v>
      </c>
      <c r="ABX193" s="369">
        <v>0.5</v>
      </c>
      <c r="ABY193" s="370" t="e">
        <f>10/ABU191</f>
        <v>#DIV/0!</v>
      </c>
      <c r="ABZ193" s="371">
        <v>15.38</v>
      </c>
      <c r="ACA193" s="371" t="e">
        <f>ABX193*ABY193*ABZ193</f>
        <v>#DIV/0!</v>
      </c>
      <c r="ACB193" s="367" t="s">
        <v>206</v>
      </c>
      <c r="ACC193" s="367"/>
      <c r="ACD193" s="367"/>
      <c r="ACE193" s="368" t="s">
        <v>168</v>
      </c>
      <c r="ACF193" s="369">
        <v>0.5</v>
      </c>
      <c r="ACG193" s="370" t="e">
        <f>10/ACC191</f>
        <v>#DIV/0!</v>
      </c>
      <c r="ACH193" s="371">
        <v>15.38</v>
      </c>
      <c r="ACI193" s="371" t="e">
        <f>ACF193*ACG193*ACH193</f>
        <v>#DIV/0!</v>
      </c>
      <c r="ACJ193" s="367" t="s">
        <v>206</v>
      </c>
      <c r="ACK193" s="367"/>
      <c r="ACL193" s="367"/>
      <c r="ACM193" s="368" t="s">
        <v>168</v>
      </c>
      <c r="ACN193" s="369">
        <v>0.5</v>
      </c>
      <c r="ACO193" s="370" t="e">
        <f>10/ACK191</f>
        <v>#DIV/0!</v>
      </c>
      <c r="ACP193" s="371">
        <v>15.38</v>
      </c>
      <c r="ACQ193" s="371" t="e">
        <f>ACN193*ACO193*ACP193</f>
        <v>#DIV/0!</v>
      </c>
      <c r="ACR193" s="367" t="s">
        <v>206</v>
      </c>
      <c r="ACS193" s="367"/>
      <c r="ACT193" s="367"/>
      <c r="ACU193" s="368" t="s">
        <v>168</v>
      </c>
      <c r="ACV193" s="369">
        <v>0.5</v>
      </c>
      <c r="ACW193" s="370" t="e">
        <f>10/ACS191</f>
        <v>#DIV/0!</v>
      </c>
      <c r="ACX193" s="371">
        <v>15.38</v>
      </c>
      <c r="ACY193" s="371" t="e">
        <f>ACV193*ACW193*ACX193</f>
        <v>#DIV/0!</v>
      </c>
      <c r="ACZ193" s="367" t="s">
        <v>206</v>
      </c>
      <c r="ADA193" s="367"/>
      <c r="ADB193" s="367"/>
      <c r="ADC193" s="368" t="s">
        <v>168</v>
      </c>
      <c r="ADD193" s="369">
        <v>0.5</v>
      </c>
      <c r="ADE193" s="370" t="e">
        <f>10/ADA191</f>
        <v>#DIV/0!</v>
      </c>
      <c r="ADF193" s="371">
        <v>15.38</v>
      </c>
      <c r="ADG193" s="371" t="e">
        <f>ADD193*ADE193*ADF193</f>
        <v>#DIV/0!</v>
      </c>
      <c r="ADH193" s="367" t="s">
        <v>206</v>
      </c>
      <c r="ADI193" s="367"/>
      <c r="ADJ193" s="367"/>
      <c r="ADK193" s="368" t="s">
        <v>168</v>
      </c>
      <c r="ADL193" s="369">
        <v>0.5</v>
      </c>
      <c r="ADM193" s="370" t="e">
        <f>10/ADI191</f>
        <v>#DIV/0!</v>
      </c>
      <c r="ADN193" s="371">
        <v>15.38</v>
      </c>
      <c r="ADO193" s="371" t="e">
        <f>ADL193*ADM193*ADN193</f>
        <v>#DIV/0!</v>
      </c>
      <c r="ADP193" s="367" t="s">
        <v>206</v>
      </c>
      <c r="ADQ193" s="367"/>
      <c r="ADR193" s="367"/>
      <c r="ADS193" s="368" t="s">
        <v>168</v>
      </c>
      <c r="ADT193" s="369">
        <v>0.5</v>
      </c>
      <c r="ADU193" s="370" t="e">
        <f>10/ADQ191</f>
        <v>#DIV/0!</v>
      </c>
      <c r="ADV193" s="371">
        <v>15.38</v>
      </c>
      <c r="ADW193" s="371" t="e">
        <f>ADT193*ADU193*ADV193</f>
        <v>#DIV/0!</v>
      </c>
      <c r="ADX193" s="367" t="s">
        <v>206</v>
      </c>
      <c r="ADY193" s="367"/>
      <c r="ADZ193" s="367"/>
      <c r="AEA193" s="368" t="s">
        <v>168</v>
      </c>
      <c r="AEB193" s="369">
        <v>0.5</v>
      </c>
      <c r="AEC193" s="370" t="e">
        <f>10/ADY191</f>
        <v>#DIV/0!</v>
      </c>
      <c r="AED193" s="371">
        <v>15.38</v>
      </c>
      <c r="AEE193" s="371" t="e">
        <f>AEB193*AEC193*AED193</f>
        <v>#DIV/0!</v>
      </c>
      <c r="AEF193" s="367" t="s">
        <v>206</v>
      </c>
      <c r="AEG193" s="367"/>
      <c r="AEH193" s="367"/>
      <c r="AEI193" s="368" t="s">
        <v>168</v>
      </c>
      <c r="AEJ193" s="369">
        <v>0.5</v>
      </c>
      <c r="AEK193" s="370" t="e">
        <f>10/AEG191</f>
        <v>#DIV/0!</v>
      </c>
      <c r="AEL193" s="371">
        <v>15.38</v>
      </c>
      <c r="AEM193" s="371" t="e">
        <f>AEJ193*AEK193*AEL193</f>
        <v>#DIV/0!</v>
      </c>
      <c r="AEN193" s="367" t="s">
        <v>206</v>
      </c>
      <c r="AEO193" s="367"/>
      <c r="AEP193" s="367"/>
      <c r="AEQ193" s="368" t="s">
        <v>168</v>
      </c>
      <c r="AER193" s="369">
        <v>0.5</v>
      </c>
      <c r="AES193" s="370" t="e">
        <f>10/AEO191</f>
        <v>#DIV/0!</v>
      </c>
      <c r="AET193" s="371">
        <v>15.38</v>
      </c>
      <c r="AEU193" s="371" t="e">
        <f>AER193*AES193*AET193</f>
        <v>#DIV/0!</v>
      </c>
      <c r="AEV193" s="367" t="s">
        <v>206</v>
      </c>
      <c r="AEW193" s="367"/>
      <c r="AEX193" s="367"/>
      <c r="AEY193" s="368" t="s">
        <v>168</v>
      </c>
      <c r="AEZ193" s="369">
        <v>0.5</v>
      </c>
      <c r="AFA193" s="370" t="e">
        <f>10/AEW191</f>
        <v>#DIV/0!</v>
      </c>
      <c r="AFB193" s="371">
        <v>15.38</v>
      </c>
      <c r="AFC193" s="371" t="e">
        <f>AEZ193*AFA193*AFB193</f>
        <v>#DIV/0!</v>
      </c>
      <c r="AFD193" s="367" t="s">
        <v>206</v>
      </c>
      <c r="AFE193" s="367"/>
      <c r="AFF193" s="367"/>
      <c r="AFG193" s="368" t="s">
        <v>168</v>
      </c>
      <c r="AFH193" s="369">
        <v>0.5</v>
      </c>
      <c r="AFI193" s="370" t="e">
        <f>10/AFE191</f>
        <v>#DIV/0!</v>
      </c>
      <c r="AFJ193" s="371">
        <v>15.38</v>
      </c>
      <c r="AFK193" s="371" t="e">
        <f>AFH193*AFI193*AFJ193</f>
        <v>#DIV/0!</v>
      </c>
      <c r="AFL193" s="367" t="s">
        <v>206</v>
      </c>
      <c r="AFM193" s="367"/>
      <c r="AFN193" s="367"/>
      <c r="AFO193" s="368" t="s">
        <v>168</v>
      </c>
      <c r="AFP193" s="369">
        <v>0.5</v>
      </c>
      <c r="AFQ193" s="370" t="e">
        <f>10/AFM191</f>
        <v>#DIV/0!</v>
      </c>
      <c r="AFR193" s="371">
        <v>15.38</v>
      </c>
      <c r="AFS193" s="371" t="e">
        <f>AFP193*AFQ193*AFR193</f>
        <v>#DIV/0!</v>
      </c>
      <c r="AFT193" s="367" t="s">
        <v>206</v>
      </c>
      <c r="AFU193" s="367"/>
      <c r="AFV193" s="367"/>
      <c r="AFW193" s="368" t="s">
        <v>168</v>
      </c>
      <c r="AFX193" s="369">
        <v>0.5</v>
      </c>
      <c r="AFY193" s="370" t="e">
        <f>10/AFU191</f>
        <v>#DIV/0!</v>
      </c>
      <c r="AFZ193" s="371">
        <v>15.38</v>
      </c>
      <c r="AGA193" s="371" t="e">
        <f>AFX193*AFY193*AFZ193</f>
        <v>#DIV/0!</v>
      </c>
      <c r="AGB193" s="367" t="s">
        <v>206</v>
      </c>
      <c r="AGC193" s="367"/>
      <c r="AGD193" s="367"/>
      <c r="AGE193" s="368" t="s">
        <v>168</v>
      </c>
      <c r="AGF193" s="369">
        <v>0.5</v>
      </c>
      <c r="AGG193" s="370" t="e">
        <f>10/AGC191</f>
        <v>#DIV/0!</v>
      </c>
      <c r="AGH193" s="371">
        <v>15.38</v>
      </c>
      <c r="AGI193" s="371" t="e">
        <f>AGF193*AGG193*AGH193</f>
        <v>#DIV/0!</v>
      </c>
      <c r="AGJ193" s="367" t="s">
        <v>206</v>
      </c>
      <c r="AGK193" s="367"/>
      <c r="AGL193" s="367"/>
      <c r="AGM193" s="368" t="s">
        <v>168</v>
      </c>
      <c r="AGN193" s="369">
        <v>0.5</v>
      </c>
      <c r="AGO193" s="370" t="e">
        <f>10/AGK191</f>
        <v>#DIV/0!</v>
      </c>
      <c r="AGP193" s="371">
        <v>15.38</v>
      </c>
      <c r="AGQ193" s="371" t="e">
        <f>AGN193*AGO193*AGP193</f>
        <v>#DIV/0!</v>
      </c>
      <c r="AGR193" s="367" t="s">
        <v>206</v>
      </c>
      <c r="AGS193" s="367"/>
      <c r="AGT193" s="367"/>
      <c r="AGU193" s="368" t="s">
        <v>168</v>
      </c>
      <c r="AGV193" s="369">
        <v>0.5</v>
      </c>
      <c r="AGW193" s="370" t="e">
        <f>10/AGS191</f>
        <v>#DIV/0!</v>
      </c>
      <c r="AGX193" s="371">
        <v>15.38</v>
      </c>
      <c r="AGY193" s="371" t="e">
        <f>AGV193*AGW193*AGX193</f>
        <v>#DIV/0!</v>
      </c>
      <c r="AGZ193" s="367" t="s">
        <v>206</v>
      </c>
      <c r="AHA193" s="367"/>
      <c r="AHB193" s="367"/>
      <c r="AHC193" s="368" t="s">
        <v>168</v>
      </c>
      <c r="AHD193" s="369">
        <v>0.5</v>
      </c>
      <c r="AHE193" s="370" t="e">
        <f>10/AHA191</f>
        <v>#DIV/0!</v>
      </c>
      <c r="AHF193" s="371">
        <v>15.38</v>
      </c>
      <c r="AHG193" s="371" t="e">
        <f>AHD193*AHE193*AHF193</f>
        <v>#DIV/0!</v>
      </c>
      <c r="AHH193" s="367" t="s">
        <v>206</v>
      </c>
      <c r="AHI193" s="367"/>
      <c r="AHJ193" s="367"/>
      <c r="AHK193" s="368" t="s">
        <v>168</v>
      </c>
      <c r="AHL193" s="369">
        <v>0.5</v>
      </c>
      <c r="AHM193" s="370" t="e">
        <f>10/AHI191</f>
        <v>#DIV/0!</v>
      </c>
      <c r="AHN193" s="371">
        <v>15.38</v>
      </c>
      <c r="AHO193" s="371" t="e">
        <f>AHL193*AHM193*AHN193</f>
        <v>#DIV/0!</v>
      </c>
      <c r="AHP193" s="367" t="s">
        <v>206</v>
      </c>
      <c r="AHQ193" s="367"/>
      <c r="AHR193" s="367"/>
      <c r="AHS193" s="368" t="s">
        <v>168</v>
      </c>
      <c r="AHT193" s="369">
        <v>0.5</v>
      </c>
      <c r="AHU193" s="370" t="e">
        <f>10/AHQ191</f>
        <v>#DIV/0!</v>
      </c>
      <c r="AHV193" s="371">
        <v>15.38</v>
      </c>
      <c r="AHW193" s="371" t="e">
        <f>AHT193*AHU193*AHV193</f>
        <v>#DIV/0!</v>
      </c>
      <c r="AHX193" s="367" t="s">
        <v>206</v>
      </c>
      <c r="AHY193" s="367"/>
      <c r="AHZ193" s="367"/>
      <c r="AIA193" s="368" t="s">
        <v>168</v>
      </c>
      <c r="AIB193" s="369">
        <v>0.5</v>
      </c>
      <c r="AIC193" s="370" t="e">
        <f>10/AHY191</f>
        <v>#DIV/0!</v>
      </c>
      <c r="AID193" s="371">
        <v>15.38</v>
      </c>
      <c r="AIE193" s="371" t="e">
        <f>AIB193*AIC193*AID193</f>
        <v>#DIV/0!</v>
      </c>
      <c r="AIF193" s="367" t="s">
        <v>206</v>
      </c>
      <c r="AIG193" s="367"/>
      <c r="AIH193" s="367"/>
      <c r="AII193" s="368" t="s">
        <v>168</v>
      </c>
      <c r="AIJ193" s="369">
        <v>0.5</v>
      </c>
      <c r="AIK193" s="370" t="e">
        <f>10/AIG191</f>
        <v>#DIV/0!</v>
      </c>
      <c r="AIL193" s="371">
        <v>15.38</v>
      </c>
      <c r="AIM193" s="371" t="e">
        <f>AIJ193*AIK193*AIL193</f>
        <v>#DIV/0!</v>
      </c>
      <c r="AIN193" s="367" t="s">
        <v>206</v>
      </c>
      <c r="AIO193" s="367"/>
      <c r="AIP193" s="367"/>
      <c r="AIQ193" s="368" t="s">
        <v>168</v>
      </c>
      <c r="AIR193" s="369">
        <v>0.5</v>
      </c>
      <c r="AIS193" s="370" t="e">
        <f>10/AIO191</f>
        <v>#DIV/0!</v>
      </c>
      <c r="AIT193" s="371">
        <v>15.38</v>
      </c>
      <c r="AIU193" s="371" t="e">
        <f>AIR193*AIS193*AIT193</f>
        <v>#DIV/0!</v>
      </c>
      <c r="AIV193" s="367" t="s">
        <v>206</v>
      </c>
      <c r="AIW193" s="367"/>
      <c r="AIX193" s="367"/>
      <c r="AIY193" s="368" t="s">
        <v>168</v>
      </c>
      <c r="AIZ193" s="369">
        <v>0.5</v>
      </c>
      <c r="AJA193" s="370" t="e">
        <f>10/AIW191</f>
        <v>#DIV/0!</v>
      </c>
      <c r="AJB193" s="371">
        <v>15.38</v>
      </c>
      <c r="AJC193" s="371" t="e">
        <f>AIZ193*AJA193*AJB193</f>
        <v>#DIV/0!</v>
      </c>
      <c r="AJD193" s="367" t="s">
        <v>206</v>
      </c>
      <c r="AJE193" s="367"/>
      <c r="AJF193" s="367"/>
      <c r="AJG193" s="368" t="s">
        <v>168</v>
      </c>
      <c r="AJH193" s="369">
        <v>0.5</v>
      </c>
      <c r="AJI193" s="370" t="e">
        <f>10/AJE191</f>
        <v>#DIV/0!</v>
      </c>
      <c r="AJJ193" s="371">
        <v>15.38</v>
      </c>
      <c r="AJK193" s="371" t="e">
        <f>AJH193*AJI193*AJJ193</f>
        <v>#DIV/0!</v>
      </c>
      <c r="AJL193" s="367" t="s">
        <v>206</v>
      </c>
      <c r="AJM193" s="367"/>
      <c r="AJN193" s="367"/>
      <c r="AJO193" s="368" t="s">
        <v>168</v>
      </c>
      <c r="AJP193" s="369">
        <v>0.5</v>
      </c>
      <c r="AJQ193" s="370" t="e">
        <f>10/AJM191</f>
        <v>#DIV/0!</v>
      </c>
      <c r="AJR193" s="371">
        <v>15.38</v>
      </c>
      <c r="AJS193" s="371" t="e">
        <f>AJP193*AJQ193*AJR193</f>
        <v>#DIV/0!</v>
      </c>
      <c r="AJT193" s="367" t="s">
        <v>206</v>
      </c>
      <c r="AJU193" s="367"/>
      <c r="AJV193" s="367"/>
      <c r="AJW193" s="368" t="s">
        <v>168</v>
      </c>
      <c r="AJX193" s="369">
        <v>0.5</v>
      </c>
      <c r="AJY193" s="370" t="e">
        <f>10/AJU191</f>
        <v>#DIV/0!</v>
      </c>
      <c r="AJZ193" s="371">
        <v>15.38</v>
      </c>
      <c r="AKA193" s="371" t="e">
        <f>AJX193*AJY193*AJZ193</f>
        <v>#DIV/0!</v>
      </c>
      <c r="AKB193" s="367" t="s">
        <v>206</v>
      </c>
      <c r="AKC193" s="367"/>
      <c r="AKD193" s="367"/>
      <c r="AKE193" s="368" t="s">
        <v>168</v>
      </c>
      <c r="AKF193" s="369">
        <v>0.5</v>
      </c>
      <c r="AKG193" s="370" t="e">
        <f>10/AKC191</f>
        <v>#DIV/0!</v>
      </c>
      <c r="AKH193" s="371">
        <v>15.38</v>
      </c>
      <c r="AKI193" s="371" t="e">
        <f>AKF193*AKG193*AKH193</f>
        <v>#DIV/0!</v>
      </c>
      <c r="AKJ193" s="367" t="s">
        <v>206</v>
      </c>
      <c r="AKK193" s="367"/>
      <c r="AKL193" s="367"/>
      <c r="AKM193" s="368" t="s">
        <v>168</v>
      </c>
      <c r="AKN193" s="369">
        <v>0.5</v>
      </c>
      <c r="AKO193" s="370" t="e">
        <f>10/AKK191</f>
        <v>#DIV/0!</v>
      </c>
      <c r="AKP193" s="371">
        <v>15.38</v>
      </c>
      <c r="AKQ193" s="371" t="e">
        <f>AKN193*AKO193*AKP193</f>
        <v>#DIV/0!</v>
      </c>
      <c r="AKR193" s="367" t="s">
        <v>206</v>
      </c>
      <c r="AKS193" s="367"/>
      <c r="AKT193" s="367"/>
      <c r="AKU193" s="368" t="s">
        <v>168</v>
      </c>
      <c r="AKV193" s="369">
        <v>0.5</v>
      </c>
      <c r="AKW193" s="370" t="e">
        <f>10/AKS191</f>
        <v>#DIV/0!</v>
      </c>
      <c r="AKX193" s="371">
        <v>15.38</v>
      </c>
      <c r="AKY193" s="371" t="e">
        <f>AKV193*AKW193*AKX193</f>
        <v>#DIV/0!</v>
      </c>
      <c r="AKZ193" s="367" t="s">
        <v>206</v>
      </c>
      <c r="ALA193" s="367"/>
      <c r="ALB193" s="367"/>
      <c r="ALC193" s="368" t="s">
        <v>168</v>
      </c>
      <c r="ALD193" s="369">
        <v>0.5</v>
      </c>
      <c r="ALE193" s="370" t="e">
        <f>10/ALA191</f>
        <v>#DIV/0!</v>
      </c>
      <c r="ALF193" s="371">
        <v>15.38</v>
      </c>
      <c r="ALG193" s="371" t="e">
        <f>ALD193*ALE193*ALF193</f>
        <v>#DIV/0!</v>
      </c>
      <c r="ALH193" s="367" t="s">
        <v>206</v>
      </c>
      <c r="ALI193" s="367"/>
      <c r="ALJ193" s="367"/>
      <c r="ALK193" s="368" t="s">
        <v>168</v>
      </c>
      <c r="ALL193" s="369">
        <v>0.5</v>
      </c>
      <c r="ALM193" s="370" t="e">
        <f>10/ALI191</f>
        <v>#DIV/0!</v>
      </c>
      <c r="ALN193" s="371">
        <v>15.38</v>
      </c>
      <c r="ALO193" s="371" t="e">
        <f>ALL193*ALM193*ALN193</f>
        <v>#DIV/0!</v>
      </c>
      <c r="ALP193" s="367" t="s">
        <v>206</v>
      </c>
      <c r="ALQ193" s="367"/>
      <c r="ALR193" s="367"/>
      <c r="ALS193" s="368" t="s">
        <v>168</v>
      </c>
      <c r="ALT193" s="369">
        <v>0.5</v>
      </c>
      <c r="ALU193" s="370" t="e">
        <f>10/ALQ191</f>
        <v>#DIV/0!</v>
      </c>
      <c r="ALV193" s="371">
        <v>15.38</v>
      </c>
      <c r="ALW193" s="371" t="e">
        <f>ALT193*ALU193*ALV193</f>
        <v>#DIV/0!</v>
      </c>
      <c r="ALX193" s="367" t="s">
        <v>206</v>
      </c>
      <c r="ALY193" s="367"/>
      <c r="ALZ193" s="367"/>
      <c r="AMA193" s="368" t="s">
        <v>168</v>
      </c>
      <c r="AMB193" s="369">
        <v>0.5</v>
      </c>
      <c r="AMC193" s="370" t="e">
        <f>10/ALY191</f>
        <v>#DIV/0!</v>
      </c>
      <c r="AMD193" s="371">
        <v>15.38</v>
      </c>
      <c r="AME193" s="371" t="e">
        <f>AMB193*AMC193*AMD193</f>
        <v>#DIV/0!</v>
      </c>
      <c r="AMF193" s="367" t="s">
        <v>206</v>
      </c>
      <c r="AMG193" s="367"/>
      <c r="AMH193" s="367"/>
      <c r="AMI193" s="368" t="s">
        <v>168</v>
      </c>
      <c r="AMJ193" s="369">
        <v>0.5</v>
      </c>
      <c r="AMK193" s="370" t="e">
        <f>10/AMG191</f>
        <v>#DIV/0!</v>
      </c>
      <c r="AML193" s="371">
        <v>15.38</v>
      </c>
      <c r="AMM193" s="371" t="e">
        <f>AMJ193*AMK193*AML193</f>
        <v>#DIV/0!</v>
      </c>
      <c r="AMN193" s="367" t="s">
        <v>206</v>
      </c>
      <c r="AMO193" s="367"/>
      <c r="AMP193" s="367"/>
      <c r="AMQ193" s="368" t="s">
        <v>168</v>
      </c>
      <c r="AMR193" s="369">
        <v>0.5</v>
      </c>
      <c r="AMS193" s="370" t="e">
        <f>10/AMO191</f>
        <v>#DIV/0!</v>
      </c>
      <c r="AMT193" s="371">
        <v>15.38</v>
      </c>
      <c r="AMU193" s="371" t="e">
        <f>AMR193*AMS193*AMT193</f>
        <v>#DIV/0!</v>
      </c>
      <c r="AMV193" s="367" t="s">
        <v>206</v>
      </c>
      <c r="AMW193" s="367"/>
      <c r="AMX193" s="367"/>
      <c r="AMY193" s="368" t="s">
        <v>168</v>
      </c>
      <c r="AMZ193" s="369">
        <v>0.5</v>
      </c>
      <c r="ANA193" s="370" t="e">
        <f>10/AMW191</f>
        <v>#DIV/0!</v>
      </c>
      <c r="ANB193" s="371">
        <v>15.38</v>
      </c>
      <c r="ANC193" s="371" t="e">
        <f>AMZ193*ANA193*ANB193</f>
        <v>#DIV/0!</v>
      </c>
      <c r="AND193" s="367" t="s">
        <v>206</v>
      </c>
      <c r="ANE193" s="367"/>
      <c r="ANF193" s="367"/>
      <c r="ANG193" s="368" t="s">
        <v>168</v>
      </c>
      <c r="ANH193" s="369">
        <v>0.5</v>
      </c>
      <c r="ANI193" s="370" t="e">
        <f>10/ANE191</f>
        <v>#DIV/0!</v>
      </c>
      <c r="ANJ193" s="371">
        <v>15.38</v>
      </c>
      <c r="ANK193" s="371" t="e">
        <f>ANH193*ANI193*ANJ193</f>
        <v>#DIV/0!</v>
      </c>
      <c r="ANL193" s="367" t="s">
        <v>206</v>
      </c>
      <c r="ANM193" s="367"/>
      <c r="ANN193" s="367"/>
      <c r="ANO193" s="368" t="s">
        <v>168</v>
      </c>
      <c r="ANP193" s="369">
        <v>0.5</v>
      </c>
      <c r="ANQ193" s="370" t="e">
        <f>10/ANM191</f>
        <v>#DIV/0!</v>
      </c>
      <c r="ANR193" s="371">
        <v>15.38</v>
      </c>
      <c r="ANS193" s="371" t="e">
        <f>ANP193*ANQ193*ANR193</f>
        <v>#DIV/0!</v>
      </c>
      <c r="ANT193" s="367" t="s">
        <v>206</v>
      </c>
      <c r="ANU193" s="367"/>
      <c r="ANV193" s="367"/>
      <c r="ANW193" s="368" t="s">
        <v>168</v>
      </c>
      <c r="ANX193" s="369">
        <v>0.5</v>
      </c>
      <c r="ANY193" s="370" t="e">
        <f>10/ANU191</f>
        <v>#DIV/0!</v>
      </c>
      <c r="ANZ193" s="371">
        <v>15.38</v>
      </c>
      <c r="AOA193" s="371" t="e">
        <f>ANX193*ANY193*ANZ193</f>
        <v>#DIV/0!</v>
      </c>
      <c r="AOB193" s="367" t="s">
        <v>206</v>
      </c>
      <c r="AOC193" s="367"/>
      <c r="AOD193" s="367"/>
      <c r="AOE193" s="368" t="s">
        <v>168</v>
      </c>
      <c r="AOF193" s="369">
        <v>0.5</v>
      </c>
      <c r="AOG193" s="370" t="e">
        <f>10/AOC191</f>
        <v>#DIV/0!</v>
      </c>
      <c r="AOH193" s="371">
        <v>15.38</v>
      </c>
      <c r="AOI193" s="371" t="e">
        <f>AOF193*AOG193*AOH193</f>
        <v>#DIV/0!</v>
      </c>
      <c r="AOJ193" s="367" t="s">
        <v>206</v>
      </c>
      <c r="AOK193" s="367"/>
      <c r="AOL193" s="367"/>
      <c r="AOM193" s="368" t="s">
        <v>168</v>
      </c>
      <c r="AON193" s="369">
        <v>0.5</v>
      </c>
      <c r="AOO193" s="370" t="e">
        <f>10/AOK191</f>
        <v>#DIV/0!</v>
      </c>
      <c r="AOP193" s="371">
        <v>15.38</v>
      </c>
      <c r="AOQ193" s="371" t="e">
        <f>AON193*AOO193*AOP193</f>
        <v>#DIV/0!</v>
      </c>
      <c r="AOR193" s="367" t="s">
        <v>206</v>
      </c>
      <c r="AOS193" s="367"/>
      <c r="AOT193" s="367"/>
      <c r="AOU193" s="368" t="s">
        <v>168</v>
      </c>
      <c r="AOV193" s="369">
        <v>0.5</v>
      </c>
      <c r="AOW193" s="370" t="e">
        <f>10/AOS191</f>
        <v>#DIV/0!</v>
      </c>
      <c r="AOX193" s="371">
        <v>15.38</v>
      </c>
      <c r="AOY193" s="371" t="e">
        <f>AOV193*AOW193*AOX193</f>
        <v>#DIV/0!</v>
      </c>
      <c r="AOZ193" s="367" t="s">
        <v>206</v>
      </c>
      <c r="APA193" s="367"/>
      <c r="APB193" s="367"/>
      <c r="APC193" s="368" t="s">
        <v>168</v>
      </c>
      <c r="APD193" s="369">
        <v>0.5</v>
      </c>
      <c r="APE193" s="370" t="e">
        <f>10/APA191</f>
        <v>#DIV/0!</v>
      </c>
      <c r="APF193" s="371">
        <v>15.38</v>
      </c>
      <c r="APG193" s="371" t="e">
        <f>APD193*APE193*APF193</f>
        <v>#DIV/0!</v>
      </c>
      <c r="APH193" s="367" t="s">
        <v>206</v>
      </c>
      <c r="API193" s="367"/>
      <c r="APJ193" s="367"/>
      <c r="APK193" s="368" t="s">
        <v>168</v>
      </c>
      <c r="APL193" s="369">
        <v>0.5</v>
      </c>
      <c r="APM193" s="370" t="e">
        <f>10/API191</f>
        <v>#DIV/0!</v>
      </c>
      <c r="APN193" s="371">
        <v>15.38</v>
      </c>
      <c r="APO193" s="371" t="e">
        <f>APL193*APM193*APN193</f>
        <v>#DIV/0!</v>
      </c>
      <c r="APP193" s="367" t="s">
        <v>206</v>
      </c>
      <c r="APQ193" s="367"/>
      <c r="APR193" s="367"/>
      <c r="APS193" s="368" t="s">
        <v>168</v>
      </c>
      <c r="APT193" s="369">
        <v>0.5</v>
      </c>
      <c r="APU193" s="370" t="e">
        <f>10/APQ191</f>
        <v>#DIV/0!</v>
      </c>
      <c r="APV193" s="371">
        <v>15.38</v>
      </c>
      <c r="APW193" s="371" t="e">
        <f>APT193*APU193*APV193</f>
        <v>#DIV/0!</v>
      </c>
      <c r="APX193" s="367" t="s">
        <v>206</v>
      </c>
      <c r="APY193" s="367"/>
      <c r="APZ193" s="367"/>
      <c r="AQA193" s="368" t="s">
        <v>168</v>
      </c>
      <c r="AQB193" s="369">
        <v>0.5</v>
      </c>
      <c r="AQC193" s="370" t="e">
        <f>10/APY191</f>
        <v>#DIV/0!</v>
      </c>
      <c r="AQD193" s="371">
        <v>15.38</v>
      </c>
      <c r="AQE193" s="371" t="e">
        <f>AQB193*AQC193*AQD193</f>
        <v>#DIV/0!</v>
      </c>
      <c r="AQF193" s="367" t="s">
        <v>206</v>
      </c>
      <c r="AQG193" s="367"/>
      <c r="AQH193" s="367"/>
      <c r="AQI193" s="368" t="s">
        <v>168</v>
      </c>
      <c r="AQJ193" s="369">
        <v>0.5</v>
      </c>
      <c r="AQK193" s="370" t="e">
        <f>10/AQG191</f>
        <v>#DIV/0!</v>
      </c>
      <c r="AQL193" s="371">
        <v>15.38</v>
      </c>
      <c r="AQM193" s="371" t="e">
        <f>AQJ193*AQK193*AQL193</f>
        <v>#DIV/0!</v>
      </c>
      <c r="AQN193" s="367" t="s">
        <v>206</v>
      </c>
      <c r="AQO193" s="367"/>
      <c r="AQP193" s="367"/>
      <c r="AQQ193" s="368" t="s">
        <v>168</v>
      </c>
      <c r="AQR193" s="369">
        <v>0.5</v>
      </c>
      <c r="AQS193" s="370" t="e">
        <f>10/AQO191</f>
        <v>#DIV/0!</v>
      </c>
      <c r="AQT193" s="371">
        <v>15.38</v>
      </c>
      <c r="AQU193" s="371" t="e">
        <f>AQR193*AQS193*AQT193</f>
        <v>#DIV/0!</v>
      </c>
      <c r="AQV193" s="367" t="s">
        <v>206</v>
      </c>
      <c r="AQW193" s="367"/>
      <c r="AQX193" s="367"/>
      <c r="AQY193" s="368" t="s">
        <v>168</v>
      </c>
      <c r="AQZ193" s="369">
        <v>0.5</v>
      </c>
      <c r="ARA193" s="370" t="e">
        <f>10/AQW191</f>
        <v>#DIV/0!</v>
      </c>
      <c r="ARB193" s="371">
        <v>15.38</v>
      </c>
      <c r="ARC193" s="371" t="e">
        <f>AQZ193*ARA193*ARB193</f>
        <v>#DIV/0!</v>
      </c>
      <c r="ARD193" s="367" t="s">
        <v>206</v>
      </c>
      <c r="ARE193" s="367"/>
      <c r="ARF193" s="367"/>
      <c r="ARG193" s="368" t="s">
        <v>168</v>
      </c>
      <c r="ARH193" s="369">
        <v>0.5</v>
      </c>
      <c r="ARI193" s="370" t="e">
        <f>10/ARE191</f>
        <v>#DIV/0!</v>
      </c>
      <c r="ARJ193" s="371">
        <v>15.38</v>
      </c>
      <c r="ARK193" s="371" t="e">
        <f>ARH193*ARI193*ARJ193</f>
        <v>#DIV/0!</v>
      </c>
      <c r="ARL193" s="367" t="s">
        <v>206</v>
      </c>
      <c r="ARM193" s="367"/>
      <c r="ARN193" s="367"/>
      <c r="ARO193" s="368" t="s">
        <v>168</v>
      </c>
      <c r="ARP193" s="369">
        <v>0.5</v>
      </c>
      <c r="ARQ193" s="370" t="e">
        <f>10/ARM191</f>
        <v>#DIV/0!</v>
      </c>
      <c r="ARR193" s="371">
        <v>15.38</v>
      </c>
      <c r="ARS193" s="371" t="e">
        <f>ARP193*ARQ193*ARR193</f>
        <v>#DIV/0!</v>
      </c>
      <c r="ART193" s="367" t="s">
        <v>206</v>
      </c>
      <c r="ARU193" s="367"/>
      <c r="ARV193" s="367"/>
      <c r="ARW193" s="368" t="s">
        <v>168</v>
      </c>
      <c r="ARX193" s="369">
        <v>0.5</v>
      </c>
      <c r="ARY193" s="370" t="e">
        <f>10/ARU191</f>
        <v>#DIV/0!</v>
      </c>
      <c r="ARZ193" s="371">
        <v>15.38</v>
      </c>
      <c r="ASA193" s="371" t="e">
        <f>ARX193*ARY193*ARZ193</f>
        <v>#DIV/0!</v>
      </c>
      <c r="ASB193" s="367" t="s">
        <v>206</v>
      </c>
      <c r="ASC193" s="367"/>
      <c r="ASD193" s="367"/>
      <c r="ASE193" s="368" t="s">
        <v>168</v>
      </c>
      <c r="ASF193" s="369">
        <v>0.5</v>
      </c>
      <c r="ASG193" s="370" t="e">
        <f>10/ASC191</f>
        <v>#DIV/0!</v>
      </c>
      <c r="ASH193" s="371">
        <v>15.38</v>
      </c>
      <c r="ASI193" s="371" t="e">
        <f>ASF193*ASG193*ASH193</f>
        <v>#DIV/0!</v>
      </c>
      <c r="ASJ193" s="367" t="s">
        <v>206</v>
      </c>
      <c r="ASK193" s="367"/>
      <c r="ASL193" s="367"/>
      <c r="ASM193" s="368" t="s">
        <v>168</v>
      </c>
      <c r="ASN193" s="369">
        <v>0.5</v>
      </c>
      <c r="ASO193" s="370" t="e">
        <f>10/ASK191</f>
        <v>#DIV/0!</v>
      </c>
      <c r="ASP193" s="371">
        <v>15.38</v>
      </c>
      <c r="ASQ193" s="371" t="e">
        <f>ASN193*ASO193*ASP193</f>
        <v>#DIV/0!</v>
      </c>
      <c r="ASR193" s="367" t="s">
        <v>206</v>
      </c>
      <c r="ASS193" s="367"/>
      <c r="AST193" s="367"/>
      <c r="ASU193" s="368" t="s">
        <v>168</v>
      </c>
      <c r="ASV193" s="369">
        <v>0.5</v>
      </c>
      <c r="ASW193" s="370" t="e">
        <f>10/ASS191</f>
        <v>#DIV/0!</v>
      </c>
      <c r="ASX193" s="371">
        <v>15.38</v>
      </c>
      <c r="ASY193" s="371" t="e">
        <f>ASV193*ASW193*ASX193</f>
        <v>#DIV/0!</v>
      </c>
      <c r="ASZ193" s="367" t="s">
        <v>206</v>
      </c>
      <c r="ATA193" s="367"/>
      <c r="ATB193" s="367"/>
      <c r="ATC193" s="368" t="s">
        <v>168</v>
      </c>
      <c r="ATD193" s="369">
        <v>0.5</v>
      </c>
      <c r="ATE193" s="370" t="e">
        <f>10/ATA191</f>
        <v>#DIV/0!</v>
      </c>
      <c r="ATF193" s="371">
        <v>15.38</v>
      </c>
      <c r="ATG193" s="371" t="e">
        <f>ATD193*ATE193*ATF193</f>
        <v>#DIV/0!</v>
      </c>
      <c r="ATH193" s="367" t="s">
        <v>206</v>
      </c>
      <c r="ATI193" s="367"/>
      <c r="ATJ193" s="367"/>
      <c r="ATK193" s="368" t="s">
        <v>168</v>
      </c>
      <c r="ATL193" s="369">
        <v>0.5</v>
      </c>
      <c r="ATM193" s="370" t="e">
        <f>10/ATI191</f>
        <v>#DIV/0!</v>
      </c>
      <c r="ATN193" s="371">
        <v>15.38</v>
      </c>
      <c r="ATO193" s="371" t="e">
        <f>ATL193*ATM193*ATN193</f>
        <v>#DIV/0!</v>
      </c>
      <c r="ATP193" s="367" t="s">
        <v>206</v>
      </c>
      <c r="ATQ193" s="367"/>
      <c r="ATR193" s="367"/>
      <c r="ATS193" s="368" t="s">
        <v>168</v>
      </c>
      <c r="ATT193" s="369">
        <v>0.5</v>
      </c>
      <c r="ATU193" s="370" t="e">
        <f>10/ATQ191</f>
        <v>#DIV/0!</v>
      </c>
      <c r="ATV193" s="371">
        <v>15.38</v>
      </c>
      <c r="ATW193" s="371" t="e">
        <f>ATT193*ATU193*ATV193</f>
        <v>#DIV/0!</v>
      </c>
      <c r="ATX193" s="367" t="s">
        <v>206</v>
      </c>
      <c r="ATY193" s="367"/>
      <c r="ATZ193" s="367"/>
      <c r="AUA193" s="368" t="s">
        <v>168</v>
      </c>
      <c r="AUB193" s="369">
        <v>0.5</v>
      </c>
      <c r="AUC193" s="370" t="e">
        <f>10/ATY191</f>
        <v>#DIV/0!</v>
      </c>
      <c r="AUD193" s="371">
        <v>15.38</v>
      </c>
      <c r="AUE193" s="371" t="e">
        <f>AUB193*AUC193*AUD193</f>
        <v>#DIV/0!</v>
      </c>
      <c r="AUF193" s="367" t="s">
        <v>206</v>
      </c>
      <c r="AUG193" s="367"/>
      <c r="AUH193" s="367"/>
      <c r="AUI193" s="368" t="s">
        <v>168</v>
      </c>
      <c r="AUJ193" s="369">
        <v>0.5</v>
      </c>
      <c r="AUK193" s="370" t="e">
        <f>10/AUG191</f>
        <v>#DIV/0!</v>
      </c>
      <c r="AUL193" s="371">
        <v>15.38</v>
      </c>
      <c r="AUM193" s="371" t="e">
        <f>AUJ193*AUK193*AUL193</f>
        <v>#DIV/0!</v>
      </c>
      <c r="AUN193" s="367" t="s">
        <v>206</v>
      </c>
      <c r="AUO193" s="367"/>
      <c r="AUP193" s="367"/>
      <c r="AUQ193" s="368" t="s">
        <v>168</v>
      </c>
      <c r="AUR193" s="369">
        <v>0.5</v>
      </c>
      <c r="AUS193" s="370" t="e">
        <f>10/AUO191</f>
        <v>#DIV/0!</v>
      </c>
      <c r="AUT193" s="371">
        <v>15.38</v>
      </c>
      <c r="AUU193" s="371" t="e">
        <f>AUR193*AUS193*AUT193</f>
        <v>#DIV/0!</v>
      </c>
      <c r="AUV193" s="367" t="s">
        <v>206</v>
      </c>
      <c r="AUW193" s="367"/>
      <c r="AUX193" s="367"/>
      <c r="AUY193" s="368" t="s">
        <v>168</v>
      </c>
      <c r="AUZ193" s="369">
        <v>0.5</v>
      </c>
      <c r="AVA193" s="370" t="e">
        <f>10/AUW191</f>
        <v>#DIV/0!</v>
      </c>
      <c r="AVB193" s="371">
        <v>15.38</v>
      </c>
      <c r="AVC193" s="371" t="e">
        <f>AUZ193*AVA193*AVB193</f>
        <v>#DIV/0!</v>
      </c>
      <c r="AVD193" s="367" t="s">
        <v>206</v>
      </c>
      <c r="AVE193" s="367"/>
      <c r="AVF193" s="367"/>
      <c r="AVG193" s="368" t="s">
        <v>168</v>
      </c>
      <c r="AVH193" s="369">
        <v>0.5</v>
      </c>
      <c r="AVI193" s="370" t="e">
        <f>10/AVE191</f>
        <v>#DIV/0!</v>
      </c>
      <c r="AVJ193" s="371">
        <v>15.38</v>
      </c>
      <c r="AVK193" s="371" t="e">
        <f>AVH193*AVI193*AVJ193</f>
        <v>#DIV/0!</v>
      </c>
      <c r="AVL193" s="367" t="s">
        <v>206</v>
      </c>
      <c r="AVM193" s="367"/>
      <c r="AVN193" s="367"/>
      <c r="AVO193" s="368" t="s">
        <v>168</v>
      </c>
      <c r="AVP193" s="369">
        <v>0.5</v>
      </c>
      <c r="AVQ193" s="370" t="e">
        <f>10/AVM191</f>
        <v>#DIV/0!</v>
      </c>
      <c r="AVR193" s="371">
        <v>15.38</v>
      </c>
      <c r="AVS193" s="371" t="e">
        <f>AVP193*AVQ193*AVR193</f>
        <v>#DIV/0!</v>
      </c>
      <c r="AVT193" s="367" t="s">
        <v>206</v>
      </c>
      <c r="AVU193" s="367"/>
      <c r="AVV193" s="367"/>
      <c r="AVW193" s="368" t="s">
        <v>168</v>
      </c>
      <c r="AVX193" s="369">
        <v>0.5</v>
      </c>
      <c r="AVY193" s="370" t="e">
        <f>10/AVU191</f>
        <v>#DIV/0!</v>
      </c>
      <c r="AVZ193" s="371">
        <v>15.38</v>
      </c>
      <c r="AWA193" s="371" t="e">
        <f>AVX193*AVY193*AVZ193</f>
        <v>#DIV/0!</v>
      </c>
      <c r="AWB193" s="367" t="s">
        <v>206</v>
      </c>
      <c r="AWC193" s="367"/>
      <c r="AWD193" s="367"/>
      <c r="AWE193" s="368" t="s">
        <v>168</v>
      </c>
      <c r="AWF193" s="369">
        <v>0.5</v>
      </c>
      <c r="AWG193" s="370" t="e">
        <f>10/AWC191</f>
        <v>#DIV/0!</v>
      </c>
      <c r="AWH193" s="371">
        <v>15.38</v>
      </c>
      <c r="AWI193" s="371" t="e">
        <f>AWF193*AWG193*AWH193</f>
        <v>#DIV/0!</v>
      </c>
      <c r="AWJ193" s="367" t="s">
        <v>206</v>
      </c>
      <c r="AWK193" s="367"/>
      <c r="AWL193" s="367"/>
      <c r="AWM193" s="368" t="s">
        <v>168</v>
      </c>
      <c r="AWN193" s="369">
        <v>0.5</v>
      </c>
      <c r="AWO193" s="370" t="e">
        <f>10/AWK191</f>
        <v>#DIV/0!</v>
      </c>
      <c r="AWP193" s="371">
        <v>15.38</v>
      </c>
      <c r="AWQ193" s="371" t="e">
        <f>AWN193*AWO193*AWP193</f>
        <v>#DIV/0!</v>
      </c>
      <c r="AWR193" s="367" t="s">
        <v>206</v>
      </c>
      <c r="AWS193" s="367"/>
      <c r="AWT193" s="367"/>
      <c r="AWU193" s="368" t="s">
        <v>168</v>
      </c>
      <c r="AWV193" s="369">
        <v>0.5</v>
      </c>
      <c r="AWW193" s="370" t="e">
        <f>10/AWS191</f>
        <v>#DIV/0!</v>
      </c>
      <c r="AWX193" s="371">
        <v>15.38</v>
      </c>
      <c r="AWY193" s="371" t="e">
        <f>AWV193*AWW193*AWX193</f>
        <v>#DIV/0!</v>
      </c>
      <c r="AWZ193" s="367" t="s">
        <v>206</v>
      </c>
      <c r="AXA193" s="367"/>
      <c r="AXB193" s="367"/>
      <c r="AXC193" s="368" t="s">
        <v>168</v>
      </c>
      <c r="AXD193" s="369">
        <v>0.5</v>
      </c>
      <c r="AXE193" s="370" t="e">
        <f>10/AXA191</f>
        <v>#DIV/0!</v>
      </c>
      <c r="AXF193" s="371">
        <v>15.38</v>
      </c>
      <c r="AXG193" s="371" t="e">
        <f>AXD193*AXE193*AXF193</f>
        <v>#DIV/0!</v>
      </c>
      <c r="AXH193" s="367" t="s">
        <v>206</v>
      </c>
      <c r="AXI193" s="367"/>
      <c r="AXJ193" s="367"/>
      <c r="AXK193" s="368" t="s">
        <v>168</v>
      </c>
      <c r="AXL193" s="369">
        <v>0.5</v>
      </c>
      <c r="AXM193" s="370" t="e">
        <f>10/AXI191</f>
        <v>#DIV/0!</v>
      </c>
      <c r="AXN193" s="371">
        <v>15.38</v>
      </c>
      <c r="AXO193" s="371" t="e">
        <f>AXL193*AXM193*AXN193</f>
        <v>#DIV/0!</v>
      </c>
      <c r="AXP193" s="367" t="s">
        <v>206</v>
      </c>
      <c r="AXQ193" s="367"/>
      <c r="AXR193" s="367"/>
      <c r="AXS193" s="368" t="s">
        <v>168</v>
      </c>
      <c r="AXT193" s="369">
        <v>0.5</v>
      </c>
      <c r="AXU193" s="370" t="e">
        <f>10/AXQ191</f>
        <v>#DIV/0!</v>
      </c>
      <c r="AXV193" s="371">
        <v>15.38</v>
      </c>
      <c r="AXW193" s="371" t="e">
        <f>AXT193*AXU193*AXV193</f>
        <v>#DIV/0!</v>
      </c>
      <c r="AXX193" s="367" t="s">
        <v>206</v>
      </c>
      <c r="AXY193" s="367"/>
      <c r="AXZ193" s="367"/>
      <c r="AYA193" s="368" t="s">
        <v>168</v>
      </c>
      <c r="AYB193" s="369">
        <v>0.5</v>
      </c>
      <c r="AYC193" s="370" t="e">
        <f>10/AXY191</f>
        <v>#DIV/0!</v>
      </c>
      <c r="AYD193" s="371">
        <v>15.38</v>
      </c>
      <c r="AYE193" s="371" t="e">
        <f>AYB193*AYC193*AYD193</f>
        <v>#DIV/0!</v>
      </c>
      <c r="AYF193" s="367" t="s">
        <v>206</v>
      </c>
      <c r="AYG193" s="367"/>
      <c r="AYH193" s="367"/>
      <c r="AYI193" s="368" t="s">
        <v>168</v>
      </c>
      <c r="AYJ193" s="369">
        <v>0.5</v>
      </c>
      <c r="AYK193" s="370" t="e">
        <f>10/AYG191</f>
        <v>#DIV/0!</v>
      </c>
      <c r="AYL193" s="371">
        <v>15.38</v>
      </c>
      <c r="AYM193" s="371" t="e">
        <f>AYJ193*AYK193*AYL193</f>
        <v>#DIV/0!</v>
      </c>
      <c r="AYN193" s="367" t="s">
        <v>206</v>
      </c>
      <c r="AYO193" s="367"/>
      <c r="AYP193" s="367"/>
      <c r="AYQ193" s="368" t="s">
        <v>168</v>
      </c>
      <c r="AYR193" s="369">
        <v>0.5</v>
      </c>
      <c r="AYS193" s="370" t="e">
        <f>10/AYO191</f>
        <v>#DIV/0!</v>
      </c>
      <c r="AYT193" s="371">
        <v>15.38</v>
      </c>
      <c r="AYU193" s="371" t="e">
        <f>AYR193*AYS193*AYT193</f>
        <v>#DIV/0!</v>
      </c>
      <c r="AYV193" s="367" t="s">
        <v>206</v>
      </c>
      <c r="AYW193" s="367"/>
      <c r="AYX193" s="367"/>
      <c r="AYY193" s="368" t="s">
        <v>168</v>
      </c>
      <c r="AYZ193" s="369">
        <v>0.5</v>
      </c>
      <c r="AZA193" s="370" t="e">
        <f>10/AYW191</f>
        <v>#DIV/0!</v>
      </c>
      <c r="AZB193" s="371">
        <v>15.38</v>
      </c>
      <c r="AZC193" s="371" t="e">
        <f>AYZ193*AZA193*AZB193</f>
        <v>#DIV/0!</v>
      </c>
      <c r="AZD193" s="367" t="s">
        <v>206</v>
      </c>
      <c r="AZE193" s="367"/>
      <c r="AZF193" s="367"/>
      <c r="AZG193" s="368" t="s">
        <v>168</v>
      </c>
      <c r="AZH193" s="369">
        <v>0.5</v>
      </c>
      <c r="AZI193" s="370" t="e">
        <f>10/AZE191</f>
        <v>#DIV/0!</v>
      </c>
      <c r="AZJ193" s="371">
        <v>15.38</v>
      </c>
      <c r="AZK193" s="371" t="e">
        <f>AZH193*AZI193*AZJ193</f>
        <v>#DIV/0!</v>
      </c>
      <c r="AZL193" s="367" t="s">
        <v>206</v>
      </c>
      <c r="AZM193" s="367"/>
      <c r="AZN193" s="367"/>
      <c r="AZO193" s="368" t="s">
        <v>168</v>
      </c>
      <c r="AZP193" s="369">
        <v>0.5</v>
      </c>
      <c r="AZQ193" s="370" t="e">
        <f>10/AZM191</f>
        <v>#DIV/0!</v>
      </c>
      <c r="AZR193" s="371">
        <v>15.38</v>
      </c>
      <c r="AZS193" s="371" t="e">
        <f>AZP193*AZQ193*AZR193</f>
        <v>#DIV/0!</v>
      </c>
      <c r="AZT193" s="367" t="s">
        <v>206</v>
      </c>
      <c r="AZU193" s="367"/>
      <c r="AZV193" s="367"/>
      <c r="AZW193" s="368" t="s">
        <v>168</v>
      </c>
      <c r="AZX193" s="369">
        <v>0.5</v>
      </c>
      <c r="AZY193" s="370" t="e">
        <f>10/AZU191</f>
        <v>#DIV/0!</v>
      </c>
      <c r="AZZ193" s="371">
        <v>15.38</v>
      </c>
      <c r="BAA193" s="371" t="e">
        <f>AZX193*AZY193*AZZ193</f>
        <v>#DIV/0!</v>
      </c>
      <c r="BAB193" s="367" t="s">
        <v>206</v>
      </c>
      <c r="BAC193" s="367"/>
      <c r="BAD193" s="367"/>
      <c r="BAE193" s="368" t="s">
        <v>168</v>
      </c>
      <c r="BAF193" s="369">
        <v>0.5</v>
      </c>
      <c r="BAG193" s="370" t="e">
        <f>10/BAC191</f>
        <v>#DIV/0!</v>
      </c>
      <c r="BAH193" s="371">
        <v>15.38</v>
      </c>
      <c r="BAI193" s="371" t="e">
        <f>BAF193*BAG193*BAH193</f>
        <v>#DIV/0!</v>
      </c>
      <c r="BAJ193" s="367" t="s">
        <v>206</v>
      </c>
      <c r="BAK193" s="367"/>
      <c r="BAL193" s="367"/>
      <c r="BAM193" s="368" t="s">
        <v>168</v>
      </c>
      <c r="BAN193" s="369">
        <v>0.5</v>
      </c>
      <c r="BAO193" s="370" t="e">
        <f>10/BAK191</f>
        <v>#DIV/0!</v>
      </c>
      <c r="BAP193" s="371">
        <v>15.38</v>
      </c>
      <c r="BAQ193" s="371" t="e">
        <f>BAN193*BAO193*BAP193</f>
        <v>#DIV/0!</v>
      </c>
      <c r="BAR193" s="367" t="s">
        <v>206</v>
      </c>
      <c r="BAS193" s="367"/>
      <c r="BAT193" s="367"/>
      <c r="BAU193" s="368" t="s">
        <v>168</v>
      </c>
      <c r="BAV193" s="369">
        <v>0.5</v>
      </c>
      <c r="BAW193" s="370" t="e">
        <f>10/BAS191</f>
        <v>#DIV/0!</v>
      </c>
      <c r="BAX193" s="371">
        <v>15.38</v>
      </c>
      <c r="BAY193" s="371" t="e">
        <f>BAV193*BAW193*BAX193</f>
        <v>#DIV/0!</v>
      </c>
      <c r="BAZ193" s="367" t="s">
        <v>206</v>
      </c>
      <c r="BBA193" s="367"/>
      <c r="BBB193" s="367"/>
      <c r="BBC193" s="368" t="s">
        <v>168</v>
      </c>
      <c r="BBD193" s="369">
        <v>0.5</v>
      </c>
      <c r="BBE193" s="370" t="e">
        <f>10/BBA191</f>
        <v>#DIV/0!</v>
      </c>
      <c r="BBF193" s="371">
        <v>15.38</v>
      </c>
      <c r="BBG193" s="371" t="e">
        <f>BBD193*BBE193*BBF193</f>
        <v>#DIV/0!</v>
      </c>
      <c r="BBH193" s="367" t="s">
        <v>206</v>
      </c>
      <c r="BBI193" s="367"/>
      <c r="BBJ193" s="367"/>
      <c r="BBK193" s="368" t="s">
        <v>168</v>
      </c>
      <c r="BBL193" s="369">
        <v>0.5</v>
      </c>
      <c r="BBM193" s="370" t="e">
        <f>10/BBI191</f>
        <v>#DIV/0!</v>
      </c>
      <c r="BBN193" s="371">
        <v>15.38</v>
      </c>
      <c r="BBO193" s="371" t="e">
        <f>BBL193*BBM193*BBN193</f>
        <v>#DIV/0!</v>
      </c>
      <c r="BBP193" s="367" t="s">
        <v>206</v>
      </c>
      <c r="BBQ193" s="367"/>
      <c r="BBR193" s="367"/>
      <c r="BBS193" s="368" t="s">
        <v>168</v>
      </c>
      <c r="BBT193" s="369">
        <v>0.5</v>
      </c>
      <c r="BBU193" s="370" t="e">
        <f>10/BBQ191</f>
        <v>#DIV/0!</v>
      </c>
      <c r="BBV193" s="371">
        <v>15.38</v>
      </c>
      <c r="BBW193" s="371" t="e">
        <f>BBT193*BBU193*BBV193</f>
        <v>#DIV/0!</v>
      </c>
      <c r="BBX193" s="367" t="s">
        <v>206</v>
      </c>
      <c r="BBY193" s="367"/>
      <c r="BBZ193" s="367"/>
      <c r="BCA193" s="368" t="s">
        <v>168</v>
      </c>
      <c r="BCB193" s="369">
        <v>0.5</v>
      </c>
      <c r="BCC193" s="370" t="e">
        <f>10/BBY191</f>
        <v>#DIV/0!</v>
      </c>
      <c r="BCD193" s="371">
        <v>15.38</v>
      </c>
      <c r="BCE193" s="371" t="e">
        <f>BCB193*BCC193*BCD193</f>
        <v>#DIV/0!</v>
      </c>
      <c r="BCF193" s="367" t="s">
        <v>206</v>
      </c>
      <c r="BCG193" s="367"/>
      <c r="BCH193" s="367"/>
      <c r="BCI193" s="368" t="s">
        <v>168</v>
      </c>
      <c r="BCJ193" s="369">
        <v>0.5</v>
      </c>
      <c r="BCK193" s="370" t="e">
        <f>10/BCG191</f>
        <v>#DIV/0!</v>
      </c>
      <c r="BCL193" s="371">
        <v>15.38</v>
      </c>
      <c r="BCM193" s="371" t="e">
        <f>BCJ193*BCK193*BCL193</f>
        <v>#DIV/0!</v>
      </c>
      <c r="BCN193" s="367" t="s">
        <v>206</v>
      </c>
      <c r="BCO193" s="367"/>
      <c r="BCP193" s="367"/>
      <c r="BCQ193" s="368" t="s">
        <v>168</v>
      </c>
      <c r="BCR193" s="369">
        <v>0.5</v>
      </c>
      <c r="BCS193" s="370" t="e">
        <f>10/BCO191</f>
        <v>#DIV/0!</v>
      </c>
      <c r="BCT193" s="371">
        <v>15.38</v>
      </c>
      <c r="BCU193" s="371" t="e">
        <f>BCR193*BCS193*BCT193</f>
        <v>#DIV/0!</v>
      </c>
      <c r="BCV193" s="367" t="s">
        <v>206</v>
      </c>
      <c r="BCW193" s="367"/>
      <c r="BCX193" s="367"/>
      <c r="BCY193" s="368" t="s">
        <v>168</v>
      </c>
      <c r="BCZ193" s="369">
        <v>0.5</v>
      </c>
      <c r="BDA193" s="370" t="e">
        <f>10/BCW191</f>
        <v>#DIV/0!</v>
      </c>
      <c r="BDB193" s="371">
        <v>15.38</v>
      </c>
      <c r="BDC193" s="371" t="e">
        <f>BCZ193*BDA193*BDB193</f>
        <v>#DIV/0!</v>
      </c>
      <c r="BDD193" s="367" t="s">
        <v>206</v>
      </c>
      <c r="BDE193" s="367"/>
      <c r="BDF193" s="367"/>
      <c r="BDG193" s="368" t="s">
        <v>168</v>
      </c>
      <c r="BDH193" s="369">
        <v>0.5</v>
      </c>
      <c r="BDI193" s="370" t="e">
        <f>10/BDE191</f>
        <v>#DIV/0!</v>
      </c>
      <c r="BDJ193" s="371">
        <v>15.38</v>
      </c>
      <c r="BDK193" s="371" t="e">
        <f>BDH193*BDI193*BDJ193</f>
        <v>#DIV/0!</v>
      </c>
      <c r="BDL193" s="367" t="s">
        <v>206</v>
      </c>
      <c r="BDM193" s="367"/>
      <c r="BDN193" s="367"/>
      <c r="BDO193" s="368" t="s">
        <v>168</v>
      </c>
      <c r="BDP193" s="369">
        <v>0.5</v>
      </c>
      <c r="BDQ193" s="370" t="e">
        <f>10/BDM191</f>
        <v>#DIV/0!</v>
      </c>
      <c r="BDR193" s="371">
        <v>15.38</v>
      </c>
      <c r="BDS193" s="371" t="e">
        <f>BDP193*BDQ193*BDR193</f>
        <v>#DIV/0!</v>
      </c>
      <c r="BDT193" s="367" t="s">
        <v>206</v>
      </c>
      <c r="BDU193" s="367"/>
      <c r="BDV193" s="367"/>
      <c r="BDW193" s="368" t="s">
        <v>168</v>
      </c>
      <c r="BDX193" s="369">
        <v>0.5</v>
      </c>
      <c r="BDY193" s="370" t="e">
        <f>10/BDU191</f>
        <v>#DIV/0!</v>
      </c>
      <c r="BDZ193" s="371">
        <v>15.38</v>
      </c>
      <c r="BEA193" s="371" t="e">
        <f>BDX193*BDY193*BDZ193</f>
        <v>#DIV/0!</v>
      </c>
      <c r="BEB193" s="367" t="s">
        <v>206</v>
      </c>
      <c r="BEC193" s="367"/>
      <c r="BED193" s="367"/>
      <c r="BEE193" s="368" t="s">
        <v>168</v>
      </c>
      <c r="BEF193" s="369">
        <v>0.5</v>
      </c>
      <c r="BEG193" s="370" t="e">
        <f>10/BEC191</f>
        <v>#DIV/0!</v>
      </c>
      <c r="BEH193" s="371">
        <v>15.38</v>
      </c>
      <c r="BEI193" s="371" t="e">
        <f>BEF193*BEG193*BEH193</f>
        <v>#DIV/0!</v>
      </c>
      <c r="BEJ193" s="367" t="s">
        <v>206</v>
      </c>
      <c r="BEK193" s="367"/>
      <c r="BEL193" s="367"/>
      <c r="BEM193" s="368" t="s">
        <v>168</v>
      </c>
      <c r="BEN193" s="369">
        <v>0.5</v>
      </c>
      <c r="BEO193" s="370" t="e">
        <f>10/BEK191</f>
        <v>#DIV/0!</v>
      </c>
      <c r="BEP193" s="371">
        <v>15.38</v>
      </c>
      <c r="BEQ193" s="371" t="e">
        <f>BEN193*BEO193*BEP193</f>
        <v>#DIV/0!</v>
      </c>
      <c r="BER193" s="367" t="s">
        <v>206</v>
      </c>
      <c r="BES193" s="367"/>
      <c r="BET193" s="367"/>
      <c r="BEU193" s="368" t="s">
        <v>168</v>
      </c>
      <c r="BEV193" s="369">
        <v>0.5</v>
      </c>
      <c r="BEW193" s="370" t="e">
        <f>10/BES191</f>
        <v>#DIV/0!</v>
      </c>
      <c r="BEX193" s="371">
        <v>15.38</v>
      </c>
      <c r="BEY193" s="371" t="e">
        <f>BEV193*BEW193*BEX193</f>
        <v>#DIV/0!</v>
      </c>
      <c r="BEZ193" s="367" t="s">
        <v>206</v>
      </c>
      <c r="BFA193" s="367"/>
      <c r="BFB193" s="367"/>
      <c r="BFC193" s="368" t="s">
        <v>168</v>
      </c>
      <c r="BFD193" s="369">
        <v>0.5</v>
      </c>
      <c r="BFE193" s="370" t="e">
        <f>10/BFA191</f>
        <v>#DIV/0!</v>
      </c>
      <c r="BFF193" s="371">
        <v>15.38</v>
      </c>
      <c r="BFG193" s="371" t="e">
        <f>BFD193*BFE193*BFF193</f>
        <v>#DIV/0!</v>
      </c>
      <c r="BFH193" s="367" t="s">
        <v>206</v>
      </c>
      <c r="BFI193" s="367"/>
      <c r="BFJ193" s="367"/>
      <c r="BFK193" s="368" t="s">
        <v>168</v>
      </c>
      <c r="BFL193" s="369">
        <v>0.5</v>
      </c>
      <c r="BFM193" s="370" t="e">
        <f>10/BFI191</f>
        <v>#DIV/0!</v>
      </c>
      <c r="BFN193" s="371">
        <v>15.38</v>
      </c>
      <c r="BFO193" s="371" t="e">
        <f>BFL193*BFM193*BFN193</f>
        <v>#DIV/0!</v>
      </c>
      <c r="BFP193" s="367" t="s">
        <v>206</v>
      </c>
      <c r="BFQ193" s="367"/>
      <c r="BFR193" s="367"/>
      <c r="BFS193" s="368" t="s">
        <v>168</v>
      </c>
      <c r="BFT193" s="369">
        <v>0.5</v>
      </c>
      <c r="BFU193" s="370" t="e">
        <f>10/BFQ191</f>
        <v>#DIV/0!</v>
      </c>
      <c r="BFV193" s="371">
        <v>15.38</v>
      </c>
      <c r="BFW193" s="371" t="e">
        <f>BFT193*BFU193*BFV193</f>
        <v>#DIV/0!</v>
      </c>
      <c r="BFX193" s="367" t="s">
        <v>206</v>
      </c>
      <c r="BFY193" s="367"/>
      <c r="BFZ193" s="367"/>
      <c r="BGA193" s="368" t="s">
        <v>168</v>
      </c>
      <c r="BGB193" s="369">
        <v>0.5</v>
      </c>
      <c r="BGC193" s="370" t="e">
        <f>10/BFY191</f>
        <v>#DIV/0!</v>
      </c>
      <c r="BGD193" s="371">
        <v>15.38</v>
      </c>
      <c r="BGE193" s="371" t="e">
        <f>BGB193*BGC193*BGD193</f>
        <v>#DIV/0!</v>
      </c>
      <c r="BGF193" s="367" t="s">
        <v>206</v>
      </c>
      <c r="BGG193" s="367"/>
      <c r="BGH193" s="367"/>
      <c r="BGI193" s="368" t="s">
        <v>168</v>
      </c>
      <c r="BGJ193" s="369">
        <v>0.5</v>
      </c>
      <c r="BGK193" s="370" t="e">
        <f>10/BGG191</f>
        <v>#DIV/0!</v>
      </c>
      <c r="BGL193" s="371">
        <v>15.38</v>
      </c>
      <c r="BGM193" s="371" t="e">
        <f>BGJ193*BGK193*BGL193</f>
        <v>#DIV/0!</v>
      </c>
      <c r="BGN193" s="367" t="s">
        <v>206</v>
      </c>
      <c r="BGO193" s="367"/>
      <c r="BGP193" s="367"/>
      <c r="BGQ193" s="368" t="s">
        <v>168</v>
      </c>
      <c r="BGR193" s="369">
        <v>0.5</v>
      </c>
      <c r="BGS193" s="370" t="e">
        <f>10/BGO191</f>
        <v>#DIV/0!</v>
      </c>
      <c r="BGT193" s="371">
        <v>15.38</v>
      </c>
      <c r="BGU193" s="371" t="e">
        <f>BGR193*BGS193*BGT193</f>
        <v>#DIV/0!</v>
      </c>
      <c r="BGV193" s="367" t="s">
        <v>206</v>
      </c>
      <c r="BGW193" s="367"/>
      <c r="BGX193" s="367"/>
      <c r="BGY193" s="368" t="s">
        <v>168</v>
      </c>
      <c r="BGZ193" s="369">
        <v>0.5</v>
      </c>
      <c r="BHA193" s="370" t="e">
        <f>10/BGW191</f>
        <v>#DIV/0!</v>
      </c>
      <c r="BHB193" s="371">
        <v>15.38</v>
      </c>
      <c r="BHC193" s="371" t="e">
        <f>BGZ193*BHA193*BHB193</f>
        <v>#DIV/0!</v>
      </c>
      <c r="BHD193" s="367" t="s">
        <v>206</v>
      </c>
      <c r="BHE193" s="367"/>
      <c r="BHF193" s="367"/>
      <c r="BHG193" s="368" t="s">
        <v>168</v>
      </c>
      <c r="BHH193" s="369">
        <v>0.5</v>
      </c>
      <c r="BHI193" s="370" t="e">
        <f>10/BHE191</f>
        <v>#DIV/0!</v>
      </c>
      <c r="BHJ193" s="371">
        <v>15.38</v>
      </c>
      <c r="BHK193" s="371" t="e">
        <f>BHH193*BHI193*BHJ193</f>
        <v>#DIV/0!</v>
      </c>
      <c r="BHL193" s="367" t="s">
        <v>206</v>
      </c>
      <c r="BHM193" s="367"/>
      <c r="BHN193" s="367"/>
      <c r="BHO193" s="368" t="s">
        <v>168</v>
      </c>
      <c r="BHP193" s="369">
        <v>0.5</v>
      </c>
      <c r="BHQ193" s="370" t="e">
        <f>10/BHM191</f>
        <v>#DIV/0!</v>
      </c>
      <c r="BHR193" s="371">
        <v>15.38</v>
      </c>
      <c r="BHS193" s="371" t="e">
        <f>BHP193*BHQ193*BHR193</f>
        <v>#DIV/0!</v>
      </c>
      <c r="BHT193" s="367" t="s">
        <v>206</v>
      </c>
      <c r="BHU193" s="367"/>
      <c r="BHV193" s="367"/>
      <c r="BHW193" s="368" t="s">
        <v>168</v>
      </c>
      <c r="BHX193" s="369">
        <v>0.5</v>
      </c>
      <c r="BHY193" s="370" t="e">
        <f>10/BHU191</f>
        <v>#DIV/0!</v>
      </c>
      <c r="BHZ193" s="371">
        <v>15.38</v>
      </c>
      <c r="BIA193" s="371" t="e">
        <f>BHX193*BHY193*BHZ193</f>
        <v>#DIV/0!</v>
      </c>
      <c r="BIB193" s="367" t="s">
        <v>206</v>
      </c>
      <c r="BIC193" s="367"/>
      <c r="BID193" s="367"/>
      <c r="BIE193" s="368" t="s">
        <v>168</v>
      </c>
      <c r="BIF193" s="369">
        <v>0.5</v>
      </c>
      <c r="BIG193" s="370" t="e">
        <f>10/BIC191</f>
        <v>#DIV/0!</v>
      </c>
      <c r="BIH193" s="371">
        <v>15.38</v>
      </c>
      <c r="BII193" s="371" t="e">
        <f>BIF193*BIG193*BIH193</f>
        <v>#DIV/0!</v>
      </c>
      <c r="BIJ193" s="367" t="s">
        <v>206</v>
      </c>
      <c r="BIK193" s="367"/>
      <c r="BIL193" s="367"/>
      <c r="BIM193" s="368" t="s">
        <v>168</v>
      </c>
      <c r="BIN193" s="369">
        <v>0.5</v>
      </c>
      <c r="BIO193" s="370" t="e">
        <f>10/BIK191</f>
        <v>#DIV/0!</v>
      </c>
      <c r="BIP193" s="371">
        <v>15.38</v>
      </c>
      <c r="BIQ193" s="371" t="e">
        <f>BIN193*BIO193*BIP193</f>
        <v>#DIV/0!</v>
      </c>
      <c r="BIR193" s="367" t="s">
        <v>206</v>
      </c>
      <c r="BIS193" s="367"/>
      <c r="BIT193" s="367"/>
      <c r="BIU193" s="368" t="s">
        <v>168</v>
      </c>
      <c r="BIV193" s="369">
        <v>0.5</v>
      </c>
      <c r="BIW193" s="370" t="e">
        <f>10/BIS191</f>
        <v>#DIV/0!</v>
      </c>
      <c r="BIX193" s="371">
        <v>15.38</v>
      </c>
      <c r="BIY193" s="371" t="e">
        <f>BIV193*BIW193*BIX193</f>
        <v>#DIV/0!</v>
      </c>
      <c r="BIZ193" s="367" t="s">
        <v>206</v>
      </c>
      <c r="BJA193" s="367"/>
      <c r="BJB193" s="367"/>
      <c r="BJC193" s="368" t="s">
        <v>168</v>
      </c>
      <c r="BJD193" s="369">
        <v>0.5</v>
      </c>
      <c r="BJE193" s="370" t="e">
        <f>10/BJA191</f>
        <v>#DIV/0!</v>
      </c>
      <c r="BJF193" s="371">
        <v>15.38</v>
      </c>
      <c r="BJG193" s="371" t="e">
        <f>BJD193*BJE193*BJF193</f>
        <v>#DIV/0!</v>
      </c>
      <c r="BJH193" s="367" t="s">
        <v>206</v>
      </c>
      <c r="BJI193" s="367"/>
      <c r="BJJ193" s="367"/>
      <c r="BJK193" s="368" t="s">
        <v>168</v>
      </c>
      <c r="BJL193" s="369">
        <v>0.5</v>
      </c>
      <c r="BJM193" s="370" t="e">
        <f>10/BJI191</f>
        <v>#DIV/0!</v>
      </c>
      <c r="BJN193" s="371">
        <v>15.38</v>
      </c>
      <c r="BJO193" s="371" t="e">
        <f>BJL193*BJM193*BJN193</f>
        <v>#DIV/0!</v>
      </c>
      <c r="BJP193" s="367" t="s">
        <v>206</v>
      </c>
      <c r="BJQ193" s="367"/>
      <c r="BJR193" s="367"/>
      <c r="BJS193" s="368" t="s">
        <v>168</v>
      </c>
      <c r="BJT193" s="369">
        <v>0.5</v>
      </c>
      <c r="BJU193" s="370" t="e">
        <f>10/BJQ191</f>
        <v>#DIV/0!</v>
      </c>
      <c r="BJV193" s="371">
        <v>15.38</v>
      </c>
      <c r="BJW193" s="371" t="e">
        <f>BJT193*BJU193*BJV193</f>
        <v>#DIV/0!</v>
      </c>
      <c r="BJX193" s="367" t="s">
        <v>206</v>
      </c>
      <c r="BJY193" s="367"/>
      <c r="BJZ193" s="367"/>
      <c r="BKA193" s="368" t="s">
        <v>168</v>
      </c>
      <c r="BKB193" s="369">
        <v>0.5</v>
      </c>
      <c r="BKC193" s="370" t="e">
        <f>10/BJY191</f>
        <v>#DIV/0!</v>
      </c>
      <c r="BKD193" s="371">
        <v>15.38</v>
      </c>
      <c r="BKE193" s="371" t="e">
        <f>BKB193*BKC193*BKD193</f>
        <v>#DIV/0!</v>
      </c>
      <c r="BKF193" s="367" t="s">
        <v>206</v>
      </c>
      <c r="BKG193" s="367"/>
      <c r="BKH193" s="367"/>
      <c r="BKI193" s="368" t="s">
        <v>168</v>
      </c>
      <c r="BKJ193" s="369">
        <v>0.5</v>
      </c>
      <c r="BKK193" s="370" t="e">
        <f>10/BKG191</f>
        <v>#DIV/0!</v>
      </c>
      <c r="BKL193" s="371">
        <v>15.38</v>
      </c>
      <c r="BKM193" s="371" t="e">
        <f>BKJ193*BKK193*BKL193</f>
        <v>#DIV/0!</v>
      </c>
      <c r="BKN193" s="367" t="s">
        <v>206</v>
      </c>
      <c r="BKO193" s="367"/>
      <c r="BKP193" s="367"/>
      <c r="BKQ193" s="368" t="s">
        <v>168</v>
      </c>
      <c r="BKR193" s="369">
        <v>0.5</v>
      </c>
      <c r="BKS193" s="370" t="e">
        <f>10/BKO191</f>
        <v>#DIV/0!</v>
      </c>
      <c r="BKT193" s="371">
        <v>15.38</v>
      </c>
      <c r="BKU193" s="371" t="e">
        <f>BKR193*BKS193*BKT193</f>
        <v>#DIV/0!</v>
      </c>
      <c r="BKV193" s="367" t="s">
        <v>206</v>
      </c>
      <c r="BKW193" s="367"/>
      <c r="BKX193" s="367"/>
      <c r="BKY193" s="368" t="s">
        <v>168</v>
      </c>
      <c r="BKZ193" s="369">
        <v>0.5</v>
      </c>
      <c r="BLA193" s="370" t="e">
        <f>10/BKW191</f>
        <v>#DIV/0!</v>
      </c>
      <c r="BLB193" s="371">
        <v>15.38</v>
      </c>
      <c r="BLC193" s="371" t="e">
        <f>BKZ193*BLA193*BLB193</f>
        <v>#DIV/0!</v>
      </c>
      <c r="BLD193" s="367" t="s">
        <v>206</v>
      </c>
      <c r="BLE193" s="367"/>
      <c r="BLF193" s="367"/>
      <c r="BLG193" s="368" t="s">
        <v>168</v>
      </c>
      <c r="BLH193" s="369">
        <v>0.5</v>
      </c>
      <c r="BLI193" s="370" t="e">
        <f>10/BLE191</f>
        <v>#DIV/0!</v>
      </c>
      <c r="BLJ193" s="371">
        <v>15.38</v>
      </c>
      <c r="BLK193" s="371" t="e">
        <f>BLH193*BLI193*BLJ193</f>
        <v>#DIV/0!</v>
      </c>
      <c r="BLL193" s="367" t="s">
        <v>206</v>
      </c>
      <c r="BLM193" s="367"/>
      <c r="BLN193" s="367"/>
      <c r="BLO193" s="368" t="s">
        <v>168</v>
      </c>
      <c r="BLP193" s="369">
        <v>0.5</v>
      </c>
      <c r="BLQ193" s="370" t="e">
        <f>10/BLM191</f>
        <v>#DIV/0!</v>
      </c>
      <c r="BLR193" s="371">
        <v>15.38</v>
      </c>
      <c r="BLS193" s="371" t="e">
        <f>BLP193*BLQ193*BLR193</f>
        <v>#DIV/0!</v>
      </c>
      <c r="BLT193" s="367" t="s">
        <v>206</v>
      </c>
      <c r="BLU193" s="367"/>
      <c r="BLV193" s="367"/>
      <c r="BLW193" s="368" t="s">
        <v>168</v>
      </c>
      <c r="BLX193" s="369">
        <v>0.5</v>
      </c>
      <c r="BLY193" s="370" t="e">
        <f>10/BLU191</f>
        <v>#DIV/0!</v>
      </c>
      <c r="BLZ193" s="371">
        <v>15.38</v>
      </c>
      <c r="BMA193" s="371" t="e">
        <f>BLX193*BLY193*BLZ193</f>
        <v>#DIV/0!</v>
      </c>
      <c r="BMB193" s="367" t="s">
        <v>206</v>
      </c>
      <c r="BMC193" s="367"/>
      <c r="BMD193" s="367"/>
      <c r="BME193" s="368" t="s">
        <v>168</v>
      </c>
      <c r="BMF193" s="369">
        <v>0.5</v>
      </c>
      <c r="BMG193" s="370" t="e">
        <f>10/BMC191</f>
        <v>#DIV/0!</v>
      </c>
      <c r="BMH193" s="371">
        <v>15.38</v>
      </c>
      <c r="BMI193" s="371" t="e">
        <f>BMF193*BMG193*BMH193</f>
        <v>#DIV/0!</v>
      </c>
      <c r="BMJ193" s="367" t="s">
        <v>206</v>
      </c>
      <c r="BMK193" s="367"/>
      <c r="BML193" s="367"/>
      <c r="BMM193" s="368" t="s">
        <v>168</v>
      </c>
      <c r="BMN193" s="369">
        <v>0.5</v>
      </c>
      <c r="BMO193" s="370" t="e">
        <f>10/BMK191</f>
        <v>#DIV/0!</v>
      </c>
      <c r="BMP193" s="371">
        <v>15.38</v>
      </c>
      <c r="BMQ193" s="371" t="e">
        <f>BMN193*BMO193*BMP193</f>
        <v>#DIV/0!</v>
      </c>
      <c r="BMR193" s="367" t="s">
        <v>206</v>
      </c>
      <c r="BMS193" s="367"/>
      <c r="BMT193" s="367"/>
      <c r="BMU193" s="368" t="s">
        <v>168</v>
      </c>
      <c r="BMV193" s="369">
        <v>0.5</v>
      </c>
      <c r="BMW193" s="370" t="e">
        <f>10/BMS191</f>
        <v>#DIV/0!</v>
      </c>
      <c r="BMX193" s="371">
        <v>15.38</v>
      </c>
      <c r="BMY193" s="371" t="e">
        <f>BMV193*BMW193*BMX193</f>
        <v>#DIV/0!</v>
      </c>
      <c r="BMZ193" s="367" t="s">
        <v>206</v>
      </c>
      <c r="BNA193" s="367"/>
      <c r="BNB193" s="367"/>
      <c r="BNC193" s="368" t="s">
        <v>168</v>
      </c>
      <c r="BND193" s="369">
        <v>0.5</v>
      </c>
      <c r="BNE193" s="370" t="e">
        <f>10/BNA191</f>
        <v>#DIV/0!</v>
      </c>
      <c r="BNF193" s="371">
        <v>15.38</v>
      </c>
      <c r="BNG193" s="371" t="e">
        <f>BND193*BNE193*BNF193</f>
        <v>#DIV/0!</v>
      </c>
      <c r="BNH193" s="367" t="s">
        <v>206</v>
      </c>
      <c r="BNI193" s="367"/>
      <c r="BNJ193" s="367"/>
      <c r="BNK193" s="368" t="s">
        <v>168</v>
      </c>
      <c r="BNL193" s="369">
        <v>0.5</v>
      </c>
      <c r="BNM193" s="370" t="e">
        <f>10/BNI191</f>
        <v>#DIV/0!</v>
      </c>
      <c r="BNN193" s="371">
        <v>15.38</v>
      </c>
      <c r="BNO193" s="371" t="e">
        <f>BNL193*BNM193*BNN193</f>
        <v>#DIV/0!</v>
      </c>
      <c r="BNP193" s="367" t="s">
        <v>206</v>
      </c>
      <c r="BNQ193" s="367"/>
      <c r="BNR193" s="367"/>
      <c r="BNS193" s="368" t="s">
        <v>168</v>
      </c>
      <c r="BNT193" s="369">
        <v>0.5</v>
      </c>
      <c r="BNU193" s="370" t="e">
        <f>10/BNQ191</f>
        <v>#DIV/0!</v>
      </c>
      <c r="BNV193" s="371">
        <v>15.38</v>
      </c>
      <c r="BNW193" s="371" t="e">
        <f>BNT193*BNU193*BNV193</f>
        <v>#DIV/0!</v>
      </c>
      <c r="BNX193" s="367" t="s">
        <v>206</v>
      </c>
      <c r="BNY193" s="367"/>
      <c r="BNZ193" s="367"/>
      <c r="BOA193" s="368" t="s">
        <v>168</v>
      </c>
      <c r="BOB193" s="369">
        <v>0.5</v>
      </c>
      <c r="BOC193" s="370" t="e">
        <f>10/BNY191</f>
        <v>#DIV/0!</v>
      </c>
      <c r="BOD193" s="371">
        <v>15.38</v>
      </c>
      <c r="BOE193" s="371" t="e">
        <f>BOB193*BOC193*BOD193</f>
        <v>#DIV/0!</v>
      </c>
      <c r="BOF193" s="367" t="s">
        <v>206</v>
      </c>
      <c r="BOG193" s="367"/>
      <c r="BOH193" s="367"/>
      <c r="BOI193" s="368" t="s">
        <v>168</v>
      </c>
      <c r="BOJ193" s="369">
        <v>0.5</v>
      </c>
      <c r="BOK193" s="370" t="e">
        <f>10/BOG191</f>
        <v>#DIV/0!</v>
      </c>
      <c r="BOL193" s="371">
        <v>15.38</v>
      </c>
      <c r="BOM193" s="371" t="e">
        <f>BOJ193*BOK193*BOL193</f>
        <v>#DIV/0!</v>
      </c>
      <c r="BON193" s="367" t="s">
        <v>206</v>
      </c>
      <c r="BOO193" s="367"/>
      <c r="BOP193" s="367"/>
      <c r="BOQ193" s="368" t="s">
        <v>168</v>
      </c>
      <c r="BOR193" s="369">
        <v>0.5</v>
      </c>
      <c r="BOS193" s="370" t="e">
        <f>10/BOO191</f>
        <v>#DIV/0!</v>
      </c>
      <c r="BOT193" s="371">
        <v>15.38</v>
      </c>
      <c r="BOU193" s="371" t="e">
        <f>BOR193*BOS193*BOT193</f>
        <v>#DIV/0!</v>
      </c>
      <c r="BOV193" s="367" t="s">
        <v>206</v>
      </c>
      <c r="BOW193" s="367"/>
      <c r="BOX193" s="367"/>
      <c r="BOY193" s="368" t="s">
        <v>168</v>
      </c>
      <c r="BOZ193" s="369">
        <v>0.5</v>
      </c>
      <c r="BPA193" s="370" t="e">
        <f>10/BOW191</f>
        <v>#DIV/0!</v>
      </c>
      <c r="BPB193" s="371">
        <v>15.38</v>
      </c>
      <c r="BPC193" s="371" t="e">
        <f>BOZ193*BPA193*BPB193</f>
        <v>#DIV/0!</v>
      </c>
      <c r="BPD193" s="367" t="s">
        <v>206</v>
      </c>
      <c r="BPE193" s="367"/>
      <c r="BPF193" s="367"/>
      <c r="BPG193" s="368" t="s">
        <v>168</v>
      </c>
      <c r="BPH193" s="369">
        <v>0.5</v>
      </c>
      <c r="BPI193" s="370" t="e">
        <f>10/BPE191</f>
        <v>#DIV/0!</v>
      </c>
      <c r="BPJ193" s="371">
        <v>15.38</v>
      </c>
      <c r="BPK193" s="371" t="e">
        <f>BPH193*BPI193*BPJ193</f>
        <v>#DIV/0!</v>
      </c>
      <c r="BPL193" s="367" t="s">
        <v>206</v>
      </c>
      <c r="BPM193" s="367"/>
      <c r="BPN193" s="367"/>
      <c r="BPO193" s="368" t="s">
        <v>168</v>
      </c>
      <c r="BPP193" s="369">
        <v>0.5</v>
      </c>
      <c r="BPQ193" s="370" t="e">
        <f>10/BPM191</f>
        <v>#DIV/0!</v>
      </c>
      <c r="BPR193" s="371">
        <v>15.38</v>
      </c>
      <c r="BPS193" s="371" t="e">
        <f>BPP193*BPQ193*BPR193</f>
        <v>#DIV/0!</v>
      </c>
      <c r="BPT193" s="367" t="s">
        <v>206</v>
      </c>
      <c r="BPU193" s="367"/>
      <c r="BPV193" s="367"/>
      <c r="BPW193" s="368" t="s">
        <v>168</v>
      </c>
      <c r="BPX193" s="369">
        <v>0.5</v>
      </c>
      <c r="BPY193" s="370" t="e">
        <f>10/BPU191</f>
        <v>#DIV/0!</v>
      </c>
      <c r="BPZ193" s="371">
        <v>15.38</v>
      </c>
      <c r="BQA193" s="371" t="e">
        <f>BPX193*BPY193*BPZ193</f>
        <v>#DIV/0!</v>
      </c>
      <c r="BQB193" s="367" t="s">
        <v>206</v>
      </c>
      <c r="BQC193" s="367"/>
      <c r="BQD193" s="367"/>
      <c r="BQE193" s="368" t="s">
        <v>168</v>
      </c>
      <c r="BQF193" s="369">
        <v>0.5</v>
      </c>
      <c r="BQG193" s="370" t="e">
        <f>10/BQC191</f>
        <v>#DIV/0!</v>
      </c>
      <c r="BQH193" s="371">
        <v>15.38</v>
      </c>
      <c r="BQI193" s="371" t="e">
        <f>BQF193*BQG193*BQH193</f>
        <v>#DIV/0!</v>
      </c>
      <c r="BQJ193" s="367" t="s">
        <v>206</v>
      </c>
      <c r="BQK193" s="367"/>
      <c r="BQL193" s="367"/>
      <c r="BQM193" s="368" t="s">
        <v>168</v>
      </c>
      <c r="BQN193" s="369">
        <v>0.5</v>
      </c>
      <c r="BQO193" s="370" t="e">
        <f>10/BQK191</f>
        <v>#DIV/0!</v>
      </c>
      <c r="BQP193" s="371">
        <v>15.38</v>
      </c>
      <c r="BQQ193" s="371" t="e">
        <f>BQN193*BQO193*BQP193</f>
        <v>#DIV/0!</v>
      </c>
      <c r="BQR193" s="367" t="s">
        <v>206</v>
      </c>
      <c r="BQS193" s="367"/>
      <c r="BQT193" s="367"/>
      <c r="BQU193" s="368" t="s">
        <v>168</v>
      </c>
      <c r="BQV193" s="369">
        <v>0.5</v>
      </c>
      <c r="BQW193" s="370" t="e">
        <f>10/BQS191</f>
        <v>#DIV/0!</v>
      </c>
      <c r="BQX193" s="371">
        <v>15.38</v>
      </c>
      <c r="BQY193" s="371" t="e">
        <f>BQV193*BQW193*BQX193</f>
        <v>#DIV/0!</v>
      </c>
      <c r="BQZ193" s="367" t="s">
        <v>206</v>
      </c>
      <c r="BRA193" s="367"/>
      <c r="BRB193" s="367"/>
      <c r="BRC193" s="368" t="s">
        <v>168</v>
      </c>
      <c r="BRD193" s="369">
        <v>0.5</v>
      </c>
      <c r="BRE193" s="370" t="e">
        <f>10/BRA191</f>
        <v>#DIV/0!</v>
      </c>
      <c r="BRF193" s="371">
        <v>15.38</v>
      </c>
      <c r="BRG193" s="371" t="e">
        <f>BRD193*BRE193*BRF193</f>
        <v>#DIV/0!</v>
      </c>
      <c r="BRH193" s="367" t="s">
        <v>206</v>
      </c>
      <c r="BRI193" s="367"/>
      <c r="BRJ193" s="367"/>
      <c r="BRK193" s="368" t="s">
        <v>168</v>
      </c>
      <c r="BRL193" s="369">
        <v>0.5</v>
      </c>
      <c r="BRM193" s="370" t="e">
        <f>10/BRI191</f>
        <v>#DIV/0!</v>
      </c>
      <c r="BRN193" s="371">
        <v>15.38</v>
      </c>
      <c r="BRO193" s="371" t="e">
        <f>BRL193*BRM193*BRN193</f>
        <v>#DIV/0!</v>
      </c>
      <c r="BRP193" s="367" t="s">
        <v>206</v>
      </c>
      <c r="BRQ193" s="367"/>
      <c r="BRR193" s="367"/>
      <c r="BRS193" s="368" t="s">
        <v>168</v>
      </c>
      <c r="BRT193" s="369">
        <v>0.5</v>
      </c>
      <c r="BRU193" s="370" t="e">
        <f>10/BRQ191</f>
        <v>#DIV/0!</v>
      </c>
      <c r="BRV193" s="371">
        <v>15.38</v>
      </c>
      <c r="BRW193" s="371" t="e">
        <f>BRT193*BRU193*BRV193</f>
        <v>#DIV/0!</v>
      </c>
      <c r="BRX193" s="367" t="s">
        <v>206</v>
      </c>
      <c r="BRY193" s="367"/>
      <c r="BRZ193" s="367"/>
      <c r="BSA193" s="368" t="s">
        <v>168</v>
      </c>
      <c r="BSB193" s="369">
        <v>0.5</v>
      </c>
      <c r="BSC193" s="370" t="e">
        <f>10/BRY191</f>
        <v>#DIV/0!</v>
      </c>
      <c r="BSD193" s="371">
        <v>15.38</v>
      </c>
      <c r="BSE193" s="371" t="e">
        <f>BSB193*BSC193*BSD193</f>
        <v>#DIV/0!</v>
      </c>
      <c r="BSF193" s="367" t="s">
        <v>206</v>
      </c>
      <c r="BSG193" s="367"/>
      <c r="BSH193" s="367"/>
      <c r="BSI193" s="368" t="s">
        <v>168</v>
      </c>
      <c r="BSJ193" s="369">
        <v>0.5</v>
      </c>
      <c r="BSK193" s="370" t="e">
        <f>10/BSG191</f>
        <v>#DIV/0!</v>
      </c>
      <c r="BSL193" s="371">
        <v>15.38</v>
      </c>
      <c r="BSM193" s="371" t="e">
        <f>BSJ193*BSK193*BSL193</f>
        <v>#DIV/0!</v>
      </c>
      <c r="BSN193" s="367" t="s">
        <v>206</v>
      </c>
      <c r="BSO193" s="367"/>
      <c r="BSP193" s="367"/>
      <c r="BSQ193" s="368" t="s">
        <v>168</v>
      </c>
      <c r="BSR193" s="369">
        <v>0.5</v>
      </c>
      <c r="BSS193" s="370" t="e">
        <f>10/BSO191</f>
        <v>#DIV/0!</v>
      </c>
      <c r="BST193" s="371">
        <v>15.38</v>
      </c>
      <c r="BSU193" s="371" t="e">
        <f>BSR193*BSS193*BST193</f>
        <v>#DIV/0!</v>
      </c>
      <c r="BSV193" s="367" t="s">
        <v>206</v>
      </c>
      <c r="BSW193" s="367"/>
      <c r="BSX193" s="367"/>
      <c r="BSY193" s="368" t="s">
        <v>168</v>
      </c>
      <c r="BSZ193" s="369">
        <v>0.5</v>
      </c>
      <c r="BTA193" s="370" t="e">
        <f>10/BSW191</f>
        <v>#DIV/0!</v>
      </c>
      <c r="BTB193" s="371">
        <v>15.38</v>
      </c>
      <c r="BTC193" s="371" t="e">
        <f>BSZ193*BTA193*BTB193</f>
        <v>#DIV/0!</v>
      </c>
      <c r="BTD193" s="367" t="s">
        <v>206</v>
      </c>
      <c r="BTE193" s="367"/>
      <c r="BTF193" s="367"/>
      <c r="BTG193" s="368" t="s">
        <v>168</v>
      </c>
      <c r="BTH193" s="369">
        <v>0.5</v>
      </c>
      <c r="BTI193" s="370" t="e">
        <f>10/BTE191</f>
        <v>#DIV/0!</v>
      </c>
      <c r="BTJ193" s="371">
        <v>15.38</v>
      </c>
      <c r="BTK193" s="371" t="e">
        <f>BTH193*BTI193*BTJ193</f>
        <v>#DIV/0!</v>
      </c>
      <c r="BTL193" s="367" t="s">
        <v>206</v>
      </c>
      <c r="BTM193" s="367"/>
      <c r="BTN193" s="367"/>
      <c r="BTO193" s="368" t="s">
        <v>168</v>
      </c>
      <c r="BTP193" s="369">
        <v>0.5</v>
      </c>
      <c r="BTQ193" s="370" t="e">
        <f>10/BTM191</f>
        <v>#DIV/0!</v>
      </c>
      <c r="BTR193" s="371">
        <v>15.38</v>
      </c>
      <c r="BTS193" s="371" t="e">
        <f>BTP193*BTQ193*BTR193</f>
        <v>#DIV/0!</v>
      </c>
      <c r="BTT193" s="367" t="s">
        <v>206</v>
      </c>
      <c r="BTU193" s="367"/>
      <c r="BTV193" s="367"/>
      <c r="BTW193" s="368" t="s">
        <v>168</v>
      </c>
      <c r="BTX193" s="369">
        <v>0.5</v>
      </c>
      <c r="BTY193" s="370" t="e">
        <f>10/BTU191</f>
        <v>#DIV/0!</v>
      </c>
      <c r="BTZ193" s="371">
        <v>15.38</v>
      </c>
      <c r="BUA193" s="371" t="e">
        <f>BTX193*BTY193*BTZ193</f>
        <v>#DIV/0!</v>
      </c>
      <c r="BUB193" s="367" t="s">
        <v>206</v>
      </c>
      <c r="BUC193" s="367"/>
      <c r="BUD193" s="367"/>
      <c r="BUE193" s="368" t="s">
        <v>168</v>
      </c>
      <c r="BUF193" s="369">
        <v>0.5</v>
      </c>
      <c r="BUG193" s="370" t="e">
        <f>10/BUC191</f>
        <v>#DIV/0!</v>
      </c>
      <c r="BUH193" s="371">
        <v>15.38</v>
      </c>
      <c r="BUI193" s="371" t="e">
        <f>BUF193*BUG193*BUH193</f>
        <v>#DIV/0!</v>
      </c>
      <c r="BUJ193" s="367" t="s">
        <v>206</v>
      </c>
      <c r="BUK193" s="367"/>
      <c r="BUL193" s="367"/>
      <c r="BUM193" s="368" t="s">
        <v>168</v>
      </c>
      <c r="BUN193" s="369">
        <v>0.5</v>
      </c>
      <c r="BUO193" s="370" t="e">
        <f>10/BUK191</f>
        <v>#DIV/0!</v>
      </c>
      <c r="BUP193" s="371">
        <v>15.38</v>
      </c>
      <c r="BUQ193" s="371" t="e">
        <f>BUN193*BUO193*BUP193</f>
        <v>#DIV/0!</v>
      </c>
      <c r="BUR193" s="367" t="s">
        <v>206</v>
      </c>
      <c r="BUS193" s="367"/>
      <c r="BUT193" s="367"/>
      <c r="BUU193" s="368" t="s">
        <v>168</v>
      </c>
      <c r="BUV193" s="369">
        <v>0.5</v>
      </c>
      <c r="BUW193" s="370" t="e">
        <f>10/BUS191</f>
        <v>#DIV/0!</v>
      </c>
      <c r="BUX193" s="371">
        <v>15.38</v>
      </c>
      <c r="BUY193" s="371" t="e">
        <f>BUV193*BUW193*BUX193</f>
        <v>#DIV/0!</v>
      </c>
      <c r="BUZ193" s="367" t="s">
        <v>206</v>
      </c>
      <c r="BVA193" s="367"/>
      <c r="BVB193" s="367"/>
      <c r="BVC193" s="368" t="s">
        <v>168</v>
      </c>
      <c r="BVD193" s="369">
        <v>0.5</v>
      </c>
      <c r="BVE193" s="370" t="e">
        <f>10/BVA191</f>
        <v>#DIV/0!</v>
      </c>
      <c r="BVF193" s="371">
        <v>15.38</v>
      </c>
      <c r="BVG193" s="371" t="e">
        <f>BVD193*BVE193*BVF193</f>
        <v>#DIV/0!</v>
      </c>
      <c r="BVH193" s="367" t="s">
        <v>206</v>
      </c>
      <c r="BVI193" s="367"/>
      <c r="BVJ193" s="367"/>
      <c r="BVK193" s="368" t="s">
        <v>168</v>
      </c>
      <c r="BVL193" s="369">
        <v>0.5</v>
      </c>
      <c r="BVM193" s="370" t="e">
        <f>10/BVI191</f>
        <v>#DIV/0!</v>
      </c>
      <c r="BVN193" s="371">
        <v>15.38</v>
      </c>
      <c r="BVO193" s="371" t="e">
        <f>BVL193*BVM193*BVN193</f>
        <v>#DIV/0!</v>
      </c>
      <c r="BVP193" s="367" t="s">
        <v>206</v>
      </c>
      <c r="BVQ193" s="367"/>
      <c r="BVR193" s="367"/>
      <c r="BVS193" s="368" t="s">
        <v>168</v>
      </c>
      <c r="BVT193" s="369">
        <v>0.5</v>
      </c>
      <c r="BVU193" s="370" t="e">
        <f>10/BVQ191</f>
        <v>#DIV/0!</v>
      </c>
      <c r="BVV193" s="371">
        <v>15.38</v>
      </c>
      <c r="BVW193" s="371" t="e">
        <f>BVT193*BVU193*BVV193</f>
        <v>#DIV/0!</v>
      </c>
      <c r="BVX193" s="367" t="s">
        <v>206</v>
      </c>
      <c r="BVY193" s="367"/>
      <c r="BVZ193" s="367"/>
      <c r="BWA193" s="368" t="s">
        <v>168</v>
      </c>
      <c r="BWB193" s="369">
        <v>0.5</v>
      </c>
      <c r="BWC193" s="370" t="e">
        <f>10/BVY191</f>
        <v>#DIV/0!</v>
      </c>
      <c r="BWD193" s="371">
        <v>15.38</v>
      </c>
      <c r="BWE193" s="371" t="e">
        <f>BWB193*BWC193*BWD193</f>
        <v>#DIV/0!</v>
      </c>
      <c r="BWF193" s="367" t="s">
        <v>206</v>
      </c>
      <c r="BWG193" s="367"/>
      <c r="BWH193" s="367"/>
      <c r="BWI193" s="368" t="s">
        <v>168</v>
      </c>
      <c r="BWJ193" s="369">
        <v>0.5</v>
      </c>
      <c r="BWK193" s="370" t="e">
        <f>10/BWG191</f>
        <v>#DIV/0!</v>
      </c>
      <c r="BWL193" s="371">
        <v>15.38</v>
      </c>
      <c r="BWM193" s="371" t="e">
        <f>BWJ193*BWK193*BWL193</f>
        <v>#DIV/0!</v>
      </c>
      <c r="BWN193" s="367" t="s">
        <v>206</v>
      </c>
      <c r="BWO193" s="367"/>
      <c r="BWP193" s="367"/>
      <c r="BWQ193" s="368" t="s">
        <v>168</v>
      </c>
      <c r="BWR193" s="369">
        <v>0.5</v>
      </c>
      <c r="BWS193" s="370" t="e">
        <f>10/BWO191</f>
        <v>#DIV/0!</v>
      </c>
      <c r="BWT193" s="371">
        <v>15.38</v>
      </c>
      <c r="BWU193" s="371" t="e">
        <f>BWR193*BWS193*BWT193</f>
        <v>#DIV/0!</v>
      </c>
      <c r="BWV193" s="367" t="s">
        <v>206</v>
      </c>
      <c r="BWW193" s="367"/>
      <c r="BWX193" s="367"/>
      <c r="BWY193" s="368" t="s">
        <v>168</v>
      </c>
      <c r="BWZ193" s="369">
        <v>0.5</v>
      </c>
      <c r="BXA193" s="370" t="e">
        <f>10/BWW191</f>
        <v>#DIV/0!</v>
      </c>
      <c r="BXB193" s="371">
        <v>15.38</v>
      </c>
      <c r="BXC193" s="371" t="e">
        <f>BWZ193*BXA193*BXB193</f>
        <v>#DIV/0!</v>
      </c>
      <c r="BXD193" s="367" t="s">
        <v>206</v>
      </c>
      <c r="BXE193" s="367"/>
      <c r="BXF193" s="367"/>
      <c r="BXG193" s="368" t="s">
        <v>168</v>
      </c>
      <c r="BXH193" s="369">
        <v>0.5</v>
      </c>
      <c r="BXI193" s="370" t="e">
        <f>10/BXE191</f>
        <v>#DIV/0!</v>
      </c>
      <c r="BXJ193" s="371">
        <v>15.38</v>
      </c>
      <c r="BXK193" s="371" t="e">
        <f>BXH193*BXI193*BXJ193</f>
        <v>#DIV/0!</v>
      </c>
      <c r="BXL193" s="367" t="s">
        <v>206</v>
      </c>
      <c r="BXM193" s="367"/>
      <c r="BXN193" s="367"/>
      <c r="BXO193" s="368" t="s">
        <v>168</v>
      </c>
      <c r="BXP193" s="369">
        <v>0.5</v>
      </c>
      <c r="BXQ193" s="370" t="e">
        <f>10/BXM191</f>
        <v>#DIV/0!</v>
      </c>
      <c r="BXR193" s="371">
        <v>15.38</v>
      </c>
      <c r="BXS193" s="371" t="e">
        <f>BXP193*BXQ193*BXR193</f>
        <v>#DIV/0!</v>
      </c>
      <c r="BXT193" s="367" t="s">
        <v>206</v>
      </c>
      <c r="BXU193" s="367"/>
      <c r="BXV193" s="367"/>
      <c r="BXW193" s="368" t="s">
        <v>168</v>
      </c>
      <c r="BXX193" s="369">
        <v>0.5</v>
      </c>
      <c r="BXY193" s="370" t="e">
        <f>10/BXU191</f>
        <v>#DIV/0!</v>
      </c>
      <c r="BXZ193" s="371">
        <v>15.38</v>
      </c>
      <c r="BYA193" s="371" t="e">
        <f>BXX193*BXY193*BXZ193</f>
        <v>#DIV/0!</v>
      </c>
      <c r="BYB193" s="367" t="s">
        <v>206</v>
      </c>
      <c r="BYC193" s="367"/>
      <c r="BYD193" s="367"/>
      <c r="BYE193" s="368" t="s">
        <v>168</v>
      </c>
      <c r="BYF193" s="369">
        <v>0.5</v>
      </c>
      <c r="BYG193" s="370" t="e">
        <f>10/BYC191</f>
        <v>#DIV/0!</v>
      </c>
      <c r="BYH193" s="371">
        <v>15.38</v>
      </c>
      <c r="BYI193" s="371" t="e">
        <f>BYF193*BYG193*BYH193</f>
        <v>#DIV/0!</v>
      </c>
      <c r="BYJ193" s="367" t="s">
        <v>206</v>
      </c>
      <c r="BYK193" s="367"/>
      <c r="BYL193" s="367"/>
      <c r="BYM193" s="368" t="s">
        <v>168</v>
      </c>
      <c r="BYN193" s="369">
        <v>0.5</v>
      </c>
      <c r="BYO193" s="370" t="e">
        <f>10/BYK191</f>
        <v>#DIV/0!</v>
      </c>
      <c r="BYP193" s="371">
        <v>15.38</v>
      </c>
      <c r="BYQ193" s="371" t="e">
        <f>BYN193*BYO193*BYP193</f>
        <v>#DIV/0!</v>
      </c>
      <c r="BYR193" s="367" t="s">
        <v>206</v>
      </c>
      <c r="BYS193" s="367"/>
      <c r="BYT193" s="367"/>
      <c r="BYU193" s="368" t="s">
        <v>168</v>
      </c>
      <c r="BYV193" s="369">
        <v>0.5</v>
      </c>
      <c r="BYW193" s="370" t="e">
        <f>10/BYS191</f>
        <v>#DIV/0!</v>
      </c>
      <c r="BYX193" s="371">
        <v>15.38</v>
      </c>
      <c r="BYY193" s="371" t="e">
        <f>BYV193*BYW193*BYX193</f>
        <v>#DIV/0!</v>
      </c>
      <c r="BYZ193" s="367" t="s">
        <v>206</v>
      </c>
      <c r="BZA193" s="367"/>
      <c r="BZB193" s="367"/>
      <c r="BZC193" s="368" t="s">
        <v>168</v>
      </c>
      <c r="BZD193" s="369">
        <v>0.5</v>
      </c>
      <c r="BZE193" s="370" t="e">
        <f>10/BZA191</f>
        <v>#DIV/0!</v>
      </c>
      <c r="BZF193" s="371">
        <v>15.38</v>
      </c>
      <c r="BZG193" s="371" t="e">
        <f>BZD193*BZE193*BZF193</f>
        <v>#DIV/0!</v>
      </c>
      <c r="BZH193" s="367" t="s">
        <v>206</v>
      </c>
      <c r="BZI193" s="367"/>
      <c r="BZJ193" s="367"/>
      <c r="BZK193" s="368" t="s">
        <v>168</v>
      </c>
      <c r="BZL193" s="369">
        <v>0.5</v>
      </c>
      <c r="BZM193" s="370" t="e">
        <f>10/BZI191</f>
        <v>#DIV/0!</v>
      </c>
      <c r="BZN193" s="371">
        <v>15.38</v>
      </c>
      <c r="BZO193" s="371" t="e">
        <f>BZL193*BZM193*BZN193</f>
        <v>#DIV/0!</v>
      </c>
      <c r="BZP193" s="367" t="s">
        <v>206</v>
      </c>
      <c r="BZQ193" s="367"/>
      <c r="BZR193" s="367"/>
      <c r="BZS193" s="368" t="s">
        <v>168</v>
      </c>
      <c r="BZT193" s="369">
        <v>0.5</v>
      </c>
      <c r="BZU193" s="370" t="e">
        <f>10/BZQ191</f>
        <v>#DIV/0!</v>
      </c>
      <c r="BZV193" s="371">
        <v>15.38</v>
      </c>
      <c r="BZW193" s="371" t="e">
        <f>BZT193*BZU193*BZV193</f>
        <v>#DIV/0!</v>
      </c>
      <c r="BZX193" s="367" t="s">
        <v>206</v>
      </c>
      <c r="BZY193" s="367"/>
      <c r="BZZ193" s="367"/>
      <c r="CAA193" s="368" t="s">
        <v>168</v>
      </c>
      <c r="CAB193" s="369">
        <v>0.5</v>
      </c>
      <c r="CAC193" s="370" t="e">
        <f>10/BZY191</f>
        <v>#DIV/0!</v>
      </c>
      <c r="CAD193" s="371">
        <v>15.38</v>
      </c>
      <c r="CAE193" s="371" t="e">
        <f>CAB193*CAC193*CAD193</f>
        <v>#DIV/0!</v>
      </c>
      <c r="CAF193" s="367" t="s">
        <v>206</v>
      </c>
      <c r="CAG193" s="367"/>
      <c r="CAH193" s="367"/>
      <c r="CAI193" s="368" t="s">
        <v>168</v>
      </c>
      <c r="CAJ193" s="369">
        <v>0.5</v>
      </c>
      <c r="CAK193" s="370" t="e">
        <f>10/CAG191</f>
        <v>#DIV/0!</v>
      </c>
      <c r="CAL193" s="371">
        <v>15.38</v>
      </c>
      <c r="CAM193" s="371" t="e">
        <f>CAJ193*CAK193*CAL193</f>
        <v>#DIV/0!</v>
      </c>
      <c r="CAN193" s="367" t="s">
        <v>206</v>
      </c>
      <c r="CAO193" s="367"/>
      <c r="CAP193" s="367"/>
      <c r="CAQ193" s="368" t="s">
        <v>168</v>
      </c>
      <c r="CAR193" s="369">
        <v>0.5</v>
      </c>
      <c r="CAS193" s="370" t="e">
        <f>10/CAO191</f>
        <v>#DIV/0!</v>
      </c>
      <c r="CAT193" s="371">
        <v>15.38</v>
      </c>
      <c r="CAU193" s="371" t="e">
        <f>CAR193*CAS193*CAT193</f>
        <v>#DIV/0!</v>
      </c>
      <c r="CAV193" s="367" t="s">
        <v>206</v>
      </c>
      <c r="CAW193" s="367"/>
      <c r="CAX193" s="367"/>
      <c r="CAY193" s="368" t="s">
        <v>168</v>
      </c>
      <c r="CAZ193" s="369">
        <v>0.5</v>
      </c>
      <c r="CBA193" s="370" t="e">
        <f>10/CAW191</f>
        <v>#DIV/0!</v>
      </c>
      <c r="CBB193" s="371">
        <v>15.38</v>
      </c>
      <c r="CBC193" s="371" t="e">
        <f>CAZ193*CBA193*CBB193</f>
        <v>#DIV/0!</v>
      </c>
      <c r="CBD193" s="367" t="s">
        <v>206</v>
      </c>
      <c r="CBE193" s="367"/>
      <c r="CBF193" s="367"/>
      <c r="CBG193" s="368" t="s">
        <v>168</v>
      </c>
      <c r="CBH193" s="369">
        <v>0.5</v>
      </c>
      <c r="CBI193" s="370" t="e">
        <f>10/CBE191</f>
        <v>#DIV/0!</v>
      </c>
      <c r="CBJ193" s="371">
        <v>15.38</v>
      </c>
      <c r="CBK193" s="371" t="e">
        <f>CBH193*CBI193*CBJ193</f>
        <v>#DIV/0!</v>
      </c>
      <c r="CBL193" s="367" t="s">
        <v>206</v>
      </c>
      <c r="CBM193" s="367"/>
      <c r="CBN193" s="367"/>
      <c r="CBO193" s="368" t="s">
        <v>168</v>
      </c>
      <c r="CBP193" s="369">
        <v>0.5</v>
      </c>
      <c r="CBQ193" s="370" t="e">
        <f>10/CBM191</f>
        <v>#DIV/0!</v>
      </c>
      <c r="CBR193" s="371">
        <v>15.38</v>
      </c>
      <c r="CBS193" s="371" t="e">
        <f>CBP193*CBQ193*CBR193</f>
        <v>#DIV/0!</v>
      </c>
      <c r="CBT193" s="367" t="s">
        <v>206</v>
      </c>
      <c r="CBU193" s="367"/>
      <c r="CBV193" s="367"/>
      <c r="CBW193" s="368" t="s">
        <v>168</v>
      </c>
      <c r="CBX193" s="369">
        <v>0.5</v>
      </c>
      <c r="CBY193" s="370" t="e">
        <f>10/CBU191</f>
        <v>#DIV/0!</v>
      </c>
      <c r="CBZ193" s="371">
        <v>15.38</v>
      </c>
      <c r="CCA193" s="371" t="e">
        <f>CBX193*CBY193*CBZ193</f>
        <v>#DIV/0!</v>
      </c>
      <c r="CCB193" s="367" t="s">
        <v>206</v>
      </c>
      <c r="CCC193" s="367"/>
      <c r="CCD193" s="367"/>
      <c r="CCE193" s="368" t="s">
        <v>168</v>
      </c>
      <c r="CCF193" s="369">
        <v>0.5</v>
      </c>
      <c r="CCG193" s="370" t="e">
        <f>10/CCC191</f>
        <v>#DIV/0!</v>
      </c>
      <c r="CCH193" s="371">
        <v>15.38</v>
      </c>
      <c r="CCI193" s="371" t="e">
        <f>CCF193*CCG193*CCH193</f>
        <v>#DIV/0!</v>
      </c>
      <c r="CCJ193" s="367" t="s">
        <v>206</v>
      </c>
      <c r="CCK193" s="367"/>
      <c r="CCL193" s="367"/>
      <c r="CCM193" s="368" t="s">
        <v>168</v>
      </c>
      <c r="CCN193" s="369">
        <v>0.5</v>
      </c>
      <c r="CCO193" s="370" t="e">
        <f>10/CCK191</f>
        <v>#DIV/0!</v>
      </c>
      <c r="CCP193" s="371">
        <v>15.38</v>
      </c>
      <c r="CCQ193" s="371" t="e">
        <f>CCN193*CCO193*CCP193</f>
        <v>#DIV/0!</v>
      </c>
      <c r="CCR193" s="367" t="s">
        <v>206</v>
      </c>
      <c r="CCS193" s="367"/>
      <c r="CCT193" s="367"/>
      <c r="CCU193" s="368" t="s">
        <v>168</v>
      </c>
      <c r="CCV193" s="369">
        <v>0.5</v>
      </c>
      <c r="CCW193" s="370" t="e">
        <f>10/CCS191</f>
        <v>#DIV/0!</v>
      </c>
      <c r="CCX193" s="371">
        <v>15.38</v>
      </c>
      <c r="CCY193" s="371" t="e">
        <f>CCV193*CCW193*CCX193</f>
        <v>#DIV/0!</v>
      </c>
      <c r="CCZ193" s="367" t="s">
        <v>206</v>
      </c>
      <c r="CDA193" s="367"/>
      <c r="CDB193" s="367"/>
      <c r="CDC193" s="368" t="s">
        <v>168</v>
      </c>
      <c r="CDD193" s="369">
        <v>0.5</v>
      </c>
      <c r="CDE193" s="370" t="e">
        <f>10/CDA191</f>
        <v>#DIV/0!</v>
      </c>
      <c r="CDF193" s="371">
        <v>15.38</v>
      </c>
      <c r="CDG193" s="371" t="e">
        <f>CDD193*CDE193*CDF193</f>
        <v>#DIV/0!</v>
      </c>
      <c r="CDH193" s="367" t="s">
        <v>206</v>
      </c>
      <c r="CDI193" s="367"/>
      <c r="CDJ193" s="367"/>
      <c r="CDK193" s="368" t="s">
        <v>168</v>
      </c>
      <c r="CDL193" s="369">
        <v>0.5</v>
      </c>
      <c r="CDM193" s="370" t="e">
        <f>10/CDI191</f>
        <v>#DIV/0!</v>
      </c>
      <c r="CDN193" s="371">
        <v>15.38</v>
      </c>
      <c r="CDO193" s="371" t="e">
        <f>CDL193*CDM193*CDN193</f>
        <v>#DIV/0!</v>
      </c>
      <c r="CDP193" s="367" t="s">
        <v>206</v>
      </c>
      <c r="CDQ193" s="367"/>
      <c r="CDR193" s="367"/>
      <c r="CDS193" s="368" t="s">
        <v>168</v>
      </c>
      <c r="CDT193" s="369">
        <v>0.5</v>
      </c>
      <c r="CDU193" s="370" t="e">
        <f>10/CDQ191</f>
        <v>#DIV/0!</v>
      </c>
      <c r="CDV193" s="371">
        <v>15.38</v>
      </c>
      <c r="CDW193" s="371" t="e">
        <f>CDT193*CDU193*CDV193</f>
        <v>#DIV/0!</v>
      </c>
      <c r="CDX193" s="367" t="s">
        <v>206</v>
      </c>
      <c r="CDY193" s="367"/>
      <c r="CDZ193" s="367"/>
      <c r="CEA193" s="368" t="s">
        <v>168</v>
      </c>
      <c r="CEB193" s="369">
        <v>0.5</v>
      </c>
      <c r="CEC193" s="370" t="e">
        <f>10/CDY191</f>
        <v>#DIV/0!</v>
      </c>
      <c r="CED193" s="371">
        <v>15.38</v>
      </c>
      <c r="CEE193" s="371" t="e">
        <f>CEB193*CEC193*CED193</f>
        <v>#DIV/0!</v>
      </c>
      <c r="CEF193" s="367" t="s">
        <v>206</v>
      </c>
      <c r="CEG193" s="367"/>
      <c r="CEH193" s="367"/>
      <c r="CEI193" s="368" t="s">
        <v>168</v>
      </c>
      <c r="CEJ193" s="369">
        <v>0.5</v>
      </c>
      <c r="CEK193" s="370" t="e">
        <f>10/CEG191</f>
        <v>#DIV/0!</v>
      </c>
      <c r="CEL193" s="371">
        <v>15.38</v>
      </c>
      <c r="CEM193" s="371" t="e">
        <f>CEJ193*CEK193*CEL193</f>
        <v>#DIV/0!</v>
      </c>
      <c r="CEN193" s="367" t="s">
        <v>206</v>
      </c>
      <c r="CEO193" s="367"/>
      <c r="CEP193" s="367"/>
      <c r="CEQ193" s="368" t="s">
        <v>168</v>
      </c>
      <c r="CER193" s="369">
        <v>0.5</v>
      </c>
      <c r="CES193" s="370" t="e">
        <f>10/CEO191</f>
        <v>#DIV/0!</v>
      </c>
      <c r="CET193" s="371">
        <v>15.38</v>
      </c>
      <c r="CEU193" s="371" t="e">
        <f>CER193*CES193*CET193</f>
        <v>#DIV/0!</v>
      </c>
      <c r="CEV193" s="367" t="s">
        <v>206</v>
      </c>
      <c r="CEW193" s="367"/>
      <c r="CEX193" s="367"/>
      <c r="CEY193" s="368" t="s">
        <v>168</v>
      </c>
      <c r="CEZ193" s="369">
        <v>0.5</v>
      </c>
      <c r="CFA193" s="370" t="e">
        <f>10/CEW191</f>
        <v>#DIV/0!</v>
      </c>
      <c r="CFB193" s="371">
        <v>15.38</v>
      </c>
      <c r="CFC193" s="371" t="e">
        <f>CEZ193*CFA193*CFB193</f>
        <v>#DIV/0!</v>
      </c>
      <c r="CFD193" s="367" t="s">
        <v>206</v>
      </c>
      <c r="CFE193" s="367"/>
      <c r="CFF193" s="367"/>
      <c r="CFG193" s="368" t="s">
        <v>168</v>
      </c>
      <c r="CFH193" s="369">
        <v>0.5</v>
      </c>
      <c r="CFI193" s="370" t="e">
        <f>10/CFE191</f>
        <v>#DIV/0!</v>
      </c>
      <c r="CFJ193" s="371">
        <v>15.38</v>
      </c>
      <c r="CFK193" s="371" t="e">
        <f>CFH193*CFI193*CFJ193</f>
        <v>#DIV/0!</v>
      </c>
      <c r="CFL193" s="367" t="s">
        <v>206</v>
      </c>
      <c r="CFM193" s="367"/>
      <c r="CFN193" s="367"/>
      <c r="CFO193" s="368" t="s">
        <v>168</v>
      </c>
      <c r="CFP193" s="369">
        <v>0.5</v>
      </c>
      <c r="CFQ193" s="370" t="e">
        <f>10/CFM191</f>
        <v>#DIV/0!</v>
      </c>
      <c r="CFR193" s="371">
        <v>15.38</v>
      </c>
      <c r="CFS193" s="371" t="e">
        <f>CFP193*CFQ193*CFR193</f>
        <v>#DIV/0!</v>
      </c>
      <c r="CFT193" s="367" t="s">
        <v>206</v>
      </c>
      <c r="CFU193" s="367"/>
      <c r="CFV193" s="367"/>
      <c r="CFW193" s="368" t="s">
        <v>168</v>
      </c>
      <c r="CFX193" s="369">
        <v>0.5</v>
      </c>
      <c r="CFY193" s="370" t="e">
        <f>10/CFU191</f>
        <v>#DIV/0!</v>
      </c>
      <c r="CFZ193" s="371">
        <v>15.38</v>
      </c>
      <c r="CGA193" s="371" t="e">
        <f>CFX193*CFY193*CFZ193</f>
        <v>#DIV/0!</v>
      </c>
      <c r="CGB193" s="367" t="s">
        <v>206</v>
      </c>
      <c r="CGC193" s="367"/>
      <c r="CGD193" s="367"/>
      <c r="CGE193" s="368" t="s">
        <v>168</v>
      </c>
      <c r="CGF193" s="369">
        <v>0.5</v>
      </c>
      <c r="CGG193" s="370" t="e">
        <f>10/CGC191</f>
        <v>#DIV/0!</v>
      </c>
      <c r="CGH193" s="371">
        <v>15.38</v>
      </c>
      <c r="CGI193" s="371" t="e">
        <f>CGF193*CGG193*CGH193</f>
        <v>#DIV/0!</v>
      </c>
      <c r="CGJ193" s="367" t="s">
        <v>206</v>
      </c>
      <c r="CGK193" s="367"/>
      <c r="CGL193" s="367"/>
      <c r="CGM193" s="368" t="s">
        <v>168</v>
      </c>
      <c r="CGN193" s="369">
        <v>0.5</v>
      </c>
      <c r="CGO193" s="370" t="e">
        <f>10/CGK191</f>
        <v>#DIV/0!</v>
      </c>
      <c r="CGP193" s="371">
        <v>15.38</v>
      </c>
      <c r="CGQ193" s="371" t="e">
        <f>CGN193*CGO193*CGP193</f>
        <v>#DIV/0!</v>
      </c>
      <c r="CGR193" s="367" t="s">
        <v>206</v>
      </c>
      <c r="CGS193" s="367"/>
      <c r="CGT193" s="367"/>
      <c r="CGU193" s="368" t="s">
        <v>168</v>
      </c>
      <c r="CGV193" s="369">
        <v>0.5</v>
      </c>
      <c r="CGW193" s="370" t="e">
        <f>10/CGS191</f>
        <v>#DIV/0!</v>
      </c>
      <c r="CGX193" s="371">
        <v>15.38</v>
      </c>
      <c r="CGY193" s="371" t="e">
        <f>CGV193*CGW193*CGX193</f>
        <v>#DIV/0!</v>
      </c>
      <c r="CGZ193" s="367" t="s">
        <v>206</v>
      </c>
      <c r="CHA193" s="367"/>
      <c r="CHB193" s="367"/>
      <c r="CHC193" s="368" t="s">
        <v>168</v>
      </c>
      <c r="CHD193" s="369">
        <v>0.5</v>
      </c>
      <c r="CHE193" s="370" t="e">
        <f>10/CHA191</f>
        <v>#DIV/0!</v>
      </c>
      <c r="CHF193" s="371">
        <v>15.38</v>
      </c>
      <c r="CHG193" s="371" t="e">
        <f>CHD193*CHE193*CHF193</f>
        <v>#DIV/0!</v>
      </c>
      <c r="CHH193" s="367" t="s">
        <v>206</v>
      </c>
      <c r="CHI193" s="367"/>
      <c r="CHJ193" s="367"/>
      <c r="CHK193" s="368" t="s">
        <v>168</v>
      </c>
      <c r="CHL193" s="369">
        <v>0.5</v>
      </c>
      <c r="CHM193" s="370" t="e">
        <f>10/CHI191</f>
        <v>#DIV/0!</v>
      </c>
      <c r="CHN193" s="371">
        <v>15.38</v>
      </c>
      <c r="CHO193" s="371" t="e">
        <f>CHL193*CHM193*CHN193</f>
        <v>#DIV/0!</v>
      </c>
      <c r="CHP193" s="367" t="s">
        <v>206</v>
      </c>
      <c r="CHQ193" s="367"/>
      <c r="CHR193" s="367"/>
      <c r="CHS193" s="368" t="s">
        <v>168</v>
      </c>
      <c r="CHT193" s="369">
        <v>0.5</v>
      </c>
      <c r="CHU193" s="370" t="e">
        <f>10/CHQ191</f>
        <v>#DIV/0!</v>
      </c>
      <c r="CHV193" s="371">
        <v>15.38</v>
      </c>
      <c r="CHW193" s="371" t="e">
        <f>CHT193*CHU193*CHV193</f>
        <v>#DIV/0!</v>
      </c>
      <c r="CHX193" s="367" t="s">
        <v>206</v>
      </c>
      <c r="CHY193" s="367"/>
      <c r="CHZ193" s="367"/>
      <c r="CIA193" s="368" t="s">
        <v>168</v>
      </c>
      <c r="CIB193" s="369">
        <v>0.5</v>
      </c>
      <c r="CIC193" s="370" t="e">
        <f>10/CHY191</f>
        <v>#DIV/0!</v>
      </c>
      <c r="CID193" s="371">
        <v>15.38</v>
      </c>
      <c r="CIE193" s="371" t="e">
        <f>CIB193*CIC193*CID193</f>
        <v>#DIV/0!</v>
      </c>
      <c r="CIF193" s="367" t="s">
        <v>206</v>
      </c>
      <c r="CIG193" s="367"/>
      <c r="CIH193" s="367"/>
      <c r="CII193" s="368" t="s">
        <v>168</v>
      </c>
      <c r="CIJ193" s="369">
        <v>0.5</v>
      </c>
      <c r="CIK193" s="370" t="e">
        <f>10/CIG191</f>
        <v>#DIV/0!</v>
      </c>
      <c r="CIL193" s="371">
        <v>15.38</v>
      </c>
      <c r="CIM193" s="371" t="e">
        <f>CIJ193*CIK193*CIL193</f>
        <v>#DIV/0!</v>
      </c>
      <c r="CIN193" s="367" t="s">
        <v>206</v>
      </c>
      <c r="CIO193" s="367"/>
      <c r="CIP193" s="367"/>
      <c r="CIQ193" s="368" t="s">
        <v>168</v>
      </c>
      <c r="CIR193" s="369">
        <v>0.5</v>
      </c>
      <c r="CIS193" s="370" t="e">
        <f>10/CIO191</f>
        <v>#DIV/0!</v>
      </c>
      <c r="CIT193" s="371">
        <v>15.38</v>
      </c>
      <c r="CIU193" s="371" t="e">
        <f>CIR193*CIS193*CIT193</f>
        <v>#DIV/0!</v>
      </c>
      <c r="CIV193" s="367" t="s">
        <v>206</v>
      </c>
      <c r="CIW193" s="367"/>
      <c r="CIX193" s="367"/>
      <c r="CIY193" s="368" t="s">
        <v>168</v>
      </c>
      <c r="CIZ193" s="369">
        <v>0.5</v>
      </c>
      <c r="CJA193" s="370" t="e">
        <f>10/CIW191</f>
        <v>#DIV/0!</v>
      </c>
      <c r="CJB193" s="371">
        <v>15.38</v>
      </c>
      <c r="CJC193" s="371" t="e">
        <f>CIZ193*CJA193*CJB193</f>
        <v>#DIV/0!</v>
      </c>
      <c r="CJD193" s="367" t="s">
        <v>206</v>
      </c>
      <c r="CJE193" s="367"/>
      <c r="CJF193" s="367"/>
      <c r="CJG193" s="368" t="s">
        <v>168</v>
      </c>
      <c r="CJH193" s="369">
        <v>0.5</v>
      </c>
      <c r="CJI193" s="370" t="e">
        <f>10/CJE191</f>
        <v>#DIV/0!</v>
      </c>
      <c r="CJJ193" s="371">
        <v>15.38</v>
      </c>
      <c r="CJK193" s="371" t="e">
        <f>CJH193*CJI193*CJJ193</f>
        <v>#DIV/0!</v>
      </c>
      <c r="CJL193" s="367" t="s">
        <v>206</v>
      </c>
      <c r="CJM193" s="367"/>
      <c r="CJN193" s="367"/>
      <c r="CJO193" s="368" t="s">
        <v>168</v>
      </c>
      <c r="CJP193" s="369">
        <v>0.5</v>
      </c>
      <c r="CJQ193" s="370" t="e">
        <f>10/CJM191</f>
        <v>#DIV/0!</v>
      </c>
      <c r="CJR193" s="371">
        <v>15.38</v>
      </c>
      <c r="CJS193" s="371" t="e">
        <f>CJP193*CJQ193*CJR193</f>
        <v>#DIV/0!</v>
      </c>
      <c r="CJT193" s="367" t="s">
        <v>206</v>
      </c>
      <c r="CJU193" s="367"/>
      <c r="CJV193" s="367"/>
      <c r="CJW193" s="368" t="s">
        <v>168</v>
      </c>
      <c r="CJX193" s="369">
        <v>0.5</v>
      </c>
      <c r="CJY193" s="370" t="e">
        <f>10/CJU191</f>
        <v>#DIV/0!</v>
      </c>
      <c r="CJZ193" s="371">
        <v>15.38</v>
      </c>
      <c r="CKA193" s="371" t="e">
        <f>CJX193*CJY193*CJZ193</f>
        <v>#DIV/0!</v>
      </c>
      <c r="CKB193" s="367" t="s">
        <v>206</v>
      </c>
      <c r="CKC193" s="367"/>
      <c r="CKD193" s="367"/>
      <c r="CKE193" s="368" t="s">
        <v>168</v>
      </c>
      <c r="CKF193" s="369">
        <v>0.5</v>
      </c>
      <c r="CKG193" s="370" t="e">
        <f>10/CKC191</f>
        <v>#DIV/0!</v>
      </c>
      <c r="CKH193" s="371">
        <v>15.38</v>
      </c>
      <c r="CKI193" s="371" t="e">
        <f>CKF193*CKG193*CKH193</f>
        <v>#DIV/0!</v>
      </c>
      <c r="CKJ193" s="367" t="s">
        <v>206</v>
      </c>
      <c r="CKK193" s="367"/>
      <c r="CKL193" s="367"/>
      <c r="CKM193" s="368" t="s">
        <v>168</v>
      </c>
      <c r="CKN193" s="369">
        <v>0.5</v>
      </c>
      <c r="CKO193" s="370" t="e">
        <f>10/CKK191</f>
        <v>#DIV/0!</v>
      </c>
      <c r="CKP193" s="371">
        <v>15.38</v>
      </c>
      <c r="CKQ193" s="371" t="e">
        <f>CKN193*CKO193*CKP193</f>
        <v>#DIV/0!</v>
      </c>
      <c r="CKR193" s="367" t="s">
        <v>206</v>
      </c>
      <c r="CKS193" s="367"/>
      <c r="CKT193" s="367"/>
      <c r="CKU193" s="368" t="s">
        <v>168</v>
      </c>
      <c r="CKV193" s="369">
        <v>0.5</v>
      </c>
      <c r="CKW193" s="370" t="e">
        <f>10/CKS191</f>
        <v>#DIV/0!</v>
      </c>
      <c r="CKX193" s="371">
        <v>15.38</v>
      </c>
      <c r="CKY193" s="371" t="e">
        <f>CKV193*CKW193*CKX193</f>
        <v>#DIV/0!</v>
      </c>
      <c r="CKZ193" s="367" t="s">
        <v>206</v>
      </c>
      <c r="CLA193" s="367"/>
      <c r="CLB193" s="367"/>
      <c r="CLC193" s="368" t="s">
        <v>168</v>
      </c>
      <c r="CLD193" s="369">
        <v>0.5</v>
      </c>
      <c r="CLE193" s="370" t="e">
        <f>10/CLA191</f>
        <v>#DIV/0!</v>
      </c>
      <c r="CLF193" s="371">
        <v>15.38</v>
      </c>
      <c r="CLG193" s="371" t="e">
        <f>CLD193*CLE193*CLF193</f>
        <v>#DIV/0!</v>
      </c>
      <c r="CLH193" s="367" t="s">
        <v>206</v>
      </c>
      <c r="CLI193" s="367"/>
      <c r="CLJ193" s="367"/>
      <c r="CLK193" s="368" t="s">
        <v>168</v>
      </c>
      <c r="CLL193" s="369">
        <v>0.5</v>
      </c>
      <c r="CLM193" s="370" t="e">
        <f>10/CLI191</f>
        <v>#DIV/0!</v>
      </c>
      <c r="CLN193" s="371">
        <v>15.38</v>
      </c>
      <c r="CLO193" s="371" t="e">
        <f>CLL193*CLM193*CLN193</f>
        <v>#DIV/0!</v>
      </c>
      <c r="CLP193" s="367" t="s">
        <v>206</v>
      </c>
      <c r="CLQ193" s="367"/>
      <c r="CLR193" s="367"/>
      <c r="CLS193" s="368" t="s">
        <v>168</v>
      </c>
      <c r="CLT193" s="369">
        <v>0.5</v>
      </c>
      <c r="CLU193" s="370" t="e">
        <f>10/CLQ191</f>
        <v>#DIV/0!</v>
      </c>
      <c r="CLV193" s="371">
        <v>15.38</v>
      </c>
      <c r="CLW193" s="371" t="e">
        <f>CLT193*CLU193*CLV193</f>
        <v>#DIV/0!</v>
      </c>
      <c r="CLX193" s="367" t="s">
        <v>206</v>
      </c>
      <c r="CLY193" s="367"/>
      <c r="CLZ193" s="367"/>
      <c r="CMA193" s="368" t="s">
        <v>168</v>
      </c>
      <c r="CMB193" s="369">
        <v>0.5</v>
      </c>
      <c r="CMC193" s="370" t="e">
        <f>10/CLY191</f>
        <v>#DIV/0!</v>
      </c>
      <c r="CMD193" s="371">
        <v>15.38</v>
      </c>
      <c r="CME193" s="371" t="e">
        <f>CMB193*CMC193*CMD193</f>
        <v>#DIV/0!</v>
      </c>
      <c r="CMF193" s="367" t="s">
        <v>206</v>
      </c>
      <c r="CMG193" s="367"/>
      <c r="CMH193" s="367"/>
      <c r="CMI193" s="368" t="s">
        <v>168</v>
      </c>
      <c r="CMJ193" s="369">
        <v>0.5</v>
      </c>
      <c r="CMK193" s="370" t="e">
        <f>10/CMG191</f>
        <v>#DIV/0!</v>
      </c>
      <c r="CML193" s="371">
        <v>15.38</v>
      </c>
      <c r="CMM193" s="371" t="e">
        <f>CMJ193*CMK193*CML193</f>
        <v>#DIV/0!</v>
      </c>
      <c r="CMN193" s="367" t="s">
        <v>206</v>
      </c>
      <c r="CMO193" s="367"/>
      <c r="CMP193" s="367"/>
      <c r="CMQ193" s="368" t="s">
        <v>168</v>
      </c>
      <c r="CMR193" s="369">
        <v>0.5</v>
      </c>
      <c r="CMS193" s="370" t="e">
        <f>10/CMO191</f>
        <v>#DIV/0!</v>
      </c>
      <c r="CMT193" s="371">
        <v>15.38</v>
      </c>
      <c r="CMU193" s="371" t="e">
        <f>CMR193*CMS193*CMT193</f>
        <v>#DIV/0!</v>
      </c>
      <c r="CMV193" s="367" t="s">
        <v>206</v>
      </c>
      <c r="CMW193" s="367"/>
      <c r="CMX193" s="367"/>
      <c r="CMY193" s="368" t="s">
        <v>168</v>
      </c>
      <c r="CMZ193" s="369">
        <v>0.5</v>
      </c>
      <c r="CNA193" s="370" t="e">
        <f>10/CMW191</f>
        <v>#DIV/0!</v>
      </c>
      <c r="CNB193" s="371">
        <v>15.38</v>
      </c>
      <c r="CNC193" s="371" t="e">
        <f>CMZ193*CNA193*CNB193</f>
        <v>#DIV/0!</v>
      </c>
      <c r="CND193" s="367" t="s">
        <v>206</v>
      </c>
      <c r="CNE193" s="367"/>
      <c r="CNF193" s="367"/>
      <c r="CNG193" s="368" t="s">
        <v>168</v>
      </c>
      <c r="CNH193" s="369">
        <v>0.5</v>
      </c>
      <c r="CNI193" s="370" t="e">
        <f>10/CNE191</f>
        <v>#DIV/0!</v>
      </c>
      <c r="CNJ193" s="371">
        <v>15.38</v>
      </c>
      <c r="CNK193" s="371" t="e">
        <f>CNH193*CNI193*CNJ193</f>
        <v>#DIV/0!</v>
      </c>
      <c r="CNL193" s="367" t="s">
        <v>206</v>
      </c>
      <c r="CNM193" s="367"/>
      <c r="CNN193" s="367"/>
      <c r="CNO193" s="368" t="s">
        <v>168</v>
      </c>
      <c r="CNP193" s="369">
        <v>0.5</v>
      </c>
      <c r="CNQ193" s="370" t="e">
        <f>10/CNM191</f>
        <v>#DIV/0!</v>
      </c>
      <c r="CNR193" s="371">
        <v>15.38</v>
      </c>
      <c r="CNS193" s="371" t="e">
        <f>CNP193*CNQ193*CNR193</f>
        <v>#DIV/0!</v>
      </c>
      <c r="CNT193" s="367" t="s">
        <v>206</v>
      </c>
      <c r="CNU193" s="367"/>
      <c r="CNV193" s="367"/>
      <c r="CNW193" s="368" t="s">
        <v>168</v>
      </c>
      <c r="CNX193" s="369">
        <v>0.5</v>
      </c>
      <c r="CNY193" s="370" t="e">
        <f>10/CNU191</f>
        <v>#DIV/0!</v>
      </c>
      <c r="CNZ193" s="371">
        <v>15.38</v>
      </c>
      <c r="COA193" s="371" t="e">
        <f>CNX193*CNY193*CNZ193</f>
        <v>#DIV/0!</v>
      </c>
      <c r="COB193" s="367" t="s">
        <v>206</v>
      </c>
      <c r="COC193" s="367"/>
      <c r="COD193" s="367"/>
      <c r="COE193" s="368" t="s">
        <v>168</v>
      </c>
      <c r="COF193" s="369">
        <v>0.5</v>
      </c>
      <c r="COG193" s="370" t="e">
        <f>10/COC191</f>
        <v>#DIV/0!</v>
      </c>
      <c r="COH193" s="371">
        <v>15.38</v>
      </c>
      <c r="COI193" s="371" t="e">
        <f>COF193*COG193*COH193</f>
        <v>#DIV/0!</v>
      </c>
      <c r="COJ193" s="367" t="s">
        <v>206</v>
      </c>
      <c r="COK193" s="367"/>
      <c r="COL193" s="367"/>
      <c r="COM193" s="368" t="s">
        <v>168</v>
      </c>
      <c r="CON193" s="369">
        <v>0.5</v>
      </c>
      <c r="COO193" s="370" t="e">
        <f>10/COK191</f>
        <v>#DIV/0!</v>
      </c>
      <c r="COP193" s="371">
        <v>15.38</v>
      </c>
      <c r="COQ193" s="371" t="e">
        <f>CON193*COO193*COP193</f>
        <v>#DIV/0!</v>
      </c>
      <c r="COR193" s="367" t="s">
        <v>206</v>
      </c>
      <c r="COS193" s="367"/>
      <c r="COT193" s="367"/>
      <c r="COU193" s="368" t="s">
        <v>168</v>
      </c>
      <c r="COV193" s="369">
        <v>0.5</v>
      </c>
      <c r="COW193" s="370" t="e">
        <f>10/COS191</f>
        <v>#DIV/0!</v>
      </c>
      <c r="COX193" s="371">
        <v>15.38</v>
      </c>
      <c r="COY193" s="371" t="e">
        <f>COV193*COW193*COX193</f>
        <v>#DIV/0!</v>
      </c>
      <c r="COZ193" s="367" t="s">
        <v>206</v>
      </c>
      <c r="CPA193" s="367"/>
      <c r="CPB193" s="367"/>
      <c r="CPC193" s="368" t="s">
        <v>168</v>
      </c>
      <c r="CPD193" s="369">
        <v>0.5</v>
      </c>
      <c r="CPE193" s="370" t="e">
        <f>10/CPA191</f>
        <v>#DIV/0!</v>
      </c>
      <c r="CPF193" s="371">
        <v>15.38</v>
      </c>
      <c r="CPG193" s="371" t="e">
        <f>CPD193*CPE193*CPF193</f>
        <v>#DIV/0!</v>
      </c>
      <c r="CPH193" s="367" t="s">
        <v>206</v>
      </c>
      <c r="CPI193" s="367"/>
      <c r="CPJ193" s="367"/>
      <c r="CPK193" s="368" t="s">
        <v>168</v>
      </c>
      <c r="CPL193" s="369">
        <v>0.5</v>
      </c>
      <c r="CPM193" s="370" t="e">
        <f>10/CPI191</f>
        <v>#DIV/0!</v>
      </c>
      <c r="CPN193" s="371">
        <v>15.38</v>
      </c>
      <c r="CPO193" s="371" t="e">
        <f>CPL193*CPM193*CPN193</f>
        <v>#DIV/0!</v>
      </c>
      <c r="CPP193" s="367" t="s">
        <v>206</v>
      </c>
      <c r="CPQ193" s="367"/>
      <c r="CPR193" s="367"/>
      <c r="CPS193" s="368" t="s">
        <v>168</v>
      </c>
      <c r="CPT193" s="369">
        <v>0.5</v>
      </c>
      <c r="CPU193" s="370" t="e">
        <f>10/CPQ191</f>
        <v>#DIV/0!</v>
      </c>
      <c r="CPV193" s="371">
        <v>15.38</v>
      </c>
      <c r="CPW193" s="371" t="e">
        <f>CPT193*CPU193*CPV193</f>
        <v>#DIV/0!</v>
      </c>
      <c r="CPX193" s="367" t="s">
        <v>206</v>
      </c>
      <c r="CPY193" s="367"/>
      <c r="CPZ193" s="367"/>
      <c r="CQA193" s="368" t="s">
        <v>168</v>
      </c>
      <c r="CQB193" s="369">
        <v>0.5</v>
      </c>
      <c r="CQC193" s="370" t="e">
        <f>10/CPY191</f>
        <v>#DIV/0!</v>
      </c>
      <c r="CQD193" s="371">
        <v>15.38</v>
      </c>
      <c r="CQE193" s="371" t="e">
        <f>CQB193*CQC193*CQD193</f>
        <v>#DIV/0!</v>
      </c>
      <c r="CQF193" s="367" t="s">
        <v>206</v>
      </c>
      <c r="CQG193" s="367"/>
      <c r="CQH193" s="367"/>
      <c r="CQI193" s="368" t="s">
        <v>168</v>
      </c>
      <c r="CQJ193" s="369">
        <v>0.5</v>
      </c>
      <c r="CQK193" s="370" t="e">
        <f>10/CQG191</f>
        <v>#DIV/0!</v>
      </c>
      <c r="CQL193" s="371">
        <v>15.38</v>
      </c>
      <c r="CQM193" s="371" t="e">
        <f>CQJ193*CQK193*CQL193</f>
        <v>#DIV/0!</v>
      </c>
      <c r="CQN193" s="367" t="s">
        <v>206</v>
      </c>
      <c r="CQO193" s="367"/>
      <c r="CQP193" s="367"/>
      <c r="CQQ193" s="368" t="s">
        <v>168</v>
      </c>
      <c r="CQR193" s="369">
        <v>0.5</v>
      </c>
      <c r="CQS193" s="370" t="e">
        <f>10/CQO191</f>
        <v>#DIV/0!</v>
      </c>
      <c r="CQT193" s="371">
        <v>15.38</v>
      </c>
      <c r="CQU193" s="371" t="e">
        <f>CQR193*CQS193*CQT193</f>
        <v>#DIV/0!</v>
      </c>
      <c r="CQV193" s="367" t="s">
        <v>206</v>
      </c>
      <c r="CQW193" s="367"/>
      <c r="CQX193" s="367"/>
      <c r="CQY193" s="368" t="s">
        <v>168</v>
      </c>
      <c r="CQZ193" s="369">
        <v>0.5</v>
      </c>
      <c r="CRA193" s="370" t="e">
        <f>10/CQW191</f>
        <v>#DIV/0!</v>
      </c>
      <c r="CRB193" s="371">
        <v>15.38</v>
      </c>
      <c r="CRC193" s="371" t="e">
        <f>CQZ193*CRA193*CRB193</f>
        <v>#DIV/0!</v>
      </c>
      <c r="CRD193" s="367" t="s">
        <v>206</v>
      </c>
      <c r="CRE193" s="367"/>
      <c r="CRF193" s="367"/>
      <c r="CRG193" s="368" t="s">
        <v>168</v>
      </c>
      <c r="CRH193" s="369">
        <v>0.5</v>
      </c>
      <c r="CRI193" s="370" t="e">
        <f>10/CRE191</f>
        <v>#DIV/0!</v>
      </c>
      <c r="CRJ193" s="371">
        <v>15.38</v>
      </c>
      <c r="CRK193" s="371" t="e">
        <f>CRH193*CRI193*CRJ193</f>
        <v>#DIV/0!</v>
      </c>
      <c r="CRL193" s="367" t="s">
        <v>206</v>
      </c>
      <c r="CRM193" s="367"/>
      <c r="CRN193" s="367"/>
      <c r="CRO193" s="368" t="s">
        <v>168</v>
      </c>
      <c r="CRP193" s="369">
        <v>0.5</v>
      </c>
      <c r="CRQ193" s="370" t="e">
        <f>10/CRM191</f>
        <v>#DIV/0!</v>
      </c>
      <c r="CRR193" s="371">
        <v>15.38</v>
      </c>
      <c r="CRS193" s="371" t="e">
        <f>CRP193*CRQ193*CRR193</f>
        <v>#DIV/0!</v>
      </c>
      <c r="CRT193" s="367" t="s">
        <v>206</v>
      </c>
      <c r="CRU193" s="367"/>
      <c r="CRV193" s="367"/>
      <c r="CRW193" s="368" t="s">
        <v>168</v>
      </c>
      <c r="CRX193" s="369">
        <v>0.5</v>
      </c>
      <c r="CRY193" s="370" t="e">
        <f>10/CRU191</f>
        <v>#DIV/0!</v>
      </c>
      <c r="CRZ193" s="371">
        <v>15.38</v>
      </c>
      <c r="CSA193" s="371" t="e">
        <f>CRX193*CRY193*CRZ193</f>
        <v>#DIV/0!</v>
      </c>
      <c r="CSB193" s="367" t="s">
        <v>206</v>
      </c>
      <c r="CSC193" s="367"/>
      <c r="CSD193" s="367"/>
      <c r="CSE193" s="368" t="s">
        <v>168</v>
      </c>
      <c r="CSF193" s="369">
        <v>0.5</v>
      </c>
      <c r="CSG193" s="370" t="e">
        <f>10/CSC191</f>
        <v>#DIV/0!</v>
      </c>
      <c r="CSH193" s="371">
        <v>15.38</v>
      </c>
      <c r="CSI193" s="371" t="e">
        <f>CSF193*CSG193*CSH193</f>
        <v>#DIV/0!</v>
      </c>
      <c r="CSJ193" s="367" t="s">
        <v>206</v>
      </c>
      <c r="CSK193" s="367"/>
      <c r="CSL193" s="367"/>
      <c r="CSM193" s="368" t="s">
        <v>168</v>
      </c>
      <c r="CSN193" s="369">
        <v>0.5</v>
      </c>
      <c r="CSO193" s="370" t="e">
        <f>10/CSK191</f>
        <v>#DIV/0!</v>
      </c>
      <c r="CSP193" s="371">
        <v>15.38</v>
      </c>
      <c r="CSQ193" s="371" t="e">
        <f>CSN193*CSO193*CSP193</f>
        <v>#DIV/0!</v>
      </c>
      <c r="CSR193" s="367" t="s">
        <v>206</v>
      </c>
      <c r="CSS193" s="367"/>
      <c r="CST193" s="367"/>
      <c r="CSU193" s="368" t="s">
        <v>168</v>
      </c>
      <c r="CSV193" s="369">
        <v>0.5</v>
      </c>
      <c r="CSW193" s="370" t="e">
        <f>10/CSS191</f>
        <v>#DIV/0!</v>
      </c>
      <c r="CSX193" s="371">
        <v>15.38</v>
      </c>
      <c r="CSY193" s="371" t="e">
        <f>CSV193*CSW193*CSX193</f>
        <v>#DIV/0!</v>
      </c>
      <c r="CSZ193" s="367" t="s">
        <v>206</v>
      </c>
      <c r="CTA193" s="367"/>
      <c r="CTB193" s="367"/>
      <c r="CTC193" s="368" t="s">
        <v>168</v>
      </c>
      <c r="CTD193" s="369">
        <v>0.5</v>
      </c>
      <c r="CTE193" s="370" t="e">
        <f>10/CTA191</f>
        <v>#DIV/0!</v>
      </c>
      <c r="CTF193" s="371">
        <v>15.38</v>
      </c>
      <c r="CTG193" s="371" t="e">
        <f>CTD193*CTE193*CTF193</f>
        <v>#DIV/0!</v>
      </c>
      <c r="CTH193" s="367" t="s">
        <v>206</v>
      </c>
      <c r="CTI193" s="367"/>
      <c r="CTJ193" s="367"/>
      <c r="CTK193" s="368" t="s">
        <v>168</v>
      </c>
      <c r="CTL193" s="369">
        <v>0.5</v>
      </c>
      <c r="CTM193" s="370" t="e">
        <f>10/CTI191</f>
        <v>#DIV/0!</v>
      </c>
      <c r="CTN193" s="371">
        <v>15.38</v>
      </c>
      <c r="CTO193" s="371" t="e">
        <f>CTL193*CTM193*CTN193</f>
        <v>#DIV/0!</v>
      </c>
      <c r="CTP193" s="367" t="s">
        <v>206</v>
      </c>
      <c r="CTQ193" s="367"/>
      <c r="CTR193" s="367"/>
      <c r="CTS193" s="368" t="s">
        <v>168</v>
      </c>
      <c r="CTT193" s="369">
        <v>0.5</v>
      </c>
      <c r="CTU193" s="370" t="e">
        <f>10/CTQ191</f>
        <v>#DIV/0!</v>
      </c>
      <c r="CTV193" s="371">
        <v>15.38</v>
      </c>
      <c r="CTW193" s="371" t="e">
        <f>CTT193*CTU193*CTV193</f>
        <v>#DIV/0!</v>
      </c>
      <c r="CTX193" s="367" t="s">
        <v>206</v>
      </c>
      <c r="CTY193" s="367"/>
      <c r="CTZ193" s="367"/>
      <c r="CUA193" s="368" t="s">
        <v>168</v>
      </c>
      <c r="CUB193" s="369">
        <v>0.5</v>
      </c>
      <c r="CUC193" s="370" t="e">
        <f>10/CTY191</f>
        <v>#DIV/0!</v>
      </c>
      <c r="CUD193" s="371">
        <v>15.38</v>
      </c>
      <c r="CUE193" s="371" t="e">
        <f>CUB193*CUC193*CUD193</f>
        <v>#DIV/0!</v>
      </c>
      <c r="CUF193" s="367" t="s">
        <v>206</v>
      </c>
      <c r="CUG193" s="367"/>
      <c r="CUH193" s="367"/>
      <c r="CUI193" s="368" t="s">
        <v>168</v>
      </c>
      <c r="CUJ193" s="369">
        <v>0.5</v>
      </c>
      <c r="CUK193" s="370" t="e">
        <f>10/CUG191</f>
        <v>#DIV/0!</v>
      </c>
      <c r="CUL193" s="371">
        <v>15.38</v>
      </c>
      <c r="CUM193" s="371" t="e">
        <f>CUJ193*CUK193*CUL193</f>
        <v>#DIV/0!</v>
      </c>
      <c r="CUN193" s="367" t="s">
        <v>206</v>
      </c>
      <c r="CUO193" s="367"/>
      <c r="CUP193" s="367"/>
      <c r="CUQ193" s="368" t="s">
        <v>168</v>
      </c>
      <c r="CUR193" s="369">
        <v>0.5</v>
      </c>
      <c r="CUS193" s="370" t="e">
        <f>10/CUO191</f>
        <v>#DIV/0!</v>
      </c>
      <c r="CUT193" s="371">
        <v>15.38</v>
      </c>
      <c r="CUU193" s="371" t="e">
        <f>CUR193*CUS193*CUT193</f>
        <v>#DIV/0!</v>
      </c>
      <c r="CUV193" s="367" t="s">
        <v>206</v>
      </c>
      <c r="CUW193" s="367"/>
      <c r="CUX193" s="367"/>
      <c r="CUY193" s="368" t="s">
        <v>168</v>
      </c>
      <c r="CUZ193" s="369">
        <v>0.5</v>
      </c>
      <c r="CVA193" s="370" t="e">
        <f>10/CUW191</f>
        <v>#DIV/0!</v>
      </c>
      <c r="CVB193" s="371">
        <v>15.38</v>
      </c>
      <c r="CVC193" s="371" t="e">
        <f>CUZ193*CVA193*CVB193</f>
        <v>#DIV/0!</v>
      </c>
      <c r="CVD193" s="367" t="s">
        <v>206</v>
      </c>
      <c r="CVE193" s="367"/>
      <c r="CVF193" s="367"/>
      <c r="CVG193" s="368" t="s">
        <v>168</v>
      </c>
      <c r="CVH193" s="369">
        <v>0.5</v>
      </c>
      <c r="CVI193" s="370" t="e">
        <f>10/CVE191</f>
        <v>#DIV/0!</v>
      </c>
      <c r="CVJ193" s="371">
        <v>15.38</v>
      </c>
      <c r="CVK193" s="371" t="e">
        <f>CVH193*CVI193*CVJ193</f>
        <v>#DIV/0!</v>
      </c>
      <c r="CVL193" s="367" t="s">
        <v>206</v>
      </c>
      <c r="CVM193" s="367"/>
      <c r="CVN193" s="367"/>
      <c r="CVO193" s="368" t="s">
        <v>168</v>
      </c>
      <c r="CVP193" s="369">
        <v>0.5</v>
      </c>
      <c r="CVQ193" s="370" t="e">
        <f>10/CVM191</f>
        <v>#DIV/0!</v>
      </c>
      <c r="CVR193" s="371">
        <v>15.38</v>
      </c>
      <c r="CVS193" s="371" t="e">
        <f>CVP193*CVQ193*CVR193</f>
        <v>#DIV/0!</v>
      </c>
      <c r="CVT193" s="367" t="s">
        <v>206</v>
      </c>
      <c r="CVU193" s="367"/>
      <c r="CVV193" s="367"/>
      <c r="CVW193" s="368" t="s">
        <v>168</v>
      </c>
      <c r="CVX193" s="369">
        <v>0.5</v>
      </c>
      <c r="CVY193" s="370" t="e">
        <f>10/CVU191</f>
        <v>#DIV/0!</v>
      </c>
      <c r="CVZ193" s="371">
        <v>15.38</v>
      </c>
      <c r="CWA193" s="371" t="e">
        <f>CVX193*CVY193*CVZ193</f>
        <v>#DIV/0!</v>
      </c>
      <c r="CWB193" s="367" t="s">
        <v>206</v>
      </c>
      <c r="CWC193" s="367"/>
      <c r="CWD193" s="367"/>
      <c r="CWE193" s="368" t="s">
        <v>168</v>
      </c>
      <c r="CWF193" s="369">
        <v>0.5</v>
      </c>
      <c r="CWG193" s="370" t="e">
        <f>10/CWC191</f>
        <v>#DIV/0!</v>
      </c>
      <c r="CWH193" s="371">
        <v>15.38</v>
      </c>
      <c r="CWI193" s="371" t="e">
        <f>CWF193*CWG193*CWH193</f>
        <v>#DIV/0!</v>
      </c>
      <c r="CWJ193" s="367" t="s">
        <v>206</v>
      </c>
      <c r="CWK193" s="367"/>
      <c r="CWL193" s="367"/>
      <c r="CWM193" s="368" t="s">
        <v>168</v>
      </c>
      <c r="CWN193" s="369">
        <v>0.5</v>
      </c>
      <c r="CWO193" s="370" t="e">
        <f>10/CWK191</f>
        <v>#DIV/0!</v>
      </c>
      <c r="CWP193" s="371">
        <v>15.38</v>
      </c>
      <c r="CWQ193" s="371" t="e">
        <f>CWN193*CWO193*CWP193</f>
        <v>#DIV/0!</v>
      </c>
      <c r="CWR193" s="367" t="s">
        <v>206</v>
      </c>
      <c r="CWS193" s="367"/>
      <c r="CWT193" s="367"/>
      <c r="CWU193" s="368" t="s">
        <v>168</v>
      </c>
      <c r="CWV193" s="369">
        <v>0.5</v>
      </c>
      <c r="CWW193" s="370" t="e">
        <f>10/CWS191</f>
        <v>#DIV/0!</v>
      </c>
      <c r="CWX193" s="371">
        <v>15.38</v>
      </c>
      <c r="CWY193" s="371" t="e">
        <f>CWV193*CWW193*CWX193</f>
        <v>#DIV/0!</v>
      </c>
      <c r="CWZ193" s="367" t="s">
        <v>206</v>
      </c>
      <c r="CXA193" s="367"/>
      <c r="CXB193" s="367"/>
      <c r="CXC193" s="368" t="s">
        <v>168</v>
      </c>
      <c r="CXD193" s="369">
        <v>0.5</v>
      </c>
      <c r="CXE193" s="370" t="e">
        <f>10/CXA191</f>
        <v>#DIV/0!</v>
      </c>
      <c r="CXF193" s="371">
        <v>15.38</v>
      </c>
      <c r="CXG193" s="371" t="e">
        <f>CXD193*CXE193*CXF193</f>
        <v>#DIV/0!</v>
      </c>
      <c r="CXH193" s="367" t="s">
        <v>206</v>
      </c>
      <c r="CXI193" s="367"/>
      <c r="CXJ193" s="367"/>
      <c r="CXK193" s="368" t="s">
        <v>168</v>
      </c>
      <c r="CXL193" s="369">
        <v>0.5</v>
      </c>
      <c r="CXM193" s="370" t="e">
        <f>10/CXI191</f>
        <v>#DIV/0!</v>
      </c>
      <c r="CXN193" s="371">
        <v>15.38</v>
      </c>
      <c r="CXO193" s="371" t="e">
        <f>CXL193*CXM193*CXN193</f>
        <v>#DIV/0!</v>
      </c>
      <c r="CXP193" s="367" t="s">
        <v>206</v>
      </c>
      <c r="CXQ193" s="367"/>
      <c r="CXR193" s="367"/>
      <c r="CXS193" s="368" t="s">
        <v>168</v>
      </c>
      <c r="CXT193" s="369">
        <v>0.5</v>
      </c>
      <c r="CXU193" s="370" t="e">
        <f>10/CXQ191</f>
        <v>#DIV/0!</v>
      </c>
      <c r="CXV193" s="371">
        <v>15.38</v>
      </c>
      <c r="CXW193" s="371" t="e">
        <f>CXT193*CXU193*CXV193</f>
        <v>#DIV/0!</v>
      </c>
      <c r="CXX193" s="367" t="s">
        <v>206</v>
      </c>
      <c r="CXY193" s="367"/>
      <c r="CXZ193" s="367"/>
      <c r="CYA193" s="368" t="s">
        <v>168</v>
      </c>
      <c r="CYB193" s="369">
        <v>0.5</v>
      </c>
      <c r="CYC193" s="370" t="e">
        <f>10/CXY191</f>
        <v>#DIV/0!</v>
      </c>
      <c r="CYD193" s="371">
        <v>15.38</v>
      </c>
      <c r="CYE193" s="371" t="e">
        <f>CYB193*CYC193*CYD193</f>
        <v>#DIV/0!</v>
      </c>
      <c r="CYF193" s="367" t="s">
        <v>206</v>
      </c>
      <c r="CYG193" s="367"/>
      <c r="CYH193" s="367"/>
      <c r="CYI193" s="368" t="s">
        <v>168</v>
      </c>
      <c r="CYJ193" s="369">
        <v>0.5</v>
      </c>
      <c r="CYK193" s="370" t="e">
        <f>10/CYG191</f>
        <v>#DIV/0!</v>
      </c>
      <c r="CYL193" s="371">
        <v>15.38</v>
      </c>
      <c r="CYM193" s="371" t="e">
        <f>CYJ193*CYK193*CYL193</f>
        <v>#DIV/0!</v>
      </c>
      <c r="CYN193" s="367" t="s">
        <v>206</v>
      </c>
      <c r="CYO193" s="367"/>
      <c r="CYP193" s="367"/>
      <c r="CYQ193" s="368" t="s">
        <v>168</v>
      </c>
      <c r="CYR193" s="369">
        <v>0.5</v>
      </c>
      <c r="CYS193" s="370" t="e">
        <f>10/CYO191</f>
        <v>#DIV/0!</v>
      </c>
      <c r="CYT193" s="371">
        <v>15.38</v>
      </c>
      <c r="CYU193" s="371" t="e">
        <f>CYR193*CYS193*CYT193</f>
        <v>#DIV/0!</v>
      </c>
      <c r="CYV193" s="367" t="s">
        <v>206</v>
      </c>
      <c r="CYW193" s="367"/>
      <c r="CYX193" s="367"/>
      <c r="CYY193" s="368" t="s">
        <v>168</v>
      </c>
      <c r="CYZ193" s="369">
        <v>0.5</v>
      </c>
      <c r="CZA193" s="370" t="e">
        <f>10/CYW191</f>
        <v>#DIV/0!</v>
      </c>
      <c r="CZB193" s="371">
        <v>15.38</v>
      </c>
      <c r="CZC193" s="371" t="e">
        <f>CYZ193*CZA193*CZB193</f>
        <v>#DIV/0!</v>
      </c>
      <c r="CZD193" s="367" t="s">
        <v>206</v>
      </c>
      <c r="CZE193" s="367"/>
      <c r="CZF193" s="367"/>
      <c r="CZG193" s="368" t="s">
        <v>168</v>
      </c>
      <c r="CZH193" s="369">
        <v>0.5</v>
      </c>
      <c r="CZI193" s="370" t="e">
        <f>10/CZE191</f>
        <v>#DIV/0!</v>
      </c>
      <c r="CZJ193" s="371">
        <v>15.38</v>
      </c>
      <c r="CZK193" s="371" t="e">
        <f>CZH193*CZI193*CZJ193</f>
        <v>#DIV/0!</v>
      </c>
      <c r="CZL193" s="367" t="s">
        <v>206</v>
      </c>
      <c r="CZM193" s="367"/>
      <c r="CZN193" s="367"/>
      <c r="CZO193" s="368" t="s">
        <v>168</v>
      </c>
      <c r="CZP193" s="369">
        <v>0.5</v>
      </c>
      <c r="CZQ193" s="370" t="e">
        <f>10/CZM191</f>
        <v>#DIV/0!</v>
      </c>
      <c r="CZR193" s="371">
        <v>15.38</v>
      </c>
      <c r="CZS193" s="371" t="e">
        <f>CZP193*CZQ193*CZR193</f>
        <v>#DIV/0!</v>
      </c>
      <c r="CZT193" s="367" t="s">
        <v>206</v>
      </c>
      <c r="CZU193" s="367"/>
      <c r="CZV193" s="367"/>
      <c r="CZW193" s="368" t="s">
        <v>168</v>
      </c>
      <c r="CZX193" s="369">
        <v>0.5</v>
      </c>
      <c r="CZY193" s="370" t="e">
        <f>10/CZU191</f>
        <v>#DIV/0!</v>
      </c>
      <c r="CZZ193" s="371">
        <v>15.38</v>
      </c>
      <c r="DAA193" s="371" t="e">
        <f>CZX193*CZY193*CZZ193</f>
        <v>#DIV/0!</v>
      </c>
      <c r="DAB193" s="367" t="s">
        <v>206</v>
      </c>
      <c r="DAC193" s="367"/>
      <c r="DAD193" s="367"/>
      <c r="DAE193" s="368" t="s">
        <v>168</v>
      </c>
      <c r="DAF193" s="369">
        <v>0.5</v>
      </c>
      <c r="DAG193" s="370" t="e">
        <f>10/DAC191</f>
        <v>#DIV/0!</v>
      </c>
      <c r="DAH193" s="371">
        <v>15.38</v>
      </c>
      <c r="DAI193" s="371" t="e">
        <f>DAF193*DAG193*DAH193</f>
        <v>#DIV/0!</v>
      </c>
      <c r="DAJ193" s="367" t="s">
        <v>206</v>
      </c>
      <c r="DAK193" s="367"/>
      <c r="DAL193" s="367"/>
      <c r="DAM193" s="368" t="s">
        <v>168</v>
      </c>
      <c r="DAN193" s="369">
        <v>0.5</v>
      </c>
      <c r="DAO193" s="370" t="e">
        <f>10/DAK191</f>
        <v>#DIV/0!</v>
      </c>
      <c r="DAP193" s="371">
        <v>15.38</v>
      </c>
      <c r="DAQ193" s="371" t="e">
        <f>DAN193*DAO193*DAP193</f>
        <v>#DIV/0!</v>
      </c>
      <c r="DAR193" s="367" t="s">
        <v>206</v>
      </c>
      <c r="DAS193" s="367"/>
      <c r="DAT193" s="367"/>
      <c r="DAU193" s="368" t="s">
        <v>168</v>
      </c>
      <c r="DAV193" s="369">
        <v>0.5</v>
      </c>
      <c r="DAW193" s="370" t="e">
        <f>10/DAS191</f>
        <v>#DIV/0!</v>
      </c>
      <c r="DAX193" s="371">
        <v>15.38</v>
      </c>
      <c r="DAY193" s="371" t="e">
        <f>DAV193*DAW193*DAX193</f>
        <v>#DIV/0!</v>
      </c>
      <c r="DAZ193" s="367" t="s">
        <v>206</v>
      </c>
      <c r="DBA193" s="367"/>
      <c r="DBB193" s="367"/>
      <c r="DBC193" s="368" t="s">
        <v>168</v>
      </c>
      <c r="DBD193" s="369">
        <v>0.5</v>
      </c>
      <c r="DBE193" s="370" t="e">
        <f>10/DBA191</f>
        <v>#DIV/0!</v>
      </c>
      <c r="DBF193" s="371">
        <v>15.38</v>
      </c>
      <c r="DBG193" s="371" t="e">
        <f>DBD193*DBE193*DBF193</f>
        <v>#DIV/0!</v>
      </c>
      <c r="DBH193" s="367" t="s">
        <v>206</v>
      </c>
      <c r="DBI193" s="367"/>
      <c r="DBJ193" s="367"/>
      <c r="DBK193" s="368" t="s">
        <v>168</v>
      </c>
      <c r="DBL193" s="369">
        <v>0.5</v>
      </c>
      <c r="DBM193" s="370" t="e">
        <f>10/DBI191</f>
        <v>#DIV/0!</v>
      </c>
      <c r="DBN193" s="371">
        <v>15.38</v>
      </c>
      <c r="DBO193" s="371" t="e">
        <f>DBL193*DBM193*DBN193</f>
        <v>#DIV/0!</v>
      </c>
      <c r="DBP193" s="367" t="s">
        <v>206</v>
      </c>
      <c r="DBQ193" s="367"/>
      <c r="DBR193" s="367"/>
      <c r="DBS193" s="368" t="s">
        <v>168</v>
      </c>
      <c r="DBT193" s="369">
        <v>0.5</v>
      </c>
      <c r="DBU193" s="370" t="e">
        <f>10/DBQ191</f>
        <v>#DIV/0!</v>
      </c>
      <c r="DBV193" s="371">
        <v>15.38</v>
      </c>
      <c r="DBW193" s="371" t="e">
        <f>DBT193*DBU193*DBV193</f>
        <v>#DIV/0!</v>
      </c>
      <c r="DBX193" s="367" t="s">
        <v>206</v>
      </c>
      <c r="DBY193" s="367"/>
      <c r="DBZ193" s="367"/>
      <c r="DCA193" s="368" t="s">
        <v>168</v>
      </c>
      <c r="DCB193" s="369">
        <v>0.5</v>
      </c>
      <c r="DCC193" s="370" t="e">
        <f>10/DBY191</f>
        <v>#DIV/0!</v>
      </c>
      <c r="DCD193" s="371">
        <v>15.38</v>
      </c>
      <c r="DCE193" s="371" t="e">
        <f>DCB193*DCC193*DCD193</f>
        <v>#DIV/0!</v>
      </c>
      <c r="DCF193" s="367" t="s">
        <v>206</v>
      </c>
      <c r="DCG193" s="367"/>
      <c r="DCH193" s="367"/>
      <c r="DCI193" s="368" t="s">
        <v>168</v>
      </c>
      <c r="DCJ193" s="369">
        <v>0.5</v>
      </c>
      <c r="DCK193" s="370" t="e">
        <f>10/DCG191</f>
        <v>#DIV/0!</v>
      </c>
      <c r="DCL193" s="371">
        <v>15.38</v>
      </c>
      <c r="DCM193" s="371" t="e">
        <f>DCJ193*DCK193*DCL193</f>
        <v>#DIV/0!</v>
      </c>
      <c r="DCN193" s="367" t="s">
        <v>206</v>
      </c>
      <c r="DCO193" s="367"/>
      <c r="DCP193" s="367"/>
      <c r="DCQ193" s="368" t="s">
        <v>168</v>
      </c>
      <c r="DCR193" s="369">
        <v>0.5</v>
      </c>
      <c r="DCS193" s="370" t="e">
        <f>10/DCO191</f>
        <v>#DIV/0!</v>
      </c>
      <c r="DCT193" s="371">
        <v>15.38</v>
      </c>
      <c r="DCU193" s="371" t="e">
        <f>DCR193*DCS193*DCT193</f>
        <v>#DIV/0!</v>
      </c>
      <c r="DCV193" s="367" t="s">
        <v>206</v>
      </c>
      <c r="DCW193" s="367"/>
      <c r="DCX193" s="367"/>
      <c r="DCY193" s="368" t="s">
        <v>168</v>
      </c>
      <c r="DCZ193" s="369">
        <v>0.5</v>
      </c>
      <c r="DDA193" s="370" t="e">
        <f>10/DCW191</f>
        <v>#DIV/0!</v>
      </c>
      <c r="DDB193" s="371">
        <v>15.38</v>
      </c>
      <c r="DDC193" s="371" t="e">
        <f>DCZ193*DDA193*DDB193</f>
        <v>#DIV/0!</v>
      </c>
      <c r="DDD193" s="367" t="s">
        <v>206</v>
      </c>
      <c r="DDE193" s="367"/>
      <c r="DDF193" s="367"/>
      <c r="DDG193" s="368" t="s">
        <v>168</v>
      </c>
      <c r="DDH193" s="369">
        <v>0.5</v>
      </c>
      <c r="DDI193" s="370" t="e">
        <f>10/DDE191</f>
        <v>#DIV/0!</v>
      </c>
      <c r="DDJ193" s="371">
        <v>15.38</v>
      </c>
      <c r="DDK193" s="371" t="e">
        <f>DDH193*DDI193*DDJ193</f>
        <v>#DIV/0!</v>
      </c>
      <c r="DDL193" s="367" t="s">
        <v>206</v>
      </c>
      <c r="DDM193" s="367"/>
      <c r="DDN193" s="367"/>
      <c r="DDO193" s="368" t="s">
        <v>168</v>
      </c>
      <c r="DDP193" s="369">
        <v>0.5</v>
      </c>
      <c r="DDQ193" s="370" t="e">
        <f>10/DDM191</f>
        <v>#DIV/0!</v>
      </c>
      <c r="DDR193" s="371">
        <v>15.38</v>
      </c>
      <c r="DDS193" s="371" t="e">
        <f>DDP193*DDQ193*DDR193</f>
        <v>#DIV/0!</v>
      </c>
      <c r="DDT193" s="367" t="s">
        <v>206</v>
      </c>
      <c r="DDU193" s="367"/>
      <c r="DDV193" s="367"/>
      <c r="DDW193" s="368" t="s">
        <v>168</v>
      </c>
      <c r="DDX193" s="369">
        <v>0.5</v>
      </c>
      <c r="DDY193" s="370" t="e">
        <f>10/DDU191</f>
        <v>#DIV/0!</v>
      </c>
      <c r="DDZ193" s="371">
        <v>15.38</v>
      </c>
      <c r="DEA193" s="371" t="e">
        <f>DDX193*DDY193*DDZ193</f>
        <v>#DIV/0!</v>
      </c>
      <c r="DEB193" s="367" t="s">
        <v>206</v>
      </c>
      <c r="DEC193" s="367"/>
      <c r="DED193" s="367"/>
      <c r="DEE193" s="368" t="s">
        <v>168</v>
      </c>
      <c r="DEF193" s="369">
        <v>0.5</v>
      </c>
      <c r="DEG193" s="370" t="e">
        <f>10/DEC191</f>
        <v>#DIV/0!</v>
      </c>
      <c r="DEH193" s="371">
        <v>15.38</v>
      </c>
      <c r="DEI193" s="371" t="e">
        <f>DEF193*DEG193*DEH193</f>
        <v>#DIV/0!</v>
      </c>
      <c r="DEJ193" s="367" t="s">
        <v>206</v>
      </c>
      <c r="DEK193" s="367"/>
      <c r="DEL193" s="367"/>
      <c r="DEM193" s="368" t="s">
        <v>168</v>
      </c>
      <c r="DEN193" s="369">
        <v>0.5</v>
      </c>
      <c r="DEO193" s="370" t="e">
        <f>10/DEK191</f>
        <v>#DIV/0!</v>
      </c>
      <c r="DEP193" s="371">
        <v>15.38</v>
      </c>
      <c r="DEQ193" s="371" t="e">
        <f>DEN193*DEO193*DEP193</f>
        <v>#DIV/0!</v>
      </c>
      <c r="DER193" s="367" t="s">
        <v>206</v>
      </c>
      <c r="DES193" s="367"/>
      <c r="DET193" s="367"/>
      <c r="DEU193" s="368" t="s">
        <v>168</v>
      </c>
      <c r="DEV193" s="369">
        <v>0.5</v>
      </c>
      <c r="DEW193" s="370" t="e">
        <f>10/DES191</f>
        <v>#DIV/0!</v>
      </c>
      <c r="DEX193" s="371">
        <v>15.38</v>
      </c>
      <c r="DEY193" s="371" t="e">
        <f>DEV193*DEW193*DEX193</f>
        <v>#DIV/0!</v>
      </c>
      <c r="DEZ193" s="367" t="s">
        <v>206</v>
      </c>
      <c r="DFA193" s="367"/>
      <c r="DFB193" s="367"/>
      <c r="DFC193" s="368" t="s">
        <v>168</v>
      </c>
      <c r="DFD193" s="369">
        <v>0.5</v>
      </c>
      <c r="DFE193" s="370" t="e">
        <f>10/DFA191</f>
        <v>#DIV/0!</v>
      </c>
      <c r="DFF193" s="371">
        <v>15.38</v>
      </c>
      <c r="DFG193" s="371" t="e">
        <f>DFD193*DFE193*DFF193</f>
        <v>#DIV/0!</v>
      </c>
      <c r="DFH193" s="367" t="s">
        <v>206</v>
      </c>
      <c r="DFI193" s="367"/>
      <c r="DFJ193" s="367"/>
      <c r="DFK193" s="368" t="s">
        <v>168</v>
      </c>
      <c r="DFL193" s="369">
        <v>0.5</v>
      </c>
      <c r="DFM193" s="370" t="e">
        <f>10/DFI191</f>
        <v>#DIV/0!</v>
      </c>
      <c r="DFN193" s="371">
        <v>15.38</v>
      </c>
      <c r="DFO193" s="371" t="e">
        <f>DFL193*DFM193*DFN193</f>
        <v>#DIV/0!</v>
      </c>
      <c r="DFP193" s="367" t="s">
        <v>206</v>
      </c>
      <c r="DFQ193" s="367"/>
      <c r="DFR193" s="367"/>
      <c r="DFS193" s="368" t="s">
        <v>168</v>
      </c>
      <c r="DFT193" s="369">
        <v>0.5</v>
      </c>
      <c r="DFU193" s="370" t="e">
        <f>10/DFQ191</f>
        <v>#DIV/0!</v>
      </c>
      <c r="DFV193" s="371">
        <v>15.38</v>
      </c>
      <c r="DFW193" s="371" t="e">
        <f>DFT193*DFU193*DFV193</f>
        <v>#DIV/0!</v>
      </c>
      <c r="DFX193" s="367" t="s">
        <v>206</v>
      </c>
      <c r="DFY193" s="367"/>
      <c r="DFZ193" s="367"/>
      <c r="DGA193" s="368" t="s">
        <v>168</v>
      </c>
      <c r="DGB193" s="369">
        <v>0.5</v>
      </c>
      <c r="DGC193" s="370" t="e">
        <f>10/DFY191</f>
        <v>#DIV/0!</v>
      </c>
      <c r="DGD193" s="371">
        <v>15.38</v>
      </c>
      <c r="DGE193" s="371" t="e">
        <f>DGB193*DGC193*DGD193</f>
        <v>#DIV/0!</v>
      </c>
      <c r="DGF193" s="367" t="s">
        <v>206</v>
      </c>
      <c r="DGG193" s="367"/>
      <c r="DGH193" s="367"/>
      <c r="DGI193" s="368" t="s">
        <v>168</v>
      </c>
      <c r="DGJ193" s="369">
        <v>0.5</v>
      </c>
      <c r="DGK193" s="370" t="e">
        <f>10/DGG191</f>
        <v>#DIV/0!</v>
      </c>
      <c r="DGL193" s="371">
        <v>15.38</v>
      </c>
      <c r="DGM193" s="371" t="e">
        <f>DGJ193*DGK193*DGL193</f>
        <v>#DIV/0!</v>
      </c>
      <c r="DGN193" s="367" t="s">
        <v>206</v>
      </c>
      <c r="DGO193" s="367"/>
      <c r="DGP193" s="367"/>
      <c r="DGQ193" s="368" t="s">
        <v>168</v>
      </c>
      <c r="DGR193" s="369">
        <v>0.5</v>
      </c>
      <c r="DGS193" s="370" t="e">
        <f>10/DGO191</f>
        <v>#DIV/0!</v>
      </c>
      <c r="DGT193" s="371">
        <v>15.38</v>
      </c>
      <c r="DGU193" s="371" t="e">
        <f>DGR193*DGS193*DGT193</f>
        <v>#DIV/0!</v>
      </c>
      <c r="DGV193" s="367" t="s">
        <v>206</v>
      </c>
      <c r="DGW193" s="367"/>
      <c r="DGX193" s="367"/>
      <c r="DGY193" s="368" t="s">
        <v>168</v>
      </c>
      <c r="DGZ193" s="369">
        <v>0.5</v>
      </c>
      <c r="DHA193" s="370" t="e">
        <f>10/DGW191</f>
        <v>#DIV/0!</v>
      </c>
      <c r="DHB193" s="371">
        <v>15.38</v>
      </c>
      <c r="DHC193" s="371" t="e">
        <f>DGZ193*DHA193*DHB193</f>
        <v>#DIV/0!</v>
      </c>
      <c r="DHD193" s="367" t="s">
        <v>206</v>
      </c>
      <c r="DHE193" s="367"/>
      <c r="DHF193" s="367"/>
      <c r="DHG193" s="368" t="s">
        <v>168</v>
      </c>
      <c r="DHH193" s="369">
        <v>0.5</v>
      </c>
      <c r="DHI193" s="370" t="e">
        <f>10/DHE191</f>
        <v>#DIV/0!</v>
      </c>
      <c r="DHJ193" s="371">
        <v>15.38</v>
      </c>
      <c r="DHK193" s="371" t="e">
        <f>DHH193*DHI193*DHJ193</f>
        <v>#DIV/0!</v>
      </c>
      <c r="DHL193" s="367" t="s">
        <v>206</v>
      </c>
      <c r="DHM193" s="367"/>
      <c r="DHN193" s="367"/>
      <c r="DHO193" s="368" t="s">
        <v>168</v>
      </c>
      <c r="DHP193" s="369">
        <v>0.5</v>
      </c>
      <c r="DHQ193" s="370" t="e">
        <f>10/DHM191</f>
        <v>#DIV/0!</v>
      </c>
      <c r="DHR193" s="371">
        <v>15.38</v>
      </c>
      <c r="DHS193" s="371" t="e">
        <f>DHP193*DHQ193*DHR193</f>
        <v>#DIV/0!</v>
      </c>
      <c r="DHT193" s="367" t="s">
        <v>206</v>
      </c>
      <c r="DHU193" s="367"/>
      <c r="DHV193" s="367"/>
      <c r="DHW193" s="368" t="s">
        <v>168</v>
      </c>
      <c r="DHX193" s="369">
        <v>0.5</v>
      </c>
      <c r="DHY193" s="370" t="e">
        <f>10/DHU191</f>
        <v>#DIV/0!</v>
      </c>
      <c r="DHZ193" s="371">
        <v>15.38</v>
      </c>
      <c r="DIA193" s="371" t="e">
        <f>DHX193*DHY193*DHZ193</f>
        <v>#DIV/0!</v>
      </c>
      <c r="DIB193" s="367" t="s">
        <v>206</v>
      </c>
      <c r="DIC193" s="367"/>
      <c r="DID193" s="367"/>
      <c r="DIE193" s="368" t="s">
        <v>168</v>
      </c>
      <c r="DIF193" s="369">
        <v>0.5</v>
      </c>
      <c r="DIG193" s="370" t="e">
        <f>10/DIC191</f>
        <v>#DIV/0!</v>
      </c>
      <c r="DIH193" s="371">
        <v>15.38</v>
      </c>
      <c r="DII193" s="371" t="e">
        <f>DIF193*DIG193*DIH193</f>
        <v>#DIV/0!</v>
      </c>
      <c r="DIJ193" s="367" t="s">
        <v>206</v>
      </c>
      <c r="DIK193" s="367"/>
      <c r="DIL193" s="367"/>
      <c r="DIM193" s="368" t="s">
        <v>168</v>
      </c>
      <c r="DIN193" s="369">
        <v>0.5</v>
      </c>
      <c r="DIO193" s="370" t="e">
        <f>10/DIK191</f>
        <v>#DIV/0!</v>
      </c>
      <c r="DIP193" s="371">
        <v>15.38</v>
      </c>
      <c r="DIQ193" s="371" t="e">
        <f>DIN193*DIO193*DIP193</f>
        <v>#DIV/0!</v>
      </c>
      <c r="DIR193" s="367" t="s">
        <v>206</v>
      </c>
      <c r="DIS193" s="367"/>
      <c r="DIT193" s="367"/>
      <c r="DIU193" s="368" t="s">
        <v>168</v>
      </c>
      <c r="DIV193" s="369">
        <v>0.5</v>
      </c>
      <c r="DIW193" s="370" t="e">
        <f>10/DIS191</f>
        <v>#DIV/0!</v>
      </c>
      <c r="DIX193" s="371">
        <v>15.38</v>
      </c>
      <c r="DIY193" s="371" t="e">
        <f>DIV193*DIW193*DIX193</f>
        <v>#DIV/0!</v>
      </c>
      <c r="DIZ193" s="367" t="s">
        <v>206</v>
      </c>
      <c r="DJA193" s="367"/>
      <c r="DJB193" s="367"/>
      <c r="DJC193" s="368" t="s">
        <v>168</v>
      </c>
      <c r="DJD193" s="369">
        <v>0.5</v>
      </c>
      <c r="DJE193" s="370" t="e">
        <f>10/DJA191</f>
        <v>#DIV/0!</v>
      </c>
      <c r="DJF193" s="371">
        <v>15.38</v>
      </c>
      <c r="DJG193" s="371" t="e">
        <f>DJD193*DJE193*DJF193</f>
        <v>#DIV/0!</v>
      </c>
      <c r="DJH193" s="367" t="s">
        <v>206</v>
      </c>
      <c r="DJI193" s="367"/>
      <c r="DJJ193" s="367"/>
      <c r="DJK193" s="368" t="s">
        <v>168</v>
      </c>
      <c r="DJL193" s="369">
        <v>0.5</v>
      </c>
      <c r="DJM193" s="370" t="e">
        <f>10/DJI191</f>
        <v>#DIV/0!</v>
      </c>
      <c r="DJN193" s="371">
        <v>15.38</v>
      </c>
      <c r="DJO193" s="371" t="e">
        <f>DJL193*DJM193*DJN193</f>
        <v>#DIV/0!</v>
      </c>
      <c r="DJP193" s="367" t="s">
        <v>206</v>
      </c>
      <c r="DJQ193" s="367"/>
      <c r="DJR193" s="367"/>
      <c r="DJS193" s="368" t="s">
        <v>168</v>
      </c>
      <c r="DJT193" s="369">
        <v>0.5</v>
      </c>
      <c r="DJU193" s="370" t="e">
        <f>10/DJQ191</f>
        <v>#DIV/0!</v>
      </c>
      <c r="DJV193" s="371">
        <v>15.38</v>
      </c>
      <c r="DJW193" s="371" t="e">
        <f>DJT193*DJU193*DJV193</f>
        <v>#DIV/0!</v>
      </c>
      <c r="DJX193" s="367" t="s">
        <v>206</v>
      </c>
      <c r="DJY193" s="367"/>
      <c r="DJZ193" s="367"/>
      <c r="DKA193" s="368" t="s">
        <v>168</v>
      </c>
      <c r="DKB193" s="369">
        <v>0.5</v>
      </c>
      <c r="DKC193" s="370" t="e">
        <f>10/DJY191</f>
        <v>#DIV/0!</v>
      </c>
      <c r="DKD193" s="371">
        <v>15.38</v>
      </c>
      <c r="DKE193" s="371" t="e">
        <f>DKB193*DKC193*DKD193</f>
        <v>#DIV/0!</v>
      </c>
      <c r="DKF193" s="367" t="s">
        <v>206</v>
      </c>
      <c r="DKG193" s="367"/>
      <c r="DKH193" s="367"/>
      <c r="DKI193" s="368" t="s">
        <v>168</v>
      </c>
      <c r="DKJ193" s="369">
        <v>0.5</v>
      </c>
      <c r="DKK193" s="370" t="e">
        <f>10/DKG191</f>
        <v>#DIV/0!</v>
      </c>
      <c r="DKL193" s="371">
        <v>15.38</v>
      </c>
      <c r="DKM193" s="371" t="e">
        <f>DKJ193*DKK193*DKL193</f>
        <v>#DIV/0!</v>
      </c>
      <c r="DKN193" s="367" t="s">
        <v>206</v>
      </c>
      <c r="DKO193" s="367"/>
      <c r="DKP193" s="367"/>
      <c r="DKQ193" s="368" t="s">
        <v>168</v>
      </c>
      <c r="DKR193" s="369">
        <v>0.5</v>
      </c>
      <c r="DKS193" s="370" t="e">
        <f>10/DKO191</f>
        <v>#DIV/0!</v>
      </c>
      <c r="DKT193" s="371">
        <v>15.38</v>
      </c>
      <c r="DKU193" s="371" t="e">
        <f>DKR193*DKS193*DKT193</f>
        <v>#DIV/0!</v>
      </c>
      <c r="DKV193" s="367" t="s">
        <v>206</v>
      </c>
      <c r="DKW193" s="367"/>
      <c r="DKX193" s="367"/>
      <c r="DKY193" s="368" t="s">
        <v>168</v>
      </c>
      <c r="DKZ193" s="369">
        <v>0.5</v>
      </c>
      <c r="DLA193" s="370" t="e">
        <f>10/DKW191</f>
        <v>#DIV/0!</v>
      </c>
      <c r="DLB193" s="371">
        <v>15.38</v>
      </c>
      <c r="DLC193" s="371" t="e">
        <f>DKZ193*DLA193*DLB193</f>
        <v>#DIV/0!</v>
      </c>
      <c r="DLD193" s="367" t="s">
        <v>206</v>
      </c>
      <c r="DLE193" s="367"/>
      <c r="DLF193" s="367"/>
      <c r="DLG193" s="368" t="s">
        <v>168</v>
      </c>
      <c r="DLH193" s="369">
        <v>0.5</v>
      </c>
      <c r="DLI193" s="370" t="e">
        <f>10/DLE191</f>
        <v>#DIV/0!</v>
      </c>
      <c r="DLJ193" s="371">
        <v>15.38</v>
      </c>
      <c r="DLK193" s="371" t="e">
        <f>DLH193*DLI193*DLJ193</f>
        <v>#DIV/0!</v>
      </c>
      <c r="DLL193" s="367" t="s">
        <v>206</v>
      </c>
      <c r="DLM193" s="367"/>
      <c r="DLN193" s="367"/>
      <c r="DLO193" s="368" t="s">
        <v>168</v>
      </c>
      <c r="DLP193" s="369">
        <v>0.5</v>
      </c>
      <c r="DLQ193" s="370" t="e">
        <f>10/DLM191</f>
        <v>#DIV/0!</v>
      </c>
      <c r="DLR193" s="371">
        <v>15.38</v>
      </c>
      <c r="DLS193" s="371" t="e">
        <f>DLP193*DLQ193*DLR193</f>
        <v>#DIV/0!</v>
      </c>
      <c r="DLT193" s="367" t="s">
        <v>206</v>
      </c>
      <c r="DLU193" s="367"/>
      <c r="DLV193" s="367"/>
      <c r="DLW193" s="368" t="s">
        <v>168</v>
      </c>
      <c r="DLX193" s="369">
        <v>0.5</v>
      </c>
      <c r="DLY193" s="370" t="e">
        <f>10/DLU191</f>
        <v>#DIV/0!</v>
      </c>
      <c r="DLZ193" s="371">
        <v>15.38</v>
      </c>
      <c r="DMA193" s="371" t="e">
        <f>DLX193*DLY193*DLZ193</f>
        <v>#DIV/0!</v>
      </c>
      <c r="DMB193" s="367" t="s">
        <v>206</v>
      </c>
      <c r="DMC193" s="367"/>
      <c r="DMD193" s="367"/>
      <c r="DME193" s="368" t="s">
        <v>168</v>
      </c>
      <c r="DMF193" s="369">
        <v>0.5</v>
      </c>
      <c r="DMG193" s="370" t="e">
        <f>10/DMC191</f>
        <v>#DIV/0!</v>
      </c>
      <c r="DMH193" s="371">
        <v>15.38</v>
      </c>
      <c r="DMI193" s="371" t="e">
        <f>DMF193*DMG193*DMH193</f>
        <v>#DIV/0!</v>
      </c>
      <c r="DMJ193" s="367" t="s">
        <v>206</v>
      </c>
      <c r="DMK193" s="367"/>
      <c r="DML193" s="367"/>
      <c r="DMM193" s="368" t="s">
        <v>168</v>
      </c>
      <c r="DMN193" s="369">
        <v>0.5</v>
      </c>
      <c r="DMO193" s="370" t="e">
        <f>10/DMK191</f>
        <v>#DIV/0!</v>
      </c>
      <c r="DMP193" s="371">
        <v>15.38</v>
      </c>
      <c r="DMQ193" s="371" t="e">
        <f>DMN193*DMO193*DMP193</f>
        <v>#DIV/0!</v>
      </c>
      <c r="DMR193" s="367" t="s">
        <v>206</v>
      </c>
      <c r="DMS193" s="367"/>
      <c r="DMT193" s="367"/>
      <c r="DMU193" s="368" t="s">
        <v>168</v>
      </c>
      <c r="DMV193" s="369">
        <v>0.5</v>
      </c>
      <c r="DMW193" s="370" t="e">
        <f>10/DMS191</f>
        <v>#DIV/0!</v>
      </c>
      <c r="DMX193" s="371">
        <v>15.38</v>
      </c>
      <c r="DMY193" s="371" t="e">
        <f>DMV193*DMW193*DMX193</f>
        <v>#DIV/0!</v>
      </c>
      <c r="DMZ193" s="367" t="s">
        <v>206</v>
      </c>
      <c r="DNA193" s="367"/>
      <c r="DNB193" s="367"/>
      <c r="DNC193" s="368" t="s">
        <v>168</v>
      </c>
      <c r="DND193" s="369">
        <v>0.5</v>
      </c>
      <c r="DNE193" s="370" t="e">
        <f>10/DNA191</f>
        <v>#DIV/0!</v>
      </c>
      <c r="DNF193" s="371">
        <v>15.38</v>
      </c>
      <c r="DNG193" s="371" t="e">
        <f>DND193*DNE193*DNF193</f>
        <v>#DIV/0!</v>
      </c>
      <c r="DNH193" s="367" t="s">
        <v>206</v>
      </c>
      <c r="DNI193" s="367"/>
      <c r="DNJ193" s="367"/>
      <c r="DNK193" s="368" t="s">
        <v>168</v>
      </c>
      <c r="DNL193" s="369">
        <v>0.5</v>
      </c>
      <c r="DNM193" s="370" t="e">
        <f>10/DNI191</f>
        <v>#DIV/0!</v>
      </c>
      <c r="DNN193" s="371">
        <v>15.38</v>
      </c>
      <c r="DNO193" s="371" t="e">
        <f>DNL193*DNM193*DNN193</f>
        <v>#DIV/0!</v>
      </c>
      <c r="DNP193" s="367" t="s">
        <v>206</v>
      </c>
      <c r="DNQ193" s="367"/>
      <c r="DNR193" s="367"/>
      <c r="DNS193" s="368" t="s">
        <v>168</v>
      </c>
      <c r="DNT193" s="369">
        <v>0.5</v>
      </c>
      <c r="DNU193" s="370" t="e">
        <f>10/DNQ191</f>
        <v>#DIV/0!</v>
      </c>
      <c r="DNV193" s="371">
        <v>15.38</v>
      </c>
      <c r="DNW193" s="371" t="e">
        <f>DNT193*DNU193*DNV193</f>
        <v>#DIV/0!</v>
      </c>
      <c r="DNX193" s="367" t="s">
        <v>206</v>
      </c>
      <c r="DNY193" s="367"/>
      <c r="DNZ193" s="367"/>
      <c r="DOA193" s="368" t="s">
        <v>168</v>
      </c>
      <c r="DOB193" s="369">
        <v>0.5</v>
      </c>
      <c r="DOC193" s="370" t="e">
        <f>10/DNY191</f>
        <v>#DIV/0!</v>
      </c>
      <c r="DOD193" s="371">
        <v>15.38</v>
      </c>
      <c r="DOE193" s="371" t="e">
        <f>DOB193*DOC193*DOD193</f>
        <v>#DIV/0!</v>
      </c>
      <c r="DOF193" s="367" t="s">
        <v>206</v>
      </c>
      <c r="DOG193" s="367"/>
      <c r="DOH193" s="367"/>
      <c r="DOI193" s="368" t="s">
        <v>168</v>
      </c>
      <c r="DOJ193" s="369">
        <v>0.5</v>
      </c>
      <c r="DOK193" s="370" t="e">
        <f>10/DOG191</f>
        <v>#DIV/0!</v>
      </c>
      <c r="DOL193" s="371">
        <v>15.38</v>
      </c>
      <c r="DOM193" s="371" t="e">
        <f>DOJ193*DOK193*DOL193</f>
        <v>#DIV/0!</v>
      </c>
      <c r="DON193" s="367" t="s">
        <v>206</v>
      </c>
      <c r="DOO193" s="367"/>
      <c r="DOP193" s="367"/>
      <c r="DOQ193" s="368" t="s">
        <v>168</v>
      </c>
      <c r="DOR193" s="369">
        <v>0.5</v>
      </c>
      <c r="DOS193" s="370" t="e">
        <f>10/DOO191</f>
        <v>#DIV/0!</v>
      </c>
      <c r="DOT193" s="371">
        <v>15.38</v>
      </c>
      <c r="DOU193" s="371" t="e">
        <f>DOR193*DOS193*DOT193</f>
        <v>#DIV/0!</v>
      </c>
      <c r="DOV193" s="367" t="s">
        <v>206</v>
      </c>
      <c r="DOW193" s="367"/>
      <c r="DOX193" s="367"/>
      <c r="DOY193" s="368" t="s">
        <v>168</v>
      </c>
      <c r="DOZ193" s="369">
        <v>0.5</v>
      </c>
      <c r="DPA193" s="370" t="e">
        <f>10/DOW191</f>
        <v>#DIV/0!</v>
      </c>
      <c r="DPB193" s="371">
        <v>15.38</v>
      </c>
      <c r="DPC193" s="371" t="e">
        <f>DOZ193*DPA193*DPB193</f>
        <v>#DIV/0!</v>
      </c>
      <c r="DPD193" s="367" t="s">
        <v>206</v>
      </c>
      <c r="DPE193" s="367"/>
      <c r="DPF193" s="367"/>
      <c r="DPG193" s="368" t="s">
        <v>168</v>
      </c>
      <c r="DPH193" s="369">
        <v>0.5</v>
      </c>
      <c r="DPI193" s="370" t="e">
        <f>10/DPE191</f>
        <v>#DIV/0!</v>
      </c>
      <c r="DPJ193" s="371">
        <v>15.38</v>
      </c>
      <c r="DPK193" s="371" t="e">
        <f>DPH193*DPI193*DPJ193</f>
        <v>#DIV/0!</v>
      </c>
      <c r="DPL193" s="367" t="s">
        <v>206</v>
      </c>
      <c r="DPM193" s="367"/>
      <c r="DPN193" s="367"/>
      <c r="DPO193" s="368" t="s">
        <v>168</v>
      </c>
      <c r="DPP193" s="369">
        <v>0.5</v>
      </c>
      <c r="DPQ193" s="370" t="e">
        <f>10/DPM191</f>
        <v>#DIV/0!</v>
      </c>
      <c r="DPR193" s="371">
        <v>15.38</v>
      </c>
      <c r="DPS193" s="371" t="e">
        <f>DPP193*DPQ193*DPR193</f>
        <v>#DIV/0!</v>
      </c>
      <c r="DPT193" s="367" t="s">
        <v>206</v>
      </c>
      <c r="DPU193" s="367"/>
      <c r="DPV193" s="367"/>
      <c r="DPW193" s="368" t="s">
        <v>168</v>
      </c>
      <c r="DPX193" s="369">
        <v>0.5</v>
      </c>
      <c r="DPY193" s="370" t="e">
        <f>10/DPU191</f>
        <v>#DIV/0!</v>
      </c>
      <c r="DPZ193" s="371">
        <v>15.38</v>
      </c>
      <c r="DQA193" s="371" t="e">
        <f>DPX193*DPY193*DPZ193</f>
        <v>#DIV/0!</v>
      </c>
      <c r="DQB193" s="367" t="s">
        <v>206</v>
      </c>
      <c r="DQC193" s="367"/>
      <c r="DQD193" s="367"/>
      <c r="DQE193" s="368" t="s">
        <v>168</v>
      </c>
      <c r="DQF193" s="369">
        <v>0.5</v>
      </c>
      <c r="DQG193" s="370" t="e">
        <f>10/DQC191</f>
        <v>#DIV/0!</v>
      </c>
      <c r="DQH193" s="371">
        <v>15.38</v>
      </c>
      <c r="DQI193" s="371" t="e">
        <f>DQF193*DQG193*DQH193</f>
        <v>#DIV/0!</v>
      </c>
      <c r="DQJ193" s="367" t="s">
        <v>206</v>
      </c>
      <c r="DQK193" s="367"/>
      <c r="DQL193" s="367"/>
      <c r="DQM193" s="368" t="s">
        <v>168</v>
      </c>
      <c r="DQN193" s="369">
        <v>0.5</v>
      </c>
      <c r="DQO193" s="370" t="e">
        <f>10/DQK191</f>
        <v>#DIV/0!</v>
      </c>
      <c r="DQP193" s="371">
        <v>15.38</v>
      </c>
      <c r="DQQ193" s="371" t="e">
        <f>DQN193*DQO193*DQP193</f>
        <v>#DIV/0!</v>
      </c>
      <c r="DQR193" s="367" t="s">
        <v>206</v>
      </c>
      <c r="DQS193" s="367"/>
      <c r="DQT193" s="367"/>
      <c r="DQU193" s="368" t="s">
        <v>168</v>
      </c>
      <c r="DQV193" s="369">
        <v>0.5</v>
      </c>
      <c r="DQW193" s="370" t="e">
        <f>10/DQS191</f>
        <v>#DIV/0!</v>
      </c>
      <c r="DQX193" s="371">
        <v>15.38</v>
      </c>
      <c r="DQY193" s="371" t="e">
        <f>DQV193*DQW193*DQX193</f>
        <v>#DIV/0!</v>
      </c>
      <c r="DQZ193" s="367" t="s">
        <v>206</v>
      </c>
      <c r="DRA193" s="367"/>
      <c r="DRB193" s="367"/>
      <c r="DRC193" s="368" t="s">
        <v>168</v>
      </c>
      <c r="DRD193" s="369">
        <v>0.5</v>
      </c>
      <c r="DRE193" s="370" t="e">
        <f>10/DRA191</f>
        <v>#DIV/0!</v>
      </c>
      <c r="DRF193" s="371">
        <v>15.38</v>
      </c>
      <c r="DRG193" s="371" t="e">
        <f>DRD193*DRE193*DRF193</f>
        <v>#DIV/0!</v>
      </c>
      <c r="DRH193" s="367" t="s">
        <v>206</v>
      </c>
      <c r="DRI193" s="367"/>
      <c r="DRJ193" s="367"/>
      <c r="DRK193" s="368" t="s">
        <v>168</v>
      </c>
      <c r="DRL193" s="369">
        <v>0.5</v>
      </c>
      <c r="DRM193" s="370" t="e">
        <f>10/DRI191</f>
        <v>#DIV/0!</v>
      </c>
      <c r="DRN193" s="371">
        <v>15.38</v>
      </c>
      <c r="DRO193" s="371" t="e">
        <f>DRL193*DRM193*DRN193</f>
        <v>#DIV/0!</v>
      </c>
      <c r="DRP193" s="367" t="s">
        <v>206</v>
      </c>
      <c r="DRQ193" s="367"/>
      <c r="DRR193" s="367"/>
      <c r="DRS193" s="368" t="s">
        <v>168</v>
      </c>
      <c r="DRT193" s="369">
        <v>0.5</v>
      </c>
      <c r="DRU193" s="370" t="e">
        <f>10/DRQ191</f>
        <v>#DIV/0!</v>
      </c>
      <c r="DRV193" s="371">
        <v>15.38</v>
      </c>
      <c r="DRW193" s="371" t="e">
        <f>DRT193*DRU193*DRV193</f>
        <v>#DIV/0!</v>
      </c>
      <c r="DRX193" s="367" t="s">
        <v>206</v>
      </c>
      <c r="DRY193" s="367"/>
      <c r="DRZ193" s="367"/>
      <c r="DSA193" s="368" t="s">
        <v>168</v>
      </c>
      <c r="DSB193" s="369">
        <v>0.5</v>
      </c>
      <c r="DSC193" s="370" t="e">
        <f>10/DRY191</f>
        <v>#DIV/0!</v>
      </c>
      <c r="DSD193" s="371">
        <v>15.38</v>
      </c>
      <c r="DSE193" s="371" t="e">
        <f>DSB193*DSC193*DSD193</f>
        <v>#DIV/0!</v>
      </c>
      <c r="DSF193" s="367" t="s">
        <v>206</v>
      </c>
      <c r="DSG193" s="367"/>
      <c r="DSH193" s="367"/>
      <c r="DSI193" s="368" t="s">
        <v>168</v>
      </c>
      <c r="DSJ193" s="369">
        <v>0.5</v>
      </c>
      <c r="DSK193" s="370" t="e">
        <f>10/DSG191</f>
        <v>#DIV/0!</v>
      </c>
      <c r="DSL193" s="371">
        <v>15.38</v>
      </c>
      <c r="DSM193" s="371" t="e">
        <f>DSJ193*DSK193*DSL193</f>
        <v>#DIV/0!</v>
      </c>
      <c r="DSN193" s="367" t="s">
        <v>206</v>
      </c>
      <c r="DSO193" s="367"/>
      <c r="DSP193" s="367"/>
      <c r="DSQ193" s="368" t="s">
        <v>168</v>
      </c>
      <c r="DSR193" s="369">
        <v>0.5</v>
      </c>
      <c r="DSS193" s="370" t="e">
        <f>10/DSO191</f>
        <v>#DIV/0!</v>
      </c>
      <c r="DST193" s="371">
        <v>15.38</v>
      </c>
      <c r="DSU193" s="371" t="e">
        <f>DSR193*DSS193*DST193</f>
        <v>#DIV/0!</v>
      </c>
      <c r="DSV193" s="367" t="s">
        <v>206</v>
      </c>
      <c r="DSW193" s="367"/>
      <c r="DSX193" s="367"/>
      <c r="DSY193" s="368" t="s">
        <v>168</v>
      </c>
      <c r="DSZ193" s="369">
        <v>0.5</v>
      </c>
      <c r="DTA193" s="370" t="e">
        <f>10/DSW191</f>
        <v>#DIV/0!</v>
      </c>
      <c r="DTB193" s="371">
        <v>15.38</v>
      </c>
      <c r="DTC193" s="371" t="e">
        <f>DSZ193*DTA193*DTB193</f>
        <v>#DIV/0!</v>
      </c>
      <c r="DTD193" s="367" t="s">
        <v>206</v>
      </c>
      <c r="DTE193" s="367"/>
      <c r="DTF193" s="367"/>
      <c r="DTG193" s="368" t="s">
        <v>168</v>
      </c>
      <c r="DTH193" s="369">
        <v>0.5</v>
      </c>
      <c r="DTI193" s="370" t="e">
        <f>10/DTE191</f>
        <v>#DIV/0!</v>
      </c>
      <c r="DTJ193" s="371">
        <v>15.38</v>
      </c>
      <c r="DTK193" s="371" t="e">
        <f>DTH193*DTI193*DTJ193</f>
        <v>#DIV/0!</v>
      </c>
      <c r="DTL193" s="367" t="s">
        <v>206</v>
      </c>
      <c r="DTM193" s="367"/>
      <c r="DTN193" s="367"/>
      <c r="DTO193" s="368" t="s">
        <v>168</v>
      </c>
      <c r="DTP193" s="369">
        <v>0.5</v>
      </c>
      <c r="DTQ193" s="370" t="e">
        <f>10/DTM191</f>
        <v>#DIV/0!</v>
      </c>
      <c r="DTR193" s="371">
        <v>15.38</v>
      </c>
      <c r="DTS193" s="371" t="e">
        <f>DTP193*DTQ193*DTR193</f>
        <v>#DIV/0!</v>
      </c>
      <c r="DTT193" s="367" t="s">
        <v>206</v>
      </c>
      <c r="DTU193" s="367"/>
      <c r="DTV193" s="367"/>
      <c r="DTW193" s="368" t="s">
        <v>168</v>
      </c>
      <c r="DTX193" s="369">
        <v>0.5</v>
      </c>
      <c r="DTY193" s="370" t="e">
        <f>10/DTU191</f>
        <v>#DIV/0!</v>
      </c>
      <c r="DTZ193" s="371">
        <v>15.38</v>
      </c>
      <c r="DUA193" s="371" t="e">
        <f>DTX193*DTY193*DTZ193</f>
        <v>#DIV/0!</v>
      </c>
      <c r="DUB193" s="367" t="s">
        <v>206</v>
      </c>
      <c r="DUC193" s="367"/>
      <c r="DUD193" s="367"/>
      <c r="DUE193" s="368" t="s">
        <v>168</v>
      </c>
      <c r="DUF193" s="369">
        <v>0.5</v>
      </c>
      <c r="DUG193" s="370" t="e">
        <f>10/DUC191</f>
        <v>#DIV/0!</v>
      </c>
      <c r="DUH193" s="371">
        <v>15.38</v>
      </c>
      <c r="DUI193" s="371" t="e">
        <f>DUF193*DUG193*DUH193</f>
        <v>#DIV/0!</v>
      </c>
      <c r="DUJ193" s="367" t="s">
        <v>206</v>
      </c>
      <c r="DUK193" s="367"/>
      <c r="DUL193" s="367"/>
      <c r="DUM193" s="368" t="s">
        <v>168</v>
      </c>
      <c r="DUN193" s="369">
        <v>0.5</v>
      </c>
      <c r="DUO193" s="370" t="e">
        <f>10/DUK191</f>
        <v>#DIV/0!</v>
      </c>
      <c r="DUP193" s="371">
        <v>15.38</v>
      </c>
      <c r="DUQ193" s="371" t="e">
        <f>DUN193*DUO193*DUP193</f>
        <v>#DIV/0!</v>
      </c>
      <c r="DUR193" s="367" t="s">
        <v>206</v>
      </c>
      <c r="DUS193" s="367"/>
      <c r="DUT193" s="367"/>
      <c r="DUU193" s="368" t="s">
        <v>168</v>
      </c>
      <c r="DUV193" s="369">
        <v>0.5</v>
      </c>
      <c r="DUW193" s="370" t="e">
        <f>10/DUS191</f>
        <v>#DIV/0!</v>
      </c>
      <c r="DUX193" s="371">
        <v>15.38</v>
      </c>
      <c r="DUY193" s="371" t="e">
        <f>DUV193*DUW193*DUX193</f>
        <v>#DIV/0!</v>
      </c>
      <c r="DUZ193" s="367" t="s">
        <v>206</v>
      </c>
      <c r="DVA193" s="367"/>
      <c r="DVB193" s="367"/>
      <c r="DVC193" s="368" t="s">
        <v>168</v>
      </c>
      <c r="DVD193" s="369">
        <v>0.5</v>
      </c>
      <c r="DVE193" s="370" t="e">
        <f>10/DVA191</f>
        <v>#DIV/0!</v>
      </c>
      <c r="DVF193" s="371">
        <v>15.38</v>
      </c>
      <c r="DVG193" s="371" t="e">
        <f>DVD193*DVE193*DVF193</f>
        <v>#DIV/0!</v>
      </c>
      <c r="DVH193" s="367" t="s">
        <v>206</v>
      </c>
      <c r="DVI193" s="367"/>
      <c r="DVJ193" s="367"/>
      <c r="DVK193" s="368" t="s">
        <v>168</v>
      </c>
      <c r="DVL193" s="369">
        <v>0.5</v>
      </c>
      <c r="DVM193" s="370" t="e">
        <f>10/DVI191</f>
        <v>#DIV/0!</v>
      </c>
      <c r="DVN193" s="371">
        <v>15.38</v>
      </c>
      <c r="DVO193" s="371" t="e">
        <f>DVL193*DVM193*DVN193</f>
        <v>#DIV/0!</v>
      </c>
      <c r="DVP193" s="367" t="s">
        <v>206</v>
      </c>
      <c r="DVQ193" s="367"/>
      <c r="DVR193" s="367"/>
      <c r="DVS193" s="368" t="s">
        <v>168</v>
      </c>
      <c r="DVT193" s="369">
        <v>0.5</v>
      </c>
      <c r="DVU193" s="370" t="e">
        <f>10/DVQ191</f>
        <v>#DIV/0!</v>
      </c>
      <c r="DVV193" s="371">
        <v>15.38</v>
      </c>
      <c r="DVW193" s="371" t="e">
        <f>DVT193*DVU193*DVV193</f>
        <v>#DIV/0!</v>
      </c>
      <c r="DVX193" s="367" t="s">
        <v>206</v>
      </c>
      <c r="DVY193" s="367"/>
      <c r="DVZ193" s="367"/>
      <c r="DWA193" s="368" t="s">
        <v>168</v>
      </c>
      <c r="DWB193" s="369">
        <v>0.5</v>
      </c>
      <c r="DWC193" s="370" t="e">
        <f>10/DVY191</f>
        <v>#DIV/0!</v>
      </c>
      <c r="DWD193" s="371">
        <v>15.38</v>
      </c>
      <c r="DWE193" s="371" t="e">
        <f>DWB193*DWC193*DWD193</f>
        <v>#DIV/0!</v>
      </c>
      <c r="DWF193" s="367" t="s">
        <v>206</v>
      </c>
      <c r="DWG193" s="367"/>
      <c r="DWH193" s="367"/>
      <c r="DWI193" s="368" t="s">
        <v>168</v>
      </c>
      <c r="DWJ193" s="369">
        <v>0.5</v>
      </c>
      <c r="DWK193" s="370" t="e">
        <f>10/DWG191</f>
        <v>#DIV/0!</v>
      </c>
      <c r="DWL193" s="371">
        <v>15.38</v>
      </c>
      <c r="DWM193" s="371" t="e">
        <f>DWJ193*DWK193*DWL193</f>
        <v>#DIV/0!</v>
      </c>
      <c r="DWN193" s="367" t="s">
        <v>206</v>
      </c>
      <c r="DWO193" s="367"/>
      <c r="DWP193" s="367"/>
      <c r="DWQ193" s="368" t="s">
        <v>168</v>
      </c>
      <c r="DWR193" s="369">
        <v>0.5</v>
      </c>
      <c r="DWS193" s="370" t="e">
        <f>10/DWO191</f>
        <v>#DIV/0!</v>
      </c>
      <c r="DWT193" s="371">
        <v>15.38</v>
      </c>
      <c r="DWU193" s="371" t="e">
        <f>DWR193*DWS193*DWT193</f>
        <v>#DIV/0!</v>
      </c>
      <c r="DWV193" s="367" t="s">
        <v>206</v>
      </c>
      <c r="DWW193" s="367"/>
      <c r="DWX193" s="367"/>
      <c r="DWY193" s="368" t="s">
        <v>168</v>
      </c>
      <c r="DWZ193" s="369">
        <v>0.5</v>
      </c>
      <c r="DXA193" s="370" t="e">
        <f>10/DWW191</f>
        <v>#DIV/0!</v>
      </c>
      <c r="DXB193" s="371">
        <v>15.38</v>
      </c>
      <c r="DXC193" s="371" t="e">
        <f>DWZ193*DXA193*DXB193</f>
        <v>#DIV/0!</v>
      </c>
      <c r="DXD193" s="367" t="s">
        <v>206</v>
      </c>
      <c r="DXE193" s="367"/>
      <c r="DXF193" s="367"/>
      <c r="DXG193" s="368" t="s">
        <v>168</v>
      </c>
      <c r="DXH193" s="369">
        <v>0.5</v>
      </c>
      <c r="DXI193" s="370" t="e">
        <f>10/DXE191</f>
        <v>#DIV/0!</v>
      </c>
      <c r="DXJ193" s="371">
        <v>15.38</v>
      </c>
      <c r="DXK193" s="371" t="e">
        <f>DXH193*DXI193*DXJ193</f>
        <v>#DIV/0!</v>
      </c>
      <c r="DXL193" s="367" t="s">
        <v>206</v>
      </c>
      <c r="DXM193" s="367"/>
      <c r="DXN193" s="367"/>
      <c r="DXO193" s="368" t="s">
        <v>168</v>
      </c>
      <c r="DXP193" s="369">
        <v>0.5</v>
      </c>
      <c r="DXQ193" s="370" t="e">
        <f>10/DXM191</f>
        <v>#DIV/0!</v>
      </c>
      <c r="DXR193" s="371">
        <v>15.38</v>
      </c>
      <c r="DXS193" s="371" t="e">
        <f>DXP193*DXQ193*DXR193</f>
        <v>#DIV/0!</v>
      </c>
      <c r="DXT193" s="367" t="s">
        <v>206</v>
      </c>
      <c r="DXU193" s="367"/>
      <c r="DXV193" s="367"/>
      <c r="DXW193" s="368" t="s">
        <v>168</v>
      </c>
      <c r="DXX193" s="369">
        <v>0.5</v>
      </c>
      <c r="DXY193" s="370" t="e">
        <f>10/DXU191</f>
        <v>#DIV/0!</v>
      </c>
      <c r="DXZ193" s="371">
        <v>15.38</v>
      </c>
      <c r="DYA193" s="371" t="e">
        <f>DXX193*DXY193*DXZ193</f>
        <v>#DIV/0!</v>
      </c>
      <c r="DYB193" s="367" t="s">
        <v>206</v>
      </c>
      <c r="DYC193" s="367"/>
      <c r="DYD193" s="367"/>
      <c r="DYE193" s="368" t="s">
        <v>168</v>
      </c>
      <c r="DYF193" s="369">
        <v>0.5</v>
      </c>
      <c r="DYG193" s="370" t="e">
        <f>10/DYC191</f>
        <v>#DIV/0!</v>
      </c>
      <c r="DYH193" s="371">
        <v>15.38</v>
      </c>
      <c r="DYI193" s="371" t="e">
        <f>DYF193*DYG193*DYH193</f>
        <v>#DIV/0!</v>
      </c>
      <c r="DYJ193" s="367" t="s">
        <v>206</v>
      </c>
      <c r="DYK193" s="367"/>
      <c r="DYL193" s="367"/>
      <c r="DYM193" s="368" t="s">
        <v>168</v>
      </c>
      <c r="DYN193" s="369">
        <v>0.5</v>
      </c>
      <c r="DYO193" s="370" t="e">
        <f>10/DYK191</f>
        <v>#DIV/0!</v>
      </c>
      <c r="DYP193" s="371">
        <v>15.38</v>
      </c>
      <c r="DYQ193" s="371" t="e">
        <f>DYN193*DYO193*DYP193</f>
        <v>#DIV/0!</v>
      </c>
      <c r="DYR193" s="367" t="s">
        <v>206</v>
      </c>
      <c r="DYS193" s="367"/>
      <c r="DYT193" s="367"/>
      <c r="DYU193" s="368" t="s">
        <v>168</v>
      </c>
      <c r="DYV193" s="369">
        <v>0.5</v>
      </c>
      <c r="DYW193" s="370" t="e">
        <f>10/DYS191</f>
        <v>#DIV/0!</v>
      </c>
      <c r="DYX193" s="371">
        <v>15.38</v>
      </c>
      <c r="DYY193" s="371" t="e">
        <f>DYV193*DYW193*DYX193</f>
        <v>#DIV/0!</v>
      </c>
      <c r="DYZ193" s="367" t="s">
        <v>206</v>
      </c>
      <c r="DZA193" s="367"/>
      <c r="DZB193" s="367"/>
      <c r="DZC193" s="368" t="s">
        <v>168</v>
      </c>
      <c r="DZD193" s="369">
        <v>0.5</v>
      </c>
      <c r="DZE193" s="370" t="e">
        <f>10/DZA191</f>
        <v>#DIV/0!</v>
      </c>
      <c r="DZF193" s="371">
        <v>15.38</v>
      </c>
      <c r="DZG193" s="371" t="e">
        <f>DZD193*DZE193*DZF193</f>
        <v>#DIV/0!</v>
      </c>
      <c r="DZH193" s="367" t="s">
        <v>206</v>
      </c>
      <c r="DZI193" s="367"/>
      <c r="DZJ193" s="367"/>
      <c r="DZK193" s="368" t="s">
        <v>168</v>
      </c>
      <c r="DZL193" s="369">
        <v>0.5</v>
      </c>
      <c r="DZM193" s="370" t="e">
        <f>10/DZI191</f>
        <v>#DIV/0!</v>
      </c>
      <c r="DZN193" s="371">
        <v>15.38</v>
      </c>
      <c r="DZO193" s="371" t="e">
        <f>DZL193*DZM193*DZN193</f>
        <v>#DIV/0!</v>
      </c>
      <c r="DZP193" s="367" t="s">
        <v>206</v>
      </c>
      <c r="DZQ193" s="367"/>
      <c r="DZR193" s="367"/>
      <c r="DZS193" s="368" t="s">
        <v>168</v>
      </c>
      <c r="DZT193" s="369">
        <v>0.5</v>
      </c>
      <c r="DZU193" s="370" t="e">
        <f>10/DZQ191</f>
        <v>#DIV/0!</v>
      </c>
      <c r="DZV193" s="371">
        <v>15.38</v>
      </c>
      <c r="DZW193" s="371" t="e">
        <f>DZT193*DZU193*DZV193</f>
        <v>#DIV/0!</v>
      </c>
      <c r="DZX193" s="367" t="s">
        <v>206</v>
      </c>
      <c r="DZY193" s="367"/>
      <c r="DZZ193" s="367"/>
      <c r="EAA193" s="368" t="s">
        <v>168</v>
      </c>
      <c r="EAB193" s="369">
        <v>0.5</v>
      </c>
      <c r="EAC193" s="370" t="e">
        <f>10/DZY191</f>
        <v>#DIV/0!</v>
      </c>
      <c r="EAD193" s="371">
        <v>15.38</v>
      </c>
      <c r="EAE193" s="371" t="e">
        <f>EAB193*EAC193*EAD193</f>
        <v>#DIV/0!</v>
      </c>
      <c r="EAF193" s="367" t="s">
        <v>206</v>
      </c>
      <c r="EAG193" s="367"/>
      <c r="EAH193" s="367"/>
      <c r="EAI193" s="368" t="s">
        <v>168</v>
      </c>
      <c r="EAJ193" s="369">
        <v>0.5</v>
      </c>
      <c r="EAK193" s="370" t="e">
        <f>10/EAG191</f>
        <v>#DIV/0!</v>
      </c>
      <c r="EAL193" s="371">
        <v>15.38</v>
      </c>
      <c r="EAM193" s="371" t="e">
        <f>EAJ193*EAK193*EAL193</f>
        <v>#DIV/0!</v>
      </c>
      <c r="EAN193" s="367" t="s">
        <v>206</v>
      </c>
      <c r="EAO193" s="367"/>
      <c r="EAP193" s="367"/>
      <c r="EAQ193" s="368" t="s">
        <v>168</v>
      </c>
      <c r="EAR193" s="369">
        <v>0.5</v>
      </c>
      <c r="EAS193" s="370" t="e">
        <f>10/EAO191</f>
        <v>#DIV/0!</v>
      </c>
      <c r="EAT193" s="371">
        <v>15.38</v>
      </c>
      <c r="EAU193" s="371" t="e">
        <f>EAR193*EAS193*EAT193</f>
        <v>#DIV/0!</v>
      </c>
      <c r="EAV193" s="367" t="s">
        <v>206</v>
      </c>
      <c r="EAW193" s="367"/>
      <c r="EAX193" s="367"/>
      <c r="EAY193" s="368" t="s">
        <v>168</v>
      </c>
      <c r="EAZ193" s="369">
        <v>0.5</v>
      </c>
      <c r="EBA193" s="370" t="e">
        <f>10/EAW191</f>
        <v>#DIV/0!</v>
      </c>
      <c r="EBB193" s="371">
        <v>15.38</v>
      </c>
      <c r="EBC193" s="371" t="e">
        <f>EAZ193*EBA193*EBB193</f>
        <v>#DIV/0!</v>
      </c>
      <c r="EBD193" s="367" t="s">
        <v>206</v>
      </c>
      <c r="EBE193" s="367"/>
      <c r="EBF193" s="367"/>
      <c r="EBG193" s="368" t="s">
        <v>168</v>
      </c>
      <c r="EBH193" s="369">
        <v>0.5</v>
      </c>
      <c r="EBI193" s="370" t="e">
        <f>10/EBE191</f>
        <v>#DIV/0!</v>
      </c>
      <c r="EBJ193" s="371">
        <v>15.38</v>
      </c>
      <c r="EBK193" s="371" t="e">
        <f>EBH193*EBI193*EBJ193</f>
        <v>#DIV/0!</v>
      </c>
      <c r="EBL193" s="367" t="s">
        <v>206</v>
      </c>
      <c r="EBM193" s="367"/>
      <c r="EBN193" s="367"/>
      <c r="EBO193" s="368" t="s">
        <v>168</v>
      </c>
      <c r="EBP193" s="369">
        <v>0.5</v>
      </c>
      <c r="EBQ193" s="370" t="e">
        <f>10/EBM191</f>
        <v>#DIV/0!</v>
      </c>
      <c r="EBR193" s="371">
        <v>15.38</v>
      </c>
      <c r="EBS193" s="371" t="e">
        <f>EBP193*EBQ193*EBR193</f>
        <v>#DIV/0!</v>
      </c>
      <c r="EBT193" s="367" t="s">
        <v>206</v>
      </c>
      <c r="EBU193" s="367"/>
      <c r="EBV193" s="367"/>
      <c r="EBW193" s="368" t="s">
        <v>168</v>
      </c>
      <c r="EBX193" s="369">
        <v>0.5</v>
      </c>
      <c r="EBY193" s="370" t="e">
        <f>10/EBU191</f>
        <v>#DIV/0!</v>
      </c>
      <c r="EBZ193" s="371">
        <v>15.38</v>
      </c>
      <c r="ECA193" s="371" t="e">
        <f>EBX193*EBY193*EBZ193</f>
        <v>#DIV/0!</v>
      </c>
      <c r="ECB193" s="367" t="s">
        <v>206</v>
      </c>
      <c r="ECC193" s="367"/>
      <c r="ECD193" s="367"/>
      <c r="ECE193" s="368" t="s">
        <v>168</v>
      </c>
      <c r="ECF193" s="369">
        <v>0.5</v>
      </c>
      <c r="ECG193" s="370" t="e">
        <f>10/ECC191</f>
        <v>#DIV/0!</v>
      </c>
      <c r="ECH193" s="371">
        <v>15.38</v>
      </c>
      <c r="ECI193" s="371" t="e">
        <f>ECF193*ECG193*ECH193</f>
        <v>#DIV/0!</v>
      </c>
      <c r="ECJ193" s="367" t="s">
        <v>206</v>
      </c>
      <c r="ECK193" s="367"/>
      <c r="ECL193" s="367"/>
      <c r="ECM193" s="368" t="s">
        <v>168</v>
      </c>
      <c r="ECN193" s="369">
        <v>0.5</v>
      </c>
      <c r="ECO193" s="370" t="e">
        <f>10/ECK191</f>
        <v>#DIV/0!</v>
      </c>
      <c r="ECP193" s="371">
        <v>15.38</v>
      </c>
      <c r="ECQ193" s="371" t="e">
        <f>ECN193*ECO193*ECP193</f>
        <v>#DIV/0!</v>
      </c>
      <c r="ECR193" s="367" t="s">
        <v>206</v>
      </c>
      <c r="ECS193" s="367"/>
      <c r="ECT193" s="367"/>
      <c r="ECU193" s="368" t="s">
        <v>168</v>
      </c>
      <c r="ECV193" s="369">
        <v>0.5</v>
      </c>
      <c r="ECW193" s="370" t="e">
        <f>10/ECS191</f>
        <v>#DIV/0!</v>
      </c>
      <c r="ECX193" s="371">
        <v>15.38</v>
      </c>
      <c r="ECY193" s="371" t="e">
        <f>ECV193*ECW193*ECX193</f>
        <v>#DIV/0!</v>
      </c>
      <c r="ECZ193" s="367" t="s">
        <v>206</v>
      </c>
      <c r="EDA193" s="367"/>
      <c r="EDB193" s="367"/>
      <c r="EDC193" s="368" t="s">
        <v>168</v>
      </c>
      <c r="EDD193" s="369">
        <v>0.5</v>
      </c>
      <c r="EDE193" s="370" t="e">
        <f>10/EDA191</f>
        <v>#DIV/0!</v>
      </c>
      <c r="EDF193" s="371">
        <v>15.38</v>
      </c>
      <c r="EDG193" s="371" t="e">
        <f>EDD193*EDE193*EDF193</f>
        <v>#DIV/0!</v>
      </c>
      <c r="EDH193" s="367" t="s">
        <v>206</v>
      </c>
      <c r="EDI193" s="367"/>
      <c r="EDJ193" s="367"/>
      <c r="EDK193" s="368" t="s">
        <v>168</v>
      </c>
      <c r="EDL193" s="369">
        <v>0.5</v>
      </c>
      <c r="EDM193" s="370" t="e">
        <f>10/EDI191</f>
        <v>#DIV/0!</v>
      </c>
      <c r="EDN193" s="371">
        <v>15.38</v>
      </c>
      <c r="EDO193" s="371" t="e">
        <f>EDL193*EDM193*EDN193</f>
        <v>#DIV/0!</v>
      </c>
      <c r="EDP193" s="367" t="s">
        <v>206</v>
      </c>
      <c r="EDQ193" s="367"/>
      <c r="EDR193" s="367"/>
      <c r="EDS193" s="368" t="s">
        <v>168</v>
      </c>
      <c r="EDT193" s="369">
        <v>0.5</v>
      </c>
      <c r="EDU193" s="370" t="e">
        <f>10/EDQ191</f>
        <v>#DIV/0!</v>
      </c>
      <c r="EDV193" s="371">
        <v>15.38</v>
      </c>
      <c r="EDW193" s="371" t="e">
        <f>EDT193*EDU193*EDV193</f>
        <v>#DIV/0!</v>
      </c>
      <c r="EDX193" s="367" t="s">
        <v>206</v>
      </c>
      <c r="EDY193" s="367"/>
      <c r="EDZ193" s="367"/>
      <c r="EEA193" s="368" t="s">
        <v>168</v>
      </c>
      <c r="EEB193" s="369">
        <v>0.5</v>
      </c>
      <c r="EEC193" s="370" t="e">
        <f>10/EDY191</f>
        <v>#DIV/0!</v>
      </c>
      <c r="EED193" s="371">
        <v>15.38</v>
      </c>
      <c r="EEE193" s="371" t="e">
        <f>EEB193*EEC193*EED193</f>
        <v>#DIV/0!</v>
      </c>
      <c r="EEF193" s="367" t="s">
        <v>206</v>
      </c>
      <c r="EEG193" s="367"/>
      <c r="EEH193" s="367"/>
      <c r="EEI193" s="368" t="s">
        <v>168</v>
      </c>
      <c r="EEJ193" s="369">
        <v>0.5</v>
      </c>
      <c r="EEK193" s="370" t="e">
        <f>10/EEG191</f>
        <v>#DIV/0!</v>
      </c>
      <c r="EEL193" s="371">
        <v>15.38</v>
      </c>
      <c r="EEM193" s="371" t="e">
        <f>EEJ193*EEK193*EEL193</f>
        <v>#DIV/0!</v>
      </c>
      <c r="EEN193" s="367" t="s">
        <v>206</v>
      </c>
      <c r="EEO193" s="367"/>
      <c r="EEP193" s="367"/>
      <c r="EEQ193" s="368" t="s">
        <v>168</v>
      </c>
      <c r="EER193" s="369">
        <v>0.5</v>
      </c>
      <c r="EES193" s="370" t="e">
        <f>10/EEO191</f>
        <v>#DIV/0!</v>
      </c>
      <c r="EET193" s="371">
        <v>15.38</v>
      </c>
      <c r="EEU193" s="371" t="e">
        <f>EER193*EES193*EET193</f>
        <v>#DIV/0!</v>
      </c>
      <c r="EEV193" s="367" t="s">
        <v>206</v>
      </c>
      <c r="EEW193" s="367"/>
      <c r="EEX193" s="367"/>
      <c r="EEY193" s="368" t="s">
        <v>168</v>
      </c>
      <c r="EEZ193" s="369">
        <v>0.5</v>
      </c>
      <c r="EFA193" s="370" t="e">
        <f>10/EEW191</f>
        <v>#DIV/0!</v>
      </c>
      <c r="EFB193" s="371">
        <v>15.38</v>
      </c>
      <c r="EFC193" s="371" t="e">
        <f>EEZ193*EFA193*EFB193</f>
        <v>#DIV/0!</v>
      </c>
      <c r="EFD193" s="367" t="s">
        <v>206</v>
      </c>
      <c r="EFE193" s="367"/>
      <c r="EFF193" s="367"/>
      <c r="EFG193" s="368" t="s">
        <v>168</v>
      </c>
      <c r="EFH193" s="369">
        <v>0.5</v>
      </c>
      <c r="EFI193" s="370" t="e">
        <f>10/EFE191</f>
        <v>#DIV/0!</v>
      </c>
      <c r="EFJ193" s="371">
        <v>15.38</v>
      </c>
      <c r="EFK193" s="371" t="e">
        <f>EFH193*EFI193*EFJ193</f>
        <v>#DIV/0!</v>
      </c>
      <c r="EFL193" s="367" t="s">
        <v>206</v>
      </c>
      <c r="EFM193" s="367"/>
      <c r="EFN193" s="367"/>
      <c r="EFO193" s="368" t="s">
        <v>168</v>
      </c>
      <c r="EFP193" s="369">
        <v>0.5</v>
      </c>
      <c r="EFQ193" s="370" t="e">
        <f>10/EFM191</f>
        <v>#DIV/0!</v>
      </c>
      <c r="EFR193" s="371">
        <v>15.38</v>
      </c>
      <c r="EFS193" s="371" t="e">
        <f>EFP193*EFQ193*EFR193</f>
        <v>#DIV/0!</v>
      </c>
      <c r="EFT193" s="367" t="s">
        <v>206</v>
      </c>
      <c r="EFU193" s="367"/>
      <c r="EFV193" s="367"/>
      <c r="EFW193" s="368" t="s">
        <v>168</v>
      </c>
      <c r="EFX193" s="369">
        <v>0.5</v>
      </c>
      <c r="EFY193" s="370" t="e">
        <f>10/EFU191</f>
        <v>#DIV/0!</v>
      </c>
      <c r="EFZ193" s="371">
        <v>15.38</v>
      </c>
      <c r="EGA193" s="371" t="e">
        <f>EFX193*EFY193*EFZ193</f>
        <v>#DIV/0!</v>
      </c>
      <c r="EGB193" s="367" t="s">
        <v>206</v>
      </c>
      <c r="EGC193" s="367"/>
      <c r="EGD193" s="367"/>
      <c r="EGE193" s="368" t="s">
        <v>168</v>
      </c>
      <c r="EGF193" s="369">
        <v>0.5</v>
      </c>
      <c r="EGG193" s="370" t="e">
        <f>10/EGC191</f>
        <v>#DIV/0!</v>
      </c>
      <c r="EGH193" s="371">
        <v>15.38</v>
      </c>
      <c r="EGI193" s="371" t="e">
        <f>EGF193*EGG193*EGH193</f>
        <v>#DIV/0!</v>
      </c>
      <c r="EGJ193" s="367" t="s">
        <v>206</v>
      </c>
      <c r="EGK193" s="367"/>
      <c r="EGL193" s="367"/>
      <c r="EGM193" s="368" t="s">
        <v>168</v>
      </c>
      <c r="EGN193" s="369">
        <v>0.5</v>
      </c>
      <c r="EGO193" s="370" t="e">
        <f>10/EGK191</f>
        <v>#DIV/0!</v>
      </c>
      <c r="EGP193" s="371">
        <v>15.38</v>
      </c>
      <c r="EGQ193" s="371" t="e">
        <f>EGN193*EGO193*EGP193</f>
        <v>#DIV/0!</v>
      </c>
      <c r="EGR193" s="367" t="s">
        <v>206</v>
      </c>
      <c r="EGS193" s="367"/>
      <c r="EGT193" s="367"/>
      <c r="EGU193" s="368" t="s">
        <v>168</v>
      </c>
      <c r="EGV193" s="369">
        <v>0.5</v>
      </c>
      <c r="EGW193" s="370" t="e">
        <f>10/EGS191</f>
        <v>#DIV/0!</v>
      </c>
      <c r="EGX193" s="371">
        <v>15.38</v>
      </c>
      <c r="EGY193" s="371" t="e">
        <f>EGV193*EGW193*EGX193</f>
        <v>#DIV/0!</v>
      </c>
      <c r="EGZ193" s="367" t="s">
        <v>206</v>
      </c>
      <c r="EHA193" s="367"/>
      <c r="EHB193" s="367"/>
      <c r="EHC193" s="368" t="s">
        <v>168</v>
      </c>
      <c r="EHD193" s="369">
        <v>0.5</v>
      </c>
      <c r="EHE193" s="370" t="e">
        <f>10/EHA191</f>
        <v>#DIV/0!</v>
      </c>
      <c r="EHF193" s="371">
        <v>15.38</v>
      </c>
      <c r="EHG193" s="371" t="e">
        <f>EHD193*EHE193*EHF193</f>
        <v>#DIV/0!</v>
      </c>
      <c r="EHH193" s="367" t="s">
        <v>206</v>
      </c>
      <c r="EHI193" s="367"/>
      <c r="EHJ193" s="367"/>
      <c r="EHK193" s="368" t="s">
        <v>168</v>
      </c>
      <c r="EHL193" s="369">
        <v>0.5</v>
      </c>
      <c r="EHM193" s="370" t="e">
        <f>10/EHI191</f>
        <v>#DIV/0!</v>
      </c>
      <c r="EHN193" s="371">
        <v>15.38</v>
      </c>
      <c r="EHO193" s="371" t="e">
        <f>EHL193*EHM193*EHN193</f>
        <v>#DIV/0!</v>
      </c>
      <c r="EHP193" s="367" t="s">
        <v>206</v>
      </c>
      <c r="EHQ193" s="367"/>
      <c r="EHR193" s="367"/>
      <c r="EHS193" s="368" t="s">
        <v>168</v>
      </c>
      <c r="EHT193" s="369">
        <v>0.5</v>
      </c>
      <c r="EHU193" s="370" t="e">
        <f>10/EHQ191</f>
        <v>#DIV/0!</v>
      </c>
      <c r="EHV193" s="371">
        <v>15.38</v>
      </c>
      <c r="EHW193" s="371" t="e">
        <f>EHT193*EHU193*EHV193</f>
        <v>#DIV/0!</v>
      </c>
      <c r="EHX193" s="367" t="s">
        <v>206</v>
      </c>
      <c r="EHY193" s="367"/>
      <c r="EHZ193" s="367"/>
      <c r="EIA193" s="368" t="s">
        <v>168</v>
      </c>
      <c r="EIB193" s="369">
        <v>0.5</v>
      </c>
      <c r="EIC193" s="370" t="e">
        <f>10/EHY191</f>
        <v>#DIV/0!</v>
      </c>
      <c r="EID193" s="371">
        <v>15.38</v>
      </c>
      <c r="EIE193" s="371" t="e">
        <f>EIB193*EIC193*EID193</f>
        <v>#DIV/0!</v>
      </c>
      <c r="EIF193" s="367" t="s">
        <v>206</v>
      </c>
      <c r="EIG193" s="367"/>
      <c r="EIH193" s="367"/>
      <c r="EII193" s="368" t="s">
        <v>168</v>
      </c>
      <c r="EIJ193" s="369">
        <v>0.5</v>
      </c>
      <c r="EIK193" s="370" t="e">
        <f>10/EIG191</f>
        <v>#DIV/0!</v>
      </c>
      <c r="EIL193" s="371">
        <v>15.38</v>
      </c>
      <c r="EIM193" s="371" t="e">
        <f>EIJ193*EIK193*EIL193</f>
        <v>#DIV/0!</v>
      </c>
      <c r="EIN193" s="367" t="s">
        <v>206</v>
      </c>
      <c r="EIO193" s="367"/>
      <c r="EIP193" s="367"/>
      <c r="EIQ193" s="368" t="s">
        <v>168</v>
      </c>
      <c r="EIR193" s="369">
        <v>0.5</v>
      </c>
      <c r="EIS193" s="370" t="e">
        <f>10/EIO191</f>
        <v>#DIV/0!</v>
      </c>
      <c r="EIT193" s="371">
        <v>15.38</v>
      </c>
      <c r="EIU193" s="371" t="e">
        <f>EIR193*EIS193*EIT193</f>
        <v>#DIV/0!</v>
      </c>
      <c r="EIV193" s="367" t="s">
        <v>206</v>
      </c>
      <c r="EIW193" s="367"/>
      <c r="EIX193" s="367"/>
      <c r="EIY193" s="368" t="s">
        <v>168</v>
      </c>
      <c r="EIZ193" s="369">
        <v>0.5</v>
      </c>
      <c r="EJA193" s="370" t="e">
        <f>10/EIW191</f>
        <v>#DIV/0!</v>
      </c>
      <c r="EJB193" s="371">
        <v>15.38</v>
      </c>
      <c r="EJC193" s="371" t="e">
        <f>EIZ193*EJA193*EJB193</f>
        <v>#DIV/0!</v>
      </c>
      <c r="EJD193" s="367" t="s">
        <v>206</v>
      </c>
      <c r="EJE193" s="367"/>
      <c r="EJF193" s="367"/>
      <c r="EJG193" s="368" t="s">
        <v>168</v>
      </c>
      <c r="EJH193" s="369">
        <v>0.5</v>
      </c>
      <c r="EJI193" s="370" t="e">
        <f>10/EJE191</f>
        <v>#DIV/0!</v>
      </c>
      <c r="EJJ193" s="371">
        <v>15.38</v>
      </c>
      <c r="EJK193" s="371" t="e">
        <f>EJH193*EJI193*EJJ193</f>
        <v>#DIV/0!</v>
      </c>
      <c r="EJL193" s="367" t="s">
        <v>206</v>
      </c>
      <c r="EJM193" s="367"/>
      <c r="EJN193" s="367"/>
      <c r="EJO193" s="368" t="s">
        <v>168</v>
      </c>
      <c r="EJP193" s="369">
        <v>0.5</v>
      </c>
      <c r="EJQ193" s="370" t="e">
        <f>10/EJM191</f>
        <v>#DIV/0!</v>
      </c>
      <c r="EJR193" s="371">
        <v>15.38</v>
      </c>
      <c r="EJS193" s="371" t="e">
        <f>EJP193*EJQ193*EJR193</f>
        <v>#DIV/0!</v>
      </c>
      <c r="EJT193" s="367" t="s">
        <v>206</v>
      </c>
      <c r="EJU193" s="367"/>
      <c r="EJV193" s="367"/>
      <c r="EJW193" s="368" t="s">
        <v>168</v>
      </c>
      <c r="EJX193" s="369">
        <v>0.5</v>
      </c>
      <c r="EJY193" s="370" t="e">
        <f>10/EJU191</f>
        <v>#DIV/0!</v>
      </c>
      <c r="EJZ193" s="371">
        <v>15.38</v>
      </c>
      <c r="EKA193" s="371" t="e">
        <f>EJX193*EJY193*EJZ193</f>
        <v>#DIV/0!</v>
      </c>
      <c r="EKB193" s="367" t="s">
        <v>206</v>
      </c>
      <c r="EKC193" s="367"/>
      <c r="EKD193" s="367"/>
      <c r="EKE193" s="368" t="s">
        <v>168</v>
      </c>
      <c r="EKF193" s="369">
        <v>0.5</v>
      </c>
      <c r="EKG193" s="370" t="e">
        <f>10/EKC191</f>
        <v>#DIV/0!</v>
      </c>
      <c r="EKH193" s="371">
        <v>15.38</v>
      </c>
      <c r="EKI193" s="371" t="e">
        <f>EKF193*EKG193*EKH193</f>
        <v>#DIV/0!</v>
      </c>
      <c r="EKJ193" s="367" t="s">
        <v>206</v>
      </c>
      <c r="EKK193" s="367"/>
      <c r="EKL193" s="367"/>
      <c r="EKM193" s="368" t="s">
        <v>168</v>
      </c>
      <c r="EKN193" s="369">
        <v>0.5</v>
      </c>
      <c r="EKO193" s="370" t="e">
        <f>10/EKK191</f>
        <v>#DIV/0!</v>
      </c>
      <c r="EKP193" s="371">
        <v>15.38</v>
      </c>
      <c r="EKQ193" s="371" t="e">
        <f>EKN193*EKO193*EKP193</f>
        <v>#DIV/0!</v>
      </c>
      <c r="EKR193" s="367" t="s">
        <v>206</v>
      </c>
      <c r="EKS193" s="367"/>
      <c r="EKT193" s="367"/>
      <c r="EKU193" s="368" t="s">
        <v>168</v>
      </c>
      <c r="EKV193" s="369">
        <v>0.5</v>
      </c>
      <c r="EKW193" s="370" t="e">
        <f>10/EKS191</f>
        <v>#DIV/0!</v>
      </c>
      <c r="EKX193" s="371">
        <v>15.38</v>
      </c>
      <c r="EKY193" s="371" t="e">
        <f>EKV193*EKW193*EKX193</f>
        <v>#DIV/0!</v>
      </c>
      <c r="EKZ193" s="367" t="s">
        <v>206</v>
      </c>
      <c r="ELA193" s="367"/>
      <c r="ELB193" s="367"/>
      <c r="ELC193" s="368" t="s">
        <v>168</v>
      </c>
      <c r="ELD193" s="369">
        <v>0.5</v>
      </c>
      <c r="ELE193" s="370" t="e">
        <f>10/ELA191</f>
        <v>#DIV/0!</v>
      </c>
      <c r="ELF193" s="371">
        <v>15.38</v>
      </c>
      <c r="ELG193" s="371" t="e">
        <f>ELD193*ELE193*ELF193</f>
        <v>#DIV/0!</v>
      </c>
      <c r="ELH193" s="367" t="s">
        <v>206</v>
      </c>
      <c r="ELI193" s="367"/>
      <c r="ELJ193" s="367"/>
      <c r="ELK193" s="368" t="s">
        <v>168</v>
      </c>
      <c r="ELL193" s="369">
        <v>0.5</v>
      </c>
      <c r="ELM193" s="370" t="e">
        <f>10/ELI191</f>
        <v>#DIV/0!</v>
      </c>
      <c r="ELN193" s="371">
        <v>15.38</v>
      </c>
      <c r="ELO193" s="371" t="e">
        <f>ELL193*ELM193*ELN193</f>
        <v>#DIV/0!</v>
      </c>
      <c r="ELP193" s="367" t="s">
        <v>206</v>
      </c>
      <c r="ELQ193" s="367"/>
      <c r="ELR193" s="367"/>
      <c r="ELS193" s="368" t="s">
        <v>168</v>
      </c>
      <c r="ELT193" s="369">
        <v>0.5</v>
      </c>
      <c r="ELU193" s="370" t="e">
        <f>10/ELQ191</f>
        <v>#DIV/0!</v>
      </c>
      <c r="ELV193" s="371">
        <v>15.38</v>
      </c>
      <c r="ELW193" s="371" t="e">
        <f>ELT193*ELU193*ELV193</f>
        <v>#DIV/0!</v>
      </c>
      <c r="ELX193" s="367" t="s">
        <v>206</v>
      </c>
      <c r="ELY193" s="367"/>
      <c r="ELZ193" s="367"/>
      <c r="EMA193" s="368" t="s">
        <v>168</v>
      </c>
      <c r="EMB193" s="369">
        <v>0.5</v>
      </c>
      <c r="EMC193" s="370" t="e">
        <f>10/ELY191</f>
        <v>#DIV/0!</v>
      </c>
      <c r="EMD193" s="371">
        <v>15.38</v>
      </c>
      <c r="EME193" s="371" t="e">
        <f>EMB193*EMC193*EMD193</f>
        <v>#DIV/0!</v>
      </c>
      <c r="EMF193" s="367" t="s">
        <v>206</v>
      </c>
      <c r="EMG193" s="367"/>
      <c r="EMH193" s="367"/>
      <c r="EMI193" s="368" t="s">
        <v>168</v>
      </c>
      <c r="EMJ193" s="369">
        <v>0.5</v>
      </c>
      <c r="EMK193" s="370" t="e">
        <f>10/EMG191</f>
        <v>#DIV/0!</v>
      </c>
      <c r="EML193" s="371">
        <v>15.38</v>
      </c>
      <c r="EMM193" s="371" t="e">
        <f>EMJ193*EMK193*EML193</f>
        <v>#DIV/0!</v>
      </c>
      <c r="EMN193" s="367" t="s">
        <v>206</v>
      </c>
      <c r="EMO193" s="367"/>
      <c r="EMP193" s="367"/>
      <c r="EMQ193" s="368" t="s">
        <v>168</v>
      </c>
      <c r="EMR193" s="369">
        <v>0.5</v>
      </c>
      <c r="EMS193" s="370" t="e">
        <f>10/EMO191</f>
        <v>#DIV/0!</v>
      </c>
      <c r="EMT193" s="371">
        <v>15.38</v>
      </c>
      <c r="EMU193" s="371" t="e">
        <f>EMR193*EMS193*EMT193</f>
        <v>#DIV/0!</v>
      </c>
      <c r="EMV193" s="367" t="s">
        <v>206</v>
      </c>
      <c r="EMW193" s="367"/>
      <c r="EMX193" s="367"/>
      <c r="EMY193" s="368" t="s">
        <v>168</v>
      </c>
      <c r="EMZ193" s="369">
        <v>0.5</v>
      </c>
      <c r="ENA193" s="370" t="e">
        <f>10/EMW191</f>
        <v>#DIV/0!</v>
      </c>
      <c r="ENB193" s="371">
        <v>15.38</v>
      </c>
      <c r="ENC193" s="371" t="e">
        <f>EMZ193*ENA193*ENB193</f>
        <v>#DIV/0!</v>
      </c>
      <c r="END193" s="367" t="s">
        <v>206</v>
      </c>
      <c r="ENE193" s="367"/>
      <c r="ENF193" s="367"/>
      <c r="ENG193" s="368" t="s">
        <v>168</v>
      </c>
      <c r="ENH193" s="369">
        <v>0.5</v>
      </c>
      <c r="ENI193" s="370" t="e">
        <f>10/ENE191</f>
        <v>#DIV/0!</v>
      </c>
      <c r="ENJ193" s="371">
        <v>15.38</v>
      </c>
      <c r="ENK193" s="371" t="e">
        <f>ENH193*ENI193*ENJ193</f>
        <v>#DIV/0!</v>
      </c>
      <c r="ENL193" s="367" t="s">
        <v>206</v>
      </c>
      <c r="ENM193" s="367"/>
      <c r="ENN193" s="367"/>
      <c r="ENO193" s="368" t="s">
        <v>168</v>
      </c>
      <c r="ENP193" s="369">
        <v>0.5</v>
      </c>
      <c r="ENQ193" s="370" t="e">
        <f>10/ENM191</f>
        <v>#DIV/0!</v>
      </c>
      <c r="ENR193" s="371">
        <v>15.38</v>
      </c>
      <c r="ENS193" s="371" t="e">
        <f>ENP193*ENQ193*ENR193</f>
        <v>#DIV/0!</v>
      </c>
      <c r="ENT193" s="367" t="s">
        <v>206</v>
      </c>
      <c r="ENU193" s="367"/>
      <c r="ENV193" s="367"/>
      <c r="ENW193" s="368" t="s">
        <v>168</v>
      </c>
      <c r="ENX193" s="369">
        <v>0.5</v>
      </c>
      <c r="ENY193" s="370" t="e">
        <f>10/ENU191</f>
        <v>#DIV/0!</v>
      </c>
      <c r="ENZ193" s="371">
        <v>15.38</v>
      </c>
      <c r="EOA193" s="371" t="e">
        <f>ENX193*ENY193*ENZ193</f>
        <v>#DIV/0!</v>
      </c>
      <c r="EOB193" s="367" t="s">
        <v>206</v>
      </c>
      <c r="EOC193" s="367"/>
      <c r="EOD193" s="367"/>
      <c r="EOE193" s="368" t="s">
        <v>168</v>
      </c>
      <c r="EOF193" s="369">
        <v>0.5</v>
      </c>
      <c r="EOG193" s="370" t="e">
        <f>10/EOC191</f>
        <v>#DIV/0!</v>
      </c>
      <c r="EOH193" s="371">
        <v>15.38</v>
      </c>
      <c r="EOI193" s="371" t="e">
        <f>EOF193*EOG193*EOH193</f>
        <v>#DIV/0!</v>
      </c>
      <c r="EOJ193" s="367" t="s">
        <v>206</v>
      </c>
      <c r="EOK193" s="367"/>
      <c r="EOL193" s="367"/>
      <c r="EOM193" s="368" t="s">
        <v>168</v>
      </c>
      <c r="EON193" s="369">
        <v>0.5</v>
      </c>
      <c r="EOO193" s="370" t="e">
        <f>10/EOK191</f>
        <v>#DIV/0!</v>
      </c>
      <c r="EOP193" s="371">
        <v>15.38</v>
      </c>
      <c r="EOQ193" s="371" t="e">
        <f>EON193*EOO193*EOP193</f>
        <v>#DIV/0!</v>
      </c>
      <c r="EOR193" s="367" t="s">
        <v>206</v>
      </c>
      <c r="EOS193" s="367"/>
      <c r="EOT193" s="367"/>
      <c r="EOU193" s="368" t="s">
        <v>168</v>
      </c>
      <c r="EOV193" s="369">
        <v>0.5</v>
      </c>
      <c r="EOW193" s="370" t="e">
        <f>10/EOS191</f>
        <v>#DIV/0!</v>
      </c>
      <c r="EOX193" s="371">
        <v>15.38</v>
      </c>
      <c r="EOY193" s="371" t="e">
        <f>EOV193*EOW193*EOX193</f>
        <v>#DIV/0!</v>
      </c>
      <c r="EOZ193" s="367" t="s">
        <v>206</v>
      </c>
      <c r="EPA193" s="367"/>
      <c r="EPB193" s="367"/>
      <c r="EPC193" s="368" t="s">
        <v>168</v>
      </c>
      <c r="EPD193" s="369">
        <v>0.5</v>
      </c>
      <c r="EPE193" s="370" t="e">
        <f>10/EPA191</f>
        <v>#DIV/0!</v>
      </c>
      <c r="EPF193" s="371">
        <v>15.38</v>
      </c>
      <c r="EPG193" s="371" t="e">
        <f>EPD193*EPE193*EPF193</f>
        <v>#DIV/0!</v>
      </c>
      <c r="EPH193" s="367" t="s">
        <v>206</v>
      </c>
      <c r="EPI193" s="367"/>
      <c r="EPJ193" s="367"/>
      <c r="EPK193" s="368" t="s">
        <v>168</v>
      </c>
      <c r="EPL193" s="369">
        <v>0.5</v>
      </c>
      <c r="EPM193" s="370" t="e">
        <f>10/EPI191</f>
        <v>#DIV/0!</v>
      </c>
      <c r="EPN193" s="371">
        <v>15.38</v>
      </c>
      <c r="EPO193" s="371" t="e">
        <f>EPL193*EPM193*EPN193</f>
        <v>#DIV/0!</v>
      </c>
      <c r="EPP193" s="367" t="s">
        <v>206</v>
      </c>
      <c r="EPQ193" s="367"/>
      <c r="EPR193" s="367"/>
      <c r="EPS193" s="368" t="s">
        <v>168</v>
      </c>
      <c r="EPT193" s="369">
        <v>0.5</v>
      </c>
      <c r="EPU193" s="370" t="e">
        <f>10/EPQ191</f>
        <v>#DIV/0!</v>
      </c>
      <c r="EPV193" s="371">
        <v>15.38</v>
      </c>
      <c r="EPW193" s="371" t="e">
        <f>EPT193*EPU193*EPV193</f>
        <v>#DIV/0!</v>
      </c>
      <c r="EPX193" s="367" t="s">
        <v>206</v>
      </c>
      <c r="EPY193" s="367"/>
      <c r="EPZ193" s="367"/>
      <c r="EQA193" s="368" t="s">
        <v>168</v>
      </c>
      <c r="EQB193" s="369">
        <v>0.5</v>
      </c>
      <c r="EQC193" s="370" t="e">
        <f>10/EPY191</f>
        <v>#DIV/0!</v>
      </c>
      <c r="EQD193" s="371">
        <v>15.38</v>
      </c>
      <c r="EQE193" s="371" t="e">
        <f>EQB193*EQC193*EQD193</f>
        <v>#DIV/0!</v>
      </c>
      <c r="EQF193" s="367" t="s">
        <v>206</v>
      </c>
      <c r="EQG193" s="367"/>
      <c r="EQH193" s="367"/>
      <c r="EQI193" s="368" t="s">
        <v>168</v>
      </c>
      <c r="EQJ193" s="369">
        <v>0.5</v>
      </c>
      <c r="EQK193" s="370" t="e">
        <f>10/EQG191</f>
        <v>#DIV/0!</v>
      </c>
      <c r="EQL193" s="371">
        <v>15.38</v>
      </c>
      <c r="EQM193" s="371" t="e">
        <f>EQJ193*EQK193*EQL193</f>
        <v>#DIV/0!</v>
      </c>
      <c r="EQN193" s="367" t="s">
        <v>206</v>
      </c>
      <c r="EQO193" s="367"/>
      <c r="EQP193" s="367"/>
      <c r="EQQ193" s="368" t="s">
        <v>168</v>
      </c>
      <c r="EQR193" s="369">
        <v>0.5</v>
      </c>
      <c r="EQS193" s="370" t="e">
        <f>10/EQO191</f>
        <v>#DIV/0!</v>
      </c>
      <c r="EQT193" s="371">
        <v>15.38</v>
      </c>
      <c r="EQU193" s="371" t="e">
        <f>EQR193*EQS193*EQT193</f>
        <v>#DIV/0!</v>
      </c>
      <c r="EQV193" s="367" t="s">
        <v>206</v>
      </c>
      <c r="EQW193" s="367"/>
      <c r="EQX193" s="367"/>
      <c r="EQY193" s="368" t="s">
        <v>168</v>
      </c>
      <c r="EQZ193" s="369">
        <v>0.5</v>
      </c>
      <c r="ERA193" s="370" t="e">
        <f>10/EQW191</f>
        <v>#DIV/0!</v>
      </c>
      <c r="ERB193" s="371">
        <v>15.38</v>
      </c>
      <c r="ERC193" s="371" t="e">
        <f>EQZ193*ERA193*ERB193</f>
        <v>#DIV/0!</v>
      </c>
      <c r="ERD193" s="367" t="s">
        <v>206</v>
      </c>
      <c r="ERE193" s="367"/>
      <c r="ERF193" s="367"/>
      <c r="ERG193" s="368" t="s">
        <v>168</v>
      </c>
      <c r="ERH193" s="369">
        <v>0.5</v>
      </c>
      <c r="ERI193" s="370" t="e">
        <f>10/ERE191</f>
        <v>#DIV/0!</v>
      </c>
      <c r="ERJ193" s="371">
        <v>15.38</v>
      </c>
      <c r="ERK193" s="371" t="e">
        <f>ERH193*ERI193*ERJ193</f>
        <v>#DIV/0!</v>
      </c>
      <c r="ERL193" s="367" t="s">
        <v>206</v>
      </c>
      <c r="ERM193" s="367"/>
      <c r="ERN193" s="367"/>
      <c r="ERO193" s="368" t="s">
        <v>168</v>
      </c>
      <c r="ERP193" s="369">
        <v>0.5</v>
      </c>
      <c r="ERQ193" s="370" t="e">
        <f>10/ERM191</f>
        <v>#DIV/0!</v>
      </c>
      <c r="ERR193" s="371">
        <v>15.38</v>
      </c>
      <c r="ERS193" s="371" t="e">
        <f>ERP193*ERQ193*ERR193</f>
        <v>#DIV/0!</v>
      </c>
      <c r="ERT193" s="367" t="s">
        <v>206</v>
      </c>
      <c r="ERU193" s="367"/>
      <c r="ERV193" s="367"/>
      <c r="ERW193" s="368" t="s">
        <v>168</v>
      </c>
      <c r="ERX193" s="369">
        <v>0.5</v>
      </c>
      <c r="ERY193" s="370" t="e">
        <f>10/ERU191</f>
        <v>#DIV/0!</v>
      </c>
      <c r="ERZ193" s="371">
        <v>15.38</v>
      </c>
      <c r="ESA193" s="371" t="e">
        <f>ERX193*ERY193*ERZ193</f>
        <v>#DIV/0!</v>
      </c>
      <c r="ESB193" s="367" t="s">
        <v>206</v>
      </c>
      <c r="ESC193" s="367"/>
      <c r="ESD193" s="367"/>
      <c r="ESE193" s="368" t="s">
        <v>168</v>
      </c>
      <c r="ESF193" s="369">
        <v>0.5</v>
      </c>
      <c r="ESG193" s="370" t="e">
        <f>10/ESC191</f>
        <v>#DIV/0!</v>
      </c>
      <c r="ESH193" s="371">
        <v>15.38</v>
      </c>
      <c r="ESI193" s="371" t="e">
        <f>ESF193*ESG193*ESH193</f>
        <v>#DIV/0!</v>
      </c>
      <c r="ESJ193" s="367" t="s">
        <v>206</v>
      </c>
      <c r="ESK193" s="367"/>
      <c r="ESL193" s="367"/>
      <c r="ESM193" s="368" t="s">
        <v>168</v>
      </c>
      <c r="ESN193" s="369">
        <v>0.5</v>
      </c>
      <c r="ESO193" s="370" t="e">
        <f>10/ESK191</f>
        <v>#DIV/0!</v>
      </c>
      <c r="ESP193" s="371">
        <v>15.38</v>
      </c>
      <c r="ESQ193" s="371" t="e">
        <f>ESN193*ESO193*ESP193</f>
        <v>#DIV/0!</v>
      </c>
      <c r="ESR193" s="367" t="s">
        <v>206</v>
      </c>
      <c r="ESS193" s="367"/>
      <c r="EST193" s="367"/>
      <c r="ESU193" s="368" t="s">
        <v>168</v>
      </c>
      <c r="ESV193" s="369">
        <v>0.5</v>
      </c>
      <c r="ESW193" s="370" t="e">
        <f>10/ESS191</f>
        <v>#DIV/0!</v>
      </c>
      <c r="ESX193" s="371">
        <v>15.38</v>
      </c>
      <c r="ESY193" s="371" t="e">
        <f>ESV193*ESW193*ESX193</f>
        <v>#DIV/0!</v>
      </c>
      <c r="ESZ193" s="367" t="s">
        <v>206</v>
      </c>
      <c r="ETA193" s="367"/>
      <c r="ETB193" s="367"/>
      <c r="ETC193" s="368" t="s">
        <v>168</v>
      </c>
      <c r="ETD193" s="369">
        <v>0.5</v>
      </c>
      <c r="ETE193" s="370" t="e">
        <f>10/ETA191</f>
        <v>#DIV/0!</v>
      </c>
      <c r="ETF193" s="371">
        <v>15.38</v>
      </c>
      <c r="ETG193" s="371" t="e">
        <f>ETD193*ETE193*ETF193</f>
        <v>#DIV/0!</v>
      </c>
      <c r="ETH193" s="367" t="s">
        <v>206</v>
      </c>
      <c r="ETI193" s="367"/>
      <c r="ETJ193" s="367"/>
      <c r="ETK193" s="368" t="s">
        <v>168</v>
      </c>
      <c r="ETL193" s="369">
        <v>0.5</v>
      </c>
      <c r="ETM193" s="370" t="e">
        <f>10/ETI191</f>
        <v>#DIV/0!</v>
      </c>
      <c r="ETN193" s="371">
        <v>15.38</v>
      </c>
      <c r="ETO193" s="371" t="e">
        <f>ETL193*ETM193*ETN193</f>
        <v>#DIV/0!</v>
      </c>
      <c r="ETP193" s="367" t="s">
        <v>206</v>
      </c>
      <c r="ETQ193" s="367"/>
      <c r="ETR193" s="367"/>
      <c r="ETS193" s="368" t="s">
        <v>168</v>
      </c>
      <c r="ETT193" s="369">
        <v>0.5</v>
      </c>
      <c r="ETU193" s="370" t="e">
        <f>10/ETQ191</f>
        <v>#DIV/0!</v>
      </c>
      <c r="ETV193" s="371">
        <v>15.38</v>
      </c>
      <c r="ETW193" s="371" t="e">
        <f>ETT193*ETU193*ETV193</f>
        <v>#DIV/0!</v>
      </c>
      <c r="ETX193" s="367" t="s">
        <v>206</v>
      </c>
      <c r="ETY193" s="367"/>
      <c r="ETZ193" s="367"/>
      <c r="EUA193" s="368" t="s">
        <v>168</v>
      </c>
      <c r="EUB193" s="369">
        <v>0.5</v>
      </c>
      <c r="EUC193" s="370" t="e">
        <f>10/ETY191</f>
        <v>#DIV/0!</v>
      </c>
      <c r="EUD193" s="371">
        <v>15.38</v>
      </c>
      <c r="EUE193" s="371" t="e">
        <f>EUB193*EUC193*EUD193</f>
        <v>#DIV/0!</v>
      </c>
      <c r="EUF193" s="367" t="s">
        <v>206</v>
      </c>
      <c r="EUG193" s="367"/>
      <c r="EUH193" s="367"/>
      <c r="EUI193" s="368" t="s">
        <v>168</v>
      </c>
      <c r="EUJ193" s="369">
        <v>0.5</v>
      </c>
      <c r="EUK193" s="370" t="e">
        <f>10/EUG191</f>
        <v>#DIV/0!</v>
      </c>
      <c r="EUL193" s="371">
        <v>15.38</v>
      </c>
      <c r="EUM193" s="371" t="e">
        <f>EUJ193*EUK193*EUL193</f>
        <v>#DIV/0!</v>
      </c>
      <c r="EUN193" s="367" t="s">
        <v>206</v>
      </c>
      <c r="EUO193" s="367"/>
      <c r="EUP193" s="367"/>
      <c r="EUQ193" s="368" t="s">
        <v>168</v>
      </c>
      <c r="EUR193" s="369">
        <v>0.5</v>
      </c>
      <c r="EUS193" s="370" t="e">
        <f>10/EUO191</f>
        <v>#DIV/0!</v>
      </c>
      <c r="EUT193" s="371">
        <v>15.38</v>
      </c>
      <c r="EUU193" s="371" t="e">
        <f>EUR193*EUS193*EUT193</f>
        <v>#DIV/0!</v>
      </c>
      <c r="EUV193" s="367" t="s">
        <v>206</v>
      </c>
      <c r="EUW193" s="367"/>
      <c r="EUX193" s="367"/>
      <c r="EUY193" s="368" t="s">
        <v>168</v>
      </c>
      <c r="EUZ193" s="369">
        <v>0.5</v>
      </c>
      <c r="EVA193" s="370" t="e">
        <f>10/EUW191</f>
        <v>#DIV/0!</v>
      </c>
      <c r="EVB193" s="371">
        <v>15.38</v>
      </c>
      <c r="EVC193" s="371" t="e">
        <f>EUZ193*EVA193*EVB193</f>
        <v>#DIV/0!</v>
      </c>
      <c r="EVD193" s="367" t="s">
        <v>206</v>
      </c>
      <c r="EVE193" s="367"/>
      <c r="EVF193" s="367"/>
      <c r="EVG193" s="368" t="s">
        <v>168</v>
      </c>
      <c r="EVH193" s="369">
        <v>0.5</v>
      </c>
      <c r="EVI193" s="370" t="e">
        <f>10/EVE191</f>
        <v>#DIV/0!</v>
      </c>
      <c r="EVJ193" s="371">
        <v>15.38</v>
      </c>
      <c r="EVK193" s="371" t="e">
        <f>EVH193*EVI193*EVJ193</f>
        <v>#DIV/0!</v>
      </c>
      <c r="EVL193" s="367" t="s">
        <v>206</v>
      </c>
      <c r="EVM193" s="367"/>
      <c r="EVN193" s="367"/>
      <c r="EVO193" s="368" t="s">
        <v>168</v>
      </c>
      <c r="EVP193" s="369">
        <v>0.5</v>
      </c>
      <c r="EVQ193" s="370" t="e">
        <f>10/EVM191</f>
        <v>#DIV/0!</v>
      </c>
      <c r="EVR193" s="371">
        <v>15.38</v>
      </c>
      <c r="EVS193" s="371" t="e">
        <f>EVP193*EVQ193*EVR193</f>
        <v>#DIV/0!</v>
      </c>
      <c r="EVT193" s="367" t="s">
        <v>206</v>
      </c>
      <c r="EVU193" s="367"/>
      <c r="EVV193" s="367"/>
      <c r="EVW193" s="368" t="s">
        <v>168</v>
      </c>
      <c r="EVX193" s="369">
        <v>0.5</v>
      </c>
      <c r="EVY193" s="370" t="e">
        <f>10/EVU191</f>
        <v>#DIV/0!</v>
      </c>
      <c r="EVZ193" s="371">
        <v>15.38</v>
      </c>
      <c r="EWA193" s="371" t="e">
        <f>EVX193*EVY193*EVZ193</f>
        <v>#DIV/0!</v>
      </c>
      <c r="EWB193" s="367" t="s">
        <v>206</v>
      </c>
      <c r="EWC193" s="367"/>
      <c r="EWD193" s="367"/>
      <c r="EWE193" s="368" t="s">
        <v>168</v>
      </c>
      <c r="EWF193" s="369">
        <v>0.5</v>
      </c>
      <c r="EWG193" s="370" t="e">
        <f>10/EWC191</f>
        <v>#DIV/0!</v>
      </c>
      <c r="EWH193" s="371">
        <v>15.38</v>
      </c>
      <c r="EWI193" s="371" t="e">
        <f>EWF193*EWG193*EWH193</f>
        <v>#DIV/0!</v>
      </c>
      <c r="EWJ193" s="367" t="s">
        <v>206</v>
      </c>
      <c r="EWK193" s="367"/>
      <c r="EWL193" s="367"/>
      <c r="EWM193" s="368" t="s">
        <v>168</v>
      </c>
      <c r="EWN193" s="369">
        <v>0.5</v>
      </c>
      <c r="EWO193" s="370" t="e">
        <f>10/EWK191</f>
        <v>#DIV/0!</v>
      </c>
      <c r="EWP193" s="371">
        <v>15.38</v>
      </c>
      <c r="EWQ193" s="371" t="e">
        <f>EWN193*EWO193*EWP193</f>
        <v>#DIV/0!</v>
      </c>
      <c r="EWR193" s="367" t="s">
        <v>206</v>
      </c>
      <c r="EWS193" s="367"/>
      <c r="EWT193" s="367"/>
      <c r="EWU193" s="368" t="s">
        <v>168</v>
      </c>
      <c r="EWV193" s="369">
        <v>0.5</v>
      </c>
      <c r="EWW193" s="370" t="e">
        <f>10/EWS191</f>
        <v>#DIV/0!</v>
      </c>
      <c r="EWX193" s="371">
        <v>15.38</v>
      </c>
      <c r="EWY193" s="371" t="e">
        <f>EWV193*EWW193*EWX193</f>
        <v>#DIV/0!</v>
      </c>
      <c r="EWZ193" s="367" t="s">
        <v>206</v>
      </c>
      <c r="EXA193" s="367"/>
      <c r="EXB193" s="367"/>
      <c r="EXC193" s="368" t="s">
        <v>168</v>
      </c>
      <c r="EXD193" s="369">
        <v>0.5</v>
      </c>
      <c r="EXE193" s="370" t="e">
        <f>10/EXA191</f>
        <v>#DIV/0!</v>
      </c>
      <c r="EXF193" s="371">
        <v>15.38</v>
      </c>
      <c r="EXG193" s="371" t="e">
        <f>EXD193*EXE193*EXF193</f>
        <v>#DIV/0!</v>
      </c>
      <c r="EXH193" s="367" t="s">
        <v>206</v>
      </c>
      <c r="EXI193" s="367"/>
      <c r="EXJ193" s="367"/>
      <c r="EXK193" s="368" t="s">
        <v>168</v>
      </c>
      <c r="EXL193" s="369">
        <v>0.5</v>
      </c>
      <c r="EXM193" s="370" t="e">
        <f>10/EXI191</f>
        <v>#DIV/0!</v>
      </c>
      <c r="EXN193" s="371">
        <v>15.38</v>
      </c>
      <c r="EXO193" s="371" t="e">
        <f>EXL193*EXM193*EXN193</f>
        <v>#DIV/0!</v>
      </c>
      <c r="EXP193" s="367" t="s">
        <v>206</v>
      </c>
      <c r="EXQ193" s="367"/>
      <c r="EXR193" s="367"/>
      <c r="EXS193" s="368" t="s">
        <v>168</v>
      </c>
      <c r="EXT193" s="369">
        <v>0.5</v>
      </c>
      <c r="EXU193" s="370" t="e">
        <f>10/EXQ191</f>
        <v>#DIV/0!</v>
      </c>
      <c r="EXV193" s="371">
        <v>15.38</v>
      </c>
      <c r="EXW193" s="371" t="e">
        <f>EXT193*EXU193*EXV193</f>
        <v>#DIV/0!</v>
      </c>
      <c r="EXX193" s="367" t="s">
        <v>206</v>
      </c>
      <c r="EXY193" s="367"/>
      <c r="EXZ193" s="367"/>
      <c r="EYA193" s="368" t="s">
        <v>168</v>
      </c>
      <c r="EYB193" s="369">
        <v>0.5</v>
      </c>
      <c r="EYC193" s="370" t="e">
        <f>10/EXY191</f>
        <v>#DIV/0!</v>
      </c>
      <c r="EYD193" s="371">
        <v>15.38</v>
      </c>
      <c r="EYE193" s="371" t="e">
        <f>EYB193*EYC193*EYD193</f>
        <v>#DIV/0!</v>
      </c>
      <c r="EYF193" s="367" t="s">
        <v>206</v>
      </c>
      <c r="EYG193" s="367"/>
      <c r="EYH193" s="367"/>
      <c r="EYI193" s="368" t="s">
        <v>168</v>
      </c>
      <c r="EYJ193" s="369">
        <v>0.5</v>
      </c>
      <c r="EYK193" s="370" t="e">
        <f>10/EYG191</f>
        <v>#DIV/0!</v>
      </c>
      <c r="EYL193" s="371">
        <v>15.38</v>
      </c>
      <c r="EYM193" s="371" t="e">
        <f>EYJ193*EYK193*EYL193</f>
        <v>#DIV/0!</v>
      </c>
      <c r="EYN193" s="367" t="s">
        <v>206</v>
      </c>
      <c r="EYO193" s="367"/>
      <c r="EYP193" s="367"/>
      <c r="EYQ193" s="368" t="s">
        <v>168</v>
      </c>
      <c r="EYR193" s="369">
        <v>0.5</v>
      </c>
      <c r="EYS193" s="370" t="e">
        <f>10/EYO191</f>
        <v>#DIV/0!</v>
      </c>
      <c r="EYT193" s="371">
        <v>15.38</v>
      </c>
      <c r="EYU193" s="371" t="e">
        <f>EYR193*EYS193*EYT193</f>
        <v>#DIV/0!</v>
      </c>
      <c r="EYV193" s="367" t="s">
        <v>206</v>
      </c>
      <c r="EYW193" s="367"/>
      <c r="EYX193" s="367"/>
      <c r="EYY193" s="368" t="s">
        <v>168</v>
      </c>
      <c r="EYZ193" s="369">
        <v>0.5</v>
      </c>
      <c r="EZA193" s="370" t="e">
        <f>10/EYW191</f>
        <v>#DIV/0!</v>
      </c>
      <c r="EZB193" s="371">
        <v>15.38</v>
      </c>
      <c r="EZC193" s="371" t="e">
        <f>EYZ193*EZA193*EZB193</f>
        <v>#DIV/0!</v>
      </c>
      <c r="EZD193" s="367" t="s">
        <v>206</v>
      </c>
      <c r="EZE193" s="367"/>
      <c r="EZF193" s="367"/>
      <c r="EZG193" s="368" t="s">
        <v>168</v>
      </c>
      <c r="EZH193" s="369">
        <v>0.5</v>
      </c>
      <c r="EZI193" s="370" t="e">
        <f>10/EZE191</f>
        <v>#DIV/0!</v>
      </c>
      <c r="EZJ193" s="371">
        <v>15.38</v>
      </c>
      <c r="EZK193" s="371" t="e">
        <f>EZH193*EZI193*EZJ193</f>
        <v>#DIV/0!</v>
      </c>
      <c r="EZL193" s="367" t="s">
        <v>206</v>
      </c>
      <c r="EZM193" s="367"/>
      <c r="EZN193" s="367"/>
      <c r="EZO193" s="368" t="s">
        <v>168</v>
      </c>
      <c r="EZP193" s="369">
        <v>0.5</v>
      </c>
      <c r="EZQ193" s="370" t="e">
        <f>10/EZM191</f>
        <v>#DIV/0!</v>
      </c>
      <c r="EZR193" s="371">
        <v>15.38</v>
      </c>
      <c r="EZS193" s="371" t="e">
        <f>EZP193*EZQ193*EZR193</f>
        <v>#DIV/0!</v>
      </c>
      <c r="EZT193" s="367" t="s">
        <v>206</v>
      </c>
      <c r="EZU193" s="367"/>
      <c r="EZV193" s="367"/>
      <c r="EZW193" s="368" t="s">
        <v>168</v>
      </c>
      <c r="EZX193" s="369">
        <v>0.5</v>
      </c>
      <c r="EZY193" s="370" t="e">
        <f>10/EZU191</f>
        <v>#DIV/0!</v>
      </c>
      <c r="EZZ193" s="371">
        <v>15.38</v>
      </c>
      <c r="FAA193" s="371" t="e">
        <f>EZX193*EZY193*EZZ193</f>
        <v>#DIV/0!</v>
      </c>
      <c r="FAB193" s="367" t="s">
        <v>206</v>
      </c>
      <c r="FAC193" s="367"/>
      <c r="FAD193" s="367"/>
      <c r="FAE193" s="368" t="s">
        <v>168</v>
      </c>
      <c r="FAF193" s="369">
        <v>0.5</v>
      </c>
      <c r="FAG193" s="370" t="e">
        <f>10/FAC191</f>
        <v>#DIV/0!</v>
      </c>
      <c r="FAH193" s="371">
        <v>15.38</v>
      </c>
      <c r="FAI193" s="371" t="e">
        <f>FAF193*FAG193*FAH193</f>
        <v>#DIV/0!</v>
      </c>
      <c r="FAJ193" s="367" t="s">
        <v>206</v>
      </c>
      <c r="FAK193" s="367"/>
      <c r="FAL193" s="367"/>
      <c r="FAM193" s="368" t="s">
        <v>168</v>
      </c>
      <c r="FAN193" s="369">
        <v>0.5</v>
      </c>
      <c r="FAO193" s="370" t="e">
        <f>10/FAK191</f>
        <v>#DIV/0!</v>
      </c>
      <c r="FAP193" s="371">
        <v>15.38</v>
      </c>
      <c r="FAQ193" s="371" t="e">
        <f>FAN193*FAO193*FAP193</f>
        <v>#DIV/0!</v>
      </c>
      <c r="FAR193" s="367" t="s">
        <v>206</v>
      </c>
      <c r="FAS193" s="367"/>
      <c r="FAT193" s="367"/>
      <c r="FAU193" s="368" t="s">
        <v>168</v>
      </c>
      <c r="FAV193" s="369">
        <v>0.5</v>
      </c>
      <c r="FAW193" s="370" t="e">
        <f>10/FAS191</f>
        <v>#DIV/0!</v>
      </c>
      <c r="FAX193" s="371">
        <v>15.38</v>
      </c>
      <c r="FAY193" s="371" t="e">
        <f>FAV193*FAW193*FAX193</f>
        <v>#DIV/0!</v>
      </c>
      <c r="FAZ193" s="367" t="s">
        <v>206</v>
      </c>
      <c r="FBA193" s="367"/>
      <c r="FBB193" s="367"/>
      <c r="FBC193" s="368" t="s">
        <v>168</v>
      </c>
      <c r="FBD193" s="369">
        <v>0.5</v>
      </c>
      <c r="FBE193" s="370" t="e">
        <f>10/FBA191</f>
        <v>#DIV/0!</v>
      </c>
      <c r="FBF193" s="371">
        <v>15.38</v>
      </c>
      <c r="FBG193" s="371" t="e">
        <f>FBD193*FBE193*FBF193</f>
        <v>#DIV/0!</v>
      </c>
      <c r="FBH193" s="367" t="s">
        <v>206</v>
      </c>
      <c r="FBI193" s="367"/>
      <c r="FBJ193" s="367"/>
      <c r="FBK193" s="368" t="s">
        <v>168</v>
      </c>
      <c r="FBL193" s="369">
        <v>0.5</v>
      </c>
      <c r="FBM193" s="370" t="e">
        <f>10/FBI191</f>
        <v>#DIV/0!</v>
      </c>
      <c r="FBN193" s="371">
        <v>15.38</v>
      </c>
      <c r="FBO193" s="371" t="e">
        <f>FBL193*FBM193*FBN193</f>
        <v>#DIV/0!</v>
      </c>
      <c r="FBP193" s="367" t="s">
        <v>206</v>
      </c>
      <c r="FBQ193" s="367"/>
      <c r="FBR193" s="367"/>
      <c r="FBS193" s="368" t="s">
        <v>168</v>
      </c>
      <c r="FBT193" s="369">
        <v>0.5</v>
      </c>
      <c r="FBU193" s="370" t="e">
        <f>10/FBQ191</f>
        <v>#DIV/0!</v>
      </c>
      <c r="FBV193" s="371">
        <v>15.38</v>
      </c>
      <c r="FBW193" s="371" t="e">
        <f>FBT193*FBU193*FBV193</f>
        <v>#DIV/0!</v>
      </c>
      <c r="FBX193" s="367" t="s">
        <v>206</v>
      </c>
      <c r="FBY193" s="367"/>
      <c r="FBZ193" s="367"/>
      <c r="FCA193" s="368" t="s">
        <v>168</v>
      </c>
      <c r="FCB193" s="369">
        <v>0.5</v>
      </c>
      <c r="FCC193" s="370" t="e">
        <f>10/FBY191</f>
        <v>#DIV/0!</v>
      </c>
      <c r="FCD193" s="371">
        <v>15.38</v>
      </c>
      <c r="FCE193" s="371" t="e">
        <f>FCB193*FCC193*FCD193</f>
        <v>#DIV/0!</v>
      </c>
      <c r="FCF193" s="367" t="s">
        <v>206</v>
      </c>
      <c r="FCG193" s="367"/>
      <c r="FCH193" s="367"/>
      <c r="FCI193" s="368" t="s">
        <v>168</v>
      </c>
      <c r="FCJ193" s="369">
        <v>0.5</v>
      </c>
      <c r="FCK193" s="370" t="e">
        <f>10/FCG191</f>
        <v>#DIV/0!</v>
      </c>
      <c r="FCL193" s="371">
        <v>15.38</v>
      </c>
      <c r="FCM193" s="371" t="e">
        <f>FCJ193*FCK193*FCL193</f>
        <v>#DIV/0!</v>
      </c>
      <c r="FCN193" s="367" t="s">
        <v>206</v>
      </c>
      <c r="FCO193" s="367"/>
      <c r="FCP193" s="367"/>
      <c r="FCQ193" s="368" t="s">
        <v>168</v>
      </c>
      <c r="FCR193" s="369">
        <v>0.5</v>
      </c>
      <c r="FCS193" s="370" t="e">
        <f>10/FCO191</f>
        <v>#DIV/0!</v>
      </c>
      <c r="FCT193" s="371">
        <v>15.38</v>
      </c>
      <c r="FCU193" s="371" t="e">
        <f>FCR193*FCS193*FCT193</f>
        <v>#DIV/0!</v>
      </c>
      <c r="FCV193" s="367" t="s">
        <v>206</v>
      </c>
      <c r="FCW193" s="367"/>
      <c r="FCX193" s="367"/>
      <c r="FCY193" s="368" t="s">
        <v>168</v>
      </c>
      <c r="FCZ193" s="369">
        <v>0.5</v>
      </c>
      <c r="FDA193" s="370" t="e">
        <f>10/FCW191</f>
        <v>#DIV/0!</v>
      </c>
      <c r="FDB193" s="371">
        <v>15.38</v>
      </c>
      <c r="FDC193" s="371" t="e">
        <f>FCZ193*FDA193*FDB193</f>
        <v>#DIV/0!</v>
      </c>
      <c r="FDD193" s="367" t="s">
        <v>206</v>
      </c>
      <c r="FDE193" s="367"/>
      <c r="FDF193" s="367"/>
      <c r="FDG193" s="368" t="s">
        <v>168</v>
      </c>
      <c r="FDH193" s="369">
        <v>0.5</v>
      </c>
      <c r="FDI193" s="370" t="e">
        <f>10/FDE191</f>
        <v>#DIV/0!</v>
      </c>
      <c r="FDJ193" s="371">
        <v>15.38</v>
      </c>
      <c r="FDK193" s="371" t="e">
        <f>FDH193*FDI193*FDJ193</f>
        <v>#DIV/0!</v>
      </c>
      <c r="FDL193" s="367" t="s">
        <v>206</v>
      </c>
      <c r="FDM193" s="367"/>
      <c r="FDN193" s="367"/>
      <c r="FDO193" s="368" t="s">
        <v>168</v>
      </c>
      <c r="FDP193" s="369">
        <v>0.5</v>
      </c>
      <c r="FDQ193" s="370" t="e">
        <f>10/FDM191</f>
        <v>#DIV/0!</v>
      </c>
      <c r="FDR193" s="371">
        <v>15.38</v>
      </c>
      <c r="FDS193" s="371" t="e">
        <f>FDP193*FDQ193*FDR193</f>
        <v>#DIV/0!</v>
      </c>
      <c r="FDT193" s="367" t="s">
        <v>206</v>
      </c>
      <c r="FDU193" s="367"/>
      <c r="FDV193" s="367"/>
      <c r="FDW193" s="368" t="s">
        <v>168</v>
      </c>
      <c r="FDX193" s="369">
        <v>0.5</v>
      </c>
      <c r="FDY193" s="370" t="e">
        <f>10/FDU191</f>
        <v>#DIV/0!</v>
      </c>
      <c r="FDZ193" s="371">
        <v>15.38</v>
      </c>
      <c r="FEA193" s="371" t="e">
        <f>FDX193*FDY193*FDZ193</f>
        <v>#DIV/0!</v>
      </c>
      <c r="FEB193" s="367" t="s">
        <v>206</v>
      </c>
      <c r="FEC193" s="367"/>
      <c r="FED193" s="367"/>
      <c r="FEE193" s="368" t="s">
        <v>168</v>
      </c>
      <c r="FEF193" s="369">
        <v>0.5</v>
      </c>
      <c r="FEG193" s="370" t="e">
        <f>10/FEC191</f>
        <v>#DIV/0!</v>
      </c>
      <c r="FEH193" s="371">
        <v>15.38</v>
      </c>
      <c r="FEI193" s="371" t="e">
        <f>FEF193*FEG193*FEH193</f>
        <v>#DIV/0!</v>
      </c>
      <c r="FEJ193" s="367" t="s">
        <v>206</v>
      </c>
      <c r="FEK193" s="367"/>
      <c r="FEL193" s="367"/>
      <c r="FEM193" s="368" t="s">
        <v>168</v>
      </c>
      <c r="FEN193" s="369">
        <v>0.5</v>
      </c>
      <c r="FEO193" s="370" t="e">
        <f>10/FEK191</f>
        <v>#DIV/0!</v>
      </c>
      <c r="FEP193" s="371">
        <v>15.38</v>
      </c>
      <c r="FEQ193" s="371" t="e">
        <f>FEN193*FEO193*FEP193</f>
        <v>#DIV/0!</v>
      </c>
      <c r="FER193" s="367" t="s">
        <v>206</v>
      </c>
      <c r="FES193" s="367"/>
      <c r="FET193" s="367"/>
      <c r="FEU193" s="368" t="s">
        <v>168</v>
      </c>
      <c r="FEV193" s="369">
        <v>0.5</v>
      </c>
      <c r="FEW193" s="370" t="e">
        <f>10/FES191</f>
        <v>#DIV/0!</v>
      </c>
      <c r="FEX193" s="371">
        <v>15.38</v>
      </c>
      <c r="FEY193" s="371" t="e">
        <f>FEV193*FEW193*FEX193</f>
        <v>#DIV/0!</v>
      </c>
      <c r="FEZ193" s="367" t="s">
        <v>206</v>
      </c>
      <c r="FFA193" s="367"/>
      <c r="FFB193" s="367"/>
      <c r="FFC193" s="368" t="s">
        <v>168</v>
      </c>
      <c r="FFD193" s="369">
        <v>0.5</v>
      </c>
      <c r="FFE193" s="370" t="e">
        <f>10/FFA191</f>
        <v>#DIV/0!</v>
      </c>
      <c r="FFF193" s="371">
        <v>15.38</v>
      </c>
      <c r="FFG193" s="371" t="e">
        <f>FFD193*FFE193*FFF193</f>
        <v>#DIV/0!</v>
      </c>
      <c r="FFH193" s="367" t="s">
        <v>206</v>
      </c>
      <c r="FFI193" s="367"/>
      <c r="FFJ193" s="367"/>
      <c r="FFK193" s="368" t="s">
        <v>168</v>
      </c>
      <c r="FFL193" s="369">
        <v>0.5</v>
      </c>
      <c r="FFM193" s="370" t="e">
        <f>10/FFI191</f>
        <v>#DIV/0!</v>
      </c>
      <c r="FFN193" s="371">
        <v>15.38</v>
      </c>
      <c r="FFO193" s="371" t="e">
        <f>FFL193*FFM193*FFN193</f>
        <v>#DIV/0!</v>
      </c>
      <c r="FFP193" s="367" t="s">
        <v>206</v>
      </c>
      <c r="FFQ193" s="367"/>
      <c r="FFR193" s="367"/>
      <c r="FFS193" s="368" t="s">
        <v>168</v>
      </c>
      <c r="FFT193" s="369">
        <v>0.5</v>
      </c>
      <c r="FFU193" s="370" t="e">
        <f>10/FFQ191</f>
        <v>#DIV/0!</v>
      </c>
      <c r="FFV193" s="371">
        <v>15.38</v>
      </c>
      <c r="FFW193" s="371" t="e">
        <f>FFT193*FFU193*FFV193</f>
        <v>#DIV/0!</v>
      </c>
      <c r="FFX193" s="367" t="s">
        <v>206</v>
      </c>
      <c r="FFY193" s="367"/>
      <c r="FFZ193" s="367"/>
      <c r="FGA193" s="368" t="s">
        <v>168</v>
      </c>
      <c r="FGB193" s="369">
        <v>0.5</v>
      </c>
      <c r="FGC193" s="370" t="e">
        <f>10/FFY191</f>
        <v>#DIV/0!</v>
      </c>
      <c r="FGD193" s="371">
        <v>15.38</v>
      </c>
      <c r="FGE193" s="371" t="e">
        <f>FGB193*FGC193*FGD193</f>
        <v>#DIV/0!</v>
      </c>
      <c r="FGF193" s="367" t="s">
        <v>206</v>
      </c>
      <c r="FGG193" s="367"/>
      <c r="FGH193" s="367"/>
      <c r="FGI193" s="368" t="s">
        <v>168</v>
      </c>
      <c r="FGJ193" s="369">
        <v>0.5</v>
      </c>
      <c r="FGK193" s="370" t="e">
        <f>10/FGG191</f>
        <v>#DIV/0!</v>
      </c>
      <c r="FGL193" s="371">
        <v>15.38</v>
      </c>
      <c r="FGM193" s="371" t="e">
        <f>FGJ193*FGK193*FGL193</f>
        <v>#DIV/0!</v>
      </c>
      <c r="FGN193" s="367" t="s">
        <v>206</v>
      </c>
      <c r="FGO193" s="367"/>
      <c r="FGP193" s="367"/>
      <c r="FGQ193" s="368" t="s">
        <v>168</v>
      </c>
      <c r="FGR193" s="369">
        <v>0.5</v>
      </c>
      <c r="FGS193" s="370" t="e">
        <f>10/FGO191</f>
        <v>#DIV/0!</v>
      </c>
      <c r="FGT193" s="371">
        <v>15.38</v>
      </c>
      <c r="FGU193" s="371" t="e">
        <f>FGR193*FGS193*FGT193</f>
        <v>#DIV/0!</v>
      </c>
      <c r="FGV193" s="367" t="s">
        <v>206</v>
      </c>
      <c r="FGW193" s="367"/>
      <c r="FGX193" s="367"/>
      <c r="FGY193" s="368" t="s">
        <v>168</v>
      </c>
      <c r="FGZ193" s="369">
        <v>0.5</v>
      </c>
      <c r="FHA193" s="370" t="e">
        <f>10/FGW191</f>
        <v>#DIV/0!</v>
      </c>
      <c r="FHB193" s="371">
        <v>15.38</v>
      </c>
      <c r="FHC193" s="371" t="e">
        <f>FGZ193*FHA193*FHB193</f>
        <v>#DIV/0!</v>
      </c>
      <c r="FHD193" s="367" t="s">
        <v>206</v>
      </c>
      <c r="FHE193" s="367"/>
      <c r="FHF193" s="367"/>
      <c r="FHG193" s="368" t="s">
        <v>168</v>
      </c>
      <c r="FHH193" s="369">
        <v>0.5</v>
      </c>
      <c r="FHI193" s="370" t="e">
        <f>10/FHE191</f>
        <v>#DIV/0!</v>
      </c>
      <c r="FHJ193" s="371">
        <v>15.38</v>
      </c>
      <c r="FHK193" s="371" t="e">
        <f>FHH193*FHI193*FHJ193</f>
        <v>#DIV/0!</v>
      </c>
      <c r="FHL193" s="367" t="s">
        <v>206</v>
      </c>
      <c r="FHM193" s="367"/>
      <c r="FHN193" s="367"/>
      <c r="FHO193" s="368" t="s">
        <v>168</v>
      </c>
      <c r="FHP193" s="369">
        <v>0.5</v>
      </c>
      <c r="FHQ193" s="370" t="e">
        <f>10/FHM191</f>
        <v>#DIV/0!</v>
      </c>
      <c r="FHR193" s="371">
        <v>15.38</v>
      </c>
      <c r="FHS193" s="371" t="e">
        <f>FHP193*FHQ193*FHR193</f>
        <v>#DIV/0!</v>
      </c>
      <c r="FHT193" s="367" t="s">
        <v>206</v>
      </c>
      <c r="FHU193" s="367"/>
      <c r="FHV193" s="367"/>
      <c r="FHW193" s="368" t="s">
        <v>168</v>
      </c>
      <c r="FHX193" s="369">
        <v>0.5</v>
      </c>
      <c r="FHY193" s="370" t="e">
        <f>10/FHU191</f>
        <v>#DIV/0!</v>
      </c>
      <c r="FHZ193" s="371">
        <v>15.38</v>
      </c>
      <c r="FIA193" s="371" t="e">
        <f>FHX193*FHY193*FHZ193</f>
        <v>#DIV/0!</v>
      </c>
      <c r="FIB193" s="367" t="s">
        <v>206</v>
      </c>
      <c r="FIC193" s="367"/>
      <c r="FID193" s="367"/>
      <c r="FIE193" s="368" t="s">
        <v>168</v>
      </c>
      <c r="FIF193" s="369">
        <v>0.5</v>
      </c>
      <c r="FIG193" s="370" t="e">
        <f>10/FIC191</f>
        <v>#DIV/0!</v>
      </c>
      <c r="FIH193" s="371">
        <v>15.38</v>
      </c>
      <c r="FII193" s="371" t="e">
        <f>FIF193*FIG193*FIH193</f>
        <v>#DIV/0!</v>
      </c>
      <c r="FIJ193" s="367" t="s">
        <v>206</v>
      </c>
      <c r="FIK193" s="367"/>
      <c r="FIL193" s="367"/>
      <c r="FIM193" s="368" t="s">
        <v>168</v>
      </c>
      <c r="FIN193" s="369">
        <v>0.5</v>
      </c>
      <c r="FIO193" s="370" t="e">
        <f>10/FIK191</f>
        <v>#DIV/0!</v>
      </c>
      <c r="FIP193" s="371">
        <v>15.38</v>
      </c>
      <c r="FIQ193" s="371" t="e">
        <f>FIN193*FIO193*FIP193</f>
        <v>#DIV/0!</v>
      </c>
      <c r="FIR193" s="367" t="s">
        <v>206</v>
      </c>
      <c r="FIS193" s="367"/>
      <c r="FIT193" s="367"/>
      <c r="FIU193" s="368" t="s">
        <v>168</v>
      </c>
      <c r="FIV193" s="369">
        <v>0.5</v>
      </c>
      <c r="FIW193" s="370" t="e">
        <f>10/FIS191</f>
        <v>#DIV/0!</v>
      </c>
      <c r="FIX193" s="371">
        <v>15.38</v>
      </c>
      <c r="FIY193" s="371" t="e">
        <f>FIV193*FIW193*FIX193</f>
        <v>#DIV/0!</v>
      </c>
      <c r="FIZ193" s="367" t="s">
        <v>206</v>
      </c>
      <c r="FJA193" s="367"/>
      <c r="FJB193" s="367"/>
      <c r="FJC193" s="368" t="s">
        <v>168</v>
      </c>
      <c r="FJD193" s="369">
        <v>0.5</v>
      </c>
      <c r="FJE193" s="370" t="e">
        <f>10/FJA191</f>
        <v>#DIV/0!</v>
      </c>
      <c r="FJF193" s="371">
        <v>15.38</v>
      </c>
      <c r="FJG193" s="371" t="e">
        <f>FJD193*FJE193*FJF193</f>
        <v>#DIV/0!</v>
      </c>
      <c r="FJH193" s="367" t="s">
        <v>206</v>
      </c>
      <c r="FJI193" s="367"/>
      <c r="FJJ193" s="367"/>
      <c r="FJK193" s="368" t="s">
        <v>168</v>
      </c>
      <c r="FJL193" s="369">
        <v>0.5</v>
      </c>
      <c r="FJM193" s="370" t="e">
        <f>10/FJI191</f>
        <v>#DIV/0!</v>
      </c>
      <c r="FJN193" s="371">
        <v>15.38</v>
      </c>
      <c r="FJO193" s="371" t="e">
        <f>FJL193*FJM193*FJN193</f>
        <v>#DIV/0!</v>
      </c>
      <c r="FJP193" s="367" t="s">
        <v>206</v>
      </c>
      <c r="FJQ193" s="367"/>
      <c r="FJR193" s="367"/>
      <c r="FJS193" s="368" t="s">
        <v>168</v>
      </c>
      <c r="FJT193" s="369">
        <v>0.5</v>
      </c>
      <c r="FJU193" s="370" t="e">
        <f>10/FJQ191</f>
        <v>#DIV/0!</v>
      </c>
      <c r="FJV193" s="371">
        <v>15.38</v>
      </c>
      <c r="FJW193" s="371" t="e">
        <f>FJT193*FJU193*FJV193</f>
        <v>#DIV/0!</v>
      </c>
      <c r="FJX193" s="367" t="s">
        <v>206</v>
      </c>
      <c r="FJY193" s="367"/>
      <c r="FJZ193" s="367"/>
      <c r="FKA193" s="368" t="s">
        <v>168</v>
      </c>
      <c r="FKB193" s="369">
        <v>0.5</v>
      </c>
      <c r="FKC193" s="370" t="e">
        <f>10/FJY191</f>
        <v>#DIV/0!</v>
      </c>
      <c r="FKD193" s="371">
        <v>15.38</v>
      </c>
      <c r="FKE193" s="371" t="e">
        <f>FKB193*FKC193*FKD193</f>
        <v>#DIV/0!</v>
      </c>
      <c r="FKF193" s="367" t="s">
        <v>206</v>
      </c>
      <c r="FKG193" s="367"/>
      <c r="FKH193" s="367"/>
      <c r="FKI193" s="368" t="s">
        <v>168</v>
      </c>
      <c r="FKJ193" s="369">
        <v>0.5</v>
      </c>
      <c r="FKK193" s="370" t="e">
        <f>10/FKG191</f>
        <v>#DIV/0!</v>
      </c>
      <c r="FKL193" s="371">
        <v>15.38</v>
      </c>
      <c r="FKM193" s="371" t="e">
        <f>FKJ193*FKK193*FKL193</f>
        <v>#DIV/0!</v>
      </c>
      <c r="FKN193" s="367" t="s">
        <v>206</v>
      </c>
      <c r="FKO193" s="367"/>
      <c r="FKP193" s="367"/>
      <c r="FKQ193" s="368" t="s">
        <v>168</v>
      </c>
      <c r="FKR193" s="369">
        <v>0.5</v>
      </c>
      <c r="FKS193" s="370" t="e">
        <f>10/FKO191</f>
        <v>#DIV/0!</v>
      </c>
      <c r="FKT193" s="371">
        <v>15.38</v>
      </c>
      <c r="FKU193" s="371" t="e">
        <f>FKR193*FKS193*FKT193</f>
        <v>#DIV/0!</v>
      </c>
      <c r="FKV193" s="367" t="s">
        <v>206</v>
      </c>
      <c r="FKW193" s="367"/>
      <c r="FKX193" s="367"/>
      <c r="FKY193" s="368" t="s">
        <v>168</v>
      </c>
      <c r="FKZ193" s="369">
        <v>0.5</v>
      </c>
      <c r="FLA193" s="370" t="e">
        <f>10/FKW191</f>
        <v>#DIV/0!</v>
      </c>
      <c r="FLB193" s="371">
        <v>15.38</v>
      </c>
      <c r="FLC193" s="371" t="e">
        <f>FKZ193*FLA193*FLB193</f>
        <v>#DIV/0!</v>
      </c>
      <c r="FLD193" s="367" t="s">
        <v>206</v>
      </c>
      <c r="FLE193" s="367"/>
      <c r="FLF193" s="367"/>
      <c r="FLG193" s="368" t="s">
        <v>168</v>
      </c>
      <c r="FLH193" s="369">
        <v>0.5</v>
      </c>
      <c r="FLI193" s="370" t="e">
        <f>10/FLE191</f>
        <v>#DIV/0!</v>
      </c>
      <c r="FLJ193" s="371">
        <v>15.38</v>
      </c>
      <c r="FLK193" s="371" t="e">
        <f>FLH193*FLI193*FLJ193</f>
        <v>#DIV/0!</v>
      </c>
      <c r="FLL193" s="367" t="s">
        <v>206</v>
      </c>
      <c r="FLM193" s="367"/>
      <c r="FLN193" s="367"/>
      <c r="FLO193" s="368" t="s">
        <v>168</v>
      </c>
      <c r="FLP193" s="369">
        <v>0.5</v>
      </c>
      <c r="FLQ193" s="370" t="e">
        <f>10/FLM191</f>
        <v>#DIV/0!</v>
      </c>
      <c r="FLR193" s="371">
        <v>15.38</v>
      </c>
      <c r="FLS193" s="371" t="e">
        <f>FLP193*FLQ193*FLR193</f>
        <v>#DIV/0!</v>
      </c>
      <c r="FLT193" s="367" t="s">
        <v>206</v>
      </c>
      <c r="FLU193" s="367"/>
      <c r="FLV193" s="367"/>
      <c r="FLW193" s="368" t="s">
        <v>168</v>
      </c>
      <c r="FLX193" s="369">
        <v>0.5</v>
      </c>
      <c r="FLY193" s="370" t="e">
        <f>10/FLU191</f>
        <v>#DIV/0!</v>
      </c>
      <c r="FLZ193" s="371">
        <v>15.38</v>
      </c>
      <c r="FMA193" s="371" t="e">
        <f>FLX193*FLY193*FLZ193</f>
        <v>#DIV/0!</v>
      </c>
      <c r="FMB193" s="367" t="s">
        <v>206</v>
      </c>
      <c r="FMC193" s="367"/>
      <c r="FMD193" s="367"/>
      <c r="FME193" s="368" t="s">
        <v>168</v>
      </c>
      <c r="FMF193" s="369">
        <v>0.5</v>
      </c>
      <c r="FMG193" s="370" t="e">
        <f>10/FMC191</f>
        <v>#DIV/0!</v>
      </c>
      <c r="FMH193" s="371">
        <v>15.38</v>
      </c>
      <c r="FMI193" s="371" t="e">
        <f>FMF193*FMG193*FMH193</f>
        <v>#DIV/0!</v>
      </c>
      <c r="FMJ193" s="367" t="s">
        <v>206</v>
      </c>
      <c r="FMK193" s="367"/>
      <c r="FML193" s="367"/>
      <c r="FMM193" s="368" t="s">
        <v>168</v>
      </c>
      <c r="FMN193" s="369">
        <v>0.5</v>
      </c>
      <c r="FMO193" s="370" t="e">
        <f>10/FMK191</f>
        <v>#DIV/0!</v>
      </c>
      <c r="FMP193" s="371">
        <v>15.38</v>
      </c>
      <c r="FMQ193" s="371" t="e">
        <f>FMN193*FMO193*FMP193</f>
        <v>#DIV/0!</v>
      </c>
      <c r="FMR193" s="367" t="s">
        <v>206</v>
      </c>
      <c r="FMS193" s="367"/>
      <c r="FMT193" s="367"/>
      <c r="FMU193" s="368" t="s">
        <v>168</v>
      </c>
      <c r="FMV193" s="369">
        <v>0.5</v>
      </c>
      <c r="FMW193" s="370" t="e">
        <f>10/FMS191</f>
        <v>#DIV/0!</v>
      </c>
      <c r="FMX193" s="371">
        <v>15.38</v>
      </c>
      <c r="FMY193" s="371" t="e">
        <f>FMV193*FMW193*FMX193</f>
        <v>#DIV/0!</v>
      </c>
      <c r="FMZ193" s="367" t="s">
        <v>206</v>
      </c>
      <c r="FNA193" s="367"/>
      <c r="FNB193" s="367"/>
      <c r="FNC193" s="368" t="s">
        <v>168</v>
      </c>
      <c r="FND193" s="369">
        <v>0.5</v>
      </c>
      <c r="FNE193" s="370" t="e">
        <f>10/FNA191</f>
        <v>#DIV/0!</v>
      </c>
      <c r="FNF193" s="371">
        <v>15.38</v>
      </c>
      <c r="FNG193" s="371" t="e">
        <f>FND193*FNE193*FNF193</f>
        <v>#DIV/0!</v>
      </c>
      <c r="FNH193" s="367" t="s">
        <v>206</v>
      </c>
      <c r="FNI193" s="367"/>
      <c r="FNJ193" s="367"/>
      <c r="FNK193" s="368" t="s">
        <v>168</v>
      </c>
      <c r="FNL193" s="369">
        <v>0.5</v>
      </c>
      <c r="FNM193" s="370" t="e">
        <f>10/FNI191</f>
        <v>#DIV/0!</v>
      </c>
      <c r="FNN193" s="371">
        <v>15.38</v>
      </c>
      <c r="FNO193" s="371" t="e">
        <f>FNL193*FNM193*FNN193</f>
        <v>#DIV/0!</v>
      </c>
      <c r="FNP193" s="367" t="s">
        <v>206</v>
      </c>
      <c r="FNQ193" s="367"/>
      <c r="FNR193" s="367"/>
      <c r="FNS193" s="368" t="s">
        <v>168</v>
      </c>
      <c r="FNT193" s="369">
        <v>0.5</v>
      </c>
      <c r="FNU193" s="370" t="e">
        <f>10/FNQ191</f>
        <v>#DIV/0!</v>
      </c>
      <c r="FNV193" s="371">
        <v>15.38</v>
      </c>
      <c r="FNW193" s="371" t="e">
        <f>FNT193*FNU193*FNV193</f>
        <v>#DIV/0!</v>
      </c>
      <c r="FNX193" s="367" t="s">
        <v>206</v>
      </c>
      <c r="FNY193" s="367"/>
      <c r="FNZ193" s="367"/>
      <c r="FOA193" s="368" t="s">
        <v>168</v>
      </c>
      <c r="FOB193" s="369">
        <v>0.5</v>
      </c>
      <c r="FOC193" s="370" t="e">
        <f>10/FNY191</f>
        <v>#DIV/0!</v>
      </c>
      <c r="FOD193" s="371">
        <v>15.38</v>
      </c>
      <c r="FOE193" s="371" t="e">
        <f>FOB193*FOC193*FOD193</f>
        <v>#DIV/0!</v>
      </c>
      <c r="FOF193" s="367" t="s">
        <v>206</v>
      </c>
      <c r="FOG193" s="367"/>
      <c r="FOH193" s="367"/>
      <c r="FOI193" s="368" t="s">
        <v>168</v>
      </c>
      <c r="FOJ193" s="369">
        <v>0.5</v>
      </c>
      <c r="FOK193" s="370" t="e">
        <f>10/FOG191</f>
        <v>#DIV/0!</v>
      </c>
      <c r="FOL193" s="371">
        <v>15.38</v>
      </c>
      <c r="FOM193" s="371" t="e">
        <f>FOJ193*FOK193*FOL193</f>
        <v>#DIV/0!</v>
      </c>
      <c r="FON193" s="367" t="s">
        <v>206</v>
      </c>
      <c r="FOO193" s="367"/>
      <c r="FOP193" s="367"/>
      <c r="FOQ193" s="368" t="s">
        <v>168</v>
      </c>
      <c r="FOR193" s="369">
        <v>0.5</v>
      </c>
      <c r="FOS193" s="370" t="e">
        <f>10/FOO191</f>
        <v>#DIV/0!</v>
      </c>
      <c r="FOT193" s="371">
        <v>15.38</v>
      </c>
      <c r="FOU193" s="371" t="e">
        <f>FOR193*FOS193*FOT193</f>
        <v>#DIV/0!</v>
      </c>
      <c r="FOV193" s="367" t="s">
        <v>206</v>
      </c>
      <c r="FOW193" s="367"/>
      <c r="FOX193" s="367"/>
      <c r="FOY193" s="368" t="s">
        <v>168</v>
      </c>
      <c r="FOZ193" s="369">
        <v>0.5</v>
      </c>
      <c r="FPA193" s="370" t="e">
        <f>10/FOW191</f>
        <v>#DIV/0!</v>
      </c>
      <c r="FPB193" s="371">
        <v>15.38</v>
      </c>
      <c r="FPC193" s="371" t="e">
        <f>FOZ193*FPA193*FPB193</f>
        <v>#DIV/0!</v>
      </c>
      <c r="FPD193" s="367" t="s">
        <v>206</v>
      </c>
      <c r="FPE193" s="367"/>
      <c r="FPF193" s="367"/>
      <c r="FPG193" s="368" t="s">
        <v>168</v>
      </c>
      <c r="FPH193" s="369">
        <v>0.5</v>
      </c>
      <c r="FPI193" s="370" t="e">
        <f>10/FPE191</f>
        <v>#DIV/0!</v>
      </c>
      <c r="FPJ193" s="371">
        <v>15.38</v>
      </c>
      <c r="FPK193" s="371" t="e">
        <f>FPH193*FPI193*FPJ193</f>
        <v>#DIV/0!</v>
      </c>
      <c r="FPL193" s="367" t="s">
        <v>206</v>
      </c>
      <c r="FPM193" s="367"/>
      <c r="FPN193" s="367"/>
      <c r="FPO193" s="368" t="s">
        <v>168</v>
      </c>
      <c r="FPP193" s="369">
        <v>0.5</v>
      </c>
      <c r="FPQ193" s="370" t="e">
        <f>10/FPM191</f>
        <v>#DIV/0!</v>
      </c>
      <c r="FPR193" s="371">
        <v>15.38</v>
      </c>
      <c r="FPS193" s="371" t="e">
        <f>FPP193*FPQ193*FPR193</f>
        <v>#DIV/0!</v>
      </c>
      <c r="FPT193" s="367" t="s">
        <v>206</v>
      </c>
      <c r="FPU193" s="367"/>
      <c r="FPV193" s="367"/>
      <c r="FPW193" s="368" t="s">
        <v>168</v>
      </c>
      <c r="FPX193" s="369">
        <v>0.5</v>
      </c>
      <c r="FPY193" s="370" t="e">
        <f>10/FPU191</f>
        <v>#DIV/0!</v>
      </c>
      <c r="FPZ193" s="371">
        <v>15.38</v>
      </c>
      <c r="FQA193" s="371" t="e">
        <f>FPX193*FPY193*FPZ193</f>
        <v>#DIV/0!</v>
      </c>
      <c r="FQB193" s="367" t="s">
        <v>206</v>
      </c>
      <c r="FQC193" s="367"/>
      <c r="FQD193" s="367"/>
      <c r="FQE193" s="368" t="s">
        <v>168</v>
      </c>
      <c r="FQF193" s="369">
        <v>0.5</v>
      </c>
      <c r="FQG193" s="370" t="e">
        <f>10/FQC191</f>
        <v>#DIV/0!</v>
      </c>
      <c r="FQH193" s="371">
        <v>15.38</v>
      </c>
      <c r="FQI193" s="371" t="e">
        <f>FQF193*FQG193*FQH193</f>
        <v>#DIV/0!</v>
      </c>
      <c r="FQJ193" s="367" t="s">
        <v>206</v>
      </c>
      <c r="FQK193" s="367"/>
      <c r="FQL193" s="367"/>
      <c r="FQM193" s="368" t="s">
        <v>168</v>
      </c>
      <c r="FQN193" s="369">
        <v>0.5</v>
      </c>
      <c r="FQO193" s="370" t="e">
        <f>10/FQK191</f>
        <v>#DIV/0!</v>
      </c>
      <c r="FQP193" s="371">
        <v>15.38</v>
      </c>
      <c r="FQQ193" s="371" t="e">
        <f>FQN193*FQO193*FQP193</f>
        <v>#DIV/0!</v>
      </c>
      <c r="FQR193" s="367" t="s">
        <v>206</v>
      </c>
      <c r="FQS193" s="367"/>
      <c r="FQT193" s="367"/>
      <c r="FQU193" s="368" t="s">
        <v>168</v>
      </c>
      <c r="FQV193" s="369">
        <v>0.5</v>
      </c>
      <c r="FQW193" s="370" t="e">
        <f>10/FQS191</f>
        <v>#DIV/0!</v>
      </c>
      <c r="FQX193" s="371">
        <v>15.38</v>
      </c>
      <c r="FQY193" s="371" t="e">
        <f>FQV193*FQW193*FQX193</f>
        <v>#DIV/0!</v>
      </c>
      <c r="FQZ193" s="367" t="s">
        <v>206</v>
      </c>
      <c r="FRA193" s="367"/>
      <c r="FRB193" s="367"/>
      <c r="FRC193" s="368" t="s">
        <v>168</v>
      </c>
      <c r="FRD193" s="369">
        <v>0.5</v>
      </c>
      <c r="FRE193" s="370" t="e">
        <f>10/FRA191</f>
        <v>#DIV/0!</v>
      </c>
      <c r="FRF193" s="371">
        <v>15.38</v>
      </c>
      <c r="FRG193" s="371" t="e">
        <f>FRD193*FRE193*FRF193</f>
        <v>#DIV/0!</v>
      </c>
      <c r="FRH193" s="367" t="s">
        <v>206</v>
      </c>
      <c r="FRI193" s="367"/>
      <c r="FRJ193" s="367"/>
      <c r="FRK193" s="368" t="s">
        <v>168</v>
      </c>
      <c r="FRL193" s="369">
        <v>0.5</v>
      </c>
      <c r="FRM193" s="370" t="e">
        <f>10/FRI191</f>
        <v>#DIV/0!</v>
      </c>
      <c r="FRN193" s="371">
        <v>15.38</v>
      </c>
      <c r="FRO193" s="371" t="e">
        <f>FRL193*FRM193*FRN193</f>
        <v>#DIV/0!</v>
      </c>
      <c r="FRP193" s="367" t="s">
        <v>206</v>
      </c>
      <c r="FRQ193" s="367"/>
      <c r="FRR193" s="367"/>
      <c r="FRS193" s="368" t="s">
        <v>168</v>
      </c>
      <c r="FRT193" s="369">
        <v>0.5</v>
      </c>
      <c r="FRU193" s="370" t="e">
        <f>10/FRQ191</f>
        <v>#DIV/0!</v>
      </c>
      <c r="FRV193" s="371">
        <v>15.38</v>
      </c>
      <c r="FRW193" s="371" t="e">
        <f>FRT193*FRU193*FRV193</f>
        <v>#DIV/0!</v>
      </c>
      <c r="FRX193" s="367" t="s">
        <v>206</v>
      </c>
      <c r="FRY193" s="367"/>
      <c r="FRZ193" s="367"/>
      <c r="FSA193" s="368" t="s">
        <v>168</v>
      </c>
      <c r="FSB193" s="369">
        <v>0.5</v>
      </c>
      <c r="FSC193" s="370" t="e">
        <f>10/FRY191</f>
        <v>#DIV/0!</v>
      </c>
      <c r="FSD193" s="371">
        <v>15.38</v>
      </c>
      <c r="FSE193" s="371" t="e">
        <f>FSB193*FSC193*FSD193</f>
        <v>#DIV/0!</v>
      </c>
      <c r="FSF193" s="367" t="s">
        <v>206</v>
      </c>
      <c r="FSG193" s="367"/>
      <c r="FSH193" s="367"/>
      <c r="FSI193" s="368" t="s">
        <v>168</v>
      </c>
      <c r="FSJ193" s="369">
        <v>0.5</v>
      </c>
      <c r="FSK193" s="370" t="e">
        <f>10/FSG191</f>
        <v>#DIV/0!</v>
      </c>
      <c r="FSL193" s="371">
        <v>15.38</v>
      </c>
      <c r="FSM193" s="371" t="e">
        <f>FSJ193*FSK193*FSL193</f>
        <v>#DIV/0!</v>
      </c>
      <c r="FSN193" s="367" t="s">
        <v>206</v>
      </c>
      <c r="FSO193" s="367"/>
      <c r="FSP193" s="367"/>
      <c r="FSQ193" s="368" t="s">
        <v>168</v>
      </c>
      <c r="FSR193" s="369">
        <v>0.5</v>
      </c>
      <c r="FSS193" s="370" t="e">
        <f>10/FSO191</f>
        <v>#DIV/0!</v>
      </c>
      <c r="FST193" s="371">
        <v>15.38</v>
      </c>
      <c r="FSU193" s="371" t="e">
        <f>FSR193*FSS193*FST193</f>
        <v>#DIV/0!</v>
      </c>
      <c r="FSV193" s="367" t="s">
        <v>206</v>
      </c>
      <c r="FSW193" s="367"/>
      <c r="FSX193" s="367"/>
      <c r="FSY193" s="368" t="s">
        <v>168</v>
      </c>
      <c r="FSZ193" s="369">
        <v>0.5</v>
      </c>
      <c r="FTA193" s="370" t="e">
        <f>10/FSW191</f>
        <v>#DIV/0!</v>
      </c>
      <c r="FTB193" s="371">
        <v>15.38</v>
      </c>
      <c r="FTC193" s="371" t="e">
        <f>FSZ193*FTA193*FTB193</f>
        <v>#DIV/0!</v>
      </c>
      <c r="FTD193" s="367" t="s">
        <v>206</v>
      </c>
      <c r="FTE193" s="367"/>
      <c r="FTF193" s="367"/>
      <c r="FTG193" s="368" t="s">
        <v>168</v>
      </c>
      <c r="FTH193" s="369">
        <v>0.5</v>
      </c>
      <c r="FTI193" s="370" t="e">
        <f>10/FTE191</f>
        <v>#DIV/0!</v>
      </c>
      <c r="FTJ193" s="371">
        <v>15.38</v>
      </c>
      <c r="FTK193" s="371" t="e">
        <f>FTH193*FTI193*FTJ193</f>
        <v>#DIV/0!</v>
      </c>
      <c r="FTL193" s="367" t="s">
        <v>206</v>
      </c>
      <c r="FTM193" s="367"/>
      <c r="FTN193" s="367"/>
      <c r="FTO193" s="368" t="s">
        <v>168</v>
      </c>
      <c r="FTP193" s="369">
        <v>0.5</v>
      </c>
      <c r="FTQ193" s="370" t="e">
        <f>10/FTM191</f>
        <v>#DIV/0!</v>
      </c>
      <c r="FTR193" s="371">
        <v>15.38</v>
      </c>
      <c r="FTS193" s="371" t="e">
        <f>FTP193*FTQ193*FTR193</f>
        <v>#DIV/0!</v>
      </c>
      <c r="FTT193" s="367" t="s">
        <v>206</v>
      </c>
      <c r="FTU193" s="367"/>
      <c r="FTV193" s="367"/>
      <c r="FTW193" s="368" t="s">
        <v>168</v>
      </c>
      <c r="FTX193" s="369">
        <v>0.5</v>
      </c>
      <c r="FTY193" s="370" t="e">
        <f>10/FTU191</f>
        <v>#DIV/0!</v>
      </c>
      <c r="FTZ193" s="371">
        <v>15.38</v>
      </c>
      <c r="FUA193" s="371" t="e">
        <f>FTX193*FTY193*FTZ193</f>
        <v>#DIV/0!</v>
      </c>
      <c r="FUB193" s="367" t="s">
        <v>206</v>
      </c>
      <c r="FUC193" s="367"/>
      <c r="FUD193" s="367"/>
      <c r="FUE193" s="368" t="s">
        <v>168</v>
      </c>
      <c r="FUF193" s="369">
        <v>0.5</v>
      </c>
      <c r="FUG193" s="370" t="e">
        <f>10/FUC191</f>
        <v>#DIV/0!</v>
      </c>
      <c r="FUH193" s="371">
        <v>15.38</v>
      </c>
      <c r="FUI193" s="371" t="e">
        <f>FUF193*FUG193*FUH193</f>
        <v>#DIV/0!</v>
      </c>
      <c r="FUJ193" s="367" t="s">
        <v>206</v>
      </c>
      <c r="FUK193" s="367"/>
      <c r="FUL193" s="367"/>
      <c r="FUM193" s="368" t="s">
        <v>168</v>
      </c>
      <c r="FUN193" s="369">
        <v>0.5</v>
      </c>
      <c r="FUO193" s="370" t="e">
        <f>10/FUK191</f>
        <v>#DIV/0!</v>
      </c>
      <c r="FUP193" s="371">
        <v>15.38</v>
      </c>
      <c r="FUQ193" s="371" t="e">
        <f>FUN193*FUO193*FUP193</f>
        <v>#DIV/0!</v>
      </c>
      <c r="FUR193" s="367" t="s">
        <v>206</v>
      </c>
      <c r="FUS193" s="367"/>
      <c r="FUT193" s="367"/>
      <c r="FUU193" s="368" t="s">
        <v>168</v>
      </c>
      <c r="FUV193" s="369">
        <v>0.5</v>
      </c>
      <c r="FUW193" s="370" t="e">
        <f>10/FUS191</f>
        <v>#DIV/0!</v>
      </c>
      <c r="FUX193" s="371">
        <v>15.38</v>
      </c>
      <c r="FUY193" s="371" t="e">
        <f>FUV193*FUW193*FUX193</f>
        <v>#DIV/0!</v>
      </c>
      <c r="FUZ193" s="367" t="s">
        <v>206</v>
      </c>
      <c r="FVA193" s="367"/>
      <c r="FVB193" s="367"/>
      <c r="FVC193" s="368" t="s">
        <v>168</v>
      </c>
      <c r="FVD193" s="369">
        <v>0.5</v>
      </c>
      <c r="FVE193" s="370" t="e">
        <f>10/FVA191</f>
        <v>#DIV/0!</v>
      </c>
      <c r="FVF193" s="371">
        <v>15.38</v>
      </c>
      <c r="FVG193" s="371" t="e">
        <f>FVD193*FVE193*FVF193</f>
        <v>#DIV/0!</v>
      </c>
      <c r="FVH193" s="367" t="s">
        <v>206</v>
      </c>
      <c r="FVI193" s="367"/>
      <c r="FVJ193" s="367"/>
      <c r="FVK193" s="368" t="s">
        <v>168</v>
      </c>
      <c r="FVL193" s="369">
        <v>0.5</v>
      </c>
      <c r="FVM193" s="370" t="e">
        <f>10/FVI191</f>
        <v>#DIV/0!</v>
      </c>
      <c r="FVN193" s="371">
        <v>15.38</v>
      </c>
      <c r="FVO193" s="371" t="e">
        <f>FVL193*FVM193*FVN193</f>
        <v>#DIV/0!</v>
      </c>
      <c r="FVP193" s="367" t="s">
        <v>206</v>
      </c>
      <c r="FVQ193" s="367"/>
      <c r="FVR193" s="367"/>
      <c r="FVS193" s="368" t="s">
        <v>168</v>
      </c>
      <c r="FVT193" s="369">
        <v>0.5</v>
      </c>
      <c r="FVU193" s="370" t="e">
        <f>10/FVQ191</f>
        <v>#DIV/0!</v>
      </c>
      <c r="FVV193" s="371">
        <v>15.38</v>
      </c>
      <c r="FVW193" s="371" t="e">
        <f>FVT193*FVU193*FVV193</f>
        <v>#DIV/0!</v>
      </c>
      <c r="FVX193" s="367" t="s">
        <v>206</v>
      </c>
      <c r="FVY193" s="367"/>
      <c r="FVZ193" s="367"/>
      <c r="FWA193" s="368" t="s">
        <v>168</v>
      </c>
      <c r="FWB193" s="369">
        <v>0.5</v>
      </c>
      <c r="FWC193" s="370" t="e">
        <f>10/FVY191</f>
        <v>#DIV/0!</v>
      </c>
      <c r="FWD193" s="371">
        <v>15.38</v>
      </c>
      <c r="FWE193" s="371" t="e">
        <f>FWB193*FWC193*FWD193</f>
        <v>#DIV/0!</v>
      </c>
      <c r="FWF193" s="367" t="s">
        <v>206</v>
      </c>
      <c r="FWG193" s="367"/>
      <c r="FWH193" s="367"/>
      <c r="FWI193" s="368" t="s">
        <v>168</v>
      </c>
      <c r="FWJ193" s="369">
        <v>0.5</v>
      </c>
      <c r="FWK193" s="370" t="e">
        <f>10/FWG191</f>
        <v>#DIV/0!</v>
      </c>
      <c r="FWL193" s="371">
        <v>15.38</v>
      </c>
      <c r="FWM193" s="371" t="e">
        <f>FWJ193*FWK193*FWL193</f>
        <v>#DIV/0!</v>
      </c>
      <c r="FWN193" s="367" t="s">
        <v>206</v>
      </c>
      <c r="FWO193" s="367"/>
      <c r="FWP193" s="367"/>
      <c r="FWQ193" s="368" t="s">
        <v>168</v>
      </c>
      <c r="FWR193" s="369">
        <v>0.5</v>
      </c>
      <c r="FWS193" s="370" t="e">
        <f>10/FWO191</f>
        <v>#DIV/0!</v>
      </c>
      <c r="FWT193" s="371">
        <v>15.38</v>
      </c>
      <c r="FWU193" s="371" t="e">
        <f>FWR193*FWS193*FWT193</f>
        <v>#DIV/0!</v>
      </c>
      <c r="FWV193" s="367" t="s">
        <v>206</v>
      </c>
      <c r="FWW193" s="367"/>
      <c r="FWX193" s="367"/>
      <c r="FWY193" s="368" t="s">
        <v>168</v>
      </c>
      <c r="FWZ193" s="369">
        <v>0.5</v>
      </c>
      <c r="FXA193" s="370" t="e">
        <f>10/FWW191</f>
        <v>#DIV/0!</v>
      </c>
      <c r="FXB193" s="371">
        <v>15.38</v>
      </c>
      <c r="FXC193" s="371" t="e">
        <f>FWZ193*FXA193*FXB193</f>
        <v>#DIV/0!</v>
      </c>
      <c r="FXD193" s="367" t="s">
        <v>206</v>
      </c>
      <c r="FXE193" s="367"/>
      <c r="FXF193" s="367"/>
      <c r="FXG193" s="368" t="s">
        <v>168</v>
      </c>
      <c r="FXH193" s="369">
        <v>0.5</v>
      </c>
      <c r="FXI193" s="370" t="e">
        <f>10/FXE191</f>
        <v>#DIV/0!</v>
      </c>
      <c r="FXJ193" s="371">
        <v>15.38</v>
      </c>
      <c r="FXK193" s="371" t="e">
        <f>FXH193*FXI193*FXJ193</f>
        <v>#DIV/0!</v>
      </c>
      <c r="FXL193" s="367" t="s">
        <v>206</v>
      </c>
      <c r="FXM193" s="367"/>
      <c r="FXN193" s="367"/>
      <c r="FXO193" s="368" t="s">
        <v>168</v>
      </c>
      <c r="FXP193" s="369">
        <v>0.5</v>
      </c>
      <c r="FXQ193" s="370" t="e">
        <f>10/FXM191</f>
        <v>#DIV/0!</v>
      </c>
      <c r="FXR193" s="371">
        <v>15.38</v>
      </c>
      <c r="FXS193" s="371" t="e">
        <f>FXP193*FXQ193*FXR193</f>
        <v>#DIV/0!</v>
      </c>
      <c r="FXT193" s="367" t="s">
        <v>206</v>
      </c>
      <c r="FXU193" s="367"/>
      <c r="FXV193" s="367"/>
      <c r="FXW193" s="368" t="s">
        <v>168</v>
      </c>
      <c r="FXX193" s="369">
        <v>0.5</v>
      </c>
      <c r="FXY193" s="370" t="e">
        <f>10/FXU191</f>
        <v>#DIV/0!</v>
      </c>
      <c r="FXZ193" s="371">
        <v>15.38</v>
      </c>
      <c r="FYA193" s="371" t="e">
        <f>FXX193*FXY193*FXZ193</f>
        <v>#DIV/0!</v>
      </c>
      <c r="FYB193" s="367" t="s">
        <v>206</v>
      </c>
      <c r="FYC193" s="367"/>
      <c r="FYD193" s="367"/>
      <c r="FYE193" s="368" t="s">
        <v>168</v>
      </c>
      <c r="FYF193" s="369">
        <v>0.5</v>
      </c>
      <c r="FYG193" s="370" t="e">
        <f>10/FYC191</f>
        <v>#DIV/0!</v>
      </c>
      <c r="FYH193" s="371">
        <v>15.38</v>
      </c>
      <c r="FYI193" s="371" t="e">
        <f>FYF193*FYG193*FYH193</f>
        <v>#DIV/0!</v>
      </c>
      <c r="FYJ193" s="367" t="s">
        <v>206</v>
      </c>
      <c r="FYK193" s="367"/>
      <c r="FYL193" s="367"/>
      <c r="FYM193" s="368" t="s">
        <v>168</v>
      </c>
      <c r="FYN193" s="369">
        <v>0.5</v>
      </c>
      <c r="FYO193" s="370" t="e">
        <f>10/FYK191</f>
        <v>#DIV/0!</v>
      </c>
      <c r="FYP193" s="371">
        <v>15.38</v>
      </c>
      <c r="FYQ193" s="371" t="e">
        <f>FYN193*FYO193*FYP193</f>
        <v>#DIV/0!</v>
      </c>
      <c r="FYR193" s="367" t="s">
        <v>206</v>
      </c>
      <c r="FYS193" s="367"/>
      <c r="FYT193" s="367"/>
      <c r="FYU193" s="368" t="s">
        <v>168</v>
      </c>
      <c r="FYV193" s="369">
        <v>0.5</v>
      </c>
      <c r="FYW193" s="370" t="e">
        <f>10/FYS191</f>
        <v>#DIV/0!</v>
      </c>
      <c r="FYX193" s="371">
        <v>15.38</v>
      </c>
      <c r="FYY193" s="371" t="e">
        <f>FYV193*FYW193*FYX193</f>
        <v>#DIV/0!</v>
      </c>
      <c r="FYZ193" s="367" t="s">
        <v>206</v>
      </c>
      <c r="FZA193" s="367"/>
      <c r="FZB193" s="367"/>
      <c r="FZC193" s="368" t="s">
        <v>168</v>
      </c>
      <c r="FZD193" s="369">
        <v>0.5</v>
      </c>
      <c r="FZE193" s="370" t="e">
        <f>10/FZA191</f>
        <v>#DIV/0!</v>
      </c>
      <c r="FZF193" s="371">
        <v>15.38</v>
      </c>
      <c r="FZG193" s="371" t="e">
        <f>FZD193*FZE193*FZF193</f>
        <v>#DIV/0!</v>
      </c>
      <c r="FZH193" s="367" t="s">
        <v>206</v>
      </c>
      <c r="FZI193" s="367"/>
      <c r="FZJ193" s="367"/>
      <c r="FZK193" s="368" t="s">
        <v>168</v>
      </c>
      <c r="FZL193" s="369">
        <v>0.5</v>
      </c>
      <c r="FZM193" s="370" t="e">
        <f>10/FZI191</f>
        <v>#DIV/0!</v>
      </c>
      <c r="FZN193" s="371">
        <v>15.38</v>
      </c>
      <c r="FZO193" s="371" t="e">
        <f>FZL193*FZM193*FZN193</f>
        <v>#DIV/0!</v>
      </c>
      <c r="FZP193" s="367" t="s">
        <v>206</v>
      </c>
      <c r="FZQ193" s="367"/>
      <c r="FZR193" s="367"/>
      <c r="FZS193" s="368" t="s">
        <v>168</v>
      </c>
      <c r="FZT193" s="369">
        <v>0.5</v>
      </c>
      <c r="FZU193" s="370" t="e">
        <f>10/FZQ191</f>
        <v>#DIV/0!</v>
      </c>
      <c r="FZV193" s="371">
        <v>15.38</v>
      </c>
      <c r="FZW193" s="371" t="e">
        <f>FZT193*FZU193*FZV193</f>
        <v>#DIV/0!</v>
      </c>
      <c r="FZX193" s="367" t="s">
        <v>206</v>
      </c>
      <c r="FZY193" s="367"/>
      <c r="FZZ193" s="367"/>
      <c r="GAA193" s="368" t="s">
        <v>168</v>
      </c>
      <c r="GAB193" s="369">
        <v>0.5</v>
      </c>
      <c r="GAC193" s="370" t="e">
        <f>10/FZY191</f>
        <v>#DIV/0!</v>
      </c>
      <c r="GAD193" s="371">
        <v>15.38</v>
      </c>
      <c r="GAE193" s="371" t="e">
        <f>GAB193*GAC193*GAD193</f>
        <v>#DIV/0!</v>
      </c>
      <c r="GAF193" s="367" t="s">
        <v>206</v>
      </c>
      <c r="GAG193" s="367"/>
      <c r="GAH193" s="367"/>
      <c r="GAI193" s="368" t="s">
        <v>168</v>
      </c>
      <c r="GAJ193" s="369">
        <v>0.5</v>
      </c>
      <c r="GAK193" s="370" t="e">
        <f>10/GAG191</f>
        <v>#DIV/0!</v>
      </c>
      <c r="GAL193" s="371">
        <v>15.38</v>
      </c>
      <c r="GAM193" s="371" t="e">
        <f>GAJ193*GAK193*GAL193</f>
        <v>#DIV/0!</v>
      </c>
      <c r="GAN193" s="367" t="s">
        <v>206</v>
      </c>
      <c r="GAO193" s="367"/>
      <c r="GAP193" s="367"/>
      <c r="GAQ193" s="368" t="s">
        <v>168</v>
      </c>
      <c r="GAR193" s="369">
        <v>0.5</v>
      </c>
      <c r="GAS193" s="370" t="e">
        <f>10/GAO191</f>
        <v>#DIV/0!</v>
      </c>
      <c r="GAT193" s="371">
        <v>15.38</v>
      </c>
      <c r="GAU193" s="371" t="e">
        <f>GAR193*GAS193*GAT193</f>
        <v>#DIV/0!</v>
      </c>
      <c r="GAV193" s="367" t="s">
        <v>206</v>
      </c>
      <c r="GAW193" s="367"/>
      <c r="GAX193" s="367"/>
      <c r="GAY193" s="368" t="s">
        <v>168</v>
      </c>
      <c r="GAZ193" s="369">
        <v>0.5</v>
      </c>
      <c r="GBA193" s="370" t="e">
        <f>10/GAW191</f>
        <v>#DIV/0!</v>
      </c>
      <c r="GBB193" s="371">
        <v>15.38</v>
      </c>
      <c r="GBC193" s="371" t="e">
        <f>GAZ193*GBA193*GBB193</f>
        <v>#DIV/0!</v>
      </c>
      <c r="GBD193" s="367" t="s">
        <v>206</v>
      </c>
      <c r="GBE193" s="367"/>
      <c r="GBF193" s="367"/>
      <c r="GBG193" s="368" t="s">
        <v>168</v>
      </c>
      <c r="GBH193" s="369">
        <v>0.5</v>
      </c>
      <c r="GBI193" s="370" t="e">
        <f>10/GBE191</f>
        <v>#DIV/0!</v>
      </c>
      <c r="GBJ193" s="371">
        <v>15.38</v>
      </c>
      <c r="GBK193" s="371" t="e">
        <f>GBH193*GBI193*GBJ193</f>
        <v>#DIV/0!</v>
      </c>
      <c r="GBL193" s="367" t="s">
        <v>206</v>
      </c>
      <c r="GBM193" s="367"/>
      <c r="GBN193" s="367"/>
      <c r="GBO193" s="368" t="s">
        <v>168</v>
      </c>
      <c r="GBP193" s="369">
        <v>0.5</v>
      </c>
      <c r="GBQ193" s="370" t="e">
        <f>10/GBM191</f>
        <v>#DIV/0!</v>
      </c>
      <c r="GBR193" s="371">
        <v>15.38</v>
      </c>
      <c r="GBS193" s="371" t="e">
        <f>GBP193*GBQ193*GBR193</f>
        <v>#DIV/0!</v>
      </c>
      <c r="GBT193" s="367" t="s">
        <v>206</v>
      </c>
      <c r="GBU193" s="367"/>
      <c r="GBV193" s="367"/>
      <c r="GBW193" s="368" t="s">
        <v>168</v>
      </c>
      <c r="GBX193" s="369">
        <v>0.5</v>
      </c>
      <c r="GBY193" s="370" t="e">
        <f>10/GBU191</f>
        <v>#DIV/0!</v>
      </c>
      <c r="GBZ193" s="371">
        <v>15.38</v>
      </c>
      <c r="GCA193" s="371" t="e">
        <f>GBX193*GBY193*GBZ193</f>
        <v>#DIV/0!</v>
      </c>
      <c r="GCB193" s="367" t="s">
        <v>206</v>
      </c>
      <c r="GCC193" s="367"/>
      <c r="GCD193" s="367"/>
      <c r="GCE193" s="368" t="s">
        <v>168</v>
      </c>
      <c r="GCF193" s="369">
        <v>0.5</v>
      </c>
      <c r="GCG193" s="370" t="e">
        <f>10/GCC191</f>
        <v>#DIV/0!</v>
      </c>
      <c r="GCH193" s="371">
        <v>15.38</v>
      </c>
      <c r="GCI193" s="371" t="e">
        <f>GCF193*GCG193*GCH193</f>
        <v>#DIV/0!</v>
      </c>
      <c r="GCJ193" s="367" t="s">
        <v>206</v>
      </c>
      <c r="GCK193" s="367"/>
      <c r="GCL193" s="367"/>
      <c r="GCM193" s="368" t="s">
        <v>168</v>
      </c>
      <c r="GCN193" s="369">
        <v>0.5</v>
      </c>
      <c r="GCO193" s="370" t="e">
        <f>10/GCK191</f>
        <v>#DIV/0!</v>
      </c>
      <c r="GCP193" s="371">
        <v>15.38</v>
      </c>
      <c r="GCQ193" s="371" t="e">
        <f>GCN193*GCO193*GCP193</f>
        <v>#DIV/0!</v>
      </c>
      <c r="GCR193" s="367" t="s">
        <v>206</v>
      </c>
      <c r="GCS193" s="367"/>
      <c r="GCT193" s="367"/>
      <c r="GCU193" s="368" t="s">
        <v>168</v>
      </c>
      <c r="GCV193" s="369">
        <v>0.5</v>
      </c>
      <c r="GCW193" s="370" t="e">
        <f>10/GCS191</f>
        <v>#DIV/0!</v>
      </c>
      <c r="GCX193" s="371">
        <v>15.38</v>
      </c>
      <c r="GCY193" s="371" t="e">
        <f>GCV193*GCW193*GCX193</f>
        <v>#DIV/0!</v>
      </c>
      <c r="GCZ193" s="367" t="s">
        <v>206</v>
      </c>
      <c r="GDA193" s="367"/>
      <c r="GDB193" s="367"/>
      <c r="GDC193" s="368" t="s">
        <v>168</v>
      </c>
      <c r="GDD193" s="369">
        <v>0.5</v>
      </c>
      <c r="GDE193" s="370" t="e">
        <f>10/GDA191</f>
        <v>#DIV/0!</v>
      </c>
      <c r="GDF193" s="371">
        <v>15.38</v>
      </c>
      <c r="GDG193" s="371" t="e">
        <f>GDD193*GDE193*GDF193</f>
        <v>#DIV/0!</v>
      </c>
      <c r="GDH193" s="367" t="s">
        <v>206</v>
      </c>
      <c r="GDI193" s="367"/>
      <c r="GDJ193" s="367"/>
      <c r="GDK193" s="368" t="s">
        <v>168</v>
      </c>
      <c r="GDL193" s="369">
        <v>0.5</v>
      </c>
      <c r="GDM193" s="370" t="e">
        <f>10/GDI191</f>
        <v>#DIV/0!</v>
      </c>
      <c r="GDN193" s="371">
        <v>15.38</v>
      </c>
      <c r="GDO193" s="371" t="e">
        <f>GDL193*GDM193*GDN193</f>
        <v>#DIV/0!</v>
      </c>
      <c r="GDP193" s="367" t="s">
        <v>206</v>
      </c>
      <c r="GDQ193" s="367"/>
      <c r="GDR193" s="367"/>
      <c r="GDS193" s="368" t="s">
        <v>168</v>
      </c>
      <c r="GDT193" s="369">
        <v>0.5</v>
      </c>
      <c r="GDU193" s="370" t="e">
        <f>10/GDQ191</f>
        <v>#DIV/0!</v>
      </c>
      <c r="GDV193" s="371">
        <v>15.38</v>
      </c>
      <c r="GDW193" s="371" t="e">
        <f>GDT193*GDU193*GDV193</f>
        <v>#DIV/0!</v>
      </c>
      <c r="GDX193" s="367" t="s">
        <v>206</v>
      </c>
      <c r="GDY193" s="367"/>
      <c r="GDZ193" s="367"/>
      <c r="GEA193" s="368" t="s">
        <v>168</v>
      </c>
      <c r="GEB193" s="369">
        <v>0.5</v>
      </c>
      <c r="GEC193" s="370" t="e">
        <f>10/GDY191</f>
        <v>#DIV/0!</v>
      </c>
      <c r="GED193" s="371">
        <v>15.38</v>
      </c>
      <c r="GEE193" s="371" t="e">
        <f>GEB193*GEC193*GED193</f>
        <v>#DIV/0!</v>
      </c>
      <c r="GEF193" s="367" t="s">
        <v>206</v>
      </c>
      <c r="GEG193" s="367"/>
      <c r="GEH193" s="367"/>
      <c r="GEI193" s="368" t="s">
        <v>168</v>
      </c>
      <c r="GEJ193" s="369">
        <v>0.5</v>
      </c>
      <c r="GEK193" s="370" t="e">
        <f>10/GEG191</f>
        <v>#DIV/0!</v>
      </c>
      <c r="GEL193" s="371">
        <v>15.38</v>
      </c>
      <c r="GEM193" s="371" t="e">
        <f>GEJ193*GEK193*GEL193</f>
        <v>#DIV/0!</v>
      </c>
      <c r="GEN193" s="367" t="s">
        <v>206</v>
      </c>
      <c r="GEO193" s="367"/>
      <c r="GEP193" s="367"/>
      <c r="GEQ193" s="368" t="s">
        <v>168</v>
      </c>
      <c r="GER193" s="369">
        <v>0.5</v>
      </c>
      <c r="GES193" s="370" t="e">
        <f>10/GEO191</f>
        <v>#DIV/0!</v>
      </c>
      <c r="GET193" s="371">
        <v>15.38</v>
      </c>
      <c r="GEU193" s="371" t="e">
        <f>GER193*GES193*GET193</f>
        <v>#DIV/0!</v>
      </c>
      <c r="GEV193" s="367" t="s">
        <v>206</v>
      </c>
      <c r="GEW193" s="367"/>
      <c r="GEX193" s="367"/>
      <c r="GEY193" s="368" t="s">
        <v>168</v>
      </c>
      <c r="GEZ193" s="369">
        <v>0.5</v>
      </c>
      <c r="GFA193" s="370" t="e">
        <f>10/GEW191</f>
        <v>#DIV/0!</v>
      </c>
      <c r="GFB193" s="371">
        <v>15.38</v>
      </c>
      <c r="GFC193" s="371" t="e">
        <f>GEZ193*GFA193*GFB193</f>
        <v>#DIV/0!</v>
      </c>
      <c r="GFD193" s="367" t="s">
        <v>206</v>
      </c>
      <c r="GFE193" s="367"/>
      <c r="GFF193" s="367"/>
      <c r="GFG193" s="368" t="s">
        <v>168</v>
      </c>
      <c r="GFH193" s="369">
        <v>0.5</v>
      </c>
      <c r="GFI193" s="370" t="e">
        <f>10/GFE191</f>
        <v>#DIV/0!</v>
      </c>
      <c r="GFJ193" s="371">
        <v>15.38</v>
      </c>
      <c r="GFK193" s="371" t="e">
        <f>GFH193*GFI193*GFJ193</f>
        <v>#DIV/0!</v>
      </c>
      <c r="GFL193" s="367" t="s">
        <v>206</v>
      </c>
      <c r="GFM193" s="367"/>
      <c r="GFN193" s="367"/>
      <c r="GFO193" s="368" t="s">
        <v>168</v>
      </c>
      <c r="GFP193" s="369">
        <v>0.5</v>
      </c>
      <c r="GFQ193" s="370" t="e">
        <f>10/GFM191</f>
        <v>#DIV/0!</v>
      </c>
      <c r="GFR193" s="371">
        <v>15.38</v>
      </c>
      <c r="GFS193" s="371" t="e">
        <f>GFP193*GFQ193*GFR193</f>
        <v>#DIV/0!</v>
      </c>
      <c r="GFT193" s="367" t="s">
        <v>206</v>
      </c>
      <c r="GFU193" s="367"/>
      <c r="GFV193" s="367"/>
      <c r="GFW193" s="368" t="s">
        <v>168</v>
      </c>
      <c r="GFX193" s="369">
        <v>0.5</v>
      </c>
      <c r="GFY193" s="370" t="e">
        <f>10/GFU191</f>
        <v>#DIV/0!</v>
      </c>
      <c r="GFZ193" s="371">
        <v>15.38</v>
      </c>
      <c r="GGA193" s="371" t="e">
        <f>GFX193*GFY193*GFZ193</f>
        <v>#DIV/0!</v>
      </c>
      <c r="GGB193" s="367" t="s">
        <v>206</v>
      </c>
      <c r="GGC193" s="367"/>
      <c r="GGD193" s="367"/>
      <c r="GGE193" s="368" t="s">
        <v>168</v>
      </c>
      <c r="GGF193" s="369">
        <v>0.5</v>
      </c>
      <c r="GGG193" s="370" t="e">
        <f>10/GGC191</f>
        <v>#DIV/0!</v>
      </c>
      <c r="GGH193" s="371">
        <v>15.38</v>
      </c>
      <c r="GGI193" s="371" t="e">
        <f>GGF193*GGG193*GGH193</f>
        <v>#DIV/0!</v>
      </c>
      <c r="GGJ193" s="367" t="s">
        <v>206</v>
      </c>
      <c r="GGK193" s="367"/>
      <c r="GGL193" s="367"/>
      <c r="GGM193" s="368" t="s">
        <v>168</v>
      </c>
      <c r="GGN193" s="369">
        <v>0.5</v>
      </c>
      <c r="GGO193" s="370" t="e">
        <f>10/GGK191</f>
        <v>#DIV/0!</v>
      </c>
      <c r="GGP193" s="371">
        <v>15.38</v>
      </c>
      <c r="GGQ193" s="371" t="e">
        <f>GGN193*GGO193*GGP193</f>
        <v>#DIV/0!</v>
      </c>
      <c r="GGR193" s="367" t="s">
        <v>206</v>
      </c>
      <c r="GGS193" s="367"/>
      <c r="GGT193" s="367"/>
      <c r="GGU193" s="368" t="s">
        <v>168</v>
      </c>
      <c r="GGV193" s="369">
        <v>0.5</v>
      </c>
      <c r="GGW193" s="370" t="e">
        <f>10/GGS191</f>
        <v>#DIV/0!</v>
      </c>
      <c r="GGX193" s="371">
        <v>15.38</v>
      </c>
      <c r="GGY193" s="371" t="e">
        <f>GGV193*GGW193*GGX193</f>
        <v>#DIV/0!</v>
      </c>
      <c r="GGZ193" s="367" t="s">
        <v>206</v>
      </c>
      <c r="GHA193" s="367"/>
      <c r="GHB193" s="367"/>
      <c r="GHC193" s="368" t="s">
        <v>168</v>
      </c>
      <c r="GHD193" s="369">
        <v>0.5</v>
      </c>
      <c r="GHE193" s="370" t="e">
        <f>10/GHA191</f>
        <v>#DIV/0!</v>
      </c>
      <c r="GHF193" s="371">
        <v>15.38</v>
      </c>
      <c r="GHG193" s="371" t="e">
        <f>GHD193*GHE193*GHF193</f>
        <v>#DIV/0!</v>
      </c>
      <c r="GHH193" s="367" t="s">
        <v>206</v>
      </c>
      <c r="GHI193" s="367"/>
      <c r="GHJ193" s="367"/>
      <c r="GHK193" s="368" t="s">
        <v>168</v>
      </c>
      <c r="GHL193" s="369">
        <v>0.5</v>
      </c>
      <c r="GHM193" s="370" t="e">
        <f>10/GHI191</f>
        <v>#DIV/0!</v>
      </c>
      <c r="GHN193" s="371">
        <v>15.38</v>
      </c>
      <c r="GHO193" s="371" t="e">
        <f>GHL193*GHM193*GHN193</f>
        <v>#DIV/0!</v>
      </c>
      <c r="GHP193" s="367" t="s">
        <v>206</v>
      </c>
      <c r="GHQ193" s="367"/>
      <c r="GHR193" s="367"/>
      <c r="GHS193" s="368" t="s">
        <v>168</v>
      </c>
      <c r="GHT193" s="369">
        <v>0.5</v>
      </c>
      <c r="GHU193" s="370" t="e">
        <f>10/GHQ191</f>
        <v>#DIV/0!</v>
      </c>
      <c r="GHV193" s="371">
        <v>15.38</v>
      </c>
      <c r="GHW193" s="371" t="e">
        <f>GHT193*GHU193*GHV193</f>
        <v>#DIV/0!</v>
      </c>
      <c r="GHX193" s="367" t="s">
        <v>206</v>
      </c>
      <c r="GHY193" s="367"/>
      <c r="GHZ193" s="367"/>
      <c r="GIA193" s="368" t="s">
        <v>168</v>
      </c>
      <c r="GIB193" s="369">
        <v>0.5</v>
      </c>
      <c r="GIC193" s="370" t="e">
        <f>10/GHY191</f>
        <v>#DIV/0!</v>
      </c>
      <c r="GID193" s="371">
        <v>15.38</v>
      </c>
      <c r="GIE193" s="371" t="e">
        <f>GIB193*GIC193*GID193</f>
        <v>#DIV/0!</v>
      </c>
      <c r="GIF193" s="367" t="s">
        <v>206</v>
      </c>
      <c r="GIG193" s="367"/>
      <c r="GIH193" s="367"/>
      <c r="GII193" s="368" t="s">
        <v>168</v>
      </c>
      <c r="GIJ193" s="369">
        <v>0.5</v>
      </c>
      <c r="GIK193" s="370" t="e">
        <f>10/GIG191</f>
        <v>#DIV/0!</v>
      </c>
      <c r="GIL193" s="371">
        <v>15.38</v>
      </c>
      <c r="GIM193" s="371" t="e">
        <f>GIJ193*GIK193*GIL193</f>
        <v>#DIV/0!</v>
      </c>
      <c r="GIN193" s="367" t="s">
        <v>206</v>
      </c>
      <c r="GIO193" s="367"/>
      <c r="GIP193" s="367"/>
      <c r="GIQ193" s="368" t="s">
        <v>168</v>
      </c>
      <c r="GIR193" s="369">
        <v>0.5</v>
      </c>
      <c r="GIS193" s="370" t="e">
        <f>10/GIO191</f>
        <v>#DIV/0!</v>
      </c>
      <c r="GIT193" s="371">
        <v>15.38</v>
      </c>
      <c r="GIU193" s="371" t="e">
        <f>GIR193*GIS193*GIT193</f>
        <v>#DIV/0!</v>
      </c>
      <c r="GIV193" s="367" t="s">
        <v>206</v>
      </c>
      <c r="GIW193" s="367"/>
      <c r="GIX193" s="367"/>
      <c r="GIY193" s="368" t="s">
        <v>168</v>
      </c>
      <c r="GIZ193" s="369">
        <v>0.5</v>
      </c>
      <c r="GJA193" s="370" t="e">
        <f>10/GIW191</f>
        <v>#DIV/0!</v>
      </c>
      <c r="GJB193" s="371">
        <v>15.38</v>
      </c>
      <c r="GJC193" s="371" t="e">
        <f>GIZ193*GJA193*GJB193</f>
        <v>#DIV/0!</v>
      </c>
      <c r="GJD193" s="367" t="s">
        <v>206</v>
      </c>
      <c r="GJE193" s="367"/>
      <c r="GJF193" s="367"/>
      <c r="GJG193" s="368" t="s">
        <v>168</v>
      </c>
      <c r="GJH193" s="369">
        <v>0.5</v>
      </c>
      <c r="GJI193" s="370" t="e">
        <f>10/GJE191</f>
        <v>#DIV/0!</v>
      </c>
      <c r="GJJ193" s="371">
        <v>15.38</v>
      </c>
      <c r="GJK193" s="371" t="e">
        <f>GJH193*GJI193*GJJ193</f>
        <v>#DIV/0!</v>
      </c>
      <c r="GJL193" s="367" t="s">
        <v>206</v>
      </c>
      <c r="GJM193" s="367"/>
      <c r="GJN193" s="367"/>
      <c r="GJO193" s="368" t="s">
        <v>168</v>
      </c>
      <c r="GJP193" s="369">
        <v>0.5</v>
      </c>
      <c r="GJQ193" s="370" t="e">
        <f>10/GJM191</f>
        <v>#DIV/0!</v>
      </c>
      <c r="GJR193" s="371">
        <v>15.38</v>
      </c>
      <c r="GJS193" s="371" t="e">
        <f>GJP193*GJQ193*GJR193</f>
        <v>#DIV/0!</v>
      </c>
      <c r="GJT193" s="367" t="s">
        <v>206</v>
      </c>
      <c r="GJU193" s="367"/>
      <c r="GJV193" s="367"/>
      <c r="GJW193" s="368" t="s">
        <v>168</v>
      </c>
      <c r="GJX193" s="369">
        <v>0.5</v>
      </c>
      <c r="GJY193" s="370" t="e">
        <f>10/GJU191</f>
        <v>#DIV/0!</v>
      </c>
      <c r="GJZ193" s="371">
        <v>15.38</v>
      </c>
      <c r="GKA193" s="371" t="e">
        <f>GJX193*GJY193*GJZ193</f>
        <v>#DIV/0!</v>
      </c>
      <c r="GKB193" s="367" t="s">
        <v>206</v>
      </c>
      <c r="GKC193" s="367"/>
      <c r="GKD193" s="367"/>
      <c r="GKE193" s="368" t="s">
        <v>168</v>
      </c>
      <c r="GKF193" s="369">
        <v>0.5</v>
      </c>
      <c r="GKG193" s="370" t="e">
        <f>10/GKC191</f>
        <v>#DIV/0!</v>
      </c>
      <c r="GKH193" s="371">
        <v>15.38</v>
      </c>
      <c r="GKI193" s="371" t="e">
        <f>GKF193*GKG193*GKH193</f>
        <v>#DIV/0!</v>
      </c>
      <c r="GKJ193" s="367" t="s">
        <v>206</v>
      </c>
      <c r="GKK193" s="367"/>
      <c r="GKL193" s="367"/>
      <c r="GKM193" s="368" t="s">
        <v>168</v>
      </c>
      <c r="GKN193" s="369">
        <v>0.5</v>
      </c>
      <c r="GKO193" s="370" t="e">
        <f>10/GKK191</f>
        <v>#DIV/0!</v>
      </c>
      <c r="GKP193" s="371">
        <v>15.38</v>
      </c>
      <c r="GKQ193" s="371" t="e">
        <f>GKN193*GKO193*GKP193</f>
        <v>#DIV/0!</v>
      </c>
      <c r="GKR193" s="367" t="s">
        <v>206</v>
      </c>
      <c r="GKS193" s="367"/>
      <c r="GKT193" s="367"/>
      <c r="GKU193" s="368" t="s">
        <v>168</v>
      </c>
      <c r="GKV193" s="369">
        <v>0.5</v>
      </c>
      <c r="GKW193" s="370" t="e">
        <f>10/GKS191</f>
        <v>#DIV/0!</v>
      </c>
      <c r="GKX193" s="371">
        <v>15.38</v>
      </c>
      <c r="GKY193" s="371" t="e">
        <f>GKV193*GKW193*GKX193</f>
        <v>#DIV/0!</v>
      </c>
      <c r="GKZ193" s="367" t="s">
        <v>206</v>
      </c>
      <c r="GLA193" s="367"/>
      <c r="GLB193" s="367"/>
      <c r="GLC193" s="368" t="s">
        <v>168</v>
      </c>
      <c r="GLD193" s="369">
        <v>0.5</v>
      </c>
      <c r="GLE193" s="370" t="e">
        <f>10/GLA191</f>
        <v>#DIV/0!</v>
      </c>
      <c r="GLF193" s="371">
        <v>15.38</v>
      </c>
      <c r="GLG193" s="371" t="e">
        <f>GLD193*GLE193*GLF193</f>
        <v>#DIV/0!</v>
      </c>
      <c r="GLH193" s="367" t="s">
        <v>206</v>
      </c>
      <c r="GLI193" s="367"/>
      <c r="GLJ193" s="367"/>
      <c r="GLK193" s="368" t="s">
        <v>168</v>
      </c>
      <c r="GLL193" s="369">
        <v>0.5</v>
      </c>
      <c r="GLM193" s="370" t="e">
        <f>10/GLI191</f>
        <v>#DIV/0!</v>
      </c>
      <c r="GLN193" s="371">
        <v>15.38</v>
      </c>
      <c r="GLO193" s="371" t="e">
        <f>GLL193*GLM193*GLN193</f>
        <v>#DIV/0!</v>
      </c>
      <c r="GLP193" s="367" t="s">
        <v>206</v>
      </c>
      <c r="GLQ193" s="367"/>
      <c r="GLR193" s="367"/>
      <c r="GLS193" s="368" t="s">
        <v>168</v>
      </c>
      <c r="GLT193" s="369">
        <v>0.5</v>
      </c>
      <c r="GLU193" s="370" t="e">
        <f>10/GLQ191</f>
        <v>#DIV/0!</v>
      </c>
      <c r="GLV193" s="371">
        <v>15.38</v>
      </c>
      <c r="GLW193" s="371" t="e">
        <f>GLT193*GLU193*GLV193</f>
        <v>#DIV/0!</v>
      </c>
      <c r="GLX193" s="367" t="s">
        <v>206</v>
      </c>
      <c r="GLY193" s="367"/>
      <c r="GLZ193" s="367"/>
      <c r="GMA193" s="368" t="s">
        <v>168</v>
      </c>
      <c r="GMB193" s="369">
        <v>0.5</v>
      </c>
      <c r="GMC193" s="370" t="e">
        <f>10/GLY191</f>
        <v>#DIV/0!</v>
      </c>
      <c r="GMD193" s="371">
        <v>15.38</v>
      </c>
      <c r="GME193" s="371" t="e">
        <f>GMB193*GMC193*GMD193</f>
        <v>#DIV/0!</v>
      </c>
      <c r="GMF193" s="367" t="s">
        <v>206</v>
      </c>
      <c r="GMG193" s="367"/>
      <c r="GMH193" s="367"/>
      <c r="GMI193" s="368" t="s">
        <v>168</v>
      </c>
      <c r="GMJ193" s="369">
        <v>0.5</v>
      </c>
      <c r="GMK193" s="370" t="e">
        <f>10/GMG191</f>
        <v>#DIV/0!</v>
      </c>
      <c r="GML193" s="371">
        <v>15.38</v>
      </c>
      <c r="GMM193" s="371" t="e">
        <f>GMJ193*GMK193*GML193</f>
        <v>#DIV/0!</v>
      </c>
      <c r="GMN193" s="367" t="s">
        <v>206</v>
      </c>
      <c r="GMO193" s="367"/>
      <c r="GMP193" s="367"/>
      <c r="GMQ193" s="368" t="s">
        <v>168</v>
      </c>
      <c r="GMR193" s="369">
        <v>0.5</v>
      </c>
      <c r="GMS193" s="370" t="e">
        <f>10/GMO191</f>
        <v>#DIV/0!</v>
      </c>
      <c r="GMT193" s="371">
        <v>15.38</v>
      </c>
      <c r="GMU193" s="371" t="e">
        <f>GMR193*GMS193*GMT193</f>
        <v>#DIV/0!</v>
      </c>
      <c r="GMV193" s="367" t="s">
        <v>206</v>
      </c>
      <c r="GMW193" s="367"/>
      <c r="GMX193" s="367"/>
      <c r="GMY193" s="368" t="s">
        <v>168</v>
      </c>
      <c r="GMZ193" s="369">
        <v>0.5</v>
      </c>
      <c r="GNA193" s="370" t="e">
        <f>10/GMW191</f>
        <v>#DIV/0!</v>
      </c>
      <c r="GNB193" s="371">
        <v>15.38</v>
      </c>
      <c r="GNC193" s="371" t="e">
        <f>GMZ193*GNA193*GNB193</f>
        <v>#DIV/0!</v>
      </c>
      <c r="GND193" s="367" t="s">
        <v>206</v>
      </c>
      <c r="GNE193" s="367"/>
      <c r="GNF193" s="367"/>
      <c r="GNG193" s="368" t="s">
        <v>168</v>
      </c>
      <c r="GNH193" s="369">
        <v>0.5</v>
      </c>
      <c r="GNI193" s="370" t="e">
        <f>10/GNE191</f>
        <v>#DIV/0!</v>
      </c>
      <c r="GNJ193" s="371">
        <v>15.38</v>
      </c>
      <c r="GNK193" s="371" t="e">
        <f>GNH193*GNI193*GNJ193</f>
        <v>#DIV/0!</v>
      </c>
      <c r="GNL193" s="367" t="s">
        <v>206</v>
      </c>
      <c r="GNM193" s="367"/>
      <c r="GNN193" s="367"/>
      <c r="GNO193" s="368" t="s">
        <v>168</v>
      </c>
      <c r="GNP193" s="369">
        <v>0.5</v>
      </c>
      <c r="GNQ193" s="370" t="e">
        <f>10/GNM191</f>
        <v>#DIV/0!</v>
      </c>
      <c r="GNR193" s="371">
        <v>15.38</v>
      </c>
      <c r="GNS193" s="371" t="e">
        <f>GNP193*GNQ193*GNR193</f>
        <v>#DIV/0!</v>
      </c>
      <c r="GNT193" s="367" t="s">
        <v>206</v>
      </c>
      <c r="GNU193" s="367"/>
      <c r="GNV193" s="367"/>
      <c r="GNW193" s="368" t="s">
        <v>168</v>
      </c>
      <c r="GNX193" s="369">
        <v>0.5</v>
      </c>
      <c r="GNY193" s="370" t="e">
        <f>10/GNU191</f>
        <v>#DIV/0!</v>
      </c>
      <c r="GNZ193" s="371">
        <v>15.38</v>
      </c>
      <c r="GOA193" s="371" t="e">
        <f>GNX193*GNY193*GNZ193</f>
        <v>#DIV/0!</v>
      </c>
      <c r="GOB193" s="367" t="s">
        <v>206</v>
      </c>
      <c r="GOC193" s="367"/>
      <c r="GOD193" s="367"/>
      <c r="GOE193" s="368" t="s">
        <v>168</v>
      </c>
      <c r="GOF193" s="369">
        <v>0.5</v>
      </c>
      <c r="GOG193" s="370" t="e">
        <f>10/GOC191</f>
        <v>#DIV/0!</v>
      </c>
      <c r="GOH193" s="371">
        <v>15.38</v>
      </c>
      <c r="GOI193" s="371" t="e">
        <f>GOF193*GOG193*GOH193</f>
        <v>#DIV/0!</v>
      </c>
      <c r="GOJ193" s="367" t="s">
        <v>206</v>
      </c>
      <c r="GOK193" s="367"/>
      <c r="GOL193" s="367"/>
      <c r="GOM193" s="368" t="s">
        <v>168</v>
      </c>
      <c r="GON193" s="369">
        <v>0.5</v>
      </c>
      <c r="GOO193" s="370" t="e">
        <f>10/GOK191</f>
        <v>#DIV/0!</v>
      </c>
      <c r="GOP193" s="371">
        <v>15.38</v>
      </c>
      <c r="GOQ193" s="371" t="e">
        <f>GON193*GOO193*GOP193</f>
        <v>#DIV/0!</v>
      </c>
      <c r="GOR193" s="367" t="s">
        <v>206</v>
      </c>
      <c r="GOS193" s="367"/>
      <c r="GOT193" s="367"/>
      <c r="GOU193" s="368" t="s">
        <v>168</v>
      </c>
      <c r="GOV193" s="369">
        <v>0.5</v>
      </c>
      <c r="GOW193" s="370" t="e">
        <f>10/GOS191</f>
        <v>#DIV/0!</v>
      </c>
      <c r="GOX193" s="371">
        <v>15.38</v>
      </c>
      <c r="GOY193" s="371" t="e">
        <f>GOV193*GOW193*GOX193</f>
        <v>#DIV/0!</v>
      </c>
      <c r="GOZ193" s="367" t="s">
        <v>206</v>
      </c>
      <c r="GPA193" s="367"/>
      <c r="GPB193" s="367"/>
      <c r="GPC193" s="368" t="s">
        <v>168</v>
      </c>
      <c r="GPD193" s="369">
        <v>0.5</v>
      </c>
      <c r="GPE193" s="370" t="e">
        <f>10/GPA191</f>
        <v>#DIV/0!</v>
      </c>
      <c r="GPF193" s="371">
        <v>15.38</v>
      </c>
      <c r="GPG193" s="371" t="e">
        <f>GPD193*GPE193*GPF193</f>
        <v>#DIV/0!</v>
      </c>
      <c r="GPH193" s="367" t="s">
        <v>206</v>
      </c>
      <c r="GPI193" s="367"/>
      <c r="GPJ193" s="367"/>
      <c r="GPK193" s="368" t="s">
        <v>168</v>
      </c>
      <c r="GPL193" s="369">
        <v>0.5</v>
      </c>
      <c r="GPM193" s="370" t="e">
        <f>10/GPI191</f>
        <v>#DIV/0!</v>
      </c>
      <c r="GPN193" s="371">
        <v>15.38</v>
      </c>
      <c r="GPO193" s="371" t="e">
        <f>GPL193*GPM193*GPN193</f>
        <v>#DIV/0!</v>
      </c>
      <c r="GPP193" s="367" t="s">
        <v>206</v>
      </c>
      <c r="GPQ193" s="367"/>
      <c r="GPR193" s="367"/>
      <c r="GPS193" s="368" t="s">
        <v>168</v>
      </c>
      <c r="GPT193" s="369">
        <v>0.5</v>
      </c>
      <c r="GPU193" s="370" t="e">
        <f>10/GPQ191</f>
        <v>#DIV/0!</v>
      </c>
      <c r="GPV193" s="371">
        <v>15.38</v>
      </c>
      <c r="GPW193" s="371" t="e">
        <f>GPT193*GPU193*GPV193</f>
        <v>#DIV/0!</v>
      </c>
      <c r="GPX193" s="367" t="s">
        <v>206</v>
      </c>
      <c r="GPY193" s="367"/>
      <c r="GPZ193" s="367"/>
      <c r="GQA193" s="368" t="s">
        <v>168</v>
      </c>
      <c r="GQB193" s="369">
        <v>0.5</v>
      </c>
      <c r="GQC193" s="370" t="e">
        <f>10/GPY191</f>
        <v>#DIV/0!</v>
      </c>
      <c r="GQD193" s="371">
        <v>15.38</v>
      </c>
      <c r="GQE193" s="371" t="e">
        <f>GQB193*GQC193*GQD193</f>
        <v>#DIV/0!</v>
      </c>
      <c r="GQF193" s="367" t="s">
        <v>206</v>
      </c>
      <c r="GQG193" s="367"/>
      <c r="GQH193" s="367"/>
      <c r="GQI193" s="368" t="s">
        <v>168</v>
      </c>
      <c r="GQJ193" s="369">
        <v>0.5</v>
      </c>
      <c r="GQK193" s="370" t="e">
        <f>10/GQG191</f>
        <v>#DIV/0!</v>
      </c>
      <c r="GQL193" s="371">
        <v>15.38</v>
      </c>
      <c r="GQM193" s="371" t="e">
        <f>GQJ193*GQK193*GQL193</f>
        <v>#DIV/0!</v>
      </c>
      <c r="GQN193" s="367" t="s">
        <v>206</v>
      </c>
      <c r="GQO193" s="367"/>
      <c r="GQP193" s="367"/>
      <c r="GQQ193" s="368" t="s">
        <v>168</v>
      </c>
      <c r="GQR193" s="369">
        <v>0.5</v>
      </c>
      <c r="GQS193" s="370" t="e">
        <f>10/GQO191</f>
        <v>#DIV/0!</v>
      </c>
      <c r="GQT193" s="371">
        <v>15.38</v>
      </c>
      <c r="GQU193" s="371" t="e">
        <f>GQR193*GQS193*GQT193</f>
        <v>#DIV/0!</v>
      </c>
      <c r="GQV193" s="367" t="s">
        <v>206</v>
      </c>
      <c r="GQW193" s="367"/>
      <c r="GQX193" s="367"/>
      <c r="GQY193" s="368" t="s">
        <v>168</v>
      </c>
      <c r="GQZ193" s="369">
        <v>0.5</v>
      </c>
      <c r="GRA193" s="370" t="e">
        <f>10/GQW191</f>
        <v>#DIV/0!</v>
      </c>
      <c r="GRB193" s="371">
        <v>15.38</v>
      </c>
      <c r="GRC193" s="371" t="e">
        <f>GQZ193*GRA193*GRB193</f>
        <v>#DIV/0!</v>
      </c>
      <c r="GRD193" s="367" t="s">
        <v>206</v>
      </c>
      <c r="GRE193" s="367"/>
      <c r="GRF193" s="367"/>
      <c r="GRG193" s="368" t="s">
        <v>168</v>
      </c>
      <c r="GRH193" s="369">
        <v>0.5</v>
      </c>
      <c r="GRI193" s="370" t="e">
        <f>10/GRE191</f>
        <v>#DIV/0!</v>
      </c>
      <c r="GRJ193" s="371">
        <v>15.38</v>
      </c>
      <c r="GRK193" s="371" t="e">
        <f>GRH193*GRI193*GRJ193</f>
        <v>#DIV/0!</v>
      </c>
      <c r="GRL193" s="367" t="s">
        <v>206</v>
      </c>
      <c r="GRM193" s="367"/>
      <c r="GRN193" s="367"/>
      <c r="GRO193" s="368" t="s">
        <v>168</v>
      </c>
      <c r="GRP193" s="369">
        <v>0.5</v>
      </c>
      <c r="GRQ193" s="370" t="e">
        <f>10/GRM191</f>
        <v>#DIV/0!</v>
      </c>
      <c r="GRR193" s="371">
        <v>15.38</v>
      </c>
      <c r="GRS193" s="371" t="e">
        <f>GRP193*GRQ193*GRR193</f>
        <v>#DIV/0!</v>
      </c>
      <c r="GRT193" s="367" t="s">
        <v>206</v>
      </c>
      <c r="GRU193" s="367"/>
      <c r="GRV193" s="367"/>
      <c r="GRW193" s="368" t="s">
        <v>168</v>
      </c>
      <c r="GRX193" s="369">
        <v>0.5</v>
      </c>
      <c r="GRY193" s="370" t="e">
        <f>10/GRU191</f>
        <v>#DIV/0!</v>
      </c>
      <c r="GRZ193" s="371">
        <v>15.38</v>
      </c>
      <c r="GSA193" s="371" t="e">
        <f>GRX193*GRY193*GRZ193</f>
        <v>#DIV/0!</v>
      </c>
      <c r="GSB193" s="367" t="s">
        <v>206</v>
      </c>
      <c r="GSC193" s="367"/>
      <c r="GSD193" s="367"/>
      <c r="GSE193" s="368" t="s">
        <v>168</v>
      </c>
      <c r="GSF193" s="369">
        <v>0.5</v>
      </c>
      <c r="GSG193" s="370" t="e">
        <f>10/GSC191</f>
        <v>#DIV/0!</v>
      </c>
      <c r="GSH193" s="371">
        <v>15.38</v>
      </c>
      <c r="GSI193" s="371" t="e">
        <f>GSF193*GSG193*GSH193</f>
        <v>#DIV/0!</v>
      </c>
      <c r="GSJ193" s="367" t="s">
        <v>206</v>
      </c>
      <c r="GSK193" s="367"/>
      <c r="GSL193" s="367"/>
      <c r="GSM193" s="368" t="s">
        <v>168</v>
      </c>
      <c r="GSN193" s="369">
        <v>0.5</v>
      </c>
      <c r="GSO193" s="370" t="e">
        <f>10/GSK191</f>
        <v>#DIV/0!</v>
      </c>
      <c r="GSP193" s="371">
        <v>15.38</v>
      </c>
      <c r="GSQ193" s="371" t="e">
        <f>GSN193*GSO193*GSP193</f>
        <v>#DIV/0!</v>
      </c>
      <c r="GSR193" s="367" t="s">
        <v>206</v>
      </c>
      <c r="GSS193" s="367"/>
      <c r="GST193" s="367"/>
      <c r="GSU193" s="368" t="s">
        <v>168</v>
      </c>
      <c r="GSV193" s="369">
        <v>0.5</v>
      </c>
      <c r="GSW193" s="370" t="e">
        <f>10/GSS191</f>
        <v>#DIV/0!</v>
      </c>
      <c r="GSX193" s="371">
        <v>15.38</v>
      </c>
      <c r="GSY193" s="371" t="e">
        <f>GSV193*GSW193*GSX193</f>
        <v>#DIV/0!</v>
      </c>
      <c r="GSZ193" s="367" t="s">
        <v>206</v>
      </c>
      <c r="GTA193" s="367"/>
      <c r="GTB193" s="367"/>
      <c r="GTC193" s="368" t="s">
        <v>168</v>
      </c>
      <c r="GTD193" s="369">
        <v>0.5</v>
      </c>
      <c r="GTE193" s="370" t="e">
        <f>10/GTA191</f>
        <v>#DIV/0!</v>
      </c>
      <c r="GTF193" s="371">
        <v>15.38</v>
      </c>
      <c r="GTG193" s="371" t="e">
        <f>GTD193*GTE193*GTF193</f>
        <v>#DIV/0!</v>
      </c>
      <c r="GTH193" s="367" t="s">
        <v>206</v>
      </c>
      <c r="GTI193" s="367"/>
      <c r="GTJ193" s="367"/>
      <c r="GTK193" s="368" t="s">
        <v>168</v>
      </c>
      <c r="GTL193" s="369">
        <v>0.5</v>
      </c>
      <c r="GTM193" s="370" t="e">
        <f>10/GTI191</f>
        <v>#DIV/0!</v>
      </c>
      <c r="GTN193" s="371">
        <v>15.38</v>
      </c>
      <c r="GTO193" s="371" t="e">
        <f>GTL193*GTM193*GTN193</f>
        <v>#DIV/0!</v>
      </c>
      <c r="GTP193" s="367" t="s">
        <v>206</v>
      </c>
      <c r="GTQ193" s="367"/>
      <c r="GTR193" s="367"/>
      <c r="GTS193" s="368" t="s">
        <v>168</v>
      </c>
      <c r="GTT193" s="369">
        <v>0.5</v>
      </c>
      <c r="GTU193" s="370" t="e">
        <f>10/GTQ191</f>
        <v>#DIV/0!</v>
      </c>
      <c r="GTV193" s="371">
        <v>15.38</v>
      </c>
      <c r="GTW193" s="371" t="e">
        <f>GTT193*GTU193*GTV193</f>
        <v>#DIV/0!</v>
      </c>
      <c r="GTX193" s="367" t="s">
        <v>206</v>
      </c>
      <c r="GTY193" s="367"/>
      <c r="GTZ193" s="367"/>
      <c r="GUA193" s="368" t="s">
        <v>168</v>
      </c>
      <c r="GUB193" s="369">
        <v>0.5</v>
      </c>
      <c r="GUC193" s="370" t="e">
        <f>10/GTY191</f>
        <v>#DIV/0!</v>
      </c>
      <c r="GUD193" s="371">
        <v>15.38</v>
      </c>
      <c r="GUE193" s="371" t="e">
        <f>GUB193*GUC193*GUD193</f>
        <v>#DIV/0!</v>
      </c>
      <c r="GUF193" s="367" t="s">
        <v>206</v>
      </c>
      <c r="GUG193" s="367"/>
      <c r="GUH193" s="367"/>
      <c r="GUI193" s="368" t="s">
        <v>168</v>
      </c>
      <c r="GUJ193" s="369">
        <v>0.5</v>
      </c>
      <c r="GUK193" s="370" t="e">
        <f>10/GUG191</f>
        <v>#DIV/0!</v>
      </c>
      <c r="GUL193" s="371">
        <v>15.38</v>
      </c>
      <c r="GUM193" s="371" t="e">
        <f>GUJ193*GUK193*GUL193</f>
        <v>#DIV/0!</v>
      </c>
      <c r="GUN193" s="367" t="s">
        <v>206</v>
      </c>
      <c r="GUO193" s="367"/>
      <c r="GUP193" s="367"/>
      <c r="GUQ193" s="368" t="s">
        <v>168</v>
      </c>
      <c r="GUR193" s="369">
        <v>0.5</v>
      </c>
      <c r="GUS193" s="370" t="e">
        <f>10/GUO191</f>
        <v>#DIV/0!</v>
      </c>
      <c r="GUT193" s="371">
        <v>15.38</v>
      </c>
      <c r="GUU193" s="371" t="e">
        <f>GUR193*GUS193*GUT193</f>
        <v>#DIV/0!</v>
      </c>
      <c r="GUV193" s="367" t="s">
        <v>206</v>
      </c>
      <c r="GUW193" s="367"/>
      <c r="GUX193" s="367"/>
      <c r="GUY193" s="368" t="s">
        <v>168</v>
      </c>
      <c r="GUZ193" s="369">
        <v>0.5</v>
      </c>
      <c r="GVA193" s="370" t="e">
        <f>10/GUW191</f>
        <v>#DIV/0!</v>
      </c>
      <c r="GVB193" s="371">
        <v>15.38</v>
      </c>
      <c r="GVC193" s="371" t="e">
        <f>GUZ193*GVA193*GVB193</f>
        <v>#DIV/0!</v>
      </c>
      <c r="GVD193" s="367" t="s">
        <v>206</v>
      </c>
      <c r="GVE193" s="367"/>
      <c r="GVF193" s="367"/>
      <c r="GVG193" s="368" t="s">
        <v>168</v>
      </c>
      <c r="GVH193" s="369">
        <v>0.5</v>
      </c>
      <c r="GVI193" s="370" t="e">
        <f>10/GVE191</f>
        <v>#DIV/0!</v>
      </c>
      <c r="GVJ193" s="371">
        <v>15.38</v>
      </c>
      <c r="GVK193" s="371" t="e">
        <f>GVH193*GVI193*GVJ193</f>
        <v>#DIV/0!</v>
      </c>
      <c r="GVL193" s="367" t="s">
        <v>206</v>
      </c>
      <c r="GVM193" s="367"/>
      <c r="GVN193" s="367"/>
      <c r="GVO193" s="368" t="s">
        <v>168</v>
      </c>
      <c r="GVP193" s="369">
        <v>0.5</v>
      </c>
      <c r="GVQ193" s="370" t="e">
        <f>10/GVM191</f>
        <v>#DIV/0!</v>
      </c>
      <c r="GVR193" s="371">
        <v>15.38</v>
      </c>
      <c r="GVS193" s="371" t="e">
        <f>GVP193*GVQ193*GVR193</f>
        <v>#DIV/0!</v>
      </c>
      <c r="GVT193" s="367" t="s">
        <v>206</v>
      </c>
      <c r="GVU193" s="367"/>
      <c r="GVV193" s="367"/>
      <c r="GVW193" s="368" t="s">
        <v>168</v>
      </c>
      <c r="GVX193" s="369">
        <v>0.5</v>
      </c>
      <c r="GVY193" s="370" t="e">
        <f>10/GVU191</f>
        <v>#DIV/0!</v>
      </c>
      <c r="GVZ193" s="371">
        <v>15.38</v>
      </c>
      <c r="GWA193" s="371" t="e">
        <f>GVX193*GVY193*GVZ193</f>
        <v>#DIV/0!</v>
      </c>
      <c r="GWB193" s="367" t="s">
        <v>206</v>
      </c>
      <c r="GWC193" s="367"/>
      <c r="GWD193" s="367"/>
      <c r="GWE193" s="368" t="s">
        <v>168</v>
      </c>
      <c r="GWF193" s="369">
        <v>0.5</v>
      </c>
      <c r="GWG193" s="370" t="e">
        <f>10/GWC191</f>
        <v>#DIV/0!</v>
      </c>
      <c r="GWH193" s="371">
        <v>15.38</v>
      </c>
      <c r="GWI193" s="371" t="e">
        <f>GWF193*GWG193*GWH193</f>
        <v>#DIV/0!</v>
      </c>
      <c r="GWJ193" s="367" t="s">
        <v>206</v>
      </c>
      <c r="GWK193" s="367"/>
      <c r="GWL193" s="367"/>
      <c r="GWM193" s="368" t="s">
        <v>168</v>
      </c>
      <c r="GWN193" s="369">
        <v>0.5</v>
      </c>
      <c r="GWO193" s="370" t="e">
        <f>10/GWK191</f>
        <v>#DIV/0!</v>
      </c>
      <c r="GWP193" s="371">
        <v>15.38</v>
      </c>
      <c r="GWQ193" s="371" t="e">
        <f>GWN193*GWO193*GWP193</f>
        <v>#DIV/0!</v>
      </c>
      <c r="GWR193" s="367" t="s">
        <v>206</v>
      </c>
      <c r="GWS193" s="367"/>
      <c r="GWT193" s="367"/>
      <c r="GWU193" s="368" t="s">
        <v>168</v>
      </c>
      <c r="GWV193" s="369">
        <v>0.5</v>
      </c>
      <c r="GWW193" s="370" t="e">
        <f>10/GWS191</f>
        <v>#DIV/0!</v>
      </c>
      <c r="GWX193" s="371">
        <v>15.38</v>
      </c>
      <c r="GWY193" s="371" t="e">
        <f>GWV193*GWW193*GWX193</f>
        <v>#DIV/0!</v>
      </c>
      <c r="GWZ193" s="367" t="s">
        <v>206</v>
      </c>
      <c r="GXA193" s="367"/>
      <c r="GXB193" s="367"/>
      <c r="GXC193" s="368" t="s">
        <v>168</v>
      </c>
      <c r="GXD193" s="369">
        <v>0.5</v>
      </c>
      <c r="GXE193" s="370" t="e">
        <f>10/GXA191</f>
        <v>#DIV/0!</v>
      </c>
      <c r="GXF193" s="371">
        <v>15.38</v>
      </c>
      <c r="GXG193" s="371" t="e">
        <f>GXD193*GXE193*GXF193</f>
        <v>#DIV/0!</v>
      </c>
      <c r="GXH193" s="367" t="s">
        <v>206</v>
      </c>
      <c r="GXI193" s="367"/>
      <c r="GXJ193" s="367"/>
      <c r="GXK193" s="368" t="s">
        <v>168</v>
      </c>
      <c r="GXL193" s="369">
        <v>0.5</v>
      </c>
      <c r="GXM193" s="370" t="e">
        <f>10/GXI191</f>
        <v>#DIV/0!</v>
      </c>
      <c r="GXN193" s="371">
        <v>15.38</v>
      </c>
      <c r="GXO193" s="371" t="e">
        <f>GXL193*GXM193*GXN193</f>
        <v>#DIV/0!</v>
      </c>
      <c r="GXP193" s="367" t="s">
        <v>206</v>
      </c>
      <c r="GXQ193" s="367"/>
      <c r="GXR193" s="367"/>
      <c r="GXS193" s="368" t="s">
        <v>168</v>
      </c>
      <c r="GXT193" s="369">
        <v>0.5</v>
      </c>
      <c r="GXU193" s="370" t="e">
        <f>10/GXQ191</f>
        <v>#DIV/0!</v>
      </c>
      <c r="GXV193" s="371">
        <v>15.38</v>
      </c>
      <c r="GXW193" s="371" t="e">
        <f>GXT193*GXU193*GXV193</f>
        <v>#DIV/0!</v>
      </c>
      <c r="GXX193" s="367" t="s">
        <v>206</v>
      </c>
      <c r="GXY193" s="367"/>
      <c r="GXZ193" s="367"/>
      <c r="GYA193" s="368" t="s">
        <v>168</v>
      </c>
      <c r="GYB193" s="369">
        <v>0.5</v>
      </c>
      <c r="GYC193" s="370" t="e">
        <f>10/GXY191</f>
        <v>#DIV/0!</v>
      </c>
      <c r="GYD193" s="371">
        <v>15.38</v>
      </c>
      <c r="GYE193" s="371" t="e">
        <f>GYB193*GYC193*GYD193</f>
        <v>#DIV/0!</v>
      </c>
      <c r="GYF193" s="367" t="s">
        <v>206</v>
      </c>
      <c r="GYG193" s="367"/>
      <c r="GYH193" s="367"/>
      <c r="GYI193" s="368" t="s">
        <v>168</v>
      </c>
      <c r="GYJ193" s="369">
        <v>0.5</v>
      </c>
      <c r="GYK193" s="370" t="e">
        <f>10/GYG191</f>
        <v>#DIV/0!</v>
      </c>
      <c r="GYL193" s="371">
        <v>15.38</v>
      </c>
      <c r="GYM193" s="371" t="e">
        <f>GYJ193*GYK193*GYL193</f>
        <v>#DIV/0!</v>
      </c>
      <c r="GYN193" s="367" t="s">
        <v>206</v>
      </c>
      <c r="GYO193" s="367"/>
      <c r="GYP193" s="367"/>
      <c r="GYQ193" s="368" t="s">
        <v>168</v>
      </c>
      <c r="GYR193" s="369">
        <v>0.5</v>
      </c>
      <c r="GYS193" s="370" t="e">
        <f>10/GYO191</f>
        <v>#DIV/0!</v>
      </c>
      <c r="GYT193" s="371">
        <v>15.38</v>
      </c>
      <c r="GYU193" s="371" t="e">
        <f>GYR193*GYS193*GYT193</f>
        <v>#DIV/0!</v>
      </c>
      <c r="GYV193" s="367" t="s">
        <v>206</v>
      </c>
      <c r="GYW193" s="367"/>
      <c r="GYX193" s="367"/>
      <c r="GYY193" s="368" t="s">
        <v>168</v>
      </c>
      <c r="GYZ193" s="369">
        <v>0.5</v>
      </c>
      <c r="GZA193" s="370" t="e">
        <f>10/GYW191</f>
        <v>#DIV/0!</v>
      </c>
      <c r="GZB193" s="371">
        <v>15.38</v>
      </c>
      <c r="GZC193" s="371" t="e">
        <f>GYZ193*GZA193*GZB193</f>
        <v>#DIV/0!</v>
      </c>
      <c r="GZD193" s="367" t="s">
        <v>206</v>
      </c>
      <c r="GZE193" s="367"/>
      <c r="GZF193" s="367"/>
      <c r="GZG193" s="368" t="s">
        <v>168</v>
      </c>
      <c r="GZH193" s="369">
        <v>0.5</v>
      </c>
      <c r="GZI193" s="370" t="e">
        <f>10/GZE191</f>
        <v>#DIV/0!</v>
      </c>
      <c r="GZJ193" s="371">
        <v>15.38</v>
      </c>
      <c r="GZK193" s="371" t="e">
        <f>GZH193*GZI193*GZJ193</f>
        <v>#DIV/0!</v>
      </c>
      <c r="GZL193" s="367" t="s">
        <v>206</v>
      </c>
      <c r="GZM193" s="367"/>
      <c r="GZN193" s="367"/>
      <c r="GZO193" s="368" t="s">
        <v>168</v>
      </c>
      <c r="GZP193" s="369">
        <v>0.5</v>
      </c>
      <c r="GZQ193" s="370" t="e">
        <f>10/GZM191</f>
        <v>#DIV/0!</v>
      </c>
      <c r="GZR193" s="371">
        <v>15.38</v>
      </c>
      <c r="GZS193" s="371" t="e">
        <f>GZP193*GZQ193*GZR193</f>
        <v>#DIV/0!</v>
      </c>
      <c r="GZT193" s="367" t="s">
        <v>206</v>
      </c>
      <c r="GZU193" s="367"/>
      <c r="GZV193" s="367"/>
      <c r="GZW193" s="368" t="s">
        <v>168</v>
      </c>
      <c r="GZX193" s="369">
        <v>0.5</v>
      </c>
      <c r="GZY193" s="370" t="e">
        <f>10/GZU191</f>
        <v>#DIV/0!</v>
      </c>
      <c r="GZZ193" s="371">
        <v>15.38</v>
      </c>
      <c r="HAA193" s="371" t="e">
        <f>GZX193*GZY193*GZZ193</f>
        <v>#DIV/0!</v>
      </c>
      <c r="HAB193" s="367" t="s">
        <v>206</v>
      </c>
      <c r="HAC193" s="367"/>
      <c r="HAD193" s="367"/>
      <c r="HAE193" s="368" t="s">
        <v>168</v>
      </c>
      <c r="HAF193" s="369">
        <v>0.5</v>
      </c>
      <c r="HAG193" s="370" t="e">
        <f>10/HAC191</f>
        <v>#DIV/0!</v>
      </c>
      <c r="HAH193" s="371">
        <v>15.38</v>
      </c>
      <c r="HAI193" s="371" t="e">
        <f>HAF193*HAG193*HAH193</f>
        <v>#DIV/0!</v>
      </c>
      <c r="HAJ193" s="367" t="s">
        <v>206</v>
      </c>
      <c r="HAK193" s="367"/>
      <c r="HAL193" s="367"/>
      <c r="HAM193" s="368" t="s">
        <v>168</v>
      </c>
      <c r="HAN193" s="369">
        <v>0.5</v>
      </c>
      <c r="HAO193" s="370" t="e">
        <f>10/HAK191</f>
        <v>#DIV/0!</v>
      </c>
      <c r="HAP193" s="371">
        <v>15.38</v>
      </c>
      <c r="HAQ193" s="371" t="e">
        <f>HAN193*HAO193*HAP193</f>
        <v>#DIV/0!</v>
      </c>
      <c r="HAR193" s="367" t="s">
        <v>206</v>
      </c>
      <c r="HAS193" s="367"/>
      <c r="HAT193" s="367"/>
      <c r="HAU193" s="368" t="s">
        <v>168</v>
      </c>
      <c r="HAV193" s="369">
        <v>0.5</v>
      </c>
      <c r="HAW193" s="370" t="e">
        <f>10/HAS191</f>
        <v>#DIV/0!</v>
      </c>
      <c r="HAX193" s="371">
        <v>15.38</v>
      </c>
      <c r="HAY193" s="371" t="e">
        <f>HAV193*HAW193*HAX193</f>
        <v>#DIV/0!</v>
      </c>
      <c r="HAZ193" s="367" t="s">
        <v>206</v>
      </c>
      <c r="HBA193" s="367"/>
      <c r="HBB193" s="367"/>
      <c r="HBC193" s="368" t="s">
        <v>168</v>
      </c>
      <c r="HBD193" s="369">
        <v>0.5</v>
      </c>
      <c r="HBE193" s="370" t="e">
        <f>10/HBA191</f>
        <v>#DIV/0!</v>
      </c>
      <c r="HBF193" s="371">
        <v>15.38</v>
      </c>
      <c r="HBG193" s="371" t="e">
        <f>HBD193*HBE193*HBF193</f>
        <v>#DIV/0!</v>
      </c>
      <c r="HBH193" s="367" t="s">
        <v>206</v>
      </c>
      <c r="HBI193" s="367"/>
      <c r="HBJ193" s="367"/>
      <c r="HBK193" s="368" t="s">
        <v>168</v>
      </c>
      <c r="HBL193" s="369">
        <v>0.5</v>
      </c>
      <c r="HBM193" s="370" t="e">
        <f>10/HBI191</f>
        <v>#DIV/0!</v>
      </c>
      <c r="HBN193" s="371">
        <v>15.38</v>
      </c>
      <c r="HBO193" s="371" t="e">
        <f>HBL193*HBM193*HBN193</f>
        <v>#DIV/0!</v>
      </c>
      <c r="HBP193" s="367" t="s">
        <v>206</v>
      </c>
      <c r="HBQ193" s="367"/>
      <c r="HBR193" s="367"/>
      <c r="HBS193" s="368" t="s">
        <v>168</v>
      </c>
      <c r="HBT193" s="369">
        <v>0.5</v>
      </c>
      <c r="HBU193" s="370" t="e">
        <f>10/HBQ191</f>
        <v>#DIV/0!</v>
      </c>
      <c r="HBV193" s="371">
        <v>15.38</v>
      </c>
      <c r="HBW193" s="371" t="e">
        <f>HBT193*HBU193*HBV193</f>
        <v>#DIV/0!</v>
      </c>
      <c r="HBX193" s="367" t="s">
        <v>206</v>
      </c>
      <c r="HBY193" s="367"/>
      <c r="HBZ193" s="367"/>
      <c r="HCA193" s="368" t="s">
        <v>168</v>
      </c>
      <c r="HCB193" s="369">
        <v>0.5</v>
      </c>
      <c r="HCC193" s="370" t="e">
        <f>10/HBY191</f>
        <v>#DIV/0!</v>
      </c>
      <c r="HCD193" s="371">
        <v>15.38</v>
      </c>
      <c r="HCE193" s="371" t="e">
        <f>HCB193*HCC193*HCD193</f>
        <v>#DIV/0!</v>
      </c>
      <c r="HCF193" s="367" t="s">
        <v>206</v>
      </c>
      <c r="HCG193" s="367"/>
      <c r="HCH193" s="367"/>
      <c r="HCI193" s="368" t="s">
        <v>168</v>
      </c>
      <c r="HCJ193" s="369">
        <v>0.5</v>
      </c>
      <c r="HCK193" s="370" t="e">
        <f>10/HCG191</f>
        <v>#DIV/0!</v>
      </c>
      <c r="HCL193" s="371">
        <v>15.38</v>
      </c>
      <c r="HCM193" s="371" t="e">
        <f>HCJ193*HCK193*HCL193</f>
        <v>#DIV/0!</v>
      </c>
      <c r="HCN193" s="367" t="s">
        <v>206</v>
      </c>
      <c r="HCO193" s="367"/>
      <c r="HCP193" s="367"/>
      <c r="HCQ193" s="368" t="s">
        <v>168</v>
      </c>
      <c r="HCR193" s="369">
        <v>0.5</v>
      </c>
      <c r="HCS193" s="370" t="e">
        <f>10/HCO191</f>
        <v>#DIV/0!</v>
      </c>
      <c r="HCT193" s="371">
        <v>15.38</v>
      </c>
      <c r="HCU193" s="371" t="e">
        <f>HCR193*HCS193*HCT193</f>
        <v>#DIV/0!</v>
      </c>
      <c r="HCV193" s="367" t="s">
        <v>206</v>
      </c>
      <c r="HCW193" s="367"/>
      <c r="HCX193" s="367"/>
      <c r="HCY193" s="368" t="s">
        <v>168</v>
      </c>
      <c r="HCZ193" s="369">
        <v>0.5</v>
      </c>
      <c r="HDA193" s="370" t="e">
        <f>10/HCW191</f>
        <v>#DIV/0!</v>
      </c>
      <c r="HDB193" s="371">
        <v>15.38</v>
      </c>
      <c r="HDC193" s="371" t="e">
        <f>HCZ193*HDA193*HDB193</f>
        <v>#DIV/0!</v>
      </c>
      <c r="HDD193" s="367" t="s">
        <v>206</v>
      </c>
      <c r="HDE193" s="367"/>
      <c r="HDF193" s="367"/>
      <c r="HDG193" s="368" t="s">
        <v>168</v>
      </c>
      <c r="HDH193" s="369">
        <v>0.5</v>
      </c>
      <c r="HDI193" s="370" t="e">
        <f>10/HDE191</f>
        <v>#DIV/0!</v>
      </c>
      <c r="HDJ193" s="371">
        <v>15.38</v>
      </c>
      <c r="HDK193" s="371" t="e">
        <f>HDH193*HDI193*HDJ193</f>
        <v>#DIV/0!</v>
      </c>
      <c r="HDL193" s="367" t="s">
        <v>206</v>
      </c>
      <c r="HDM193" s="367"/>
      <c r="HDN193" s="367"/>
      <c r="HDO193" s="368" t="s">
        <v>168</v>
      </c>
      <c r="HDP193" s="369">
        <v>0.5</v>
      </c>
      <c r="HDQ193" s="370" t="e">
        <f>10/HDM191</f>
        <v>#DIV/0!</v>
      </c>
      <c r="HDR193" s="371">
        <v>15.38</v>
      </c>
      <c r="HDS193" s="371" t="e">
        <f>HDP193*HDQ193*HDR193</f>
        <v>#DIV/0!</v>
      </c>
      <c r="HDT193" s="367" t="s">
        <v>206</v>
      </c>
      <c r="HDU193" s="367"/>
      <c r="HDV193" s="367"/>
      <c r="HDW193" s="368" t="s">
        <v>168</v>
      </c>
      <c r="HDX193" s="369">
        <v>0.5</v>
      </c>
      <c r="HDY193" s="370" t="e">
        <f>10/HDU191</f>
        <v>#DIV/0!</v>
      </c>
      <c r="HDZ193" s="371">
        <v>15.38</v>
      </c>
      <c r="HEA193" s="371" t="e">
        <f>HDX193*HDY193*HDZ193</f>
        <v>#DIV/0!</v>
      </c>
      <c r="HEB193" s="367" t="s">
        <v>206</v>
      </c>
      <c r="HEC193" s="367"/>
      <c r="HED193" s="367"/>
      <c r="HEE193" s="368" t="s">
        <v>168</v>
      </c>
      <c r="HEF193" s="369">
        <v>0.5</v>
      </c>
      <c r="HEG193" s="370" t="e">
        <f>10/HEC191</f>
        <v>#DIV/0!</v>
      </c>
      <c r="HEH193" s="371">
        <v>15.38</v>
      </c>
      <c r="HEI193" s="371" t="e">
        <f>HEF193*HEG193*HEH193</f>
        <v>#DIV/0!</v>
      </c>
      <c r="HEJ193" s="367" t="s">
        <v>206</v>
      </c>
      <c r="HEK193" s="367"/>
      <c r="HEL193" s="367"/>
      <c r="HEM193" s="368" t="s">
        <v>168</v>
      </c>
      <c r="HEN193" s="369">
        <v>0.5</v>
      </c>
      <c r="HEO193" s="370" t="e">
        <f>10/HEK191</f>
        <v>#DIV/0!</v>
      </c>
      <c r="HEP193" s="371">
        <v>15.38</v>
      </c>
      <c r="HEQ193" s="371" t="e">
        <f>HEN193*HEO193*HEP193</f>
        <v>#DIV/0!</v>
      </c>
      <c r="HER193" s="367" t="s">
        <v>206</v>
      </c>
      <c r="HES193" s="367"/>
      <c r="HET193" s="367"/>
      <c r="HEU193" s="368" t="s">
        <v>168</v>
      </c>
      <c r="HEV193" s="369">
        <v>0.5</v>
      </c>
      <c r="HEW193" s="370" t="e">
        <f>10/HES191</f>
        <v>#DIV/0!</v>
      </c>
      <c r="HEX193" s="371">
        <v>15.38</v>
      </c>
      <c r="HEY193" s="371" t="e">
        <f>HEV193*HEW193*HEX193</f>
        <v>#DIV/0!</v>
      </c>
      <c r="HEZ193" s="367" t="s">
        <v>206</v>
      </c>
      <c r="HFA193" s="367"/>
      <c r="HFB193" s="367"/>
      <c r="HFC193" s="368" t="s">
        <v>168</v>
      </c>
      <c r="HFD193" s="369">
        <v>0.5</v>
      </c>
      <c r="HFE193" s="370" t="e">
        <f>10/HFA191</f>
        <v>#DIV/0!</v>
      </c>
      <c r="HFF193" s="371">
        <v>15.38</v>
      </c>
      <c r="HFG193" s="371" t="e">
        <f>HFD193*HFE193*HFF193</f>
        <v>#DIV/0!</v>
      </c>
      <c r="HFH193" s="367" t="s">
        <v>206</v>
      </c>
      <c r="HFI193" s="367"/>
      <c r="HFJ193" s="367"/>
      <c r="HFK193" s="368" t="s">
        <v>168</v>
      </c>
      <c r="HFL193" s="369">
        <v>0.5</v>
      </c>
      <c r="HFM193" s="370" t="e">
        <f>10/HFI191</f>
        <v>#DIV/0!</v>
      </c>
      <c r="HFN193" s="371">
        <v>15.38</v>
      </c>
      <c r="HFO193" s="371" t="e">
        <f>HFL193*HFM193*HFN193</f>
        <v>#DIV/0!</v>
      </c>
      <c r="HFP193" s="367" t="s">
        <v>206</v>
      </c>
      <c r="HFQ193" s="367"/>
      <c r="HFR193" s="367"/>
      <c r="HFS193" s="368" t="s">
        <v>168</v>
      </c>
      <c r="HFT193" s="369">
        <v>0.5</v>
      </c>
      <c r="HFU193" s="370" t="e">
        <f>10/HFQ191</f>
        <v>#DIV/0!</v>
      </c>
      <c r="HFV193" s="371">
        <v>15.38</v>
      </c>
      <c r="HFW193" s="371" t="e">
        <f>HFT193*HFU193*HFV193</f>
        <v>#DIV/0!</v>
      </c>
      <c r="HFX193" s="367" t="s">
        <v>206</v>
      </c>
      <c r="HFY193" s="367"/>
      <c r="HFZ193" s="367"/>
      <c r="HGA193" s="368" t="s">
        <v>168</v>
      </c>
      <c r="HGB193" s="369">
        <v>0.5</v>
      </c>
      <c r="HGC193" s="370" t="e">
        <f>10/HFY191</f>
        <v>#DIV/0!</v>
      </c>
      <c r="HGD193" s="371">
        <v>15.38</v>
      </c>
      <c r="HGE193" s="371" t="e">
        <f>HGB193*HGC193*HGD193</f>
        <v>#DIV/0!</v>
      </c>
      <c r="HGF193" s="367" t="s">
        <v>206</v>
      </c>
      <c r="HGG193" s="367"/>
      <c r="HGH193" s="367"/>
      <c r="HGI193" s="368" t="s">
        <v>168</v>
      </c>
      <c r="HGJ193" s="369">
        <v>0.5</v>
      </c>
      <c r="HGK193" s="370" t="e">
        <f>10/HGG191</f>
        <v>#DIV/0!</v>
      </c>
      <c r="HGL193" s="371">
        <v>15.38</v>
      </c>
      <c r="HGM193" s="371" t="e">
        <f>HGJ193*HGK193*HGL193</f>
        <v>#DIV/0!</v>
      </c>
      <c r="HGN193" s="367" t="s">
        <v>206</v>
      </c>
      <c r="HGO193" s="367"/>
      <c r="HGP193" s="367"/>
      <c r="HGQ193" s="368" t="s">
        <v>168</v>
      </c>
      <c r="HGR193" s="369">
        <v>0.5</v>
      </c>
      <c r="HGS193" s="370" t="e">
        <f>10/HGO191</f>
        <v>#DIV/0!</v>
      </c>
      <c r="HGT193" s="371">
        <v>15.38</v>
      </c>
      <c r="HGU193" s="371" t="e">
        <f>HGR193*HGS193*HGT193</f>
        <v>#DIV/0!</v>
      </c>
      <c r="HGV193" s="367" t="s">
        <v>206</v>
      </c>
      <c r="HGW193" s="367"/>
      <c r="HGX193" s="367"/>
      <c r="HGY193" s="368" t="s">
        <v>168</v>
      </c>
      <c r="HGZ193" s="369">
        <v>0.5</v>
      </c>
      <c r="HHA193" s="370" t="e">
        <f>10/HGW191</f>
        <v>#DIV/0!</v>
      </c>
      <c r="HHB193" s="371">
        <v>15.38</v>
      </c>
      <c r="HHC193" s="371" t="e">
        <f>HGZ193*HHA193*HHB193</f>
        <v>#DIV/0!</v>
      </c>
      <c r="HHD193" s="367" t="s">
        <v>206</v>
      </c>
      <c r="HHE193" s="367"/>
      <c r="HHF193" s="367"/>
      <c r="HHG193" s="368" t="s">
        <v>168</v>
      </c>
      <c r="HHH193" s="369">
        <v>0.5</v>
      </c>
      <c r="HHI193" s="370" t="e">
        <f>10/HHE191</f>
        <v>#DIV/0!</v>
      </c>
      <c r="HHJ193" s="371">
        <v>15.38</v>
      </c>
      <c r="HHK193" s="371" t="e">
        <f>HHH193*HHI193*HHJ193</f>
        <v>#DIV/0!</v>
      </c>
      <c r="HHL193" s="367" t="s">
        <v>206</v>
      </c>
      <c r="HHM193" s="367"/>
      <c r="HHN193" s="367"/>
      <c r="HHO193" s="368" t="s">
        <v>168</v>
      </c>
      <c r="HHP193" s="369">
        <v>0.5</v>
      </c>
      <c r="HHQ193" s="370" t="e">
        <f>10/HHM191</f>
        <v>#DIV/0!</v>
      </c>
      <c r="HHR193" s="371">
        <v>15.38</v>
      </c>
      <c r="HHS193" s="371" t="e">
        <f>HHP193*HHQ193*HHR193</f>
        <v>#DIV/0!</v>
      </c>
      <c r="HHT193" s="367" t="s">
        <v>206</v>
      </c>
      <c r="HHU193" s="367"/>
      <c r="HHV193" s="367"/>
      <c r="HHW193" s="368" t="s">
        <v>168</v>
      </c>
      <c r="HHX193" s="369">
        <v>0.5</v>
      </c>
      <c r="HHY193" s="370" t="e">
        <f>10/HHU191</f>
        <v>#DIV/0!</v>
      </c>
      <c r="HHZ193" s="371">
        <v>15.38</v>
      </c>
      <c r="HIA193" s="371" t="e">
        <f>HHX193*HHY193*HHZ193</f>
        <v>#DIV/0!</v>
      </c>
      <c r="HIB193" s="367" t="s">
        <v>206</v>
      </c>
      <c r="HIC193" s="367"/>
      <c r="HID193" s="367"/>
      <c r="HIE193" s="368" t="s">
        <v>168</v>
      </c>
      <c r="HIF193" s="369">
        <v>0.5</v>
      </c>
      <c r="HIG193" s="370" t="e">
        <f>10/HIC191</f>
        <v>#DIV/0!</v>
      </c>
      <c r="HIH193" s="371">
        <v>15.38</v>
      </c>
      <c r="HII193" s="371" t="e">
        <f>HIF193*HIG193*HIH193</f>
        <v>#DIV/0!</v>
      </c>
      <c r="HIJ193" s="367" t="s">
        <v>206</v>
      </c>
      <c r="HIK193" s="367"/>
      <c r="HIL193" s="367"/>
      <c r="HIM193" s="368" t="s">
        <v>168</v>
      </c>
      <c r="HIN193" s="369">
        <v>0.5</v>
      </c>
      <c r="HIO193" s="370" t="e">
        <f>10/HIK191</f>
        <v>#DIV/0!</v>
      </c>
      <c r="HIP193" s="371">
        <v>15.38</v>
      </c>
      <c r="HIQ193" s="371" t="e">
        <f>HIN193*HIO193*HIP193</f>
        <v>#DIV/0!</v>
      </c>
      <c r="HIR193" s="367" t="s">
        <v>206</v>
      </c>
      <c r="HIS193" s="367"/>
      <c r="HIT193" s="367"/>
      <c r="HIU193" s="368" t="s">
        <v>168</v>
      </c>
      <c r="HIV193" s="369">
        <v>0.5</v>
      </c>
      <c r="HIW193" s="370" t="e">
        <f>10/HIS191</f>
        <v>#DIV/0!</v>
      </c>
      <c r="HIX193" s="371">
        <v>15.38</v>
      </c>
      <c r="HIY193" s="371" t="e">
        <f>HIV193*HIW193*HIX193</f>
        <v>#DIV/0!</v>
      </c>
      <c r="HIZ193" s="367" t="s">
        <v>206</v>
      </c>
      <c r="HJA193" s="367"/>
      <c r="HJB193" s="367"/>
      <c r="HJC193" s="368" t="s">
        <v>168</v>
      </c>
      <c r="HJD193" s="369">
        <v>0.5</v>
      </c>
      <c r="HJE193" s="370" t="e">
        <f>10/HJA191</f>
        <v>#DIV/0!</v>
      </c>
      <c r="HJF193" s="371">
        <v>15.38</v>
      </c>
      <c r="HJG193" s="371" t="e">
        <f>HJD193*HJE193*HJF193</f>
        <v>#DIV/0!</v>
      </c>
      <c r="HJH193" s="367" t="s">
        <v>206</v>
      </c>
      <c r="HJI193" s="367"/>
      <c r="HJJ193" s="367"/>
      <c r="HJK193" s="368" t="s">
        <v>168</v>
      </c>
      <c r="HJL193" s="369">
        <v>0.5</v>
      </c>
      <c r="HJM193" s="370" t="e">
        <f>10/HJI191</f>
        <v>#DIV/0!</v>
      </c>
      <c r="HJN193" s="371">
        <v>15.38</v>
      </c>
      <c r="HJO193" s="371" t="e">
        <f>HJL193*HJM193*HJN193</f>
        <v>#DIV/0!</v>
      </c>
      <c r="HJP193" s="367" t="s">
        <v>206</v>
      </c>
      <c r="HJQ193" s="367"/>
      <c r="HJR193" s="367"/>
      <c r="HJS193" s="368" t="s">
        <v>168</v>
      </c>
      <c r="HJT193" s="369">
        <v>0.5</v>
      </c>
      <c r="HJU193" s="370" t="e">
        <f>10/HJQ191</f>
        <v>#DIV/0!</v>
      </c>
      <c r="HJV193" s="371">
        <v>15.38</v>
      </c>
      <c r="HJW193" s="371" t="e">
        <f>HJT193*HJU193*HJV193</f>
        <v>#DIV/0!</v>
      </c>
      <c r="HJX193" s="367" t="s">
        <v>206</v>
      </c>
      <c r="HJY193" s="367"/>
      <c r="HJZ193" s="367"/>
      <c r="HKA193" s="368" t="s">
        <v>168</v>
      </c>
      <c r="HKB193" s="369">
        <v>0.5</v>
      </c>
      <c r="HKC193" s="370" t="e">
        <f>10/HJY191</f>
        <v>#DIV/0!</v>
      </c>
      <c r="HKD193" s="371">
        <v>15.38</v>
      </c>
      <c r="HKE193" s="371" t="e">
        <f>HKB193*HKC193*HKD193</f>
        <v>#DIV/0!</v>
      </c>
      <c r="HKF193" s="367" t="s">
        <v>206</v>
      </c>
      <c r="HKG193" s="367"/>
      <c r="HKH193" s="367"/>
      <c r="HKI193" s="368" t="s">
        <v>168</v>
      </c>
      <c r="HKJ193" s="369">
        <v>0.5</v>
      </c>
      <c r="HKK193" s="370" t="e">
        <f>10/HKG191</f>
        <v>#DIV/0!</v>
      </c>
      <c r="HKL193" s="371">
        <v>15.38</v>
      </c>
      <c r="HKM193" s="371" t="e">
        <f>HKJ193*HKK193*HKL193</f>
        <v>#DIV/0!</v>
      </c>
      <c r="HKN193" s="367" t="s">
        <v>206</v>
      </c>
      <c r="HKO193" s="367"/>
      <c r="HKP193" s="367"/>
      <c r="HKQ193" s="368" t="s">
        <v>168</v>
      </c>
      <c r="HKR193" s="369">
        <v>0.5</v>
      </c>
      <c r="HKS193" s="370" t="e">
        <f>10/HKO191</f>
        <v>#DIV/0!</v>
      </c>
      <c r="HKT193" s="371">
        <v>15.38</v>
      </c>
      <c r="HKU193" s="371" t="e">
        <f>HKR193*HKS193*HKT193</f>
        <v>#DIV/0!</v>
      </c>
      <c r="HKV193" s="367" t="s">
        <v>206</v>
      </c>
      <c r="HKW193" s="367"/>
      <c r="HKX193" s="367"/>
      <c r="HKY193" s="368" t="s">
        <v>168</v>
      </c>
      <c r="HKZ193" s="369">
        <v>0.5</v>
      </c>
      <c r="HLA193" s="370" t="e">
        <f>10/HKW191</f>
        <v>#DIV/0!</v>
      </c>
      <c r="HLB193" s="371">
        <v>15.38</v>
      </c>
      <c r="HLC193" s="371" t="e">
        <f>HKZ193*HLA193*HLB193</f>
        <v>#DIV/0!</v>
      </c>
      <c r="HLD193" s="367" t="s">
        <v>206</v>
      </c>
      <c r="HLE193" s="367"/>
      <c r="HLF193" s="367"/>
      <c r="HLG193" s="368" t="s">
        <v>168</v>
      </c>
      <c r="HLH193" s="369">
        <v>0.5</v>
      </c>
      <c r="HLI193" s="370" t="e">
        <f>10/HLE191</f>
        <v>#DIV/0!</v>
      </c>
      <c r="HLJ193" s="371">
        <v>15.38</v>
      </c>
      <c r="HLK193" s="371" t="e">
        <f>HLH193*HLI193*HLJ193</f>
        <v>#DIV/0!</v>
      </c>
      <c r="HLL193" s="367" t="s">
        <v>206</v>
      </c>
      <c r="HLM193" s="367"/>
      <c r="HLN193" s="367"/>
      <c r="HLO193" s="368" t="s">
        <v>168</v>
      </c>
      <c r="HLP193" s="369">
        <v>0.5</v>
      </c>
      <c r="HLQ193" s="370" t="e">
        <f>10/HLM191</f>
        <v>#DIV/0!</v>
      </c>
      <c r="HLR193" s="371">
        <v>15.38</v>
      </c>
      <c r="HLS193" s="371" t="e">
        <f>HLP193*HLQ193*HLR193</f>
        <v>#DIV/0!</v>
      </c>
      <c r="HLT193" s="367" t="s">
        <v>206</v>
      </c>
      <c r="HLU193" s="367"/>
      <c r="HLV193" s="367"/>
      <c r="HLW193" s="368" t="s">
        <v>168</v>
      </c>
      <c r="HLX193" s="369">
        <v>0.5</v>
      </c>
      <c r="HLY193" s="370" t="e">
        <f>10/HLU191</f>
        <v>#DIV/0!</v>
      </c>
      <c r="HLZ193" s="371">
        <v>15.38</v>
      </c>
      <c r="HMA193" s="371" t="e">
        <f>HLX193*HLY193*HLZ193</f>
        <v>#DIV/0!</v>
      </c>
      <c r="HMB193" s="367" t="s">
        <v>206</v>
      </c>
      <c r="HMC193" s="367"/>
      <c r="HMD193" s="367"/>
      <c r="HME193" s="368" t="s">
        <v>168</v>
      </c>
      <c r="HMF193" s="369">
        <v>0.5</v>
      </c>
      <c r="HMG193" s="370" t="e">
        <f>10/HMC191</f>
        <v>#DIV/0!</v>
      </c>
      <c r="HMH193" s="371">
        <v>15.38</v>
      </c>
      <c r="HMI193" s="371" t="e">
        <f>HMF193*HMG193*HMH193</f>
        <v>#DIV/0!</v>
      </c>
      <c r="HMJ193" s="367" t="s">
        <v>206</v>
      </c>
      <c r="HMK193" s="367"/>
      <c r="HML193" s="367"/>
      <c r="HMM193" s="368" t="s">
        <v>168</v>
      </c>
      <c r="HMN193" s="369">
        <v>0.5</v>
      </c>
      <c r="HMO193" s="370" t="e">
        <f>10/HMK191</f>
        <v>#DIV/0!</v>
      </c>
      <c r="HMP193" s="371">
        <v>15.38</v>
      </c>
      <c r="HMQ193" s="371" t="e">
        <f>HMN193*HMO193*HMP193</f>
        <v>#DIV/0!</v>
      </c>
      <c r="HMR193" s="367" t="s">
        <v>206</v>
      </c>
      <c r="HMS193" s="367"/>
      <c r="HMT193" s="367"/>
      <c r="HMU193" s="368" t="s">
        <v>168</v>
      </c>
      <c r="HMV193" s="369">
        <v>0.5</v>
      </c>
      <c r="HMW193" s="370" t="e">
        <f>10/HMS191</f>
        <v>#DIV/0!</v>
      </c>
      <c r="HMX193" s="371">
        <v>15.38</v>
      </c>
      <c r="HMY193" s="371" t="e">
        <f>HMV193*HMW193*HMX193</f>
        <v>#DIV/0!</v>
      </c>
      <c r="HMZ193" s="367" t="s">
        <v>206</v>
      </c>
      <c r="HNA193" s="367"/>
      <c r="HNB193" s="367"/>
      <c r="HNC193" s="368" t="s">
        <v>168</v>
      </c>
      <c r="HND193" s="369">
        <v>0.5</v>
      </c>
      <c r="HNE193" s="370" t="e">
        <f>10/HNA191</f>
        <v>#DIV/0!</v>
      </c>
      <c r="HNF193" s="371">
        <v>15.38</v>
      </c>
      <c r="HNG193" s="371" t="e">
        <f>HND193*HNE193*HNF193</f>
        <v>#DIV/0!</v>
      </c>
      <c r="HNH193" s="367" t="s">
        <v>206</v>
      </c>
      <c r="HNI193" s="367"/>
      <c r="HNJ193" s="367"/>
      <c r="HNK193" s="368" t="s">
        <v>168</v>
      </c>
      <c r="HNL193" s="369">
        <v>0.5</v>
      </c>
      <c r="HNM193" s="370" t="e">
        <f>10/HNI191</f>
        <v>#DIV/0!</v>
      </c>
      <c r="HNN193" s="371">
        <v>15.38</v>
      </c>
      <c r="HNO193" s="371" t="e">
        <f>HNL193*HNM193*HNN193</f>
        <v>#DIV/0!</v>
      </c>
      <c r="HNP193" s="367" t="s">
        <v>206</v>
      </c>
      <c r="HNQ193" s="367"/>
      <c r="HNR193" s="367"/>
      <c r="HNS193" s="368" t="s">
        <v>168</v>
      </c>
      <c r="HNT193" s="369">
        <v>0.5</v>
      </c>
      <c r="HNU193" s="370" t="e">
        <f>10/HNQ191</f>
        <v>#DIV/0!</v>
      </c>
      <c r="HNV193" s="371">
        <v>15.38</v>
      </c>
      <c r="HNW193" s="371" t="e">
        <f>HNT193*HNU193*HNV193</f>
        <v>#DIV/0!</v>
      </c>
      <c r="HNX193" s="367" t="s">
        <v>206</v>
      </c>
      <c r="HNY193" s="367"/>
      <c r="HNZ193" s="367"/>
      <c r="HOA193" s="368" t="s">
        <v>168</v>
      </c>
      <c r="HOB193" s="369">
        <v>0.5</v>
      </c>
      <c r="HOC193" s="370" t="e">
        <f>10/HNY191</f>
        <v>#DIV/0!</v>
      </c>
      <c r="HOD193" s="371">
        <v>15.38</v>
      </c>
      <c r="HOE193" s="371" t="e">
        <f>HOB193*HOC193*HOD193</f>
        <v>#DIV/0!</v>
      </c>
      <c r="HOF193" s="367" t="s">
        <v>206</v>
      </c>
      <c r="HOG193" s="367"/>
      <c r="HOH193" s="367"/>
      <c r="HOI193" s="368" t="s">
        <v>168</v>
      </c>
      <c r="HOJ193" s="369">
        <v>0.5</v>
      </c>
      <c r="HOK193" s="370" t="e">
        <f>10/HOG191</f>
        <v>#DIV/0!</v>
      </c>
      <c r="HOL193" s="371">
        <v>15.38</v>
      </c>
      <c r="HOM193" s="371" t="e">
        <f>HOJ193*HOK193*HOL193</f>
        <v>#DIV/0!</v>
      </c>
      <c r="HON193" s="367" t="s">
        <v>206</v>
      </c>
      <c r="HOO193" s="367"/>
      <c r="HOP193" s="367"/>
      <c r="HOQ193" s="368" t="s">
        <v>168</v>
      </c>
      <c r="HOR193" s="369">
        <v>0.5</v>
      </c>
      <c r="HOS193" s="370" t="e">
        <f>10/HOO191</f>
        <v>#DIV/0!</v>
      </c>
      <c r="HOT193" s="371">
        <v>15.38</v>
      </c>
      <c r="HOU193" s="371" t="e">
        <f>HOR193*HOS193*HOT193</f>
        <v>#DIV/0!</v>
      </c>
      <c r="HOV193" s="367" t="s">
        <v>206</v>
      </c>
      <c r="HOW193" s="367"/>
      <c r="HOX193" s="367"/>
      <c r="HOY193" s="368" t="s">
        <v>168</v>
      </c>
      <c r="HOZ193" s="369">
        <v>0.5</v>
      </c>
      <c r="HPA193" s="370" t="e">
        <f>10/HOW191</f>
        <v>#DIV/0!</v>
      </c>
      <c r="HPB193" s="371">
        <v>15.38</v>
      </c>
      <c r="HPC193" s="371" t="e">
        <f>HOZ193*HPA193*HPB193</f>
        <v>#DIV/0!</v>
      </c>
      <c r="HPD193" s="367" t="s">
        <v>206</v>
      </c>
      <c r="HPE193" s="367"/>
      <c r="HPF193" s="367"/>
      <c r="HPG193" s="368" t="s">
        <v>168</v>
      </c>
      <c r="HPH193" s="369">
        <v>0.5</v>
      </c>
      <c r="HPI193" s="370" t="e">
        <f>10/HPE191</f>
        <v>#DIV/0!</v>
      </c>
      <c r="HPJ193" s="371">
        <v>15.38</v>
      </c>
      <c r="HPK193" s="371" t="e">
        <f>HPH193*HPI193*HPJ193</f>
        <v>#DIV/0!</v>
      </c>
      <c r="HPL193" s="367" t="s">
        <v>206</v>
      </c>
      <c r="HPM193" s="367"/>
      <c r="HPN193" s="367"/>
      <c r="HPO193" s="368" t="s">
        <v>168</v>
      </c>
      <c r="HPP193" s="369">
        <v>0.5</v>
      </c>
      <c r="HPQ193" s="370" t="e">
        <f>10/HPM191</f>
        <v>#DIV/0!</v>
      </c>
      <c r="HPR193" s="371">
        <v>15.38</v>
      </c>
      <c r="HPS193" s="371" t="e">
        <f>HPP193*HPQ193*HPR193</f>
        <v>#DIV/0!</v>
      </c>
      <c r="HPT193" s="367" t="s">
        <v>206</v>
      </c>
      <c r="HPU193" s="367"/>
      <c r="HPV193" s="367"/>
      <c r="HPW193" s="368" t="s">
        <v>168</v>
      </c>
      <c r="HPX193" s="369">
        <v>0.5</v>
      </c>
      <c r="HPY193" s="370" t="e">
        <f>10/HPU191</f>
        <v>#DIV/0!</v>
      </c>
      <c r="HPZ193" s="371">
        <v>15.38</v>
      </c>
      <c r="HQA193" s="371" t="e">
        <f>HPX193*HPY193*HPZ193</f>
        <v>#DIV/0!</v>
      </c>
      <c r="HQB193" s="367" t="s">
        <v>206</v>
      </c>
      <c r="HQC193" s="367"/>
      <c r="HQD193" s="367"/>
      <c r="HQE193" s="368" t="s">
        <v>168</v>
      </c>
      <c r="HQF193" s="369">
        <v>0.5</v>
      </c>
      <c r="HQG193" s="370" t="e">
        <f>10/HQC191</f>
        <v>#DIV/0!</v>
      </c>
      <c r="HQH193" s="371">
        <v>15.38</v>
      </c>
      <c r="HQI193" s="371" t="e">
        <f>HQF193*HQG193*HQH193</f>
        <v>#DIV/0!</v>
      </c>
      <c r="HQJ193" s="367" t="s">
        <v>206</v>
      </c>
      <c r="HQK193" s="367"/>
      <c r="HQL193" s="367"/>
      <c r="HQM193" s="368" t="s">
        <v>168</v>
      </c>
      <c r="HQN193" s="369">
        <v>0.5</v>
      </c>
      <c r="HQO193" s="370" t="e">
        <f>10/HQK191</f>
        <v>#DIV/0!</v>
      </c>
      <c r="HQP193" s="371">
        <v>15.38</v>
      </c>
      <c r="HQQ193" s="371" t="e">
        <f>HQN193*HQO193*HQP193</f>
        <v>#DIV/0!</v>
      </c>
      <c r="HQR193" s="367" t="s">
        <v>206</v>
      </c>
      <c r="HQS193" s="367"/>
      <c r="HQT193" s="367"/>
      <c r="HQU193" s="368" t="s">
        <v>168</v>
      </c>
      <c r="HQV193" s="369">
        <v>0.5</v>
      </c>
      <c r="HQW193" s="370" t="e">
        <f>10/HQS191</f>
        <v>#DIV/0!</v>
      </c>
      <c r="HQX193" s="371">
        <v>15.38</v>
      </c>
      <c r="HQY193" s="371" t="e">
        <f>HQV193*HQW193*HQX193</f>
        <v>#DIV/0!</v>
      </c>
      <c r="HQZ193" s="367" t="s">
        <v>206</v>
      </c>
      <c r="HRA193" s="367"/>
      <c r="HRB193" s="367"/>
      <c r="HRC193" s="368" t="s">
        <v>168</v>
      </c>
      <c r="HRD193" s="369">
        <v>0.5</v>
      </c>
      <c r="HRE193" s="370" t="e">
        <f>10/HRA191</f>
        <v>#DIV/0!</v>
      </c>
      <c r="HRF193" s="371">
        <v>15.38</v>
      </c>
      <c r="HRG193" s="371" t="e">
        <f>HRD193*HRE193*HRF193</f>
        <v>#DIV/0!</v>
      </c>
      <c r="HRH193" s="367" t="s">
        <v>206</v>
      </c>
      <c r="HRI193" s="367"/>
      <c r="HRJ193" s="367"/>
      <c r="HRK193" s="368" t="s">
        <v>168</v>
      </c>
      <c r="HRL193" s="369">
        <v>0.5</v>
      </c>
      <c r="HRM193" s="370" t="e">
        <f>10/HRI191</f>
        <v>#DIV/0!</v>
      </c>
      <c r="HRN193" s="371">
        <v>15.38</v>
      </c>
      <c r="HRO193" s="371" t="e">
        <f>HRL193*HRM193*HRN193</f>
        <v>#DIV/0!</v>
      </c>
      <c r="HRP193" s="367" t="s">
        <v>206</v>
      </c>
      <c r="HRQ193" s="367"/>
      <c r="HRR193" s="367"/>
      <c r="HRS193" s="368" t="s">
        <v>168</v>
      </c>
      <c r="HRT193" s="369">
        <v>0.5</v>
      </c>
      <c r="HRU193" s="370" t="e">
        <f>10/HRQ191</f>
        <v>#DIV/0!</v>
      </c>
      <c r="HRV193" s="371">
        <v>15.38</v>
      </c>
      <c r="HRW193" s="371" t="e">
        <f>HRT193*HRU193*HRV193</f>
        <v>#DIV/0!</v>
      </c>
      <c r="HRX193" s="367" t="s">
        <v>206</v>
      </c>
      <c r="HRY193" s="367"/>
      <c r="HRZ193" s="367"/>
      <c r="HSA193" s="368" t="s">
        <v>168</v>
      </c>
      <c r="HSB193" s="369">
        <v>0.5</v>
      </c>
      <c r="HSC193" s="370" t="e">
        <f>10/HRY191</f>
        <v>#DIV/0!</v>
      </c>
      <c r="HSD193" s="371">
        <v>15.38</v>
      </c>
      <c r="HSE193" s="371" t="e">
        <f>HSB193*HSC193*HSD193</f>
        <v>#DIV/0!</v>
      </c>
      <c r="HSF193" s="367" t="s">
        <v>206</v>
      </c>
      <c r="HSG193" s="367"/>
      <c r="HSH193" s="367"/>
      <c r="HSI193" s="368" t="s">
        <v>168</v>
      </c>
      <c r="HSJ193" s="369">
        <v>0.5</v>
      </c>
      <c r="HSK193" s="370" t="e">
        <f>10/HSG191</f>
        <v>#DIV/0!</v>
      </c>
      <c r="HSL193" s="371">
        <v>15.38</v>
      </c>
      <c r="HSM193" s="371" t="e">
        <f>HSJ193*HSK193*HSL193</f>
        <v>#DIV/0!</v>
      </c>
      <c r="HSN193" s="367" t="s">
        <v>206</v>
      </c>
      <c r="HSO193" s="367"/>
      <c r="HSP193" s="367"/>
      <c r="HSQ193" s="368" t="s">
        <v>168</v>
      </c>
      <c r="HSR193" s="369">
        <v>0.5</v>
      </c>
      <c r="HSS193" s="370" t="e">
        <f>10/HSO191</f>
        <v>#DIV/0!</v>
      </c>
      <c r="HST193" s="371">
        <v>15.38</v>
      </c>
      <c r="HSU193" s="371" t="e">
        <f>HSR193*HSS193*HST193</f>
        <v>#DIV/0!</v>
      </c>
      <c r="HSV193" s="367" t="s">
        <v>206</v>
      </c>
      <c r="HSW193" s="367"/>
      <c r="HSX193" s="367"/>
      <c r="HSY193" s="368" t="s">
        <v>168</v>
      </c>
      <c r="HSZ193" s="369">
        <v>0.5</v>
      </c>
      <c r="HTA193" s="370" t="e">
        <f>10/HSW191</f>
        <v>#DIV/0!</v>
      </c>
      <c r="HTB193" s="371">
        <v>15.38</v>
      </c>
      <c r="HTC193" s="371" t="e">
        <f>HSZ193*HTA193*HTB193</f>
        <v>#DIV/0!</v>
      </c>
      <c r="HTD193" s="367" t="s">
        <v>206</v>
      </c>
      <c r="HTE193" s="367"/>
      <c r="HTF193" s="367"/>
      <c r="HTG193" s="368" t="s">
        <v>168</v>
      </c>
      <c r="HTH193" s="369">
        <v>0.5</v>
      </c>
      <c r="HTI193" s="370" t="e">
        <f>10/HTE191</f>
        <v>#DIV/0!</v>
      </c>
      <c r="HTJ193" s="371">
        <v>15.38</v>
      </c>
      <c r="HTK193" s="371" t="e">
        <f>HTH193*HTI193*HTJ193</f>
        <v>#DIV/0!</v>
      </c>
      <c r="HTL193" s="367" t="s">
        <v>206</v>
      </c>
      <c r="HTM193" s="367"/>
      <c r="HTN193" s="367"/>
      <c r="HTO193" s="368" t="s">
        <v>168</v>
      </c>
      <c r="HTP193" s="369">
        <v>0.5</v>
      </c>
      <c r="HTQ193" s="370" t="e">
        <f>10/HTM191</f>
        <v>#DIV/0!</v>
      </c>
      <c r="HTR193" s="371">
        <v>15.38</v>
      </c>
      <c r="HTS193" s="371" t="e">
        <f>HTP193*HTQ193*HTR193</f>
        <v>#DIV/0!</v>
      </c>
      <c r="HTT193" s="367" t="s">
        <v>206</v>
      </c>
      <c r="HTU193" s="367"/>
      <c r="HTV193" s="367"/>
      <c r="HTW193" s="368" t="s">
        <v>168</v>
      </c>
      <c r="HTX193" s="369">
        <v>0.5</v>
      </c>
      <c r="HTY193" s="370" t="e">
        <f>10/HTU191</f>
        <v>#DIV/0!</v>
      </c>
      <c r="HTZ193" s="371">
        <v>15.38</v>
      </c>
      <c r="HUA193" s="371" t="e">
        <f>HTX193*HTY193*HTZ193</f>
        <v>#DIV/0!</v>
      </c>
      <c r="HUB193" s="367" t="s">
        <v>206</v>
      </c>
      <c r="HUC193" s="367"/>
      <c r="HUD193" s="367"/>
      <c r="HUE193" s="368" t="s">
        <v>168</v>
      </c>
      <c r="HUF193" s="369">
        <v>0.5</v>
      </c>
      <c r="HUG193" s="370" t="e">
        <f>10/HUC191</f>
        <v>#DIV/0!</v>
      </c>
      <c r="HUH193" s="371">
        <v>15.38</v>
      </c>
      <c r="HUI193" s="371" t="e">
        <f>HUF193*HUG193*HUH193</f>
        <v>#DIV/0!</v>
      </c>
      <c r="HUJ193" s="367" t="s">
        <v>206</v>
      </c>
      <c r="HUK193" s="367"/>
      <c r="HUL193" s="367"/>
      <c r="HUM193" s="368" t="s">
        <v>168</v>
      </c>
      <c r="HUN193" s="369">
        <v>0.5</v>
      </c>
      <c r="HUO193" s="370" t="e">
        <f>10/HUK191</f>
        <v>#DIV/0!</v>
      </c>
      <c r="HUP193" s="371">
        <v>15.38</v>
      </c>
      <c r="HUQ193" s="371" t="e">
        <f>HUN193*HUO193*HUP193</f>
        <v>#DIV/0!</v>
      </c>
      <c r="HUR193" s="367" t="s">
        <v>206</v>
      </c>
      <c r="HUS193" s="367"/>
      <c r="HUT193" s="367"/>
      <c r="HUU193" s="368" t="s">
        <v>168</v>
      </c>
      <c r="HUV193" s="369">
        <v>0.5</v>
      </c>
      <c r="HUW193" s="370" t="e">
        <f>10/HUS191</f>
        <v>#DIV/0!</v>
      </c>
      <c r="HUX193" s="371">
        <v>15.38</v>
      </c>
      <c r="HUY193" s="371" t="e">
        <f>HUV193*HUW193*HUX193</f>
        <v>#DIV/0!</v>
      </c>
      <c r="HUZ193" s="367" t="s">
        <v>206</v>
      </c>
      <c r="HVA193" s="367"/>
      <c r="HVB193" s="367"/>
      <c r="HVC193" s="368" t="s">
        <v>168</v>
      </c>
      <c r="HVD193" s="369">
        <v>0.5</v>
      </c>
      <c r="HVE193" s="370" t="e">
        <f>10/HVA191</f>
        <v>#DIV/0!</v>
      </c>
      <c r="HVF193" s="371">
        <v>15.38</v>
      </c>
      <c r="HVG193" s="371" t="e">
        <f>HVD193*HVE193*HVF193</f>
        <v>#DIV/0!</v>
      </c>
      <c r="HVH193" s="367" t="s">
        <v>206</v>
      </c>
      <c r="HVI193" s="367"/>
      <c r="HVJ193" s="367"/>
      <c r="HVK193" s="368" t="s">
        <v>168</v>
      </c>
      <c r="HVL193" s="369">
        <v>0.5</v>
      </c>
      <c r="HVM193" s="370" t="e">
        <f>10/HVI191</f>
        <v>#DIV/0!</v>
      </c>
      <c r="HVN193" s="371">
        <v>15.38</v>
      </c>
      <c r="HVO193" s="371" t="e">
        <f>HVL193*HVM193*HVN193</f>
        <v>#DIV/0!</v>
      </c>
      <c r="HVP193" s="367" t="s">
        <v>206</v>
      </c>
      <c r="HVQ193" s="367"/>
      <c r="HVR193" s="367"/>
      <c r="HVS193" s="368" t="s">
        <v>168</v>
      </c>
      <c r="HVT193" s="369">
        <v>0.5</v>
      </c>
      <c r="HVU193" s="370" t="e">
        <f>10/HVQ191</f>
        <v>#DIV/0!</v>
      </c>
      <c r="HVV193" s="371">
        <v>15.38</v>
      </c>
      <c r="HVW193" s="371" t="e">
        <f>HVT193*HVU193*HVV193</f>
        <v>#DIV/0!</v>
      </c>
      <c r="HVX193" s="367" t="s">
        <v>206</v>
      </c>
      <c r="HVY193" s="367"/>
      <c r="HVZ193" s="367"/>
      <c r="HWA193" s="368" t="s">
        <v>168</v>
      </c>
      <c r="HWB193" s="369">
        <v>0.5</v>
      </c>
      <c r="HWC193" s="370" t="e">
        <f>10/HVY191</f>
        <v>#DIV/0!</v>
      </c>
      <c r="HWD193" s="371">
        <v>15.38</v>
      </c>
      <c r="HWE193" s="371" t="e">
        <f>HWB193*HWC193*HWD193</f>
        <v>#DIV/0!</v>
      </c>
      <c r="HWF193" s="367" t="s">
        <v>206</v>
      </c>
      <c r="HWG193" s="367"/>
      <c r="HWH193" s="367"/>
      <c r="HWI193" s="368" t="s">
        <v>168</v>
      </c>
      <c r="HWJ193" s="369">
        <v>0.5</v>
      </c>
      <c r="HWK193" s="370" t="e">
        <f>10/HWG191</f>
        <v>#DIV/0!</v>
      </c>
      <c r="HWL193" s="371">
        <v>15.38</v>
      </c>
      <c r="HWM193" s="371" t="e">
        <f>HWJ193*HWK193*HWL193</f>
        <v>#DIV/0!</v>
      </c>
      <c r="HWN193" s="367" t="s">
        <v>206</v>
      </c>
      <c r="HWO193" s="367"/>
      <c r="HWP193" s="367"/>
      <c r="HWQ193" s="368" t="s">
        <v>168</v>
      </c>
      <c r="HWR193" s="369">
        <v>0.5</v>
      </c>
      <c r="HWS193" s="370" t="e">
        <f>10/HWO191</f>
        <v>#DIV/0!</v>
      </c>
      <c r="HWT193" s="371">
        <v>15.38</v>
      </c>
      <c r="HWU193" s="371" t="e">
        <f>HWR193*HWS193*HWT193</f>
        <v>#DIV/0!</v>
      </c>
      <c r="HWV193" s="367" t="s">
        <v>206</v>
      </c>
      <c r="HWW193" s="367"/>
      <c r="HWX193" s="367"/>
      <c r="HWY193" s="368" t="s">
        <v>168</v>
      </c>
      <c r="HWZ193" s="369">
        <v>0.5</v>
      </c>
      <c r="HXA193" s="370" t="e">
        <f>10/HWW191</f>
        <v>#DIV/0!</v>
      </c>
      <c r="HXB193" s="371">
        <v>15.38</v>
      </c>
      <c r="HXC193" s="371" t="e">
        <f>HWZ193*HXA193*HXB193</f>
        <v>#DIV/0!</v>
      </c>
      <c r="HXD193" s="367" t="s">
        <v>206</v>
      </c>
      <c r="HXE193" s="367"/>
      <c r="HXF193" s="367"/>
      <c r="HXG193" s="368" t="s">
        <v>168</v>
      </c>
      <c r="HXH193" s="369">
        <v>0.5</v>
      </c>
      <c r="HXI193" s="370" t="e">
        <f>10/HXE191</f>
        <v>#DIV/0!</v>
      </c>
      <c r="HXJ193" s="371">
        <v>15.38</v>
      </c>
      <c r="HXK193" s="371" t="e">
        <f>HXH193*HXI193*HXJ193</f>
        <v>#DIV/0!</v>
      </c>
      <c r="HXL193" s="367" t="s">
        <v>206</v>
      </c>
      <c r="HXM193" s="367"/>
      <c r="HXN193" s="367"/>
      <c r="HXO193" s="368" t="s">
        <v>168</v>
      </c>
      <c r="HXP193" s="369">
        <v>0.5</v>
      </c>
      <c r="HXQ193" s="370" t="e">
        <f>10/HXM191</f>
        <v>#DIV/0!</v>
      </c>
      <c r="HXR193" s="371">
        <v>15.38</v>
      </c>
      <c r="HXS193" s="371" t="e">
        <f>HXP193*HXQ193*HXR193</f>
        <v>#DIV/0!</v>
      </c>
      <c r="HXT193" s="367" t="s">
        <v>206</v>
      </c>
      <c r="HXU193" s="367"/>
      <c r="HXV193" s="367"/>
      <c r="HXW193" s="368" t="s">
        <v>168</v>
      </c>
      <c r="HXX193" s="369">
        <v>0.5</v>
      </c>
      <c r="HXY193" s="370" t="e">
        <f>10/HXU191</f>
        <v>#DIV/0!</v>
      </c>
      <c r="HXZ193" s="371">
        <v>15.38</v>
      </c>
      <c r="HYA193" s="371" t="e">
        <f>HXX193*HXY193*HXZ193</f>
        <v>#DIV/0!</v>
      </c>
      <c r="HYB193" s="367" t="s">
        <v>206</v>
      </c>
      <c r="HYC193" s="367"/>
      <c r="HYD193" s="367"/>
      <c r="HYE193" s="368" t="s">
        <v>168</v>
      </c>
      <c r="HYF193" s="369">
        <v>0.5</v>
      </c>
      <c r="HYG193" s="370" t="e">
        <f>10/HYC191</f>
        <v>#DIV/0!</v>
      </c>
      <c r="HYH193" s="371">
        <v>15.38</v>
      </c>
      <c r="HYI193" s="371" t="e">
        <f>HYF193*HYG193*HYH193</f>
        <v>#DIV/0!</v>
      </c>
      <c r="HYJ193" s="367" t="s">
        <v>206</v>
      </c>
      <c r="HYK193" s="367"/>
      <c r="HYL193" s="367"/>
      <c r="HYM193" s="368" t="s">
        <v>168</v>
      </c>
      <c r="HYN193" s="369">
        <v>0.5</v>
      </c>
      <c r="HYO193" s="370" t="e">
        <f>10/HYK191</f>
        <v>#DIV/0!</v>
      </c>
      <c r="HYP193" s="371">
        <v>15.38</v>
      </c>
      <c r="HYQ193" s="371" t="e">
        <f>HYN193*HYO193*HYP193</f>
        <v>#DIV/0!</v>
      </c>
      <c r="HYR193" s="367" t="s">
        <v>206</v>
      </c>
      <c r="HYS193" s="367"/>
      <c r="HYT193" s="367"/>
      <c r="HYU193" s="368" t="s">
        <v>168</v>
      </c>
      <c r="HYV193" s="369">
        <v>0.5</v>
      </c>
      <c r="HYW193" s="370" t="e">
        <f>10/HYS191</f>
        <v>#DIV/0!</v>
      </c>
      <c r="HYX193" s="371">
        <v>15.38</v>
      </c>
      <c r="HYY193" s="371" t="e">
        <f>HYV193*HYW193*HYX193</f>
        <v>#DIV/0!</v>
      </c>
      <c r="HYZ193" s="367" t="s">
        <v>206</v>
      </c>
      <c r="HZA193" s="367"/>
      <c r="HZB193" s="367"/>
      <c r="HZC193" s="368" t="s">
        <v>168</v>
      </c>
      <c r="HZD193" s="369">
        <v>0.5</v>
      </c>
      <c r="HZE193" s="370" t="e">
        <f>10/HZA191</f>
        <v>#DIV/0!</v>
      </c>
      <c r="HZF193" s="371">
        <v>15.38</v>
      </c>
      <c r="HZG193" s="371" t="e">
        <f>HZD193*HZE193*HZF193</f>
        <v>#DIV/0!</v>
      </c>
      <c r="HZH193" s="367" t="s">
        <v>206</v>
      </c>
      <c r="HZI193" s="367"/>
      <c r="HZJ193" s="367"/>
      <c r="HZK193" s="368" t="s">
        <v>168</v>
      </c>
      <c r="HZL193" s="369">
        <v>0.5</v>
      </c>
      <c r="HZM193" s="370" t="e">
        <f>10/HZI191</f>
        <v>#DIV/0!</v>
      </c>
      <c r="HZN193" s="371">
        <v>15.38</v>
      </c>
      <c r="HZO193" s="371" t="e">
        <f>HZL193*HZM193*HZN193</f>
        <v>#DIV/0!</v>
      </c>
      <c r="HZP193" s="367" t="s">
        <v>206</v>
      </c>
      <c r="HZQ193" s="367"/>
      <c r="HZR193" s="367"/>
      <c r="HZS193" s="368" t="s">
        <v>168</v>
      </c>
      <c r="HZT193" s="369">
        <v>0.5</v>
      </c>
      <c r="HZU193" s="370" t="e">
        <f>10/HZQ191</f>
        <v>#DIV/0!</v>
      </c>
      <c r="HZV193" s="371">
        <v>15.38</v>
      </c>
      <c r="HZW193" s="371" t="e">
        <f>HZT193*HZU193*HZV193</f>
        <v>#DIV/0!</v>
      </c>
      <c r="HZX193" s="367" t="s">
        <v>206</v>
      </c>
      <c r="HZY193" s="367"/>
      <c r="HZZ193" s="367"/>
      <c r="IAA193" s="368" t="s">
        <v>168</v>
      </c>
      <c r="IAB193" s="369">
        <v>0.5</v>
      </c>
      <c r="IAC193" s="370" t="e">
        <f>10/HZY191</f>
        <v>#DIV/0!</v>
      </c>
      <c r="IAD193" s="371">
        <v>15.38</v>
      </c>
      <c r="IAE193" s="371" t="e">
        <f>IAB193*IAC193*IAD193</f>
        <v>#DIV/0!</v>
      </c>
      <c r="IAF193" s="367" t="s">
        <v>206</v>
      </c>
      <c r="IAG193" s="367"/>
      <c r="IAH193" s="367"/>
      <c r="IAI193" s="368" t="s">
        <v>168</v>
      </c>
      <c r="IAJ193" s="369">
        <v>0.5</v>
      </c>
      <c r="IAK193" s="370" t="e">
        <f>10/IAG191</f>
        <v>#DIV/0!</v>
      </c>
      <c r="IAL193" s="371">
        <v>15.38</v>
      </c>
      <c r="IAM193" s="371" t="e">
        <f>IAJ193*IAK193*IAL193</f>
        <v>#DIV/0!</v>
      </c>
      <c r="IAN193" s="367" t="s">
        <v>206</v>
      </c>
      <c r="IAO193" s="367"/>
      <c r="IAP193" s="367"/>
      <c r="IAQ193" s="368" t="s">
        <v>168</v>
      </c>
      <c r="IAR193" s="369">
        <v>0.5</v>
      </c>
      <c r="IAS193" s="370" t="e">
        <f>10/IAO191</f>
        <v>#DIV/0!</v>
      </c>
      <c r="IAT193" s="371">
        <v>15.38</v>
      </c>
      <c r="IAU193" s="371" t="e">
        <f>IAR193*IAS193*IAT193</f>
        <v>#DIV/0!</v>
      </c>
      <c r="IAV193" s="367" t="s">
        <v>206</v>
      </c>
      <c r="IAW193" s="367"/>
      <c r="IAX193" s="367"/>
      <c r="IAY193" s="368" t="s">
        <v>168</v>
      </c>
      <c r="IAZ193" s="369">
        <v>0.5</v>
      </c>
      <c r="IBA193" s="370" t="e">
        <f>10/IAW191</f>
        <v>#DIV/0!</v>
      </c>
      <c r="IBB193" s="371">
        <v>15.38</v>
      </c>
      <c r="IBC193" s="371" t="e">
        <f>IAZ193*IBA193*IBB193</f>
        <v>#DIV/0!</v>
      </c>
      <c r="IBD193" s="367" t="s">
        <v>206</v>
      </c>
      <c r="IBE193" s="367"/>
      <c r="IBF193" s="367"/>
      <c r="IBG193" s="368" t="s">
        <v>168</v>
      </c>
      <c r="IBH193" s="369">
        <v>0.5</v>
      </c>
      <c r="IBI193" s="370" t="e">
        <f>10/IBE191</f>
        <v>#DIV/0!</v>
      </c>
      <c r="IBJ193" s="371">
        <v>15.38</v>
      </c>
      <c r="IBK193" s="371" t="e">
        <f>IBH193*IBI193*IBJ193</f>
        <v>#DIV/0!</v>
      </c>
      <c r="IBL193" s="367" t="s">
        <v>206</v>
      </c>
      <c r="IBM193" s="367"/>
      <c r="IBN193" s="367"/>
      <c r="IBO193" s="368" t="s">
        <v>168</v>
      </c>
      <c r="IBP193" s="369">
        <v>0.5</v>
      </c>
      <c r="IBQ193" s="370" t="e">
        <f>10/IBM191</f>
        <v>#DIV/0!</v>
      </c>
      <c r="IBR193" s="371">
        <v>15.38</v>
      </c>
      <c r="IBS193" s="371" t="e">
        <f>IBP193*IBQ193*IBR193</f>
        <v>#DIV/0!</v>
      </c>
      <c r="IBT193" s="367" t="s">
        <v>206</v>
      </c>
      <c r="IBU193" s="367"/>
      <c r="IBV193" s="367"/>
      <c r="IBW193" s="368" t="s">
        <v>168</v>
      </c>
      <c r="IBX193" s="369">
        <v>0.5</v>
      </c>
      <c r="IBY193" s="370" t="e">
        <f>10/IBU191</f>
        <v>#DIV/0!</v>
      </c>
      <c r="IBZ193" s="371">
        <v>15.38</v>
      </c>
      <c r="ICA193" s="371" t="e">
        <f>IBX193*IBY193*IBZ193</f>
        <v>#DIV/0!</v>
      </c>
      <c r="ICB193" s="367" t="s">
        <v>206</v>
      </c>
      <c r="ICC193" s="367"/>
      <c r="ICD193" s="367"/>
      <c r="ICE193" s="368" t="s">
        <v>168</v>
      </c>
      <c r="ICF193" s="369">
        <v>0.5</v>
      </c>
      <c r="ICG193" s="370" t="e">
        <f>10/ICC191</f>
        <v>#DIV/0!</v>
      </c>
      <c r="ICH193" s="371">
        <v>15.38</v>
      </c>
      <c r="ICI193" s="371" t="e">
        <f>ICF193*ICG193*ICH193</f>
        <v>#DIV/0!</v>
      </c>
      <c r="ICJ193" s="367" t="s">
        <v>206</v>
      </c>
      <c r="ICK193" s="367"/>
      <c r="ICL193" s="367"/>
      <c r="ICM193" s="368" t="s">
        <v>168</v>
      </c>
      <c r="ICN193" s="369">
        <v>0.5</v>
      </c>
      <c r="ICO193" s="370" t="e">
        <f>10/ICK191</f>
        <v>#DIV/0!</v>
      </c>
      <c r="ICP193" s="371">
        <v>15.38</v>
      </c>
      <c r="ICQ193" s="371" t="e">
        <f>ICN193*ICO193*ICP193</f>
        <v>#DIV/0!</v>
      </c>
      <c r="ICR193" s="367" t="s">
        <v>206</v>
      </c>
      <c r="ICS193" s="367"/>
      <c r="ICT193" s="367"/>
      <c r="ICU193" s="368" t="s">
        <v>168</v>
      </c>
      <c r="ICV193" s="369">
        <v>0.5</v>
      </c>
      <c r="ICW193" s="370" t="e">
        <f>10/ICS191</f>
        <v>#DIV/0!</v>
      </c>
      <c r="ICX193" s="371">
        <v>15.38</v>
      </c>
      <c r="ICY193" s="371" t="e">
        <f>ICV193*ICW193*ICX193</f>
        <v>#DIV/0!</v>
      </c>
      <c r="ICZ193" s="367" t="s">
        <v>206</v>
      </c>
      <c r="IDA193" s="367"/>
      <c r="IDB193" s="367"/>
      <c r="IDC193" s="368" t="s">
        <v>168</v>
      </c>
      <c r="IDD193" s="369">
        <v>0.5</v>
      </c>
      <c r="IDE193" s="370" t="e">
        <f>10/IDA191</f>
        <v>#DIV/0!</v>
      </c>
      <c r="IDF193" s="371">
        <v>15.38</v>
      </c>
      <c r="IDG193" s="371" t="e">
        <f>IDD193*IDE193*IDF193</f>
        <v>#DIV/0!</v>
      </c>
      <c r="IDH193" s="367" t="s">
        <v>206</v>
      </c>
      <c r="IDI193" s="367"/>
      <c r="IDJ193" s="367"/>
      <c r="IDK193" s="368" t="s">
        <v>168</v>
      </c>
      <c r="IDL193" s="369">
        <v>0.5</v>
      </c>
      <c r="IDM193" s="370" t="e">
        <f>10/IDI191</f>
        <v>#DIV/0!</v>
      </c>
      <c r="IDN193" s="371">
        <v>15.38</v>
      </c>
      <c r="IDO193" s="371" t="e">
        <f>IDL193*IDM193*IDN193</f>
        <v>#DIV/0!</v>
      </c>
      <c r="IDP193" s="367" t="s">
        <v>206</v>
      </c>
      <c r="IDQ193" s="367"/>
      <c r="IDR193" s="367"/>
      <c r="IDS193" s="368" t="s">
        <v>168</v>
      </c>
      <c r="IDT193" s="369">
        <v>0.5</v>
      </c>
      <c r="IDU193" s="370" t="e">
        <f>10/IDQ191</f>
        <v>#DIV/0!</v>
      </c>
      <c r="IDV193" s="371">
        <v>15.38</v>
      </c>
      <c r="IDW193" s="371" t="e">
        <f>IDT193*IDU193*IDV193</f>
        <v>#DIV/0!</v>
      </c>
      <c r="IDX193" s="367" t="s">
        <v>206</v>
      </c>
      <c r="IDY193" s="367"/>
      <c r="IDZ193" s="367"/>
      <c r="IEA193" s="368" t="s">
        <v>168</v>
      </c>
      <c r="IEB193" s="369">
        <v>0.5</v>
      </c>
      <c r="IEC193" s="370" t="e">
        <f>10/IDY191</f>
        <v>#DIV/0!</v>
      </c>
      <c r="IED193" s="371">
        <v>15.38</v>
      </c>
      <c r="IEE193" s="371" t="e">
        <f>IEB193*IEC193*IED193</f>
        <v>#DIV/0!</v>
      </c>
      <c r="IEF193" s="367" t="s">
        <v>206</v>
      </c>
      <c r="IEG193" s="367"/>
      <c r="IEH193" s="367"/>
      <c r="IEI193" s="368" t="s">
        <v>168</v>
      </c>
      <c r="IEJ193" s="369">
        <v>0.5</v>
      </c>
      <c r="IEK193" s="370" t="e">
        <f>10/IEG191</f>
        <v>#DIV/0!</v>
      </c>
      <c r="IEL193" s="371">
        <v>15.38</v>
      </c>
      <c r="IEM193" s="371" t="e">
        <f>IEJ193*IEK193*IEL193</f>
        <v>#DIV/0!</v>
      </c>
      <c r="IEN193" s="367" t="s">
        <v>206</v>
      </c>
      <c r="IEO193" s="367"/>
      <c r="IEP193" s="367"/>
      <c r="IEQ193" s="368" t="s">
        <v>168</v>
      </c>
      <c r="IER193" s="369">
        <v>0.5</v>
      </c>
      <c r="IES193" s="370" t="e">
        <f>10/IEO191</f>
        <v>#DIV/0!</v>
      </c>
      <c r="IET193" s="371">
        <v>15.38</v>
      </c>
      <c r="IEU193" s="371" t="e">
        <f>IER193*IES193*IET193</f>
        <v>#DIV/0!</v>
      </c>
      <c r="IEV193" s="367" t="s">
        <v>206</v>
      </c>
      <c r="IEW193" s="367"/>
      <c r="IEX193" s="367"/>
      <c r="IEY193" s="368" t="s">
        <v>168</v>
      </c>
      <c r="IEZ193" s="369">
        <v>0.5</v>
      </c>
      <c r="IFA193" s="370" t="e">
        <f>10/IEW191</f>
        <v>#DIV/0!</v>
      </c>
      <c r="IFB193" s="371">
        <v>15.38</v>
      </c>
      <c r="IFC193" s="371" t="e">
        <f>IEZ193*IFA193*IFB193</f>
        <v>#DIV/0!</v>
      </c>
      <c r="IFD193" s="367" t="s">
        <v>206</v>
      </c>
      <c r="IFE193" s="367"/>
      <c r="IFF193" s="367"/>
      <c r="IFG193" s="368" t="s">
        <v>168</v>
      </c>
      <c r="IFH193" s="369">
        <v>0.5</v>
      </c>
      <c r="IFI193" s="370" t="e">
        <f>10/IFE191</f>
        <v>#DIV/0!</v>
      </c>
      <c r="IFJ193" s="371">
        <v>15.38</v>
      </c>
      <c r="IFK193" s="371" t="e">
        <f>IFH193*IFI193*IFJ193</f>
        <v>#DIV/0!</v>
      </c>
      <c r="IFL193" s="367" t="s">
        <v>206</v>
      </c>
      <c r="IFM193" s="367"/>
      <c r="IFN193" s="367"/>
      <c r="IFO193" s="368" t="s">
        <v>168</v>
      </c>
      <c r="IFP193" s="369">
        <v>0.5</v>
      </c>
      <c r="IFQ193" s="370" t="e">
        <f>10/IFM191</f>
        <v>#DIV/0!</v>
      </c>
      <c r="IFR193" s="371">
        <v>15.38</v>
      </c>
      <c r="IFS193" s="371" t="e">
        <f>IFP193*IFQ193*IFR193</f>
        <v>#DIV/0!</v>
      </c>
      <c r="IFT193" s="367" t="s">
        <v>206</v>
      </c>
      <c r="IFU193" s="367"/>
      <c r="IFV193" s="367"/>
      <c r="IFW193" s="368" t="s">
        <v>168</v>
      </c>
      <c r="IFX193" s="369">
        <v>0.5</v>
      </c>
      <c r="IFY193" s="370" t="e">
        <f>10/IFU191</f>
        <v>#DIV/0!</v>
      </c>
      <c r="IFZ193" s="371">
        <v>15.38</v>
      </c>
      <c r="IGA193" s="371" t="e">
        <f>IFX193*IFY193*IFZ193</f>
        <v>#DIV/0!</v>
      </c>
      <c r="IGB193" s="367" t="s">
        <v>206</v>
      </c>
      <c r="IGC193" s="367"/>
      <c r="IGD193" s="367"/>
      <c r="IGE193" s="368" t="s">
        <v>168</v>
      </c>
      <c r="IGF193" s="369">
        <v>0.5</v>
      </c>
      <c r="IGG193" s="370" t="e">
        <f>10/IGC191</f>
        <v>#DIV/0!</v>
      </c>
      <c r="IGH193" s="371">
        <v>15.38</v>
      </c>
      <c r="IGI193" s="371" t="e">
        <f>IGF193*IGG193*IGH193</f>
        <v>#DIV/0!</v>
      </c>
      <c r="IGJ193" s="367" t="s">
        <v>206</v>
      </c>
      <c r="IGK193" s="367"/>
      <c r="IGL193" s="367"/>
      <c r="IGM193" s="368" t="s">
        <v>168</v>
      </c>
      <c r="IGN193" s="369">
        <v>0.5</v>
      </c>
      <c r="IGO193" s="370" t="e">
        <f>10/IGK191</f>
        <v>#DIV/0!</v>
      </c>
      <c r="IGP193" s="371">
        <v>15.38</v>
      </c>
      <c r="IGQ193" s="371" t="e">
        <f>IGN193*IGO193*IGP193</f>
        <v>#DIV/0!</v>
      </c>
      <c r="IGR193" s="367" t="s">
        <v>206</v>
      </c>
      <c r="IGS193" s="367"/>
      <c r="IGT193" s="367"/>
      <c r="IGU193" s="368" t="s">
        <v>168</v>
      </c>
      <c r="IGV193" s="369">
        <v>0.5</v>
      </c>
      <c r="IGW193" s="370" t="e">
        <f>10/IGS191</f>
        <v>#DIV/0!</v>
      </c>
      <c r="IGX193" s="371">
        <v>15.38</v>
      </c>
      <c r="IGY193" s="371" t="e">
        <f>IGV193*IGW193*IGX193</f>
        <v>#DIV/0!</v>
      </c>
      <c r="IGZ193" s="367" t="s">
        <v>206</v>
      </c>
      <c r="IHA193" s="367"/>
      <c r="IHB193" s="367"/>
      <c r="IHC193" s="368" t="s">
        <v>168</v>
      </c>
      <c r="IHD193" s="369">
        <v>0.5</v>
      </c>
      <c r="IHE193" s="370" t="e">
        <f>10/IHA191</f>
        <v>#DIV/0!</v>
      </c>
      <c r="IHF193" s="371">
        <v>15.38</v>
      </c>
      <c r="IHG193" s="371" t="e">
        <f>IHD193*IHE193*IHF193</f>
        <v>#DIV/0!</v>
      </c>
      <c r="IHH193" s="367" t="s">
        <v>206</v>
      </c>
      <c r="IHI193" s="367"/>
      <c r="IHJ193" s="367"/>
      <c r="IHK193" s="368" t="s">
        <v>168</v>
      </c>
      <c r="IHL193" s="369">
        <v>0.5</v>
      </c>
      <c r="IHM193" s="370" t="e">
        <f>10/IHI191</f>
        <v>#DIV/0!</v>
      </c>
      <c r="IHN193" s="371">
        <v>15.38</v>
      </c>
      <c r="IHO193" s="371" t="e">
        <f>IHL193*IHM193*IHN193</f>
        <v>#DIV/0!</v>
      </c>
      <c r="IHP193" s="367" t="s">
        <v>206</v>
      </c>
      <c r="IHQ193" s="367"/>
      <c r="IHR193" s="367"/>
      <c r="IHS193" s="368" t="s">
        <v>168</v>
      </c>
      <c r="IHT193" s="369">
        <v>0.5</v>
      </c>
      <c r="IHU193" s="370" t="e">
        <f>10/IHQ191</f>
        <v>#DIV/0!</v>
      </c>
      <c r="IHV193" s="371">
        <v>15.38</v>
      </c>
      <c r="IHW193" s="371" t="e">
        <f>IHT193*IHU193*IHV193</f>
        <v>#DIV/0!</v>
      </c>
      <c r="IHX193" s="367" t="s">
        <v>206</v>
      </c>
      <c r="IHY193" s="367"/>
      <c r="IHZ193" s="367"/>
      <c r="IIA193" s="368" t="s">
        <v>168</v>
      </c>
      <c r="IIB193" s="369">
        <v>0.5</v>
      </c>
      <c r="IIC193" s="370" t="e">
        <f>10/IHY191</f>
        <v>#DIV/0!</v>
      </c>
      <c r="IID193" s="371">
        <v>15.38</v>
      </c>
      <c r="IIE193" s="371" t="e">
        <f>IIB193*IIC193*IID193</f>
        <v>#DIV/0!</v>
      </c>
      <c r="IIF193" s="367" t="s">
        <v>206</v>
      </c>
      <c r="IIG193" s="367"/>
      <c r="IIH193" s="367"/>
      <c r="III193" s="368" t="s">
        <v>168</v>
      </c>
      <c r="IIJ193" s="369">
        <v>0.5</v>
      </c>
      <c r="IIK193" s="370" t="e">
        <f>10/IIG191</f>
        <v>#DIV/0!</v>
      </c>
      <c r="IIL193" s="371">
        <v>15.38</v>
      </c>
      <c r="IIM193" s="371" t="e">
        <f>IIJ193*IIK193*IIL193</f>
        <v>#DIV/0!</v>
      </c>
      <c r="IIN193" s="367" t="s">
        <v>206</v>
      </c>
      <c r="IIO193" s="367"/>
      <c r="IIP193" s="367"/>
      <c r="IIQ193" s="368" t="s">
        <v>168</v>
      </c>
      <c r="IIR193" s="369">
        <v>0.5</v>
      </c>
      <c r="IIS193" s="370" t="e">
        <f>10/IIO191</f>
        <v>#DIV/0!</v>
      </c>
      <c r="IIT193" s="371">
        <v>15.38</v>
      </c>
      <c r="IIU193" s="371" t="e">
        <f>IIR193*IIS193*IIT193</f>
        <v>#DIV/0!</v>
      </c>
      <c r="IIV193" s="367" t="s">
        <v>206</v>
      </c>
      <c r="IIW193" s="367"/>
      <c r="IIX193" s="367"/>
      <c r="IIY193" s="368" t="s">
        <v>168</v>
      </c>
      <c r="IIZ193" s="369">
        <v>0.5</v>
      </c>
      <c r="IJA193" s="370" t="e">
        <f>10/IIW191</f>
        <v>#DIV/0!</v>
      </c>
      <c r="IJB193" s="371">
        <v>15.38</v>
      </c>
      <c r="IJC193" s="371" t="e">
        <f>IIZ193*IJA193*IJB193</f>
        <v>#DIV/0!</v>
      </c>
      <c r="IJD193" s="367" t="s">
        <v>206</v>
      </c>
      <c r="IJE193" s="367"/>
      <c r="IJF193" s="367"/>
      <c r="IJG193" s="368" t="s">
        <v>168</v>
      </c>
      <c r="IJH193" s="369">
        <v>0.5</v>
      </c>
      <c r="IJI193" s="370" t="e">
        <f>10/IJE191</f>
        <v>#DIV/0!</v>
      </c>
      <c r="IJJ193" s="371">
        <v>15.38</v>
      </c>
      <c r="IJK193" s="371" t="e">
        <f>IJH193*IJI193*IJJ193</f>
        <v>#DIV/0!</v>
      </c>
      <c r="IJL193" s="367" t="s">
        <v>206</v>
      </c>
      <c r="IJM193" s="367"/>
      <c r="IJN193" s="367"/>
      <c r="IJO193" s="368" t="s">
        <v>168</v>
      </c>
      <c r="IJP193" s="369">
        <v>0.5</v>
      </c>
      <c r="IJQ193" s="370" t="e">
        <f>10/IJM191</f>
        <v>#DIV/0!</v>
      </c>
      <c r="IJR193" s="371">
        <v>15.38</v>
      </c>
      <c r="IJS193" s="371" t="e">
        <f>IJP193*IJQ193*IJR193</f>
        <v>#DIV/0!</v>
      </c>
      <c r="IJT193" s="367" t="s">
        <v>206</v>
      </c>
      <c r="IJU193" s="367"/>
      <c r="IJV193" s="367"/>
      <c r="IJW193" s="368" t="s">
        <v>168</v>
      </c>
      <c r="IJX193" s="369">
        <v>0.5</v>
      </c>
      <c r="IJY193" s="370" t="e">
        <f>10/IJU191</f>
        <v>#DIV/0!</v>
      </c>
      <c r="IJZ193" s="371">
        <v>15.38</v>
      </c>
      <c r="IKA193" s="371" t="e">
        <f>IJX193*IJY193*IJZ193</f>
        <v>#DIV/0!</v>
      </c>
      <c r="IKB193" s="367" t="s">
        <v>206</v>
      </c>
      <c r="IKC193" s="367"/>
      <c r="IKD193" s="367"/>
      <c r="IKE193" s="368" t="s">
        <v>168</v>
      </c>
      <c r="IKF193" s="369">
        <v>0.5</v>
      </c>
      <c r="IKG193" s="370" t="e">
        <f>10/IKC191</f>
        <v>#DIV/0!</v>
      </c>
      <c r="IKH193" s="371">
        <v>15.38</v>
      </c>
      <c r="IKI193" s="371" t="e">
        <f>IKF193*IKG193*IKH193</f>
        <v>#DIV/0!</v>
      </c>
      <c r="IKJ193" s="367" t="s">
        <v>206</v>
      </c>
      <c r="IKK193" s="367"/>
      <c r="IKL193" s="367"/>
      <c r="IKM193" s="368" t="s">
        <v>168</v>
      </c>
      <c r="IKN193" s="369">
        <v>0.5</v>
      </c>
      <c r="IKO193" s="370" t="e">
        <f>10/IKK191</f>
        <v>#DIV/0!</v>
      </c>
      <c r="IKP193" s="371">
        <v>15.38</v>
      </c>
      <c r="IKQ193" s="371" t="e">
        <f>IKN193*IKO193*IKP193</f>
        <v>#DIV/0!</v>
      </c>
      <c r="IKR193" s="367" t="s">
        <v>206</v>
      </c>
      <c r="IKS193" s="367"/>
      <c r="IKT193" s="367"/>
      <c r="IKU193" s="368" t="s">
        <v>168</v>
      </c>
      <c r="IKV193" s="369">
        <v>0.5</v>
      </c>
      <c r="IKW193" s="370" t="e">
        <f>10/IKS191</f>
        <v>#DIV/0!</v>
      </c>
      <c r="IKX193" s="371">
        <v>15.38</v>
      </c>
      <c r="IKY193" s="371" t="e">
        <f>IKV193*IKW193*IKX193</f>
        <v>#DIV/0!</v>
      </c>
      <c r="IKZ193" s="367" t="s">
        <v>206</v>
      </c>
      <c r="ILA193" s="367"/>
      <c r="ILB193" s="367"/>
      <c r="ILC193" s="368" t="s">
        <v>168</v>
      </c>
      <c r="ILD193" s="369">
        <v>0.5</v>
      </c>
      <c r="ILE193" s="370" t="e">
        <f>10/ILA191</f>
        <v>#DIV/0!</v>
      </c>
      <c r="ILF193" s="371">
        <v>15.38</v>
      </c>
      <c r="ILG193" s="371" t="e">
        <f>ILD193*ILE193*ILF193</f>
        <v>#DIV/0!</v>
      </c>
      <c r="ILH193" s="367" t="s">
        <v>206</v>
      </c>
      <c r="ILI193" s="367"/>
      <c r="ILJ193" s="367"/>
      <c r="ILK193" s="368" t="s">
        <v>168</v>
      </c>
      <c r="ILL193" s="369">
        <v>0.5</v>
      </c>
      <c r="ILM193" s="370" t="e">
        <f>10/ILI191</f>
        <v>#DIV/0!</v>
      </c>
      <c r="ILN193" s="371">
        <v>15.38</v>
      </c>
      <c r="ILO193" s="371" t="e">
        <f>ILL193*ILM193*ILN193</f>
        <v>#DIV/0!</v>
      </c>
      <c r="ILP193" s="367" t="s">
        <v>206</v>
      </c>
      <c r="ILQ193" s="367"/>
      <c r="ILR193" s="367"/>
      <c r="ILS193" s="368" t="s">
        <v>168</v>
      </c>
      <c r="ILT193" s="369">
        <v>0.5</v>
      </c>
      <c r="ILU193" s="370" t="e">
        <f>10/ILQ191</f>
        <v>#DIV/0!</v>
      </c>
      <c r="ILV193" s="371">
        <v>15.38</v>
      </c>
      <c r="ILW193" s="371" t="e">
        <f>ILT193*ILU193*ILV193</f>
        <v>#DIV/0!</v>
      </c>
      <c r="ILX193" s="367" t="s">
        <v>206</v>
      </c>
      <c r="ILY193" s="367"/>
      <c r="ILZ193" s="367"/>
      <c r="IMA193" s="368" t="s">
        <v>168</v>
      </c>
      <c r="IMB193" s="369">
        <v>0.5</v>
      </c>
      <c r="IMC193" s="370" t="e">
        <f>10/ILY191</f>
        <v>#DIV/0!</v>
      </c>
      <c r="IMD193" s="371">
        <v>15.38</v>
      </c>
      <c r="IME193" s="371" t="e">
        <f>IMB193*IMC193*IMD193</f>
        <v>#DIV/0!</v>
      </c>
      <c r="IMF193" s="367" t="s">
        <v>206</v>
      </c>
      <c r="IMG193" s="367"/>
      <c r="IMH193" s="367"/>
      <c r="IMI193" s="368" t="s">
        <v>168</v>
      </c>
      <c r="IMJ193" s="369">
        <v>0.5</v>
      </c>
      <c r="IMK193" s="370" t="e">
        <f>10/IMG191</f>
        <v>#DIV/0!</v>
      </c>
      <c r="IML193" s="371">
        <v>15.38</v>
      </c>
      <c r="IMM193" s="371" t="e">
        <f>IMJ193*IMK193*IML193</f>
        <v>#DIV/0!</v>
      </c>
      <c r="IMN193" s="367" t="s">
        <v>206</v>
      </c>
      <c r="IMO193" s="367"/>
      <c r="IMP193" s="367"/>
      <c r="IMQ193" s="368" t="s">
        <v>168</v>
      </c>
      <c r="IMR193" s="369">
        <v>0.5</v>
      </c>
      <c r="IMS193" s="370" t="e">
        <f>10/IMO191</f>
        <v>#DIV/0!</v>
      </c>
      <c r="IMT193" s="371">
        <v>15.38</v>
      </c>
      <c r="IMU193" s="371" t="e">
        <f>IMR193*IMS193*IMT193</f>
        <v>#DIV/0!</v>
      </c>
      <c r="IMV193" s="367" t="s">
        <v>206</v>
      </c>
      <c r="IMW193" s="367"/>
      <c r="IMX193" s="367"/>
      <c r="IMY193" s="368" t="s">
        <v>168</v>
      </c>
      <c r="IMZ193" s="369">
        <v>0.5</v>
      </c>
      <c r="INA193" s="370" t="e">
        <f>10/IMW191</f>
        <v>#DIV/0!</v>
      </c>
      <c r="INB193" s="371">
        <v>15.38</v>
      </c>
      <c r="INC193" s="371" t="e">
        <f>IMZ193*INA193*INB193</f>
        <v>#DIV/0!</v>
      </c>
      <c r="IND193" s="367" t="s">
        <v>206</v>
      </c>
      <c r="INE193" s="367"/>
      <c r="INF193" s="367"/>
      <c r="ING193" s="368" t="s">
        <v>168</v>
      </c>
      <c r="INH193" s="369">
        <v>0.5</v>
      </c>
      <c r="INI193" s="370" t="e">
        <f>10/INE191</f>
        <v>#DIV/0!</v>
      </c>
      <c r="INJ193" s="371">
        <v>15.38</v>
      </c>
      <c r="INK193" s="371" t="e">
        <f>INH193*INI193*INJ193</f>
        <v>#DIV/0!</v>
      </c>
      <c r="INL193" s="367" t="s">
        <v>206</v>
      </c>
      <c r="INM193" s="367"/>
      <c r="INN193" s="367"/>
      <c r="INO193" s="368" t="s">
        <v>168</v>
      </c>
      <c r="INP193" s="369">
        <v>0.5</v>
      </c>
      <c r="INQ193" s="370" t="e">
        <f>10/INM191</f>
        <v>#DIV/0!</v>
      </c>
      <c r="INR193" s="371">
        <v>15.38</v>
      </c>
      <c r="INS193" s="371" t="e">
        <f>INP193*INQ193*INR193</f>
        <v>#DIV/0!</v>
      </c>
      <c r="INT193" s="367" t="s">
        <v>206</v>
      </c>
      <c r="INU193" s="367"/>
      <c r="INV193" s="367"/>
      <c r="INW193" s="368" t="s">
        <v>168</v>
      </c>
      <c r="INX193" s="369">
        <v>0.5</v>
      </c>
      <c r="INY193" s="370" t="e">
        <f>10/INU191</f>
        <v>#DIV/0!</v>
      </c>
      <c r="INZ193" s="371">
        <v>15.38</v>
      </c>
      <c r="IOA193" s="371" t="e">
        <f>INX193*INY193*INZ193</f>
        <v>#DIV/0!</v>
      </c>
      <c r="IOB193" s="367" t="s">
        <v>206</v>
      </c>
      <c r="IOC193" s="367"/>
      <c r="IOD193" s="367"/>
      <c r="IOE193" s="368" t="s">
        <v>168</v>
      </c>
      <c r="IOF193" s="369">
        <v>0.5</v>
      </c>
      <c r="IOG193" s="370" t="e">
        <f>10/IOC191</f>
        <v>#DIV/0!</v>
      </c>
      <c r="IOH193" s="371">
        <v>15.38</v>
      </c>
      <c r="IOI193" s="371" t="e">
        <f>IOF193*IOG193*IOH193</f>
        <v>#DIV/0!</v>
      </c>
      <c r="IOJ193" s="367" t="s">
        <v>206</v>
      </c>
      <c r="IOK193" s="367"/>
      <c r="IOL193" s="367"/>
      <c r="IOM193" s="368" t="s">
        <v>168</v>
      </c>
      <c r="ION193" s="369">
        <v>0.5</v>
      </c>
      <c r="IOO193" s="370" t="e">
        <f>10/IOK191</f>
        <v>#DIV/0!</v>
      </c>
      <c r="IOP193" s="371">
        <v>15.38</v>
      </c>
      <c r="IOQ193" s="371" t="e">
        <f>ION193*IOO193*IOP193</f>
        <v>#DIV/0!</v>
      </c>
      <c r="IOR193" s="367" t="s">
        <v>206</v>
      </c>
      <c r="IOS193" s="367"/>
      <c r="IOT193" s="367"/>
      <c r="IOU193" s="368" t="s">
        <v>168</v>
      </c>
      <c r="IOV193" s="369">
        <v>0.5</v>
      </c>
      <c r="IOW193" s="370" t="e">
        <f>10/IOS191</f>
        <v>#DIV/0!</v>
      </c>
      <c r="IOX193" s="371">
        <v>15.38</v>
      </c>
      <c r="IOY193" s="371" t="e">
        <f>IOV193*IOW193*IOX193</f>
        <v>#DIV/0!</v>
      </c>
      <c r="IOZ193" s="367" t="s">
        <v>206</v>
      </c>
      <c r="IPA193" s="367"/>
      <c r="IPB193" s="367"/>
      <c r="IPC193" s="368" t="s">
        <v>168</v>
      </c>
      <c r="IPD193" s="369">
        <v>0.5</v>
      </c>
      <c r="IPE193" s="370" t="e">
        <f>10/IPA191</f>
        <v>#DIV/0!</v>
      </c>
      <c r="IPF193" s="371">
        <v>15.38</v>
      </c>
      <c r="IPG193" s="371" t="e">
        <f>IPD193*IPE193*IPF193</f>
        <v>#DIV/0!</v>
      </c>
      <c r="IPH193" s="367" t="s">
        <v>206</v>
      </c>
      <c r="IPI193" s="367"/>
      <c r="IPJ193" s="367"/>
      <c r="IPK193" s="368" t="s">
        <v>168</v>
      </c>
      <c r="IPL193" s="369">
        <v>0.5</v>
      </c>
      <c r="IPM193" s="370" t="e">
        <f>10/IPI191</f>
        <v>#DIV/0!</v>
      </c>
      <c r="IPN193" s="371">
        <v>15.38</v>
      </c>
      <c r="IPO193" s="371" t="e">
        <f>IPL193*IPM193*IPN193</f>
        <v>#DIV/0!</v>
      </c>
      <c r="IPP193" s="367" t="s">
        <v>206</v>
      </c>
      <c r="IPQ193" s="367"/>
      <c r="IPR193" s="367"/>
      <c r="IPS193" s="368" t="s">
        <v>168</v>
      </c>
      <c r="IPT193" s="369">
        <v>0.5</v>
      </c>
      <c r="IPU193" s="370" t="e">
        <f>10/IPQ191</f>
        <v>#DIV/0!</v>
      </c>
      <c r="IPV193" s="371">
        <v>15.38</v>
      </c>
      <c r="IPW193" s="371" t="e">
        <f>IPT193*IPU193*IPV193</f>
        <v>#DIV/0!</v>
      </c>
      <c r="IPX193" s="367" t="s">
        <v>206</v>
      </c>
      <c r="IPY193" s="367"/>
      <c r="IPZ193" s="367"/>
      <c r="IQA193" s="368" t="s">
        <v>168</v>
      </c>
      <c r="IQB193" s="369">
        <v>0.5</v>
      </c>
      <c r="IQC193" s="370" t="e">
        <f>10/IPY191</f>
        <v>#DIV/0!</v>
      </c>
      <c r="IQD193" s="371">
        <v>15.38</v>
      </c>
      <c r="IQE193" s="371" t="e">
        <f>IQB193*IQC193*IQD193</f>
        <v>#DIV/0!</v>
      </c>
      <c r="IQF193" s="367" t="s">
        <v>206</v>
      </c>
      <c r="IQG193" s="367"/>
      <c r="IQH193" s="367"/>
      <c r="IQI193" s="368" t="s">
        <v>168</v>
      </c>
      <c r="IQJ193" s="369">
        <v>0.5</v>
      </c>
      <c r="IQK193" s="370" t="e">
        <f>10/IQG191</f>
        <v>#DIV/0!</v>
      </c>
      <c r="IQL193" s="371">
        <v>15.38</v>
      </c>
      <c r="IQM193" s="371" t="e">
        <f>IQJ193*IQK193*IQL193</f>
        <v>#DIV/0!</v>
      </c>
      <c r="IQN193" s="367" t="s">
        <v>206</v>
      </c>
      <c r="IQO193" s="367"/>
      <c r="IQP193" s="367"/>
      <c r="IQQ193" s="368" t="s">
        <v>168</v>
      </c>
      <c r="IQR193" s="369">
        <v>0.5</v>
      </c>
      <c r="IQS193" s="370" t="e">
        <f>10/IQO191</f>
        <v>#DIV/0!</v>
      </c>
      <c r="IQT193" s="371">
        <v>15.38</v>
      </c>
      <c r="IQU193" s="371" t="e">
        <f>IQR193*IQS193*IQT193</f>
        <v>#DIV/0!</v>
      </c>
      <c r="IQV193" s="367" t="s">
        <v>206</v>
      </c>
      <c r="IQW193" s="367"/>
      <c r="IQX193" s="367"/>
      <c r="IQY193" s="368" t="s">
        <v>168</v>
      </c>
      <c r="IQZ193" s="369">
        <v>0.5</v>
      </c>
      <c r="IRA193" s="370" t="e">
        <f>10/IQW191</f>
        <v>#DIV/0!</v>
      </c>
      <c r="IRB193" s="371">
        <v>15.38</v>
      </c>
      <c r="IRC193" s="371" t="e">
        <f>IQZ193*IRA193*IRB193</f>
        <v>#DIV/0!</v>
      </c>
      <c r="IRD193" s="367" t="s">
        <v>206</v>
      </c>
      <c r="IRE193" s="367"/>
      <c r="IRF193" s="367"/>
      <c r="IRG193" s="368" t="s">
        <v>168</v>
      </c>
      <c r="IRH193" s="369">
        <v>0.5</v>
      </c>
      <c r="IRI193" s="370" t="e">
        <f>10/IRE191</f>
        <v>#DIV/0!</v>
      </c>
      <c r="IRJ193" s="371">
        <v>15.38</v>
      </c>
      <c r="IRK193" s="371" t="e">
        <f>IRH193*IRI193*IRJ193</f>
        <v>#DIV/0!</v>
      </c>
      <c r="IRL193" s="367" t="s">
        <v>206</v>
      </c>
      <c r="IRM193" s="367"/>
      <c r="IRN193" s="367"/>
      <c r="IRO193" s="368" t="s">
        <v>168</v>
      </c>
      <c r="IRP193" s="369">
        <v>0.5</v>
      </c>
      <c r="IRQ193" s="370" t="e">
        <f>10/IRM191</f>
        <v>#DIV/0!</v>
      </c>
      <c r="IRR193" s="371">
        <v>15.38</v>
      </c>
      <c r="IRS193" s="371" t="e">
        <f>IRP193*IRQ193*IRR193</f>
        <v>#DIV/0!</v>
      </c>
      <c r="IRT193" s="367" t="s">
        <v>206</v>
      </c>
      <c r="IRU193" s="367"/>
      <c r="IRV193" s="367"/>
      <c r="IRW193" s="368" t="s">
        <v>168</v>
      </c>
      <c r="IRX193" s="369">
        <v>0.5</v>
      </c>
      <c r="IRY193" s="370" t="e">
        <f>10/IRU191</f>
        <v>#DIV/0!</v>
      </c>
      <c r="IRZ193" s="371">
        <v>15.38</v>
      </c>
      <c r="ISA193" s="371" t="e">
        <f>IRX193*IRY193*IRZ193</f>
        <v>#DIV/0!</v>
      </c>
      <c r="ISB193" s="367" t="s">
        <v>206</v>
      </c>
      <c r="ISC193" s="367"/>
      <c r="ISD193" s="367"/>
      <c r="ISE193" s="368" t="s">
        <v>168</v>
      </c>
      <c r="ISF193" s="369">
        <v>0.5</v>
      </c>
      <c r="ISG193" s="370" t="e">
        <f>10/ISC191</f>
        <v>#DIV/0!</v>
      </c>
      <c r="ISH193" s="371">
        <v>15.38</v>
      </c>
      <c r="ISI193" s="371" t="e">
        <f>ISF193*ISG193*ISH193</f>
        <v>#DIV/0!</v>
      </c>
      <c r="ISJ193" s="367" t="s">
        <v>206</v>
      </c>
      <c r="ISK193" s="367"/>
      <c r="ISL193" s="367"/>
      <c r="ISM193" s="368" t="s">
        <v>168</v>
      </c>
      <c r="ISN193" s="369">
        <v>0.5</v>
      </c>
      <c r="ISO193" s="370" t="e">
        <f>10/ISK191</f>
        <v>#DIV/0!</v>
      </c>
      <c r="ISP193" s="371">
        <v>15.38</v>
      </c>
      <c r="ISQ193" s="371" t="e">
        <f>ISN193*ISO193*ISP193</f>
        <v>#DIV/0!</v>
      </c>
      <c r="ISR193" s="367" t="s">
        <v>206</v>
      </c>
      <c r="ISS193" s="367"/>
      <c r="IST193" s="367"/>
      <c r="ISU193" s="368" t="s">
        <v>168</v>
      </c>
      <c r="ISV193" s="369">
        <v>0.5</v>
      </c>
      <c r="ISW193" s="370" t="e">
        <f>10/ISS191</f>
        <v>#DIV/0!</v>
      </c>
      <c r="ISX193" s="371">
        <v>15.38</v>
      </c>
      <c r="ISY193" s="371" t="e">
        <f>ISV193*ISW193*ISX193</f>
        <v>#DIV/0!</v>
      </c>
      <c r="ISZ193" s="367" t="s">
        <v>206</v>
      </c>
      <c r="ITA193" s="367"/>
      <c r="ITB193" s="367"/>
      <c r="ITC193" s="368" t="s">
        <v>168</v>
      </c>
      <c r="ITD193" s="369">
        <v>0.5</v>
      </c>
      <c r="ITE193" s="370" t="e">
        <f>10/ITA191</f>
        <v>#DIV/0!</v>
      </c>
      <c r="ITF193" s="371">
        <v>15.38</v>
      </c>
      <c r="ITG193" s="371" t="e">
        <f>ITD193*ITE193*ITF193</f>
        <v>#DIV/0!</v>
      </c>
      <c r="ITH193" s="367" t="s">
        <v>206</v>
      </c>
      <c r="ITI193" s="367"/>
      <c r="ITJ193" s="367"/>
      <c r="ITK193" s="368" t="s">
        <v>168</v>
      </c>
      <c r="ITL193" s="369">
        <v>0.5</v>
      </c>
      <c r="ITM193" s="370" t="e">
        <f>10/ITI191</f>
        <v>#DIV/0!</v>
      </c>
      <c r="ITN193" s="371">
        <v>15.38</v>
      </c>
      <c r="ITO193" s="371" t="e">
        <f>ITL193*ITM193*ITN193</f>
        <v>#DIV/0!</v>
      </c>
      <c r="ITP193" s="367" t="s">
        <v>206</v>
      </c>
      <c r="ITQ193" s="367"/>
      <c r="ITR193" s="367"/>
      <c r="ITS193" s="368" t="s">
        <v>168</v>
      </c>
      <c r="ITT193" s="369">
        <v>0.5</v>
      </c>
      <c r="ITU193" s="370" t="e">
        <f>10/ITQ191</f>
        <v>#DIV/0!</v>
      </c>
      <c r="ITV193" s="371">
        <v>15.38</v>
      </c>
      <c r="ITW193" s="371" t="e">
        <f>ITT193*ITU193*ITV193</f>
        <v>#DIV/0!</v>
      </c>
      <c r="ITX193" s="367" t="s">
        <v>206</v>
      </c>
      <c r="ITY193" s="367"/>
      <c r="ITZ193" s="367"/>
      <c r="IUA193" s="368" t="s">
        <v>168</v>
      </c>
      <c r="IUB193" s="369">
        <v>0.5</v>
      </c>
      <c r="IUC193" s="370" t="e">
        <f>10/ITY191</f>
        <v>#DIV/0!</v>
      </c>
      <c r="IUD193" s="371">
        <v>15.38</v>
      </c>
      <c r="IUE193" s="371" t="e">
        <f>IUB193*IUC193*IUD193</f>
        <v>#DIV/0!</v>
      </c>
      <c r="IUF193" s="367" t="s">
        <v>206</v>
      </c>
      <c r="IUG193" s="367"/>
      <c r="IUH193" s="367"/>
      <c r="IUI193" s="368" t="s">
        <v>168</v>
      </c>
      <c r="IUJ193" s="369">
        <v>0.5</v>
      </c>
      <c r="IUK193" s="370" t="e">
        <f>10/IUG191</f>
        <v>#DIV/0!</v>
      </c>
      <c r="IUL193" s="371">
        <v>15.38</v>
      </c>
      <c r="IUM193" s="371" t="e">
        <f>IUJ193*IUK193*IUL193</f>
        <v>#DIV/0!</v>
      </c>
      <c r="IUN193" s="367" t="s">
        <v>206</v>
      </c>
      <c r="IUO193" s="367"/>
      <c r="IUP193" s="367"/>
      <c r="IUQ193" s="368" t="s">
        <v>168</v>
      </c>
      <c r="IUR193" s="369">
        <v>0.5</v>
      </c>
      <c r="IUS193" s="370" t="e">
        <f>10/IUO191</f>
        <v>#DIV/0!</v>
      </c>
      <c r="IUT193" s="371">
        <v>15.38</v>
      </c>
      <c r="IUU193" s="371" t="e">
        <f>IUR193*IUS193*IUT193</f>
        <v>#DIV/0!</v>
      </c>
      <c r="IUV193" s="367" t="s">
        <v>206</v>
      </c>
      <c r="IUW193" s="367"/>
      <c r="IUX193" s="367"/>
      <c r="IUY193" s="368" t="s">
        <v>168</v>
      </c>
      <c r="IUZ193" s="369">
        <v>0.5</v>
      </c>
      <c r="IVA193" s="370" t="e">
        <f>10/IUW191</f>
        <v>#DIV/0!</v>
      </c>
      <c r="IVB193" s="371">
        <v>15.38</v>
      </c>
      <c r="IVC193" s="371" t="e">
        <f>IUZ193*IVA193*IVB193</f>
        <v>#DIV/0!</v>
      </c>
      <c r="IVD193" s="367" t="s">
        <v>206</v>
      </c>
      <c r="IVE193" s="367"/>
      <c r="IVF193" s="367"/>
      <c r="IVG193" s="368" t="s">
        <v>168</v>
      </c>
      <c r="IVH193" s="369">
        <v>0.5</v>
      </c>
      <c r="IVI193" s="370" t="e">
        <f>10/IVE191</f>
        <v>#DIV/0!</v>
      </c>
      <c r="IVJ193" s="371">
        <v>15.38</v>
      </c>
      <c r="IVK193" s="371" t="e">
        <f>IVH193*IVI193*IVJ193</f>
        <v>#DIV/0!</v>
      </c>
      <c r="IVL193" s="367" t="s">
        <v>206</v>
      </c>
      <c r="IVM193" s="367"/>
      <c r="IVN193" s="367"/>
      <c r="IVO193" s="368" t="s">
        <v>168</v>
      </c>
      <c r="IVP193" s="369">
        <v>0.5</v>
      </c>
      <c r="IVQ193" s="370" t="e">
        <f>10/IVM191</f>
        <v>#DIV/0!</v>
      </c>
      <c r="IVR193" s="371">
        <v>15.38</v>
      </c>
      <c r="IVS193" s="371" t="e">
        <f>IVP193*IVQ193*IVR193</f>
        <v>#DIV/0!</v>
      </c>
      <c r="IVT193" s="367" t="s">
        <v>206</v>
      </c>
      <c r="IVU193" s="367"/>
      <c r="IVV193" s="367"/>
      <c r="IVW193" s="368" t="s">
        <v>168</v>
      </c>
      <c r="IVX193" s="369">
        <v>0.5</v>
      </c>
      <c r="IVY193" s="370" t="e">
        <f>10/IVU191</f>
        <v>#DIV/0!</v>
      </c>
      <c r="IVZ193" s="371">
        <v>15.38</v>
      </c>
      <c r="IWA193" s="371" t="e">
        <f>IVX193*IVY193*IVZ193</f>
        <v>#DIV/0!</v>
      </c>
      <c r="IWB193" s="367" t="s">
        <v>206</v>
      </c>
      <c r="IWC193" s="367"/>
      <c r="IWD193" s="367"/>
      <c r="IWE193" s="368" t="s">
        <v>168</v>
      </c>
      <c r="IWF193" s="369">
        <v>0.5</v>
      </c>
      <c r="IWG193" s="370" t="e">
        <f>10/IWC191</f>
        <v>#DIV/0!</v>
      </c>
      <c r="IWH193" s="371">
        <v>15.38</v>
      </c>
      <c r="IWI193" s="371" t="e">
        <f>IWF193*IWG193*IWH193</f>
        <v>#DIV/0!</v>
      </c>
      <c r="IWJ193" s="367" t="s">
        <v>206</v>
      </c>
      <c r="IWK193" s="367"/>
      <c r="IWL193" s="367"/>
      <c r="IWM193" s="368" t="s">
        <v>168</v>
      </c>
      <c r="IWN193" s="369">
        <v>0.5</v>
      </c>
      <c r="IWO193" s="370" t="e">
        <f>10/IWK191</f>
        <v>#DIV/0!</v>
      </c>
      <c r="IWP193" s="371">
        <v>15.38</v>
      </c>
      <c r="IWQ193" s="371" t="e">
        <f>IWN193*IWO193*IWP193</f>
        <v>#DIV/0!</v>
      </c>
      <c r="IWR193" s="367" t="s">
        <v>206</v>
      </c>
      <c r="IWS193" s="367"/>
      <c r="IWT193" s="367"/>
      <c r="IWU193" s="368" t="s">
        <v>168</v>
      </c>
      <c r="IWV193" s="369">
        <v>0.5</v>
      </c>
      <c r="IWW193" s="370" t="e">
        <f>10/IWS191</f>
        <v>#DIV/0!</v>
      </c>
      <c r="IWX193" s="371">
        <v>15.38</v>
      </c>
      <c r="IWY193" s="371" t="e">
        <f>IWV193*IWW193*IWX193</f>
        <v>#DIV/0!</v>
      </c>
      <c r="IWZ193" s="367" t="s">
        <v>206</v>
      </c>
      <c r="IXA193" s="367"/>
      <c r="IXB193" s="367"/>
      <c r="IXC193" s="368" t="s">
        <v>168</v>
      </c>
      <c r="IXD193" s="369">
        <v>0.5</v>
      </c>
      <c r="IXE193" s="370" t="e">
        <f>10/IXA191</f>
        <v>#DIV/0!</v>
      </c>
      <c r="IXF193" s="371">
        <v>15.38</v>
      </c>
      <c r="IXG193" s="371" t="e">
        <f>IXD193*IXE193*IXF193</f>
        <v>#DIV/0!</v>
      </c>
      <c r="IXH193" s="367" t="s">
        <v>206</v>
      </c>
      <c r="IXI193" s="367"/>
      <c r="IXJ193" s="367"/>
      <c r="IXK193" s="368" t="s">
        <v>168</v>
      </c>
      <c r="IXL193" s="369">
        <v>0.5</v>
      </c>
      <c r="IXM193" s="370" t="e">
        <f>10/IXI191</f>
        <v>#DIV/0!</v>
      </c>
      <c r="IXN193" s="371">
        <v>15.38</v>
      </c>
      <c r="IXO193" s="371" t="e">
        <f>IXL193*IXM193*IXN193</f>
        <v>#DIV/0!</v>
      </c>
      <c r="IXP193" s="367" t="s">
        <v>206</v>
      </c>
      <c r="IXQ193" s="367"/>
      <c r="IXR193" s="367"/>
      <c r="IXS193" s="368" t="s">
        <v>168</v>
      </c>
      <c r="IXT193" s="369">
        <v>0.5</v>
      </c>
      <c r="IXU193" s="370" t="e">
        <f>10/IXQ191</f>
        <v>#DIV/0!</v>
      </c>
      <c r="IXV193" s="371">
        <v>15.38</v>
      </c>
      <c r="IXW193" s="371" t="e">
        <f>IXT193*IXU193*IXV193</f>
        <v>#DIV/0!</v>
      </c>
      <c r="IXX193" s="367" t="s">
        <v>206</v>
      </c>
      <c r="IXY193" s="367"/>
      <c r="IXZ193" s="367"/>
      <c r="IYA193" s="368" t="s">
        <v>168</v>
      </c>
      <c r="IYB193" s="369">
        <v>0.5</v>
      </c>
      <c r="IYC193" s="370" t="e">
        <f>10/IXY191</f>
        <v>#DIV/0!</v>
      </c>
      <c r="IYD193" s="371">
        <v>15.38</v>
      </c>
      <c r="IYE193" s="371" t="e">
        <f>IYB193*IYC193*IYD193</f>
        <v>#DIV/0!</v>
      </c>
      <c r="IYF193" s="367" t="s">
        <v>206</v>
      </c>
      <c r="IYG193" s="367"/>
      <c r="IYH193" s="367"/>
      <c r="IYI193" s="368" t="s">
        <v>168</v>
      </c>
      <c r="IYJ193" s="369">
        <v>0.5</v>
      </c>
      <c r="IYK193" s="370" t="e">
        <f>10/IYG191</f>
        <v>#DIV/0!</v>
      </c>
      <c r="IYL193" s="371">
        <v>15.38</v>
      </c>
      <c r="IYM193" s="371" t="e">
        <f>IYJ193*IYK193*IYL193</f>
        <v>#DIV/0!</v>
      </c>
      <c r="IYN193" s="367" t="s">
        <v>206</v>
      </c>
      <c r="IYO193" s="367"/>
      <c r="IYP193" s="367"/>
      <c r="IYQ193" s="368" t="s">
        <v>168</v>
      </c>
      <c r="IYR193" s="369">
        <v>0.5</v>
      </c>
      <c r="IYS193" s="370" t="e">
        <f>10/IYO191</f>
        <v>#DIV/0!</v>
      </c>
      <c r="IYT193" s="371">
        <v>15.38</v>
      </c>
      <c r="IYU193" s="371" t="e">
        <f>IYR193*IYS193*IYT193</f>
        <v>#DIV/0!</v>
      </c>
      <c r="IYV193" s="367" t="s">
        <v>206</v>
      </c>
      <c r="IYW193" s="367"/>
      <c r="IYX193" s="367"/>
      <c r="IYY193" s="368" t="s">
        <v>168</v>
      </c>
      <c r="IYZ193" s="369">
        <v>0.5</v>
      </c>
      <c r="IZA193" s="370" t="e">
        <f>10/IYW191</f>
        <v>#DIV/0!</v>
      </c>
      <c r="IZB193" s="371">
        <v>15.38</v>
      </c>
      <c r="IZC193" s="371" t="e">
        <f>IYZ193*IZA193*IZB193</f>
        <v>#DIV/0!</v>
      </c>
      <c r="IZD193" s="367" t="s">
        <v>206</v>
      </c>
      <c r="IZE193" s="367"/>
      <c r="IZF193" s="367"/>
      <c r="IZG193" s="368" t="s">
        <v>168</v>
      </c>
      <c r="IZH193" s="369">
        <v>0.5</v>
      </c>
      <c r="IZI193" s="370" t="e">
        <f>10/IZE191</f>
        <v>#DIV/0!</v>
      </c>
      <c r="IZJ193" s="371">
        <v>15.38</v>
      </c>
      <c r="IZK193" s="371" t="e">
        <f>IZH193*IZI193*IZJ193</f>
        <v>#DIV/0!</v>
      </c>
      <c r="IZL193" s="367" t="s">
        <v>206</v>
      </c>
      <c r="IZM193" s="367"/>
      <c r="IZN193" s="367"/>
      <c r="IZO193" s="368" t="s">
        <v>168</v>
      </c>
      <c r="IZP193" s="369">
        <v>0.5</v>
      </c>
      <c r="IZQ193" s="370" t="e">
        <f>10/IZM191</f>
        <v>#DIV/0!</v>
      </c>
      <c r="IZR193" s="371">
        <v>15.38</v>
      </c>
      <c r="IZS193" s="371" t="e">
        <f>IZP193*IZQ193*IZR193</f>
        <v>#DIV/0!</v>
      </c>
      <c r="IZT193" s="367" t="s">
        <v>206</v>
      </c>
      <c r="IZU193" s="367"/>
      <c r="IZV193" s="367"/>
      <c r="IZW193" s="368" t="s">
        <v>168</v>
      </c>
      <c r="IZX193" s="369">
        <v>0.5</v>
      </c>
      <c r="IZY193" s="370" t="e">
        <f>10/IZU191</f>
        <v>#DIV/0!</v>
      </c>
      <c r="IZZ193" s="371">
        <v>15.38</v>
      </c>
      <c r="JAA193" s="371" t="e">
        <f>IZX193*IZY193*IZZ193</f>
        <v>#DIV/0!</v>
      </c>
      <c r="JAB193" s="367" t="s">
        <v>206</v>
      </c>
      <c r="JAC193" s="367"/>
      <c r="JAD193" s="367"/>
      <c r="JAE193" s="368" t="s">
        <v>168</v>
      </c>
      <c r="JAF193" s="369">
        <v>0.5</v>
      </c>
      <c r="JAG193" s="370" t="e">
        <f>10/JAC191</f>
        <v>#DIV/0!</v>
      </c>
      <c r="JAH193" s="371">
        <v>15.38</v>
      </c>
      <c r="JAI193" s="371" t="e">
        <f>JAF193*JAG193*JAH193</f>
        <v>#DIV/0!</v>
      </c>
      <c r="JAJ193" s="367" t="s">
        <v>206</v>
      </c>
      <c r="JAK193" s="367"/>
      <c r="JAL193" s="367"/>
      <c r="JAM193" s="368" t="s">
        <v>168</v>
      </c>
      <c r="JAN193" s="369">
        <v>0.5</v>
      </c>
      <c r="JAO193" s="370" t="e">
        <f>10/JAK191</f>
        <v>#DIV/0!</v>
      </c>
      <c r="JAP193" s="371">
        <v>15.38</v>
      </c>
      <c r="JAQ193" s="371" t="e">
        <f>JAN193*JAO193*JAP193</f>
        <v>#DIV/0!</v>
      </c>
      <c r="JAR193" s="367" t="s">
        <v>206</v>
      </c>
      <c r="JAS193" s="367"/>
      <c r="JAT193" s="367"/>
      <c r="JAU193" s="368" t="s">
        <v>168</v>
      </c>
      <c r="JAV193" s="369">
        <v>0.5</v>
      </c>
      <c r="JAW193" s="370" t="e">
        <f>10/JAS191</f>
        <v>#DIV/0!</v>
      </c>
      <c r="JAX193" s="371">
        <v>15.38</v>
      </c>
      <c r="JAY193" s="371" t="e">
        <f>JAV193*JAW193*JAX193</f>
        <v>#DIV/0!</v>
      </c>
      <c r="JAZ193" s="367" t="s">
        <v>206</v>
      </c>
      <c r="JBA193" s="367"/>
      <c r="JBB193" s="367"/>
      <c r="JBC193" s="368" t="s">
        <v>168</v>
      </c>
      <c r="JBD193" s="369">
        <v>0.5</v>
      </c>
      <c r="JBE193" s="370" t="e">
        <f>10/JBA191</f>
        <v>#DIV/0!</v>
      </c>
      <c r="JBF193" s="371">
        <v>15.38</v>
      </c>
      <c r="JBG193" s="371" t="e">
        <f>JBD193*JBE193*JBF193</f>
        <v>#DIV/0!</v>
      </c>
      <c r="JBH193" s="367" t="s">
        <v>206</v>
      </c>
      <c r="JBI193" s="367"/>
      <c r="JBJ193" s="367"/>
      <c r="JBK193" s="368" t="s">
        <v>168</v>
      </c>
      <c r="JBL193" s="369">
        <v>0.5</v>
      </c>
      <c r="JBM193" s="370" t="e">
        <f>10/JBI191</f>
        <v>#DIV/0!</v>
      </c>
      <c r="JBN193" s="371">
        <v>15.38</v>
      </c>
      <c r="JBO193" s="371" t="e">
        <f>JBL193*JBM193*JBN193</f>
        <v>#DIV/0!</v>
      </c>
      <c r="JBP193" s="367" t="s">
        <v>206</v>
      </c>
      <c r="JBQ193" s="367"/>
      <c r="JBR193" s="367"/>
      <c r="JBS193" s="368" t="s">
        <v>168</v>
      </c>
      <c r="JBT193" s="369">
        <v>0.5</v>
      </c>
      <c r="JBU193" s="370" t="e">
        <f>10/JBQ191</f>
        <v>#DIV/0!</v>
      </c>
      <c r="JBV193" s="371">
        <v>15.38</v>
      </c>
      <c r="JBW193" s="371" t="e">
        <f>JBT193*JBU193*JBV193</f>
        <v>#DIV/0!</v>
      </c>
      <c r="JBX193" s="367" t="s">
        <v>206</v>
      </c>
      <c r="JBY193" s="367"/>
      <c r="JBZ193" s="367"/>
      <c r="JCA193" s="368" t="s">
        <v>168</v>
      </c>
      <c r="JCB193" s="369">
        <v>0.5</v>
      </c>
      <c r="JCC193" s="370" t="e">
        <f>10/JBY191</f>
        <v>#DIV/0!</v>
      </c>
      <c r="JCD193" s="371">
        <v>15.38</v>
      </c>
      <c r="JCE193" s="371" t="e">
        <f>JCB193*JCC193*JCD193</f>
        <v>#DIV/0!</v>
      </c>
      <c r="JCF193" s="367" t="s">
        <v>206</v>
      </c>
      <c r="JCG193" s="367"/>
      <c r="JCH193" s="367"/>
      <c r="JCI193" s="368" t="s">
        <v>168</v>
      </c>
      <c r="JCJ193" s="369">
        <v>0.5</v>
      </c>
      <c r="JCK193" s="370" t="e">
        <f>10/JCG191</f>
        <v>#DIV/0!</v>
      </c>
      <c r="JCL193" s="371">
        <v>15.38</v>
      </c>
      <c r="JCM193" s="371" t="e">
        <f>JCJ193*JCK193*JCL193</f>
        <v>#DIV/0!</v>
      </c>
      <c r="JCN193" s="367" t="s">
        <v>206</v>
      </c>
      <c r="JCO193" s="367"/>
      <c r="JCP193" s="367"/>
      <c r="JCQ193" s="368" t="s">
        <v>168</v>
      </c>
      <c r="JCR193" s="369">
        <v>0.5</v>
      </c>
      <c r="JCS193" s="370" t="e">
        <f>10/JCO191</f>
        <v>#DIV/0!</v>
      </c>
      <c r="JCT193" s="371">
        <v>15.38</v>
      </c>
      <c r="JCU193" s="371" t="e">
        <f>JCR193*JCS193*JCT193</f>
        <v>#DIV/0!</v>
      </c>
      <c r="JCV193" s="367" t="s">
        <v>206</v>
      </c>
      <c r="JCW193" s="367"/>
      <c r="JCX193" s="367"/>
      <c r="JCY193" s="368" t="s">
        <v>168</v>
      </c>
      <c r="JCZ193" s="369">
        <v>0.5</v>
      </c>
      <c r="JDA193" s="370" t="e">
        <f>10/JCW191</f>
        <v>#DIV/0!</v>
      </c>
      <c r="JDB193" s="371">
        <v>15.38</v>
      </c>
      <c r="JDC193" s="371" t="e">
        <f>JCZ193*JDA193*JDB193</f>
        <v>#DIV/0!</v>
      </c>
      <c r="JDD193" s="367" t="s">
        <v>206</v>
      </c>
      <c r="JDE193" s="367"/>
      <c r="JDF193" s="367"/>
      <c r="JDG193" s="368" t="s">
        <v>168</v>
      </c>
      <c r="JDH193" s="369">
        <v>0.5</v>
      </c>
      <c r="JDI193" s="370" t="e">
        <f>10/JDE191</f>
        <v>#DIV/0!</v>
      </c>
      <c r="JDJ193" s="371">
        <v>15.38</v>
      </c>
      <c r="JDK193" s="371" t="e">
        <f>JDH193*JDI193*JDJ193</f>
        <v>#DIV/0!</v>
      </c>
      <c r="JDL193" s="367" t="s">
        <v>206</v>
      </c>
      <c r="JDM193" s="367"/>
      <c r="JDN193" s="367"/>
      <c r="JDO193" s="368" t="s">
        <v>168</v>
      </c>
      <c r="JDP193" s="369">
        <v>0.5</v>
      </c>
      <c r="JDQ193" s="370" t="e">
        <f>10/JDM191</f>
        <v>#DIV/0!</v>
      </c>
      <c r="JDR193" s="371">
        <v>15.38</v>
      </c>
      <c r="JDS193" s="371" t="e">
        <f>JDP193*JDQ193*JDR193</f>
        <v>#DIV/0!</v>
      </c>
      <c r="JDT193" s="367" t="s">
        <v>206</v>
      </c>
      <c r="JDU193" s="367"/>
      <c r="JDV193" s="367"/>
      <c r="JDW193" s="368" t="s">
        <v>168</v>
      </c>
      <c r="JDX193" s="369">
        <v>0.5</v>
      </c>
      <c r="JDY193" s="370" t="e">
        <f>10/JDU191</f>
        <v>#DIV/0!</v>
      </c>
      <c r="JDZ193" s="371">
        <v>15.38</v>
      </c>
      <c r="JEA193" s="371" t="e">
        <f>JDX193*JDY193*JDZ193</f>
        <v>#DIV/0!</v>
      </c>
      <c r="JEB193" s="367" t="s">
        <v>206</v>
      </c>
      <c r="JEC193" s="367"/>
      <c r="JED193" s="367"/>
      <c r="JEE193" s="368" t="s">
        <v>168</v>
      </c>
      <c r="JEF193" s="369">
        <v>0.5</v>
      </c>
      <c r="JEG193" s="370" t="e">
        <f>10/JEC191</f>
        <v>#DIV/0!</v>
      </c>
      <c r="JEH193" s="371">
        <v>15.38</v>
      </c>
      <c r="JEI193" s="371" t="e">
        <f>JEF193*JEG193*JEH193</f>
        <v>#DIV/0!</v>
      </c>
      <c r="JEJ193" s="367" t="s">
        <v>206</v>
      </c>
      <c r="JEK193" s="367"/>
      <c r="JEL193" s="367"/>
      <c r="JEM193" s="368" t="s">
        <v>168</v>
      </c>
      <c r="JEN193" s="369">
        <v>0.5</v>
      </c>
      <c r="JEO193" s="370" t="e">
        <f>10/JEK191</f>
        <v>#DIV/0!</v>
      </c>
      <c r="JEP193" s="371">
        <v>15.38</v>
      </c>
      <c r="JEQ193" s="371" t="e">
        <f>JEN193*JEO193*JEP193</f>
        <v>#DIV/0!</v>
      </c>
      <c r="JER193" s="367" t="s">
        <v>206</v>
      </c>
      <c r="JES193" s="367"/>
      <c r="JET193" s="367"/>
      <c r="JEU193" s="368" t="s">
        <v>168</v>
      </c>
      <c r="JEV193" s="369">
        <v>0.5</v>
      </c>
      <c r="JEW193" s="370" t="e">
        <f>10/JES191</f>
        <v>#DIV/0!</v>
      </c>
      <c r="JEX193" s="371">
        <v>15.38</v>
      </c>
      <c r="JEY193" s="371" t="e">
        <f>JEV193*JEW193*JEX193</f>
        <v>#DIV/0!</v>
      </c>
      <c r="JEZ193" s="367" t="s">
        <v>206</v>
      </c>
      <c r="JFA193" s="367"/>
      <c r="JFB193" s="367"/>
      <c r="JFC193" s="368" t="s">
        <v>168</v>
      </c>
      <c r="JFD193" s="369">
        <v>0.5</v>
      </c>
      <c r="JFE193" s="370" t="e">
        <f>10/JFA191</f>
        <v>#DIV/0!</v>
      </c>
      <c r="JFF193" s="371">
        <v>15.38</v>
      </c>
      <c r="JFG193" s="371" t="e">
        <f>JFD193*JFE193*JFF193</f>
        <v>#DIV/0!</v>
      </c>
      <c r="JFH193" s="367" t="s">
        <v>206</v>
      </c>
      <c r="JFI193" s="367"/>
      <c r="JFJ193" s="367"/>
      <c r="JFK193" s="368" t="s">
        <v>168</v>
      </c>
      <c r="JFL193" s="369">
        <v>0.5</v>
      </c>
      <c r="JFM193" s="370" t="e">
        <f>10/JFI191</f>
        <v>#DIV/0!</v>
      </c>
      <c r="JFN193" s="371">
        <v>15.38</v>
      </c>
      <c r="JFO193" s="371" t="e">
        <f>JFL193*JFM193*JFN193</f>
        <v>#DIV/0!</v>
      </c>
      <c r="JFP193" s="367" t="s">
        <v>206</v>
      </c>
      <c r="JFQ193" s="367"/>
      <c r="JFR193" s="367"/>
      <c r="JFS193" s="368" t="s">
        <v>168</v>
      </c>
      <c r="JFT193" s="369">
        <v>0.5</v>
      </c>
      <c r="JFU193" s="370" t="e">
        <f>10/JFQ191</f>
        <v>#DIV/0!</v>
      </c>
      <c r="JFV193" s="371">
        <v>15.38</v>
      </c>
      <c r="JFW193" s="371" t="e">
        <f>JFT193*JFU193*JFV193</f>
        <v>#DIV/0!</v>
      </c>
      <c r="JFX193" s="367" t="s">
        <v>206</v>
      </c>
      <c r="JFY193" s="367"/>
      <c r="JFZ193" s="367"/>
      <c r="JGA193" s="368" t="s">
        <v>168</v>
      </c>
      <c r="JGB193" s="369">
        <v>0.5</v>
      </c>
      <c r="JGC193" s="370" t="e">
        <f>10/JFY191</f>
        <v>#DIV/0!</v>
      </c>
      <c r="JGD193" s="371">
        <v>15.38</v>
      </c>
      <c r="JGE193" s="371" t="e">
        <f>JGB193*JGC193*JGD193</f>
        <v>#DIV/0!</v>
      </c>
      <c r="JGF193" s="367" t="s">
        <v>206</v>
      </c>
      <c r="JGG193" s="367"/>
      <c r="JGH193" s="367"/>
      <c r="JGI193" s="368" t="s">
        <v>168</v>
      </c>
      <c r="JGJ193" s="369">
        <v>0.5</v>
      </c>
      <c r="JGK193" s="370" t="e">
        <f>10/JGG191</f>
        <v>#DIV/0!</v>
      </c>
      <c r="JGL193" s="371">
        <v>15.38</v>
      </c>
      <c r="JGM193" s="371" t="e">
        <f>JGJ193*JGK193*JGL193</f>
        <v>#DIV/0!</v>
      </c>
      <c r="JGN193" s="367" t="s">
        <v>206</v>
      </c>
      <c r="JGO193" s="367"/>
      <c r="JGP193" s="367"/>
      <c r="JGQ193" s="368" t="s">
        <v>168</v>
      </c>
      <c r="JGR193" s="369">
        <v>0.5</v>
      </c>
      <c r="JGS193" s="370" t="e">
        <f>10/JGO191</f>
        <v>#DIV/0!</v>
      </c>
      <c r="JGT193" s="371">
        <v>15.38</v>
      </c>
      <c r="JGU193" s="371" t="e">
        <f>JGR193*JGS193*JGT193</f>
        <v>#DIV/0!</v>
      </c>
      <c r="JGV193" s="367" t="s">
        <v>206</v>
      </c>
      <c r="JGW193" s="367"/>
      <c r="JGX193" s="367"/>
      <c r="JGY193" s="368" t="s">
        <v>168</v>
      </c>
      <c r="JGZ193" s="369">
        <v>0.5</v>
      </c>
      <c r="JHA193" s="370" t="e">
        <f>10/JGW191</f>
        <v>#DIV/0!</v>
      </c>
      <c r="JHB193" s="371">
        <v>15.38</v>
      </c>
      <c r="JHC193" s="371" t="e">
        <f>JGZ193*JHA193*JHB193</f>
        <v>#DIV/0!</v>
      </c>
      <c r="JHD193" s="367" t="s">
        <v>206</v>
      </c>
      <c r="JHE193" s="367"/>
      <c r="JHF193" s="367"/>
      <c r="JHG193" s="368" t="s">
        <v>168</v>
      </c>
      <c r="JHH193" s="369">
        <v>0.5</v>
      </c>
      <c r="JHI193" s="370" t="e">
        <f>10/JHE191</f>
        <v>#DIV/0!</v>
      </c>
      <c r="JHJ193" s="371">
        <v>15.38</v>
      </c>
      <c r="JHK193" s="371" t="e">
        <f>JHH193*JHI193*JHJ193</f>
        <v>#DIV/0!</v>
      </c>
      <c r="JHL193" s="367" t="s">
        <v>206</v>
      </c>
      <c r="JHM193" s="367"/>
      <c r="JHN193" s="367"/>
      <c r="JHO193" s="368" t="s">
        <v>168</v>
      </c>
      <c r="JHP193" s="369">
        <v>0.5</v>
      </c>
      <c r="JHQ193" s="370" t="e">
        <f>10/JHM191</f>
        <v>#DIV/0!</v>
      </c>
      <c r="JHR193" s="371">
        <v>15.38</v>
      </c>
      <c r="JHS193" s="371" t="e">
        <f>JHP193*JHQ193*JHR193</f>
        <v>#DIV/0!</v>
      </c>
      <c r="JHT193" s="367" t="s">
        <v>206</v>
      </c>
      <c r="JHU193" s="367"/>
      <c r="JHV193" s="367"/>
      <c r="JHW193" s="368" t="s">
        <v>168</v>
      </c>
      <c r="JHX193" s="369">
        <v>0.5</v>
      </c>
      <c r="JHY193" s="370" t="e">
        <f>10/JHU191</f>
        <v>#DIV/0!</v>
      </c>
      <c r="JHZ193" s="371">
        <v>15.38</v>
      </c>
      <c r="JIA193" s="371" t="e">
        <f>JHX193*JHY193*JHZ193</f>
        <v>#DIV/0!</v>
      </c>
      <c r="JIB193" s="367" t="s">
        <v>206</v>
      </c>
      <c r="JIC193" s="367"/>
      <c r="JID193" s="367"/>
      <c r="JIE193" s="368" t="s">
        <v>168</v>
      </c>
      <c r="JIF193" s="369">
        <v>0.5</v>
      </c>
      <c r="JIG193" s="370" t="e">
        <f>10/JIC191</f>
        <v>#DIV/0!</v>
      </c>
      <c r="JIH193" s="371">
        <v>15.38</v>
      </c>
      <c r="JII193" s="371" t="e">
        <f>JIF193*JIG193*JIH193</f>
        <v>#DIV/0!</v>
      </c>
      <c r="JIJ193" s="367" t="s">
        <v>206</v>
      </c>
      <c r="JIK193" s="367"/>
      <c r="JIL193" s="367"/>
      <c r="JIM193" s="368" t="s">
        <v>168</v>
      </c>
      <c r="JIN193" s="369">
        <v>0.5</v>
      </c>
      <c r="JIO193" s="370" t="e">
        <f>10/JIK191</f>
        <v>#DIV/0!</v>
      </c>
      <c r="JIP193" s="371">
        <v>15.38</v>
      </c>
      <c r="JIQ193" s="371" t="e">
        <f>JIN193*JIO193*JIP193</f>
        <v>#DIV/0!</v>
      </c>
      <c r="JIR193" s="367" t="s">
        <v>206</v>
      </c>
      <c r="JIS193" s="367"/>
      <c r="JIT193" s="367"/>
      <c r="JIU193" s="368" t="s">
        <v>168</v>
      </c>
      <c r="JIV193" s="369">
        <v>0.5</v>
      </c>
      <c r="JIW193" s="370" t="e">
        <f>10/JIS191</f>
        <v>#DIV/0!</v>
      </c>
      <c r="JIX193" s="371">
        <v>15.38</v>
      </c>
      <c r="JIY193" s="371" t="e">
        <f>JIV193*JIW193*JIX193</f>
        <v>#DIV/0!</v>
      </c>
      <c r="JIZ193" s="367" t="s">
        <v>206</v>
      </c>
      <c r="JJA193" s="367"/>
      <c r="JJB193" s="367"/>
      <c r="JJC193" s="368" t="s">
        <v>168</v>
      </c>
      <c r="JJD193" s="369">
        <v>0.5</v>
      </c>
      <c r="JJE193" s="370" t="e">
        <f>10/JJA191</f>
        <v>#DIV/0!</v>
      </c>
      <c r="JJF193" s="371">
        <v>15.38</v>
      </c>
      <c r="JJG193" s="371" t="e">
        <f>JJD193*JJE193*JJF193</f>
        <v>#DIV/0!</v>
      </c>
      <c r="JJH193" s="367" t="s">
        <v>206</v>
      </c>
      <c r="JJI193" s="367"/>
      <c r="JJJ193" s="367"/>
      <c r="JJK193" s="368" t="s">
        <v>168</v>
      </c>
      <c r="JJL193" s="369">
        <v>0.5</v>
      </c>
      <c r="JJM193" s="370" t="e">
        <f>10/JJI191</f>
        <v>#DIV/0!</v>
      </c>
      <c r="JJN193" s="371">
        <v>15.38</v>
      </c>
      <c r="JJO193" s="371" t="e">
        <f>JJL193*JJM193*JJN193</f>
        <v>#DIV/0!</v>
      </c>
      <c r="JJP193" s="367" t="s">
        <v>206</v>
      </c>
      <c r="JJQ193" s="367"/>
      <c r="JJR193" s="367"/>
      <c r="JJS193" s="368" t="s">
        <v>168</v>
      </c>
      <c r="JJT193" s="369">
        <v>0.5</v>
      </c>
      <c r="JJU193" s="370" t="e">
        <f>10/JJQ191</f>
        <v>#DIV/0!</v>
      </c>
      <c r="JJV193" s="371">
        <v>15.38</v>
      </c>
      <c r="JJW193" s="371" t="e">
        <f>JJT193*JJU193*JJV193</f>
        <v>#DIV/0!</v>
      </c>
      <c r="JJX193" s="367" t="s">
        <v>206</v>
      </c>
      <c r="JJY193" s="367"/>
      <c r="JJZ193" s="367"/>
      <c r="JKA193" s="368" t="s">
        <v>168</v>
      </c>
      <c r="JKB193" s="369">
        <v>0.5</v>
      </c>
      <c r="JKC193" s="370" t="e">
        <f>10/JJY191</f>
        <v>#DIV/0!</v>
      </c>
      <c r="JKD193" s="371">
        <v>15.38</v>
      </c>
      <c r="JKE193" s="371" t="e">
        <f>JKB193*JKC193*JKD193</f>
        <v>#DIV/0!</v>
      </c>
      <c r="JKF193" s="367" t="s">
        <v>206</v>
      </c>
      <c r="JKG193" s="367"/>
      <c r="JKH193" s="367"/>
      <c r="JKI193" s="368" t="s">
        <v>168</v>
      </c>
      <c r="JKJ193" s="369">
        <v>0.5</v>
      </c>
      <c r="JKK193" s="370" t="e">
        <f>10/JKG191</f>
        <v>#DIV/0!</v>
      </c>
      <c r="JKL193" s="371">
        <v>15.38</v>
      </c>
      <c r="JKM193" s="371" t="e">
        <f>JKJ193*JKK193*JKL193</f>
        <v>#DIV/0!</v>
      </c>
      <c r="JKN193" s="367" t="s">
        <v>206</v>
      </c>
      <c r="JKO193" s="367"/>
      <c r="JKP193" s="367"/>
      <c r="JKQ193" s="368" t="s">
        <v>168</v>
      </c>
      <c r="JKR193" s="369">
        <v>0.5</v>
      </c>
      <c r="JKS193" s="370" t="e">
        <f>10/JKO191</f>
        <v>#DIV/0!</v>
      </c>
      <c r="JKT193" s="371">
        <v>15.38</v>
      </c>
      <c r="JKU193" s="371" t="e">
        <f>JKR193*JKS193*JKT193</f>
        <v>#DIV/0!</v>
      </c>
      <c r="JKV193" s="367" t="s">
        <v>206</v>
      </c>
      <c r="JKW193" s="367"/>
      <c r="JKX193" s="367"/>
      <c r="JKY193" s="368" t="s">
        <v>168</v>
      </c>
      <c r="JKZ193" s="369">
        <v>0.5</v>
      </c>
      <c r="JLA193" s="370" t="e">
        <f>10/JKW191</f>
        <v>#DIV/0!</v>
      </c>
      <c r="JLB193" s="371">
        <v>15.38</v>
      </c>
      <c r="JLC193" s="371" t="e">
        <f>JKZ193*JLA193*JLB193</f>
        <v>#DIV/0!</v>
      </c>
      <c r="JLD193" s="367" t="s">
        <v>206</v>
      </c>
      <c r="JLE193" s="367"/>
      <c r="JLF193" s="367"/>
      <c r="JLG193" s="368" t="s">
        <v>168</v>
      </c>
      <c r="JLH193" s="369">
        <v>0.5</v>
      </c>
      <c r="JLI193" s="370" t="e">
        <f>10/JLE191</f>
        <v>#DIV/0!</v>
      </c>
      <c r="JLJ193" s="371">
        <v>15.38</v>
      </c>
      <c r="JLK193" s="371" t="e">
        <f>JLH193*JLI193*JLJ193</f>
        <v>#DIV/0!</v>
      </c>
      <c r="JLL193" s="367" t="s">
        <v>206</v>
      </c>
      <c r="JLM193" s="367"/>
      <c r="JLN193" s="367"/>
      <c r="JLO193" s="368" t="s">
        <v>168</v>
      </c>
      <c r="JLP193" s="369">
        <v>0.5</v>
      </c>
      <c r="JLQ193" s="370" t="e">
        <f>10/JLM191</f>
        <v>#DIV/0!</v>
      </c>
      <c r="JLR193" s="371">
        <v>15.38</v>
      </c>
      <c r="JLS193" s="371" t="e">
        <f>JLP193*JLQ193*JLR193</f>
        <v>#DIV/0!</v>
      </c>
      <c r="JLT193" s="367" t="s">
        <v>206</v>
      </c>
      <c r="JLU193" s="367"/>
      <c r="JLV193" s="367"/>
      <c r="JLW193" s="368" t="s">
        <v>168</v>
      </c>
      <c r="JLX193" s="369">
        <v>0.5</v>
      </c>
      <c r="JLY193" s="370" t="e">
        <f>10/JLU191</f>
        <v>#DIV/0!</v>
      </c>
      <c r="JLZ193" s="371">
        <v>15.38</v>
      </c>
      <c r="JMA193" s="371" t="e">
        <f>JLX193*JLY193*JLZ193</f>
        <v>#DIV/0!</v>
      </c>
      <c r="JMB193" s="367" t="s">
        <v>206</v>
      </c>
      <c r="JMC193" s="367"/>
      <c r="JMD193" s="367"/>
      <c r="JME193" s="368" t="s">
        <v>168</v>
      </c>
      <c r="JMF193" s="369">
        <v>0.5</v>
      </c>
      <c r="JMG193" s="370" t="e">
        <f>10/JMC191</f>
        <v>#DIV/0!</v>
      </c>
      <c r="JMH193" s="371">
        <v>15.38</v>
      </c>
      <c r="JMI193" s="371" t="e">
        <f>JMF193*JMG193*JMH193</f>
        <v>#DIV/0!</v>
      </c>
      <c r="JMJ193" s="367" t="s">
        <v>206</v>
      </c>
      <c r="JMK193" s="367"/>
      <c r="JML193" s="367"/>
      <c r="JMM193" s="368" t="s">
        <v>168</v>
      </c>
      <c r="JMN193" s="369">
        <v>0.5</v>
      </c>
      <c r="JMO193" s="370" t="e">
        <f>10/JMK191</f>
        <v>#DIV/0!</v>
      </c>
      <c r="JMP193" s="371">
        <v>15.38</v>
      </c>
      <c r="JMQ193" s="371" t="e">
        <f>JMN193*JMO193*JMP193</f>
        <v>#DIV/0!</v>
      </c>
      <c r="JMR193" s="367" t="s">
        <v>206</v>
      </c>
      <c r="JMS193" s="367"/>
      <c r="JMT193" s="367"/>
      <c r="JMU193" s="368" t="s">
        <v>168</v>
      </c>
      <c r="JMV193" s="369">
        <v>0.5</v>
      </c>
      <c r="JMW193" s="370" t="e">
        <f>10/JMS191</f>
        <v>#DIV/0!</v>
      </c>
      <c r="JMX193" s="371">
        <v>15.38</v>
      </c>
      <c r="JMY193" s="371" t="e">
        <f>JMV193*JMW193*JMX193</f>
        <v>#DIV/0!</v>
      </c>
      <c r="JMZ193" s="367" t="s">
        <v>206</v>
      </c>
      <c r="JNA193" s="367"/>
      <c r="JNB193" s="367"/>
      <c r="JNC193" s="368" t="s">
        <v>168</v>
      </c>
      <c r="JND193" s="369">
        <v>0.5</v>
      </c>
      <c r="JNE193" s="370" t="e">
        <f>10/JNA191</f>
        <v>#DIV/0!</v>
      </c>
      <c r="JNF193" s="371">
        <v>15.38</v>
      </c>
      <c r="JNG193" s="371" t="e">
        <f>JND193*JNE193*JNF193</f>
        <v>#DIV/0!</v>
      </c>
      <c r="JNH193" s="367" t="s">
        <v>206</v>
      </c>
      <c r="JNI193" s="367"/>
      <c r="JNJ193" s="367"/>
      <c r="JNK193" s="368" t="s">
        <v>168</v>
      </c>
      <c r="JNL193" s="369">
        <v>0.5</v>
      </c>
      <c r="JNM193" s="370" t="e">
        <f>10/JNI191</f>
        <v>#DIV/0!</v>
      </c>
      <c r="JNN193" s="371">
        <v>15.38</v>
      </c>
      <c r="JNO193" s="371" t="e">
        <f>JNL193*JNM193*JNN193</f>
        <v>#DIV/0!</v>
      </c>
      <c r="JNP193" s="367" t="s">
        <v>206</v>
      </c>
      <c r="JNQ193" s="367"/>
      <c r="JNR193" s="367"/>
      <c r="JNS193" s="368" t="s">
        <v>168</v>
      </c>
      <c r="JNT193" s="369">
        <v>0.5</v>
      </c>
      <c r="JNU193" s="370" t="e">
        <f>10/JNQ191</f>
        <v>#DIV/0!</v>
      </c>
      <c r="JNV193" s="371">
        <v>15.38</v>
      </c>
      <c r="JNW193" s="371" t="e">
        <f>JNT193*JNU193*JNV193</f>
        <v>#DIV/0!</v>
      </c>
      <c r="JNX193" s="367" t="s">
        <v>206</v>
      </c>
      <c r="JNY193" s="367"/>
      <c r="JNZ193" s="367"/>
      <c r="JOA193" s="368" t="s">
        <v>168</v>
      </c>
      <c r="JOB193" s="369">
        <v>0.5</v>
      </c>
      <c r="JOC193" s="370" t="e">
        <f>10/JNY191</f>
        <v>#DIV/0!</v>
      </c>
      <c r="JOD193" s="371">
        <v>15.38</v>
      </c>
      <c r="JOE193" s="371" t="e">
        <f>JOB193*JOC193*JOD193</f>
        <v>#DIV/0!</v>
      </c>
      <c r="JOF193" s="367" t="s">
        <v>206</v>
      </c>
      <c r="JOG193" s="367"/>
      <c r="JOH193" s="367"/>
      <c r="JOI193" s="368" t="s">
        <v>168</v>
      </c>
      <c r="JOJ193" s="369">
        <v>0.5</v>
      </c>
      <c r="JOK193" s="370" t="e">
        <f>10/JOG191</f>
        <v>#DIV/0!</v>
      </c>
      <c r="JOL193" s="371">
        <v>15.38</v>
      </c>
      <c r="JOM193" s="371" t="e">
        <f>JOJ193*JOK193*JOL193</f>
        <v>#DIV/0!</v>
      </c>
      <c r="JON193" s="367" t="s">
        <v>206</v>
      </c>
      <c r="JOO193" s="367"/>
      <c r="JOP193" s="367"/>
      <c r="JOQ193" s="368" t="s">
        <v>168</v>
      </c>
      <c r="JOR193" s="369">
        <v>0.5</v>
      </c>
      <c r="JOS193" s="370" t="e">
        <f>10/JOO191</f>
        <v>#DIV/0!</v>
      </c>
      <c r="JOT193" s="371">
        <v>15.38</v>
      </c>
      <c r="JOU193" s="371" t="e">
        <f>JOR193*JOS193*JOT193</f>
        <v>#DIV/0!</v>
      </c>
      <c r="JOV193" s="367" t="s">
        <v>206</v>
      </c>
      <c r="JOW193" s="367"/>
      <c r="JOX193" s="367"/>
      <c r="JOY193" s="368" t="s">
        <v>168</v>
      </c>
      <c r="JOZ193" s="369">
        <v>0.5</v>
      </c>
      <c r="JPA193" s="370" t="e">
        <f>10/JOW191</f>
        <v>#DIV/0!</v>
      </c>
      <c r="JPB193" s="371">
        <v>15.38</v>
      </c>
      <c r="JPC193" s="371" t="e">
        <f>JOZ193*JPA193*JPB193</f>
        <v>#DIV/0!</v>
      </c>
      <c r="JPD193" s="367" t="s">
        <v>206</v>
      </c>
      <c r="JPE193" s="367"/>
      <c r="JPF193" s="367"/>
      <c r="JPG193" s="368" t="s">
        <v>168</v>
      </c>
      <c r="JPH193" s="369">
        <v>0.5</v>
      </c>
      <c r="JPI193" s="370" t="e">
        <f>10/JPE191</f>
        <v>#DIV/0!</v>
      </c>
      <c r="JPJ193" s="371">
        <v>15.38</v>
      </c>
      <c r="JPK193" s="371" t="e">
        <f>JPH193*JPI193*JPJ193</f>
        <v>#DIV/0!</v>
      </c>
      <c r="JPL193" s="367" t="s">
        <v>206</v>
      </c>
      <c r="JPM193" s="367"/>
      <c r="JPN193" s="367"/>
      <c r="JPO193" s="368" t="s">
        <v>168</v>
      </c>
      <c r="JPP193" s="369">
        <v>0.5</v>
      </c>
      <c r="JPQ193" s="370" t="e">
        <f>10/JPM191</f>
        <v>#DIV/0!</v>
      </c>
      <c r="JPR193" s="371">
        <v>15.38</v>
      </c>
      <c r="JPS193" s="371" t="e">
        <f>JPP193*JPQ193*JPR193</f>
        <v>#DIV/0!</v>
      </c>
      <c r="JPT193" s="367" t="s">
        <v>206</v>
      </c>
      <c r="JPU193" s="367"/>
      <c r="JPV193" s="367"/>
      <c r="JPW193" s="368" t="s">
        <v>168</v>
      </c>
      <c r="JPX193" s="369">
        <v>0.5</v>
      </c>
      <c r="JPY193" s="370" t="e">
        <f>10/JPU191</f>
        <v>#DIV/0!</v>
      </c>
      <c r="JPZ193" s="371">
        <v>15.38</v>
      </c>
      <c r="JQA193" s="371" t="e">
        <f>JPX193*JPY193*JPZ193</f>
        <v>#DIV/0!</v>
      </c>
      <c r="JQB193" s="367" t="s">
        <v>206</v>
      </c>
      <c r="JQC193" s="367"/>
      <c r="JQD193" s="367"/>
      <c r="JQE193" s="368" t="s">
        <v>168</v>
      </c>
      <c r="JQF193" s="369">
        <v>0.5</v>
      </c>
      <c r="JQG193" s="370" t="e">
        <f>10/JQC191</f>
        <v>#DIV/0!</v>
      </c>
      <c r="JQH193" s="371">
        <v>15.38</v>
      </c>
      <c r="JQI193" s="371" t="e">
        <f>JQF193*JQG193*JQH193</f>
        <v>#DIV/0!</v>
      </c>
      <c r="JQJ193" s="367" t="s">
        <v>206</v>
      </c>
      <c r="JQK193" s="367"/>
      <c r="JQL193" s="367"/>
      <c r="JQM193" s="368" t="s">
        <v>168</v>
      </c>
      <c r="JQN193" s="369">
        <v>0.5</v>
      </c>
      <c r="JQO193" s="370" t="e">
        <f>10/JQK191</f>
        <v>#DIV/0!</v>
      </c>
      <c r="JQP193" s="371">
        <v>15.38</v>
      </c>
      <c r="JQQ193" s="371" t="e">
        <f>JQN193*JQO193*JQP193</f>
        <v>#DIV/0!</v>
      </c>
      <c r="JQR193" s="367" t="s">
        <v>206</v>
      </c>
      <c r="JQS193" s="367"/>
      <c r="JQT193" s="367"/>
      <c r="JQU193" s="368" t="s">
        <v>168</v>
      </c>
      <c r="JQV193" s="369">
        <v>0.5</v>
      </c>
      <c r="JQW193" s="370" t="e">
        <f>10/JQS191</f>
        <v>#DIV/0!</v>
      </c>
      <c r="JQX193" s="371">
        <v>15.38</v>
      </c>
      <c r="JQY193" s="371" t="e">
        <f>JQV193*JQW193*JQX193</f>
        <v>#DIV/0!</v>
      </c>
      <c r="JQZ193" s="367" t="s">
        <v>206</v>
      </c>
      <c r="JRA193" s="367"/>
      <c r="JRB193" s="367"/>
      <c r="JRC193" s="368" t="s">
        <v>168</v>
      </c>
      <c r="JRD193" s="369">
        <v>0.5</v>
      </c>
      <c r="JRE193" s="370" t="e">
        <f>10/JRA191</f>
        <v>#DIV/0!</v>
      </c>
      <c r="JRF193" s="371">
        <v>15.38</v>
      </c>
      <c r="JRG193" s="371" t="e">
        <f>JRD193*JRE193*JRF193</f>
        <v>#DIV/0!</v>
      </c>
      <c r="JRH193" s="367" t="s">
        <v>206</v>
      </c>
      <c r="JRI193" s="367"/>
      <c r="JRJ193" s="367"/>
      <c r="JRK193" s="368" t="s">
        <v>168</v>
      </c>
      <c r="JRL193" s="369">
        <v>0.5</v>
      </c>
      <c r="JRM193" s="370" t="e">
        <f>10/JRI191</f>
        <v>#DIV/0!</v>
      </c>
      <c r="JRN193" s="371">
        <v>15.38</v>
      </c>
      <c r="JRO193" s="371" t="e">
        <f>JRL193*JRM193*JRN193</f>
        <v>#DIV/0!</v>
      </c>
      <c r="JRP193" s="367" t="s">
        <v>206</v>
      </c>
      <c r="JRQ193" s="367"/>
      <c r="JRR193" s="367"/>
      <c r="JRS193" s="368" t="s">
        <v>168</v>
      </c>
      <c r="JRT193" s="369">
        <v>0.5</v>
      </c>
      <c r="JRU193" s="370" t="e">
        <f>10/JRQ191</f>
        <v>#DIV/0!</v>
      </c>
      <c r="JRV193" s="371">
        <v>15.38</v>
      </c>
      <c r="JRW193" s="371" t="e">
        <f>JRT193*JRU193*JRV193</f>
        <v>#DIV/0!</v>
      </c>
      <c r="JRX193" s="367" t="s">
        <v>206</v>
      </c>
      <c r="JRY193" s="367"/>
      <c r="JRZ193" s="367"/>
      <c r="JSA193" s="368" t="s">
        <v>168</v>
      </c>
      <c r="JSB193" s="369">
        <v>0.5</v>
      </c>
      <c r="JSC193" s="370" t="e">
        <f>10/JRY191</f>
        <v>#DIV/0!</v>
      </c>
      <c r="JSD193" s="371">
        <v>15.38</v>
      </c>
      <c r="JSE193" s="371" t="e">
        <f>JSB193*JSC193*JSD193</f>
        <v>#DIV/0!</v>
      </c>
      <c r="JSF193" s="367" t="s">
        <v>206</v>
      </c>
      <c r="JSG193" s="367"/>
      <c r="JSH193" s="367"/>
      <c r="JSI193" s="368" t="s">
        <v>168</v>
      </c>
      <c r="JSJ193" s="369">
        <v>0.5</v>
      </c>
      <c r="JSK193" s="370" t="e">
        <f>10/JSG191</f>
        <v>#DIV/0!</v>
      </c>
      <c r="JSL193" s="371">
        <v>15.38</v>
      </c>
      <c r="JSM193" s="371" t="e">
        <f>JSJ193*JSK193*JSL193</f>
        <v>#DIV/0!</v>
      </c>
      <c r="JSN193" s="367" t="s">
        <v>206</v>
      </c>
      <c r="JSO193" s="367"/>
      <c r="JSP193" s="367"/>
      <c r="JSQ193" s="368" t="s">
        <v>168</v>
      </c>
      <c r="JSR193" s="369">
        <v>0.5</v>
      </c>
      <c r="JSS193" s="370" t="e">
        <f>10/JSO191</f>
        <v>#DIV/0!</v>
      </c>
      <c r="JST193" s="371">
        <v>15.38</v>
      </c>
      <c r="JSU193" s="371" t="e">
        <f>JSR193*JSS193*JST193</f>
        <v>#DIV/0!</v>
      </c>
      <c r="JSV193" s="367" t="s">
        <v>206</v>
      </c>
      <c r="JSW193" s="367"/>
      <c r="JSX193" s="367"/>
      <c r="JSY193" s="368" t="s">
        <v>168</v>
      </c>
      <c r="JSZ193" s="369">
        <v>0.5</v>
      </c>
      <c r="JTA193" s="370" t="e">
        <f>10/JSW191</f>
        <v>#DIV/0!</v>
      </c>
      <c r="JTB193" s="371">
        <v>15.38</v>
      </c>
      <c r="JTC193" s="371" t="e">
        <f>JSZ193*JTA193*JTB193</f>
        <v>#DIV/0!</v>
      </c>
      <c r="JTD193" s="367" t="s">
        <v>206</v>
      </c>
      <c r="JTE193" s="367"/>
      <c r="JTF193" s="367"/>
      <c r="JTG193" s="368" t="s">
        <v>168</v>
      </c>
      <c r="JTH193" s="369">
        <v>0.5</v>
      </c>
      <c r="JTI193" s="370" t="e">
        <f>10/JTE191</f>
        <v>#DIV/0!</v>
      </c>
      <c r="JTJ193" s="371">
        <v>15.38</v>
      </c>
      <c r="JTK193" s="371" t="e">
        <f>JTH193*JTI193*JTJ193</f>
        <v>#DIV/0!</v>
      </c>
      <c r="JTL193" s="367" t="s">
        <v>206</v>
      </c>
      <c r="JTM193" s="367"/>
      <c r="JTN193" s="367"/>
      <c r="JTO193" s="368" t="s">
        <v>168</v>
      </c>
      <c r="JTP193" s="369">
        <v>0.5</v>
      </c>
      <c r="JTQ193" s="370" t="e">
        <f>10/JTM191</f>
        <v>#DIV/0!</v>
      </c>
      <c r="JTR193" s="371">
        <v>15.38</v>
      </c>
      <c r="JTS193" s="371" t="e">
        <f>JTP193*JTQ193*JTR193</f>
        <v>#DIV/0!</v>
      </c>
      <c r="JTT193" s="367" t="s">
        <v>206</v>
      </c>
      <c r="JTU193" s="367"/>
      <c r="JTV193" s="367"/>
      <c r="JTW193" s="368" t="s">
        <v>168</v>
      </c>
      <c r="JTX193" s="369">
        <v>0.5</v>
      </c>
      <c r="JTY193" s="370" t="e">
        <f>10/JTU191</f>
        <v>#DIV/0!</v>
      </c>
      <c r="JTZ193" s="371">
        <v>15.38</v>
      </c>
      <c r="JUA193" s="371" t="e">
        <f>JTX193*JTY193*JTZ193</f>
        <v>#DIV/0!</v>
      </c>
      <c r="JUB193" s="367" t="s">
        <v>206</v>
      </c>
      <c r="JUC193" s="367"/>
      <c r="JUD193" s="367"/>
      <c r="JUE193" s="368" t="s">
        <v>168</v>
      </c>
      <c r="JUF193" s="369">
        <v>0.5</v>
      </c>
      <c r="JUG193" s="370" t="e">
        <f>10/JUC191</f>
        <v>#DIV/0!</v>
      </c>
      <c r="JUH193" s="371">
        <v>15.38</v>
      </c>
      <c r="JUI193" s="371" t="e">
        <f>JUF193*JUG193*JUH193</f>
        <v>#DIV/0!</v>
      </c>
      <c r="JUJ193" s="367" t="s">
        <v>206</v>
      </c>
      <c r="JUK193" s="367"/>
      <c r="JUL193" s="367"/>
      <c r="JUM193" s="368" t="s">
        <v>168</v>
      </c>
      <c r="JUN193" s="369">
        <v>0.5</v>
      </c>
      <c r="JUO193" s="370" t="e">
        <f>10/JUK191</f>
        <v>#DIV/0!</v>
      </c>
      <c r="JUP193" s="371">
        <v>15.38</v>
      </c>
      <c r="JUQ193" s="371" t="e">
        <f>JUN193*JUO193*JUP193</f>
        <v>#DIV/0!</v>
      </c>
      <c r="JUR193" s="367" t="s">
        <v>206</v>
      </c>
      <c r="JUS193" s="367"/>
      <c r="JUT193" s="367"/>
      <c r="JUU193" s="368" t="s">
        <v>168</v>
      </c>
      <c r="JUV193" s="369">
        <v>0.5</v>
      </c>
      <c r="JUW193" s="370" t="e">
        <f>10/JUS191</f>
        <v>#DIV/0!</v>
      </c>
      <c r="JUX193" s="371">
        <v>15.38</v>
      </c>
      <c r="JUY193" s="371" t="e">
        <f>JUV193*JUW193*JUX193</f>
        <v>#DIV/0!</v>
      </c>
      <c r="JUZ193" s="367" t="s">
        <v>206</v>
      </c>
      <c r="JVA193" s="367"/>
      <c r="JVB193" s="367"/>
      <c r="JVC193" s="368" t="s">
        <v>168</v>
      </c>
      <c r="JVD193" s="369">
        <v>0.5</v>
      </c>
      <c r="JVE193" s="370" t="e">
        <f>10/JVA191</f>
        <v>#DIV/0!</v>
      </c>
      <c r="JVF193" s="371">
        <v>15.38</v>
      </c>
      <c r="JVG193" s="371" t="e">
        <f>JVD193*JVE193*JVF193</f>
        <v>#DIV/0!</v>
      </c>
      <c r="JVH193" s="367" t="s">
        <v>206</v>
      </c>
      <c r="JVI193" s="367"/>
      <c r="JVJ193" s="367"/>
      <c r="JVK193" s="368" t="s">
        <v>168</v>
      </c>
      <c r="JVL193" s="369">
        <v>0.5</v>
      </c>
      <c r="JVM193" s="370" t="e">
        <f>10/JVI191</f>
        <v>#DIV/0!</v>
      </c>
      <c r="JVN193" s="371">
        <v>15.38</v>
      </c>
      <c r="JVO193" s="371" t="e">
        <f>JVL193*JVM193*JVN193</f>
        <v>#DIV/0!</v>
      </c>
      <c r="JVP193" s="367" t="s">
        <v>206</v>
      </c>
      <c r="JVQ193" s="367"/>
      <c r="JVR193" s="367"/>
      <c r="JVS193" s="368" t="s">
        <v>168</v>
      </c>
      <c r="JVT193" s="369">
        <v>0.5</v>
      </c>
      <c r="JVU193" s="370" t="e">
        <f>10/JVQ191</f>
        <v>#DIV/0!</v>
      </c>
      <c r="JVV193" s="371">
        <v>15.38</v>
      </c>
      <c r="JVW193" s="371" t="e">
        <f>JVT193*JVU193*JVV193</f>
        <v>#DIV/0!</v>
      </c>
      <c r="JVX193" s="367" t="s">
        <v>206</v>
      </c>
      <c r="JVY193" s="367"/>
      <c r="JVZ193" s="367"/>
      <c r="JWA193" s="368" t="s">
        <v>168</v>
      </c>
      <c r="JWB193" s="369">
        <v>0.5</v>
      </c>
      <c r="JWC193" s="370" t="e">
        <f>10/JVY191</f>
        <v>#DIV/0!</v>
      </c>
      <c r="JWD193" s="371">
        <v>15.38</v>
      </c>
      <c r="JWE193" s="371" t="e">
        <f>JWB193*JWC193*JWD193</f>
        <v>#DIV/0!</v>
      </c>
      <c r="JWF193" s="367" t="s">
        <v>206</v>
      </c>
      <c r="JWG193" s="367"/>
      <c r="JWH193" s="367"/>
      <c r="JWI193" s="368" t="s">
        <v>168</v>
      </c>
      <c r="JWJ193" s="369">
        <v>0.5</v>
      </c>
      <c r="JWK193" s="370" t="e">
        <f>10/JWG191</f>
        <v>#DIV/0!</v>
      </c>
      <c r="JWL193" s="371">
        <v>15.38</v>
      </c>
      <c r="JWM193" s="371" t="e">
        <f>JWJ193*JWK193*JWL193</f>
        <v>#DIV/0!</v>
      </c>
      <c r="JWN193" s="367" t="s">
        <v>206</v>
      </c>
      <c r="JWO193" s="367"/>
      <c r="JWP193" s="367"/>
      <c r="JWQ193" s="368" t="s">
        <v>168</v>
      </c>
      <c r="JWR193" s="369">
        <v>0.5</v>
      </c>
      <c r="JWS193" s="370" t="e">
        <f>10/JWO191</f>
        <v>#DIV/0!</v>
      </c>
      <c r="JWT193" s="371">
        <v>15.38</v>
      </c>
      <c r="JWU193" s="371" t="e">
        <f>JWR193*JWS193*JWT193</f>
        <v>#DIV/0!</v>
      </c>
      <c r="JWV193" s="367" t="s">
        <v>206</v>
      </c>
      <c r="JWW193" s="367"/>
      <c r="JWX193" s="367"/>
      <c r="JWY193" s="368" t="s">
        <v>168</v>
      </c>
      <c r="JWZ193" s="369">
        <v>0.5</v>
      </c>
      <c r="JXA193" s="370" t="e">
        <f>10/JWW191</f>
        <v>#DIV/0!</v>
      </c>
      <c r="JXB193" s="371">
        <v>15.38</v>
      </c>
      <c r="JXC193" s="371" t="e">
        <f>JWZ193*JXA193*JXB193</f>
        <v>#DIV/0!</v>
      </c>
      <c r="JXD193" s="367" t="s">
        <v>206</v>
      </c>
      <c r="JXE193" s="367"/>
      <c r="JXF193" s="367"/>
      <c r="JXG193" s="368" t="s">
        <v>168</v>
      </c>
      <c r="JXH193" s="369">
        <v>0.5</v>
      </c>
      <c r="JXI193" s="370" t="e">
        <f>10/JXE191</f>
        <v>#DIV/0!</v>
      </c>
      <c r="JXJ193" s="371">
        <v>15.38</v>
      </c>
      <c r="JXK193" s="371" t="e">
        <f>JXH193*JXI193*JXJ193</f>
        <v>#DIV/0!</v>
      </c>
      <c r="JXL193" s="367" t="s">
        <v>206</v>
      </c>
      <c r="JXM193" s="367"/>
      <c r="JXN193" s="367"/>
      <c r="JXO193" s="368" t="s">
        <v>168</v>
      </c>
      <c r="JXP193" s="369">
        <v>0.5</v>
      </c>
      <c r="JXQ193" s="370" t="e">
        <f>10/JXM191</f>
        <v>#DIV/0!</v>
      </c>
      <c r="JXR193" s="371">
        <v>15.38</v>
      </c>
      <c r="JXS193" s="371" t="e">
        <f>JXP193*JXQ193*JXR193</f>
        <v>#DIV/0!</v>
      </c>
      <c r="JXT193" s="367" t="s">
        <v>206</v>
      </c>
      <c r="JXU193" s="367"/>
      <c r="JXV193" s="367"/>
      <c r="JXW193" s="368" t="s">
        <v>168</v>
      </c>
      <c r="JXX193" s="369">
        <v>0.5</v>
      </c>
      <c r="JXY193" s="370" t="e">
        <f>10/JXU191</f>
        <v>#DIV/0!</v>
      </c>
      <c r="JXZ193" s="371">
        <v>15.38</v>
      </c>
      <c r="JYA193" s="371" t="e">
        <f>JXX193*JXY193*JXZ193</f>
        <v>#DIV/0!</v>
      </c>
      <c r="JYB193" s="367" t="s">
        <v>206</v>
      </c>
      <c r="JYC193" s="367"/>
      <c r="JYD193" s="367"/>
      <c r="JYE193" s="368" t="s">
        <v>168</v>
      </c>
      <c r="JYF193" s="369">
        <v>0.5</v>
      </c>
      <c r="JYG193" s="370" t="e">
        <f>10/JYC191</f>
        <v>#DIV/0!</v>
      </c>
      <c r="JYH193" s="371">
        <v>15.38</v>
      </c>
      <c r="JYI193" s="371" t="e">
        <f>JYF193*JYG193*JYH193</f>
        <v>#DIV/0!</v>
      </c>
      <c r="JYJ193" s="367" t="s">
        <v>206</v>
      </c>
      <c r="JYK193" s="367"/>
      <c r="JYL193" s="367"/>
      <c r="JYM193" s="368" t="s">
        <v>168</v>
      </c>
      <c r="JYN193" s="369">
        <v>0.5</v>
      </c>
      <c r="JYO193" s="370" t="e">
        <f>10/JYK191</f>
        <v>#DIV/0!</v>
      </c>
      <c r="JYP193" s="371">
        <v>15.38</v>
      </c>
      <c r="JYQ193" s="371" t="e">
        <f>JYN193*JYO193*JYP193</f>
        <v>#DIV/0!</v>
      </c>
      <c r="JYR193" s="367" t="s">
        <v>206</v>
      </c>
      <c r="JYS193" s="367"/>
      <c r="JYT193" s="367"/>
      <c r="JYU193" s="368" t="s">
        <v>168</v>
      </c>
      <c r="JYV193" s="369">
        <v>0.5</v>
      </c>
      <c r="JYW193" s="370" t="e">
        <f>10/JYS191</f>
        <v>#DIV/0!</v>
      </c>
      <c r="JYX193" s="371">
        <v>15.38</v>
      </c>
      <c r="JYY193" s="371" t="e">
        <f>JYV193*JYW193*JYX193</f>
        <v>#DIV/0!</v>
      </c>
      <c r="JYZ193" s="367" t="s">
        <v>206</v>
      </c>
      <c r="JZA193" s="367"/>
      <c r="JZB193" s="367"/>
      <c r="JZC193" s="368" t="s">
        <v>168</v>
      </c>
      <c r="JZD193" s="369">
        <v>0.5</v>
      </c>
      <c r="JZE193" s="370" t="e">
        <f>10/JZA191</f>
        <v>#DIV/0!</v>
      </c>
      <c r="JZF193" s="371">
        <v>15.38</v>
      </c>
      <c r="JZG193" s="371" t="e">
        <f>JZD193*JZE193*JZF193</f>
        <v>#DIV/0!</v>
      </c>
      <c r="JZH193" s="367" t="s">
        <v>206</v>
      </c>
      <c r="JZI193" s="367"/>
      <c r="JZJ193" s="367"/>
      <c r="JZK193" s="368" t="s">
        <v>168</v>
      </c>
      <c r="JZL193" s="369">
        <v>0.5</v>
      </c>
      <c r="JZM193" s="370" t="e">
        <f>10/JZI191</f>
        <v>#DIV/0!</v>
      </c>
      <c r="JZN193" s="371">
        <v>15.38</v>
      </c>
      <c r="JZO193" s="371" t="e">
        <f>JZL193*JZM193*JZN193</f>
        <v>#DIV/0!</v>
      </c>
      <c r="JZP193" s="367" t="s">
        <v>206</v>
      </c>
      <c r="JZQ193" s="367"/>
      <c r="JZR193" s="367"/>
      <c r="JZS193" s="368" t="s">
        <v>168</v>
      </c>
      <c r="JZT193" s="369">
        <v>0.5</v>
      </c>
      <c r="JZU193" s="370" t="e">
        <f>10/JZQ191</f>
        <v>#DIV/0!</v>
      </c>
      <c r="JZV193" s="371">
        <v>15.38</v>
      </c>
      <c r="JZW193" s="371" t="e">
        <f>JZT193*JZU193*JZV193</f>
        <v>#DIV/0!</v>
      </c>
      <c r="JZX193" s="367" t="s">
        <v>206</v>
      </c>
      <c r="JZY193" s="367"/>
      <c r="JZZ193" s="367"/>
      <c r="KAA193" s="368" t="s">
        <v>168</v>
      </c>
      <c r="KAB193" s="369">
        <v>0.5</v>
      </c>
      <c r="KAC193" s="370" t="e">
        <f>10/JZY191</f>
        <v>#DIV/0!</v>
      </c>
      <c r="KAD193" s="371">
        <v>15.38</v>
      </c>
      <c r="KAE193" s="371" t="e">
        <f>KAB193*KAC193*KAD193</f>
        <v>#DIV/0!</v>
      </c>
      <c r="KAF193" s="367" t="s">
        <v>206</v>
      </c>
      <c r="KAG193" s="367"/>
      <c r="KAH193" s="367"/>
      <c r="KAI193" s="368" t="s">
        <v>168</v>
      </c>
      <c r="KAJ193" s="369">
        <v>0.5</v>
      </c>
      <c r="KAK193" s="370" t="e">
        <f>10/KAG191</f>
        <v>#DIV/0!</v>
      </c>
      <c r="KAL193" s="371">
        <v>15.38</v>
      </c>
      <c r="KAM193" s="371" t="e">
        <f>KAJ193*KAK193*KAL193</f>
        <v>#DIV/0!</v>
      </c>
      <c r="KAN193" s="367" t="s">
        <v>206</v>
      </c>
      <c r="KAO193" s="367"/>
      <c r="KAP193" s="367"/>
      <c r="KAQ193" s="368" t="s">
        <v>168</v>
      </c>
      <c r="KAR193" s="369">
        <v>0.5</v>
      </c>
      <c r="KAS193" s="370" t="e">
        <f>10/KAO191</f>
        <v>#DIV/0!</v>
      </c>
      <c r="KAT193" s="371">
        <v>15.38</v>
      </c>
      <c r="KAU193" s="371" t="e">
        <f>KAR193*KAS193*KAT193</f>
        <v>#DIV/0!</v>
      </c>
      <c r="KAV193" s="367" t="s">
        <v>206</v>
      </c>
      <c r="KAW193" s="367"/>
      <c r="KAX193" s="367"/>
      <c r="KAY193" s="368" t="s">
        <v>168</v>
      </c>
      <c r="KAZ193" s="369">
        <v>0.5</v>
      </c>
      <c r="KBA193" s="370" t="e">
        <f>10/KAW191</f>
        <v>#DIV/0!</v>
      </c>
      <c r="KBB193" s="371">
        <v>15.38</v>
      </c>
      <c r="KBC193" s="371" t="e">
        <f>KAZ193*KBA193*KBB193</f>
        <v>#DIV/0!</v>
      </c>
      <c r="KBD193" s="367" t="s">
        <v>206</v>
      </c>
      <c r="KBE193" s="367"/>
      <c r="KBF193" s="367"/>
      <c r="KBG193" s="368" t="s">
        <v>168</v>
      </c>
      <c r="KBH193" s="369">
        <v>0.5</v>
      </c>
      <c r="KBI193" s="370" t="e">
        <f>10/KBE191</f>
        <v>#DIV/0!</v>
      </c>
      <c r="KBJ193" s="371">
        <v>15.38</v>
      </c>
      <c r="KBK193" s="371" t="e">
        <f>KBH193*KBI193*KBJ193</f>
        <v>#DIV/0!</v>
      </c>
      <c r="KBL193" s="367" t="s">
        <v>206</v>
      </c>
      <c r="KBM193" s="367"/>
      <c r="KBN193" s="367"/>
      <c r="KBO193" s="368" t="s">
        <v>168</v>
      </c>
      <c r="KBP193" s="369">
        <v>0.5</v>
      </c>
      <c r="KBQ193" s="370" t="e">
        <f>10/KBM191</f>
        <v>#DIV/0!</v>
      </c>
      <c r="KBR193" s="371">
        <v>15.38</v>
      </c>
      <c r="KBS193" s="371" t="e">
        <f>KBP193*KBQ193*KBR193</f>
        <v>#DIV/0!</v>
      </c>
      <c r="KBT193" s="367" t="s">
        <v>206</v>
      </c>
      <c r="KBU193" s="367"/>
      <c r="KBV193" s="367"/>
      <c r="KBW193" s="368" t="s">
        <v>168</v>
      </c>
      <c r="KBX193" s="369">
        <v>0.5</v>
      </c>
      <c r="KBY193" s="370" t="e">
        <f>10/KBU191</f>
        <v>#DIV/0!</v>
      </c>
      <c r="KBZ193" s="371">
        <v>15.38</v>
      </c>
      <c r="KCA193" s="371" t="e">
        <f>KBX193*KBY193*KBZ193</f>
        <v>#DIV/0!</v>
      </c>
      <c r="KCB193" s="367" t="s">
        <v>206</v>
      </c>
      <c r="KCC193" s="367"/>
      <c r="KCD193" s="367"/>
      <c r="KCE193" s="368" t="s">
        <v>168</v>
      </c>
      <c r="KCF193" s="369">
        <v>0.5</v>
      </c>
      <c r="KCG193" s="370" t="e">
        <f>10/KCC191</f>
        <v>#DIV/0!</v>
      </c>
      <c r="KCH193" s="371">
        <v>15.38</v>
      </c>
      <c r="KCI193" s="371" t="e">
        <f>KCF193*KCG193*KCH193</f>
        <v>#DIV/0!</v>
      </c>
      <c r="KCJ193" s="367" t="s">
        <v>206</v>
      </c>
      <c r="KCK193" s="367"/>
      <c r="KCL193" s="367"/>
      <c r="KCM193" s="368" t="s">
        <v>168</v>
      </c>
      <c r="KCN193" s="369">
        <v>0.5</v>
      </c>
      <c r="KCO193" s="370" t="e">
        <f>10/KCK191</f>
        <v>#DIV/0!</v>
      </c>
      <c r="KCP193" s="371">
        <v>15.38</v>
      </c>
      <c r="KCQ193" s="371" t="e">
        <f>KCN193*KCO193*KCP193</f>
        <v>#DIV/0!</v>
      </c>
      <c r="KCR193" s="367" t="s">
        <v>206</v>
      </c>
      <c r="KCS193" s="367"/>
      <c r="KCT193" s="367"/>
      <c r="KCU193" s="368" t="s">
        <v>168</v>
      </c>
      <c r="KCV193" s="369">
        <v>0.5</v>
      </c>
      <c r="KCW193" s="370" t="e">
        <f>10/KCS191</f>
        <v>#DIV/0!</v>
      </c>
      <c r="KCX193" s="371">
        <v>15.38</v>
      </c>
      <c r="KCY193" s="371" t="e">
        <f>KCV193*KCW193*KCX193</f>
        <v>#DIV/0!</v>
      </c>
      <c r="KCZ193" s="367" t="s">
        <v>206</v>
      </c>
      <c r="KDA193" s="367"/>
      <c r="KDB193" s="367"/>
      <c r="KDC193" s="368" t="s">
        <v>168</v>
      </c>
      <c r="KDD193" s="369">
        <v>0.5</v>
      </c>
      <c r="KDE193" s="370" t="e">
        <f>10/KDA191</f>
        <v>#DIV/0!</v>
      </c>
      <c r="KDF193" s="371">
        <v>15.38</v>
      </c>
      <c r="KDG193" s="371" t="e">
        <f>KDD193*KDE193*KDF193</f>
        <v>#DIV/0!</v>
      </c>
      <c r="KDH193" s="367" t="s">
        <v>206</v>
      </c>
      <c r="KDI193" s="367"/>
      <c r="KDJ193" s="367"/>
      <c r="KDK193" s="368" t="s">
        <v>168</v>
      </c>
      <c r="KDL193" s="369">
        <v>0.5</v>
      </c>
      <c r="KDM193" s="370" t="e">
        <f>10/KDI191</f>
        <v>#DIV/0!</v>
      </c>
      <c r="KDN193" s="371">
        <v>15.38</v>
      </c>
      <c r="KDO193" s="371" t="e">
        <f>KDL193*KDM193*KDN193</f>
        <v>#DIV/0!</v>
      </c>
      <c r="KDP193" s="367" t="s">
        <v>206</v>
      </c>
      <c r="KDQ193" s="367"/>
      <c r="KDR193" s="367"/>
      <c r="KDS193" s="368" t="s">
        <v>168</v>
      </c>
      <c r="KDT193" s="369">
        <v>0.5</v>
      </c>
      <c r="KDU193" s="370" t="e">
        <f>10/KDQ191</f>
        <v>#DIV/0!</v>
      </c>
      <c r="KDV193" s="371">
        <v>15.38</v>
      </c>
      <c r="KDW193" s="371" t="e">
        <f>KDT193*KDU193*KDV193</f>
        <v>#DIV/0!</v>
      </c>
      <c r="KDX193" s="367" t="s">
        <v>206</v>
      </c>
      <c r="KDY193" s="367"/>
      <c r="KDZ193" s="367"/>
      <c r="KEA193" s="368" t="s">
        <v>168</v>
      </c>
      <c r="KEB193" s="369">
        <v>0.5</v>
      </c>
      <c r="KEC193" s="370" t="e">
        <f>10/KDY191</f>
        <v>#DIV/0!</v>
      </c>
      <c r="KED193" s="371">
        <v>15.38</v>
      </c>
      <c r="KEE193" s="371" t="e">
        <f>KEB193*KEC193*KED193</f>
        <v>#DIV/0!</v>
      </c>
      <c r="KEF193" s="367" t="s">
        <v>206</v>
      </c>
      <c r="KEG193" s="367"/>
      <c r="KEH193" s="367"/>
      <c r="KEI193" s="368" t="s">
        <v>168</v>
      </c>
      <c r="KEJ193" s="369">
        <v>0.5</v>
      </c>
      <c r="KEK193" s="370" t="e">
        <f>10/KEG191</f>
        <v>#DIV/0!</v>
      </c>
      <c r="KEL193" s="371">
        <v>15.38</v>
      </c>
      <c r="KEM193" s="371" t="e">
        <f>KEJ193*KEK193*KEL193</f>
        <v>#DIV/0!</v>
      </c>
      <c r="KEN193" s="367" t="s">
        <v>206</v>
      </c>
      <c r="KEO193" s="367"/>
      <c r="KEP193" s="367"/>
      <c r="KEQ193" s="368" t="s">
        <v>168</v>
      </c>
      <c r="KER193" s="369">
        <v>0.5</v>
      </c>
      <c r="KES193" s="370" t="e">
        <f>10/KEO191</f>
        <v>#DIV/0!</v>
      </c>
      <c r="KET193" s="371">
        <v>15.38</v>
      </c>
      <c r="KEU193" s="371" t="e">
        <f>KER193*KES193*KET193</f>
        <v>#DIV/0!</v>
      </c>
      <c r="KEV193" s="367" t="s">
        <v>206</v>
      </c>
      <c r="KEW193" s="367"/>
      <c r="KEX193" s="367"/>
      <c r="KEY193" s="368" t="s">
        <v>168</v>
      </c>
      <c r="KEZ193" s="369">
        <v>0.5</v>
      </c>
      <c r="KFA193" s="370" t="e">
        <f>10/KEW191</f>
        <v>#DIV/0!</v>
      </c>
      <c r="KFB193" s="371">
        <v>15.38</v>
      </c>
      <c r="KFC193" s="371" t="e">
        <f>KEZ193*KFA193*KFB193</f>
        <v>#DIV/0!</v>
      </c>
      <c r="KFD193" s="367" t="s">
        <v>206</v>
      </c>
      <c r="KFE193" s="367"/>
      <c r="KFF193" s="367"/>
      <c r="KFG193" s="368" t="s">
        <v>168</v>
      </c>
      <c r="KFH193" s="369">
        <v>0.5</v>
      </c>
      <c r="KFI193" s="370" t="e">
        <f>10/KFE191</f>
        <v>#DIV/0!</v>
      </c>
      <c r="KFJ193" s="371">
        <v>15.38</v>
      </c>
      <c r="KFK193" s="371" t="e">
        <f>KFH193*KFI193*KFJ193</f>
        <v>#DIV/0!</v>
      </c>
      <c r="KFL193" s="367" t="s">
        <v>206</v>
      </c>
      <c r="KFM193" s="367"/>
      <c r="KFN193" s="367"/>
      <c r="KFO193" s="368" t="s">
        <v>168</v>
      </c>
      <c r="KFP193" s="369">
        <v>0.5</v>
      </c>
      <c r="KFQ193" s="370" t="e">
        <f>10/KFM191</f>
        <v>#DIV/0!</v>
      </c>
      <c r="KFR193" s="371">
        <v>15.38</v>
      </c>
      <c r="KFS193" s="371" t="e">
        <f>KFP193*KFQ193*KFR193</f>
        <v>#DIV/0!</v>
      </c>
      <c r="KFT193" s="367" t="s">
        <v>206</v>
      </c>
      <c r="KFU193" s="367"/>
      <c r="KFV193" s="367"/>
      <c r="KFW193" s="368" t="s">
        <v>168</v>
      </c>
      <c r="KFX193" s="369">
        <v>0.5</v>
      </c>
      <c r="KFY193" s="370" t="e">
        <f>10/KFU191</f>
        <v>#DIV/0!</v>
      </c>
      <c r="KFZ193" s="371">
        <v>15.38</v>
      </c>
      <c r="KGA193" s="371" t="e">
        <f>KFX193*KFY193*KFZ193</f>
        <v>#DIV/0!</v>
      </c>
      <c r="KGB193" s="367" t="s">
        <v>206</v>
      </c>
      <c r="KGC193" s="367"/>
      <c r="KGD193" s="367"/>
      <c r="KGE193" s="368" t="s">
        <v>168</v>
      </c>
      <c r="KGF193" s="369">
        <v>0.5</v>
      </c>
      <c r="KGG193" s="370" t="e">
        <f>10/KGC191</f>
        <v>#DIV/0!</v>
      </c>
      <c r="KGH193" s="371">
        <v>15.38</v>
      </c>
      <c r="KGI193" s="371" t="e">
        <f>KGF193*KGG193*KGH193</f>
        <v>#DIV/0!</v>
      </c>
      <c r="KGJ193" s="367" t="s">
        <v>206</v>
      </c>
      <c r="KGK193" s="367"/>
      <c r="KGL193" s="367"/>
      <c r="KGM193" s="368" t="s">
        <v>168</v>
      </c>
      <c r="KGN193" s="369">
        <v>0.5</v>
      </c>
      <c r="KGO193" s="370" t="e">
        <f>10/KGK191</f>
        <v>#DIV/0!</v>
      </c>
      <c r="KGP193" s="371">
        <v>15.38</v>
      </c>
      <c r="KGQ193" s="371" t="e">
        <f>KGN193*KGO193*KGP193</f>
        <v>#DIV/0!</v>
      </c>
      <c r="KGR193" s="367" t="s">
        <v>206</v>
      </c>
      <c r="KGS193" s="367"/>
      <c r="KGT193" s="367"/>
      <c r="KGU193" s="368" t="s">
        <v>168</v>
      </c>
      <c r="KGV193" s="369">
        <v>0.5</v>
      </c>
      <c r="KGW193" s="370" t="e">
        <f>10/KGS191</f>
        <v>#DIV/0!</v>
      </c>
      <c r="KGX193" s="371">
        <v>15.38</v>
      </c>
      <c r="KGY193" s="371" t="e">
        <f>KGV193*KGW193*KGX193</f>
        <v>#DIV/0!</v>
      </c>
      <c r="KGZ193" s="367" t="s">
        <v>206</v>
      </c>
      <c r="KHA193" s="367"/>
      <c r="KHB193" s="367"/>
      <c r="KHC193" s="368" t="s">
        <v>168</v>
      </c>
      <c r="KHD193" s="369">
        <v>0.5</v>
      </c>
      <c r="KHE193" s="370" t="e">
        <f>10/KHA191</f>
        <v>#DIV/0!</v>
      </c>
      <c r="KHF193" s="371">
        <v>15.38</v>
      </c>
      <c r="KHG193" s="371" t="e">
        <f>KHD193*KHE193*KHF193</f>
        <v>#DIV/0!</v>
      </c>
      <c r="KHH193" s="367" t="s">
        <v>206</v>
      </c>
      <c r="KHI193" s="367"/>
      <c r="KHJ193" s="367"/>
      <c r="KHK193" s="368" t="s">
        <v>168</v>
      </c>
      <c r="KHL193" s="369">
        <v>0.5</v>
      </c>
      <c r="KHM193" s="370" t="e">
        <f>10/KHI191</f>
        <v>#DIV/0!</v>
      </c>
      <c r="KHN193" s="371">
        <v>15.38</v>
      </c>
      <c r="KHO193" s="371" t="e">
        <f>KHL193*KHM193*KHN193</f>
        <v>#DIV/0!</v>
      </c>
      <c r="KHP193" s="367" t="s">
        <v>206</v>
      </c>
      <c r="KHQ193" s="367"/>
      <c r="KHR193" s="367"/>
      <c r="KHS193" s="368" t="s">
        <v>168</v>
      </c>
      <c r="KHT193" s="369">
        <v>0.5</v>
      </c>
      <c r="KHU193" s="370" t="e">
        <f>10/KHQ191</f>
        <v>#DIV/0!</v>
      </c>
      <c r="KHV193" s="371">
        <v>15.38</v>
      </c>
      <c r="KHW193" s="371" t="e">
        <f>KHT193*KHU193*KHV193</f>
        <v>#DIV/0!</v>
      </c>
      <c r="KHX193" s="367" t="s">
        <v>206</v>
      </c>
      <c r="KHY193" s="367"/>
      <c r="KHZ193" s="367"/>
      <c r="KIA193" s="368" t="s">
        <v>168</v>
      </c>
      <c r="KIB193" s="369">
        <v>0.5</v>
      </c>
      <c r="KIC193" s="370" t="e">
        <f>10/KHY191</f>
        <v>#DIV/0!</v>
      </c>
      <c r="KID193" s="371">
        <v>15.38</v>
      </c>
      <c r="KIE193" s="371" t="e">
        <f>KIB193*KIC193*KID193</f>
        <v>#DIV/0!</v>
      </c>
      <c r="KIF193" s="367" t="s">
        <v>206</v>
      </c>
      <c r="KIG193" s="367"/>
      <c r="KIH193" s="367"/>
      <c r="KII193" s="368" t="s">
        <v>168</v>
      </c>
      <c r="KIJ193" s="369">
        <v>0.5</v>
      </c>
      <c r="KIK193" s="370" t="e">
        <f>10/KIG191</f>
        <v>#DIV/0!</v>
      </c>
      <c r="KIL193" s="371">
        <v>15.38</v>
      </c>
      <c r="KIM193" s="371" t="e">
        <f>KIJ193*KIK193*KIL193</f>
        <v>#DIV/0!</v>
      </c>
      <c r="KIN193" s="367" t="s">
        <v>206</v>
      </c>
      <c r="KIO193" s="367"/>
      <c r="KIP193" s="367"/>
      <c r="KIQ193" s="368" t="s">
        <v>168</v>
      </c>
      <c r="KIR193" s="369">
        <v>0.5</v>
      </c>
      <c r="KIS193" s="370" t="e">
        <f>10/KIO191</f>
        <v>#DIV/0!</v>
      </c>
      <c r="KIT193" s="371">
        <v>15.38</v>
      </c>
      <c r="KIU193" s="371" t="e">
        <f>KIR193*KIS193*KIT193</f>
        <v>#DIV/0!</v>
      </c>
      <c r="KIV193" s="367" t="s">
        <v>206</v>
      </c>
      <c r="KIW193" s="367"/>
      <c r="KIX193" s="367"/>
      <c r="KIY193" s="368" t="s">
        <v>168</v>
      </c>
      <c r="KIZ193" s="369">
        <v>0.5</v>
      </c>
      <c r="KJA193" s="370" t="e">
        <f>10/KIW191</f>
        <v>#DIV/0!</v>
      </c>
      <c r="KJB193" s="371">
        <v>15.38</v>
      </c>
      <c r="KJC193" s="371" t="e">
        <f>KIZ193*KJA193*KJB193</f>
        <v>#DIV/0!</v>
      </c>
      <c r="KJD193" s="367" t="s">
        <v>206</v>
      </c>
      <c r="KJE193" s="367"/>
      <c r="KJF193" s="367"/>
      <c r="KJG193" s="368" t="s">
        <v>168</v>
      </c>
      <c r="KJH193" s="369">
        <v>0.5</v>
      </c>
      <c r="KJI193" s="370" t="e">
        <f>10/KJE191</f>
        <v>#DIV/0!</v>
      </c>
      <c r="KJJ193" s="371">
        <v>15.38</v>
      </c>
      <c r="KJK193" s="371" t="e">
        <f>KJH193*KJI193*KJJ193</f>
        <v>#DIV/0!</v>
      </c>
      <c r="KJL193" s="367" t="s">
        <v>206</v>
      </c>
      <c r="KJM193" s="367"/>
      <c r="KJN193" s="367"/>
      <c r="KJO193" s="368" t="s">
        <v>168</v>
      </c>
      <c r="KJP193" s="369">
        <v>0.5</v>
      </c>
      <c r="KJQ193" s="370" t="e">
        <f>10/KJM191</f>
        <v>#DIV/0!</v>
      </c>
      <c r="KJR193" s="371">
        <v>15.38</v>
      </c>
      <c r="KJS193" s="371" t="e">
        <f>KJP193*KJQ193*KJR193</f>
        <v>#DIV/0!</v>
      </c>
      <c r="KJT193" s="367" t="s">
        <v>206</v>
      </c>
      <c r="KJU193" s="367"/>
      <c r="KJV193" s="367"/>
      <c r="KJW193" s="368" t="s">
        <v>168</v>
      </c>
      <c r="KJX193" s="369">
        <v>0.5</v>
      </c>
      <c r="KJY193" s="370" t="e">
        <f>10/KJU191</f>
        <v>#DIV/0!</v>
      </c>
      <c r="KJZ193" s="371">
        <v>15.38</v>
      </c>
      <c r="KKA193" s="371" t="e">
        <f>KJX193*KJY193*KJZ193</f>
        <v>#DIV/0!</v>
      </c>
      <c r="KKB193" s="367" t="s">
        <v>206</v>
      </c>
      <c r="KKC193" s="367"/>
      <c r="KKD193" s="367"/>
      <c r="KKE193" s="368" t="s">
        <v>168</v>
      </c>
      <c r="KKF193" s="369">
        <v>0.5</v>
      </c>
      <c r="KKG193" s="370" t="e">
        <f>10/KKC191</f>
        <v>#DIV/0!</v>
      </c>
      <c r="KKH193" s="371">
        <v>15.38</v>
      </c>
      <c r="KKI193" s="371" t="e">
        <f>KKF193*KKG193*KKH193</f>
        <v>#DIV/0!</v>
      </c>
      <c r="KKJ193" s="367" t="s">
        <v>206</v>
      </c>
      <c r="KKK193" s="367"/>
      <c r="KKL193" s="367"/>
      <c r="KKM193" s="368" t="s">
        <v>168</v>
      </c>
      <c r="KKN193" s="369">
        <v>0.5</v>
      </c>
      <c r="KKO193" s="370" t="e">
        <f>10/KKK191</f>
        <v>#DIV/0!</v>
      </c>
      <c r="KKP193" s="371">
        <v>15.38</v>
      </c>
      <c r="KKQ193" s="371" t="e">
        <f>KKN193*KKO193*KKP193</f>
        <v>#DIV/0!</v>
      </c>
      <c r="KKR193" s="367" t="s">
        <v>206</v>
      </c>
      <c r="KKS193" s="367"/>
      <c r="KKT193" s="367"/>
      <c r="KKU193" s="368" t="s">
        <v>168</v>
      </c>
      <c r="KKV193" s="369">
        <v>0.5</v>
      </c>
      <c r="KKW193" s="370" t="e">
        <f>10/KKS191</f>
        <v>#DIV/0!</v>
      </c>
      <c r="KKX193" s="371">
        <v>15.38</v>
      </c>
      <c r="KKY193" s="371" t="e">
        <f>KKV193*KKW193*KKX193</f>
        <v>#DIV/0!</v>
      </c>
      <c r="KKZ193" s="367" t="s">
        <v>206</v>
      </c>
      <c r="KLA193" s="367"/>
      <c r="KLB193" s="367"/>
      <c r="KLC193" s="368" t="s">
        <v>168</v>
      </c>
      <c r="KLD193" s="369">
        <v>0.5</v>
      </c>
      <c r="KLE193" s="370" t="e">
        <f>10/KLA191</f>
        <v>#DIV/0!</v>
      </c>
      <c r="KLF193" s="371">
        <v>15.38</v>
      </c>
      <c r="KLG193" s="371" t="e">
        <f>KLD193*KLE193*KLF193</f>
        <v>#DIV/0!</v>
      </c>
      <c r="KLH193" s="367" t="s">
        <v>206</v>
      </c>
      <c r="KLI193" s="367"/>
      <c r="KLJ193" s="367"/>
      <c r="KLK193" s="368" t="s">
        <v>168</v>
      </c>
      <c r="KLL193" s="369">
        <v>0.5</v>
      </c>
      <c r="KLM193" s="370" t="e">
        <f>10/KLI191</f>
        <v>#DIV/0!</v>
      </c>
      <c r="KLN193" s="371">
        <v>15.38</v>
      </c>
      <c r="KLO193" s="371" t="e">
        <f>KLL193*KLM193*KLN193</f>
        <v>#DIV/0!</v>
      </c>
      <c r="KLP193" s="367" t="s">
        <v>206</v>
      </c>
      <c r="KLQ193" s="367"/>
      <c r="KLR193" s="367"/>
      <c r="KLS193" s="368" t="s">
        <v>168</v>
      </c>
      <c r="KLT193" s="369">
        <v>0.5</v>
      </c>
      <c r="KLU193" s="370" t="e">
        <f>10/KLQ191</f>
        <v>#DIV/0!</v>
      </c>
      <c r="KLV193" s="371">
        <v>15.38</v>
      </c>
      <c r="KLW193" s="371" t="e">
        <f>KLT193*KLU193*KLV193</f>
        <v>#DIV/0!</v>
      </c>
      <c r="KLX193" s="367" t="s">
        <v>206</v>
      </c>
      <c r="KLY193" s="367"/>
      <c r="KLZ193" s="367"/>
      <c r="KMA193" s="368" t="s">
        <v>168</v>
      </c>
      <c r="KMB193" s="369">
        <v>0.5</v>
      </c>
      <c r="KMC193" s="370" t="e">
        <f>10/KLY191</f>
        <v>#DIV/0!</v>
      </c>
      <c r="KMD193" s="371">
        <v>15.38</v>
      </c>
      <c r="KME193" s="371" t="e">
        <f>KMB193*KMC193*KMD193</f>
        <v>#DIV/0!</v>
      </c>
      <c r="KMF193" s="367" t="s">
        <v>206</v>
      </c>
      <c r="KMG193" s="367"/>
      <c r="KMH193" s="367"/>
      <c r="KMI193" s="368" t="s">
        <v>168</v>
      </c>
      <c r="KMJ193" s="369">
        <v>0.5</v>
      </c>
      <c r="KMK193" s="370" t="e">
        <f>10/KMG191</f>
        <v>#DIV/0!</v>
      </c>
      <c r="KML193" s="371">
        <v>15.38</v>
      </c>
      <c r="KMM193" s="371" t="e">
        <f>KMJ193*KMK193*KML193</f>
        <v>#DIV/0!</v>
      </c>
      <c r="KMN193" s="367" t="s">
        <v>206</v>
      </c>
      <c r="KMO193" s="367"/>
      <c r="KMP193" s="367"/>
      <c r="KMQ193" s="368" t="s">
        <v>168</v>
      </c>
      <c r="KMR193" s="369">
        <v>0.5</v>
      </c>
      <c r="KMS193" s="370" t="e">
        <f>10/KMO191</f>
        <v>#DIV/0!</v>
      </c>
      <c r="KMT193" s="371">
        <v>15.38</v>
      </c>
      <c r="KMU193" s="371" t="e">
        <f>KMR193*KMS193*KMT193</f>
        <v>#DIV/0!</v>
      </c>
      <c r="KMV193" s="367" t="s">
        <v>206</v>
      </c>
      <c r="KMW193" s="367"/>
      <c r="KMX193" s="367"/>
      <c r="KMY193" s="368" t="s">
        <v>168</v>
      </c>
      <c r="KMZ193" s="369">
        <v>0.5</v>
      </c>
      <c r="KNA193" s="370" t="e">
        <f>10/KMW191</f>
        <v>#DIV/0!</v>
      </c>
      <c r="KNB193" s="371">
        <v>15.38</v>
      </c>
      <c r="KNC193" s="371" t="e">
        <f>KMZ193*KNA193*KNB193</f>
        <v>#DIV/0!</v>
      </c>
      <c r="KND193" s="367" t="s">
        <v>206</v>
      </c>
      <c r="KNE193" s="367"/>
      <c r="KNF193" s="367"/>
      <c r="KNG193" s="368" t="s">
        <v>168</v>
      </c>
      <c r="KNH193" s="369">
        <v>0.5</v>
      </c>
      <c r="KNI193" s="370" t="e">
        <f>10/KNE191</f>
        <v>#DIV/0!</v>
      </c>
      <c r="KNJ193" s="371">
        <v>15.38</v>
      </c>
      <c r="KNK193" s="371" t="e">
        <f>KNH193*KNI193*KNJ193</f>
        <v>#DIV/0!</v>
      </c>
      <c r="KNL193" s="367" t="s">
        <v>206</v>
      </c>
      <c r="KNM193" s="367"/>
      <c r="KNN193" s="367"/>
      <c r="KNO193" s="368" t="s">
        <v>168</v>
      </c>
      <c r="KNP193" s="369">
        <v>0.5</v>
      </c>
      <c r="KNQ193" s="370" t="e">
        <f>10/KNM191</f>
        <v>#DIV/0!</v>
      </c>
      <c r="KNR193" s="371">
        <v>15.38</v>
      </c>
      <c r="KNS193" s="371" t="e">
        <f>KNP193*KNQ193*KNR193</f>
        <v>#DIV/0!</v>
      </c>
      <c r="KNT193" s="367" t="s">
        <v>206</v>
      </c>
      <c r="KNU193" s="367"/>
      <c r="KNV193" s="367"/>
      <c r="KNW193" s="368" t="s">
        <v>168</v>
      </c>
      <c r="KNX193" s="369">
        <v>0.5</v>
      </c>
      <c r="KNY193" s="370" t="e">
        <f>10/KNU191</f>
        <v>#DIV/0!</v>
      </c>
      <c r="KNZ193" s="371">
        <v>15.38</v>
      </c>
      <c r="KOA193" s="371" t="e">
        <f>KNX193*KNY193*KNZ193</f>
        <v>#DIV/0!</v>
      </c>
      <c r="KOB193" s="367" t="s">
        <v>206</v>
      </c>
      <c r="KOC193" s="367"/>
      <c r="KOD193" s="367"/>
      <c r="KOE193" s="368" t="s">
        <v>168</v>
      </c>
      <c r="KOF193" s="369">
        <v>0.5</v>
      </c>
      <c r="KOG193" s="370" t="e">
        <f>10/KOC191</f>
        <v>#DIV/0!</v>
      </c>
      <c r="KOH193" s="371">
        <v>15.38</v>
      </c>
      <c r="KOI193" s="371" t="e">
        <f>KOF193*KOG193*KOH193</f>
        <v>#DIV/0!</v>
      </c>
      <c r="KOJ193" s="367" t="s">
        <v>206</v>
      </c>
      <c r="KOK193" s="367"/>
      <c r="KOL193" s="367"/>
      <c r="KOM193" s="368" t="s">
        <v>168</v>
      </c>
      <c r="KON193" s="369">
        <v>0.5</v>
      </c>
      <c r="KOO193" s="370" t="e">
        <f>10/KOK191</f>
        <v>#DIV/0!</v>
      </c>
      <c r="KOP193" s="371">
        <v>15.38</v>
      </c>
      <c r="KOQ193" s="371" t="e">
        <f>KON193*KOO193*KOP193</f>
        <v>#DIV/0!</v>
      </c>
      <c r="KOR193" s="367" t="s">
        <v>206</v>
      </c>
      <c r="KOS193" s="367"/>
      <c r="KOT193" s="367"/>
      <c r="KOU193" s="368" t="s">
        <v>168</v>
      </c>
      <c r="KOV193" s="369">
        <v>0.5</v>
      </c>
      <c r="KOW193" s="370" t="e">
        <f>10/KOS191</f>
        <v>#DIV/0!</v>
      </c>
      <c r="KOX193" s="371">
        <v>15.38</v>
      </c>
      <c r="KOY193" s="371" t="e">
        <f>KOV193*KOW193*KOX193</f>
        <v>#DIV/0!</v>
      </c>
      <c r="KOZ193" s="367" t="s">
        <v>206</v>
      </c>
      <c r="KPA193" s="367"/>
      <c r="KPB193" s="367"/>
      <c r="KPC193" s="368" t="s">
        <v>168</v>
      </c>
      <c r="KPD193" s="369">
        <v>0.5</v>
      </c>
      <c r="KPE193" s="370" t="e">
        <f>10/KPA191</f>
        <v>#DIV/0!</v>
      </c>
      <c r="KPF193" s="371">
        <v>15.38</v>
      </c>
      <c r="KPG193" s="371" t="e">
        <f>KPD193*KPE193*KPF193</f>
        <v>#DIV/0!</v>
      </c>
      <c r="KPH193" s="367" t="s">
        <v>206</v>
      </c>
      <c r="KPI193" s="367"/>
      <c r="KPJ193" s="367"/>
      <c r="KPK193" s="368" t="s">
        <v>168</v>
      </c>
      <c r="KPL193" s="369">
        <v>0.5</v>
      </c>
      <c r="KPM193" s="370" t="e">
        <f>10/KPI191</f>
        <v>#DIV/0!</v>
      </c>
      <c r="KPN193" s="371">
        <v>15.38</v>
      </c>
      <c r="KPO193" s="371" t="e">
        <f>KPL193*KPM193*KPN193</f>
        <v>#DIV/0!</v>
      </c>
      <c r="KPP193" s="367" t="s">
        <v>206</v>
      </c>
      <c r="KPQ193" s="367"/>
      <c r="KPR193" s="367"/>
      <c r="KPS193" s="368" t="s">
        <v>168</v>
      </c>
      <c r="KPT193" s="369">
        <v>0.5</v>
      </c>
      <c r="KPU193" s="370" t="e">
        <f>10/KPQ191</f>
        <v>#DIV/0!</v>
      </c>
      <c r="KPV193" s="371">
        <v>15.38</v>
      </c>
      <c r="KPW193" s="371" t="e">
        <f>KPT193*KPU193*KPV193</f>
        <v>#DIV/0!</v>
      </c>
      <c r="KPX193" s="367" t="s">
        <v>206</v>
      </c>
      <c r="KPY193" s="367"/>
      <c r="KPZ193" s="367"/>
      <c r="KQA193" s="368" t="s">
        <v>168</v>
      </c>
      <c r="KQB193" s="369">
        <v>0.5</v>
      </c>
      <c r="KQC193" s="370" t="e">
        <f>10/KPY191</f>
        <v>#DIV/0!</v>
      </c>
      <c r="KQD193" s="371">
        <v>15.38</v>
      </c>
      <c r="KQE193" s="371" t="e">
        <f>KQB193*KQC193*KQD193</f>
        <v>#DIV/0!</v>
      </c>
      <c r="KQF193" s="367" t="s">
        <v>206</v>
      </c>
      <c r="KQG193" s="367"/>
      <c r="KQH193" s="367"/>
      <c r="KQI193" s="368" t="s">
        <v>168</v>
      </c>
      <c r="KQJ193" s="369">
        <v>0.5</v>
      </c>
      <c r="KQK193" s="370" t="e">
        <f>10/KQG191</f>
        <v>#DIV/0!</v>
      </c>
      <c r="KQL193" s="371">
        <v>15.38</v>
      </c>
      <c r="KQM193" s="371" t="e">
        <f>KQJ193*KQK193*KQL193</f>
        <v>#DIV/0!</v>
      </c>
      <c r="KQN193" s="367" t="s">
        <v>206</v>
      </c>
      <c r="KQO193" s="367"/>
      <c r="KQP193" s="367"/>
      <c r="KQQ193" s="368" t="s">
        <v>168</v>
      </c>
      <c r="KQR193" s="369">
        <v>0.5</v>
      </c>
      <c r="KQS193" s="370" t="e">
        <f>10/KQO191</f>
        <v>#DIV/0!</v>
      </c>
      <c r="KQT193" s="371">
        <v>15.38</v>
      </c>
      <c r="KQU193" s="371" t="e">
        <f>KQR193*KQS193*KQT193</f>
        <v>#DIV/0!</v>
      </c>
      <c r="KQV193" s="367" t="s">
        <v>206</v>
      </c>
      <c r="KQW193" s="367"/>
      <c r="KQX193" s="367"/>
      <c r="KQY193" s="368" t="s">
        <v>168</v>
      </c>
      <c r="KQZ193" s="369">
        <v>0.5</v>
      </c>
      <c r="KRA193" s="370" t="e">
        <f>10/KQW191</f>
        <v>#DIV/0!</v>
      </c>
      <c r="KRB193" s="371">
        <v>15.38</v>
      </c>
      <c r="KRC193" s="371" t="e">
        <f>KQZ193*KRA193*KRB193</f>
        <v>#DIV/0!</v>
      </c>
      <c r="KRD193" s="367" t="s">
        <v>206</v>
      </c>
      <c r="KRE193" s="367"/>
      <c r="KRF193" s="367"/>
      <c r="KRG193" s="368" t="s">
        <v>168</v>
      </c>
      <c r="KRH193" s="369">
        <v>0.5</v>
      </c>
      <c r="KRI193" s="370" t="e">
        <f>10/KRE191</f>
        <v>#DIV/0!</v>
      </c>
      <c r="KRJ193" s="371">
        <v>15.38</v>
      </c>
      <c r="KRK193" s="371" t="e">
        <f>KRH193*KRI193*KRJ193</f>
        <v>#DIV/0!</v>
      </c>
      <c r="KRL193" s="367" t="s">
        <v>206</v>
      </c>
      <c r="KRM193" s="367"/>
      <c r="KRN193" s="367"/>
      <c r="KRO193" s="368" t="s">
        <v>168</v>
      </c>
      <c r="KRP193" s="369">
        <v>0.5</v>
      </c>
      <c r="KRQ193" s="370" t="e">
        <f>10/KRM191</f>
        <v>#DIV/0!</v>
      </c>
      <c r="KRR193" s="371">
        <v>15.38</v>
      </c>
      <c r="KRS193" s="371" t="e">
        <f>KRP193*KRQ193*KRR193</f>
        <v>#DIV/0!</v>
      </c>
      <c r="KRT193" s="367" t="s">
        <v>206</v>
      </c>
      <c r="KRU193" s="367"/>
      <c r="KRV193" s="367"/>
      <c r="KRW193" s="368" t="s">
        <v>168</v>
      </c>
      <c r="KRX193" s="369">
        <v>0.5</v>
      </c>
      <c r="KRY193" s="370" t="e">
        <f>10/KRU191</f>
        <v>#DIV/0!</v>
      </c>
      <c r="KRZ193" s="371">
        <v>15.38</v>
      </c>
      <c r="KSA193" s="371" t="e">
        <f>KRX193*KRY193*KRZ193</f>
        <v>#DIV/0!</v>
      </c>
      <c r="KSB193" s="367" t="s">
        <v>206</v>
      </c>
      <c r="KSC193" s="367"/>
      <c r="KSD193" s="367"/>
      <c r="KSE193" s="368" t="s">
        <v>168</v>
      </c>
      <c r="KSF193" s="369">
        <v>0.5</v>
      </c>
      <c r="KSG193" s="370" t="e">
        <f>10/KSC191</f>
        <v>#DIV/0!</v>
      </c>
      <c r="KSH193" s="371">
        <v>15.38</v>
      </c>
      <c r="KSI193" s="371" t="e">
        <f>KSF193*KSG193*KSH193</f>
        <v>#DIV/0!</v>
      </c>
      <c r="KSJ193" s="367" t="s">
        <v>206</v>
      </c>
      <c r="KSK193" s="367"/>
      <c r="KSL193" s="367"/>
      <c r="KSM193" s="368" t="s">
        <v>168</v>
      </c>
      <c r="KSN193" s="369">
        <v>0.5</v>
      </c>
      <c r="KSO193" s="370" t="e">
        <f>10/KSK191</f>
        <v>#DIV/0!</v>
      </c>
      <c r="KSP193" s="371">
        <v>15.38</v>
      </c>
      <c r="KSQ193" s="371" t="e">
        <f>KSN193*KSO193*KSP193</f>
        <v>#DIV/0!</v>
      </c>
      <c r="KSR193" s="367" t="s">
        <v>206</v>
      </c>
      <c r="KSS193" s="367"/>
      <c r="KST193" s="367"/>
      <c r="KSU193" s="368" t="s">
        <v>168</v>
      </c>
      <c r="KSV193" s="369">
        <v>0.5</v>
      </c>
      <c r="KSW193" s="370" t="e">
        <f>10/KSS191</f>
        <v>#DIV/0!</v>
      </c>
      <c r="KSX193" s="371">
        <v>15.38</v>
      </c>
      <c r="KSY193" s="371" t="e">
        <f>KSV193*KSW193*KSX193</f>
        <v>#DIV/0!</v>
      </c>
      <c r="KSZ193" s="367" t="s">
        <v>206</v>
      </c>
      <c r="KTA193" s="367"/>
      <c r="KTB193" s="367"/>
      <c r="KTC193" s="368" t="s">
        <v>168</v>
      </c>
      <c r="KTD193" s="369">
        <v>0.5</v>
      </c>
      <c r="KTE193" s="370" t="e">
        <f>10/KTA191</f>
        <v>#DIV/0!</v>
      </c>
      <c r="KTF193" s="371">
        <v>15.38</v>
      </c>
      <c r="KTG193" s="371" t="e">
        <f>KTD193*KTE193*KTF193</f>
        <v>#DIV/0!</v>
      </c>
      <c r="KTH193" s="367" t="s">
        <v>206</v>
      </c>
      <c r="KTI193" s="367"/>
      <c r="KTJ193" s="367"/>
      <c r="KTK193" s="368" t="s">
        <v>168</v>
      </c>
      <c r="KTL193" s="369">
        <v>0.5</v>
      </c>
      <c r="KTM193" s="370" t="e">
        <f>10/KTI191</f>
        <v>#DIV/0!</v>
      </c>
      <c r="KTN193" s="371">
        <v>15.38</v>
      </c>
      <c r="KTO193" s="371" t="e">
        <f>KTL193*KTM193*KTN193</f>
        <v>#DIV/0!</v>
      </c>
      <c r="KTP193" s="367" t="s">
        <v>206</v>
      </c>
      <c r="KTQ193" s="367"/>
      <c r="KTR193" s="367"/>
      <c r="KTS193" s="368" t="s">
        <v>168</v>
      </c>
      <c r="KTT193" s="369">
        <v>0.5</v>
      </c>
      <c r="KTU193" s="370" t="e">
        <f>10/KTQ191</f>
        <v>#DIV/0!</v>
      </c>
      <c r="KTV193" s="371">
        <v>15.38</v>
      </c>
      <c r="KTW193" s="371" t="e">
        <f>KTT193*KTU193*KTV193</f>
        <v>#DIV/0!</v>
      </c>
      <c r="KTX193" s="367" t="s">
        <v>206</v>
      </c>
      <c r="KTY193" s="367"/>
      <c r="KTZ193" s="367"/>
      <c r="KUA193" s="368" t="s">
        <v>168</v>
      </c>
      <c r="KUB193" s="369">
        <v>0.5</v>
      </c>
      <c r="KUC193" s="370" t="e">
        <f>10/KTY191</f>
        <v>#DIV/0!</v>
      </c>
      <c r="KUD193" s="371">
        <v>15.38</v>
      </c>
      <c r="KUE193" s="371" t="e">
        <f>KUB193*KUC193*KUD193</f>
        <v>#DIV/0!</v>
      </c>
      <c r="KUF193" s="367" t="s">
        <v>206</v>
      </c>
      <c r="KUG193" s="367"/>
      <c r="KUH193" s="367"/>
      <c r="KUI193" s="368" t="s">
        <v>168</v>
      </c>
      <c r="KUJ193" s="369">
        <v>0.5</v>
      </c>
      <c r="KUK193" s="370" t="e">
        <f>10/KUG191</f>
        <v>#DIV/0!</v>
      </c>
      <c r="KUL193" s="371">
        <v>15.38</v>
      </c>
      <c r="KUM193" s="371" t="e">
        <f>KUJ193*KUK193*KUL193</f>
        <v>#DIV/0!</v>
      </c>
      <c r="KUN193" s="367" t="s">
        <v>206</v>
      </c>
      <c r="KUO193" s="367"/>
      <c r="KUP193" s="367"/>
      <c r="KUQ193" s="368" t="s">
        <v>168</v>
      </c>
      <c r="KUR193" s="369">
        <v>0.5</v>
      </c>
      <c r="KUS193" s="370" t="e">
        <f>10/KUO191</f>
        <v>#DIV/0!</v>
      </c>
      <c r="KUT193" s="371">
        <v>15.38</v>
      </c>
      <c r="KUU193" s="371" t="e">
        <f>KUR193*KUS193*KUT193</f>
        <v>#DIV/0!</v>
      </c>
      <c r="KUV193" s="367" t="s">
        <v>206</v>
      </c>
      <c r="KUW193" s="367"/>
      <c r="KUX193" s="367"/>
      <c r="KUY193" s="368" t="s">
        <v>168</v>
      </c>
      <c r="KUZ193" s="369">
        <v>0.5</v>
      </c>
      <c r="KVA193" s="370" t="e">
        <f>10/KUW191</f>
        <v>#DIV/0!</v>
      </c>
      <c r="KVB193" s="371">
        <v>15.38</v>
      </c>
      <c r="KVC193" s="371" t="e">
        <f>KUZ193*KVA193*KVB193</f>
        <v>#DIV/0!</v>
      </c>
      <c r="KVD193" s="367" t="s">
        <v>206</v>
      </c>
      <c r="KVE193" s="367"/>
      <c r="KVF193" s="367"/>
      <c r="KVG193" s="368" t="s">
        <v>168</v>
      </c>
      <c r="KVH193" s="369">
        <v>0.5</v>
      </c>
      <c r="KVI193" s="370" t="e">
        <f>10/KVE191</f>
        <v>#DIV/0!</v>
      </c>
      <c r="KVJ193" s="371">
        <v>15.38</v>
      </c>
      <c r="KVK193" s="371" t="e">
        <f>KVH193*KVI193*KVJ193</f>
        <v>#DIV/0!</v>
      </c>
      <c r="KVL193" s="367" t="s">
        <v>206</v>
      </c>
      <c r="KVM193" s="367"/>
      <c r="KVN193" s="367"/>
      <c r="KVO193" s="368" t="s">
        <v>168</v>
      </c>
      <c r="KVP193" s="369">
        <v>0.5</v>
      </c>
      <c r="KVQ193" s="370" t="e">
        <f>10/KVM191</f>
        <v>#DIV/0!</v>
      </c>
      <c r="KVR193" s="371">
        <v>15.38</v>
      </c>
      <c r="KVS193" s="371" t="e">
        <f>KVP193*KVQ193*KVR193</f>
        <v>#DIV/0!</v>
      </c>
      <c r="KVT193" s="367" t="s">
        <v>206</v>
      </c>
      <c r="KVU193" s="367"/>
      <c r="KVV193" s="367"/>
      <c r="KVW193" s="368" t="s">
        <v>168</v>
      </c>
      <c r="KVX193" s="369">
        <v>0.5</v>
      </c>
      <c r="KVY193" s="370" t="e">
        <f>10/KVU191</f>
        <v>#DIV/0!</v>
      </c>
      <c r="KVZ193" s="371">
        <v>15.38</v>
      </c>
      <c r="KWA193" s="371" t="e">
        <f>KVX193*KVY193*KVZ193</f>
        <v>#DIV/0!</v>
      </c>
      <c r="KWB193" s="367" t="s">
        <v>206</v>
      </c>
      <c r="KWC193" s="367"/>
      <c r="KWD193" s="367"/>
      <c r="KWE193" s="368" t="s">
        <v>168</v>
      </c>
      <c r="KWF193" s="369">
        <v>0.5</v>
      </c>
      <c r="KWG193" s="370" t="e">
        <f>10/KWC191</f>
        <v>#DIV/0!</v>
      </c>
      <c r="KWH193" s="371">
        <v>15.38</v>
      </c>
      <c r="KWI193" s="371" t="e">
        <f>KWF193*KWG193*KWH193</f>
        <v>#DIV/0!</v>
      </c>
      <c r="KWJ193" s="367" t="s">
        <v>206</v>
      </c>
      <c r="KWK193" s="367"/>
      <c r="KWL193" s="367"/>
      <c r="KWM193" s="368" t="s">
        <v>168</v>
      </c>
      <c r="KWN193" s="369">
        <v>0.5</v>
      </c>
      <c r="KWO193" s="370" t="e">
        <f>10/KWK191</f>
        <v>#DIV/0!</v>
      </c>
      <c r="KWP193" s="371">
        <v>15.38</v>
      </c>
      <c r="KWQ193" s="371" t="e">
        <f>KWN193*KWO193*KWP193</f>
        <v>#DIV/0!</v>
      </c>
      <c r="KWR193" s="367" t="s">
        <v>206</v>
      </c>
      <c r="KWS193" s="367"/>
      <c r="KWT193" s="367"/>
      <c r="KWU193" s="368" t="s">
        <v>168</v>
      </c>
      <c r="KWV193" s="369">
        <v>0.5</v>
      </c>
      <c r="KWW193" s="370" t="e">
        <f>10/KWS191</f>
        <v>#DIV/0!</v>
      </c>
      <c r="KWX193" s="371">
        <v>15.38</v>
      </c>
      <c r="KWY193" s="371" t="e">
        <f>KWV193*KWW193*KWX193</f>
        <v>#DIV/0!</v>
      </c>
      <c r="KWZ193" s="367" t="s">
        <v>206</v>
      </c>
      <c r="KXA193" s="367"/>
      <c r="KXB193" s="367"/>
      <c r="KXC193" s="368" t="s">
        <v>168</v>
      </c>
      <c r="KXD193" s="369">
        <v>0.5</v>
      </c>
      <c r="KXE193" s="370" t="e">
        <f>10/KXA191</f>
        <v>#DIV/0!</v>
      </c>
      <c r="KXF193" s="371">
        <v>15.38</v>
      </c>
      <c r="KXG193" s="371" t="e">
        <f>KXD193*KXE193*KXF193</f>
        <v>#DIV/0!</v>
      </c>
      <c r="KXH193" s="367" t="s">
        <v>206</v>
      </c>
      <c r="KXI193" s="367"/>
      <c r="KXJ193" s="367"/>
      <c r="KXK193" s="368" t="s">
        <v>168</v>
      </c>
      <c r="KXL193" s="369">
        <v>0.5</v>
      </c>
      <c r="KXM193" s="370" t="e">
        <f>10/KXI191</f>
        <v>#DIV/0!</v>
      </c>
      <c r="KXN193" s="371">
        <v>15.38</v>
      </c>
      <c r="KXO193" s="371" t="e">
        <f>KXL193*KXM193*KXN193</f>
        <v>#DIV/0!</v>
      </c>
      <c r="KXP193" s="367" t="s">
        <v>206</v>
      </c>
      <c r="KXQ193" s="367"/>
      <c r="KXR193" s="367"/>
      <c r="KXS193" s="368" t="s">
        <v>168</v>
      </c>
      <c r="KXT193" s="369">
        <v>0.5</v>
      </c>
      <c r="KXU193" s="370" t="e">
        <f>10/KXQ191</f>
        <v>#DIV/0!</v>
      </c>
      <c r="KXV193" s="371">
        <v>15.38</v>
      </c>
      <c r="KXW193" s="371" t="e">
        <f>KXT193*KXU193*KXV193</f>
        <v>#DIV/0!</v>
      </c>
      <c r="KXX193" s="367" t="s">
        <v>206</v>
      </c>
      <c r="KXY193" s="367"/>
      <c r="KXZ193" s="367"/>
      <c r="KYA193" s="368" t="s">
        <v>168</v>
      </c>
      <c r="KYB193" s="369">
        <v>0.5</v>
      </c>
      <c r="KYC193" s="370" t="e">
        <f>10/KXY191</f>
        <v>#DIV/0!</v>
      </c>
      <c r="KYD193" s="371">
        <v>15.38</v>
      </c>
      <c r="KYE193" s="371" t="e">
        <f>KYB193*KYC193*KYD193</f>
        <v>#DIV/0!</v>
      </c>
      <c r="KYF193" s="367" t="s">
        <v>206</v>
      </c>
      <c r="KYG193" s="367"/>
      <c r="KYH193" s="367"/>
      <c r="KYI193" s="368" t="s">
        <v>168</v>
      </c>
      <c r="KYJ193" s="369">
        <v>0.5</v>
      </c>
      <c r="KYK193" s="370" t="e">
        <f>10/KYG191</f>
        <v>#DIV/0!</v>
      </c>
      <c r="KYL193" s="371">
        <v>15.38</v>
      </c>
      <c r="KYM193" s="371" t="e">
        <f>KYJ193*KYK193*KYL193</f>
        <v>#DIV/0!</v>
      </c>
      <c r="KYN193" s="367" t="s">
        <v>206</v>
      </c>
      <c r="KYO193" s="367"/>
      <c r="KYP193" s="367"/>
      <c r="KYQ193" s="368" t="s">
        <v>168</v>
      </c>
      <c r="KYR193" s="369">
        <v>0.5</v>
      </c>
      <c r="KYS193" s="370" t="e">
        <f>10/KYO191</f>
        <v>#DIV/0!</v>
      </c>
      <c r="KYT193" s="371">
        <v>15.38</v>
      </c>
      <c r="KYU193" s="371" t="e">
        <f>KYR193*KYS193*KYT193</f>
        <v>#DIV/0!</v>
      </c>
      <c r="KYV193" s="367" t="s">
        <v>206</v>
      </c>
      <c r="KYW193" s="367"/>
      <c r="KYX193" s="367"/>
      <c r="KYY193" s="368" t="s">
        <v>168</v>
      </c>
      <c r="KYZ193" s="369">
        <v>0.5</v>
      </c>
      <c r="KZA193" s="370" t="e">
        <f>10/KYW191</f>
        <v>#DIV/0!</v>
      </c>
      <c r="KZB193" s="371">
        <v>15.38</v>
      </c>
      <c r="KZC193" s="371" t="e">
        <f>KYZ193*KZA193*KZB193</f>
        <v>#DIV/0!</v>
      </c>
      <c r="KZD193" s="367" t="s">
        <v>206</v>
      </c>
      <c r="KZE193" s="367"/>
      <c r="KZF193" s="367"/>
      <c r="KZG193" s="368" t="s">
        <v>168</v>
      </c>
      <c r="KZH193" s="369">
        <v>0.5</v>
      </c>
      <c r="KZI193" s="370" t="e">
        <f>10/KZE191</f>
        <v>#DIV/0!</v>
      </c>
      <c r="KZJ193" s="371">
        <v>15.38</v>
      </c>
      <c r="KZK193" s="371" t="e">
        <f>KZH193*KZI193*KZJ193</f>
        <v>#DIV/0!</v>
      </c>
      <c r="KZL193" s="367" t="s">
        <v>206</v>
      </c>
      <c r="KZM193" s="367"/>
      <c r="KZN193" s="367"/>
      <c r="KZO193" s="368" t="s">
        <v>168</v>
      </c>
      <c r="KZP193" s="369">
        <v>0.5</v>
      </c>
      <c r="KZQ193" s="370" t="e">
        <f>10/KZM191</f>
        <v>#DIV/0!</v>
      </c>
      <c r="KZR193" s="371">
        <v>15.38</v>
      </c>
      <c r="KZS193" s="371" t="e">
        <f>KZP193*KZQ193*KZR193</f>
        <v>#DIV/0!</v>
      </c>
      <c r="KZT193" s="367" t="s">
        <v>206</v>
      </c>
      <c r="KZU193" s="367"/>
      <c r="KZV193" s="367"/>
      <c r="KZW193" s="368" t="s">
        <v>168</v>
      </c>
      <c r="KZX193" s="369">
        <v>0.5</v>
      </c>
      <c r="KZY193" s="370" t="e">
        <f>10/KZU191</f>
        <v>#DIV/0!</v>
      </c>
      <c r="KZZ193" s="371">
        <v>15.38</v>
      </c>
      <c r="LAA193" s="371" t="e">
        <f>KZX193*KZY193*KZZ193</f>
        <v>#DIV/0!</v>
      </c>
      <c r="LAB193" s="367" t="s">
        <v>206</v>
      </c>
      <c r="LAC193" s="367"/>
      <c r="LAD193" s="367"/>
      <c r="LAE193" s="368" t="s">
        <v>168</v>
      </c>
      <c r="LAF193" s="369">
        <v>0.5</v>
      </c>
      <c r="LAG193" s="370" t="e">
        <f>10/LAC191</f>
        <v>#DIV/0!</v>
      </c>
      <c r="LAH193" s="371">
        <v>15.38</v>
      </c>
      <c r="LAI193" s="371" t="e">
        <f>LAF193*LAG193*LAH193</f>
        <v>#DIV/0!</v>
      </c>
      <c r="LAJ193" s="367" t="s">
        <v>206</v>
      </c>
      <c r="LAK193" s="367"/>
      <c r="LAL193" s="367"/>
      <c r="LAM193" s="368" t="s">
        <v>168</v>
      </c>
      <c r="LAN193" s="369">
        <v>0.5</v>
      </c>
      <c r="LAO193" s="370" t="e">
        <f>10/LAK191</f>
        <v>#DIV/0!</v>
      </c>
      <c r="LAP193" s="371">
        <v>15.38</v>
      </c>
      <c r="LAQ193" s="371" t="e">
        <f>LAN193*LAO193*LAP193</f>
        <v>#DIV/0!</v>
      </c>
      <c r="LAR193" s="367" t="s">
        <v>206</v>
      </c>
      <c r="LAS193" s="367"/>
      <c r="LAT193" s="367"/>
      <c r="LAU193" s="368" t="s">
        <v>168</v>
      </c>
      <c r="LAV193" s="369">
        <v>0.5</v>
      </c>
      <c r="LAW193" s="370" t="e">
        <f>10/LAS191</f>
        <v>#DIV/0!</v>
      </c>
      <c r="LAX193" s="371">
        <v>15.38</v>
      </c>
      <c r="LAY193" s="371" t="e">
        <f>LAV193*LAW193*LAX193</f>
        <v>#DIV/0!</v>
      </c>
      <c r="LAZ193" s="367" t="s">
        <v>206</v>
      </c>
      <c r="LBA193" s="367"/>
      <c r="LBB193" s="367"/>
      <c r="LBC193" s="368" t="s">
        <v>168</v>
      </c>
      <c r="LBD193" s="369">
        <v>0.5</v>
      </c>
      <c r="LBE193" s="370" t="e">
        <f>10/LBA191</f>
        <v>#DIV/0!</v>
      </c>
      <c r="LBF193" s="371">
        <v>15.38</v>
      </c>
      <c r="LBG193" s="371" t="e">
        <f>LBD193*LBE193*LBF193</f>
        <v>#DIV/0!</v>
      </c>
      <c r="LBH193" s="367" t="s">
        <v>206</v>
      </c>
      <c r="LBI193" s="367"/>
      <c r="LBJ193" s="367"/>
      <c r="LBK193" s="368" t="s">
        <v>168</v>
      </c>
      <c r="LBL193" s="369">
        <v>0.5</v>
      </c>
      <c r="LBM193" s="370" t="e">
        <f>10/LBI191</f>
        <v>#DIV/0!</v>
      </c>
      <c r="LBN193" s="371">
        <v>15.38</v>
      </c>
      <c r="LBO193" s="371" t="e">
        <f>LBL193*LBM193*LBN193</f>
        <v>#DIV/0!</v>
      </c>
      <c r="LBP193" s="367" t="s">
        <v>206</v>
      </c>
      <c r="LBQ193" s="367"/>
      <c r="LBR193" s="367"/>
      <c r="LBS193" s="368" t="s">
        <v>168</v>
      </c>
      <c r="LBT193" s="369">
        <v>0.5</v>
      </c>
      <c r="LBU193" s="370" t="e">
        <f>10/LBQ191</f>
        <v>#DIV/0!</v>
      </c>
      <c r="LBV193" s="371">
        <v>15.38</v>
      </c>
      <c r="LBW193" s="371" t="e">
        <f>LBT193*LBU193*LBV193</f>
        <v>#DIV/0!</v>
      </c>
      <c r="LBX193" s="367" t="s">
        <v>206</v>
      </c>
      <c r="LBY193" s="367"/>
      <c r="LBZ193" s="367"/>
      <c r="LCA193" s="368" t="s">
        <v>168</v>
      </c>
      <c r="LCB193" s="369">
        <v>0.5</v>
      </c>
      <c r="LCC193" s="370" t="e">
        <f>10/LBY191</f>
        <v>#DIV/0!</v>
      </c>
      <c r="LCD193" s="371">
        <v>15.38</v>
      </c>
      <c r="LCE193" s="371" t="e">
        <f>LCB193*LCC193*LCD193</f>
        <v>#DIV/0!</v>
      </c>
      <c r="LCF193" s="367" t="s">
        <v>206</v>
      </c>
      <c r="LCG193" s="367"/>
      <c r="LCH193" s="367"/>
      <c r="LCI193" s="368" t="s">
        <v>168</v>
      </c>
      <c r="LCJ193" s="369">
        <v>0.5</v>
      </c>
      <c r="LCK193" s="370" t="e">
        <f>10/LCG191</f>
        <v>#DIV/0!</v>
      </c>
      <c r="LCL193" s="371">
        <v>15.38</v>
      </c>
      <c r="LCM193" s="371" t="e">
        <f>LCJ193*LCK193*LCL193</f>
        <v>#DIV/0!</v>
      </c>
      <c r="LCN193" s="367" t="s">
        <v>206</v>
      </c>
      <c r="LCO193" s="367"/>
      <c r="LCP193" s="367"/>
      <c r="LCQ193" s="368" t="s">
        <v>168</v>
      </c>
      <c r="LCR193" s="369">
        <v>0.5</v>
      </c>
      <c r="LCS193" s="370" t="e">
        <f>10/LCO191</f>
        <v>#DIV/0!</v>
      </c>
      <c r="LCT193" s="371">
        <v>15.38</v>
      </c>
      <c r="LCU193" s="371" t="e">
        <f>LCR193*LCS193*LCT193</f>
        <v>#DIV/0!</v>
      </c>
      <c r="LCV193" s="367" t="s">
        <v>206</v>
      </c>
      <c r="LCW193" s="367"/>
      <c r="LCX193" s="367"/>
      <c r="LCY193" s="368" t="s">
        <v>168</v>
      </c>
      <c r="LCZ193" s="369">
        <v>0.5</v>
      </c>
      <c r="LDA193" s="370" t="e">
        <f>10/LCW191</f>
        <v>#DIV/0!</v>
      </c>
      <c r="LDB193" s="371">
        <v>15.38</v>
      </c>
      <c r="LDC193" s="371" t="e">
        <f>LCZ193*LDA193*LDB193</f>
        <v>#DIV/0!</v>
      </c>
      <c r="LDD193" s="367" t="s">
        <v>206</v>
      </c>
      <c r="LDE193" s="367"/>
      <c r="LDF193" s="367"/>
      <c r="LDG193" s="368" t="s">
        <v>168</v>
      </c>
      <c r="LDH193" s="369">
        <v>0.5</v>
      </c>
      <c r="LDI193" s="370" t="e">
        <f>10/LDE191</f>
        <v>#DIV/0!</v>
      </c>
      <c r="LDJ193" s="371">
        <v>15.38</v>
      </c>
      <c r="LDK193" s="371" t="e">
        <f>LDH193*LDI193*LDJ193</f>
        <v>#DIV/0!</v>
      </c>
      <c r="LDL193" s="367" t="s">
        <v>206</v>
      </c>
      <c r="LDM193" s="367"/>
      <c r="LDN193" s="367"/>
      <c r="LDO193" s="368" t="s">
        <v>168</v>
      </c>
      <c r="LDP193" s="369">
        <v>0.5</v>
      </c>
      <c r="LDQ193" s="370" t="e">
        <f>10/LDM191</f>
        <v>#DIV/0!</v>
      </c>
      <c r="LDR193" s="371">
        <v>15.38</v>
      </c>
      <c r="LDS193" s="371" t="e">
        <f>LDP193*LDQ193*LDR193</f>
        <v>#DIV/0!</v>
      </c>
      <c r="LDT193" s="367" t="s">
        <v>206</v>
      </c>
      <c r="LDU193" s="367"/>
      <c r="LDV193" s="367"/>
      <c r="LDW193" s="368" t="s">
        <v>168</v>
      </c>
      <c r="LDX193" s="369">
        <v>0.5</v>
      </c>
      <c r="LDY193" s="370" t="e">
        <f>10/LDU191</f>
        <v>#DIV/0!</v>
      </c>
      <c r="LDZ193" s="371">
        <v>15.38</v>
      </c>
      <c r="LEA193" s="371" t="e">
        <f>LDX193*LDY193*LDZ193</f>
        <v>#DIV/0!</v>
      </c>
      <c r="LEB193" s="367" t="s">
        <v>206</v>
      </c>
      <c r="LEC193" s="367"/>
      <c r="LED193" s="367"/>
      <c r="LEE193" s="368" t="s">
        <v>168</v>
      </c>
      <c r="LEF193" s="369">
        <v>0.5</v>
      </c>
      <c r="LEG193" s="370" t="e">
        <f>10/LEC191</f>
        <v>#DIV/0!</v>
      </c>
      <c r="LEH193" s="371">
        <v>15.38</v>
      </c>
      <c r="LEI193" s="371" t="e">
        <f>LEF193*LEG193*LEH193</f>
        <v>#DIV/0!</v>
      </c>
      <c r="LEJ193" s="367" t="s">
        <v>206</v>
      </c>
      <c r="LEK193" s="367"/>
      <c r="LEL193" s="367"/>
      <c r="LEM193" s="368" t="s">
        <v>168</v>
      </c>
      <c r="LEN193" s="369">
        <v>0.5</v>
      </c>
      <c r="LEO193" s="370" t="e">
        <f>10/LEK191</f>
        <v>#DIV/0!</v>
      </c>
      <c r="LEP193" s="371">
        <v>15.38</v>
      </c>
      <c r="LEQ193" s="371" t="e">
        <f>LEN193*LEO193*LEP193</f>
        <v>#DIV/0!</v>
      </c>
      <c r="LER193" s="367" t="s">
        <v>206</v>
      </c>
      <c r="LES193" s="367"/>
      <c r="LET193" s="367"/>
      <c r="LEU193" s="368" t="s">
        <v>168</v>
      </c>
      <c r="LEV193" s="369">
        <v>0.5</v>
      </c>
      <c r="LEW193" s="370" t="e">
        <f>10/LES191</f>
        <v>#DIV/0!</v>
      </c>
      <c r="LEX193" s="371">
        <v>15.38</v>
      </c>
      <c r="LEY193" s="371" t="e">
        <f>LEV193*LEW193*LEX193</f>
        <v>#DIV/0!</v>
      </c>
      <c r="LEZ193" s="367" t="s">
        <v>206</v>
      </c>
      <c r="LFA193" s="367"/>
      <c r="LFB193" s="367"/>
      <c r="LFC193" s="368" t="s">
        <v>168</v>
      </c>
      <c r="LFD193" s="369">
        <v>0.5</v>
      </c>
      <c r="LFE193" s="370" t="e">
        <f>10/LFA191</f>
        <v>#DIV/0!</v>
      </c>
      <c r="LFF193" s="371">
        <v>15.38</v>
      </c>
      <c r="LFG193" s="371" t="e">
        <f>LFD193*LFE193*LFF193</f>
        <v>#DIV/0!</v>
      </c>
      <c r="LFH193" s="367" t="s">
        <v>206</v>
      </c>
      <c r="LFI193" s="367"/>
      <c r="LFJ193" s="367"/>
      <c r="LFK193" s="368" t="s">
        <v>168</v>
      </c>
      <c r="LFL193" s="369">
        <v>0.5</v>
      </c>
      <c r="LFM193" s="370" t="e">
        <f>10/LFI191</f>
        <v>#DIV/0!</v>
      </c>
      <c r="LFN193" s="371">
        <v>15.38</v>
      </c>
      <c r="LFO193" s="371" t="e">
        <f>LFL193*LFM193*LFN193</f>
        <v>#DIV/0!</v>
      </c>
      <c r="LFP193" s="367" t="s">
        <v>206</v>
      </c>
      <c r="LFQ193" s="367"/>
      <c r="LFR193" s="367"/>
      <c r="LFS193" s="368" t="s">
        <v>168</v>
      </c>
      <c r="LFT193" s="369">
        <v>0.5</v>
      </c>
      <c r="LFU193" s="370" t="e">
        <f>10/LFQ191</f>
        <v>#DIV/0!</v>
      </c>
      <c r="LFV193" s="371">
        <v>15.38</v>
      </c>
      <c r="LFW193" s="371" t="e">
        <f>LFT193*LFU193*LFV193</f>
        <v>#DIV/0!</v>
      </c>
      <c r="LFX193" s="367" t="s">
        <v>206</v>
      </c>
      <c r="LFY193" s="367"/>
      <c r="LFZ193" s="367"/>
      <c r="LGA193" s="368" t="s">
        <v>168</v>
      </c>
      <c r="LGB193" s="369">
        <v>0.5</v>
      </c>
      <c r="LGC193" s="370" t="e">
        <f>10/LFY191</f>
        <v>#DIV/0!</v>
      </c>
      <c r="LGD193" s="371">
        <v>15.38</v>
      </c>
      <c r="LGE193" s="371" t="e">
        <f>LGB193*LGC193*LGD193</f>
        <v>#DIV/0!</v>
      </c>
      <c r="LGF193" s="367" t="s">
        <v>206</v>
      </c>
      <c r="LGG193" s="367"/>
      <c r="LGH193" s="367"/>
      <c r="LGI193" s="368" t="s">
        <v>168</v>
      </c>
      <c r="LGJ193" s="369">
        <v>0.5</v>
      </c>
      <c r="LGK193" s="370" t="e">
        <f>10/LGG191</f>
        <v>#DIV/0!</v>
      </c>
      <c r="LGL193" s="371">
        <v>15.38</v>
      </c>
      <c r="LGM193" s="371" t="e">
        <f>LGJ193*LGK193*LGL193</f>
        <v>#DIV/0!</v>
      </c>
      <c r="LGN193" s="367" t="s">
        <v>206</v>
      </c>
      <c r="LGO193" s="367"/>
      <c r="LGP193" s="367"/>
      <c r="LGQ193" s="368" t="s">
        <v>168</v>
      </c>
      <c r="LGR193" s="369">
        <v>0.5</v>
      </c>
      <c r="LGS193" s="370" t="e">
        <f>10/LGO191</f>
        <v>#DIV/0!</v>
      </c>
      <c r="LGT193" s="371">
        <v>15.38</v>
      </c>
      <c r="LGU193" s="371" t="e">
        <f>LGR193*LGS193*LGT193</f>
        <v>#DIV/0!</v>
      </c>
      <c r="LGV193" s="367" t="s">
        <v>206</v>
      </c>
      <c r="LGW193" s="367"/>
      <c r="LGX193" s="367"/>
      <c r="LGY193" s="368" t="s">
        <v>168</v>
      </c>
      <c r="LGZ193" s="369">
        <v>0.5</v>
      </c>
      <c r="LHA193" s="370" t="e">
        <f>10/LGW191</f>
        <v>#DIV/0!</v>
      </c>
      <c r="LHB193" s="371">
        <v>15.38</v>
      </c>
      <c r="LHC193" s="371" t="e">
        <f>LGZ193*LHA193*LHB193</f>
        <v>#DIV/0!</v>
      </c>
      <c r="LHD193" s="367" t="s">
        <v>206</v>
      </c>
      <c r="LHE193" s="367"/>
      <c r="LHF193" s="367"/>
      <c r="LHG193" s="368" t="s">
        <v>168</v>
      </c>
      <c r="LHH193" s="369">
        <v>0.5</v>
      </c>
      <c r="LHI193" s="370" t="e">
        <f>10/LHE191</f>
        <v>#DIV/0!</v>
      </c>
      <c r="LHJ193" s="371">
        <v>15.38</v>
      </c>
      <c r="LHK193" s="371" t="e">
        <f>LHH193*LHI193*LHJ193</f>
        <v>#DIV/0!</v>
      </c>
      <c r="LHL193" s="367" t="s">
        <v>206</v>
      </c>
      <c r="LHM193" s="367"/>
      <c r="LHN193" s="367"/>
      <c r="LHO193" s="368" t="s">
        <v>168</v>
      </c>
      <c r="LHP193" s="369">
        <v>0.5</v>
      </c>
      <c r="LHQ193" s="370" t="e">
        <f>10/LHM191</f>
        <v>#DIV/0!</v>
      </c>
      <c r="LHR193" s="371">
        <v>15.38</v>
      </c>
      <c r="LHS193" s="371" t="e">
        <f>LHP193*LHQ193*LHR193</f>
        <v>#DIV/0!</v>
      </c>
      <c r="LHT193" s="367" t="s">
        <v>206</v>
      </c>
      <c r="LHU193" s="367"/>
      <c r="LHV193" s="367"/>
      <c r="LHW193" s="368" t="s">
        <v>168</v>
      </c>
      <c r="LHX193" s="369">
        <v>0.5</v>
      </c>
      <c r="LHY193" s="370" t="e">
        <f>10/LHU191</f>
        <v>#DIV/0!</v>
      </c>
      <c r="LHZ193" s="371">
        <v>15.38</v>
      </c>
      <c r="LIA193" s="371" t="e">
        <f>LHX193*LHY193*LHZ193</f>
        <v>#DIV/0!</v>
      </c>
      <c r="LIB193" s="367" t="s">
        <v>206</v>
      </c>
      <c r="LIC193" s="367"/>
      <c r="LID193" s="367"/>
      <c r="LIE193" s="368" t="s">
        <v>168</v>
      </c>
      <c r="LIF193" s="369">
        <v>0.5</v>
      </c>
      <c r="LIG193" s="370" t="e">
        <f>10/LIC191</f>
        <v>#DIV/0!</v>
      </c>
      <c r="LIH193" s="371">
        <v>15.38</v>
      </c>
      <c r="LII193" s="371" t="e">
        <f>LIF193*LIG193*LIH193</f>
        <v>#DIV/0!</v>
      </c>
      <c r="LIJ193" s="367" t="s">
        <v>206</v>
      </c>
      <c r="LIK193" s="367"/>
      <c r="LIL193" s="367"/>
      <c r="LIM193" s="368" t="s">
        <v>168</v>
      </c>
      <c r="LIN193" s="369">
        <v>0.5</v>
      </c>
      <c r="LIO193" s="370" t="e">
        <f>10/LIK191</f>
        <v>#DIV/0!</v>
      </c>
      <c r="LIP193" s="371">
        <v>15.38</v>
      </c>
      <c r="LIQ193" s="371" t="e">
        <f>LIN193*LIO193*LIP193</f>
        <v>#DIV/0!</v>
      </c>
      <c r="LIR193" s="367" t="s">
        <v>206</v>
      </c>
      <c r="LIS193" s="367"/>
      <c r="LIT193" s="367"/>
      <c r="LIU193" s="368" t="s">
        <v>168</v>
      </c>
      <c r="LIV193" s="369">
        <v>0.5</v>
      </c>
      <c r="LIW193" s="370" t="e">
        <f>10/LIS191</f>
        <v>#DIV/0!</v>
      </c>
      <c r="LIX193" s="371">
        <v>15.38</v>
      </c>
      <c r="LIY193" s="371" t="e">
        <f>LIV193*LIW193*LIX193</f>
        <v>#DIV/0!</v>
      </c>
      <c r="LIZ193" s="367" t="s">
        <v>206</v>
      </c>
      <c r="LJA193" s="367"/>
      <c r="LJB193" s="367"/>
      <c r="LJC193" s="368" t="s">
        <v>168</v>
      </c>
      <c r="LJD193" s="369">
        <v>0.5</v>
      </c>
      <c r="LJE193" s="370" t="e">
        <f>10/LJA191</f>
        <v>#DIV/0!</v>
      </c>
      <c r="LJF193" s="371">
        <v>15.38</v>
      </c>
      <c r="LJG193" s="371" t="e">
        <f>LJD193*LJE193*LJF193</f>
        <v>#DIV/0!</v>
      </c>
      <c r="LJH193" s="367" t="s">
        <v>206</v>
      </c>
      <c r="LJI193" s="367"/>
      <c r="LJJ193" s="367"/>
      <c r="LJK193" s="368" t="s">
        <v>168</v>
      </c>
      <c r="LJL193" s="369">
        <v>0.5</v>
      </c>
      <c r="LJM193" s="370" t="e">
        <f>10/LJI191</f>
        <v>#DIV/0!</v>
      </c>
      <c r="LJN193" s="371">
        <v>15.38</v>
      </c>
      <c r="LJO193" s="371" t="e">
        <f>LJL193*LJM193*LJN193</f>
        <v>#DIV/0!</v>
      </c>
      <c r="LJP193" s="367" t="s">
        <v>206</v>
      </c>
      <c r="LJQ193" s="367"/>
      <c r="LJR193" s="367"/>
      <c r="LJS193" s="368" t="s">
        <v>168</v>
      </c>
      <c r="LJT193" s="369">
        <v>0.5</v>
      </c>
      <c r="LJU193" s="370" t="e">
        <f>10/LJQ191</f>
        <v>#DIV/0!</v>
      </c>
      <c r="LJV193" s="371">
        <v>15.38</v>
      </c>
      <c r="LJW193" s="371" t="e">
        <f>LJT193*LJU193*LJV193</f>
        <v>#DIV/0!</v>
      </c>
      <c r="LJX193" s="367" t="s">
        <v>206</v>
      </c>
      <c r="LJY193" s="367"/>
      <c r="LJZ193" s="367"/>
      <c r="LKA193" s="368" t="s">
        <v>168</v>
      </c>
      <c r="LKB193" s="369">
        <v>0.5</v>
      </c>
      <c r="LKC193" s="370" t="e">
        <f>10/LJY191</f>
        <v>#DIV/0!</v>
      </c>
      <c r="LKD193" s="371">
        <v>15.38</v>
      </c>
      <c r="LKE193" s="371" t="e">
        <f>LKB193*LKC193*LKD193</f>
        <v>#DIV/0!</v>
      </c>
      <c r="LKF193" s="367" t="s">
        <v>206</v>
      </c>
      <c r="LKG193" s="367"/>
      <c r="LKH193" s="367"/>
      <c r="LKI193" s="368" t="s">
        <v>168</v>
      </c>
      <c r="LKJ193" s="369">
        <v>0.5</v>
      </c>
      <c r="LKK193" s="370" t="e">
        <f>10/LKG191</f>
        <v>#DIV/0!</v>
      </c>
      <c r="LKL193" s="371">
        <v>15.38</v>
      </c>
      <c r="LKM193" s="371" t="e">
        <f>LKJ193*LKK193*LKL193</f>
        <v>#DIV/0!</v>
      </c>
      <c r="LKN193" s="367" t="s">
        <v>206</v>
      </c>
      <c r="LKO193" s="367"/>
      <c r="LKP193" s="367"/>
      <c r="LKQ193" s="368" t="s">
        <v>168</v>
      </c>
      <c r="LKR193" s="369">
        <v>0.5</v>
      </c>
      <c r="LKS193" s="370" t="e">
        <f>10/LKO191</f>
        <v>#DIV/0!</v>
      </c>
      <c r="LKT193" s="371">
        <v>15.38</v>
      </c>
      <c r="LKU193" s="371" t="e">
        <f>LKR193*LKS193*LKT193</f>
        <v>#DIV/0!</v>
      </c>
      <c r="LKV193" s="367" t="s">
        <v>206</v>
      </c>
      <c r="LKW193" s="367"/>
      <c r="LKX193" s="367"/>
      <c r="LKY193" s="368" t="s">
        <v>168</v>
      </c>
      <c r="LKZ193" s="369">
        <v>0.5</v>
      </c>
      <c r="LLA193" s="370" t="e">
        <f>10/LKW191</f>
        <v>#DIV/0!</v>
      </c>
      <c r="LLB193" s="371">
        <v>15.38</v>
      </c>
      <c r="LLC193" s="371" t="e">
        <f>LKZ193*LLA193*LLB193</f>
        <v>#DIV/0!</v>
      </c>
      <c r="LLD193" s="367" t="s">
        <v>206</v>
      </c>
      <c r="LLE193" s="367"/>
      <c r="LLF193" s="367"/>
      <c r="LLG193" s="368" t="s">
        <v>168</v>
      </c>
      <c r="LLH193" s="369">
        <v>0.5</v>
      </c>
      <c r="LLI193" s="370" t="e">
        <f>10/LLE191</f>
        <v>#DIV/0!</v>
      </c>
      <c r="LLJ193" s="371">
        <v>15.38</v>
      </c>
      <c r="LLK193" s="371" t="e">
        <f>LLH193*LLI193*LLJ193</f>
        <v>#DIV/0!</v>
      </c>
      <c r="LLL193" s="367" t="s">
        <v>206</v>
      </c>
      <c r="LLM193" s="367"/>
      <c r="LLN193" s="367"/>
      <c r="LLO193" s="368" t="s">
        <v>168</v>
      </c>
      <c r="LLP193" s="369">
        <v>0.5</v>
      </c>
      <c r="LLQ193" s="370" t="e">
        <f>10/LLM191</f>
        <v>#DIV/0!</v>
      </c>
      <c r="LLR193" s="371">
        <v>15.38</v>
      </c>
      <c r="LLS193" s="371" t="e">
        <f>LLP193*LLQ193*LLR193</f>
        <v>#DIV/0!</v>
      </c>
      <c r="LLT193" s="367" t="s">
        <v>206</v>
      </c>
      <c r="LLU193" s="367"/>
      <c r="LLV193" s="367"/>
      <c r="LLW193" s="368" t="s">
        <v>168</v>
      </c>
      <c r="LLX193" s="369">
        <v>0.5</v>
      </c>
      <c r="LLY193" s="370" t="e">
        <f>10/LLU191</f>
        <v>#DIV/0!</v>
      </c>
      <c r="LLZ193" s="371">
        <v>15.38</v>
      </c>
      <c r="LMA193" s="371" t="e">
        <f>LLX193*LLY193*LLZ193</f>
        <v>#DIV/0!</v>
      </c>
      <c r="LMB193" s="367" t="s">
        <v>206</v>
      </c>
      <c r="LMC193" s="367"/>
      <c r="LMD193" s="367"/>
      <c r="LME193" s="368" t="s">
        <v>168</v>
      </c>
      <c r="LMF193" s="369">
        <v>0.5</v>
      </c>
      <c r="LMG193" s="370" t="e">
        <f>10/LMC191</f>
        <v>#DIV/0!</v>
      </c>
      <c r="LMH193" s="371">
        <v>15.38</v>
      </c>
      <c r="LMI193" s="371" t="e">
        <f>LMF193*LMG193*LMH193</f>
        <v>#DIV/0!</v>
      </c>
      <c r="LMJ193" s="367" t="s">
        <v>206</v>
      </c>
      <c r="LMK193" s="367"/>
      <c r="LML193" s="367"/>
      <c r="LMM193" s="368" t="s">
        <v>168</v>
      </c>
      <c r="LMN193" s="369">
        <v>0.5</v>
      </c>
      <c r="LMO193" s="370" t="e">
        <f>10/LMK191</f>
        <v>#DIV/0!</v>
      </c>
      <c r="LMP193" s="371">
        <v>15.38</v>
      </c>
      <c r="LMQ193" s="371" t="e">
        <f>LMN193*LMO193*LMP193</f>
        <v>#DIV/0!</v>
      </c>
      <c r="LMR193" s="367" t="s">
        <v>206</v>
      </c>
      <c r="LMS193" s="367"/>
      <c r="LMT193" s="367"/>
      <c r="LMU193" s="368" t="s">
        <v>168</v>
      </c>
      <c r="LMV193" s="369">
        <v>0.5</v>
      </c>
      <c r="LMW193" s="370" t="e">
        <f>10/LMS191</f>
        <v>#DIV/0!</v>
      </c>
      <c r="LMX193" s="371">
        <v>15.38</v>
      </c>
      <c r="LMY193" s="371" t="e">
        <f>LMV193*LMW193*LMX193</f>
        <v>#DIV/0!</v>
      </c>
      <c r="LMZ193" s="367" t="s">
        <v>206</v>
      </c>
      <c r="LNA193" s="367"/>
      <c r="LNB193" s="367"/>
      <c r="LNC193" s="368" t="s">
        <v>168</v>
      </c>
      <c r="LND193" s="369">
        <v>0.5</v>
      </c>
      <c r="LNE193" s="370" t="e">
        <f>10/LNA191</f>
        <v>#DIV/0!</v>
      </c>
      <c r="LNF193" s="371">
        <v>15.38</v>
      </c>
      <c r="LNG193" s="371" t="e">
        <f>LND193*LNE193*LNF193</f>
        <v>#DIV/0!</v>
      </c>
      <c r="LNH193" s="367" t="s">
        <v>206</v>
      </c>
      <c r="LNI193" s="367"/>
      <c r="LNJ193" s="367"/>
      <c r="LNK193" s="368" t="s">
        <v>168</v>
      </c>
      <c r="LNL193" s="369">
        <v>0.5</v>
      </c>
      <c r="LNM193" s="370" t="e">
        <f>10/LNI191</f>
        <v>#DIV/0!</v>
      </c>
      <c r="LNN193" s="371">
        <v>15.38</v>
      </c>
      <c r="LNO193" s="371" t="e">
        <f>LNL193*LNM193*LNN193</f>
        <v>#DIV/0!</v>
      </c>
      <c r="LNP193" s="367" t="s">
        <v>206</v>
      </c>
      <c r="LNQ193" s="367"/>
      <c r="LNR193" s="367"/>
      <c r="LNS193" s="368" t="s">
        <v>168</v>
      </c>
      <c r="LNT193" s="369">
        <v>0.5</v>
      </c>
      <c r="LNU193" s="370" t="e">
        <f>10/LNQ191</f>
        <v>#DIV/0!</v>
      </c>
      <c r="LNV193" s="371">
        <v>15.38</v>
      </c>
      <c r="LNW193" s="371" t="e">
        <f>LNT193*LNU193*LNV193</f>
        <v>#DIV/0!</v>
      </c>
      <c r="LNX193" s="367" t="s">
        <v>206</v>
      </c>
      <c r="LNY193" s="367"/>
      <c r="LNZ193" s="367"/>
      <c r="LOA193" s="368" t="s">
        <v>168</v>
      </c>
      <c r="LOB193" s="369">
        <v>0.5</v>
      </c>
      <c r="LOC193" s="370" t="e">
        <f>10/LNY191</f>
        <v>#DIV/0!</v>
      </c>
      <c r="LOD193" s="371">
        <v>15.38</v>
      </c>
      <c r="LOE193" s="371" t="e">
        <f>LOB193*LOC193*LOD193</f>
        <v>#DIV/0!</v>
      </c>
      <c r="LOF193" s="367" t="s">
        <v>206</v>
      </c>
      <c r="LOG193" s="367"/>
      <c r="LOH193" s="367"/>
      <c r="LOI193" s="368" t="s">
        <v>168</v>
      </c>
      <c r="LOJ193" s="369">
        <v>0.5</v>
      </c>
      <c r="LOK193" s="370" t="e">
        <f>10/LOG191</f>
        <v>#DIV/0!</v>
      </c>
      <c r="LOL193" s="371">
        <v>15.38</v>
      </c>
      <c r="LOM193" s="371" t="e">
        <f>LOJ193*LOK193*LOL193</f>
        <v>#DIV/0!</v>
      </c>
      <c r="LON193" s="367" t="s">
        <v>206</v>
      </c>
      <c r="LOO193" s="367"/>
      <c r="LOP193" s="367"/>
      <c r="LOQ193" s="368" t="s">
        <v>168</v>
      </c>
      <c r="LOR193" s="369">
        <v>0.5</v>
      </c>
      <c r="LOS193" s="370" t="e">
        <f>10/LOO191</f>
        <v>#DIV/0!</v>
      </c>
      <c r="LOT193" s="371">
        <v>15.38</v>
      </c>
      <c r="LOU193" s="371" t="e">
        <f>LOR193*LOS193*LOT193</f>
        <v>#DIV/0!</v>
      </c>
      <c r="LOV193" s="367" t="s">
        <v>206</v>
      </c>
      <c r="LOW193" s="367"/>
      <c r="LOX193" s="367"/>
      <c r="LOY193" s="368" t="s">
        <v>168</v>
      </c>
      <c r="LOZ193" s="369">
        <v>0.5</v>
      </c>
      <c r="LPA193" s="370" t="e">
        <f>10/LOW191</f>
        <v>#DIV/0!</v>
      </c>
      <c r="LPB193" s="371">
        <v>15.38</v>
      </c>
      <c r="LPC193" s="371" t="e">
        <f>LOZ193*LPA193*LPB193</f>
        <v>#DIV/0!</v>
      </c>
      <c r="LPD193" s="367" t="s">
        <v>206</v>
      </c>
      <c r="LPE193" s="367"/>
      <c r="LPF193" s="367"/>
      <c r="LPG193" s="368" t="s">
        <v>168</v>
      </c>
      <c r="LPH193" s="369">
        <v>0.5</v>
      </c>
      <c r="LPI193" s="370" t="e">
        <f>10/LPE191</f>
        <v>#DIV/0!</v>
      </c>
      <c r="LPJ193" s="371">
        <v>15.38</v>
      </c>
      <c r="LPK193" s="371" t="e">
        <f>LPH193*LPI193*LPJ193</f>
        <v>#DIV/0!</v>
      </c>
      <c r="LPL193" s="367" t="s">
        <v>206</v>
      </c>
      <c r="LPM193" s="367"/>
      <c r="LPN193" s="367"/>
      <c r="LPO193" s="368" t="s">
        <v>168</v>
      </c>
      <c r="LPP193" s="369">
        <v>0.5</v>
      </c>
      <c r="LPQ193" s="370" t="e">
        <f>10/LPM191</f>
        <v>#DIV/0!</v>
      </c>
      <c r="LPR193" s="371">
        <v>15.38</v>
      </c>
      <c r="LPS193" s="371" t="e">
        <f>LPP193*LPQ193*LPR193</f>
        <v>#DIV/0!</v>
      </c>
      <c r="LPT193" s="367" t="s">
        <v>206</v>
      </c>
      <c r="LPU193" s="367"/>
      <c r="LPV193" s="367"/>
      <c r="LPW193" s="368" t="s">
        <v>168</v>
      </c>
      <c r="LPX193" s="369">
        <v>0.5</v>
      </c>
      <c r="LPY193" s="370" t="e">
        <f>10/LPU191</f>
        <v>#DIV/0!</v>
      </c>
      <c r="LPZ193" s="371">
        <v>15.38</v>
      </c>
      <c r="LQA193" s="371" t="e">
        <f>LPX193*LPY193*LPZ193</f>
        <v>#DIV/0!</v>
      </c>
      <c r="LQB193" s="367" t="s">
        <v>206</v>
      </c>
      <c r="LQC193" s="367"/>
      <c r="LQD193" s="367"/>
      <c r="LQE193" s="368" t="s">
        <v>168</v>
      </c>
      <c r="LQF193" s="369">
        <v>0.5</v>
      </c>
      <c r="LQG193" s="370" t="e">
        <f>10/LQC191</f>
        <v>#DIV/0!</v>
      </c>
      <c r="LQH193" s="371">
        <v>15.38</v>
      </c>
      <c r="LQI193" s="371" t="e">
        <f>LQF193*LQG193*LQH193</f>
        <v>#DIV/0!</v>
      </c>
      <c r="LQJ193" s="367" t="s">
        <v>206</v>
      </c>
      <c r="LQK193" s="367"/>
      <c r="LQL193" s="367"/>
      <c r="LQM193" s="368" t="s">
        <v>168</v>
      </c>
      <c r="LQN193" s="369">
        <v>0.5</v>
      </c>
      <c r="LQO193" s="370" t="e">
        <f>10/LQK191</f>
        <v>#DIV/0!</v>
      </c>
      <c r="LQP193" s="371">
        <v>15.38</v>
      </c>
      <c r="LQQ193" s="371" t="e">
        <f>LQN193*LQO193*LQP193</f>
        <v>#DIV/0!</v>
      </c>
      <c r="LQR193" s="367" t="s">
        <v>206</v>
      </c>
      <c r="LQS193" s="367"/>
      <c r="LQT193" s="367"/>
      <c r="LQU193" s="368" t="s">
        <v>168</v>
      </c>
      <c r="LQV193" s="369">
        <v>0.5</v>
      </c>
      <c r="LQW193" s="370" t="e">
        <f>10/LQS191</f>
        <v>#DIV/0!</v>
      </c>
      <c r="LQX193" s="371">
        <v>15.38</v>
      </c>
      <c r="LQY193" s="371" t="e">
        <f>LQV193*LQW193*LQX193</f>
        <v>#DIV/0!</v>
      </c>
      <c r="LQZ193" s="367" t="s">
        <v>206</v>
      </c>
      <c r="LRA193" s="367"/>
      <c r="LRB193" s="367"/>
      <c r="LRC193" s="368" t="s">
        <v>168</v>
      </c>
      <c r="LRD193" s="369">
        <v>0.5</v>
      </c>
      <c r="LRE193" s="370" t="e">
        <f>10/LRA191</f>
        <v>#DIV/0!</v>
      </c>
      <c r="LRF193" s="371">
        <v>15.38</v>
      </c>
      <c r="LRG193" s="371" t="e">
        <f>LRD193*LRE193*LRF193</f>
        <v>#DIV/0!</v>
      </c>
      <c r="LRH193" s="367" t="s">
        <v>206</v>
      </c>
      <c r="LRI193" s="367"/>
      <c r="LRJ193" s="367"/>
      <c r="LRK193" s="368" t="s">
        <v>168</v>
      </c>
      <c r="LRL193" s="369">
        <v>0.5</v>
      </c>
      <c r="LRM193" s="370" t="e">
        <f>10/LRI191</f>
        <v>#DIV/0!</v>
      </c>
      <c r="LRN193" s="371">
        <v>15.38</v>
      </c>
      <c r="LRO193" s="371" t="e">
        <f>LRL193*LRM193*LRN193</f>
        <v>#DIV/0!</v>
      </c>
      <c r="LRP193" s="367" t="s">
        <v>206</v>
      </c>
      <c r="LRQ193" s="367"/>
      <c r="LRR193" s="367"/>
      <c r="LRS193" s="368" t="s">
        <v>168</v>
      </c>
      <c r="LRT193" s="369">
        <v>0.5</v>
      </c>
      <c r="LRU193" s="370" t="e">
        <f>10/LRQ191</f>
        <v>#DIV/0!</v>
      </c>
      <c r="LRV193" s="371">
        <v>15.38</v>
      </c>
      <c r="LRW193" s="371" t="e">
        <f>LRT193*LRU193*LRV193</f>
        <v>#DIV/0!</v>
      </c>
      <c r="LRX193" s="367" t="s">
        <v>206</v>
      </c>
      <c r="LRY193" s="367"/>
      <c r="LRZ193" s="367"/>
      <c r="LSA193" s="368" t="s">
        <v>168</v>
      </c>
      <c r="LSB193" s="369">
        <v>0.5</v>
      </c>
      <c r="LSC193" s="370" t="e">
        <f>10/LRY191</f>
        <v>#DIV/0!</v>
      </c>
      <c r="LSD193" s="371">
        <v>15.38</v>
      </c>
      <c r="LSE193" s="371" t="e">
        <f>LSB193*LSC193*LSD193</f>
        <v>#DIV/0!</v>
      </c>
      <c r="LSF193" s="367" t="s">
        <v>206</v>
      </c>
      <c r="LSG193" s="367"/>
      <c r="LSH193" s="367"/>
      <c r="LSI193" s="368" t="s">
        <v>168</v>
      </c>
      <c r="LSJ193" s="369">
        <v>0.5</v>
      </c>
      <c r="LSK193" s="370" t="e">
        <f>10/LSG191</f>
        <v>#DIV/0!</v>
      </c>
      <c r="LSL193" s="371">
        <v>15.38</v>
      </c>
      <c r="LSM193" s="371" t="e">
        <f>LSJ193*LSK193*LSL193</f>
        <v>#DIV/0!</v>
      </c>
      <c r="LSN193" s="367" t="s">
        <v>206</v>
      </c>
      <c r="LSO193" s="367"/>
      <c r="LSP193" s="367"/>
      <c r="LSQ193" s="368" t="s">
        <v>168</v>
      </c>
      <c r="LSR193" s="369">
        <v>0.5</v>
      </c>
      <c r="LSS193" s="370" t="e">
        <f>10/LSO191</f>
        <v>#DIV/0!</v>
      </c>
      <c r="LST193" s="371">
        <v>15.38</v>
      </c>
      <c r="LSU193" s="371" t="e">
        <f>LSR193*LSS193*LST193</f>
        <v>#DIV/0!</v>
      </c>
      <c r="LSV193" s="367" t="s">
        <v>206</v>
      </c>
      <c r="LSW193" s="367"/>
      <c r="LSX193" s="367"/>
      <c r="LSY193" s="368" t="s">
        <v>168</v>
      </c>
      <c r="LSZ193" s="369">
        <v>0.5</v>
      </c>
      <c r="LTA193" s="370" t="e">
        <f>10/LSW191</f>
        <v>#DIV/0!</v>
      </c>
      <c r="LTB193" s="371">
        <v>15.38</v>
      </c>
      <c r="LTC193" s="371" t="e">
        <f>LSZ193*LTA193*LTB193</f>
        <v>#DIV/0!</v>
      </c>
      <c r="LTD193" s="367" t="s">
        <v>206</v>
      </c>
      <c r="LTE193" s="367"/>
      <c r="LTF193" s="367"/>
      <c r="LTG193" s="368" t="s">
        <v>168</v>
      </c>
      <c r="LTH193" s="369">
        <v>0.5</v>
      </c>
      <c r="LTI193" s="370" t="e">
        <f>10/LTE191</f>
        <v>#DIV/0!</v>
      </c>
      <c r="LTJ193" s="371">
        <v>15.38</v>
      </c>
      <c r="LTK193" s="371" t="e">
        <f>LTH193*LTI193*LTJ193</f>
        <v>#DIV/0!</v>
      </c>
      <c r="LTL193" s="367" t="s">
        <v>206</v>
      </c>
      <c r="LTM193" s="367"/>
      <c r="LTN193" s="367"/>
      <c r="LTO193" s="368" t="s">
        <v>168</v>
      </c>
      <c r="LTP193" s="369">
        <v>0.5</v>
      </c>
      <c r="LTQ193" s="370" t="e">
        <f>10/LTM191</f>
        <v>#DIV/0!</v>
      </c>
      <c r="LTR193" s="371">
        <v>15.38</v>
      </c>
      <c r="LTS193" s="371" t="e">
        <f>LTP193*LTQ193*LTR193</f>
        <v>#DIV/0!</v>
      </c>
      <c r="LTT193" s="367" t="s">
        <v>206</v>
      </c>
      <c r="LTU193" s="367"/>
      <c r="LTV193" s="367"/>
      <c r="LTW193" s="368" t="s">
        <v>168</v>
      </c>
      <c r="LTX193" s="369">
        <v>0.5</v>
      </c>
      <c r="LTY193" s="370" t="e">
        <f>10/LTU191</f>
        <v>#DIV/0!</v>
      </c>
      <c r="LTZ193" s="371">
        <v>15.38</v>
      </c>
      <c r="LUA193" s="371" t="e">
        <f>LTX193*LTY193*LTZ193</f>
        <v>#DIV/0!</v>
      </c>
      <c r="LUB193" s="367" t="s">
        <v>206</v>
      </c>
      <c r="LUC193" s="367"/>
      <c r="LUD193" s="367"/>
      <c r="LUE193" s="368" t="s">
        <v>168</v>
      </c>
      <c r="LUF193" s="369">
        <v>0.5</v>
      </c>
      <c r="LUG193" s="370" t="e">
        <f>10/LUC191</f>
        <v>#DIV/0!</v>
      </c>
      <c r="LUH193" s="371">
        <v>15.38</v>
      </c>
      <c r="LUI193" s="371" t="e">
        <f>LUF193*LUG193*LUH193</f>
        <v>#DIV/0!</v>
      </c>
      <c r="LUJ193" s="367" t="s">
        <v>206</v>
      </c>
      <c r="LUK193" s="367"/>
      <c r="LUL193" s="367"/>
      <c r="LUM193" s="368" t="s">
        <v>168</v>
      </c>
      <c r="LUN193" s="369">
        <v>0.5</v>
      </c>
      <c r="LUO193" s="370" t="e">
        <f>10/LUK191</f>
        <v>#DIV/0!</v>
      </c>
      <c r="LUP193" s="371">
        <v>15.38</v>
      </c>
      <c r="LUQ193" s="371" t="e">
        <f>LUN193*LUO193*LUP193</f>
        <v>#DIV/0!</v>
      </c>
      <c r="LUR193" s="367" t="s">
        <v>206</v>
      </c>
      <c r="LUS193" s="367"/>
      <c r="LUT193" s="367"/>
      <c r="LUU193" s="368" t="s">
        <v>168</v>
      </c>
      <c r="LUV193" s="369">
        <v>0.5</v>
      </c>
      <c r="LUW193" s="370" t="e">
        <f>10/LUS191</f>
        <v>#DIV/0!</v>
      </c>
      <c r="LUX193" s="371">
        <v>15.38</v>
      </c>
      <c r="LUY193" s="371" t="e">
        <f>LUV193*LUW193*LUX193</f>
        <v>#DIV/0!</v>
      </c>
      <c r="LUZ193" s="367" t="s">
        <v>206</v>
      </c>
      <c r="LVA193" s="367"/>
      <c r="LVB193" s="367"/>
      <c r="LVC193" s="368" t="s">
        <v>168</v>
      </c>
      <c r="LVD193" s="369">
        <v>0.5</v>
      </c>
      <c r="LVE193" s="370" t="e">
        <f>10/LVA191</f>
        <v>#DIV/0!</v>
      </c>
      <c r="LVF193" s="371">
        <v>15.38</v>
      </c>
      <c r="LVG193" s="371" t="e">
        <f>LVD193*LVE193*LVF193</f>
        <v>#DIV/0!</v>
      </c>
      <c r="LVH193" s="367" t="s">
        <v>206</v>
      </c>
      <c r="LVI193" s="367"/>
      <c r="LVJ193" s="367"/>
      <c r="LVK193" s="368" t="s">
        <v>168</v>
      </c>
      <c r="LVL193" s="369">
        <v>0.5</v>
      </c>
      <c r="LVM193" s="370" t="e">
        <f>10/LVI191</f>
        <v>#DIV/0!</v>
      </c>
      <c r="LVN193" s="371">
        <v>15.38</v>
      </c>
      <c r="LVO193" s="371" t="e">
        <f>LVL193*LVM193*LVN193</f>
        <v>#DIV/0!</v>
      </c>
      <c r="LVP193" s="367" t="s">
        <v>206</v>
      </c>
      <c r="LVQ193" s="367"/>
      <c r="LVR193" s="367"/>
      <c r="LVS193" s="368" t="s">
        <v>168</v>
      </c>
      <c r="LVT193" s="369">
        <v>0.5</v>
      </c>
      <c r="LVU193" s="370" t="e">
        <f>10/LVQ191</f>
        <v>#DIV/0!</v>
      </c>
      <c r="LVV193" s="371">
        <v>15.38</v>
      </c>
      <c r="LVW193" s="371" t="e">
        <f>LVT193*LVU193*LVV193</f>
        <v>#DIV/0!</v>
      </c>
      <c r="LVX193" s="367" t="s">
        <v>206</v>
      </c>
      <c r="LVY193" s="367"/>
      <c r="LVZ193" s="367"/>
      <c r="LWA193" s="368" t="s">
        <v>168</v>
      </c>
      <c r="LWB193" s="369">
        <v>0.5</v>
      </c>
      <c r="LWC193" s="370" t="e">
        <f>10/LVY191</f>
        <v>#DIV/0!</v>
      </c>
      <c r="LWD193" s="371">
        <v>15.38</v>
      </c>
      <c r="LWE193" s="371" t="e">
        <f>LWB193*LWC193*LWD193</f>
        <v>#DIV/0!</v>
      </c>
      <c r="LWF193" s="367" t="s">
        <v>206</v>
      </c>
      <c r="LWG193" s="367"/>
      <c r="LWH193" s="367"/>
      <c r="LWI193" s="368" t="s">
        <v>168</v>
      </c>
      <c r="LWJ193" s="369">
        <v>0.5</v>
      </c>
      <c r="LWK193" s="370" t="e">
        <f>10/LWG191</f>
        <v>#DIV/0!</v>
      </c>
      <c r="LWL193" s="371">
        <v>15.38</v>
      </c>
      <c r="LWM193" s="371" t="e">
        <f>LWJ193*LWK193*LWL193</f>
        <v>#DIV/0!</v>
      </c>
      <c r="LWN193" s="367" t="s">
        <v>206</v>
      </c>
      <c r="LWO193" s="367"/>
      <c r="LWP193" s="367"/>
      <c r="LWQ193" s="368" t="s">
        <v>168</v>
      </c>
      <c r="LWR193" s="369">
        <v>0.5</v>
      </c>
      <c r="LWS193" s="370" t="e">
        <f>10/LWO191</f>
        <v>#DIV/0!</v>
      </c>
      <c r="LWT193" s="371">
        <v>15.38</v>
      </c>
      <c r="LWU193" s="371" t="e">
        <f>LWR193*LWS193*LWT193</f>
        <v>#DIV/0!</v>
      </c>
      <c r="LWV193" s="367" t="s">
        <v>206</v>
      </c>
      <c r="LWW193" s="367"/>
      <c r="LWX193" s="367"/>
      <c r="LWY193" s="368" t="s">
        <v>168</v>
      </c>
      <c r="LWZ193" s="369">
        <v>0.5</v>
      </c>
      <c r="LXA193" s="370" t="e">
        <f>10/LWW191</f>
        <v>#DIV/0!</v>
      </c>
      <c r="LXB193" s="371">
        <v>15.38</v>
      </c>
      <c r="LXC193" s="371" t="e">
        <f>LWZ193*LXA193*LXB193</f>
        <v>#DIV/0!</v>
      </c>
      <c r="LXD193" s="367" t="s">
        <v>206</v>
      </c>
      <c r="LXE193" s="367"/>
      <c r="LXF193" s="367"/>
      <c r="LXG193" s="368" t="s">
        <v>168</v>
      </c>
      <c r="LXH193" s="369">
        <v>0.5</v>
      </c>
      <c r="LXI193" s="370" t="e">
        <f>10/LXE191</f>
        <v>#DIV/0!</v>
      </c>
      <c r="LXJ193" s="371">
        <v>15.38</v>
      </c>
      <c r="LXK193" s="371" t="e">
        <f>LXH193*LXI193*LXJ193</f>
        <v>#DIV/0!</v>
      </c>
      <c r="LXL193" s="367" t="s">
        <v>206</v>
      </c>
      <c r="LXM193" s="367"/>
      <c r="LXN193" s="367"/>
      <c r="LXO193" s="368" t="s">
        <v>168</v>
      </c>
      <c r="LXP193" s="369">
        <v>0.5</v>
      </c>
      <c r="LXQ193" s="370" t="e">
        <f>10/LXM191</f>
        <v>#DIV/0!</v>
      </c>
      <c r="LXR193" s="371">
        <v>15.38</v>
      </c>
      <c r="LXS193" s="371" t="e">
        <f>LXP193*LXQ193*LXR193</f>
        <v>#DIV/0!</v>
      </c>
      <c r="LXT193" s="367" t="s">
        <v>206</v>
      </c>
      <c r="LXU193" s="367"/>
      <c r="LXV193" s="367"/>
      <c r="LXW193" s="368" t="s">
        <v>168</v>
      </c>
      <c r="LXX193" s="369">
        <v>0.5</v>
      </c>
      <c r="LXY193" s="370" t="e">
        <f>10/LXU191</f>
        <v>#DIV/0!</v>
      </c>
      <c r="LXZ193" s="371">
        <v>15.38</v>
      </c>
      <c r="LYA193" s="371" t="e">
        <f>LXX193*LXY193*LXZ193</f>
        <v>#DIV/0!</v>
      </c>
      <c r="LYB193" s="367" t="s">
        <v>206</v>
      </c>
      <c r="LYC193" s="367"/>
      <c r="LYD193" s="367"/>
      <c r="LYE193" s="368" t="s">
        <v>168</v>
      </c>
      <c r="LYF193" s="369">
        <v>0.5</v>
      </c>
      <c r="LYG193" s="370" t="e">
        <f>10/LYC191</f>
        <v>#DIV/0!</v>
      </c>
      <c r="LYH193" s="371">
        <v>15.38</v>
      </c>
      <c r="LYI193" s="371" t="e">
        <f>LYF193*LYG193*LYH193</f>
        <v>#DIV/0!</v>
      </c>
      <c r="LYJ193" s="367" t="s">
        <v>206</v>
      </c>
      <c r="LYK193" s="367"/>
      <c r="LYL193" s="367"/>
      <c r="LYM193" s="368" t="s">
        <v>168</v>
      </c>
      <c r="LYN193" s="369">
        <v>0.5</v>
      </c>
      <c r="LYO193" s="370" t="e">
        <f>10/LYK191</f>
        <v>#DIV/0!</v>
      </c>
      <c r="LYP193" s="371">
        <v>15.38</v>
      </c>
      <c r="LYQ193" s="371" t="e">
        <f>LYN193*LYO193*LYP193</f>
        <v>#DIV/0!</v>
      </c>
      <c r="LYR193" s="367" t="s">
        <v>206</v>
      </c>
      <c r="LYS193" s="367"/>
      <c r="LYT193" s="367"/>
      <c r="LYU193" s="368" t="s">
        <v>168</v>
      </c>
      <c r="LYV193" s="369">
        <v>0.5</v>
      </c>
      <c r="LYW193" s="370" t="e">
        <f>10/LYS191</f>
        <v>#DIV/0!</v>
      </c>
      <c r="LYX193" s="371">
        <v>15.38</v>
      </c>
      <c r="LYY193" s="371" t="e">
        <f>LYV193*LYW193*LYX193</f>
        <v>#DIV/0!</v>
      </c>
      <c r="LYZ193" s="367" t="s">
        <v>206</v>
      </c>
      <c r="LZA193" s="367"/>
      <c r="LZB193" s="367"/>
      <c r="LZC193" s="368" t="s">
        <v>168</v>
      </c>
      <c r="LZD193" s="369">
        <v>0.5</v>
      </c>
      <c r="LZE193" s="370" t="e">
        <f>10/LZA191</f>
        <v>#DIV/0!</v>
      </c>
      <c r="LZF193" s="371">
        <v>15.38</v>
      </c>
      <c r="LZG193" s="371" t="e">
        <f>LZD193*LZE193*LZF193</f>
        <v>#DIV/0!</v>
      </c>
      <c r="LZH193" s="367" t="s">
        <v>206</v>
      </c>
      <c r="LZI193" s="367"/>
      <c r="LZJ193" s="367"/>
      <c r="LZK193" s="368" t="s">
        <v>168</v>
      </c>
      <c r="LZL193" s="369">
        <v>0.5</v>
      </c>
      <c r="LZM193" s="370" t="e">
        <f>10/LZI191</f>
        <v>#DIV/0!</v>
      </c>
      <c r="LZN193" s="371">
        <v>15.38</v>
      </c>
      <c r="LZO193" s="371" t="e">
        <f>LZL193*LZM193*LZN193</f>
        <v>#DIV/0!</v>
      </c>
      <c r="LZP193" s="367" t="s">
        <v>206</v>
      </c>
      <c r="LZQ193" s="367"/>
      <c r="LZR193" s="367"/>
      <c r="LZS193" s="368" t="s">
        <v>168</v>
      </c>
      <c r="LZT193" s="369">
        <v>0.5</v>
      </c>
      <c r="LZU193" s="370" t="e">
        <f>10/LZQ191</f>
        <v>#DIV/0!</v>
      </c>
      <c r="LZV193" s="371">
        <v>15.38</v>
      </c>
      <c r="LZW193" s="371" t="e">
        <f>LZT193*LZU193*LZV193</f>
        <v>#DIV/0!</v>
      </c>
      <c r="LZX193" s="367" t="s">
        <v>206</v>
      </c>
      <c r="LZY193" s="367"/>
      <c r="LZZ193" s="367"/>
      <c r="MAA193" s="368" t="s">
        <v>168</v>
      </c>
      <c r="MAB193" s="369">
        <v>0.5</v>
      </c>
      <c r="MAC193" s="370" t="e">
        <f>10/LZY191</f>
        <v>#DIV/0!</v>
      </c>
      <c r="MAD193" s="371">
        <v>15.38</v>
      </c>
      <c r="MAE193" s="371" t="e">
        <f>MAB193*MAC193*MAD193</f>
        <v>#DIV/0!</v>
      </c>
      <c r="MAF193" s="367" t="s">
        <v>206</v>
      </c>
      <c r="MAG193" s="367"/>
      <c r="MAH193" s="367"/>
      <c r="MAI193" s="368" t="s">
        <v>168</v>
      </c>
      <c r="MAJ193" s="369">
        <v>0.5</v>
      </c>
      <c r="MAK193" s="370" t="e">
        <f>10/MAG191</f>
        <v>#DIV/0!</v>
      </c>
      <c r="MAL193" s="371">
        <v>15.38</v>
      </c>
      <c r="MAM193" s="371" t="e">
        <f>MAJ193*MAK193*MAL193</f>
        <v>#DIV/0!</v>
      </c>
      <c r="MAN193" s="367" t="s">
        <v>206</v>
      </c>
      <c r="MAO193" s="367"/>
      <c r="MAP193" s="367"/>
      <c r="MAQ193" s="368" t="s">
        <v>168</v>
      </c>
      <c r="MAR193" s="369">
        <v>0.5</v>
      </c>
      <c r="MAS193" s="370" t="e">
        <f>10/MAO191</f>
        <v>#DIV/0!</v>
      </c>
      <c r="MAT193" s="371">
        <v>15.38</v>
      </c>
      <c r="MAU193" s="371" t="e">
        <f>MAR193*MAS193*MAT193</f>
        <v>#DIV/0!</v>
      </c>
      <c r="MAV193" s="367" t="s">
        <v>206</v>
      </c>
      <c r="MAW193" s="367"/>
      <c r="MAX193" s="367"/>
      <c r="MAY193" s="368" t="s">
        <v>168</v>
      </c>
      <c r="MAZ193" s="369">
        <v>0.5</v>
      </c>
      <c r="MBA193" s="370" t="e">
        <f>10/MAW191</f>
        <v>#DIV/0!</v>
      </c>
      <c r="MBB193" s="371">
        <v>15.38</v>
      </c>
      <c r="MBC193" s="371" t="e">
        <f>MAZ193*MBA193*MBB193</f>
        <v>#DIV/0!</v>
      </c>
      <c r="MBD193" s="367" t="s">
        <v>206</v>
      </c>
      <c r="MBE193" s="367"/>
      <c r="MBF193" s="367"/>
      <c r="MBG193" s="368" t="s">
        <v>168</v>
      </c>
      <c r="MBH193" s="369">
        <v>0.5</v>
      </c>
      <c r="MBI193" s="370" t="e">
        <f>10/MBE191</f>
        <v>#DIV/0!</v>
      </c>
      <c r="MBJ193" s="371">
        <v>15.38</v>
      </c>
      <c r="MBK193" s="371" t="e">
        <f>MBH193*MBI193*MBJ193</f>
        <v>#DIV/0!</v>
      </c>
      <c r="MBL193" s="367" t="s">
        <v>206</v>
      </c>
      <c r="MBM193" s="367"/>
      <c r="MBN193" s="367"/>
      <c r="MBO193" s="368" t="s">
        <v>168</v>
      </c>
      <c r="MBP193" s="369">
        <v>0.5</v>
      </c>
      <c r="MBQ193" s="370" t="e">
        <f>10/MBM191</f>
        <v>#DIV/0!</v>
      </c>
      <c r="MBR193" s="371">
        <v>15.38</v>
      </c>
      <c r="MBS193" s="371" t="e">
        <f>MBP193*MBQ193*MBR193</f>
        <v>#DIV/0!</v>
      </c>
      <c r="MBT193" s="367" t="s">
        <v>206</v>
      </c>
      <c r="MBU193" s="367"/>
      <c r="MBV193" s="367"/>
      <c r="MBW193" s="368" t="s">
        <v>168</v>
      </c>
      <c r="MBX193" s="369">
        <v>0.5</v>
      </c>
      <c r="MBY193" s="370" t="e">
        <f>10/MBU191</f>
        <v>#DIV/0!</v>
      </c>
      <c r="MBZ193" s="371">
        <v>15.38</v>
      </c>
      <c r="MCA193" s="371" t="e">
        <f>MBX193*MBY193*MBZ193</f>
        <v>#DIV/0!</v>
      </c>
      <c r="MCB193" s="367" t="s">
        <v>206</v>
      </c>
      <c r="MCC193" s="367"/>
      <c r="MCD193" s="367"/>
      <c r="MCE193" s="368" t="s">
        <v>168</v>
      </c>
      <c r="MCF193" s="369">
        <v>0.5</v>
      </c>
      <c r="MCG193" s="370" t="e">
        <f>10/MCC191</f>
        <v>#DIV/0!</v>
      </c>
      <c r="MCH193" s="371">
        <v>15.38</v>
      </c>
      <c r="MCI193" s="371" t="e">
        <f>MCF193*MCG193*MCH193</f>
        <v>#DIV/0!</v>
      </c>
      <c r="MCJ193" s="367" t="s">
        <v>206</v>
      </c>
      <c r="MCK193" s="367"/>
      <c r="MCL193" s="367"/>
      <c r="MCM193" s="368" t="s">
        <v>168</v>
      </c>
      <c r="MCN193" s="369">
        <v>0.5</v>
      </c>
      <c r="MCO193" s="370" t="e">
        <f>10/MCK191</f>
        <v>#DIV/0!</v>
      </c>
      <c r="MCP193" s="371">
        <v>15.38</v>
      </c>
      <c r="MCQ193" s="371" t="e">
        <f>MCN193*MCO193*MCP193</f>
        <v>#DIV/0!</v>
      </c>
      <c r="MCR193" s="367" t="s">
        <v>206</v>
      </c>
      <c r="MCS193" s="367"/>
      <c r="MCT193" s="367"/>
      <c r="MCU193" s="368" t="s">
        <v>168</v>
      </c>
      <c r="MCV193" s="369">
        <v>0.5</v>
      </c>
      <c r="MCW193" s="370" t="e">
        <f>10/MCS191</f>
        <v>#DIV/0!</v>
      </c>
      <c r="MCX193" s="371">
        <v>15.38</v>
      </c>
      <c r="MCY193" s="371" t="e">
        <f>MCV193*MCW193*MCX193</f>
        <v>#DIV/0!</v>
      </c>
      <c r="MCZ193" s="367" t="s">
        <v>206</v>
      </c>
      <c r="MDA193" s="367"/>
      <c r="MDB193" s="367"/>
      <c r="MDC193" s="368" t="s">
        <v>168</v>
      </c>
      <c r="MDD193" s="369">
        <v>0.5</v>
      </c>
      <c r="MDE193" s="370" t="e">
        <f>10/MDA191</f>
        <v>#DIV/0!</v>
      </c>
      <c r="MDF193" s="371">
        <v>15.38</v>
      </c>
      <c r="MDG193" s="371" t="e">
        <f>MDD193*MDE193*MDF193</f>
        <v>#DIV/0!</v>
      </c>
      <c r="MDH193" s="367" t="s">
        <v>206</v>
      </c>
      <c r="MDI193" s="367"/>
      <c r="MDJ193" s="367"/>
      <c r="MDK193" s="368" t="s">
        <v>168</v>
      </c>
      <c r="MDL193" s="369">
        <v>0.5</v>
      </c>
      <c r="MDM193" s="370" t="e">
        <f>10/MDI191</f>
        <v>#DIV/0!</v>
      </c>
      <c r="MDN193" s="371">
        <v>15.38</v>
      </c>
      <c r="MDO193" s="371" t="e">
        <f>MDL193*MDM193*MDN193</f>
        <v>#DIV/0!</v>
      </c>
      <c r="MDP193" s="367" t="s">
        <v>206</v>
      </c>
      <c r="MDQ193" s="367"/>
      <c r="MDR193" s="367"/>
      <c r="MDS193" s="368" t="s">
        <v>168</v>
      </c>
      <c r="MDT193" s="369">
        <v>0.5</v>
      </c>
      <c r="MDU193" s="370" t="e">
        <f>10/MDQ191</f>
        <v>#DIV/0!</v>
      </c>
      <c r="MDV193" s="371">
        <v>15.38</v>
      </c>
      <c r="MDW193" s="371" t="e">
        <f>MDT193*MDU193*MDV193</f>
        <v>#DIV/0!</v>
      </c>
      <c r="MDX193" s="367" t="s">
        <v>206</v>
      </c>
      <c r="MDY193" s="367"/>
      <c r="MDZ193" s="367"/>
      <c r="MEA193" s="368" t="s">
        <v>168</v>
      </c>
      <c r="MEB193" s="369">
        <v>0.5</v>
      </c>
      <c r="MEC193" s="370" t="e">
        <f>10/MDY191</f>
        <v>#DIV/0!</v>
      </c>
      <c r="MED193" s="371">
        <v>15.38</v>
      </c>
      <c r="MEE193" s="371" t="e">
        <f>MEB193*MEC193*MED193</f>
        <v>#DIV/0!</v>
      </c>
      <c r="MEF193" s="367" t="s">
        <v>206</v>
      </c>
      <c r="MEG193" s="367"/>
      <c r="MEH193" s="367"/>
      <c r="MEI193" s="368" t="s">
        <v>168</v>
      </c>
      <c r="MEJ193" s="369">
        <v>0.5</v>
      </c>
      <c r="MEK193" s="370" t="e">
        <f>10/MEG191</f>
        <v>#DIV/0!</v>
      </c>
      <c r="MEL193" s="371">
        <v>15.38</v>
      </c>
      <c r="MEM193" s="371" t="e">
        <f>MEJ193*MEK193*MEL193</f>
        <v>#DIV/0!</v>
      </c>
      <c r="MEN193" s="367" t="s">
        <v>206</v>
      </c>
      <c r="MEO193" s="367"/>
      <c r="MEP193" s="367"/>
      <c r="MEQ193" s="368" t="s">
        <v>168</v>
      </c>
      <c r="MER193" s="369">
        <v>0.5</v>
      </c>
      <c r="MES193" s="370" t="e">
        <f>10/MEO191</f>
        <v>#DIV/0!</v>
      </c>
      <c r="MET193" s="371">
        <v>15.38</v>
      </c>
      <c r="MEU193" s="371" t="e">
        <f>MER193*MES193*MET193</f>
        <v>#DIV/0!</v>
      </c>
      <c r="MEV193" s="367" t="s">
        <v>206</v>
      </c>
      <c r="MEW193" s="367"/>
      <c r="MEX193" s="367"/>
      <c r="MEY193" s="368" t="s">
        <v>168</v>
      </c>
      <c r="MEZ193" s="369">
        <v>0.5</v>
      </c>
      <c r="MFA193" s="370" t="e">
        <f>10/MEW191</f>
        <v>#DIV/0!</v>
      </c>
      <c r="MFB193" s="371">
        <v>15.38</v>
      </c>
      <c r="MFC193" s="371" t="e">
        <f>MEZ193*MFA193*MFB193</f>
        <v>#DIV/0!</v>
      </c>
      <c r="MFD193" s="367" t="s">
        <v>206</v>
      </c>
      <c r="MFE193" s="367"/>
      <c r="MFF193" s="367"/>
      <c r="MFG193" s="368" t="s">
        <v>168</v>
      </c>
      <c r="MFH193" s="369">
        <v>0.5</v>
      </c>
      <c r="MFI193" s="370" t="e">
        <f>10/MFE191</f>
        <v>#DIV/0!</v>
      </c>
      <c r="MFJ193" s="371">
        <v>15.38</v>
      </c>
      <c r="MFK193" s="371" t="e">
        <f>MFH193*MFI193*MFJ193</f>
        <v>#DIV/0!</v>
      </c>
      <c r="MFL193" s="367" t="s">
        <v>206</v>
      </c>
      <c r="MFM193" s="367"/>
      <c r="MFN193" s="367"/>
      <c r="MFO193" s="368" t="s">
        <v>168</v>
      </c>
      <c r="MFP193" s="369">
        <v>0.5</v>
      </c>
      <c r="MFQ193" s="370" t="e">
        <f>10/MFM191</f>
        <v>#DIV/0!</v>
      </c>
      <c r="MFR193" s="371">
        <v>15.38</v>
      </c>
      <c r="MFS193" s="371" t="e">
        <f>MFP193*MFQ193*MFR193</f>
        <v>#DIV/0!</v>
      </c>
      <c r="MFT193" s="367" t="s">
        <v>206</v>
      </c>
      <c r="MFU193" s="367"/>
      <c r="MFV193" s="367"/>
      <c r="MFW193" s="368" t="s">
        <v>168</v>
      </c>
      <c r="MFX193" s="369">
        <v>0.5</v>
      </c>
      <c r="MFY193" s="370" t="e">
        <f>10/MFU191</f>
        <v>#DIV/0!</v>
      </c>
      <c r="MFZ193" s="371">
        <v>15.38</v>
      </c>
      <c r="MGA193" s="371" t="e">
        <f>MFX193*MFY193*MFZ193</f>
        <v>#DIV/0!</v>
      </c>
      <c r="MGB193" s="367" t="s">
        <v>206</v>
      </c>
      <c r="MGC193" s="367"/>
      <c r="MGD193" s="367"/>
      <c r="MGE193" s="368" t="s">
        <v>168</v>
      </c>
      <c r="MGF193" s="369">
        <v>0.5</v>
      </c>
      <c r="MGG193" s="370" t="e">
        <f>10/MGC191</f>
        <v>#DIV/0!</v>
      </c>
      <c r="MGH193" s="371">
        <v>15.38</v>
      </c>
      <c r="MGI193" s="371" t="e">
        <f>MGF193*MGG193*MGH193</f>
        <v>#DIV/0!</v>
      </c>
      <c r="MGJ193" s="367" t="s">
        <v>206</v>
      </c>
      <c r="MGK193" s="367"/>
      <c r="MGL193" s="367"/>
      <c r="MGM193" s="368" t="s">
        <v>168</v>
      </c>
      <c r="MGN193" s="369">
        <v>0.5</v>
      </c>
      <c r="MGO193" s="370" t="e">
        <f>10/MGK191</f>
        <v>#DIV/0!</v>
      </c>
      <c r="MGP193" s="371">
        <v>15.38</v>
      </c>
      <c r="MGQ193" s="371" t="e">
        <f>MGN193*MGO193*MGP193</f>
        <v>#DIV/0!</v>
      </c>
      <c r="MGR193" s="367" t="s">
        <v>206</v>
      </c>
      <c r="MGS193" s="367"/>
      <c r="MGT193" s="367"/>
      <c r="MGU193" s="368" t="s">
        <v>168</v>
      </c>
      <c r="MGV193" s="369">
        <v>0.5</v>
      </c>
      <c r="MGW193" s="370" t="e">
        <f>10/MGS191</f>
        <v>#DIV/0!</v>
      </c>
      <c r="MGX193" s="371">
        <v>15.38</v>
      </c>
      <c r="MGY193" s="371" t="e">
        <f>MGV193*MGW193*MGX193</f>
        <v>#DIV/0!</v>
      </c>
      <c r="MGZ193" s="367" t="s">
        <v>206</v>
      </c>
      <c r="MHA193" s="367"/>
      <c r="MHB193" s="367"/>
      <c r="MHC193" s="368" t="s">
        <v>168</v>
      </c>
      <c r="MHD193" s="369">
        <v>0.5</v>
      </c>
      <c r="MHE193" s="370" t="e">
        <f>10/MHA191</f>
        <v>#DIV/0!</v>
      </c>
      <c r="MHF193" s="371">
        <v>15.38</v>
      </c>
      <c r="MHG193" s="371" t="e">
        <f>MHD193*MHE193*MHF193</f>
        <v>#DIV/0!</v>
      </c>
      <c r="MHH193" s="367" t="s">
        <v>206</v>
      </c>
      <c r="MHI193" s="367"/>
      <c r="MHJ193" s="367"/>
      <c r="MHK193" s="368" t="s">
        <v>168</v>
      </c>
      <c r="MHL193" s="369">
        <v>0.5</v>
      </c>
      <c r="MHM193" s="370" t="e">
        <f>10/MHI191</f>
        <v>#DIV/0!</v>
      </c>
      <c r="MHN193" s="371">
        <v>15.38</v>
      </c>
      <c r="MHO193" s="371" t="e">
        <f>MHL193*MHM193*MHN193</f>
        <v>#DIV/0!</v>
      </c>
      <c r="MHP193" s="367" t="s">
        <v>206</v>
      </c>
      <c r="MHQ193" s="367"/>
      <c r="MHR193" s="367"/>
      <c r="MHS193" s="368" t="s">
        <v>168</v>
      </c>
      <c r="MHT193" s="369">
        <v>0.5</v>
      </c>
      <c r="MHU193" s="370" t="e">
        <f>10/MHQ191</f>
        <v>#DIV/0!</v>
      </c>
      <c r="MHV193" s="371">
        <v>15.38</v>
      </c>
      <c r="MHW193" s="371" t="e">
        <f>MHT193*MHU193*MHV193</f>
        <v>#DIV/0!</v>
      </c>
      <c r="MHX193" s="367" t="s">
        <v>206</v>
      </c>
      <c r="MHY193" s="367"/>
      <c r="MHZ193" s="367"/>
      <c r="MIA193" s="368" t="s">
        <v>168</v>
      </c>
      <c r="MIB193" s="369">
        <v>0.5</v>
      </c>
      <c r="MIC193" s="370" t="e">
        <f>10/MHY191</f>
        <v>#DIV/0!</v>
      </c>
      <c r="MID193" s="371">
        <v>15.38</v>
      </c>
      <c r="MIE193" s="371" t="e">
        <f>MIB193*MIC193*MID193</f>
        <v>#DIV/0!</v>
      </c>
      <c r="MIF193" s="367" t="s">
        <v>206</v>
      </c>
      <c r="MIG193" s="367"/>
      <c r="MIH193" s="367"/>
      <c r="MII193" s="368" t="s">
        <v>168</v>
      </c>
      <c r="MIJ193" s="369">
        <v>0.5</v>
      </c>
      <c r="MIK193" s="370" t="e">
        <f>10/MIG191</f>
        <v>#DIV/0!</v>
      </c>
      <c r="MIL193" s="371">
        <v>15.38</v>
      </c>
      <c r="MIM193" s="371" t="e">
        <f>MIJ193*MIK193*MIL193</f>
        <v>#DIV/0!</v>
      </c>
      <c r="MIN193" s="367" t="s">
        <v>206</v>
      </c>
      <c r="MIO193" s="367"/>
      <c r="MIP193" s="367"/>
      <c r="MIQ193" s="368" t="s">
        <v>168</v>
      </c>
      <c r="MIR193" s="369">
        <v>0.5</v>
      </c>
      <c r="MIS193" s="370" t="e">
        <f>10/MIO191</f>
        <v>#DIV/0!</v>
      </c>
      <c r="MIT193" s="371">
        <v>15.38</v>
      </c>
      <c r="MIU193" s="371" t="e">
        <f>MIR193*MIS193*MIT193</f>
        <v>#DIV/0!</v>
      </c>
      <c r="MIV193" s="367" t="s">
        <v>206</v>
      </c>
      <c r="MIW193" s="367"/>
      <c r="MIX193" s="367"/>
      <c r="MIY193" s="368" t="s">
        <v>168</v>
      </c>
      <c r="MIZ193" s="369">
        <v>0.5</v>
      </c>
      <c r="MJA193" s="370" t="e">
        <f>10/MIW191</f>
        <v>#DIV/0!</v>
      </c>
      <c r="MJB193" s="371">
        <v>15.38</v>
      </c>
      <c r="MJC193" s="371" t="e">
        <f>MIZ193*MJA193*MJB193</f>
        <v>#DIV/0!</v>
      </c>
      <c r="MJD193" s="367" t="s">
        <v>206</v>
      </c>
      <c r="MJE193" s="367"/>
      <c r="MJF193" s="367"/>
      <c r="MJG193" s="368" t="s">
        <v>168</v>
      </c>
      <c r="MJH193" s="369">
        <v>0.5</v>
      </c>
      <c r="MJI193" s="370" t="e">
        <f>10/MJE191</f>
        <v>#DIV/0!</v>
      </c>
      <c r="MJJ193" s="371">
        <v>15.38</v>
      </c>
      <c r="MJK193" s="371" t="e">
        <f>MJH193*MJI193*MJJ193</f>
        <v>#DIV/0!</v>
      </c>
      <c r="MJL193" s="367" t="s">
        <v>206</v>
      </c>
      <c r="MJM193" s="367"/>
      <c r="MJN193" s="367"/>
      <c r="MJO193" s="368" t="s">
        <v>168</v>
      </c>
      <c r="MJP193" s="369">
        <v>0.5</v>
      </c>
      <c r="MJQ193" s="370" t="e">
        <f>10/MJM191</f>
        <v>#DIV/0!</v>
      </c>
      <c r="MJR193" s="371">
        <v>15.38</v>
      </c>
      <c r="MJS193" s="371" t="e">
        <f>MJP193*MJQ193*MJR193</f>
        <v>#DIV/0!</v>
      </c>
      <c r="MJT193" s="367" t="s">
        <v>206</v>
      </c>
      <c r="MJU193" s="367"/>
      <c r="MJV193" s="367"/>
      <c r="MJW193" s="368" t="s">
        <v>168</v>
      </c>
      <c r="MJX193" s="369">
        <v>0.5</v>
      </c>
      <c r="MJY193" s="370" t="e">
        <f>10/MJU191</f>
        <v>#DIV/0!</v>
      </c>
      <c r="MJZ193" s="371">
        <v>15.38</v>
      </c>
      <c r="MKA193" s="371" t="e">
        <f>MJX193*MJY193*MJZ193</f>
        <v>#DIV/0!</v>
      </c>
      <c r="MKB193" s="367" t="s">
        <v>206</v>
      </c>
      <c r="MKC193" s="367"/>
      <c r="MKD193" s="367"/>
      <c r="MKE193" s="368" t="s">
        <v>168</v>
      </c>
      <c r="MKF193" s="369">
        <v>0.5</v>
      </c>
      <c r="MKG193" s="370" t="e">
        <f>10/MKC191</f>
        <v>#DIV/0!</v>
      </c>
      <c r="MKH193" s="371">
        <v>15.38</v>
      </c>
      <c r="MKI193" s="371" t="e">
        <f>MKF193*MKG193*MKH193</f>
        <v>#DIV/0!</v>
      </c>
      <c r="MKJ193" s="367" t="s">
        <v>206</v>
      </c>
      <c r="MKK193" s="367"/>
      <c r="MKL193" s="367"/>
      <c r="MKM193" s="368" t="s">
        <v>168</v>
      </c>
      <c r="MKN193" s="369">
        <v>0.5</v>
      </c>
      <c r="MKO193" s="370" t="e">
        <f>10/MKK191</f>
        <v>#DIV/0!</v>
      </c>
      <c r="MKP193" s="371">
        <v>15.38</v>
      </c>
      <c r="MKQ193" s="371" t="e">
        <f>MKN193*MKO193*MKP193</f>
        <v>#DIV/0!</v>
      </c>
      <c r="MKR193" s="367" t="s">
        <v>206</v>
      </c>
      <c r="MKS193" s="367"/>
      <c r="MKT193" s="367"/>
      <c r="MKU193" s="368" t="s">
        <v>168</v>
      </c>
      <c r="MKV193" s="369">
        <v>0.5</v>
      </c>
      <c r="MKW193" s="370" t="e">
        <f>10/MKS191</f>
        <v>#DIV/0!</v>
      </c>
      <c r="MKX193" s="371">
        <v>15.38</v>
      </c>
      <c r="MKY193" s="371" t="e">
        <f>MKV193*MKW193*MKX193</f>
        <v>#DIV/0!</v>
      </c>
      <c r="MKZ193" s="367" t="s">
        <v>206</v>
      </c>
      <c r="MLA193" s="367"/>
      <c r="MLB193" s="367"/>
      <c r="MLC193" s="368" t="s">
        <v>168</v>
      </c>
      <c r="MLD193" s="369">
        <v>0.5</v>
      </c>
      <c r="MLE193" s="370" t="e">
        <f>10/MLA191</f>
        <v>#DIV/0!</v>
      </c>
      <c r="MLF193" s="371">
        <v>15.38</v>
      </c>
      <c r="MLG193" s="371" t="e">
        <f>MLD193*MLE193*MLF193</f>
        <v>#DIV/0!</v>
      </c>
      <c r="MLH193" s="367" t="s">
        <v>206</v>
      </c>
      <c r="MLI193" s="367"/>
      <c r="MLJ193" s="367"/>
      <c r="MLK193" s="368" t="s">
        <v>168</v>
      </c>
      <c r="MLL193" s="369">
        <v>0.5</v>
      </c>
      <c r="MLM193" s="370" t="e">
        <f>10/MLI191</f>
        <v>#DIV/0!</v>
      </c>
      <c r="MLN193" s="371">
        <v>15.38</v>
      </c>
      <c r="MLO193" s="371" t="e">
        <f>MLL193*MLM193*MLN193</f>
        <v>#DIV/0!</v>
      </c>
      <c r="MLP193" s="367" t="s">
        <v>206</v>
      </c>
      <c r="MLQ193" s="367"/>
      <c r="MLR193" s="367"/>
      <c r="MLS193" s="368" t="s">
        <v>168</v>
      </c>
      <c r="MLT193" s="369">
        <v>0.5</v>
      </c>
      <c r="MLU193" s="370" t="e">
        <f>10/MLQ191</f>
        <v>#DIV/0!</v>
      </c>
      <c r="MLV193" s="371">
        <v>15.38</v>
      </c>
      <c r="MLW193" s="371" t="e">
        <f>MLT193*MLU193*MLV193</f>
        <v>#DIV/0!</v>
      </c>
      <c r="MLX193" s="367" t="s">
        <v>206</v>
      </c>
      <c r="MLY193" s="367"/>
      <c r="MLZ193" s="367"/>
      <c r="MMA193" s="368" t="s">
        <v>168</v>
      </c>
      <c r="MMB193" s="369">
        <v>0.5</v>
      </c>
      <c r="MMC193" s="370" t="e">
        <f>10/MLY191</f>
        <v>#DIV/0!</v>
      </c>
      <c r="MMD193" s="371">
        <v>15.38</v>
      </c>
      <c r="MME193" s="371" t="e">
        <f>MMB193*MMC193*MMD193</f>
        <v>#DIV/0!</v>
      </c>
      <c r="MMF193" s="367" t="s">
        <v>206</v>
      </c>
      <c r="MMG193" s="367"/>
      <c r="MMH193" s="367"/>
      <c r="MMI193" s="368" t="s">
        <v>168</v>
      </c>
      <c r="MMJ193" s="369">
        <v>0.5</v>
      </c>
      <c r="MMK193" s="370" t="e">
        <f>10/MMG191</f>
        <v>#DIV/0!</v>
      </c>
      <c r="MML193" s="371">
        <v>15.38</v>
      </c>
      <c r="MMM193" s="371" t="e">
        <f>MMJ193*MMK193*MML193</f>
        <v>#DIV/0!</v>
      </c>
      <c r="MMN193" s="367" t="s">
        <v>206</v>
      </c>
      <c r="MMO193" s="367"/>
      <c r="MMP193" s="367"/>
      <c r="MMQ193" s="368" t="s">
        <v>168</v>
      </c>
      <c r="MMR193" s="369">
        <v>0.5</v>
      </c>
      <c r="MMS193" s="370" t="e">
        <f>10/MMO191</f>
        <v>#DIV/0!</v>
      </c>
      <c r="MMT193" s="371">
        <v>15.38</v>
      </c>
      <c r="MMU193" s="371" t="e">
        <f>MMR193*MMS193*MMT193</f>
        <v>#DIV/0!</v>
      </c>
      <c r="MMV193" s="367" t="s">
        <v>206</v>
      </c>
      <c r="MMW193" s="367"/>
      <c r="MMX193" s="367"/>
      <c r="MMY193" s="368" t="s">
        <v>168</v>
      </c>
      <c r="MMZ193" s="369">
        <v>0.5</v>
      </c>
      <c r="MNA193" s="370" t="e">
        <f>10/MMW191</f>
        <v>#DIV/0!</v>
      </c>
      <c r="MNB193" s="371">
        <v>15.38</v>
      </c>
      <c r="MNC193" s="371" t="e">
        <f>MMZ193*MNA193*MNB193</f>
        <v>#DIV/0!</v>
      </c>
      <c r="MND193" s="367" t="s">
        <v>206</v>
      </c>
      <c r="MNE193" s="367"/>
      <c r="MNF193" s="367"/>
      <c r="MNG193" s="368" t="s">
        <v>168</v>
      </c>
      <c r="MNH193" s="369">
        <v>0.5</v>
      </c>
      <c r="MNI193" s="370" t="e">
        <f>10/MNE191</f>
        <v>#DIV/0!</v>
      </c>
      <c r="MNJ193" s="371">
        <v>15.38</v>
      </c>
      <c r="MNK193" s="371" t="e">
        <f>MNH193*MNI193*MNJ193</f>
        <v>#DIV/0!</v>
      </c>
      <c r="MNL193" s="367" t="s">
        <v>206</v>
      </c>
      <c r="MNM193" s="367"/>
      <c r="MNN193" s="367"/>
      <c r="MNO193" s="368" t="s">
        <v>168</v>
      </c>
      <c r="MNP193" s="369">
        <v>0.5</v>
      </c>
      <c r="MNQ193" s="370" t="e">
        <f>10/MNM191</f>
        <v>#DIV/0!</v>
      </c>
      <c r="MNR193" s="371">
        <v>15.38</v>
      </c>
      <c r="MNS193" s="371" t="e">
        <f>MNP193*MNQ193*MNR193</f>
        <v>#DIV/0!</v>
      </c>
      <c r="MNT193" s="367" t="s">
        <v>206</v>
      </c>
      <c r="MNU193" s="367"/>
      <c r="MNV193" s="367"/>
      <c r="MNW193" s="368" t="s">
        <v>168</v>
      </c>
      <c r="MNX193" s="369">
        <v>0.5</v>
      </c>
      <c r="MNY193" s="370" t="e">
        <f>10/MNU191</f>
        <v>#DIV/0!</v>
      </c>
      <c r="MNZ193" s="371">
        <v>15.38</v>
      </c>
      <c r="MOA193" s="371" t="e">
        <f>MNX193*MNY193*MNZ193</f>
        <v>#DIV/0!</v>
      </c>
      <c r="MOB193" s="367" t="s">
        <v>206</v>
      </c>
      <c r="MOC193" s="367"/>
      <c r="MOD193" s="367"/>
      <c r="MOE193" s="368" t="s">
        <v>168</v>
      </c>
      <c r="MOF193" s="369">
        <v>0.5</v>
      </c>
      <c r="MOG193" s="370" t="e">
        <f>10/MOC191</f>
        <v>#DIV/0!</v>
      </c>
      <c r="MOH193" s="371">
        <v>15.38</v>
      </c>
      <c r="MOI193" s="371" t="e">
        <f>MOF193*MOG193*MOH193</f>
        <v>#DIV/0!</v>
      </c>
      <c r="MOJ193" s="367" t="s">
        <v>206</v>
      </c>
      <c r="MOK193" s="367"/>
      <c r="MOL193" s="367"/>
      <c r="MOM193" s="368" t="s">
        <v>168</v>
      </c>
      <c r="MON193" s="369">
        <v>0.5</v>
      </c>
      <c r="MOO193" s="370" t="e">
        <f>10/MOK191</f>
        <v>#DIV/0!</v>
      </c>
      <c r="MOP193" s="371">
        <v>15.38</v>
      </c>
      <c r="MOQ193" s="371" t="e">
        <f>MON193*MOO193*MOP193</f>
        <v>#DIV/0!</v>
      </c>
      <c r="MOR193" s="367" t="s">
        <v>206</v>
      </c>
      <c r="MOS193" s="367"/>
      <c r="MOT193" s="367"/>
      <c r="MOU193" s="368" t="s">
        <v>168</v>
      </c>
      <c r="MOV193" s="369">
        <v>0.5</v>
      </c>
      <c r="MOW193" s="370" t="e">
        <f>10/MOS191</f>
        <v>#DIV/0!</v>
      </c>
      <c r="MOX193" s="371">
        <v>15.38</v>
      </c>
      <c r="MOY193" s="371" t="e">
        <f>MOV193*MOW193*MOX193</f>
        <v>#DIV/0!</v>
      </c>
      <c r="MOZ193" s="367" t="s">
        <v>206</v>
      </c>
      <c r="MPA193" s="367"/>
      <c r="MPB193" s="367"/>
      <c r="MPC193" s="368" t="s">
        <v>168</v>
      </c>
      <c r="MPD193" s="369">
        <v>0.5</v>
      </c>
      <c r="MPE193" s="370" t="e">
        <f>10/MPA191</f>
        <v>#DIV/0!</v>
      </c>
      <c r="MPF193" s="371">
        <v>15.38</v>
      </c>
      <c r="MPG193" s="371" t="e">
        <f>MPD193*MPE193*MPF193</f>
        <v>#DIV/0!</v>
      </c>
      <c r="MPH193" s="367" t="s">
        <v>206</v>
      </c>
      <c r="MPI193" s="367"/>
      <c r="MPJ193" s="367"/>
      <c r="MPK193" s="368" t="s">
        <v>168</v>
      </c>
      <c r="MPL193" s="369">
        <v>0.5</v>
      </c>
      <c r="MPM193" s="370" t="e">
        <f>10/MPI191</f>
        <v>#DIV/0!</v>
      </c>
      <c r="MPN193" s="371">
        <v>15.38</v>
      </c>
      <c r="MPO193" s="371" t="e">
        <f>MPL193*MPM193*MPN193</f>
        <v>#DIV/0!</v>
      </c>
      <c r="MPP193" s="367" t="s">
        <v>206</v>
      </c>
      <c r="MPQ193" s="367"/>
      <c r="MPR193" s="367"/>
      <c r="MPS193" s="368" t="s">
        <v>168</v>
      </c>
      <c r="MPT193" s="369">
        <v>0.5</v>
      </c>
      <c r="MPU193" s="370" t="e">
        <f>10/MPQ191</f>
        <v>#DIV/0!</v>
      </c>
      <c r="MPV193" s="371">
        <v>15.38</v>
      </c>
      <c r="MPW193" s="371" t="e">
        <f>MPT193*MPU193*MPV193</f>
        <v>#DIV/0!</v>
      </c>
      <c r="MPX193" s="367" t="s">
        <v>206</v>
      </c>
      <c r="MPY193" s="367"/>
      <c r="MPZ193" s="367"/>
      <c r="MQA193" s="368" t="s">
        <v>168</v>
      </c>
      <c r="MQB193" s="369">
        <v>0.5</v>
      </c>
      <c r="MQC193" s="370" t="e">
        <f>10/MPY191</f>
        <v>#DIV/0!</v>
      </c>
      <c r="MQD193" s="371">
        <v>15.38</v>
      </c>
      <c r="MQE193" s="371" t="e">
        <f>MQB193*MQC193*MQD193</f>
        <v>#DIV/0!</v>
      </c>
      <c r="MQF193" s="367" t="s">
        <v>206</v>
      </c>
      <c r="MQG193" s="367"/>
      <c r="MQH193" s="367"/>
      <c r="MQI193" s="368" t="s">
        <v>168</v>
      </c>
      <c r="MQJ193" s="369">
        <v>0.5</v>
      </c>
      <c r="MQK193" s="370" t="e">
        <f>10/MQG191</f>
        <v>#DIV/0!</v>
      </c>
      <c r="MQL193" s="371">
        <v>15.38</v>
      </c>
      <c r="MQM193" s="371" t="e">
        <f>MQJ193*MQK193*MQL193</f>
        <v>#DIV/0!</v>
      </c>
      <c r="MQN193" s="367" t="s">
        <v>206</v>
      </c>
      <c r="MQO193" s="367"/>
      <c r="MQP193" s="367"/>
      <c r="MQQ193" s="368" t="s">
        <v>168</v>
      </c>
      <c r="MQR193" s="369">
        <v>0.5</v>
      </c>
      <c r="MQS193" s="370" t="e">
        <f>10/MQO191</f>
        <v>#DIV/0!</v>
      </c>
      <c r="MQT193" s="371">
        <v>15.38</v>
      </c>
      <c r="MQU193" s="371" t="e">
        <f>MQR193*MQS193*MQT193</f>
        <v>#DIV/0!</v>
      </c>
      <c r="MQV193" s="367" t="s">
        <v>206</v>
      </c>
      <c r="MQW193" s="367"/>
      <c r="MQX193" s="367"/>
      <c r="MQY193" s="368" t="s">
        <v>168</v>
      </c>
      <c r="MQZ193" s="369">
        <v>0.5</v>
      </c>
      <c r="MRA193" s="370" t="e">
        <f>10/MQW191</f>
        <v>#DIV/0!</v>
      </c>
      <c r="MRB193" s="371">
        <v>15.38</v>
      </c>
      <c r="MRC193" s="371" t="e">
        <f>MQZ193*MRA193*MRB193</f>
        <v>#DIV/0!</v>
      </c>
      <c r="MRD193" s="367" t="s">
        <v>206</v>
      </c>
      <c r="MRE193" s="367"/>
      <c r="MRF193" s="367"/>
      <c r="MRG193" s="368" t="s">
        <v>168</v>
      </c>
      <c r="MRH193" s="369">
        <v>0.5</v>
      </c>
      <c r="MRI193" s="370" t="e">
        <f>10/MRE191</f>
        <v>#DIV/0!</v>
      </c>
      <c r="MRJ193" s="371">
        <v>15.38</v>
      </c>
      <c r="MRK193" s="371" t="e">
        <f>MRH193*MRI193*MRJ193</f>
        <v>#DIV/0!</v>
      </c>
      <c r="MRL193" s="367" t="s">
        <v>206</v>
      </c>
      <c r="MRM193" s="367"/>
      <c r="MRN193" s="367"/>
      <c r="MRO193" s="368" t="s">
        <v>168</v>
      </c>
      <c r="MRP193" s="369">
        <v>0.5</v>
      </c>
      <c r="MRQ193" s="370" t="e">
        <f>10/MRM191</f>
        <v>#DIV/0!</v>
      </c>
      <c r="MRR193" s="371">
        <v>15.38</v>
      </c>
      <c r="MRS193" s="371" t="e">
        <f>MRP193*MRQ193*MRR193</f>
        <v>#DIV/0!</v>
      </c>
      <c r="MRT193" s="367" t="s">
        <v>206</v>
      </c>
      <c r="MRU193" s="367"/>
      <c r="MRV193" s="367"/>
      <c r="MRW193" s="368" t="s">
        <v>168</v>
      </c>
      <c r="MRX193" s="369">
        <v>0.5</v>
      </c>
      <c r="MRY193" s="370" t="e">
        <f>10/MRU191</f>
        <v>#DIV/0!</v>
      </c>
      <c r="MRZ193" s="371">
        <v>15.38</v>
      </c>
      <c r="MSA193" s="371" t="e">
        <f>MRX193*MRY193*MRZ193</f>
        <v>#DIV/0!</v>
      </c>
      <c r="MSB193" s="367" t="s">
        <v>206</v>
      </c>
      <c r="MSC193" s="367"/>
      <c r="MSD193" s="367"/>
      <c r="MSE193" s="368" t="s">
        <v>168</v>
      </c>
      <c r="MSF193" s="369">
        <v>0.5</v>
      </c>
      <c r="MSG193" s="370" t="e">
        <f>10/MSC191</f>
        <v>#DIV/0!</v>
      </c>
      <c r="MSH193" s="371">
        <v>15.38</v>
      </c>
      <c r="MSI193" s="371" t="e">
        <f>MSF193*MSG193*MSH193</f>
        <v>#DIV/0!</v>
      </c>
      <c r="MSJ193" s="367" t="s">
        <v>206</v>
      </c>
      <c r="MSK193" s="367"/>
      <c r="MSL193" s="367"/>
      <c r="MSM193" s="368" t="s">
        <v>168</v>
      </c>
      <c r="MSN193" s="369">
        <v>0.5</v>
      </c>
      <c r="MSO193" s="370" t="e">
        <f>10/MSK191</f>
        <v>#DIV/0!</v>
      </c>
      <c r="MSP193" s="371">
        <v>15.38</v>
      </c>
      <c r="MSQ193" s="371" t="e">
        <f>MSN193*MSO193*MSP193</f>
        <v>#DIV/0!</v>
      </c>
      <c r="MSR193" s="367" t="s">
        <v>206</v>
      </c>
      <c r="MSS193" s="367"/>
      <c r="MST193" s="367"/>
      <c r="MSU193" s="368" t="s">
        <v>168</v>
      </c>
      <c r="MSV193" s="369">
        <v>0.5</v>
      </c>
      <c r="MSW193" s="370" t="e">
        <f>10/MSS191</f>
        <v>#DIV/0!</v>
      </c>
      <c r="MSX193" s="371">
        <v>15.38</v>
      </c>
      <c r="MSY193" s="371" t="e">
        <f>MSV193*MSW193*MSX193</f>
        <v>#DIV/0!</v>
      </c>
      <c r="MSZ193" s="367" t="s">
        <v>206</v>
      </c>
      <c r="MTA193" s="367"/>
      <c r="MTB193" s="367"/>
      <c r="MTC193" s="368" t="s">
        <v>168</v>
      </c>
      <c r="MTD193" s="369">
        <v>0.5</v>
      </c>
      <c r="MTE193" s="370" t="e">
        <f>10/MTA191</f>
        <v>#DIV/0!</v>
      </c>
      <c r="MTF193" s="371">
        <v>15.38</v>
      </c>
      <c r="MTG193" s="371" t="e">
        <f>MTD193*MTE193*MTF193</f>
        <v>#DIV/0!</v>
      </c>
      <c r="MTH193" s="367" t="s">
        <v>206</v>
      </c>
      <c r="MTI193" s="367"/>
      <c r="MTJ193" s="367"/>
      <c r="MTK193" s="368" t="s">
        <v>168</v>
      </c>
      <c r="MTL193" s="369">
        <v>0.5</v>
      </c>
      <c r="MTM193" s="370" t="e">
        <f>10/MTI191</f>
        <v>#DIV/0!</v>
      </c>
      <c r="MTN193" s="371">
        <v>15.38</v>
      </c>
      <c r="MTO193" s="371" t="e">
        <f>MTL193*MTM193*MTN193</f>
        <v>#DIV/0!</v>
      </c>
      <c r="MTP193" s="367" t="s">
        <v>206</v>
      </c>
      <c r="MTQ193" s="367"/>
      <c r="MTR193" s="367"/>
      <c r="MTS193" s="368" t="s">
        <v>168</v>
      </c>
      <c r="MTT193" s="369">
        <v>0.5</v>
      </c>
      <c r="MTU193" s="370" t="e">
        <f>10/MTQ191</f>
        <v>#DIV/0!</v>
      </c>
      <c r="MTV193" s="371">
        <v>15.38</v>
      </c>
      <c r="MTW193" s="371" t="e">
        <f>MTT193*MTU193*MTV193</f>
        <v>#DIV/0!</v>
      </c>
      <c r="MTX193" s="367" t="s">
        <v>206</v>
      </c>
      <c r="MTY193" s="367"/>
      <c r="MTZ193" s="367"/>
      <c r="MUA193" s="368" t="s">
        <v>168</v>
      </c>
      <c r="MUB193" s="369">
        <v>0.5</v>
      </c>
      <c r="MUC193" s="370" t="e">
        <f>10/MTY191</f>
        <v>#DIV/0!</v>
      </c>
      <c r="MUD193" s="371">
        <v>15.38</v>
      </c>
      <c r="MUE193" s="371" t="e">
        <f>MUB193*MUC193*MUD193</f>
        <v>#DIV/0!</v>
      </c>
      <c r="MUF193" s="367" t="s">
        <v>206</v>
      </c>
      <c r="MUG193" s="367"/>
      <c r="MUH193" s="367"/>
      <c r="MUI193" s="368" t="s">
        <v>168</v>
      </c>
      <c r="MUJ193" s="369">
        <v>0.5</v>
      </c>
      <c r="MUK193" s="370" t="e">
        <f>10/MUG191</f>
        <v>#DIV/0!</v>
      </c>
      <c r="MUL193" s="371">
        <v>15.38</v>
      </c>
      <c r="MUM193" s="371" t="e">
        <f>MUJ193*MUK193*MUL193</f>
        <v>#DIV/0!</v>
      </c>
      <c r="MUN193" s="367" t="s">
        <v>206</v>
      </c>
      <c r="MUO193" s="367"/>
      <c r="MUP193" s="367"/>
      <c r="MUQ193" s="368" t="s">
        <v>168</v>
      </c>
      <c r="MUR193" s="369">
        <v>0.5</v>
      </c>
      <c r="MUS193" s="370" t="e">
        <f>10/MUO191</f>
        <v>#DIV/0!</v>
      </c>
      <c r="MUT193" s="371">
        <v>15.38</v>
      </c>
      <c r="MUU193" s="371" t="e">
        <f>MUR193*MUS193*MUT193</f>
        <v>#DIV/0!</v>
      </c>
      <c r="MUV193" s="367" t="s">
        <v>206</v>
      </c>
      <c r="MUW193" s="367"/>
      <c r="MUX193" s="367"/>
      <c r="MUY193" s="368" t="s">
        <v>168</v>
      </c>
      <c r="MUZ193" s="369">
        <v>0.5</v>
      </c>
      <c r="MVA193" s="370" t="e">
        <f>10/MUW191</f>
        <v>#DIV/0!</v>
      </c>
      <c r="MVB193" s="371">
        <v>15.38</v>
      </c>
      <c r="MVC193" s="371" t="e">
        <f>MUZ193*MVA193*MVB193</f>
        <v>#DIV/0!</v>
      </c>
      <c r="MVD193" s="367" t="s">
        <v>206</v>
      </c>
      <c r="MVE193" s="367"/>
      <c r="MVF193" s="367"/>
      <c r="MVG193" s="368" t="s">
        <v>168</v>
      </c>
      <c r="MVH193" s="369">
        <v>0.5</v>
      </c>
      <c r="MVI193" s="370" t="e">
        <f>10/MVE191</f>
        <v>#DIV/0!</v>
      </c>
      <c r="MVJ193" s="371">
        <v>15.38</v>
      </c>
      <c r="MVK193" s="371" t="e">
        <f>MVH193*MVI193*MVJ193</f>
        <v>#DIV/0!</v>
      </c>
      <c r="MVL193" s="367" t="s">
        <v>206</v>
      </c>
      <c r="MVM193" s="367"/>
      <c r="MVN193" s="367"/>
      <c r="MVO193" s="368" t="s">
        <v>168</v>
      </c>
      <c r="MVP193" s="369">
        <v>0.5</v>
      </c>
      <c r="MVQ193" s="370" t="e">
        <f>10/MVM191</f>
        <v>#DIV/0!</v>
      </c>
      <c r="MVR193" s="371">
        <v>15.38</v>
      </c>
      <c r="MVS193" s="371" t="e">
        <f>MVP193*MVQ193*MVR193</f>
        <v>#DIV/0!</v>
      </c>
      <c r="MVT193" s="367" t="s">
        <v>206</v>
      </c>
      <c r="MVU193" s="367"/>
      <c r="MVV193" s="367"/>
      <c r="MVW193" s="368" t="s">
        <v>168</v>
      </c>
      <c r="MVX193" s="369">
        <v>0.5</v>
      </c>
      <c r="MVY193" s="370" t="e">
        <f>10/MVU191</f>
        <v>#DIV/0!</v>
      </c>
      <c r="MVZ193" s="371">
        <v>15.38</v>
      </c>
      <c r="MWA193" s="371" t="e">
        <f>MVX193*MVY193*MVZ193</f>
        <v>#DIV/0!</v>
      </c>
      <c r="MWB193" s="367" t="s">
        <v>206</v>
      </c>
      <c r="MWC193" s="367"/>
      <c r="MWD193" s="367"/>
      <c r="MWE193" s="368" t="s">
        <v>168</v>
      </c>
      <c r="MWF193" s="369">
        <v>0.5</v>
      </c>
      <c r="MWG193" s="370" t="e">
        <f>10/MWC191</f>
        <v>#DIV/0!</v>
      </c>
      <c r="MWH193" s="371">
        <v>15.38</v>
      </c>
      <c r="MWI193" s="371" t="e">
        <f>MWF193*MWG193*MWH193</f>
        <v>#DIV/0!</v>
      </c>
      <c r="MWJ193" s="367" t="s">
        <v>206</v>
      </c>
      <c r="MWK193" s="367"/>
      <c r="MWL193" s="367"/>
      <c r="MWM193" s="368" t="s">
        <v>168</v>
      </c>
      <c r="MWN193" s="369">
        <v>0.5</v>
      </c>
      <c r="MWO193" s="370" t="e">
        <f>10/MWK191</f>
        <v>#DIV/0!</v>
      </c>
      <c r="MWP193" s="371">
        <v>15.38</v>
      </c>
      <c r="MWQ193" s="371" t="e">
        <f>MWN193*MWO193*MWP193</f>
        <v>#DIV/0!</v>
      </c>
      <c r="MWR193" s="367" t="s">
        <v>206</v>
      </c>
      <c r="MWS193" s="367"/>
      <c r="MWT193" s="367"/>
      <c r="MWU193" s="368" t="s">
        <v>168</v>
      </c>
      <c r="MWV193" s="369">
        <v>0.5</v>
      </c>
      <c r="MWW193" s="370" t="e">
        <f>10/MWS191</f>
        <v>#DIV/0!</v>
      </c>
      <c r="MWX193" s="371">
        <v>15.38</v>
      </c>
      <c r="MWY193" s="371" t="e">
        <f>MWV193*MWW193*MWX193</f>
        <v>#DIV/0!</v>
      </c>
      <c r="MWZ193" s="367" t="s">
        <v>206</v>
      </c>
      <c r="MXA193" s="367"/>
      <c r="MXB193" s="367"/>
      <c r="MXC193" s="368" t="s">
        <v>168</v>
      </c>
      <c r="MXD193" s="369">
        <v>0.5</v>
      </c>
      <c r="MXE193" s="370" t="e">
        <f>10/MXA191</f>
        <v>#DIV/0!</v>
      </c>
      <c r="MXF193" s="371">
        <v>15.38</v>
      </c>
      <c r="MXG193" s="371" t="e">
        <f>MXD193*MXE193*MXF193</f>
        <v>#DIV/0!</v>
      </c>
      <c r="MXH193" s="367" t="s">
        <v>206</v>
      </c>
      <c r="MXI193" s="367"/>
      <c r="MXJ193" s="367"/>
      <c r="MXK193" s="368" t="s">
        <v>168</v>
      </c>
      <c r="MXL193" s="369">
        <v>0.5</v>
      </c>
      <c r="MXM193" s="370" t="e">
        <f>10/MXI191</f>
        <v>#DIV/0!</v>
      </c>
      <c r="MXN193" s="371">
        <v>15.38</v>
      </c>
      <c r="MXO193" s="371" t="e">
        <f>MXL193*MXM193*MXN193</f>
        <v>#DIV/0!</v>
      </c>
      <c r="MXP193" s="367" t="s">
        <v>206</v>
      </c>
      <c r="MXQ193" s="367"/>
      <c r="MXR193" s="367"/>
      <c r="MXS193" s="368" t="s">
        <v>168</v>
      </c>
      <c r="MXT193" s="369">
        <v>0.5</v>
      </c>
      <c r="MXU193" s="370" t="e">
        <f>10/MXQ191</f>
        <v>#DIV/0!</v>
      </c>
      <c r="MXV193" s="371">
        <v>15.38</v>
      </c>
      <c r="MXW193" s="371" t="e">
        <f>MXT193*MXU193*MXV193</f>
        <v>#DIV/0!</v>
      </c>
      <c r="MXX193" s="367" t="s">
        <v>206</v>
      </c>
      <c r="MXY193" s="367"/>
      <c r="MXZ193" s="367"/>
      <c r="MYA193" s="368" t="s">
        <v>168</v>
      </c>
      <c r="MYB193" s="369">
        <v>0.5</v>
      </c>
      <c r="MYC193" s="370" t="e">
        <f>10/MXY191</f>
        <v>#DIV/0!</v>
      </c>
      <c r="MYD193" s="371">
        <v>15.38</v>
      </c>
      <c r="MYE193" s="371" t="e">
        <f>MYB193*MYC193*MYD193</f>
        <v>#DIV/0!</v>
      </c>
      <c r="MYF193" s="367" t="s">
        <v>206</v>
      </c>
      <c r="MYG193" s="367"/>
      <c r="MYH193" s="367"/>
      <c r="MYI193" s="368" t="s">
        <v>168</v>
      </c>
      <c r="MYJ193" s="369">
        <v>0.5</v>
      </c>
      <c r="MYK193" s="370" t="e">
        <f>10/MYG191</f>
        <v>#DIV/0!</v>
      </c>
      <c r="MYL193" s="371">
        <v>15.38</v>
      </c>
      <c r="MYM193" s="371" t="e">
        <f>MYJ193*MYK193*MYL193</f>
        <v>#DIV/0!</v>
      </c>
      <c r="MYN193" s="367" t="s">
        <v>206</v>
      </c>
      <c r="MYO193" s="367"/>
      <c r="MYP193" s="367"/>
      <c r="MYQ193" s="368" t="s">
        <v>168</v>
      </c>
      <c r="MYR193" s="369">
        <v>0.5</v>
      </c>
      <c r="MYS193" s="370" t="e">
        <f>10/MYO191</f>
        <v>#DIV/0!</v>
      </c>
      <c r="MYT193" s="371">
        <v>15.38</v>
      </c>
      <c r="MYU193" s="371" t="e">
        <f>MYR193*MYS193*MYT193</f>
        <v>#DIV/0!</v>
      </c>
      <c r="MYV193" s="367" t="s">
        <v>206</v>
      </c>
      <c r="MYW193" s="367"/>
      <c r="MYX193" s="367"/>
      <c r="MYY193" s="368" t="s">
        <v>168</v>
      </c>
      <c r="MYZ193" s="369">
        <v>0.5</v>
      </c>
      <c r="MZA193" s="370" t="e">
        <f>10/MYW191</f>
        <v>#DIV/0!</v>
      </c>
      <c r="MZB193" s="371">
        <v>15.38</v>
      </c>
      <c r="MZC193" s="371" t="e">
        <f>MYZ193*MZA193*MZB193</f>
        <v>#DIV/0!</v>
      </c>
      <c r="MZD193" s="367" t="s">
        <v>206</v>
      </c>
      <c r="MZE193" s="367"/>
      <c r="MZF193" s="367"/>
      <c r="MZG193" s="368" t="s">
        <v>168</v>
      </c>
      <c r="MZH193" s="369">
        <v>0.5</v>
      </c>
      <c r="MZI193" s="370" t="e">
        <f>10/MZE191</f>
        <v>#DIV/0!</v>
      </c>
      <c r="MZJ193" s="371">
        <v>15.38</v>
      </c>
      <c r="MZK193" s="371" t="e">
        <f>MZH193*MZI193*MZJ193</f>
        <v>#DIV/0!</v>
      </c>
      <c r="MZL193" s="367" t="s">
        <v>206</v>
      </c>
      <c r="MZM193" s="367"/>
      <c r="MZN193" s="367"/>
      <c r="MZO193" s="368" t="s">
        <v>168</v>
      </c>
      <c r="MZP193" s="369">
        <v>0.5</v>
      </c>
      <c r="MZQ193" s="370" t="e">
        <f>10/MZM191</f>
        <v>#DIV/0!</v>
      </c>
      <c r="MZR193" s="371">
        <v>15.38</v>
      </c>
      <c r="MZS193" s="371" t="e">
        <f>MZP193*MZQ193*MZR193</f>
        <v>#DIV/0!</v>
      </c>
      <c r="MZT193" s="367" t="s">
        <v>206</v>
      </c>
      <c r="MZU193" s="367"/>
      <c r="MZV193" s="367"/>
      <c r="MZW193" s="368" t="s">
        <v>168</v>
      </c>
      <c r="MZX193" s="369">
        <v>0.5</v>
      </c>
      <c r="MZY193" s="370" t="e">
        <f>10/MZU191</f>
        <v>#DIV/0!</v>
      </c>
      <c r="MZZ193" s="371">
        <v>15.38</v>
      </c>
      <c r="NAA193" s="371" t="e">
        <f>MZX193*MZY193*MZZ193</f>
        <v>#DIV/0!</v>
      </c>
      <c r="NAB193" s="367" t="s">
        <v>206</v>
      </c>
      <c r="NAC193" s="367"/>
      <c r="NAD193" s="367"/>
      <c r="NAE193" s="368" t="s">
        <v>168</v>
      </c>
      <c r="NAF193" s="369">
        <v>0.5</v>
      </c>
      <c r="NAG193" s="370" t="e">
        <f>10/NAC191</f>
        <v>#DIV/0!</v>
      </c>
      <c r="NAH193" s="371">
        <v>15.38</v>
      </c>
      <c r="NAI193" s="371" t="e">
        <f>NAF193*NAG193*NAH193</f>
        <v>#DIV/0!</v>
      </c>
      <c r="NAJ193" s="367" t="s">
        <v>206</v>
      </c>
      <c r="NAK193" s="367"/>
      <c r="NAL193" s="367"/>
      <c r="NAM193" s="368" t="s">
        <v>168</v>
      </c>
      <c r="NAN193" s="369">
        <v>0.5</v>
      </c>
      <c r="NAO193" s="370" t="e">
        <f>10/NAK191</f>
        <v>#DIV/0!</v>
      </c>
      <c r="NAP193" s="371">
        <v>15.38</v>
      </c>
      <c r="NAQ193" s="371" t="e">
        <f>NAN193*NAO193*NAP193</f>
        <v>#DIV/0!</v>
      </c>
      <c r="NAR193" s="367" t="s">
        <v>206</v>
      </c>
      <c r="NAS193" s="367"/>
      <c r="NAT193" s="367"/>
      <c r="NAU193" s="368" t="s">
        <v>168</v>
      </c>
      <c r="NAV193" s="369">
        <v>0.5</v>
      </c>
      <c r="NAW193" s="370" t="e">
        <f>10/NAS191</f>
        <v>#DIV/0!</v>
      </c>
      <c r="NAX193" s="371">
        <v>15.38</v>
      </c>
      <c r="NAY193" s="371" t="e">
        <f>NAV193*NAW193*NAX193</f>
        <v>#DIV/0!</v>
      </c>
      <c r="NAZ193" s="367" t="s">
        <v>206</v>
      </c>
      <c r="NBA193" s="367"/>
      <c r="NBB193" s="367"/>
      <c r="NBC193" s="368" t="s">
        <v>168</v>
      </c>
      <c r="NBD193" s="369">
        <v>0.5</v>
      </c>
      <c r="NBE193" s="370" t="e">
        <f>10/NBA191</f>
        <v>#DIV/0!</v>
      </c>
      <c r="NBF193" s="371">
        <v>15.38</v>
      </c>
      <c r="NBG193" s="371" t="e">
        <f>NBD193*NBE193*NBF193</f>
        <v>#DIV/0!</v>
      </c>
      <c r="NBH193" s="367" t="s">
        <v>206</v>
      </c>
      <c r="NBI193" s="367"/>
      <c r="NBJ193" s="367"/>
      <c r="NBK193" s="368" t="s">
        <v>168</v>
      </c>
      <c r="NBL193" s="369">
        <v>0.5</v>
      </c>
      <c r="NBM193" s="370" t="e">
        <f>10/NBI191</f>
        <v>#DIV/0!</v>
      </c>
      <c r="NBN193" s="371">
        <v>15.38</v>
      </c>
      <c r="NBO193" s="371" t="e">
        <f>NBL193*NBM193*NBN193</f>
        <v>#DIV/0!</v>
      </c>
      <c r="NBP193" s="367" t="s">
        <v>206</v>
      </c>
      <c r="NBQ193" s="367"/>
      <c r="NBR193" s="367"/>
      <c r="NBS193" s="368" t="s">
        <v>168</v>
      </c>
      <c r="NBT193" s="369">
        <v>0.5</v>
      </c>
      <c r="NBU193" s="370" t="e">
        <f>10/NBQ191</f>
        <v>#DIV/0!</v>
      </c>
      <c r="NBV193" s="371">
        <v>15.38</v>
      </c>
      <c r="NBW193" s="371" t="e">
        <f>NBT193*NBU193*NBV193</f>
        <v>#DIV/0!</v>
      </c>
      <c r="NBX193" s="367" t="s">
        <v>206</v>
      </c>
      <c r="NBY193" s="367"/>
      <c r="NBZ193" s="367"/>
      <c r="NCA193" s="368" t="s">
        <v>168</v>
      </c>
      <c r="NCB193" s="369">
        <v>0.5</v>
      </c>
      <c r="NCC193" s="370" t="e">
        <f>10/NBY191</f>
        <v>#DIV/0!</v>
      </c>
      <c r="NCD193" s="371">
        <v>15.38</v>
      </c>
      <c r="NCE193" s="371" t="e">
        <f>NCB193*NCC193*NCD193</f>
        <v>#DIV/0!</v>
      </c>
      <c r="NCF193" s="367" t="s">
        <v>206</v>
      </c>
      <c r="NCG193" s="367"/>
      <c r="NCH193" s="367"/>
      <c r="NCI193" s="368" t="s">
        <v>168</v>
      </c>
      <c r="NCJ193" s="369">
        <v>0.5</v>
      </c>
      <c r="NCK193" s="370" t="e">
        <f>10/NCG191</f>
        <v>#DIV/0!</v>
      </c>
      <c r="NCL193" s="371">
        <v>15.38</v>
      </c>
      <c r="NCM193" s="371" t="e">
        <f>NCJ193*NCK193*NCL193</f>
        <v>#DIV/0!</v>
      </c>
      <c r="NCN193" s="367" t="s">
        <v>206</v>
      </c>
      <c r="NCO193" s="367"/>
      <c r="NCP193" s="367"/>
      <c r="NCQ193" s="368" t="s">
        <v>168</v>
      </c>
      <c r="NCR193" s="369">
        <v>0.5</v>
      </c>
      <c r="NCS193" s="370" t="e">
        <f>10/NCO191</f>
        <v>#DIV/0!</v>
      </c>
      <c r="NCT193" s="371">
        <v>15.38</v>
      </c>
      <c r="NCU193" s="371" t="e">
        <f>NCR193*NCS193*NCT193</f>
        <v>#DIV/0!</v>
      </c>
      <c r="NCV193" s="367" t="s">
        <v>206</v>
      </c>
      <c r="NCW193" s="367"/>
      <c r="NCX193" s="367"/>
      <c r="NCY193" s="368" t="s">
        <v>168</v>
      </c>
      <c r="NCZ193" s="369">
        <v>0.5</v>
      </c>
      <c r="NDA193" s="370" t="e">
        <f>10/NCW191</f>
        <v>#DIV/0!</v>
      </c>
      <c r="NDB193" s="371">
        <v>15.38</v>
      </c>
      <c r="NDC193" s="371" t="e">
        <f>NCZ193*NDA193*NDB193</f>
        <v>#DIV/0!</v>
      </c>
      <c r="NDD193" s="367" t="s">
        <v>206</v>
      </c>
      <c r="NDE193" s="367"/>
      <c r="NDF193" s="367"/>
      <c r="NDG193" s="368" t="s">
        <v>168</v>
      </c>
      <c r="NDH193" s="369">
        <v>0.5</v>
      </c>
      <c r="NDI193" s="370" t="e">
        <f>10/NDE191</f>
        <v>#DIV/0!</v>
      </c>
      <c r="NDJ193" s="371">
        <v>15.38</v>
      </c>
      <c r="NDK193" s="371" t="e">
        <f>NDH193*NDI193*NDJ193</f>
        <v>#DIV/0!</v>
      </c>
      <c r="NDL193" s="367" t="s">
        <v>206</v>
      </c>
      <c r="NDM193" s="367"/>
      <c r="NDN193" s="367"/>
      <c r="NDO193" s="368" t="s">
        <v>168</v>
      </c>
      <c r="NDP193" s="369">
        <v>0.5</v>
      </c>
      <c r="NDQ193" s="370" t="e">
        <f>10/NDM191</f>
        <v>#DIV/0!</v>
      </c>
      <c r="NDR193" s="371">
        <v>15.38</v>
      </c>
      <c r="NDS193" s="371" t="e">
        <f>NDP193*NDQ193*NDR193</f>
        <v>#DIV/0!</v>
      </c>
      <c r="NDT193" s="367" t="s">
        <v>206</v>
      </c>
      <c r="NDU193" s="367"/>
      <c r="NDV193" s="367"/>
      <c r="NDW193" s="368" t="s">
        <v>168</v>
      </c>
      <c r="NDX193" s="369">
        <v>0.5</v>
      </c>
      <c r="NDY193" s="370" t="e">
        <f>10/NDU191</f>
        <v>#DIV/0!</v>
      </c>
      <c r="NDZ193" s="371">
        <v>15.38</v>
      </c>
      <c r="NEA193" s="371" t="e">
        <f>NDX193*NDY193*NDZ193</f>
        <v>#DIV/0!</v>
      </c>
      <c r="NEB193" s="367" t="s">
        <v>206</v>
      </c>
      <c r="NEC193" s="367"/>
      <c r="NED193" s="367"/>
      <c r="NEE193" s="368" t="s">
        <v>168</v>
      </c>
      <c r="NEF193" s="369">
        <v>0.5</v>
      </c>
      <c r="NEG193" s="370" t="e">
        <f>10/NEC191</f>
        <v>#DIV/0!</v>
      </c>
      <c r="NEH193" s="371">
        <v>15.38</v>
      </c>
      <c r="NEI193" s="371" t="e">
        <f>NEF193*NEG193*NEH193</f>
        <v>#DIV/0!</v>
      </c>
      <c r="NEJ193" s="367" t="s">
        <v>206</v>
      </c>
      <c r="NEK193" s="367"/>
      <c r="NEL193" s="367"/>
      <c r="NEM193" s="368" t="s">
        <v>168</v>
      </c>
      <c r="NEN193" s="369">
        <v>0.5</v>
      </c>
      <c r="NEO193" s="370" t="e">
        <f>10/NEK191</f>
        <v>#DIV/0!</v>
      </c>
      <c r="NEP193" s="371">
        <v>15.38</v>
      </c>
      <c r="NEQ193" s="371" t="e">
        <f>NEN193*NEO193*NEP193</f>
        <v>#DIV/0!</v>
      </c>
      <c r="NER193" s="367" t="s">
        <v>206</v>
      </c>
      <c r="NES193" s="367"/>
      <c r="NET193" s="367"/>
      <c r="NEU193" s="368" t="s">
        <v>168</v>
      </c>
      <c r="NEV193" s="369">
        <v>0.5</v>
      </c>
      <c r="NEW193" s="370" t="e">
        <f>10/NES191</f>
        <v>#DIV/0!</v>
      </c>
      <c r="NEX193" s="371">
        <v>15.38</v>
      </c>
      <c r="NEY193" s="371" t="e">
        <f>NEV193*NEW193*NEX193</f>
        <v>#DIV/0!</v>
      </c>
      <c r="NEZ193" s="367" t="s">
        <v>206</v>
      </c>
      <c r="NFA193" s="367"/>
      <c r="NFB193" s="367"/>
      <c r="NFC193" s="368" t="s">
        <v>168</v>
      </c>
      <c r="NFD193" s="369">
        <v>0.5</v>
      </c>
      <c r="NFE193" s="370" t="e">
        <f>10/NFA191</f>
        <v>#DIV/0!</v>
      </c>
      <c r="NFF193" s="371">
        <v>15.38</v>
      </c>
      <c r="NFG193" s="371" t="e">
        <f>NFD193*NFE193*NFF193</f>
        <v>#DIV/0!</v>
      </c>
      <c r="NFH193" s="367" t="s">
        <v>206</v>
      </c>
      <c r="NFI193" s="367"/>
      <c r="NFJ193" s="367"/>
      <c r="NFK193" s="368" t="s">
        <v>168</v>
      </c>
      <c r="NFL193" s="369">
        <v>0.5</v>
      </c>
      <c r="NFM193" s="370" t="e">
        <f>10/NFI191</f>
        <v>#DIV/0!</v>
      </c>
      <c r="NFN193" s="371">
        <v>15.38</v>
      </c>
      <c r="NFO193" s="371" t="e">
        <f>NFL193*NFM193*NFN193</f>
        <v>#DIV/0!</v>
      </c>
      <c r="NFP193" s="367" t="s">
        <v>206</v>
      </c>
      <c r="NFQ193" s="367"/>
      <c r="NFR193" s="367"/>
      <c r="NFS193" s="368" t="s">
        <v>168</v>
      </c>
      <c r="NFT193" s="369">
        <v>0.5</v>
      </c>
      <c r="NFU193" s="370" t="e">
        <f>10/NFQ191</f>
        <v>#DIV/0!</v>
      </c>
      <c r="NFV193" s="371">
        <v>15.38</v>
      </c>
      <c r="NFW193" s="371" t="e">
        <f>NFT193*NFU193*NFV193</f>
        <v>#DIV/0!</v>
      </c>
      <c r="NFX193" s="367" t="s">
        <v>206</v>
      </c>
      <c r="NFY193" s="367"/>
      <c r="NFZ193" s="367"/>
      <c r="NGA193" s="368" t="s">
        <v>168</v>
      </c>
      <c r="NGB193" s="369">
        <v>0.5</v>
      </c>
      <c r="NGC193" s="370" t="e">
        <f>10/NFY191</f>
        <v>#DIV/0!</v>
      </c>
      <c r="NGD193" s="371">
        <v>15.38</v>
      </c>
      <c r="NGE193" s="371" t="e">
        <f>NGB193*NGC193*NGD193</f>
        <v>#DIV/0!</v>
      </c>
      <c r="NGF193" s="367" t="s">
        <v>206</v>
      </c>
      <c r="NGG193" s="367"/>
      <c r="NGH193" s="367"/>
      <c r="NGI193" s="368" t="s">
        <v>168</v>
      </c>
      <c r="NGJ193" s="369">
        <v>0.5</v>
      </c>
      <c r="NGK193" s="370" t="e">
        <f>10/NGG191</f>
        <v>#DIV/0!</v>
      </c>
      <c r="NGL193" s="371">
        <v>15.38</v>
      </c>
      <c r="NGM193" s="371" t="e">
        <f>NGJ193*NGK193*NGL193</f>
        <v>#DIV/0!</v>
      </c>
      <c r="NGN193" s="367" t="s">
        <v>206</v>
      </c>
      <c r="NGO193" s="367"/>
      <c r="NGP193" s="367"/>
      <c r="NGQ193" s="368" t="s">
        <v>168</v>
      </c>
      <c r="NGR193" s="369">
        <v>0.5</v>
      </c>
      <c r="NGS193" s="370" t="e">
        <f>10/NGO191</f>
        <v>#DIV/0!</v>
      </c>
      <c r="NGT193" s="371">
        <v>15.38</v>
      </c>
      <c r="NGU193" s="371" t="e">
        <f>NGR193*NGS193*NGT193</f>
        <v>#DIV/0!</v>
      </c>
      <c r="NGV193" s="367" t="s">
        <v>206</v>
      </c>
      <c r="NGW193" s="367"/>
      <c r="NGX193" s="367"/>
      <c r="NGY193" s="368" t="s">
        <v>168</v>
      </c>
      <c r="NGZ193" s="369">
        <v>0.5</v>
      </c>
      <c r="NHA193" s="370" t="e">
        <f>10/NGW191</f>
        <v>#DIV/0!</v>
      </c>
      <c r="NHB193" s="371">
        <v>15.38</v>
      </c>
      <c r="NHC193" s="371" t="e">
        <f>NGZ193*NHA193*NHB193</f>
        <v>#DIV/0!</v>
      </c>
      <c r="NHD193" s="367" t="s">
        <v>206</v>
      </c>
      <c r="NHE193" s="367"/>
      <c r="NHF193" s="367"/>
      <c r="NHG193" s="368" t="s">
        <v>168</v>
      </c>
      <c r="NHH193" s="369">
        <v>0.5</v>
      </c>
      <c r="NHI193" s="370" t="e">
        <f>10/NHE191</f>
        <v>#DIV/0!</v>
      </c>
      <c r="NHJ193" s="371">
        <v>15.38</v>
      </c>
      <c r="NHK193" s="371" t="e">
        <f>NHH193*NHI193*NHJ193</f>
        <v>#DIV/0!</v>
      </c>
      <c r="NHL193" s="367" t="s">
        <v>206</v>
      </c>
      <c r="NHM193" s="367"/>
      <c r="NHN193" s="367"/>
      <c r="NHO193" s="368" t="s">
        <v>168</v>
      </c>
      <c r="NHP193" s="369">
        <v>0.5</v>
      </c>
      <c r="NHQ193" s="370" t="e">
        <f>10/NHM191</f>
        <v>#DIV/0!</v>
      </c>
      <c r="NHR193" s="371">
        <v>15.38</v>
      </c>
      <c r="NHS193" s="371" t="e">
        <f>NHP193*NHQ193*NHR193</f>
        <v>#DIV/0!</v>
      </c>
      <c r="NHT193" s="367" t="s">
        <v>206</v>
      </c>
      <c r="NHU193" s="367"/>
      <c r="NHV193" s="367"/>
      <c r="NHW193" s="368" t="s">
        <v>168</v>
      </c>
      <c r="NHX193" s="369">
        <v>0.5</v>
      </c>
      <c r="NHY193" s="370" t="e">
        <f>10/NHU191</f>
        <v>#DIV/0!</v>
      </c>
      <c r="NHZ193" s="371">
        <v>15.38</v>
      </c>
      <c r="NIA193" s="371" t="e">
        <f>NHX193*NHY193*NHZ193</f>
        <v>#DIV/0!</v>
      </c>
      <c r="NIB193" s="367" t="s">
        <v>206</v>
      </c>
      <c r="NIC193" s="367"/>
      <c r="NID193" s="367"/>
      <c r="NIE193" s="368" t="s">
        <v>168</v>
      </c>
      <c r="NIF193" s="369">
        <v>0.5</v>
      </c>
      <c r="NIG193" s="370" t="e">
        <f>10/NIC191</f>
        <v>#DIV/0!</v>
      </c>
      <c r="NIH193" s="371">
        <v>15.38</v>
      </c>
      <c r="NII193" s="371" t="e">
        <f>NIF193*NIG193*NIH193</f>
        <v>#DIV/0!</v>
      </c>
      <c r="NIJ193" s="367" t="s">
        <v>206</v>
      </c>
      <c r="NIK193" s="367"/>
      <c r="NIL193" s="367"/>
      <c r="NIM193" s="368" t="s">
        <v>168</v>
      </c>
      <c r="NIN193" s="369">
        <v>0.5</v>
      </c>
      <c r="NIO193" s="370" t="e">
        <f>10/NIK191</f>
        <v>#DIV/0!</v>
      </c>
      <c r="NIP193" s="371">
        <v>15.38</v>
      </c>
      <c r="NIQ193" s="371" t="e">
        <f>NIN193*NIO193*NIP193</f>
        <v>#DIV/0!</v>
      </c>
      <c r="NIR193" s="367" t="s">
        <v>206</v>
      </c>
      <c r="NIS193" s="367"/>
      <c r="NIT193" s="367"/>
      <c r="NIU193" s="368" t="s">
        <v>168</v>
      </c>
      <c r="NIV193" s="369">
        <v>0.5</v>
      </c>
      <c r="NIW193" s="370" t="e">
        <f>10/NIS191</f>
        <v>#DIV/0!</v>
      </c>
      <c r="NIX193" s="371">
        <v>15.38</v>
      </c>
      <c r="NIY193" s="371" t="e">
        <f>NIV193*NIW193*NIX193</f>
        <v>#DIV/0!</v>
      </c>
      <c r="NIZ193" s="367" t="s">
        <v>206</v>
      </c>
      <c r="NJA193" s="367"/>
      <c r="NJB193" s="367"/>
      <c r="NJC193" s="368" t="s">
        <v>168</v>
      </c>
      <c r="NJD193" s="369">
        <v>0.5</v>
      </c>
      <c r="NJE193" s="370" t="e">
        <f>10/NJA191</f>
        <v>#DIV/0!</v>
      </c>
      <c r="NJF193" s="371">
        <v>15.38</v>
      </c>
      <c r="NJG193" s="371" t="e">
        <f>NJD193*NJE193*NJF193</f>
        <v>#DIV/0!</v>
      </c>
      <c r="NJH193" s="367" t="s">
        <v>206</v>
      </c>
      <c r="NJI193" s="367"/>
      <c r="NJJ193" s="367"/>
      <c r="NJK193" s="368" t="s">
        <v>168</v>
      </c>
      <c r="NJL193" s="369">
        <v>0.5</v>
      </c>
      <c r="NJM193" s="370" t="e">
        <f>10/NJI191</f>
        <v>#DIV/0!</v>
      </c>
      <c r="NJN193" s="371">
        <v>15.38</v>
      </c>
      <c r="NJO193" s="371" t="e">
        <f>NJL193*NJM193*NJN193</f>
        <v>#DIV/0!</v>
      </c>
      <c r="NJP193" s="367" t="s">
        <v>206</v>
      </c>
      <c r="NJQ193" s="367"/>
      <c r="NJR193" s="367"/>
      <c r="NJS193" s="368" t="s">
        <v>168</v>
      </c>
      <c r="NJT193" s="369">
        <v>0.5</v>
      </c>
      <c r="NJU193" s="370" t="e">
        <f>10/NJQ191</f>
        <v>#DIV/0!</v>
      </c>
      <c r="NJV193" s="371">
        <v>15.38</v>
      </c>
      <c r="NJW193" s="371" t="e">
        <f>NJT193*NJU193*NJV193</f>
        <v>#DIV/0!</v>
      </c>
      <c r="NJX193" s="367" t="s">
        <v>206</v>
      </c>
      <c r="NJY193" s="367"/>
      <c r="NJZ193" s="367"/>
      <c r="NKA193" s="368" t="s">
        <v>168</v>
      </c>
      <c r="NKB193" s="369">
        <v>0.5</v>
      </c>
      <c r="NKC193" s="370" t="e">
        <f>10/NJY191</f>
        <v>#DIV/0!</v>
      </c>
      <c r="NKD193" s="371">
        <v>15.38</v>
      </c>
      <c r="NKE193" s="371" t="e">
        <f>NKB193*NKC193*NKD193</f>
        <v>#DIV/0!</v>
      </c>
      <c r="NKF193" s="367" t="s">
        <v>206</v>
      </c>
      <c r="NKG193" s="367"/>
      <c r="NKH193" s="367"/>
      <c r="NKI193" s="368" t="s">
        <v>168</v>
      </c>
      <c r="NKJ193" s="369">
        <v>0.5</v>
      </c>
      <c r="NKK193" s="370" t="e">
        <f>10/NKG191</f>
        <v>#DIV/0!</v>
      </c>
      <c r="NKL193" s="371">
        <v>15.38</v>
      </c>
      <c r="NKM193" s="371" t="e">
        <f>NKJ193*NKK193*NKL193</f>
        <v>#DIV/0!</v>
      </c>
      <c r="NKN193" s="367" t="s">
        <v>206</v>
      </c>
      <c r="NKO193" s="367"/>
      <c r="NKP193" s="367"/>
      <c r="NKQ193" s="368" t="s">
        <v>168</v>
      </c>
      <c r="NKR193" s="369">
        <v>0.5</v>
      </c>
      <c r="NKS193" s="370" t="e">
        <f>10/NKO191</f>
        <v>#DIV/0!</v>
      </c>
      <c r="NKT193" s="371">
        <v>15.38</v>
      </c>
      <c r="NKU193" s="371" t="e">
        <f>NKR193*NKS193*NKT193</f>
        <v>#DIV/0!</v>
      </c>
      <c r="NKV193" s="367" t="s">
        <v>206</v>
      </c>
      <c r="NKW193" s="367"/>
      <c r="NKX193" s="367"/>
      <c r="NKY193" s="368" t="s">
        <v>168</v>
      </c>
      <c r="NKZ193" s="369">
        <v>0.5</v>
      </c>
      <c r="NLA193" s="370" t="e">
        <f>10/NKW191</f>
        <v>#DIV/0!</v>
      </c>
      <c r="NLB193" s="371">
        <v>15.38</v>
      </c>
      <c r="NLC193" s="371" t="e">
        <f>NKZ193*NLA193*NLB193</f>
        <v>#DIV/0!</v>
      </c>
      <c r="NLD193" s="367" t="s">
        <v>206</v>
      </c>
      <c r="NLE193" s="367"/>
      <c r="NLF193" s="367"/>
      <c r="NLG193" s="368" t="s">
        <v>168</v>
      </c>
      <c r="NLH193" s="369">
        <v>0.5</v>
      </c>
      <c r="NLI193" s="370" t="e">
        <f>10/NLE191</f>
        <v>#DIV/0!</v>
      </c>
      <c r="NLJ193" s="371">
        <v>15.38</v>
      </c>
      <c r="NLK193" s="371" t="e">
        <f>NLH193*NLI193*NLJ193</f>
        <v>#DIV/0!</v>
      </c>
      <c r="NLL193" s="367" t="s">
        <v>206</v>
      </c>
      <c r="NLM193" s="367"/>
      <c r="NLN193" s="367"/>
      <c r="NLO193" s="368" t="s">
        <v>168</v>
      </c>
      <c r="NLP193" s="369">
        <v>0.5</v>
      </c>
      <c r="NLQ193" s="370" t="e">
        <f>10/NLM191</f>
        <v>#DIV/0!</v>
      </c>
      <c r="NLR193" s="371">
        <v>15.38</v>
      </c>
      <c r="NLS193" s="371" t="e">
        <f>NLP193*NLQ193*NLR193</f>
        <v>#DIV/0!</v>
      </c>
      <c r="NLT193" s="367" t="s">
        <v>206</v>
      </c>
      <c r="NLU193" s="367"/>
      <c r="NLV193" s="367"/>
      <c r="NLW193" s="368" t="s">
        <v>168</v>
      </c>
      <c r="NLX193" s="369">
        <v>0.5</v>
      </c>
      <c r="NLY193" s="370" t="e">
        <f>10/NLU191</f>
        <v>#DIV/0!</v>
      </c>
      <c r="NLZ193" s="371">
        <v>15.38</v>
      </c>
      <c r="NMA193" s="371" t="e">
        <f>NLX193*NLY193*NLZ193</f>
        <v>#DIV/0!</v>
      </c>
      <c r="NMB193" s="367" t="s">
        <v>206</v>
      </c>
      <c r="NMC193" s="367"/>
      <c r="NMD193" s="367"/>
      <c r="NME193" s="368" t="s">
        <v>168</v>
      </c>
      <c r="NMF193" s="369">
        <v>0.5</v>
      </c>
      <c r="NMG193" s="370" t="e">
        <f>10/NMC191</f>
        <v>#DIV/0!</v>
      </c>
      <c r="NMH193" s="371">
        <v>15.38</v>
      </c>
      <c r="NMI193" s="371" t="e">
        <f>NMF193*NMG193*NMH193</f>
        <v>#DIV/0!</v>
      </c>
      <c r="NMJ193" s="367" t="s">
        <v>206</v>
      </c>
      <c r="NMK193" s="367"/>
      <c r="NML193" s="367"/>
      <c r="NMM193" s="368" t="s">
        <v>168</v>
      </c>
      <c r="NMN193" s="369">
        <v>0.5</v>
      </c>
      <c r="NMO193" s="370" t="e">
        <f>10/NMK191</f>
        <v>#DIV/0!</v>
      </c>
      <c r="NMP193" s="371">
        <v>15.38</v>
      </c>
      <c r="NMQ193" s="371" t="e">
        <f>NMN193*NMO193*NMP193</f>
        <v>#DIV/0!</v>
      </c>
      <c r="NMR193" s="367" t="s">
        <v>206</v>
      </c>
      <c r="NMS193" s="367"/>
      <c r="NMT193" s="367"/>
      <c r="NMU193" s="368" t="s">
        <v>168</v>
      </c>
      <c r="NMV193" s="369">
        <v>0.5</v>
      </c>
      <c r="NMW193" s="370" t="e">
        <f>10/NMS191</f>
        <v>#DIV/0!</v>
      </c>
      <c r="NMX193" s="371">
        <v>15.38</v>
      </c>
      <c r="NMY193" s="371" t="e">
        <f>NMV193*NMW193*NMX193</f>
        <v>#DIV/0!</v>
      </c>
      <c r="NMZ193" s="367" t="s">
        <v>206</v>
      </c>
      <c r="NNA193" s="367"/>
      <c r="NNB193" s="367"/>
      <c r="NNC193" s="368" t="s">
        <v>168</v>
      </c>
      <c r="NND193" s="369">
        <v>0.5</v>
      </c>
      <c r="NNE193" s="370" t="e">
        <f>10/NNA191</f>
        <v>#DIV/0!</v>
      </c>
      <c r="NNF193" s="371">
        <v>15.38</v>
      </c>
      <c r="NNG193" s="371" t="e">
        <f>NND193*NNE193*NNF193</f>
        <v>#DIV/0!</v>
      </c>
      <c r="NNH193" s="367" t="s">
        <v>206</v>
      </c>
      <c r="NNI193" s="367"/>
      <c r="NNJ193" s="367"/>
      <c r="NNK193" s="368" t="s">
        <v>168</v>
      </c>
      <c r="NNL193" s="369">
        <v>0.5</v>
      </c>
      <c r="NNM193" s="370" t="e">
        <f>10/NNI191</f>
        <v>#DIV/0!</v>
      </c>
      <c r="NNN193" s="371">
        <v>15.38</v>
      </c>
      <c r="NNO193" s="371" t="e">
        <f>NNL193*NNM193*NNN193</f>
        <v>#DIV/0!</v>
      </c>
      <c r="NNP193" s="367" t="s">
        <v>206</v>
      </c>
      <c r="NNQ193" s="367"/>
      <c r="NNR193" s="367"/>
      <c r="NNS193" s="368" t="s">
        <v>168</v>
      </c>
      <c r="NNT193" s="369">
        <v>0.5</v>
      </c>
      <c r="NNU193" s="370" t="e">
        <f>10/NNQ191</f>
        <v>#DIV/0!</v>
      </c>
      <c r="NNV193" s="371">
        <v>15.38</v>
      </c>
      <c r="NNW193" s="371" t="e">
        <f>NNT193*NNU193*NNV193</f>
        <v>#DIV/0!</v>
      </c>
      <c r="NNX193" s="367" t="s">
        <v>206</v>
      </c>
      <c r="NNY193" s="367"/>
      <c r="NNZ193" s="367"/>
      <c r="NOA193" s="368" t="s">
        <v>168</v>
      </c>
      <c r="NOB193" s="369">
        <v>0.5</v>
      </c>
      <c r="NOC193" s="370" t="e">
        <f>10/NNY191</f>
        <v>#DIV/0!</v>
      </c>
      <c r="NOD193" s="371">
        <v>15.38</v>
      </c>
      <c r="NOE193" s="371" t="e">
        <f>NOB193*NOC193*NOD193</f>
        <v>#DIV/0!</v>
      </c>
      <c r="NOF193" s="367" t="s">
        <v>206</v>
      </c>
      <c r="NOG193" s="367"/>
      <c r="NOH193" s="367"/>
      <c r="NOI193" s="368" t="s">
        <v>168</v>
      </c>
      <c r="NOJ193" s="369">
        <v>0.5</v>
      </c>
      <c r="NOK193" s="370" t="e">
        <f>10/NOG191</f>
        <v>#DIV/0!</v>
      </c>
      <c r="NOL193" s="371">
        <v>15.38</v>
      </c>
      <c r="NOM193" s="371" t="e">
        <f>NOJ193*NOK193*NOL193</f>
        <v>#DIV/0!</v>
      </c>
      <c r="NON193" s="367" t="s">
        <v>206</v>
      </c>
      <c r="NOO193" s="367"/>
      <c r="NOP193" s="367"/>
      <c r="NOQ193" s="368" t="s">
        <v>168</v>
      </c>
      <c r="NOR193" s="369">
        <v>0.5</v>
      </c>
      <c r="NOS193" s="370" t="e">
        <f>10/NOO191</f>
        <v>#DIV/0!</v>
      </c>
      <c r="NOT193" s="371">
        <v>15.38</v>
      </c>
      <c r="NOU193" s="371" t="e">
        <f>NOR193*NOS193*NOT193</f>
        <v>#DIV/0!</v>
      </c>
      <c r="NOV193" s="367" t="s">
        <v>206</v>
      </c>
      <c r="NOW193" s="367"/>
      <c r="NOX193" s="367"/>
      <c r="NOY193" s="368" t="s">
        <v>168</v>
      </c>
      <c r="NOZ193" s="369">
        <v>0.5</v>
      </c>
      <c r="NPA193" s="370" t="e">
        <f>10/NOW191</f>
        <v>#DIV/0!</v>
      </c>
      <c r="NPB193" s="371">
        <v>15.38</v>
      </c>
      <c r="NPC193" s="371" t="e">
        <f>NOZ193*NPA193*NPB193</f>
        <v>#DIV/0!</v>
      </c>
      <c r="NPD193" s="367" t="s">
        <v>206</v>
      </c>
      <c r="NPE193" s="367"/>
      <c r="NPF193" s="367"/>
      <c r="NPG193" s="368" t="s">
        <v>168</v>
      </c>
      <c r="NPH193" s="369">
        <v>0.5</v>
      </c>
      <c r="NPI193" s="370" t="e">
        <f>10/NPE191</f>
        <v>#DIV/0!</v>
      </c>
      <c r="NPJ193" s="371">
        <v>15.38</v>
      </c>
      <c r="NPK193" s="371" t="e">
        <f>NPH193*NPI193*NPJ193</f>
        <v>#DIV/0!</v>
      </c>
      <c r="NPL193" s="367" t="s">
        <v>206</v>
      </c>
      <c r="NPM193" s="367"/>
      <c r="NPN193" s="367"/>
      <c r="NPO193" s="368" t="s">
        <v>168</v>
      </c>
      <c r="NPP193" s="369">
        <v>0.5</v>
      </c>
      <c r="NPQ193" s="370" t="e">
        <f>10/NPM191</f>
        <v>#DIV/0!</v>
      </c>
      <c r="NPR193" s="371">
        <v>15.38</v>
      </c>
      <c r="NPS193" s="371" t="e">
        <f>NPP193*NPQ193*NPR193</f>
        <v>#DIV/0!</v>
      </c>
      <c r="NPT193" s="367" t="s">
        <v>206</v>
      </c>
      <c r="NPU193" s="367"/>
      <c r="NPV193" s="367"/>
      <c r="NPW193" s="368" t="s">
        <v>168</v>
      </c>
      <c r="NPX193" s="369">
        <v>0.5</v>
      </c>
      <c r="NPY193" s="370" t="e">
        <f>10/NPU191</f>
        <v>#DIV/0!</v>
      </c>
      <c r="NPZ193" s="371">
        <v>15.38</v>
      </c>
      <c r="NQA193" s="371" t="e">
        <f>NPX193*NPY193*NPZ193</f>
        <v>#DIV/0!</v>
      </c>
      <c r="NQB193" s="367" t="s">
        <v>206</v>
      </c>
      <c r="NQC193" s="367"/>
      <c r="NQD193" s="367"/>
      <c r="NQE193" s="368" t="s">
        <v>168</v>
      </c>
      <c r="NQF193" s="369">
        <v>0.5</v>
      </c>
      <c r="NQG193" s="370" t="e">
        <f>10/NQC191</f>
        <v>#DIV/0!</v>
      </c>
      <c r="NQH193" s="371">
        <v>15.38</v>
      </c>
      <c r="NQI193" s="371" t="e">
        <f>NQF193*NQG193*NQH193</f>
        <v>#DIV/0!</v>
      </c>
      <c r="NQJ193" s="367" t="s">
        <v>206</v>
      </c>
      <c r="NQK193" s="367"/>
      <c r="NQL193" s="367"/>
      <c r="NQM193" s="368" t="s">
        <v>168</v>
      </c>
      <c r="NQN193" s="369">
        <v>0.5</v>
      </c>
      <c r="NQO193" s="370" t="e">
        <f>10/NQK191</f>
        <v>#DIV/0!</v>
      </c>
      <c r="NQP193" s="371">
        <v>15.38</v>
      </c>
      <c r="NQQ193" s="371" t="e">
        <f>NQN193*NQO193*NQP193</f>
        <v>#DIV/0!</v>
      </c>
      <c r="NQR193" s="367" t="s">
        <v>206</v>
      </c>
      <c r="NQS193" s="367"/>
      <c r="NQT193" s="367"/>
      <c r="NQU193" s="368" t="s">
        <v>168</v>
      </c>
      <c r="NQV193" s="369">
        <v>0.5</v>
      </c>
      <c r="NQW193" s="370" t="e">
        <f>10/NQS191</f>
        <v>#DIV/0!</v>
      </c>
      <c r="NQX193" s="371">
        <v>15.38</v>
      </c>
      <c r="NQY193" s="371" t="e">
        <f>NQV193*NQW193*NQX193</f>
        <v>#DIV/0!</v>
      </c>
      <c r="NQZ193" s="367" t="s">
        <v>206</v>
      </c>
      <c r="NRA193" s="367"/>
      <c r="NRB193" s="367"/>
      <c r="NRC193" s="368" t="s">
        <v>168</v>
      </c>
      <c r="NRD193" s="369">
        <v>0.5</v>
      </c>
      <c r="NRE193" s="370" t="e">
        <f>10/NRA191</f>
        <v>#DIV/0!</v>
      </c>
      <c r="NRF193" s="371">
        <v>15.38</v>
      </c>
      <c r="NRG193" s="371" t="e">
        <f>NRD193*NRE193*NRF193</f>
        <v>#DIV/0!</v>
      </c>
      <c r="NRH193" s="367" t="s">
        <v>206</v>
      </c>
      <c r="NRI193" s="367"/>
      <c r="NRJ193" s="367"/>
      <c r="NRK193" s="368" t="s">
        <v>168</v>
      </c>
      <c r="NRL193" s="369">
        <v>0.5</v>
      </c>
      <c r="NRM193" s="370" t="e">
        <f>10/NRI191</f>
        <v>#DIV/0!</v>
      </c>
      <c r="NRN193" s="371">
        <v>15.38</v>
      </c>
      <c r="NRO193" s="371" t="e">
        <f>NRL193*NRM193*NRN193</f>
        <v>#DIV/0!</v>
      </c>
      <c r="NRP193" s="367" t="s">
        <v>206</v>
      </c>
      <c r="NRQ193" s="367"/>
      <c r="NRR193" s="367"/>
      <c r="NRS193" s="368" t="s">
        <v>168</v>
      </c>
      <c r="NRT193" s="369">
        <v>0.5</v>
      </c>
      <c r="NRU193" s="370" t="e">
        <f>10/NRQ191</f>
        <v>#DIV/0!</v>
      </c>
      <c r="NRV193" s="371">
        <v>15.38</v>
      </c>
      <c r="NRW193" s="371" t="e">
        <f>NRT193*NRU193*NRV193</f>
        <v>#DIV/0!</v>
      </c>
      <c r="NRX193" s="367" t="s">
        <v>206</v>
      </c>
      <c r="NRY193" s="367"/>
      <c r="NRZ193" s="367"/>
      <c r="NSA193" s="368" t="s">
        <v>168</v>
      </c>
      <c r="NSB193" s="369">
        <v>0.5</v>
      </c>
      <c r="NSC193" s="370" t="e">
        <f>10/NRY191</f>
        <v>#DIV/0!</v>
      </c>
      <c r="NSD193" s="371">
        <v>15.38</v>
      </c>
      <c r="NSE193" s="371" t="e">
        <f>NSB193*NSC193*NSD193</f>
        <v>#DIV/0!</v>
      </c>
      <c r="NSF193" s="367" t="s">
        <v>206</v>
      </c>
      <c r="NSG193" s="367"/>
      <c r="NSH193" s="367"/>
      <c r="NSI193" s="368" t="s">
        <v>168</v>
      </c>
      <c r="NSJ193" s="369">
        <v>0.5</v>
      </c>
      <c r="NSK193" s="370" t="e">
        <f>10/NSG191</f>
        <v>#DIV/0!</v>
      </c>
      <c r="NSL193" s="371">
        <v>15.38</v>
      </c>
      <c r="NSM193" s="371" t="e">
        <f>NSJ193*NSK193*NSL193</f>
        <v>#DIV/0!</v>
      </c>
      <c r="NSN193" s="367" t="s">
        <v>206</v>
      </c>
      <c r="NSO193" s="367"/>
      <c r="NSP193" s="367"/>
      <c r="NSQ193" s="368" t="s">
        <v>168</v>
      </c>
      <c r="NSR193" s="369">
        <v>0.5</v>
      </c>
      <c r="NSS193" s="370" t="e">
        <f>10/NSO191</f>
        <v>#DIV/0!</v>
      </c>
      <c r="NST193" s="371">
        <v>15.38</v>
      </c>
      <c r="NSU193" s="371" t="e">
        <f>NSR193*NSS193*NST193</f>
        <v>#DIV/0!</v>
      </c>
      <c r="NSV193" s="367" t="s">
        <v>206</v>
      </c>
      <c r="NSW193" s="367"/>
      <c r="NSX193" s="367"/>
      <c r="NSY193" s="368" t="s">
        <v>168</v>
      </c>
      <c r="NSZ193" s="369">
        <v>0.5</v>
      </c>
      <c r="NTA193" s="370" t="e">
        <f>10/NSW191</f>
        <v>#DIV/0!</v>
      </c>
      <c r="NTB193" s="371">
        <v>15.38</v>
      </c>
      <c r="NTC193" s="371" t="e">
        <f>NSZ193*NTA193*NTB193</f>
        <v>#DIV/0!</v>
      </c>
      <c r="NTD193" s="367" t="s">
        <v>206</v>
      </c>
      <c r="NTE193" s="367"/>
      <c r="NTF193" s="367"/>
      <c r="NTG193" s="368" t="s">
        <v>168</v>
      </c>
      <c r="NTH193" s="369">
        <v>0.5</v>
      </c>
      <c r="NTI193" s="370" t="e">
        <f>10/NTE191</f>
        <v>#DIV/0!</v>
      </c>
      <c r="NTJ193" s="371">
        <v>15.38</v>
      </c>
      <c r="NTK193" s="371" t="e">
        <f>NTH193*NTI193*NTJ193</f>
        <v>#DIV/0!</v>
      </c>
      <c r="NTL193" s="367" t="s">
        <v>206</v>
      </c>
      <c r="NTM193" s="367"/>
      <c r="NTN193" s="367"/>
      <c r="NTO193" s="368" t="s">
        <v>168</v>
      </c>
      <c r="NTP193" s="369">
        <v>0.5</v>
      </c>
      <c r="NTQ193" s="370" t="e">
        <f>10/NTM191</f>
        <v>#DIV/0!</v>
      </c>
      <c r="NTR193" s="371">
        <v>15.38</v>
      </c>
      <c r="NTS193" s="371" t="e">
        <f>NTP193*NTQ193*NTR193</f>
        <v>#DIV/0!</v>
      </c>
      <c r="NTT193" s="367" t="s">
        <v>206</v>
      </c>
      <c r="NTU193" s="367"/>
      <c r="NTV193" s="367"/>
      <c r="NTW193" s="368" t="s">
        <v>168</v>
      </c>
      <c r="NTX193" s="369">
        <v>0.5</v>
      </c>
      <c r="NTY193" s="370" t="e">
        <f>10/NTU191</f>
        <v>#DIV/0!</v>
      </c>
      <c r="NTZ193" s="371">
        <v>15.38</v>
      </c>
      <c r="NUA193" s="371" t="e">
        <f>NTX193*NTY193*NTZ193</f>
        <v>#DIV/0!</v>
      </c>
      <c r="NUB193" s="367" t="s">
        <v>206</v>
      </c>
      <c r="NUC193" s="367"/>
      <c r="NUD193" s="367"/>
      <c r="NUE193" s="368" t="s">
        <v>168</v>
      </c>
      <c r="NUF193" s="369">
        <v>0.5</v>
      </c>
      <c r="NUG193" s="370" t="e">
        <f>10/NUC191</f>
        <v>#DIV/0!</v>
      </c>
      <c r="NUH193" s="371">
        <v>15.38</v>
      </c>
      <c r="NUI193" s="371" t="e">
        <f>NUF193*NUG193*NUH193</f>
        <v>#DIV/0!</v>
      </c>
      <c r="NUJ193" s="367" t="s">
        <v>206</v>
      </c>
      <c r="NUK193" s="367"/>
      <c r="NUL193" s="367"/>
      <c r="NUM193" s="368" t="s">
        <v>168</v>
      </c>
      <c r="NUN193" s="369">
        <v>0.5</v>
      </c>
      <c r="NUO193" s="370" t="e">
        <f>10/NUK191</f>
        <v>#DIV/0!</v>
      </c>
      <c r="NUP193" s="371">
        <v>15.38</v>
      </c>
      <c r="NUQ193" s="371" t="e">
        <f>NUN193*NUO193*NUP193</f>
        <v>#DIV/0!</v>
      </c>
      <c r="NUR193" s="367" t="s">
        <v>206</v>
      </c>
      <c r="NUS193" s="367"/>
      <c r="NUT193" s="367"/>
      <c r="NUU193" s="368" t="s">
        <v>168</v>
      </c>
      <c r="NUV193" s="369">
        <v>0.5</v>
      </c>
      <c r="NUW193" s="370" t="e">
        <f>10/NUS191</f>
        <v>#DIV/0!</v>
      </c>
      <c r="NUX193" s="371">
        <v>15.38</v>
      </c>
      <c r="NUY193" s="371" t="e">
        <f>NUV193*NUW193*NUX193</f>
        <v>#DIV/0!</v>
      </c>
      <c r="NUZ193" s="367" t="s">
        <v>206</v>
      </c>
      <c r="NVA193" s="367"/>
      <c r="NVB193" s="367"/>
      <c r="NVC193" s="368" t="s">
        <v>168</v>
      </c>
      <c r="NVD193" s="369">
        <v>0.5</v>
      </c>
      <c r="NVE193" s="370" t="e">
        <f>10/NVA191</f>
        <v>#DIV/0!</v>
      </c>
      <c r="NVF193" s="371">
        <v>15.38</v>
      </c>
      <c r="NVG193" s="371" t="e">
        <f>NVD193*NVE193*NVF193</f>
        <v>#DIV/0!</v>
      </c>
      <c r="NVH193" s="367" t="s">
        <v>206</v>
      </c>
      <c r="NVI193" s="367"/>
      <c r="NVJ193" s="367"/>
      <c r="NVK193" s="368" t="s">
        <v>168</v>
      </c>
      <c r="NVL193" s="369">
        <v>0.5</v>
      </c>
      <c r="NVM193" s="370" t="e">
        <f>10/NVI191</f>
        <v>#DIV/0!</v>
      </c>
      <c r="NVN193" s="371">
        <v>15.38</v>
      </c>
      <c r="NVO193" s="371" t="e">
        <f>NVL193*NVM193*NVN193</f>
        <v>#DIV/0!</v>
      </c>
      <c r="NVP193" s="367" t="s">
        <v>206</v>
      </c>
      <c r="NVQ193" s="367"/>
      <c r="NVR193" s="367"/>
      <c r="NVS193" s="368" t="s">
        <v>168</v>
      </c>
      <c r="NVT193" s="369">
        <v>0.5</v>
      </c>
      <c r="NVU193" s="370" t="e">
        <f>10/NVQ191</f>
        <v>#DIV/0!</v>
      </c>
      <c r="NVV193" s="371">
        <v>15.38</v>
      </c>
      <c r="NVW193" s="371" t="e">
        <f>NVT193*NVU193*NVV193</f>
        <v>#DIV/0!</v>
      </c>
      <c r="NVX193" s="367" t="s">
        <v>206</v>
      </c>
      <c r="NVY193" s="367"/>
      <c r="NVZ193" s="367"/>
      <c r="NWA193" s="368" t="s">
        <v>168</v>
      </c>
      <c r="NWB193" s="369">
        <v>0.5</v>
      </c>
      <c r="NWC193" s="370" t="e">
        <f>10/NVY191</f>
        <v>#DIV/0!</v>
      </c>
      <c r="NWD193" s="371">
        <v>15.38</v>
      </c>
      <c r="NWE193" s="371" t="e">
        <f>NWB193*NWC193*NWD193</f>
        <v>#DIV/0!</v>
      </c>
      <c r="NWF193" s="367" t="s">
        <v>206</v>
      </c>
      <c r="NWG193" s="367"/>
      <c r="NWH193" s="367"/>
      <c r="NWI193" s="368" t="s">
        <v>168</v>
      </c>
      <c r="NWJ193" s="369">
        <v>0.5</v>
      </c>
      <c r="NWK193" s="370" t="e">
        <f>10/NWG191</f>
        <v>#DIV/0!</v>
      </c>
      <c r="NWL193" s="371">
        <v>15.38</v>
      </c>
      <c r="NWM193" s="371" t="e">
        <f>NWJ193*NWK193*NWL193</f>
        <v>#DIV/0!</v>
      </c>
      <c r="NWN193" s="367" t="s">
        <v>206</v>
      </c>
      <c r="NWO193" s="367"/>
      <c r="NWP193" s="367"/>
      <c r="NWQ193" s="368" t="s">
        <v>168</v>
      </c>
      <c r="NWR193" s="369">
        <v>0.5</v>
      </c>
      <c r="NWS193" s="370" t="e">
        <f>10/NWO191</f>
        <v>#DIV/0!</v>
      </c>
      <c r="NWT193" s="371">
        <v>15.38</v>
      </c>
      <c r="NWU193" s="371" t="e">
        <f>NWR193*NWS193*NWT193</f>
        <v>#DIV/0!</v>
      </c>
      <c r="NWV193" s="367" t="s">
        <v>206</v>
      </c>
      <c r="NWW193" s="367"/>
      <c r="NWX193" s="367"/>
      <c r="NWY193" s="368" t="s">
        <v>168</v>
      </c>
      <c r="NWZ193" s="369">
        <v>0.5</v>
      </c>
      <c r="NXA193" s="370" t="e">
        <f>10/NWW191</f>
        <v>#DIV/0!</v>
      </c>
      <c r="NXB193" s="371">
        <v>15.38</v>
      </c>
      <c r="NXC193" s="371" t="e">
        <f>NWZ193*NXA193*NXB193</f>
        <v>#DIV/0!</v>
      </c>
      <c r="NXD193" s="367" t="s">
        <v>206</v>
      </c>
      <c r="NXE193" s="367"/>
      <c r="NXF193" s="367"/>
      <c r="NXG193" s="368" t="s">
        <v>168</v>
      </c>
      <c r="NXH193" s="369">
        <v>0.5</v>
      </c>
      <c r="NXI193" s="370" t="e">
        <f>10/NXE191</f>
        <v>#DIV/0!</v>
      </c>
      <c r="NXJ193" s="371">
        <v>15.38</v>
      </c>
      <c r="NXK193" s="371" t="e">
        <f>NXH193*NXI193*NXJ193</f>
        <v>#DIV/0!</v>
      </c>
      <c r="NXL193" s="367" t="s">
        <v>206</v>
      </c>
      <c r="NXM193" s="367"/>
      <c r="NXN193" s="367"/>
      <c r="NXO193" s="368" t="s">
        <v>168</v>
      </c>
      <c r="NXP193" s="369">
        <v>0.5</v>
      </c>
      <c r="NXQ193" s="370" t="e">
        <f>10/NXM191</f>
        <v>#DIV/0!</v>
      </c>
      <c r="NXR193" s="371">
        <v>15.38</v>
      </c>
      <c r="NXS193" s="371" t="e">
        <f>NXP193*NXQ193*NXR193</f>
        <v>#DIV/0!</v>
      </c>
      <c r="NXT193" s="367" t="s">
        <v>206</v>
      </c>
      <c r="NXU193" s="367"/>
      <c r="NXV193" s="367"/>
      <c r="NXW193" s="368" t="s">
        <v>168</v>
      </c>
      <c r="NXX193" s="369">
        <v>0.5</v>
      </c>
      <c r="NXY193" s="370" t="e">
        <f>10/NXU191</f>
        <v>#DIV/0!</v>
      </c>
      <c r="NXZ193" s="371">
        <v>15.38</v>
      </c>
      <c r="NYA193" s="371" t="e">
        <f>NXX193*NXY193*NXZ193</f>
        <v>#DIV/0!</v>
      </c>
      <c r="NYB193" s="367" t="s">
        <v>206</v>
      </c>
      <c r="NYC193" s="367"/>
      <c r="NYD193" s="367"/>
      <c r="NYE193" s="368" t="s">
        <v>168</v>
      </c>
      <c r="NYF193" s="369">
        <v>0.5</v>
      </c>
      <c r="NYG193" s="370" t="e">
        <f>10/NYC191</f>
        <v>#DIV/0!</v>
      </c>
      <c r="NYH193" s="371">
        <v>15.38</v>
      </c>
      <c r="NYI193" s="371" t="e">
        <f>NYF193*NYG193*NYH193</f>
        <v>#DIV/0!</v>
      </c>
      <c r="NYJ193" s="367" t="s">
        <v>206</v>
      </c>
      <c r="NYK193" s="367"/>
      <c r="NYL193" s="367"/>
      <c r="NYM193" s="368" t="s">
        <v>168</v>
      </c>
      <c r="NYN193" s="369">
        <v>0.5</v>
      </c>
      <c r="NYO193" s="370" t="e">
        <f>10/NYK191</f>
        <v>#DIV/0!</v>
      </c>
      <c r="NYP193" s="371">
        <v>15.38</v>
      </c>
      <c r="NYQ193" s="371" t="e">
        <f>NYN193*NYO193*NYP193</f>
        <v>#DIV/0!</v>
      </c>
      <c r="NYR193" s="367" t="s">
        <v>206</v>
      </c>
      <c r="NYS193" s="367"/>
      <c r="NYT193" s="367"/>
      <c r="NYU193" s="368" t="s">
        <v>168</v>
      </c>
      <c r="NYV193" s="369">
        <v>0.5</v>
      </c>
      <c r="NYW193" s="370" t="e">
        <f>10/NYS191</f>
        <v>#DIV/0!</v>
      </c>
      <c r="NYX193" s="371">
        <v>15.38</v>
      </c>
      <c r="NYY193" s="371" t="e">
        <f>NYV193*NYW193*NYX193</f>
        <v>#DIV/0!</v>
      </c>
      <c r="NYZ193" s="367" t="s">
        <v>206</v>
      </c>
      <c r="NZA193" s="367"/>
      <c r="NZB193" s="367"/>
      <c r="NZC193" s="368" t="s">
        <v>168</v>
      </c>
      <c r="NZD193" s="369">
        <v>0.5</v>
      </c>
      <c r="NZE193" s="370" t="e">
        <f>10/NZA191</f>
        <v>#DIV/0!</v>
      </c>
      <c r="NZF193" s="371">
        <v>15.38</v>
      </c>
      <c r="NZG193" s="371" t="e">
        <f>NZD193*NZE193*NZF193</f>
        <v>#DIV/0!</v>
      </c>
      <c r="NZH193" s="367" t="s">
        <v>206</v>
      </c>
      <c r="NZI193" s="367"/>
      <c r="NZJ193" s="367"/>
      <c r="NZK193" s="368" t="s">
        <v>168</v>
      </c>
      <c r="NZL193" s="369">
        <v>0.5</v>
      </c>
      <c r="NZM193" s="370" t="e">
        <f>10/NZI191</f>
        <v>#DIV/0!</v>
      </c>
      <c r="NZN193" s="371">
        <v>15.38</v>
      </c>
      <c r="NZO193" s="371" t="e">
        <f>NZL193*NZM193*NZN193</f>
        <v>#DIV/0!</v>
      </c>
      <c r="NZP193" s="367" t="s">
        <v>206</v>
      </c>
      <c r="NZQ193" s="367"/>
      <c r="NZR193" s="367"/>
      <c r="NZS193" s="368" t="s">
        <v>168</v>
      </c>
      <c r="NZT193" s="369">
        <v>0.5</v>
      </c>
      <c r="NZU193" s="370" t="e">
        <f>10/NZQ191</f>
        <v>#DIV/0!</v>
      </c>
      <c r="NZV193" s="371">
        <v>15.38</v>
      </c>
      <c r="NZW193" s="371" t="e">
        <f>NZT193*NZU193*NZV193</f>
        <v>#DIV/0!</v>
      </c>
      <c r="NZX193" s="367" t="s">
        <v>206</v>
      </c>
      <c r="NZY193" s="367"/>
      <c r="NZZ193" s="367"/>
      <c r="OAA193" s="368" t="s">
        <v>168</v>
      </c>
      <c r="OAB193" s="369">
        <v>0.5</v>
      </c>
      <c r="OAC193" s="370" t="e">
        <f>10/NZY191</f>
        <v>#DIV/0!</v>
      </c>
      <c r="OAD193" s="371">
        <v>15.38</v>
      </c>
      <c r="OAE193" s="371" t="e">
        <f>OAB193*OAC193*OAD193</f>
        <v>#DIV/0!</v>
      </c>
      <c r="OAF193" s="367" t="s">
        <v>206</v>
      </c>
      <c r="OAG193" s="367"/>
      <c r="OAH193" s="367"/>
      <c r="OAI193" s="368" t="s">
        <v>168</v>
      </c>
      <c r="OAJ193" s="369">
        <v>0.5</v>
      </c>
      <c r="OAK193" s="370" t="e">
        <f>10/OAG191</f>
        <v>#DIV/0!</v>
      </c>
      <c r="OAL193" s="371">
        <v>15.38</v>
      </c>
      <c r="OAM193" s="371" t="e">
        <f>OAJ193*OAK193*OAL193</f>
        <v>#DIV/0!</v>
      </c>
      <c r="OAN193" s="367" t="s">
        <v>206</v>
      </c>
      <c r="OAO193" s="367"/>
      <c r="OAP193" s="367"/>
      <c r="OAQ193" s="368" t="s">
        <v>168</v>
      </c>
      <c r="OAR193" s="369">
        <v>0.5</v>
      </c>
      <c r="OAS193" s="370" t="e">
        <f>10/OAO191</f>
        <v>#DIV/0!</v>
      </c>
      <c r="OAT193" s="371">
        <v>15.38</v>
      </c>
      <c r="OAU193" s="371" t="e">
        <f>OAR193*OAS193*OAT193</f>
        <v>#DIV/0!</v>
      </c>
      <c r="OAV193" s="367" t="s">
        <v>206</v>
      </c>
      <c r="OAW193" s="367"/>
      <c r="OAX193" s="367"/>
      <c r="OAY193" s="368" t="s">
        <v>168</v>
      </c>
      <c r="OAZ193" s="369">
        <v>0.5</v>
      </c>
      <c r="OBA193" s="370" t="e">
        <f>10/OAW191</f>
        <v>#DIV/0!</v>
      </c>
      <c r="OBB193" s="371">
        <v>15.38</v>
      </c>
      <c r="OBC193" s="371" t="e">
        <f>OAZ193*OBA193*OBB193</f>
        <v>#DIV/0!</v>
      </c>
      <c r="OBD193" s="367" t="s">
        <v>206</v>
      </c>
      <c r="OBE193" s="367"/>
      <c r="OBF193" s="367"/>
      <c r="OBG193" s="368" t="s">
        <v>168</v>
      </c>
      <c r="OBH193" s="369">
        <v>0.5</v>
      </c>
      <c r="OBI193" s="370" t="e">
        <f>10/OBE191</f>
        <v>#DIV/0!</v>
      </c>
      <c r="OBJ193" s="371">
        <v>15.38</v>
      </c>
      <c r="OBK193" s="371" t="e">
        <f>OBH193*OBI193*OBJ193</f>
        <v>#DIV/0!</v>
      </c>
      <c r="OBL193" s="367" t="s">
        <v>206</v>
      </c>
      <c r="OBM193" s="367"/>
      <c r="OBN193" s="367"/>
      <c r="OBO193" s="368" t="s">
        <v>168</v>
      </c>
      <c r="OBP193" s="369">
        <v>0.5</v>
      </c>
      <c r="OBQ193" s="370" t="e">
        <f>10/OBM191</f>
        <v>#DIV/0!</v>
      </c>
      <c r="OBR193" s="371">
        <v>15.38</v>
      </c>
      <c r="OBS193" s="371" t="e">
        <f>OBP193*OBQ193*OBR193</f>
        <v>#DIV/0!</v>
      </c>
      <c r="OBT193" s="367" t="s">
        <v>206</v>
      </c>
      <c r="OBU193" s="367"/>
      <c r="OBV193" s="367"/>
      <c r="OBW193" s="368" t="s">
        <v>168</v>
      </c>
      <c r="OBX193" s="369">
        <v>0.5</v>
      </c>
      <c r="OBY193" s="370" t="e">
        <f>10/OBU191</f>
        <v>#DIV/0!</v>
      </c>
      <c r="OBZ193" s="371">
        <v>15.38</v>
      </c>
      <c r="OCA193" s="371" t="e">
        <f>OBX193*OBY193*OBZ193</f>
        <v>#DIV/0!</v>
      </c>
      <c r="OCB193" s="367" t="s">
        <v>206</v>
      </c>
      <c r="OCC193" s="367"/>
      <c r="OCD193" s="367"/>
      <c r="OCE193" s="368" t="s">
        <v>168</v>
      </c>
      <c r="OCF193" s="369">
        <v>0.5</v>
      </c>
      <c r="OCG193" s="370" t="e">
        <f>10/OCC191</f>
        <v>#DIV/0!</v>
      </c>
      <c r="OCH193" s="371">
        <v>15.38</v>
      </c>
      <c r="OCI193" s="371" t="e">
        <f>OCF193*OCG193*OCH193</f>
        <v>#DIV/0!</v>
      </c>
      <c r="OCJ193" s="367" t="s">
        <v>206</v>
      </c>
      <c r="OCK193" s="367"/>
      <c r="OCL193" s="367"/>
      <c r="OCM193" s="368" t="s">
        <v>168</v>
      </c>
      <c r="OCN193" s="369">
        <v>0.5</v>
      </c>
      <c r="OCO193" s="370" t="e">
        <f>10/OCK191</f>
        <v>#DIV/0!</v>
      </c>
      <c r="OCP193" s="371">
        <v>15.38</v>
      </c>
      <c r="OCQ193" s="371" t="e">
        <f>OCN193*OCO193*OCP193</f>
        <v>#DIV/0!</v>
      </c>
      <c r="OCR193" s="367" t="s">
        <v>206</v>
      </c>
      <c r="OCS193" s="367"/>
      <c r="OCT193" s="367"/>
      <c r="OCU193" s="368" t="s">
        <v>168</v>
      </c>
      <c r="OCV193" s="369">
        <v>0.5</v>
      </c>
      <c r="OCW193" s="370" t="e">
        <f>10/OCS191</f>
        <v>#DIV/0!</v>
      </c>
      <c r="OCX193" s="371">
        <v>15.38</v>
      </c>
      <c r="OCY193" s="371" t="e">
        <f>OCV193*OCW193*OCX193</f>
        <v>#DIV/0!</v>
      </c>
      <c r="OCZ193" s="367" t="s">
        <v>206</v>
      </c>
      <c r="ODA193" s="367"/>
      <c r="ODB193" s="367"/>
      <c r="ODC193" s="368" t="s">
        <v>168</v>
      </c>
      <c r="ODD193" s="369">
        <v>0.5</v>
      </c>
      <c r="ODE193" s="370" t="e">
        <f>10/ODA191</f>
        <v>#DIV/0!</v>
      </c>
      <c r="ODF193" s="371">
        <v>15.38</v>
      </c>
      <c r="ODG193" s="371" t="e">
        <f>ODD193*ODE193*ODF193</f>
        <v>#DIV/0!</v>
      </c>
      <c r="ODH193" s="367" t="s">
        <v>206</v>
      </c>
      <c r="ODI193" s="367"/>
      <c r="ODJ193" s="367"/>
      <c r="ODK193" s="368" t="s">
        <v>168</v>
      </c>
      <c r="ODL193" s="369">
        <v>0.5</v>
      </c>
      <c r="ODM193" s="370" t="e">
        <f>10/ODI191</f>
        <v>#DIV/0!</v>
      </c>
      <c r="ODN193" s="371">
        <v>15.38</v>
      </c>
      <c r="ODO193" s="371" t="e">
        <f>ODL193*ODM193*ODN193</f>
        <v>#DIV/0!</v>
      </c>
      <c r="ODP193" s="367" t="s">
        <v>206</v>
      </c>
      <c r="ODQ193" s="367"/>
      <c r="ODR193" s="367"/>
      <c r="ODS193" s="368" t="s">
        <v>168</v>
      </c>
      <c r="ODT193" s="369">
        <v>0.5</v>
      </c>
      <c r="ODU193" s="370" t="e">
        <f>10/ODQ191</f>
        <v>#DIV/0!</v>
      </c>
      <c r="ODV193" s="371">
        <v>15.38</v>
      </c>
      <c r="ODW193" s="371" t="e">
        <f>ODT193*ODU193*ODV193</f>
        <v>#DIV/0!</v>
      </c>
      <c r="ODX193" s="367" t="s">
        <v>206</v>
      </c>
      <c r="ODY193" s="367"/>
      <c r="ODZ193" s="367"/>
      <c r="OEA193" s="368" t="s">
        <v>168</v>
      </c>
      <c r="OEB193" s="369">
        <v>0.5</v>
      </c>
      <c r="OEC193" s="370" t="e">
        <f>10/ODY191</f>
        <v>#DIV/0!</v>
      </c>
      <c r="OED193" s="371">
        <v>15.38</v>
      </c>
      <c r="OEE193" s="371" t="e">
        <f>OEB193*OEC193*OED193</f>
        <v>#DIV/0!</v>
      </c>
      <c r="OEF193" s="367" t="s">
        <v>206</v>
      </c>
      <c r="OEG193" s="367"/>
      <c r="OEH193" s="367"/>
      <c r="OEI193" s="368" t="s">
        <v>168</v>
      </c>
      <c r="OEJ193" s="369">
        <v>0.5</v>
      </c>
      <c r="OEK193" s="370" t="e">
        <f>10/OEG191</f>
        <v>#DIV/0!</v>
      </c>
      <c r="OEL193" s="371">
        <v>15.38</v>
      </c>
      <c r="OEM193" s="371" t="e">
        <f>OEJ193*OEK193*OEL193</f>
        <v>#DIV/0!</v>
      </c>
      <c r="OEN193" s="367" t="s">
        <v>206</v>
      </c>
      <c r="OEO193" s="367"/>
      <c r="OEP193" s="367"/>
      <c r="OEQ193" s="368" t="s">
        <v>168</v>
      </c>
      <c r="OER193" s="369">
        <v>0.5</v>
      </c>
      <c r="OES193" s="370" t="e">
        <f>10/OEO191</f>
        <v>#DIV/0!</v>
      </c>
      <c r="OET193" s="371">
        <v>15.38</v>
      </c>
      <c r="OEU193" s="371" t="e">
        <f>OER193*OES193*OET193</f>
        <v>#DIV/0!</v>
      </c>
      <c r="OEV193" s="367" t="s">
        <v>206</v>
      </c>
      <c r="OEW193" s="367"/>
      <c r="OEX193" s="367"/>
      <c r="OEY193" s="368" t="s">
        <v>168</v>
      </c>
      <c r="OEZ193" s="369">
        <v>0.5</v>
      </c>
      <c r="OFA193" s="370" t="e">
        <f>10/OEW191</f>
        <v>#DIV/0!</v>
      </c>
      <c r="OFB193" s="371">
        <v>15.38</v>
      </c>
      <c r="OFC193" s="371" t="e">
        <f>OEZ193*OFA193*OFB193</f>
        <v>#DIV/0!</v>
      </c>
      <c r="OFD193" s="367" t="s">
        <v>206</v>
      </c>
      <c r="OFE193" s="367"/>
      <c r="OFF193" s="367"/>
      <c r="OFG193" s="368" t="s">
        <v>168</v>
      </c>
      <c r="OFH193" s="369">
        <v>0.5</v>
      </c>
      <c r="OFI193" s="370" t="e">
        <f>10/OFE191</f>
        <v>#DIV/0!</v>
      </c>
      <c r="OFJ193" s="371">
        <v>15.38</v>
      </c>
      <c r="OFK193" s="371" t="e">
        <f>OFH193*OFI193*OFJ193</f>
        <v>#DIV/0!</v>
      </c>
      <c r="OFL193" s="367" t="s">
        <v>206</v>
      </c>
      <c r="OFM193" s="367"/>
      <c r="OFN193" s="367"/>
      <c r="OFO193" s="368" t="s">
        <v>168</v>
      </c>
      <c r="OFP193" s="369">
        <v>0.5</v>
      </c>
      <c r="OFQ193" s="370" t="e">
        <f>10/OFM191</f>
        <v>#DIV/0!</v>
      </c>
      <c r="OFR193" s="371">
        <v>15.38</v>
      </c>
      <c r="OFS193" s="371" t="e">
        <f>OFP193*OFQ193*OFR193</f>
        <v>#DIV/0!</v>
      </c>
      <c r="OFT193" s="367" t="s">
        <v>206</v>
      </c>
      <c r="OFU193" s="367"/>
      <c r="OFV193" s="367"/>
      <c r="OFW193" s="368" t="s">
        <v>168</v>
      </c>
      <c r="OFX193" s="369">
        <v>0.5</v>
      </c>
      <c r="OFY193" s="370" t="e">
        <f>10/OFU191</f>
        <v>#DIV/0!</v>
      </c>
      <c r="OFZ193" s="371">
        <v>15.38</v>
      </c>
      <c r="OGA193" s="371" t="e">
        <f>OFX193*OFY193*OFZ193</f>
        <v>#DIV/0!</v>
      </c>
      <c r="OGB193" s="367" t="s">
        <v>206</v>
      </c>
      <c r="OGC193" s="367"/>
      <c r="OGD193" s="367"/>
      <c r="OGE193" s="368" t="s">
        <v>168</v>
      </c>
      <c r="OGF193" s="369">
        <v>0.5</v>
      </c>
      <c r="OGG193" s="370" t="e">
        <f>10/OGC191</f>
        <v>#DIV/0!</v>
      </c>
      <c r="OGH193" s="371">
        <v>15.38</v>
      </c>
      <c r="OGI193" s="371" t="e">
        <f>OGF193*OGG193*OGH193</f>
        <v>#DIV/0!</v>
      </c>
      <c r="OGJ193" s="367" t="s">
        <v>206</v>
      </c>
      <c r="OGK193" s="367"/>
      <c r="OGL193" s="367"/>
      <c r="OGM193" s="368" t="s">
        <v>168</v>
      </c>
      <c r="OGN193" s="369">
        <v>0.5</v>
      </c>
      <c r="OGO193" s="370" t="e">
        <f>10/OGK191</f>
        <v>#DIV/0!</v>
      </c>
      <c r="OGP193" s="371">
        <v>15.38</v>
      </c>
      <c r="OGQ193" s="371" t="e">
        <f>OGN193*OGO193*OGP193</f>
        <v>#DIV/0!</v>
      </c>
      <c r="OGR193" s="367" t="s">
        <v>206</v>
      </c>
      <c r="OGS193" s="367"/>
      <c r="OGT193" s="367"/>
      <c r="OGU193" s="368" t="s">
        <v>168</v>
      </c>
      <c r="OGV193" s="369">
        <v>0.5</v>
      </c>
      <c r="OGW193" s="370" t="e">
        <f>10/OGS191</f>
        <v>#DIV/0!</v>
      </c>
      <c r="OGX193" s="371">
        <v>15.38</v>
      </c>
      <c r="OGY193" s="371" t="e">
        <f>OGV193*OGW193*OGX193</f>
        <v>#DIV/0!</v>
      </c>
      <c r="OGZ193" s="367" t="s">
        <v>206</v>
      </c>
      <c r="OHA193" s="367"/>
      <c r="OHB193" s="367"/>
      <c r="OHC193" s="368" t="s">
        <v>168</v>
      </c>
      <c r="OHD193" s="369">
        <v>0.5</v>
      </c>
      <c r="OHE193" s="370" t="e">
        <f>10/OHA191</f>
        <v>#DIV/0!</v>
      </c>
      <c r="OHF193" s="371">
        <v>15.38</v>
      </c>
      <c r="OHG193" s="371" t="e">
        <f>OHD193*OHE193*OHF193</f>
        <v>#DIV/0!</v>
      </c>
      <c r="OHH193" s="367" t="s">
        <v>206</v>
      </c>
      <c r="OHI193" s="367"/>
      <c r="OHJ193" s="367"/>
      <c r="OHK193" s="368" t="s">
        <v>168</v>
      </c>
      <c r="OHL193" s="369">
        <v>0.5</v>
      </c>
      <c r="OHM193" s="370" t="e">
        <f>10/OHI191</f>
        <v>#DIV/0!</v>
      </c>
      <c r="OHN193" s="371">
        <v>15.38</v>
      </c>
      <c r="OHO193" s="371" t="e">
        <f>OHL193*OHM193*OHN193</f>
        <v>#DIV/0!</v>
      </c>
      <c r="OHP193" s="367" t="s">
        <v>206</v>
      </c>
      <c r="OHQ193" s="367"/>
      <c r="OHR193" s="367"/>
      <c r="OHS193" s="368" t="s">
        <v>168</v>
      </c>
      <c r="OHT193" s="369">
        <v>0.5</v>
      </c>
      <c r="OHU193" s="370" t="e">
        <f>10/OHQ191</f>
        <v>#DIV/0!</v>
      </c>
      <c r="OHV193" s="371">
        <v>15.38</v>
      </c>
      <c r="OHW193" s="371" t="e">
        <f>OHT193*OHU193*OHV193</f>
        <v>#DIV/0!</v>
      </c>
      <c r="OHX193" s="367" t="s">
        <v>206</v>
      </c>
      <c r="OHY193" s="367"/>
      <c r="OHZ193" s="367"/>
      <c r="OIA193" s="368" t="s">
        <v>168</v>
      </c>
      <c r="OIB193" s="369">
        <v>0.5</v>
      </c>
      <c r="OIC193" s="370" t="e">
        <f>10/OHY191</f>
        <v>#DIV/0!</v>
      </c>
      <c r="OID193" s="371">
        <v>15.38</v>
      </c>
      <c r="OIE193" s="371" t="e">
        <f>OIB193*OIC193*OID193</f>
        <v>#DIV/0!</v>
      </c>
      <c r="OIF193" s="367" t="s">
        <v>206</v>
      </c>
      <c r="OIG193" s="367"/>
      <c r="OIH193" s="367"/>
      <c r="OII193" s="368" t="s">
        <v>168</v>
      </c>
      <c r="OIJ193" s="369">
        <v>0.5</v>
      </c>
      <c r="OIK193" s="370" t="e">
        <f>10/OIG191</f>
        <v>#DIV/0!</v>
      </c>
      <c r="OIL193" s="371">
        <v>15.38</v>
      </c>
      <c r="OIM193" s="371" t="e">
        <f>OIJ193*OIK193*OIL193</f>
        <v>#DIV/0!</v>
      </c>
      <c r="OIN193" s="367" t="s">
        <v>206</v>
      </c>
      <c r="OIO193" s="367"/>
      <c r="OIP193" s="367"/>
      <c r="OIQ193" s="368" t="s">
        <v>168</v>
      </c>
      <c r="OIR193" s="369">
        <v>0.5</v>
      </c>
      <c r="OIS193" s="370" t="e">
        <f>10/OIO191</f>
        <v>#DIV/0!</v>
      </c>
      <c r="OIT193" s="371">
        <v>15.38</v>
      </c>
      <c r="OIU193" s="371" t="e">
        <f>OIR193*OIS193*OIT193</f>
        <v>#DIV/0!</v>
      </c>
      <c r="OIV193" s="367" t="s">
        <v>206</v>
      </c>
      <c r="OIW193" s="367"/>
      <c r="OIX193" s="367"/>
      <c r="OIY193" s="368" t="s">
        <v>168</v>
      </c>
      <c r="OIZ193" s="369">
        <v>0.5</v>
      </c>
      <c r="OJA193" s="370" t="e">
        <f>10/OIW191</f>
        <v>#DIV/0!</v>
      </c>
      <c r="OJB193" s="371">
        <v>15.38</v>
      </c>
      <c r="OJC193" s="371" t="e">
        <f>OIZ193*OJA193*OJB193</f>
        <v>#DIV/0!</v>
      </c>
      <c r="OJD193" s="367" t="s">
        <v>206</v>
      </c>
      <c r="OJE193" s="367"/>
      <c r="OJF193" s="367"/>
      <c r="OJG193" s="368" t="s">
        <v>168</v>
      </c>
      <c r="OJH193" s="369">
        <v>0.5</v>
      </c>
      <c r="OJI193" s="370" t="e">
        <f>10/OJE191</f>
        <v>#DIV/0!</v>
      </c>
      <c r="OJJ193" s="371">
        <v>15.38</v>
      </c>
      <c r="OJK193" s="371" t="e">
        <f>OJH193*OJI193*OJJ193</f>
        <v>#DIV/0!</v>
      </c>
      <c r="OJL193" s="367" t="s">
        <v>206</v>
      </c>
      <c r="OJM193" s="367"/>
      <c r="OJN193" s="367"/>
      <c r="OJO193" s="368" t="s">
        <v>168</v>
      </c>
      <c r="OJP193" s="369">
        <v>0.5</v>
      </c>
      <c r="OJQ193" s="370" t="e">
        <f>10/OJM191</f>
        <v>#DIV/0!</v>
      </c>
      <c r="OJR193" s="371">
        <v>15.38</v>
      </c>
      <c r="OJS193" s="371" t="e">
        <f>OJP193*OJQ193*OJR193</f>
        <v>#DIV/0!</v>
      </c>
      <c r="OJT193" s="367" t="s">
        <v>206</v>
      </c>
      <c r="OJU193" s="367"/>
      <c r="OJV193" s="367"/>
      <c r="OJW193" s="368" t="s">
        <v>168</v>
      </c>
      <c r="OJX193" s="369">
        <v>0.5</v>
      </c>
      <c r="OJY193" s="370" t="e">
        <f>10/OJU191</f>
        <v>#DIV/0!</v>
      </c>
      <c r="OJZ193" s="371">
        <v>15.38</v>
      </c>
      <c r="OKA193" s="371" t="e">
        <f>OJX193*OJY193*OJZ193</f>
        <v>#DIV/0!</v>
      </c>
      <c r="OKB193" s="367" t="s">
        <v>206</v>
      </c>
      <c r="OKC193" s="367"/>
      <c r="OKD193" s="367"/>
      <c r="OKE193" s="368" t="s">
        <v>168</v>
      </c>
      <c r="OKF193" s="369">
        <v>0.5</v>
      </c>
      <c r="OKG193" s="370" t="e">
        <f>10/OKC191</f>
        <v>#DIV/0!</v>
      </c>
      <c r="OKH193" s="371">
        <v>15.38</v>
      </c>
      <c r="OKI193" s="371" t="e">
        <f>OKF193*OKG193*OKH193</f>
        <v>#DIV/0!</v>
      </c>
      <c r="OKJ193" s="367" t="s">
        <v>206</v>
      </c>
      <c r="OKK193" s="367"/>
      <c r="OKL193" s="367"/>
      <c r="OKM193" s="368" t="s">
        <v>168</v>
      </c>
      <c r="OKN193" s="369">
        <v>0.5</v>
      </c>
      <c r="OKO193" s="370" t="e">
        <f>10/OKK191</f>
        <v>#DIV/0!</v>
      </c>
      <c r="OKP193" s="371">
        <v>15.38</v>
      </c>
      <c r="OKQ193" s="371" t="e">
        <f>OKN193*OKO193*OKP193</f>
        <v>#DIV/0!</v>
      </c>
      <c r="OKR193" s="367" t="s">
        <v>206</v>
      </c>
      <c r="OKS193" s="367"/>
      <c r="OKT193" s="367"/>
      <c r="OKU193" s="368" t="s">
        <v>168</v>
      </c>
      <c r="OKV193" s="369">
        <v>0.5</v>
      </c>
      <c r="OKW193" s="370" t="e">
        <f>10/OKS191</f>
        <v>#DIV/0!</v>
      </c>
      <c r="OKX193" s="371">
        <v>15.38</v>
      </c>
      <c r="OKY193" s="371" t="e">
        <f>OKV193*OKW193*OKX193</f>
        <v>#DIV/0!</v>
      </c>
      <c r="OKZ193" s="367" t="s">
        <v>206</v>
      </c>
      <c r="OLA193" s="367"/>
      <c r="OLB193" s="367"/>
      <c r="OLC193" s="368" t="s">
        <v>168</v>
      </c>
      <c r="OLD193" s="369">
        <v>0.5</v>
      </c>
      <c r="OLE193" s="370" t="e">
        <f>10/OLA191</f>
        <v>#DIV/0!</v>
      </c>
      <c r="OLF193" s="371">
        <v>15.38</v>
      </c>
      <c r="OLG193" s="371" t="e">
        <f>OLD193*OLE193*OLF193</f>
        <v>#DIV/0!</v>
      </c>
      <c r="OLH193" s="367" t="s">
        <v>206</v>
      </c>
      <c r="OLI193" s="367"/>
      <c r="OLJ193" s="367"/>
      <c r="OLK193" s="368" t="s">
        <v>168</v>
      </c>
      <c r="OLL193" s="369">
        <v>0.5</v>
      </c>
      <c r="OLM193" s="370" t="e">
        <f>10/OLI191</f>
        <v>#DIV/0!</v>
      </c>
      <c r="OLN193" s="371">
        <v>15.38</v>
      </c>
      <c r="OLO193" s="371" t="e">
        <f>OLL193*OLM193*OLN193</f>
        <v>#DIV/0!</v>
      </c>
      <c r="OLP193" s="367" t="s">
        <v>206</v>
      </c>
      <c r="OLQ193" s="367"/>
      <c r="OLR193" s="367"/>
      <c r="OLS193" s="368" t="s">
        <v>168</v>
      </c>
      <c r="OLT193" s="369">
        <v>0.5</v>
      </c>
      <c r="OLU193" s="370" t="e">
        <f>10/OLQ191</f>
        <v>#DIV/0!</v>
      </c>
      <c r="OLV193" s="371">
        <v>15.38</v>
      </c>
      <c r="OLW193" s="371" t="e">
        <f>OLT193*OLU193*OLV193</f>
        <v>#DIV/0!</v>
      </c>
      <c r="OLX193" s="367" t="s">
        <v>206</v>
      </c>
      <c r="OLY193" s="367"/>
      <c r="OLZ193" s="367"/>
      <c r="OMA193" s="368" t="s">
        <v>168</v>
      </c>
      <c r="OMB193" s="369">
        <v>0.5</v>
      </c>
      <c r="OMC193" s="370" t="e">
        <f>10/OLY191</f>
        <v>#DIV/0!</v>
      </c>
      <c r="OMD193" s="371">
        <v>15.38</v>
      </c>
      <c r="OME193" s="371" t="e">
        <f>OMB193*OMC193*OMD193</f>
        <v>#DIV/0!</v>
      </c>
      <c r="OMF193" s="367" t="s">
        <v>206</v>
      </c>
      <c r="OMG193" s="367"/>
      <c r="OMH193" s="367"/>
      <c r="OMI193" s="368" t="s">
        <v>168</v>
      </c>
      <c r="OMJ193" s="369">
        <v>0.5</v>
      </c>
      <c r="OMK193" s="370" t="e">
        <f>10/OMG191</f>
        <v>#DIV/0!</v>
      </c>
      <c r="OML193" s="371">
        <v>15.38</v>
      </c>
      <c r="OMM193" s="371" t="e">
        <f>OMJ193*OMK193*OML193</f>
        <v>#DIV/0!</v>
      </c>
      <c r="OMN193" s="367" t="s">
        <v>206</v>
      </c>
      <c r="OMO193" s="367"/>
      <c r="OMP193" s="367"/>
      <c r="OMQ193" s="368" t="s">
        <v>168</v>
      </c>
      <c r="OMR193" s="369">
        <v>0.5</v>
      </c>
      <c r="OMS193" s="370" t="e">
        <f>10/OMO191</f>
        <v>#DIV/0!</v>
      </c>
      <c r="OMT193" s="371">
        <v>15.38</v>
      </c>
      <c r="OMU193" s="371" t="e">
        <f>OMR193*OMS193*OMT193</f>
        <v>#DIV/0!</v>
      </c>
      <c r="OMV193" s="367" t="s">
        <v>206</v>
      </c>
      <c r="OMW193" s="367"/>
      <c r="OMX193" s="367"/>
      <c r="OMY193" s="368" t="s">
        <v>168</v>
      </c>
      <c r="OMZ193" s="369">
        <v>0.5</v>
      </c>
      <c r="ONA193" s="370" t="e">
        <f>10/OMW191</f>
        <v>#DIV/0!</v>
      </c>
      <c r="ONB193" s="371">
        <v>15.38</v>
      </c>
      <c r="ONC193" s="371" t="e">
        <f>OMZ193*ONA193*ONB193</f>
        <v>#DIV/0!</v>
      </c>
      <c r="OND193" s="367" t="s">
        <v>206</v>
      </c>
      <c r="ONE193" s="367"/>
      <c r="ONF193" s="367"/>
      <c r="ONG193" s="368" t="s">
        <v>168</v>
      </c>
      <c r="ONH193" s="369">
        <v>0.5</v>
      </c>
      <c r="ONI193" s="370" t="e">
        <f>10/ONE191</f>
        <v>#DIV/0!</v>
      </c>
      <c r="ONJ193" s="371">
        <v>15.38</v>
      </c>
      <c r="ONK193" s="371" t="e">
        <f>ONH193*ONI193*ONJ193</f>
        <v>#DIV/0!</v>
      </c>
      <c r="ONL193" s="367" t="s">
        <v>206</v>
      </c>
      <c r="ONM193" s="367"/>
      <c r="ONN193" s="367"/>
      <c r="ONO193" s="368" t="s">
        <v>168</v>
      </c>
      <c r="ONP193" s="369">
        <v>0.5</v>
      </c>
      <c r="ONQ193" s="370" t="e">
        <f>10/ONM191</f>
        <v>#DIV/0!</v>
      </c>
      <c r="ONR193" s="371">
        <v>15.38</v>
      </c>
      <c r="ONS193" s="371" t="e">
        <f>ONP193*ONQ193*ONR193</f>
        <v>#DIV/0!</v>
      </c>
      <c r="ONT193" s="367" t="s">
        <v>206</v>
      </c>
      <c r="ONU193" s="367"/>
      <c r="ONV193" s="367"/>
      <c r="ONW193" s="368" t="s">
        <v>168</v>
      </c>
      <c r="ONX193" s="369">
        <v>0.5</v>
      </c>
      <c r="ONY193" s="370" t="e">
        <f>10/ONU191</f>
        <v>#DIV/0!</v>
      </c>
      <c r="ONZ193" s="371">
        <v>15.38</v>
      </c>
      <c r="OOA193" s="371" t="e">
        <f>ONX193*ONY193*ONZ193</f>
        <v>#DIV/0!</v>
      </c>
      <c r="OOB193" s="367" t="s">
        <v>206</v>
      </c>
      <c r="OOC193" s="367"/>
      <c r="OOD193" s="367"/>
      <c r="OOE193" s="368" t="s">
        <v>168</v>
      </c>
      <c r="OOF193" s="369">
        <v>0.5</v>
      </c>
      <c r="OOG193" s="370" t="e">
        <f>10/OOC191</f>
        <v>#DIV/0!</v>
      </c>
      <c r="OOH193" s="371">
        <v>15.38</v>
      </c>
      <c r="OOI193" s="371" t="e">
        <f>OOF193*OOG193*OOH193</f>
        <v>#DIV/0!</v>
      </c>
      <c r="OOJ193" s="367" t="s">
        <v>206</v>
      </c>
      <c r="OOK193" s="367"/>
      <c r="OOL193" s="367"/>
      <c r="OOM193" s="368" t="s">
        <v>168</v>
      </c>
      <c r="OON193" s="369">
        <v>0.5</v>
      </c>
      <c r="OOO193" s="370" t="e">
        <f>10/OOK191</f>
        <v>#DIV/0!</v>
      </c>
      <c r="OOP193" s="371">
        <v>15.38</v>
      </c>
      <c r="OOQ193" s="371" t="e">
        <f>OON193*OOO193*OOP193</f>
        <v>#DIV/0!</v>
      </c>
      <c r="OOR193" s="367" t="s">
        <v>206</v>
      </c>
      <c r="OOS193" s="367"/>
      <c r="OOT193" s="367"/>
      <c r="OOU193" s="368" t="s">
        <v>168</v>
      </c>
      <c r="OOV193" s="369">
        <v>0.5</v>
      </c>
      <c r="OOW193" s="370" t="e">
        <f>10/OOS191</f>
        <v>#DIV/0!</v>
      </c>
      <c r="OOX193" s="371">
        <v>15.38</v>
      </c>
      <c r="OOY193" s="371" t="e">
        <f>OOV193*OOW193*OOX193</f>
        <v>#DIV/0!</v>
      </c>
      <c r="OOZ193" s="367" t="s">
        <v>206</v>
      </c>
      <c r="OPA193" s="367"/>
      <c r="OPB193" s="367"/>
      <c r="OPC193" s="368" t="s">
        <v>168</v>
      </c>
      <c r="OPD193" s="369">
        <v>0.5</v>
      </c>
      <c r="OPE193" s="370" t="e">
        <f>10/OPA191</f>
        <v>#DIV/0!</v>
      </c>
      <c r="OPF193" s="371">
        <v>15.38</v>
      </c>
      <c r="OPG193" s="371" t="e">
        <f>OPD193*OPE193*OPF193</f>
        <v>#DIV/0!</v>
      </c>
      <c r="OPH193" s="367" t="s">
        <v>206</v>
      </c>
      <c r="OPI193" s="367"/>
      <c r="OPJ193" s="367"/>
      <c r="OPK193" s="368" t="s">
        <v>168</v>
      </c>
      <c r="OPL193" s="369">
        <v>0.5</v>
      </c>
      <c r="OPM193" s="370" t="e">
        <f>10/OPI191</f>
        <v>#DIV/0!</v>
      </c>
      <c r="OPN193" s="371">
        <v>15.38</v>
      </c>
      <c r="OPO193" s="371" t="e">
        <f>OPL193*OPM193*OPN193</f>
        <v>#DIV/0!</v>
      </c>
      <c r="OPP193" s="367" t="s">
        <v>206</v>
      </c>
      <c r="OPQ193" s="367"/>
      <c r="OPR193" s="367"/>
      <c r="OPS193" s="368" t="s">
        <v>168</v>
      </c>
      <c r="OPT193" s="369">
        <v>0.5</v>
      </c>
      <c r="OPU193" s="370" t="e">
        <f>10/OPQ191</f>
        <v>#DIV/0!</v>
      </c>
      <c r="OPV193" s="371">
        <v>15.38</v>
      </c>
      <c r="OPW193" s="371" t="e">
        <f>OPT193*OPU193*OPV193</f>
        <v>#DIV/0!</v>
      </c>
      <c r="OPX193" s="367" t="s">
        <v>206</v>
      </c>
      <c r="OPY193" s="367"/>
      <c r="OPZ193" s="367"/>
      <c r="OQA193" s="368" t="s">
        <v>168</v>
      </c>
      <c r="OQB193" s="369">
        <v>0.5</v>
      </c>
      <c r="OQC193" s="370" t="e">
        <f>10/OPY191</f>
        <v>#DIV/0!</v>
      </c>
      <c r="OQD193" s="371">
        <v>15.38</v>
      </c>
      <c r="OQE193" s="371" t="e">
        <f>OQB193*OQC193*OQD193</f>
        <v>#DIV/0!</v>
      </c>
      <c r="OQF193" s="367" t="s">
        <v>206</v>
      </c>
      <c r="OQG193" s="367"/>
      <c r="OQH193" s="367"/>
      <c r="OQI193" s="368" t="s">
        <v>168</v>
      </c>
      <c r="OQJ193" s="369">
        <v>0.5</v>
      </c>
      <c r="OQK193" s="370" t="e">
        <f>10/OQG191</f>
        <v>#DIV/0!</v>
      </c>
      <c r="OQL193" s="371">
        <v>15.38</v>
      </c>
      <c r="OQM193" s="371" t="e">
        <f>OQJ193*OQK193*OQL193</f>
        <v>#DIV/0!</v>
      </c>
      <c r="OQN193" s="367" t="s">
        <v>206</v>
      </c>
      <c r="OQO193" s="367"/>
      <c r="OQP193" s="367"/>
      <c r="OQQ193" s="368" t="s">
        <v>168</v>
      </c>
      <c r="OQR193" s="369">
        <v>0.5</v>
      </c>
      <c r="OQS193" s="370" t="e">
        <f>10/OQO191</f>
        <v>#DIV/0!</v>
      </c>
      <c r="OQT193" s="371">
        <v>15.38</v>
      </c>
      <c r="OQU193" s="371" t="e">
        <f>OQR193*OQS193*OQT193</f>
        <v>#DIV/0!</v>
      </c>
      <c r="OQV193" s="367" t="s">
        <v>206</v>
      </c>
      <c r="OQW193" s="367"/>
      <c r="OQX193" s="367"/>
      <c r="OQY193" s="368" t="s">
        <v>168</v>
      </c>
      <c r="OQZ193" s="369">
        <v>0.5</v>
      </c>
      <c r="ORA193" s="370" t="e">
        <f>10/OQW191</f>
        <v>#DIV/0!</v>
      </c>
      <c r="ORB193" s="371">
        <v>15.38</v>
      </c>
      <c r="ORC193" s="371" t="e">
        <f>OQZ193*ORA193*ORB193</f>
        <v>#DIV/0!</v>
      </c>
      <c r="ORD193" s="367" t="s">
        <v>206</v>
      </c>
      <c r="ORE193" s="367"/>
      <c r="ORF193" s="367"/>
      <c r="ORG193" s="368" t="s">
        <v>168</v>
      </c>
      <c r="ORH193" s="369">
        <v>0.5</v>
      </c>
      <c r="ORI193" s="370" t="e">
        <f>10/ORE191</f>
        <v>#DIV/0!</v>
      </c>
      <c r="ORJ193" s="371">
        <v>15.38</v>
      </c>
      <c r="ORK193" s="371" t="e">
        <f>ORH193*ORI193*ORJ193</f>
        <v>#DIV/0!</v>
      </c>
      <c r="ORL193" s="367" t="s">
        <v>206</v>
      </c>
      <c r="ORM193" s="367"/>
      <c r="ORN193" s="367"/>
      <c r="ORO193" s="368" t="s">
        <v>168</v>
      </c>
      <c r="ORP193" s="369">
        <v>0.5</v>
      </c>
      <c r="ORQ193" s="370" t="e">
        <f>10/ORM191</f>
        <v>#DIV/0!</v>
      </c>
      <c r="ORR193" s="371">
        <v>15.38</v>
      </c>
      <c r="ORS193" s="371" t="e">
        <f>ORP193*ORQ193*ORR193</f>
        <v>#DIV/0!</v>
      </c>
      <c r="ORT193" s="367" t="s">
        <v>206</v>
      </c>
      <c r="ORU193" s="367"/>
      <c r="ORV193" s="367"/>
      <c r="ORW193" s="368" t="s">
        <v>168</v>
      </c>
      <c r="ORX193" s="369">
        <v>0.5</v>
      </c>
      <c r="ORY193" s="370" t="e">
        <f>10/ORU191</f>
        <v>#DIV/0!</v>
      </c>
      <c r="ORZ193" s="371">
        <v>15.38</v>
      </c>
      <c r="OSA193" s="371" t="e">
        <f>ORX193*ORY193*ORZ193</f>
        <v>#DIV/0!</v>
      </c>
      <c r="OSB193" s="367" t="s">
        <v>206</v>
      </c>
      <c r="OSC193" s="367"/>
      <c r="OSD193" s="367"/>
      <c r="OSE193" s="368" t="s">
        <v>168</v>
      </c>
      <c r="OSF193" s="369">
        <v>0.5</v>
      </c>
      <c r="OSG193" s="370" t="e">
        <f>10/OSC191</f>
        <v>#DIV/0!</v>
      </c>
      <c r="OSH193" s="371">
        <v>15.38</v>
      </c>
      <c r="OSI193" s="371" t="e">
        <f>OSF193*OSG193*OSH193</f>
        <v>#DIV/0!</v>
      </c>
      <c r="OSJ193" s="367" t="s">
        <v>206</v>
      </c>
      <c r="OSK193" s="367"/>
      <c r="OSL193" s="367"/>
      <c r="OSM193" s="368" t="s">
        <v>168</v>
      </c>
      <c r="OSN193" s="369">
        <v>0.5</v>
      </c>
      <c r="OSO193" s="370" t="e">
        <f>10/OSK191</f>
        <v>#DIV/0!</v>
      </c>
      <c r="OSP193" s="371">
        <v>15.38</v>
      </c>
      <c r="OSQ193" s="371" t="e">
        <f>OSN193*OSO193*OSP193</f>
        <v>#DIV/0!</v>
      </c>
      <c r="OSR193" s="367" t="s">
        <v>206</v>
      </c>
      <c r="OSS193" s="367"/>
      <c r="OST193" s="367"/>
      <c r="OSU193" s="368" t="s">
        <v>168</v>
      </c>
      <c r="OSV193" s="369">
        <v>0.5</v>
      </c>
      <c r="OSW193" s="370" t="e">
        <f>10/OSS191</f>
        <v>#DIV/0!</v>
      </c>
      <c r="OSX193" s="371">
        <v>15.38</v>
      </c>
      <c r="OSY193" s="371" t="e">
        <f>OSV193*OSW193*OSX193</f>
        <v>#DIV/0!</v>
      </c>
      <c r="OSZ193" s="367" t="s">
        <v>206</v>
      </c>
      <c r="OTA193" s="367"/>
      <c r="OTB193" s="367"/>
      <c r="OTC193" s="368" t="s">
        <v>168</v>
      </c>
      <c r="OTD193" s="369">
        <v>0.5</v>
      </c>
      <c r="OTE193" s="370" t="e">
        <f>10/OTA191</f>
        <v>#DIV/0!</v>
      </c>
      <c r="OTF193" s="371">
        <v>15.38</v>
      </c>
      <c r="OTG193" s="371" t="e">
        <f>OTD193*OTE193*OTF193</f>
        <v>#DIV/0!</v>
      </c>
      <c r="OTH193" s="367" t="s">
        <v>206</v>
      </c>
      <c r="OTI193" s="367"/>
      <c r="OTJ193" s="367"/>
      <c r="OTK193" s="368" t="s">
        <v>168</v>
      </c>
      <c r="OTL193" s="369">
        <v>0.5</v>
      </c>
      <c r="OTM193" s="370" t="e">
        <f>10/OTI191</f>
        <v>#DIV/0!</v>
      </c>
      <c r="OTN193" s="371">
        <v>15.38</v>
      </c>
      <c r="OTO193" s="371" t="e">
        <f>OTL193*OTM193*OTN193</f>
        <v>#DIV/0!</v>
      </c>
      <c r="OTP193" s="367" t="s">
        <v>206</v>
      </c>
      <c r="OTQ193" s="367"/>
      <c r="OTR193" s="367"/>
      <c r="OTS193" s="368" t="s">
        <v>168</v>
      </c>
      <c r="OTT193" s="369">
        <v>0.5</v>
      </c>
      <c r="OTU193" s="370" t="e">
        <f>10/OTQ191</f>
        <v>#DIV/0!</v>
      </c>
      <c r="OTV193" s="371">
        <v>15.38</v>
      </c>
      <c r="OTW193" s="371" t="e">
        <f>OTT193*OTU193*OTV193</f>
        <v>#DIV/0!</v>
      </c>
      <c r="OTX193" s="367" t="s">
        <v>206</v>
      </c>
      <c r="OTY193" s="367"/>
      <c r="OTZ193" s="367"/>
      <c r="OUA193" s="368" t="s">
        <v>168</v>
      </c>
      <c r="OUB193" s="369">
        <v>0.5</v>
      </c>
      <c r="OUC193" s="370" t="e">
        <f>10/OTY191</f>
        <v>#DIV/0!</v>
      </c>
      <c r="OUD193" s="371">
        <v>15.38</v>
      </c>
      <c r="OUE193" s="371" t="e">
        <f>OUB193*OUC193*OUD193</f>
        <v>#DIV/0!</v>
      </c>
      <c r="OUF193" s="367" t="s">
        <v>206</v>
      </c>
      <c r="OUG193" s="367"/>
      <c r="OUH193" s="367"/>
      <c r="OUI193" s="368" t="s">
        <v>168</v>
      </c>
      <c r="OUJ193" s="369">
        <v>0.5</v>
      </c>
      <c r="OUK193" s="370" t="e">
        <f>10/OUG191</f>
        <v>#DIV/0!</v>
      </c>
      <c r="OUL193" s="371">
        <v>15.38</v>
      </c>
      <c r="OUM193" s="371" t="e">
        <f>OUJ193*OUK193*OUL193</f>
        <v>#DIV/0!</v>
      </c>
      <c r="OUN193" s="367" t="s">
        <v>206</v>
      </c>
      <c r="OUO193" s="367"/>
      <c r="OUP193" s="367"/>
      <c r="OUQ193" s="368" t="s">
        <v>168</v>
      </c>
      <c r="OUR193" s="369">
        <v>0.5</v>
      </c>
      <c r="OUS193" s="370" t="e">
        <f>10/OUO191</f>
        <v>#DIV/0!</v>
      </c>
      <c r="OUT193" s="371">
        <v>15.38</v>
      </c>
      <c r="OUU193" s="371" t="e">
        <f>OUR193*OUS193*OUT193</f>
        <v>#DIV/0!</v>
      </c>
      <c r="OUV193" s="367" t="s">
        <v>206</v>
      </c>
      <c r="OUW193" s="367"/>
      <c r="OUX193" s="367"/>
      <c r="OUY193" s="368" t="s">
        <v>168</v>
      </c>
      <c r="OUZ193" s="369">
        <v>0.5</v>
      </c>
      <c r="OVA193" s="370" t="e">
        <f>10/OUW191</f>
        <v>#DIV/0!</v>
      </c>
      <c r="OVB193" s="371">
        <v>15.38</v>
      </c>
      <c r="OVC193" s="371" t="e">
        <f>OUZ193*OVA193*OVB193</f>
        <v>#DIV/0!</v>
      </c>
      <c r="OVD193" s="367" t="s">
        <v>206</v>
      </c>
      <c r="OVE193" s="367"/>
      <c r="OVF193" s="367"/>
      <c r="OVG193" s="368" t="s">
        <v>168</v>
      </c>
      <c r="OVH193" s="369">
        <v>0.5</v>
      </c>
      <c r="OVI193" s="370" t="e">
        <f>10/OVE191</f>
        <v>#DIV/0!</v>
      </c>
      <c r="OVJ193" s="371">
        <v>15.38</v>
      </c>
      <c r="OVK193" s="371" t="e">
        <f>OVH193*OVI193*OVJ193</f>
        <v>#DIV/0!</v>
      </c>
      <c r="OVL193" s="367" t="s">
        <v>206</v>
      </c>
      <c r="OVM193" s="367"/>
      <c r="OVN193" s="367"/>
      <c r="OVO193" s="368" t="s">
        <v>168</v>
      </c>
      <c r="OVP193" s="369">
        <v>0.5</v>
      </c>
      <c r="OVQ193" s="370" t="e">
        <f>10/OVM191</f>
        <v>#DIV/0!</v>
      </c>
      <c r="OVR193" s="371">
        <v>15.38</v>
      </c>
      <c r="OVS193" s="371" t="e">
        <f>OVP193*OVQ193*OVR193</f>
        <v>#DIV/0!</v>
      </c>
      <c r="OVT193" s="367" t="s">
        <v>206</v>
      </c>
      <c r="OVU193" s="367"/>
      <c r="OVV193" s="367"/>
      <c r="OVW193" s="368" t="s">
        <v>168</v>
      </c>
      <c r="OVX193" s="369">
        <v>0.5</v>
      </c>
      <c r="OVY193" s="370" t="e">
        <f>10/OVU191</f>
        <v>#DIV/0!</v>
      </c>
      <c r="OVZ193" s="371">
        <v>15.38</v>
      </c>
      <c r="OWA193" s="371" t="e">
        <f>OVX193*OVY193*OVZ193</f>
        <v>#DIV/0!</v>
      </c>
      <c r="OWB193" s="367" t="s">
        <v>206</v>
      </c>
      <c r="OWC193" s="367"/>
      <c r="OWD193" s="367"/>
      <c r="OWE193" s="368" t="s">
        <v>168</v>
      </c>
      <c r="OWF193" s="369">
        <v>0.5</v>
      </c>
      <c r="OWG193" s="370" t="e">
        <f>10/OWC191</f>
        <v>#DIV/0!</v>
      </c>
      <c r="OWH193" s="371">
        <v>15.38</v>
      </c>
      <c r="OWI193" s="371" t="e">
        <f>OWF193*OWG193*OWH193</f>
        <v>#DIV/0!</v>
      </c>
      <c r="OWJ193" s="367" t="s">
        <v>206</v>
      </c>
      <c r="OWK193" s="367"/>
      <c r="OWL193" s="367"/>
      <c r="OWM193" s="368" t="s">
        <v>168</v>
      </c>
      <c r="OWN193" s="369">
        <v>0.5</v>
      </c>
      <c r="OWO193" s="370" t="e">
        <f>10/OWK191</f>
        <v>#DIV/0!</v>
      </c>
      <c r="OWP193" s="371">
        <v>15.38</v>
      </c>
      <c r="OWQ193" s="371" t="e">
        <f>OWN193*OWO193*OWP193</f>
        <v>#DIV/0!</v>
      </c>
      <c r="OWR193" s="367" t="s">
        <v>206</v>
      </c>
      <c r="OWS193" s="367"/>
      <c r="OWT193" s="367"/>
      <c r="OWU193" s="368" t="s">
        <v>168</v>
      </c>
      <c r="OWV193" s="369">
        <v>0.5</v>
      </c>
      <c r="OWW193" s="370" t="e">
        <f>10/OWS191</f>
        <v>#DIV/0!</v>
      </c>
      <c r="OWX193" s="371">
        <v>15.38</v>
      </c>
      <c r="OWY193" s="371" t="e">
        <f>OWV193*OWW193*OWX193</f>
        <v>#DIV/0!</v>
      </c>
      <c r="OWZ193" s="367" t="s">
        <v>206</v>
      </c>
      <c r="OXA193" s="367"/>
      <c r="OXB193" s="367"/>
      <c r="OXC193" s="368" t="s">
        <v>168</v>
      </c>
      <c r="OXD193" s="369">
        <v>0.5</v>
      </c>
      <c r="OXE193" s="370" t="e">
        <f>10/OXA191</f>
        <v>#DIV/0!</v>
      </c>
      <c r="OXF193" s="371">
        <v>15.38</v>
      </c>
      <c r="OXG193" s="371" t="e">
        <f>OXD193*OXE193*OXF193</f>
        <v>#DIV/0!</v>
      </c>
      <c r="OXH193" s="367" t="s">
        <v>206</v>
      </c>
      <c r="OXI193" s="367"/>
      <c r="OXJ193" s="367"/>
      <c r="OXK193" s="368" t="s">
        <v>168</v>
      </c>
      <c r="OXL193" s="369">
        <v>0.5</v>
      </c>
      <c r="OXM193" s="370" t="e">
        <f>10/OXI191</f>
        <v>#DIV/0!</v>
      </c>
      <c r="OXN193" s="371">
        <v>15.38</v>
      </c>
      <c r="OXO193" s="371" t="e">
        <f>OXL193*OXM193*OXN193</f>
        <v>#DIV/0!</v>
      </c>
      <c r="OXP193" s="367" t="s">
        <v>206</v>
      </c>
      <c r="OXQ193" s="367"/>
      <c r="OXR193" s="367"/>
      <c r="OXS193" s="368" t="s">
        <v>168</v>
      </c>
      <c r="OXT193" s="369">
        <v>0.5</v>
      </c>
      <c r="OXU193" s="370" t="e">
        <f>10/OXQ191</f>
        <v>#DIV/0!</v>
      </c>
      <c r="OXV193" s="371">
        <v>15.38</v>
      </c>
      <c r="OXW193" s="371" t="e">
        <f>OXT193*OXU193*OXV193</f>
        <v>#DIV/0!</v>
      </c>
      <c r="OXX193" s="367" t="s">
        <v>206</v>
      </c>
      <c r="OXY193" s="367"/>
      <c r="OXZ193" s="367"/>
      <c r="OYA193" s="368" t="s">
        <v>168</v>
      </c>
      <c r="OYB193" s="369">
        <v>0.5</v>
      </c>
      <c r="OYC193" s="370" t="e">
        <f>10/OXY191</f>
        <v>#DIV/0!</v>
      </c>
      <c r="OYD193" s="371">
        <v>15.38</v>
      </c>
      <c r="OYE193" s="371" t="e">
        <f>OYB193*OYC193*OYD193</f>
        <v>#DIV/0!</v>
      </c>
      <c r="OYF193" s="367" t="s">
        <v>206</v>
      </c>
      <c r="OYG193" s="367"/>
      <c r="OYH193" s="367"/>
      <c r="OYI193" s="368" t="s">
        <v>168</v>
      </c>
      <c r="OYJ193" s="369">
        <v>0.5</v>
      </c>
      <c r="OYK193" s="370" t="e">
        <f>10/OYG191</f>
        <v>#DIV/0!</v>
      </c>
      <c r="OYL193" s="371">
        <v>15.38</v>
      </c>
      <c r="OYM193" s="371" t="e">
        <f>OYJ193*OYK193*OYL193</f>
        <v>#DIV/0!</v>
      </c>
      <c r="OYN193" s="367" t="s">
        <v>206</v>
      </c>
      <c r="OYO193" s="367"/>
      <c r="OYP193" s="367"/>
      <c r="OYQ193" s="368" t="s">
        <v>168</v>
      </c>
      <c r="OYR193" s="369">
        <v>0.5</v>
      </c>
      <c r="OYS193" s="370" t="e">
        <f>10/OYO191</f>
        <v>#DIV/0!</v>
      </c>
      <c r="OYT193" s="371">
        <v>15.38</v>
      </c>
      <c r="OYU193" s="371" t="e">
        <f>OYR193*OYS193*OYT193</f>
        <v>#DIV/0!</v>
      </c>
      <c r="OYV193" s="367" t="s">
        <v>206</v>
      </c>
      <c r="OYW193" s="367"/>
      <c r="OYX193" s="367"/>
      <c r="OYY193" s="368" t="s">
        <v>168</v>
      </c>
      <c r="OYZ193" s="369">
        <v>0.5</v>
      </c>
      <c r="OZA193" s="370" t="e">
        <f>10/OYW191</f>
        <v>#DIV/0!</v>
      </c>
      <c r="OZB193" s="371">
        <v>15.38</v>
      </c>
      <c r="OZC193" s="371" t="e">
        <f>OYZ193*OZA193*OZB193</f>
        <v>#DIV/0!</v>
      </c>
      <c r="OZD193" s="367" t="s">
        <v>206</v>
      </c>
      <c r="OZE193" s="367"/>
      <c r="OZF193" s="367"/>
      <c r="OZG193" s="368" t="s">
        <v>168</v>
      </c>
      <c r="OZH193" s="369">
        <v>0.5</v>
      </c>
      <c r="OZI193" s="370" t="e">
        <f>10/OZE191</f>
        <v>#DIV/0!</v>
      </c>
      <c r="OZJ193" s="371">
        <v>15.38</v>
      </c>
      <c r="OZK193" s="371" t="e">
        <f>OZH193*OZI193*OZJ193</f>
        <v>#DIV/0!</v>
      </c>
      <c r="OZL193" s="367" t="s">
        <v>206</v>
      </c>
      <c r="OZM193" s="367"/>
      <c r="OZN193" s="367"/>
      <c r="OZO193" s="368" t="s">
        <v>168</v>
      </c>
      <c r="OZP193" s="369">
        <v>0.5</v>
      </c>
      <c r="OZQ193" s="370" t="e">
        <f>10/OZM191</f>
        <v>#DIV/0!</v>
      </c>
      <c r="OZR193" s="371">
        <v>15.38</v>
      </c>
      <c r="OZS193" s="371" t="e">
        <f>OZP193*OZQ193*OZR193</f>
        <v>#DIV/0!</v>
      </c>
      <c r="OZT193" s="367" t="s">
        <v>206</v>
      </c>
      <c r="OZU193" s="367"/>
      <c r="OZV193" s="367"/>
      <c r="OZW193" s="368" t="s">
        <v>168</v>
      </c>
      <c r="OZX193" s="369">
        <v>0.5</v>
      </c>
      <c r="OZY193" s="370" t="e">
        <f>10/OZU191</f>
        <v>#DIV/0!</v>
      </c>
      <c r="OZZ193" s="371">
        <v>15.38</v>
      </c>
      <c r="PAA193" s="371" t="e">
        <f>OZX193*OZY193*OZZ193</f>
        <v>#DIV/0!</v>
      </c>
      <c r="PAB193" s="367" t="s">
        <v>206</v>
      </c>
      <c r="PAC193" s="367"/>
      <c r="PAD193" s="367"/>
      <c r="PAE193" s="368" t="s">
        <v>168</v>
      </c>
      <c r="PAF193" s="369">
        <v>0.5</v>
      </c>
      <c r="PAG193" s="370" t="e">
        <f>10/PAC191</f>
        <v>#DIV/0!</v>
      </c>
      <c r="PAH193" s="371">
        <v>15.38</v>
      </c>
      <c r="PAI193" s="371" t="e">
        <f>PAF193*PAG193*PAH193</f>
        <v>#DIV/0!</v>
      </c>
      <c r="PAJ193" s="367" t="s">
        <v>206</v>
      </c>
      <c r="PAK193" s="367"/>
      <c r="PAL193" s="367"/>
      <c r="PAM193" s="368" t="s">
        <v>168</v>
      </c>
      <c r="PAN193" s="369">
        <v>0.5</v>
      </c>
      <c r="PAO193" s="370" t="e">
        <f>10/PAK191</f>
        <v>#DIV/0!</v>
      </c>
      <c r="PAP193" s="371">
        <v>15.38</v>
      </c>
      <c r="PAQ193" s="371" t="e">
        <f>PAN193*PAO193*PAP193</f>
        <v>#DIV/0!</v>
      </c>
      <c r="PAR193" s="367" t="s">
        <v>206</v>
      </c>
      <c r="PAS193" s="367"/>
      <c r="PAT193" s="367"/>
      <c r="PAU193" s="368" t="s">
        <v>168</v>
      </c>
      <c r="PAV193" s="369">
        <v>0.5</v>
      </c>
      <c r="PAW193" s="370" t="e">
        <f>10/PAS191</f>
        <v>#DIV/0!</v>
      </c>
      <c r="PAX193" s="371">
        <v>15.38</v>
      </c>
      <c r="PAY193" s="371" t="e">
        <f>PAV193*PAW193*PAX193</f>
        <v>#DIV/0!</v>
      </c>
      <c r="PAZ193" s="367" t="s">
        <v>206</v>
      </c>
      <c r="PBA193" s="367"/>
      <c r="PBB193" s="367"/>
      <c r="PBC193" s="368" t="s">
        <v>168</v>
      </c>
      <c r="PBD193" s="369">
        <v>0.5</v>
      </c>
      <c r="PBE193" s="370" t="e">
        <f>10/PBA191</f>
        <v>#DIV/0!</v>
      </c>
      <c r="PBF193" s="371">
        <v>15.38</v>
      </c>
      <c r="PBG193" s="371" t="e">
        <f>PBD193*PBE193*PBF193</f>
        <v>#DIV/0!</v>
      </c>
      <c r="PBH193" s="367" t="s">
        <v>206</v>
      </c>
      <c r="PBI193" s="367"/>
      <c r="PBJ193" s="367"/>
      <c r="PBK193" s="368" t="s">
        <v>168</v>
      </c>
      <c r="PBL193" s="369">
        <v>0.5</v>
      </c>
      <c r="PBM193" s="370" t="e">
        <f>10/PBI191</f>
        <v>#DIV/0!</v>
      </c>
      <c r="PBN193" s="371">
        <v>15.38</v>
      </c>
      <c r="PBO193" s="371" t="e">
        <f>PBL193*PBM193*PBN193</f>
        <v>#DIV/0!</v>
      </c>
      <c r="PBP193" s="367" t="s">
        <v>206</v>
      </c>
      <c r="PBQ193" s="367"/>
      <c r="PBR193" s="367"/>
      <c r="PBS193" s="368" t="s">
        <v>168</v>
      </c>
      <c r="PBT193" s="369">
        <v>0.5</v>
      </c>
      <c r="PBU193" s="370" t="e">
        <f>10/PBQ191</f>
        <v>#DIV/0!</v>
      </c>
      <c r="PBV193" s="371">
        <v>15.38</v>
      </c>
      <c r="PBW193" s="371" t="e">
        <f>PBT193*PBU193*PBV193</f>
        <v>#DIV/0!</v>
      </c>
      <c r="PBX193" s="367" t="s">
        <v>206</v>
      </c>
      <c r="PBY193" s="367"/>
      <c r="PBZ193" s="367"/>
      <c r="PCA193" s="368" t="s">
        <v>168</v>
      </c>
      <c r="PCB193" s="369">
        <v>0.5</v>
      </c>
      <c r="PCC193" s="370" t="e">
        <f>10/PBY191</f>
        <v>#DIV/0!</v>
      </c>
      <c r="PCD193" s="371">
        <v>15.38</v>
      </c>
      <c r="PCE193" s="371" t="e">
        <f>PCB193*PCC193*PCD193</f>
        <v>#DIV/0!</v>
      </c>
      <c r="PCF193" s="367" t="s">
        <v>206</v>
      </c>
      <c r="PCG193" s="367"/>
      <c r="PCH193" s="367"/>
      <c r="PCI193" s="368" t="s">
        <v>168</v>
      </c>
      <c r="PCJ193" s="369">
        <v>0.5</v>
      </c>
      <c r="PCK193" s="370" t="e">
        <f>10/PCG191</f>
        <v>#DIV/0!</v>
      </c>
      <c r="PCL193" s="371">
        <v>15.38</v>
      </c>
      <c r="PCM193" s="371" t="e">
        <f>PCJ193*PCK193*PCL193</f>
        <v>#DIV/0!</v>
      </c>
      <c r="PCN193" s="367" t="s">
        <v>206</v>
      </c>
      <c r="PCO193" s="367"/>
      <c r="PCP193" s="367"/>
      <c r="PCQ193" s="368" t="s">
        <v>168</v>
      </c>
      <c r="PCR193" s="369">
        <v>0.5</v>
      </c>
      <c r="PCS193" s="370" t="e">
        <f>10/PCO191</f>
        <v>#DIV/0!</v>
      </c>
      <c r="PCT193" s="371">
        <v>15.38</v>
      </c>
      <c r="PCU193" s="371" t="e">
        <f>PCR193*PCS193*PCT193</f>
        <v>#DIV/0!</v>
      </c>
      <c r="PCV193" s="367" t="s">
        <v>206</v>
      </c>
      <c r="PCW193" s="367"/>
      <c r="PCX193" s="367"/>
      <c r="PCY193" s="368" t="s">
        <v>168</v>
      </c>
      <c r="PCZ193" s="369">
        <v>0.5</v>
      </c>
      <c r="PDA193" s="370" t="e">
        <f>10/PCW191</f>
        <v>#DIV/0!</v>
      </c>
      <c r="PDB193" s="371">
        <v>15.38</v>
      </c>
      <c r="PDC193" s="371" t="e">
        <f>PCZ193*PDA193*PDB193</f>
        <v>#DIV/0!</v>
      </c>
      <c r="PDD193" s="367" t="s">
        <v>206</v>
      </c>
      <c r="PDE193" s="367"/>
      <c r="PDF193" s="367"/>
      <c r="PDG193" s="368" t="s">
        <v>168</v>
      </c>
      <c r="PDH193" s="369">
        <v>0.5</v>
      </c>
      <c r="PDI193" s="370" t="e">
        <f>10/PDE191</f>
        <v>#DIV/0!</v>
      </c>
      <c r="PDJ193" s="371">
        <v>15.38</v>
      </c>
      <c r="PDK193" s="371" t="e">
        <f>PDH193*PDI193*PDJ193</f>
        <v>#DIV/0!</v>
      </c>
      <c r="PDL193" s="367" t="s">
        <v>206</v>
      </c>
      <c r="PDM193" s="367"/>
      <c r="PDN193" s="367"/>
      <c r="PDO193" s="368" t="s">
        <v>168</v>
      </c>
      <c r="PDP193" s="369">
        <v>0.5</v>
      </c>
      <c r="PDQ193" s="370" t="e">
        <f>10/PDM191</f>
        <v>#DIV/0!</v>
      </c>
      <c r="PDR193" s="371">
        <v>15.38</v>
      </c>
      <c r="PDS193" s="371" t="e">
        <f>PDP193*PDQ193*PDR193</f>
        <v>#DIV/0!</v>
      </c>
      <c r="PDT193" s="367" t="s">
        <v>206</v>
      </c>
      <c r="PDU193" s="367"/>
      <c r="PDV193" s="367"/>
      <c r="PDW193" s="368" t="s">
        <v>168</v>
      </c>
      <c r="PDX193" s="369">
        <v>0.5</v>
      </c>
      <c r="PDY193" s="370" t="e">
        <f>10/PDU191</f>
        <v>#DIV/0!</v>
      </c>
      <c r="PDZ193" s="371">
        <v>15.38</v>
      </c>
      <c r="PEA193" s="371" t="e">
        <f>PDX193*PDY193*PDZ193</f>
        <v>#DIV/0!</v>
      </c>
      <c r="PEB193" s="367" t="s">
        <v>206</v>
      </c>
      <c r="PEC193" s="367"/>
      <c r="PED193" s="367"/>
      <c r="PEE193" s="368" t="s">
        <v>168</v>
      </c>
      <c r="PEF193" s="369">
        <v>0.5</v>
      </c>
      <c r="PEG193" s="370" t="e">
        <f>10/PEC191</f>
        <v>#DIV/0!</v>
      </c>
      <c r="PEH193" s="371">
        <v>15.38</v>
      </c>
      <c r="PEI193" s="371" t="e">
        <f>PEF193*PEG193*PEH193</f>
        <v>#DIV/0!</v>
      </c>
      <c r="PEJ193" s="367" t="s">
        <v>206</v>
      </c>
      <c r="PEK193" s="367"/>
      <c r="PEL193" s="367"/>
      <c r="PEM193" s="368" t="s">
        <v>168</v>
      </c>
      <c r="PEN193" s="369">
        <v>0.5</v>
      </c>
      <c r="PEO193" s="370" t="e">
        <f>10/PEK191</f>
        <v>#DIV/0!</v>
      </c>
      <c r="PEP193" s="371">
        <v>15.38</v>
      </c>
      <c r="PEQ193" s="371" t="e">
        <f>PEN193*PEO193*PEP193</f>
        <v>#DIV/0!</v>
      </c>
      <c r="PER193" s="367" t="s">
        <v>206</v>
      </c>
      <c r="PES193" s="367"/>
      <c r="PET193" s="367"/>
      <c r="PEU193" s="368" t="s">
        <v>168</v>
      </c>
      <c r="PEV193" s="369">
        <v>0.5</v>
      </c>
      <c r="PEW193" s="370" t="e">
        <f>10/PES191</f>
        <v>#DIV/0!</v>
      </c>
      <c r="PEX193" s="371">
        <v>15.38</v>
      </c>
      <c r="PEY193" s="371" t="e">
        <f>PEV193*PEW193*PEX193</f>
        <v>#DIV/0!</v>
      </c>
      <c r="PEZ193" s="367" t="s">
        <v>206</v>
      </c>
      <c r="PFA193" s="367"/>
      <c r="PFB193" s="367"/>
      <c r="PFC193" s="368" t="s">
        <v>168</v>
      </c>
      <c r="PFD193" s="369">
        <v>0.5</v>
      </c>
      <c r="PFE193" s="370" t="e">
        <f>10/PFA191</f>
        <v>#DIV/0!</v>
      </c>
      <c r="PFF193" s="371">
        <v>15.38</v>
      </c>
      <c r="PFG193" s="371" t="e">
        <f>PFD193*PFE193*PFF193</f>
        <v>#DIV/0!</v>
      </c>
      <c r="PFH193" s="367" t="s">
        <v>206</v>
      </c>
      <c r="PFI193" s="367"/>
      <c r="PFJ193" s="367"/>
      <c r="PFK193" s="368" t="s">
        <v>168</v>
      </c>
      <c r="PFL193" s="369">
        <v>0.5</v>
      </c>
      <c r="PFM193" s="370" t="e">
        <f>10/PFI191</f>
        <v>#DIV/0!</v>
      </c>
      <c r="PFN193" s="371">
        <v>15.38</v>
      </c>
      <c r="PFO193" s="371" t="e">
        <f>PFL193*PFM193*PFN193</f>
        <v>#DIV/0!</v>
      </c>
      <c r="PFP193" s="367" t="s">
        <v>206</v>
      </c>
      <c r="PFQ193" s="367"/>
      <c r="PFR193" s="367"/>
      <c r="PFS193" s="368" t="s">
        <v>168</v>
      </c>
      <c r="PFT193" s="369">
        <v>0.5</v>
      </c>
      <c r="PFU193" s="370" t="e">
        <f>10/PFQ191</f>
        <v>#DIV/0!</v>
      </c>
      <c r="PFV193" s="371">
        <v>15.38</v>
      </c>
      <c r="PFW193" s="371" t="e">
        <f>PFT193*PFU193*PFV193</f>
        <v>#DIV/0!</v>
      </c>
      <c r="PFX193" s="367" t="s">
        <v>206</v>
      </c>
      <c r="PFY193" s="367"/>
      <c r="PFZ193" s="367"/>
      <c r="PGA193" s="368" t="s">
        <v>168</v>
      </c>
      <c r="PGB193" s="369">
        <v>0.5</v>
      </c>
      <c r="PGC193" s="370" t="e">
        <f>10/PFY191</f>
        <v>#DIV/0!</v>
      </c>
      <c r="PGD193" s="371">
        <v>15.38</v>
      </c>
      <c r="PGE193" s="371" t="e">
        <f>PGB193*PGC193*PGD193</f>
        <v>#DIV/0!</v>
      </c>
      <c r="PGF193" s="367" t="s">
        <v>206</v>
      </c>
      <c r="PGG193" s="367"/>
      <c r="PGH193" s="367"/>
      <c r="PGI193" s="368" t="s">
        <v>168</v>
      </c>
      <c r="PGJ193" s="369">
        <v>0.5</v>
      </c>
      <c r="PGK193" s="370" t="e">
        <f>10/PGG191</f>
        <v>#DIV/0!</v>
      </c>
      <c r="PGL193" s="371">
        <v>15.38</v>
      </c>
      <c r="PGM193" s="371" t="e">
        <f>PGJ193*PGK193*PGL193</f>
        <v>#DIV/0!</v>
      </c>
      <c r="PGN193" s="367" t="s">
        <v>206</v>
      </c>
      <c r="PGO193" s="367"/>
      <c r="PGP193" s="367"/>
      <c r="PGQ193" s="368" t="s">
        <v>168</v>
      </c>
      <c r="PGR193" s="369">
        <v>0.5</v>
      </c>
      <c r="PGS193" s="370" t="e">
        <f>10/PGO191</f>
        <v>#DIV/0!</v>
      </c>
      <c r="PGT193" s="371">
        <v>15.38</v>
      </c>
      <c r="PGU193" s="371" t="e">
        <f>PGR193*PGS193*PGT193</f>
        <v>#DIV/0!</v>
      </c>
      <c r="PGV193" s="367" t="s">
        <v>206</v>
      </c>
      <c r="PGW193" s="367"/>
      <c r="PGX193" s="367"/>
      <c r="PGY193" s="368" t="s">
        <v>168</v>
      </c>
      <c r="PGZ193" s="369">
        <v>0.5</v>
      </c>
      <c r="PHA193" s="370" t="e">
        <f>10/PGW191</f>
        <v>#DIV/0!</v>
      </c>
      <c r="PHB193" s="371">
        <v>15.38</v>
      </c>
      <c r="PHC193" s="371" t="e">
        <f>PGZ193*PHA193*PHB193</f>
        <v>#DIV/0!</v>
      </c>
      <c r="PHD193" s="367" t="s">
        <v>206</v>
      </c>
      <c r="PHE193" s="367"/>
      <c r="PHF193" s="367"/>
      <c r="PHG193" s="368" t="s">
        <v>168</v>
      </c>
      <c r="PHH193" s="369">
        <v>0.5</v>
      </c>
      <c r="PHI193" s="370" t="e">
        <f>10/PHE191</f>
        <v>#DIV/0!</v>
      </c>
      <c r="PHJ193" s="371">
        <v>15.38</v>
      </c>
      <c r="PHK193" s="371" t="e">
        <f>PHH193*PHI193*PHJ193</f>
        <v>#DIV/0!</v>
      </c>
      <c r="PHL193" s="367" t="s">
        <v>206</v>
      </c>
      <c r="PHM193" s="367"/>
      <c r="PHN193" s="367"/>
      <c r="PHO193" s="368" t="s">
        <v>168</v>
      </c>
      <c r="PHP193" s="369">
        <v>0.5</v>
      </c>
      <c r="PHQ193" s="370" t="e">
        <f>10/PHM191</f>
        <v>#DIV/0!</v>
      </c>
      <c r="PHR193" s="371">
        <v>15.38</v>
      </c>
      <c r="PHS193" s="371" t="e">
        <f>PHP193*PHQ193*PHR193</f>
        <v>#DIV/0!</v>
      </c>
      <c r="PHT193" s="367" t="s">
        <v>206</v>
      </c>
      <c r="PHU193" s="367"/>
      <c r="PHV193" s="367"/>
      <c r="PHW193" s="368" t="s">
        <v>168</v>
      </c>
      <c r="PHX193" s="369">
        <v>0.5</v>
      </c>
      <c r="PHY193" s="370" t="e">
        <f>10/PHU191</f>
        <v>#DIV/0!</v>
      </c>
      <c r="PHZ193" s="371">
        <v>15.38</v>
      </c>
      <c r="PIA193" s="371" t="e">
        <f>PHX193*PHY193*PHZ193</f>
        <v>#DIV/0!</v>
      </c>
      <c r="PIB193" s="367" t="s">
        <v>206</v>
      </c>
      <c r="PIC193" s="367"/>
      <c r="PID193" s="367"/>
      <c r="PIE193" s="368" t="s">
        <v>168</v>
      </c>
      <c r="PIF193" s="369">
        <v>0.5</v>
      </c>
      <c r="PIG193" s="370" t="e">
        <f>10/PIC191</f>
        <v>#DIV/0!</v>
      </c>
      <c r="PIH193" s="371">
        <v>15.38</v>
      </c>
      <c r="PII193" s="371" t="e">
        <f>PIF193*PIG193*PIH193</f>
        <v>#DIV/0!</v>
      </c>
      <c r="PIJ193" s="367" t="s">
        <v>206</v>
      </c>
      <c r="PIK193" s="367"/>
      <c r="PIL193" s="367"/>
      <c r="PIM193" s="368" t="s">
        <v>168</v>
      </c>
      <c r="PIN193" s="369">
        <v>0.5</v>
      </c>
      <c r="PIO193" s="370" t="e">
        <f>10/PIK191</f>
        <v>#DIV/0!</v>
      </c>
      <c r="PIP193" s="371">
        <v>15.38</v>
      </c>
      <c r="PIQ193" s="371" t="e">
        <f>PIN193*PIO193*PIP193</f>
        <v>#DIV/0!</v>
      </c>
      <c r="PIR193" s="367" t="s">
        <v>206</v>
      </c>
      <c r="PIS193" s="367"/>
      <c r="PIT193" s="367"/>
      <c r="PIU193" s="368" t="s">
        <v>168</v>
      </c>
      <c r="PIV193" s="369">
        <v>0.5</v>
      </c>
      <c r="PIW193" s="370" t="e">
        <f>10/PIS191</f>
        <v>#DIV/0!</v>
      </c>
      <c r="PIX193" s="371">
        <v>15.38</v>
      </c>
      <c r="PIY193" s="371" t="e">
        <f>PIV193*PIW193*PIX193</f>
        <v>#DIV/0!</v>
      </c>
      <c r="PIZ193" s="367" t="s">
        <v>206</v>
      </c>
      <c r="PJA193" s="367"/>
      <c r="PJB193" s="367"/>
      <c r="PJC193" s="368" t="s">
        <v>168</v>
      </c>
      <c r="PJD193" s="369">
        <v>0.5</v>
      </c>
      <c r="PJE193" s="370" t="e">
        <f>10/PJA191</f>
        <v>#DIV/0!</v>
      </c>
      <c r="PJF193" s="371">
        <v>15.38</v>
      </c>
      <c r="PJG193" s="371" t="e">
        <f>PJD193*PJE193*PJF193</f>
        <v>#DIV/0!</v>
      </c>
      <c r="PJH193" s="367" t="s">
        <v>206</v>
      </c>
      <c r="PJI193" s="367"/>
      <c r="PJJ193" s="367"/>
      <c r="PJK193" s="368" t="s">
        <v>168</v>
      </c>
      <c r="PJL193" s="369">
        <v>0.5</v>
      </c>
      <c r="PJM193" s="370" t="e">
        <f>10/PJI191</f>
        <v>#DIV/0!</v>
      </c>
      <c r="PJN193" s="371">
        <v>15.38</v>
      </c>
      <c r="PJO193" s="371" t="e">
        <f>PJL193*PJM193*PJN193</f>
        <v>#DIV/0!</v>
      </c>
      <c r="PJP193" s="367" t="s">
        <v>206</v>
      </c>
      <c r="PJQ193" s="367"/>
      <c r="PJR193" s="367"/>
      <c r="PJS193" s="368" t="s">
        <v>168</v>
      </c>
      <c r="PJT193" s="369">
        <v>0.5</v>
      </c>
      <c r="PJU193" s="370" t="e">
        <f>10/PJQ191</f>
        <v>#DIV/0!</v>
      </c>
      <c r="PJV193" s="371">
        <v>15.38</v>
      </c>
      <c r="PJW193" s="371" t="e">
        <f>PJT193*PJU193*PJV193</f>
        <v>#DIV/0!</v>
      </c>
      <c r="PJX193" s="367" t="s">
        <v>206</v>
      </c>
      <c r="PJY193" s="367"/>
      <c r="PJZ193" s="367"/>
      <c r="PKA193" s="368" t="s">
        <v>168</v>
      </c>
      <c r="PKB193" s="369">
        <v>0.5</v>
      </c>
      <c r="PKC193" s="370" t="e">
        <f>10/PJY191</f>
        <v>#DIV/0!</v>
      </c>
      <c r="PKD193" s="371">
        <v>15.38</v>
      </c>
      <c r="PKE193" s="371" t="e">
        <f>PKB193*PKC193*PKD193</f>
        <v>#DIV/0!</v>
      </c>
      <c r="PKF193" s="367" t="s">
        <v>206</v>
      </c>
      <c r="PKG193" s="367"/>
      <c r="PKH193" s="367"/>
      <c r="PKI193" s="368" t="s">
        <v>168</v>
      </c>
      <c r="PKJ193" s="369">
        <v>0.5</v>
      </c>
      <c r="PKK193" s="370" t="e">
        <f>10/PKG191</f>
        <v>#DIV/0!</v>
      </c>
      <c r="PKL193" s="371">
        <v>15.38</v>
      </c>
      <c r="PKM193" s="371" t="e">
        <f>PKJ193*PKK193*PKL193</f>
        <v>#DIV/0!</v>
      </c>
      <c r="PKN193" s="367" t="s">
        <v>206</v>
      </c>
      <c r="PKO193" s="367"/>
      <c r="PKP193" s="367"/>
      <c r="PKQ193" s="368" t="s">
        <v>168</v>
      </c>
      <c r="PKR193" s="369">
        <v>0.5</v>
      </c>
      <c r="PKS193" s="370" t="e">
        <f>10/PKO191</f>
        <v>#DIV/0!</v>
      </c>
      <c r="PKT193" s="371">
        <v>15.38</v>
      </c>
      <c r="PKU193" s="371" t="e">
        <f>PKR193*PKS193*PKT193</f>
        <v>#DIV/0!</v>
      </c>
      <c r="PKV193" s="367" t="s">
        <v>206</v>
      </c>
      <c r="PKW193" s="367"/>
      <c r="PKX193" s="367"/>
      <c r="PKY193" s="368" t="s">
        <v>168</v>
      </c>
      <c r="PKZ193" s="369">
        <v>0.5</v>
      </c>
      <c r="PLA193" s="370" t="e">
        <f>10/PKW191</f>
        <v>#DIV/0!</v>
      </c>
      <c r="PLB193" s="371">
        <v>15.38</v>
      </c>
      <c r="PLC193" s="371" t="e">
        <f>PKZ193*PLA193*PLB193</f>
        <v>#DIV/0!</v>
      </c>
      <c r="PLD193" s="367" t="s">
        <v>206</v>
      </c>
      <c r="PLE193" s="367"/>
      <c r="PLF193" s="367"/>
      <c r="PLG193" s="368" t="s">
        <v>168</v>
      </c>
      <c r="PLH193" s="369">
        <v>0.5</v>
      </c>
      <c r="PLI193" s="370" t="e">
        <f>10/PLE191</f>
        <v>#DIV/0!</v>
      </c>
      <c r="PLJ193" s="371">
        <v>15.38</v>
      </c>
      <c r="PLK193" s="371" t="e">
        <f>PLH193*PLI193*PLJ193</f>
        <v>#DIV/0!</v>
      </c>
      <c r="PLL193" s="367" t="s">
        <v>206</v>
      </c>
      <c r="PLM193" s="367"/>
      <c r="PLN193" s="367"/>
      <c r="PLO193" s="368" t="s">
        <v>168</v>
      </c>
      <c r="PLP193" s="369">
        <v>0.5</v>
      </c>
      <c r="PLQ193" s="370" t="e">
        <f>10/PLM191</f>
        <v>#DIV/0!</v>
      </c>
      <c r="PLR193" s="371">
        <v>15.38</v>
      </c>
      <c r="PLS193" s="371" t="e">
        <f>PLP193*PLQ193*PLR193</f>
        <v>#DIV/0!</v>
      </c>
      <c r="PLT193" s="367" t="s">
        <v>206</v>
      </c>
      <c r="PLU193" s="367"/>
      <c r="PLV193" s="367"/>
      <c r="PLW193" s="368" t="s">
        <v>168</v>
      </c>
      <c r="PLX193" s="369">
        <v>0.5</v>
      </c>
      <c r="PLY193" s="370" t="e">
        <f>10/PLU191</f>
        <v>#DIV/0!</v>
      </c>
      <c r="PLZ193" s="371">
        <v>15.38</v>
      </c>
      <c r="PMA193" s="371" t="e">
        <f>PLX193*PLY193*PLZ193</f>
        <v>#DIV/0!</v>
      </c>
      <c r="PMB193" s="367" t="s">
        <v>206</v>
      </c>
      <c r="PMC193" s="367"/>
      <c r="PMD193" s="367"/>
      <c r="PME193" s="368" t="s">
        <v>168</v>
      </c>
      <c r="PMF193" s="369">
        <v>0.5</v>
      </c>
      <c r="PMG193" s="370" t="e">
        <f>10/PMC191</f>
        <v>#DIV/0!</v>
      </c>
      <c r="PMH193" s="371">
        <v>15.38</v>
      </c>
      <c r="PMI193" s="371" t="e">
        <f>PMF193*PMG193*PMH193</f>
        <v>#DIV/0!</v>
      </c>
      <c r="PMJ193" s="367" t="s">
        <v>206</v>
      </c>
      <c r="PMK193" s="367"/>
      <c r="PML193" s="367"/>
      <c r="PMM193" s="368" t="s">
        <v>168</v>
      </c>
      <c r="PMN193" s="369">
        <v>0.5</v>
      </c>
      <c r="PMO193" s="370" t="e">
        <f>10/PMK191</f>
        <v>#DIV/0!</v>
      </c>
      <c r="PMP193" s="371">
        <v>15.38</v>
      </c>
      <c r="PMQ193" s="371" t="e">
        <f>PMN193*PMO193*PMP193</f>
        <v>#DIV/0!</v>
      </c>
      <c r="PMR193" s="367" t="s">
        <v>206</v>
      </c>
      <c r="PMS193" s="367"/>
      <c r="PMT193" s="367"/>
      <c r="PMU193" s="368" t="s">
        <v>168</v>
      </c>
      <c r="PMV193" s="369">
        <v>0.5</v>
      </c>
      <c r="PMW193" s="370" t="e">
        <f>10/PMS191</f>
        <v>#DIV/0!</v>
      </c>
      <c r="PMX193" s="371">
        <v>15.38</v>
      </c>
      <c r="PMY193" s="371" t="e">
        <f>PMV193*PMW193*PMX193</f>
        <v>#DIV/0!</v>
      </c>
      <c r="PMZ193" s="367" t="s">
        <v>206</v>
      </c>
      <c r="PNA193" s="367"/>
      <c r="PNB193" s="367"/>
      <c r="PNC193" s="368" t="s">
        <v>168</v>
      </c>
      <c r="PND193" s="369">
        <v>0.5</v>
      </c>
      <c r="PNE193" s="370" t="e">
        <f>10/PNA191</f>
        <v>#DIV/0!</v>
      </c>
      <c r="PNF193" s="371">
        <v>15.38</v>
      </c>
      <c r="PNG193" s="371" t="e">
        <f>PND193*PNE193*PNF193</f>
        <v>#DIV/0!</v>
      </c>
      <c r="PNH193" s="367" t="s">
        <v>206</v>
      </c>
      <c r="PNI193" s="367"/>
      <c r="PNJ193" s="367"/>
      <c r="PNK193" s="368" t="s">
        <v>168</v>
      </c>
      <c r="PNL193" s="369">
        <v>0.5</v>
      </c>
      <c r="PNM193" s="370" t="e">
        <f>10/PNI191</f>
        <v>#DIV/0!</v>
      </c>
      <c r="PNN193" s="371">
        <v>15.38</v>
      </c>
      <c r="PNO193" s="371" t="e">
        <f>PNL193*PNM193*PNN193</f>
        <v>#DIV/0!</v>
      </c>
      <c r="PNP193" s="367" t="s">
        <v>206</v>
      </c>
      <c r="PNQ193" s="367"/>
      <c r="PNR193" s="367"/>
      <c r="PNS193" s="368" t="s">
        <v>168</v>
      </c>
      <c r="PNT193" s="369">
        <v>0.5</v>
      </c>
      <c r="PNU193" s="370" t="e">
        <f>10/PNQ191</f>
        <v>#DIV/0!</v>
      </c>
      <c r="PNV193" s="371">
        <v>15.38</v>
      </c>
      <c r="PNW193" s="371" t="e">
        <f>PNT193*PNU193*PNV193</f>
        <v>#DIV/0!</v>
      </c>
      <c r="PNX193" s="367" t="s">
        <v>206</v>
      </c>
      <c r="PNY193" s="367"/>
      <c r="PNZ193" s="367"/>
      <c r="POA193" s="368" t="s">
        <v>168</v>
      </c>
      <c r="POB193" s="369">
        <v>0.5</v>
      </c>
      <c r="POC193" s="370" t="e">
        <f>10/PNY191</f>
        <v>#DIV/0!</v>
      </c>
      <c r="POD193" s="371">
        <v>15.38</v>
      </c>
      <c r="POE193" s="371" t="e">
        <f>POB193*POC193*POD193</f>
        <v>#DIV/0!</v>
      </c>
      <c r="POF193" s="367" t="s">
        <v>206</v>
      </c>
      <c r="POG193" s="367"/>
      <c r="POH193" s="367"/>
      <c r="POI193" s="368" t="s">
        <v>168</v>
      </c>
      <c r="POJ193" s="369">
        <v>0.5</v>
      </c>
      <c r="POK193" s="370" t="e">
        <f>10/POG191</f>
        <v>#DIV/0!</v>
      </c>
      <c r="POL193" s="371">
        <v>15.38</v>
      </c>
      <c r="POM193" s="371" t="e">
        <f>POJ193*POK193*POL193</f>
        <v>#DIV/0!</v>
      </c>
      <c r="PON193" s="367" t="s">
        <v>206</v>
      </c>
      <c r="POO193" s="367"/>
      <c r="POP193" s="367"/>
      <c r="POQ193" s="368" t="s">
        <v>168</v>
      </c>
      <c r="POR193" s="369">
        <v>0.5</v>
      </c>
      <c r="POS193" s="370" t="e">
        <f>10/POO191</f>
        <v>#DIV/0!</v>
      </c>
      <c r="POT193" s="371">
        <v>15.38</v>
      </c>
      <c r="POU193" s="371" t="e">
        <f>POR193*POS193*POT193</f>
        <v>#DIV/0!</v>
      </c>
      <c r="POV193" s="367" t="s">
        <v>206</v>
      </c>
      <c r="POW193" s="367"/>
      <c r="POX193" s="367"/>
      <c r="POY193" s="368" t="s">
        <v>168</v>
      </c>
      <c r="POZ193" s="369">
        <v>0.5</v>
      </c>
      <c r="PPA193" s="370" t="e">
        <f>10/POW191</f>
        <v>#DIV/0!</v>
      </c>
      <c r="PPB193" s="371">
        <v>15.38</v>
      </c>
      <c r="PPC193" s="371" t="e">
        <f>POZ193*PPA193*PPB193</f>
        <v>#DIV/0!</v>
      </c>
      <c r="PPD193" s="367" t="s">
        <v>206</v>
      </c>
      <c r="PPE193" s="367"/>
      <c r="PPF193" s="367"/>
      <c r="PPG193" s="368" t="s">
        <v>168</v>
      </c>
      <c r="PPH193" s="369">
        <v>0.5</v>
      </c>
      <c r="PPI193" s="370" t="e">
        <f>10/PPE191</f>
        <v>#DIV/0!</v>
      </c>
      <c r="PPJ193" s="371">
        <v>15.38</v>
      </c>
      <c r="PPK193" s="371" t="e">
        <f>PPH193*PPI193*PPJ193</f>
        <v>#DIV/0!</v>
      </c>
      <c r="PPL193" s="367" t="s">
        <v>206</v>
      </c>
      <c r="PPM193" s="367"/>
      <c r="PPN193" s="367"/>
      <c r="PPO193" s="368" t="s">
        <v>168</v>
      </c>
      <c r="PPP193" s="369">
        <v>0.5</v>
      </c>
      <c r="PPQ193" s="370" t="e">
        <f>10/PPM191</f>
        <v>#DIV/0!</v>
      </c>
      <c r="PPR193" s="371">
        <v>15.38</v>
      </c>
      <c r="PPS193" s="371" t="e">
        <f>PPP193*PPQ193*PPR193</f>
        <v>#DIV/0!</v>
      </c>
      <c r="PPT193" s="367" t="s">
        <v>206</v>
      </c>
      <c r="PPU193" s="367"/>
      <c r="PPV193" s="367"/>
      <c r="PPW193" s="368" t="s">
        <v>168</v>
      </c>
      <c r="PPX193" s="369">
        <v>0.5</v>
      </c>
      <c r="PPY193" s="370" t="e">
        <f>10/PPU191</f>
        <v>#DIV/0!</v>
      </c>
      <c r="PPZ193" s="371">
        <v>15.38</v>
      </c>
      <c r="PQA193" s="371" t="e">
        <f>PPX193*PPY193*PPZ193</f>
        <v>#DIV/0!</v>
      </c>
      <c r="PQB193" s="367" t="s">
        <v>206</v>
      </c>
      <c r="PQC193" s="367"/>
      <c r="PQD193" s="367"/>
      <c r="PQE193" s="368" t="s">
        <v>168</v>
      </c>
      <c r="PQF193" s="369">
        <v>0.5</v>
      </c>
      <c r="PQG193" s="370" t="e">
        <f>10/PQC191</f>
        <v>#DIV/0!</v>
      </c>
      <c r="PQH193" s="371">
        <v>15.38</v>
      </c>
      <c r="PQI193" s="371" t="e">
        <f>PQF193*PQG193*PQH193</f>
        <v>#DIV/0!</v>
      </c>
      <c r="PQJ193" s="367" t="s">
        <v>206</v>
      </c>
      <c r="PQK193" s="367"/>
      <c r="PQL193" s="367"/>
      <c r="PQM193" s="368" t="s">
        <v>168</v>
      </c>
      <c r="PQN193" s="369">
        <v>0.5</v>
      </c>
      <c r="PQO193" s="370" t="e">
        <f>10/PQK191</f>
        <v>#DIV/0!</v>
      </c>
      <c r="PQP193" s="371">
        <v>15.38</v>
      </c>
      <c r="PQQ193" s="371" t="e">
        <f>PQN193*PQO193*PQP193</f>
        <v>#DIV/0!</v>
      </c>
      <c r="PQR193" s="367" t="s">
        <v>206</v>
      </c>
      <c r="PQS193" s="367"/>
      <c r="PQT193" s="367"/>
      <c r="PQU193" s="368" t="s">
        <v>168</v>
      </c>
      <c r="PQV193" s="369">
        <v>0.5</v>
      </c>
      <c r="PQW193" s="370" t="e">
        <f>10/PQS191</f>
        <v>#DIV/0!</v>
      </c>
      <c r="PQX193" s="371">
        <v>15.38</v>
      </c>
      <c r="PQY193" s="371" t="e">
        <f>PQV193*PQW193*PQX193</f>
        <v>#DIV/0!</v>
      </c>
      <c r="PQZ193" s="367" t="s">
        <v>206</v>
      </c>
      <c r="PRA193" s="367"/>
      <c r="PRB193" s="367"/>
      <c r="PRC193" s="368" t="s">
        <v>168</v>
      </c>
      <c r="PRD193" s="369">
        <v>0.5</v>
      </c>
      <c r="PRE193" s="370" t="e">
        <f>10/PRA191</f>
        <v>#DIV/0!</v>
      </c>
      <c r="PRF193" s="371">
        <v>15.38</v>
      </c>
      <c r="PRG193" s="371" t="e">
        <f>PRD193*PRE193*PRF193</f>
        <v>#DIV/0!</v>
      </c>
      <c r="PRH193" s="367" t="s">
        <v>206</v>
      </c>
      <c r="PRI193" s="367"/>
      <c r="PRJ193" s="367"/>
      <c r="PRK193" s="368" t="s">
        <v>168</v>
      </c>
      <c r="PRL193" s="369">
        <v>0.5</v>
      </c>
      <c r="PRM193" s="370" t="e">
        <f>10/PRI191</f>
        <v>#DIV/0!</v>
      </c>
      <c r="PRN193" s="371">
        <v>15.38</v>
      </c>
      <c r="PRO193" s="371" t="e">
        <f>PRL193*PRM193*PRN193</f>
        <v>#DIV/0!</v>
      </c>
      <c r="PRP193" s="367" t="s">
        <v>206</v>
      </c>
      <c r="PRQ193" s="367"/>
      <c r="PRR193" s="367"/>
      <c r="PRS193" s="368" t="s">
        <v>168</v>
      </c>
      <c r="PRT193" s="369">
        <v>0.5</v>
      </c>
      <c r="PRU193" s="370" t="e">
        <f>10/PRQ191</f>
        <v>#DIV/0!</v>
      </c>
      <c r="PRV193" s="371">
        <v>15.38</v>
      </c>
      <c r="PRW193" s="371" t="e">
        <f>PRT193*PRU193*PRV193</f>
        <v>#DIV/0!</v>
      </c>
      <c r="PRX193" s="367" t="s">
        <v>206</v>
      </c>
      <c r="PRY193" s="367"/>
      <c r="PRZ193" s="367"/>
      <c r="PSA193" s="368" t="s">
        <v>168</v>
      </c>
      <c r="PSB193" s="369">
        <v>0.5</v>
      </c>
      <c r="PSC193" s="370" t="e">
        <f>10/PRY191</f>
        <v>#DIV/0!</v>
      </c>
      <c r="PSD193" s="371">
        <v>15.38</v>
      </c>
      <c r="PSE193" s="371" t="e">
        <f>PSB193*PSC193*PSD193</f>
        <v>#DIV/0!</v>
      </c>
      <c r="PSF193" s="367" t="s">
        <v>206</v>
      </c>
      <c r="PSG193" s="367"/>
      <c r="PSH193" s="367"/>
      <c r="PSI193" s="368" t="s">
        <v>168</v>
      </c>
      <c r="PSJ193" s="369">
        <v>0.5</v>
      </c>
      <c r="PSK193" s="370" t="e">
        <f>10/PSG191</f>
        <v>#DIV/0!</v>
      </c>
      <c r="PSL193" s="371">
        <v>15.38</v>
      </c>
      <c r="PSM193" s="371" t="e">
        <f>PSJ193*PSK193*PSL193</f>
        <v>#DIV/0!</v>
      </c>
      <c r="PSN193" s="367" t="s">
        <v>206</v>
      </c>
      <c r="PSO193" s="367"/>
      <c r="PSP193" s="367"/>
      <c r="PSQ193" s="368" t="s">
        <v>168</v>
      </c>
      <c r="PSR193" s="369">
        <v>0.5</v>
      </c>
      <c r="PSS193" s="370" t="e">
        <f>10/PSO191</f>
        <v>#DIV/0!</v>
      </c>
      <c r="PST193" s="371">
        <v>15.38</v>
      </c>
      <c r="PSU193" s="371" t="e">
        <f>PSR193*PSS193*PST193</f>
        <v>#DIV/0!</v>
      </c>
      <c r="PSV193" s="367" t="s">
        <v>206</v>
      </c>
      <c r="PSW193" s="367"/>
      <c r="PSX193" s="367"/>
      <c r="PSY193" s="368" t="s">
        <v>168</v>
      </c>
      <c r="PSZ193" s="369">
        <v>0.5</v>
      </c>
      <c r="PTA193" s="370" t="e">
        <f>10/PSW191</f>
        <v>#DIV/0!</v>
      </c>
      <c r="PTB193" s="371">
        <v>15.38</v>
      </c>
      <c r="PTC193" s="371" t="e">
        <f>PSZ193*PTA193*PTB193</f>
        <v>#DIV/0!</v>
      </c>
      <c r="PTD193" s="367" t="s">
        <v>206</v>
      </c>
      <c r="PTE193" s="367"/>
      <c r="PTF193" s="367"/>
      <c r="PTG193" s="368" t="s">
        <v>168</v>
      </c>
      <c r="PTH193" s="369">
        <v>0.5</v>
      </c>
      <c r="PTI193" s="370" t="e">
        <f>10/PTE191</f>
        <v>#DIV/0!</v>
      </c>
      <c r="PTJ193" s="371">
        <v>15.38</v>
      </c>
      <c r="PTK193" s="371" t="e">
        <f>PTH193*PTI193*PTJ193</f>
        <v>#DIV/0!</v>
      </c>
      <c r="PTL193" s="367" t="s">
        <v>206</v>
      </c>
      <c r="PTM193" s="367"/>
      <c r="PTN193" s="367"/>
      <c r="PTO193" s="368" t="s">
        <v>168</v>
      </c>
      <c r="PTP193" s="369">
        <v>0.5</v>
      </c>
      <c r="PTQ193" s="370" t="e">
        <f>10/PTM191</f>
        <v>#DIV/0!</v>
      </c>
      <c r="PTR193" s="371">
        <v>15.38</v>
      </c>
      <c r="PTS193" s="371" t="e">
        <f>PTP193*PTQ193*PTR193</f>
        <v>#DIV/0!</v>
      </c>
      <c r="PTT193" s="367" t="s">
        <v>206</v>
      </c>
      <c r="PTU193" s="367"/>
      <c r="PTV193" s="367"/>
      <c r="PTW193" s="368" t="s">
        <v>168</v>
      </c>
      <c r="PTX193" s="369">
        <v>0.5</v>
      </c>
      <c r="PTY193" s="370" t="e">
        <f>10/PTU191</f>
        <v>#DIV/0!</v>
      </c>
      <c r="PTZ193" s="371">
        <v>15.38</v>
      </c>
      <c r="PUA193" s="371" t="e">
        <f>PTX193*PTY193*PTZ193</f>
        <v>#DIV/0!</v>
      </c>
      <c r="PUB193" s="367" t="s">
        <v>206</v>
      </c>
      <c r="PUC193" s="367"/>
      <c r="PUD193" s="367"/>
      <c r="PUE193" s="368" t="s">
        <v>168</v>
      </c>
      <c r="PUF193" s="369">
        <v>0.5</v>
      </c>
      <c r="PUG193" s="370" t="e">
        <f>10/PUC191</f>
        <v>#DIV/0!</v>
      </c>
      <c r="PUH193" s="371">
        <v>15.38</v>
      </c>
      <c r="PUI193" s="371" t="e">
        <f>PUF193*PUG193*PUH193</f>
        <v>#DIV/0!</v>
      </c>
      <c r="PUJ193" s="367" t="s">
        <v>206</v>
      </c>
      <c r="PUK193" s="367"/>
      <c r="PUL193" s="367"/>
      <c r="PUM193" s="368" t="s">
        <v>168</v>
      </c>
      <c r="PUN193" s="369">
        <v>0.5</v>
      </c>
      <c r="PUO193" s="370" t="e">
        <f>10/PUK191</f>
        <v>#DIV/0!</v>
      </c>
      <c r="PUP193" s="371">
        <v>15.38</v>
      </c>
      <c r="PUQ193" s="371" t="e">
        <f>PUN193*PUO193*PUP193</f>
        <v>#DIV/0!</v>
      </c>
      <c r="PUR193" s="367" t="s">
        <v>206</v>
      </c>
      <c r="PUS193" s="367"/>
      <c r="PUT193" s="367"/>
      <c r="PUU193" s="368" t="s">
        <v>168</v>
      </c>
      <c r="PUV193" s="369">
        <v>0.5</v>
      </c>
      <c r="PUW193" s="370" t="e">
        <f>10/PUS191</f>
        <v>#DIV/0!</v>
      </c>
      <c r="PUX193" s="371">
        <v>15.38</v>
      </c>
      <c r="PUY193" s="371" t="e">
        <f>PUV193*PUW193*PUX193</f>
        <v>#DIV/0!</v>
      </c>
      <c r="PUZ193" s="367" t="s">
        <v>206</v>
      </c>
      <c r="PVA193" s="367"/>
      <c r="PVB193" s="367"/>
      <c r="PVC193" s="368" t="s">
        <v>168</v>
      </c>
      <c r="PVD193" s="369">
        <v>0.5</v>
      </c>
      <c r="PVE193" s="370" t="e">
        <f>10/PVA191</f>
        <v>#DIV/0!</v>
      </c>
      <c r="PVF193" s="371">
        <v>15.38</v>
      </c>
      <c r="PVG193" s="371" t="e">
        <f>PVD193*PVE193*PVF193</f>
        <v>#DIV/0!</v>
      </c>
      <c r="PVH193" s="367" t="s">
        <v>206</v>
      </c>
      <c r="PVI193" s="367"/>
      <c r="PVJ193" s="367"/>
      <c r="PVK193" s="368" t="s">
        <v>168</v>
      </c>
      <c r="PVL193" s="369">
        <v>0.5</v>
      </c>
      <c r="PVM193" s="370" t="e">
        <f>10/PVI191</f>
        <v>#DIV/0!</v>
      </c>
      <c r="PVN193" s="371">
        <v>15.38</v>
      </c>
      <c r="PVO193" s="371" t="e">
        <f>PVL193*PVM193*PVN193</f>
        <v>#DIV/0!</v>
      </c>
      <c r="PVP193" s="367" t="s">
        <v>206</v>
      </c>
      <c r="PVQ193" s="367"/>
      <c r="PVR193" s="367"/>
      <c r="PVS193" s="368" t="s">
        <v>168</v>
      </c>
      <c r="PVT193" s="369">
        <v>0.5</v>
      </c>
      <c r="PVU193" s="370" t="e">
        <f>10/PVQ191</f>
        <v>#DIV/0!</v>
      </c>
      <c r="PVV193" s="371">
        <v>15.38</v>
      </c>
      <c r="PVW193" s="371" t="e">
        <f>PVT193*PVU193*PVV193</f>
        <v>#DIV/0!</v>
      </c>
      <c r="PVX193" s="367" t="s">
        <v>206</v>
      </c>
      <c r="PVY193" s="367"/>
      <c r="PVZ193" s="367"/>
      <c r="PWA193" s="368" t="s">
        <v>168</v>
      </c>
      <c r="PWB193" s="369">
        <v>0.5</v>
      </c>
      <c r="PWC193" s="370" t="e">
        <f>10/PVY191</f>
        <v>#DIV/0!</v>
      </c>
      <c r="PWD193" s="371">
        <v>15.38</v>
      </c>
      <c r="PWE193" s="371" t="e">
        <f>PWB193*PWC193*PWD193</f>
        <v>#DIV/0!</v>
      </c>
      <c r="PWF193" s="367" t="s">
        <v>206</v>
      </c>
      <c r="PWG193" s="367"/>
      <c r="PWH193" s="367"/>
      <c r="PWI193" s="368" t="s">
        <v>168</v>
      </c>
      <c r="PWJ193" s="369">
        <v>0.5</v>
      </c>
      <c r="PWK193" s="370" t="e">
        <f>10/PWG191</f>
        <v>#DIV/0!</v>
      </c>
      <c r="PWL193" s="371">
        <v>15.38</v>
      </c>
      <c r="PWM193" s="371" t="e">
        <f>PWJ193*PWK193*PWL193</f>
        <v>#DIV/0!</v>
      </c>
      <c r="PWN193" s="367" t="s">
        <v>206</v>
      </c>
      <c r="PWO193" s="367"/>
      <c r="PWP193" s="367"/>
      <c r="PWQ193" s="368" t="s">
        <v>168</v>
      </c>
      <c r="PWR193" s="369">
        <v>0.5</v>
      </c>
      <c r="PWS193" s="370" t="e">
        <f>10/PWO191</f>
        <v>#DIV/0!</v>
      </c>
      <c r="PWT193" s="371">
        <v>15.38</v>
      </c>
      <c r="PWU193" s="371" t="e">
        <f>PWR193*PWS193*PWT193</f>
        <v>#DIV/0!</v>
      </c>
      <c r="PWV193" s="367" t="s">
        <v>206</v>
      </c>
      <c r="PWW193" s="367"/>
      <c r="PWX193" s="367"/>
      <c r="PWY193" s="368" t="s">
        <v>168</v>
      </c>
      <c r="PWZ193" s="369">
        <v>0.5</v>
      </c>
      <c r="PXA193" s="370" t="e">
        <f>10/PWW191</f>
        <v>#DIV/0!</v>
      </c>
      <c r="PXB193" s="371">
        <v>15.38</v>
      </c>
      <c r="PXC193" s="371" t="e">
        <f>PWZ193*PXA193*PXB193</f>
        <v>#DIV/0!</v>
      </c>
      <c r="PXD193" s="367" t="s">
        <v>206</v>
      </c>
      <c r="PXE193" s="367"/>
      <c r="PXF193" s="367"/>
      <c r="PXG193" s="368" t="s">
        <v>168</v>
      </c>
      <c r="PXH193" s="369">
        <v>0.5</v>
      </c>
      <c r="PXI193" s="370" t="e">
        <f>10/PXE191</f>
        <v>#DIV/0!</v>
      </c>
      <c r="PXJ193" s="371">
        <v>15.38</v>
      </c>
      <c r="PXK193" s="371" t="e">
        <f>PXH193*PXI193*PXJ193</f>
        <v>#DIV/0!</v>
      </c>
      <c r="PXL193" s="367" t="s">
        <v>206</v>
      </c>
      <c r="PXM193" s="367"/>
      <c r="PXN193" s="367"/>
      <c r="PXO193" s="368" t="s">
        <v>168</v>
      </c>
      <c r="PXP193" s="369">
        <v>0.5</v>
      </c>
      <c r="PXQ193" s="370" t="e">
        <f>10/PXM191</f>
        <v>#DIV/0!</v>
      </c>
      <c r="PXR193" s="371">
        <v>15.38</v>
      </c>
      <c r="PXS193" s="371" t="e">
        <f>PXP193*PXQ193*PXR193</f>
        <v>#DIV/0!</v>
      </c>
      <c r="PXT193" s="367" t="s">
        <v>206</v>
      </c>
      <c r="PXU193" s="367"/>
      <c r="PXV193" s="367"/>
      <c r="PXW193" s="368" t="s">
        <v>168</v>
      </c>
      <c r="PXX193" s="369">
        <v>0.5</v>
      </c>
      <c r="PXY193" s="370" t="e">
        <f>10/PXU191</f>
        <v>#DIV/0!</v>
      </c>
      <c r="PXZ193" s="371">
        <v>15.38</v>
      </c>
      <c r="PYA193" s="371" t="e">
        <f>PXX193*PXY193*PXZ193</f>
        <v>#DIV/0!</v>
      </c>
      <c r="PYB193" s="367" t="s">
        <v>206</v>
      </c>
      <c r="PYC193" s="367"/>
      <c r="PYD193" s="367"/>
      <c r="PYE193" s="368" t="s">
        <v>168</v>
      </c>
      <c r="PYF193" s="369">
        <v>0.5</v>
      </c>
      <c r="PYG193" s="370" t="e">
        <f>10/PYC191</f>
        <v>#DIV/0!</v>
      </c>
      <c r="PYH193" s="371">
        <v>15.38</v>
      </c>
      <c r="PYI193" s="371" t="e">
        <f>PYF193*PYG193*PYH193</f>
        <v>#DIV/0!</v>
      </c>
      <c r="PYJ193" s="367" t="s">
        <v>206</v>
      </c>
      <c r="PYK193" s="367"/>
      <c r="PYL193" s="367"/>
      <c r="PYM193" s="368" t="s">
        <v>168</v>
      </c>
      <c r="PYN193" s="369">
        <v>0.5</v>
      </c>
      <c r="PYO193" s="370" t="e">
        <f>10/PYK191</f>
        <v>#DIV/0!</v>
      </c>
      <c r="PYP193" s="371">
        <v>15.38</v>
      </c>
      <c r="PYQ193" s="371" t="e">
        <f>PYN193*PYO193*PYP193</f>
        <v>#DIV/0!</v>
      </c>
      <c r="PYR193" s="367" t="s">
        <v>206</v>
      </c>
      <c r="PYS193" s="367"/>
      <c r="PYT193" s="367"/>
      <c r="PYU193" s="368" t="s">
        <v>168</v>
      </c>
      <c r="PYV193" s="369">
        <v>0.5</v>
      </c>
      <c r="PYW193" s="370" t="e">
        <f>10/PYS191</f>
        <v>#DIV/0!</v>
      </c>
      <c r="PYX193" s="371">
        <v>15.38</v>
      </c>
      <c r="PYY193" s="371" t="e">
        <f>PYV193*PYW193*PYX193</f>
        <v>#DIV/0!</v>
      </c>
      <c r="PYZ193" s="367" t="s">
        <v>206</v>
      </c>
      <c r="PZA193" s="367"/>
      <c r="PZB193" s="367"/>
      <c r="PZC193" s="368" t="s">
        <v>168</v>
      </c>
      <c r="PZD193" s="369">
        <v>0.5</v>
      </c>
      <c r="PZE193" s="370" t="e">
        <f>10/PZA191</f>
        <v>#DIV/0!</v>
      </c>
      <c r="PZF193" s="371">
        <v>15.38</v>
      </c>
      <c r="PZG193" s="371" t="e">
        <f>PZD193*PZE193*PZF193</f>
        <v>#DIV/0!</v>
      </c>
      <c r="PZH193" s="367" t="s">
        <v>206</v>
      </c>
      <c r="PZI193" s="367"/>
      <c r="PZJ193" s="367"/>
      <c r="PZK193" s="368" t="s">
        <v>168</v>
      </c>
      <c r="PZL193" s="369">
        <v>0.5</v>
      </c>
      <c r="PZM193" s="370" t="e">
        <f>10/PZI191</f>
        <v>#DIV/0!</v>
      </c>
      <c r="PZN193" s="371">
        <v>15.38</v>
      </c>
      <c r="PZO193" s="371" t="e">
        <f>PZL193*PZM193*PZN193</f>
        <v>#DIV/0!</v>
      </c>
      <c r="PZP193" s="367" t="s">
        <v>206</v>
      </c>
      <c r="PZQ193" s="367"/>
      <c r="PZR193" s="367"/>
      <c r="PZS193" s="368" t="s">
        <v>168</v>
      </c>
      <c r="PZT193" s="369">
        <v>0.5</v>
      </c>
      <c r="PZU193" s="370" t="e">
        <f>10/PZQ191</f>
        <v>#DIV/0!</v>
      </c>
      <c r="PZV193" s="371">
        <v>15.38</v>
      </c>
      <c r="PZW193" s="371" t="e">
        <f>PZT193*PZU193*PZV193</f>
        <v>#DIV/0!</v>
      </c>
      <c r="PZX193" s="367" t="s">
        <v>206</v>
      </c>
      <c r="PZY193" s="367"/>
      <c r="PZZ193" s="367"/>
      <c r="QAA193" s="368" t="s">
        <v>168</v>
      </c>
      <c r="QAB193" s="369">
        <v>0.5</v>
      </c>
      <c r="QAC193" s="370" t="e">
        <f>10/PZY191</f>
        <v>#DIV/0!</v>
      </c>
      <c r="QAD193" s="371">
        <v>15.38</v>
      </c>
      <c r="QAE193" s="371" t="e">
        <f>QAB193*QAC193*QAD193</f>
        <v>#DIV/0!</v>
      </c>
      <c r="QAF193" s="367" t="s">
        <v>206</v>
      </c>
      <c r="QAG193" s="367"/>
      <c r="QAH193" s="367"/>
      <c r="QAI193" s="368" t="s">
        <v>168</v>
      </c>
      <c r="QAJ193" s="369">
        <v>0.5</v>
      </c>
      <c r="QAK193" s="370" t="e">
        <f>10/QAG191</f>
        <v>#DIV/0!</v>
      </c>
      <c r="QAL193" s="371">
        <v>15.38</v>
      </c>
      <c r="QAM193" s="371" t="e">
        <f>QAJ193*QAK193*QAL193</f>
        <v>#DIV/0!</v>
      </c>
      <c r="QAN193" s="367" t="s">
        <v>206</v>
      </c>
      <c r="QAO193" s="367"/>
      <c r="QAP193" s="367"/>
      <c r="QAQ193" s="368" t="s">
        <v>168</v>
      </c>
      <c r="QAR193" s="369">
        <v>0.5</v>
      </c>
      <c r="QAS193" s="370" t="e">
        <f>10/QAO191</f>
        <v>#DIV/0!</v>
      </c>
      <c r="QAT193" s="371">
        <v>15.38</v>
      </c>
      <c r="QAU193" s="371" t="e">
        <f>QAR193*QAS193*QAT193</f>
        <v>#DIV/0!</v>
      </c>
      <c r="QAV193" s="367" t="s">
        <v>206</v>
      </c>
      <c r="QAW193" s="367"/>
      <c r="QAX193" s="367"/>
      <c r="QAY193" s="368" t="s">
        <v>168</v>
      </c>
      <c r="QAZ193" s="369">
        <v>0.5</v>
      </c>
      <c r="QBA193" s="370" t="e">
        <f>10/QAW191</f>
        <v>#DIV/0!</v>
      </c>
      <c r="QBB193" s="371">
        <v>15.38</v>
      </c>
      <c r="QBC193" s="371" t="e">
        <f>QAZ193*QBA193*QBB193</f>
        <v>#DIV/0!</v>
      </c>
      <c r="QBD193" s="367" t="s">
        <v>206</v>
      </c>
      <c r="QBE193" s="367"/>
      <c r="QBF193" s="367"/>
      <c r="QBG193" s="368" t="s">
        <v>168</v>
      </c>
      <c r="QBH193" s="369">
        <v>0.5</v>
      </c>
      <c r="QBI193" s="370" t="e">
        <f>10/QBE191</f>
        <v>#DIV/0!</v>
      </c>
      <c r="QBJ193" s="371">
        <v>15.38</v>
      </c>
      <c r="QBK193" s="371" t="e">
        <f>QBH193*QBI193*QBJ193</f>
        <v>#DIV/0!</v>
      </c>
      <c r="QBL193" s="367" t="s">
        <v>206</v>
      </c>
      <c r="QBM193" s="367"/>
      <c r="QBN193" s="367"/>
      <c r="QBO193" s="368" t="s">
        <v>168</v>
      </c>
      <c r="QBP193" s="369">
        <v>0.5</v>
      </c>
      <c r="QBQ193" s="370" t="e">
        <f>10/QBM191</f>
        <v>#DIV/0!</v>
      </c>
      <c r="QBR193" s="371">
        <v>15.38</v>
      </c>
      <c r="QBS193" s="371" t="e">
        <f>QBP193*QBQ193*QBR193</f>
        <v>#DIV/0!</v>
      </c>
      <c r="QBT193" s="367" t="s">
        <v>206</v>
      </c>
      <c r="QBU193" s="367"/>
      <c r="QBV193" s="367"/>
      <c r="QBW193" s="368" t="s">
        <v>168</v>
      </c>
      <c r="QBX193" s="369">
        <v>0.5</v>
      </c>
      <c r="QBY193" s="370" t="e">
        <f>10/QBU191</f>
        <v>#DIV/0!</v>
      </c>
      <c r="QBZ193" s="371">
        <v>15.38</v>
      </c>
      <c r="QCA193" s="371" t="e">
        <f>QBX193*QBY193*QBZ193</f>
        <v>#DIV/0!</v>
      </c>
      <c r="QCB193" s="367" t="s">
        <v>206</v>
      </c>
      <c r="QCC193" s="367"/>
      <c r="QCD193" s="367"/>
      <c r="QCE193" s="368" t="s">
        <v>168</v>
      </c>
      <c r="QCF193" s="369">
        <v>0.5</v>
      </c>
      <c r="QCG193" s="370" t="e">
        <f>10/QCC191</f>
        <v>#DIV/0!</v>
      </c>
      <c r="QCH193" s="371">
        <v>15.38</v>
      </c>
      <c r="QCI193" s="371" t="e">
        <f>QCF193*QCG193*QCH193</f>
        <v>#DIV/0!</v>
      </c>
      <c r="QCJ193" s="367" t="s">
        <v>206</v>
      </c>
      <c r="QCK193" s="367"/>
      <c r="QCL193" s="367"/>
      <c r="QCM193" s="368" t="s">
        <v>168</v>
      </c>
      <c r="QCN193" s="369">
        <v>0.5</v>
      </c>
      <c r="QCO193" s="370" t="e">
        <f>10/QCK191</f>
        <v>#DIV/0!</v>
      </c>
      <c r="QCP193" s="371">
        <v>15.38</v>
      </c>
      <c r="QCQ193" s="371" t="e">
        <f>QCN193*QCO193*QCP193</f>
        <v>#DIV/0!</v>
      </c>
      <c r="QCR193" s="367" t="s">
        <v>206</v>
      </c>
      <c r="QCS193" s="367"/>
      <c r="QCT193" s="367"/>
      <c r="QCU193" s="368" t="s">
        <v>168</v>
      </c>
      <c r="QCV193" s="369">
        <v>0.5</v>
      </c>
      <c r="QCW193" s="370" t="e">
        <f>10/QCS191</f>
        <v>#DIV/0!</v>
      </c>
      <c r="QCX193" s="371">
        <v>15.38</v>
      </c>
      <c r="QCY193" s="371" t="e">
        <f>QCV193*QCW193*QCX193</f>
        <v>#DIV/0!</v>
      </c>
      <c r="QCZ193" s="367" t="s">
        <v>206</v>
      </c>
      <c r="QDA193" s="367"/>
      <c r="QDB193" s="367"/>
      <c r="QDC193" s="368" t="s">
        <v>168</v>
      </c>
      <c r="QDD193" s="369">
        <v>0.5</v>
      </c>
      <c r="QDE193" s="370" t="e">
        <f>10/QDA191</f>
        <v>#DIV/0!</v>
      </c>
      <c r="QDF193" s="371">
        <v>15.38</v>
      </c>
      <c r="QDG193" s="371" t="e">
        <f>QDD193*QDE193*QDF193</f>
        <v>#DIV/0!</v>
      </c>
      <c r="QDH193" s="367" t="s">
        <v>206</v>
      </c>
      <c r="QDI193" s="367"/>
      <c r="QDJ193" s="367"/>
      <c r="QDK193" s="368" t="s">
        <v>168</v>
      </c>
      <c r="QDL193" s="369">
        <v>0.5</v>
      </c>
      <c r="QDM193" s="370" t="e">
        <f>10/QDI191</f>
        <v>#DIV/0!</v>
      </c>
      <c r="QDN193" s="371">
        <v>15.38</v>
      </c>
      <c r="QDO193" s="371" t="e">
        <f>QDL193*QDM193*QDN193</f>
        <v>#DIV/0!</v>
      </c>
      <c r="QDP193" s="367" t="s">
        <v>206</v>
      </c>
      <c r="QDQ193" s="367"/>
      <c r="QDR193" s="367"/>
      <c r="QDS193" s="368" t="s">
        <v>168</v>
      </c>
      <c r="QDT193" s="369">
        <v>0.5</v>
      </c>
      <c r="QDU193" s="370" t="e">
        <f>10/QDQ191</f>
        <v>#DIV/0!</v>
      </c>
      <c r="QDV193" s="371">
        <v>15.38</v>
      </c>
      <c r="QDW193" s="371" t="e">
        <f>QDT193*QDU193*QDV193</f>
        <v>#DIV/0!</v>
      </c>
      <c r="QDX193" s="367" t="s">
        <v>206</v>
      </c>
      <c r="QDY193" s="367"/>
      <c r="QDZ193" s="367"/>
      <c r="QEA193" s="368" t="s">
        <v>168</v>
      </c>
      <c r="QEB193" s="369">
        <v>0.5</v>
      </c>
      <c r="QEC193" s="370" t="e">
        <f>10/QDY191</f>
        <v>#DIV/0!</v>
      </c>
      <c r="QED193" s="371">
        <v>15.38</v>
      </c>
      <c r="QEE193" s="371" t="e">
        <f>QEB193*QEC193*QED193</f>
        <v>#DIV/0!</v>
      </c>
      <c r="QEF193" s="367" t="s">
        <v>206</v>
      </c>
      <c r="QEG193" s="367"/>
      <c r="QEH193" s="367"/>
      <c r="QEI193" s="368" t="s">
        <v>168</v>
      </c>
      <c r="QEJ193" s="369">
        <v>0.5</v>
      </c>
      <c r="QEK193" s="370" t="e">
        <f>10/QEG191</f>
        <v>#DIV/0!</v>
      </c>
      <c r="QEL193" s="371">
        <v>15.38</v>
      </c>
      <c r="QEM193" s="371" t="e">
        <f>QEJ193*QEK193*QEL193</f>
        <v>#DIV/0!</v>
      </c>
      <c r="QEN193" s="367" t="s">
        <v>206</v>
      </c>
      <c r="QEO193" s="367"/>
      <c r="QEP193" s="367"/>
      <c r="QEQ193" s="368" t="s">
        <v>168</v>
      </c>
      <c r="QER193" s="369">
        <v>0.5</v>
      </c>
      <c r="QES193" s="370" t="e">
        <f>10/QEO191</f>
        <v>#DIV/0!</v>
      </c>
      <c r="QET193" s="371">
        <v>15.38</v>
      </c>
      <c r="QEU193" s="371" t="e">
        <f>QER193*QES193*QET193</f>
        <v>#DIV/0!</v>
      </c>
      <c r="QEV193" s="367" t="s">
        <v>206</v>
      </c>
      <c r="QEW193" s="367"/>
      <c r="QEX193" s="367"/>
      <c r="QEY193" s="368" t="s">
        <v>168</v>
      </c>
      <c r="QEZ193" s="369">
        <v>0.5</v>
      </c>
      <c r="QFA193" s="370" t="e">
        <f>10/QEW191</f>
        <v>#DIV/0!</v>
      </c>
      <c r="QFB193" s="371">
        <v>15.38</v>
      </c>
      <c r="QFC193" s="371" t="e">
        <f>QEZ193*QFA193*QFB193</f>
        <v>#DIV/0!</v>
      </c>
      <c r="QFD193" s="367" t="s">
        <v>206</v>
      </c>
      <c r="QFE193" s="367"/>
      <c r="QFF193" s="367"/>
      <c r="QFG193" s="368" t="s">
        <v>168</v>
      </c>
      <c r="QFH193" s="369">
        <v>0.5</v>
      </c>
      <c r="QFI193" s="370" t="e">
        <f>10/QFE191</f>
        <v>#DIV/0!</v>
      </c>
      <c r="QFJ193" s="371">
        <v>15.38</v>
      </c>
      <c r="QFK193" s="371" t="e">
        <f>QFH193*QFI193*QFJ193</f>
        <v>#DIV/0!</v>
      </c>
      <c r="QFL193" s="367" t="s">
        <v>206</v>
      </c>
      <c r="QFM193" s="367"/>
      <c r="QFN193" s="367"/>
      <c r="QFO193" s="368" t="s">
        <v>168</v>
      </c>
      <c r="QFP193" s="369">
        <v>0.5</v>
      </c>
      <c r="QFQ193" s="370" t="e">
        <f>10/QFM191</f>
        <v>#DIV/0!</v>
      </c>
      <c r="QFR193" s="371">
        <v>15.38</v>
      </c>
      <c r="QFS193" s="371" t="e">
        <f>QFP193*QFQ193*QFR193</f>
        <v>#DIV/0!</v>
      </c>
      <c r="QFT193" s="367" t="s">
        <v>206</v>
      </c>
      <c r="QFU193" s="367"/>
      <c r="QFV193" s="367"/>
      <c r="QFW193" s="368" t="s">
        <v>168</v>
      </c>
      <c r="QFX193" s="369">
        <v>0.5</v>
      </c>
      <c r="QFY193" s="370" t="e">
        <f>10/QFU191</f>
        <v>#DIV/0!</v>
      </c>
      <c r="QFZ193" s="371">
        <v>15.38</v>
      </c>
      <c r="QGA193" s="371" t="e">
        <f>QFX193*QFY193*QFZ193</f>
        <v>#DIV/0!</v>
      </c>
      <c r="QGB193" s="367" t="s">
        <v>206</v>
      </c>
      <c r="QGC193" s="367"/>
      <c r="QGD193" s="367"/>
      <c r="QGE193" s="368" t="s">
        <v>168</v>
      </c>
      <c r="QGF193" s="369">
        <v>0.5</v>
      </c>
      <c r="QGG193" s="370" t="e">
        <f>10/QGC191</f>
        <v>#DIV/0!</v>
      </c>
      <c r="QGH193" s="371">
        <v>15.38</v>
      </c>
      <c r="QGI193" s="371" t="e">
        <f>QGF193*QGG193*QGH193</f>
        <v>#DIV/0!</v>
      </c>
      <c r="QGJ193" s="367" t="s">
        <v>206</v>
      </c>
      <c r="QGK193" s="367"/>
      <c r="QGL193" s="367"/>
      <c r="QGM193" s="368" t="s">
        <v>168</v>
      </c>
      <c r="QGN193" s="369">
        <v>0.5</v>
      </c>
      <c r="QGO193" s="370" t="e">
        <f>10/QGK191</f>
        <v>#DIV/0!</v>
      </c>
      <c r="QGP193" s="371">
        <v>15.38</v>
      </c>
      <c r="QGQ193" s="371" t="e">
        <f>QGN193*QGO193*QGP193</f>
        <v>#DIV/0!</v>
      </c>
      <c r="QGR193" s="367" t="s">
        <v>206</v>
      </c>
      <c r="QGS193" s="367"/>
      <c r="QGT193" s="367"/>
      <c r="QGU193" s="368" t="s">
        <v>168</v>
      </c>
      <c r="QGV193" s="369">
        <v>0.5</v>
      </c>
      <c r="QGW193" s="370" t="e">
        <f>10/QGS191</f>
        <v>#DIV/0!</v>
      </c>
      <c r="QGX193" s="371">
        <v>15.38</v>
      </c>
      <c r="QGY193" s="371" t="e">
        <f>QGV193*QGW193*QGX193</f>
        <v>#DIV/0!</v>
      </c>
      <c r="QGZ193" s="367" t="s">
        <v>206</v>
      </c>
      <c r="QHA193" s="367"/>
      <c r="QHB193" s="367"/>
      <c r="QHC193" s="368" t="s">
        <v>168</v>
      </c>
      <c r="QHD193" s="369">
        <v>0.5</v>
      </c>
      <c r="QHE193" s="370" t="e">
        <f>10/QHA191</f>
        <v>#DIV/0!</v>
      </c>
      <c r="QHF193" s="371">
        <v>15.38</v>
      </c>
      <c r="QHG193" s="371" t="e">
        <f>QHD193*QHE193*QHF193</f>
        <v>#DIV/0!</v>
      </c>
      <c r="QHH193" s="367" t="s">
        <v>206</v>
      </c>
      <c r="QHI193" s="367"/>
      <c r="QHJ193" s="367"/>
      <c r="QHK193" s="368" t="s">
        <v>168</v>
      </c>
      <c r="QHL193" s="369">
        <v>0.5</v>
      </c>
      <c r="QHM193" s="370" t="e">
        <f>10/QHI191</f>
        <v>#DIV/0!</v>
      </c>
      <c r="QHN193" s="371">
        <v>15.38</v>
      </c>
      <c r="QHO193" s="371" t="e">
        <f>QHL193*QHM193*QHN193</f>
        <v>#DIV/0!</v>
      </c>
      <c r="QHP193" s="367" t="s">
        <v>206</v>
      </c>
      <c r="QHQ193" s="367"/>
      <c r="QHR193" s="367"/>
      <c r="QHS193" s="368" t="s">
        <v>168</v>
      </c>
      <c r="QHT193" s="369">
        <v>0.5</v>
      </c>
      <c r="QHU193" s="370" t="e">
        <f>10/QHQ191</f>
        <v>#DIV/0!</v>
      </c>
      <c r="QHV193" s="371">
        <v>15.38</v>
      </c>
      <c r="QHW193" s="371" t="e">
        <f>QHT193*QHU193*QHV193</f>
        <v>#DIV/0!</v>
      </c>
      <c r="QHX193" s="367" t="s">
        <v>206</v>
      </c>
      <c r="QHY193" s="367"/>
      <c r="QHZ193" s="367"/>
      <c r="QIA193" s="368" t="s">
        <v>168</v>
      </c>
      <c r="QIB193" s="369">
        <v>0.5</v>
      </c>
      <c r="QIC193" s="370" t="e">
        <f>10/QHY191</f>
        <v>#DIV/0!</v>
      </c>
      <c r="QID193" s="371">
        <v>15.38</v>
      </c>
      <c r="QIE193" s="371" t="e">
        <f>QIB193*QIC193*QID193</f>
        <v>#DIV/0!</v>
      </c>
      <c r="QIF193" s="367" t="s">
        <v>206</v>
      </c>
      <c r="QIG193" s="367"/>
      <c r="QIH193" s="367"/>
      <c r="QII193" s="368" t="s">
        <v>168</v>
      </c>
      <c r="QIJ193" s="369">
        <v>0.5</v>
      </c>
      <c r="QIK193" s="370" t="e">
        <f>10/QIG191</f>
        <v>#DIV/0!</v>
      </c>
      <c r="QIL193" s="371">
        <v>15.38</v>
      </c>
      <c r="QIM193" s="371" t="e">
        <f>QIJ193*QIK193*QIL193</f>
        <v>#DIV/0!</v>
      </c>
      <c r="QIN193" s="367" t="s">
        <v>206</v>
      </c>
      <c r="QIO193" s="367"/>
      <c r="QIP193" s="367"/>
      <c r="QIQ193" s="368" t="s">
        <v>168</v>
      </c>
      <c r="QIR193" s="369">
        <v>0.5</v>
      </c>
      <c r="QIS193" s="370" t="e">
        <f>10/QIO191</f>
        <v>#DIV/0!</v>
      </c>
      <c r="QIT193" s="371">
        <v>15.38</v>
      </c>
      <c r="QIU193" s="371" t="e">
        <f>QIR193*QIS193*QIT193</f>
        <v>#DIV/0!</v>
      </c>
      <c r="QIV193" s="367" t="s">
        <v>206</v>
      </c>
      <c r="QIW193" s="367"/>
      <c r="QIX193" s="367"/>
      <c r="QIY193" s="368" t="s">
        <v>168</v>
      </c>
      <c r="QIZ193" s="369">
        <v>0.5</v>
      </c>
      <c r="QJA193" s="370" t="e">
        <f>10/QIW191</f>
        <v>#DIV/0!</v>
      </c>
      <c r="QJB193" s="371">
        <v>15.38</v>
      </c>
      <c r="QJC193" s="371" t="e">
        <f>QIZ193*QJA193*QJB193</f>
        <v>#DIV/0!</v>
      </c>
      <c r="QJD193" s="367" t="s">
        <v>206</v>
      </c>
      <c r="QJE193" s="367"/>
      <c r="QJF193" s="367"/>
      <c r="QJG193" s="368" t="s">
        <v>168</v>
      </c>
      <c r="QJH193" s="369">
        <v>0.5</v>
      </c>
      <c r="QJI193" s="370" t="e">
        <f>10/QJE191</f>
        <v>#DIV/0!</v>
      </c>
      <c r="QJJ193" s="371">
        <v>15.38</v>
      </c>
      <c r="QJK193" s="371" t="e">
        <f>QJH193*QJI193*QJJ193</f>
        <v>#DIV/0!</v>
      </c>
      <c r="QJL193" s="367" t="s">
        <v>206</v>
      </c>
      <c r="QJM193" s="367"/>
      <c r="QJN193" s="367"/>
      <c r="QJO193" s="368" t="s">
        <v>168</v>
      </c>
      <c r="QJP193" s="369">
        <v>0.5</v>
      </c>
      <c r="QJQ193" s="370" t="e">
        <f>10/QJM191</f>
        <v>#DIV/0!</v>
      </c>
      <c r="QJR193" s="371">
        <v>15.38</v>
      </c>
      <c r="QJS193" s="371" t="e">
        <f>QJP193*QJQ193*QJR193</f>
        <v>#DIV/0!</v>
      </c>
      <c r="QJT193" s="367" t="s">
        <v>206</v>
      </c>
      <c r="QJU193" s="367"/>
      <c r="QJV193" s="367"/>
      <c r="QJW193" s="368" t="s">
        <v>168</v>
      </c>
      <c r="QJX193" s="369">
        <v>0.5</v>
      </c>
      <c r="QJY193" s="370" t="e">
        <f>10/QJU191</f>
        <v>#DIV/0!</v>
      </c>
      <c r="QJZ193" s="371">
        <v>15.38</v>
      </c>
      <c r="QKA193" s="371" t="e">
        <f>QJX193*QJY193*QJZ193</f>
        <v>#DIV/0!</v>
      </c>
      <c r="QKB193" s="367" t="s">
        <v>206</v>
      </c>
      <c r="QKC193" s="367"/>
      <c r="QKD193" s="367"/>
      <c r="QKE193" s="368" t="s">
        <v>168</v>
      </c>
      <c r="QKF193" s="369">
        <v>0.5</v>
      </c>
      <c r="QKG193" s="370" t="e">
        <f>10/QKC191</f>
        <v>#DIV/0!</v>
      </c>
      <c r="QKH193" s="371">
        <v>15.38</v>
      </c>
      <c r="QKI193" s="371" t="e">
        <f>QKF193*QKG193*QKH193</f>
        <v>#DIV/0!</v>
      </c>
      <c r="QKJ193" s="367" t="s">
        <v>206</v>
      </c>
      <c r="QKK193" s="367"/>
      <c r="QKL193" s="367"/>
      <c r="QKM193" s="368" t="s">
        <v>168</v>
      </c>
      <c r="QKN193" s="369">
        <v>0.5</v>
      </c>
      <c r="QKO193" s="370" t="e">
        <f>10/QKK191</f>
        <v>#DIV/0!</v>
      </c>
      <c r="QKP193" s="371">
        <v>15.38</v>
      </c>
      <c r="QKQ193" s="371" t="e">
        <f>QKN193*QKO193*QKP193</f>
        <v>#DIV/0!</v>
      </c>
      <c r="QKR193" s="367" t="s">
        <v>206</v>
      </c>
      <c r="QKS193" s="367"/>
      <c r="QKT193" s="367"/>
      <c r="QKU193" s="368" t="s">
        <v>168</v>
      </c>
      <c r="QKV193" s="369">
        <v>0.5</v>
      </c>
      <c r="QKW193" s="370" t="e">
        <f>10/QKS191</f>
        <v>#DIV/0!</v>
      </c>
      <c r="QKX193" s="371">
        <v>15.38</v>
      </c>
      <c r="QKY193" s="371" t="e">
        <f>QKV193*QKW193*QKX193</f>
        <v>#DIV/0!</v>
      </c>
      <c r="QKZ193" s="367" t="s">
        <v>206</v>
      </c>
      <c r="QLA193" s="367"/>
      <c r="QLB193" s="367"/>
      <c r="QLC193" s="368" t="s">
        <v>168</v>
      </c>
      <c r="QLD193" s="369">
        <v>0.5</v>
      </c>
      <c r="QLE193" s="370" t="e">
        <f>10/QLA191</f>
        <v>#DIV/0!</v>
      </c>
      <c r="QLF193" s="371">
        <v>15.38</v>
      </c>
      <c r="QLG193" s="371" t="e">
        <f>QLD193*QLE193*QLF193</f>
        <v>#DIV/0!</v>
      </c>
      <c r="QLH193" s="367" t="s">
        <v>206</v>
      </c>
      <c r="QLI193" s="367"/>
      <c r="QLJ193" s="367"/>
      <c r="QLK193" s="368" t="s">
        <v>168</v>
      </c>
      <c r="QLL193" s="369">
        <v>0.5</v>
      </c>
      <c r="QLM193" s="370" t="e">
        <f>10/QLI191</f>
        <v>#DIV/0!</v>
      </c>
      <c r="QLN193" s="371">
        <v>15.38</v>
      </c>
      <c r="QLO193" s="371" t="e">
        <f>QLL193*QLM193*QLN193</f>
        <v>#DIV/0!</v>
      </c>
      <c r="QLP193" s="367" t="s">
        <v>206</v>
      </c>
      <c r="QLQ193" s="367"/>
      <c r="QLR193" s="367"/>
      <c r="QLS193" s="368" t="s">
        <v>168</v>
      </c>
      <c r="QLT193" s="369">
        <v>0.5</v>
      </c>
      <c r="QLU193" s="370" t="e">
        <f>10/QLQ191</f>
        <v>#DIV/0!</v>
      </c>
      <c r="QLV193" s="371">
        <v>15.38</v>
      </c>
      <c r="QLW193" s="371" t="e">
        <f>QLT193*QLU193*QLV193</f>
        <v>#DIV/0!</v>
      </c>
      <c r="QLX193" s="367" t="s">
        <v>206</v>
      </c>
      <c r="QLY193" s="367"/>
      <c r="QLZ193" s="367"/>
      <c r="QMA193" s="368" t="s">
        <v>168</v>
      </c>
      <c r="QMB193" s="369">
        <v>0.5</v>
      </c>
      <c r="QMC193" s="370" t="e">
        <f>10/QLY191</f>
        <v>#DIV/0!</v>
      </c>
      <c r="QMD193" s="371">
        <v>15.38</v>
      </c>
      <c r="QME193" s="371" t="e">
        <f>QMB193*QMC193*QMD193</f>
        <v>#DIV/0!</v>
      </c>
      <c r="QMF193" s="367" t="s">
        <v>206</v>
      </c>
      <c r="QMG193" s="367"/>
      <c r="QMH193" s="367"/>
      <c r="QMI193" s="368" t="s">
        <v>168</v>
      </c>
      <c r="QMJ193" s="369">
        <v>0.5</v>
      </c>
      <c r="QMK193" s="370" t="e">
        <f>10/QMG191</f>
        <v>#DIV/0!</v>
      </c>
      <c r="QML193" s="371">
        <v>15.38</v>
      </c>
      <c r="QMM193" s="371" t="e">
        <f>QMJ193*QMK193*QML193</f>
        <v>#DIV/0!</v>
      </c>
      <c r="QMN193" s="367" t="s">
        <v>206</v>
      </c>
      <c r="QMO193" s="367"/>
      <c r="QMP193" s="367"/>
      <c r="QMQ193" s="368" t="s">
        <v>168</v>
      </c>
      <c r="QMR193" s="369">
        <v>0.5</v>
      </c>
      <c r="QMS193" s="370" t="e">
        <f>10/QMO191</f>
        <v>#DIV/0!</v>
      </c>
      <c r="QMT193" s="371">
        <v>15.38</v>
      </c>
      <c r="QMU193" s="371" t="e">
        <f>QMR193*QMS193*QMT193</f>
        <v>#DIV/0!</v>
      </c>
      <c r="QMV193" s="367" t="s">
        <v>206</v>
      </c>
      <c r="QMW193" s="367"/>
      <c r="QMX193" s="367"/>
      <c r="QMY193" s="368" t="s">
        <v>168</v>
      </c>
      <c r="QMZ193" s="369">
        <v>0.5</v>
      </c>
      <c r="QNA193" s="370" t="e">
        <f>10/QMW191</f>
        <v>#DIV/0!</v>
      </c>
      <c r="QNB193" s="371">
        <v>15.38</v>
      </c>
      <c r="QNC193" s="371" t="e">
        <f>QMZ193*QNA193*QNB193</f>
        <v>#DIV/0!</v>
      </c>
      <c r="QND193" s="367" t="s">
        <v>206</v>
      </c>
      <c r="QNE193" s="367"/>
      <c r="QNF193" s="367"/>
      <c r="QNG193" s="368" t="s">
        <v>168</v>
      </c>
      <c r="QNH193" s="369">
        <v>0.5</v>
      </c>
      <c r="QNI193" s="370" t="e">
        <f>10/QNE191</f>
        <v>#DIV/0!</v>
      </c>
      <c r="QNJ193" s="371">
        <v>15.38</v>
      </c>
      <c r="QNK193" s="371" t="e">
        <f>QNH193*QNI193*QNJ193</f>
        <v>#DIV/0!</v>
      </c>
      <c r="QNL193" s="367" t="s">
        <v>206</v>
      </c>
      <c r="QNM193" s="367"/>
      <c r="QNN193" s="367"/>
      <c r="QNO193" s="368" t="s">
        <v>168</v>
      </c>
      <c r="QNP193" s="369">
        <v>0.5</v>
      </c>
      <c r="QNQ193" s="370" t="e">
        <f>10/QNM191</f>
        <v>#DIV/0!</v>
      </c>
      <c r="QNR193" s="371">
        <v>15.38</v>
      </c>
      <c r="QNS193" s="371" t="e">
        <f>QNP193*QNQ193*QNR193</f>
        <v>#DIV/0!</v>
      </c>
      <c r="QNT193" s="367" t="s">
        <v>206</v>
      </c>
      <c r="QNU193" s="367"/>
      <c r="QNV193" s="367"/>
      <c r="QNW193" s="368" t="s">
        <v>168</v>
      </c>
      <c r="QNX193" s="369">
        <v>0.5</v>
      </c>
      <c r="QNY193" s="370" t="e">
        <f>10/QNU191</f>
        <v>#DIV/0!</v>
      </c>
      <c r="QNZ193" s="371">
        <v>15.38</v>
      </c>
      <c r="QOA193" s="371" t="e">
        <f>QNX193*QNY193*QNZ193</f>
        <v>#DIV/0!</v>
      </c>
      <c r="QOB193" s="367" t="s">
        <v>206</v>
      </c>
      <c r="QOC193" s="367"/>
      <c r="QOD193" s="367"/>
      <c r="QOE193" s="368" t="s">
        <v>168</v>
      </c>
      <c r="QOF193" s="369">
        <v>0.5</v>
      </c>
      <c r="QOG193" s="370" t="e">
        <f>10/QOC191</f>
        <v>#DIV/0!</v>
      </c>
      <c r="QOH193" s="371">
        <v>15.38</v>
      </c>
      <c r="QOI193" s="371" t="e">
        <f>QOF193*QOG193*QOH193</f>
        <v>#DIV/0!</v>
      </c>
      <c r="QOJ193" s="367" t="s">
        <v>206</v>
      </c>
      <c r="QOK193" s="367"/>
      <c r="QOL193" s="367"/>
      <c r="QOM193" s="368" t="s">
        <v>168</v>
      </c>
      <c r="QON193" s="369">
        <v>0.5</v>
      </c>
      <c r="QOO193" s="370" t="e">
        <f>10/QOK191</f>
        <v>#DIV/0!</v>
      </c>
      <c r="QOP193" s="371">
        <v>15.38</v>
      </c>
      <c r="QOQ193" s="371" t="e">
        <f>QON193*QOO193*QOP193</f>
        <v>#DIV/0!</v>
      </c>
      <c r="QOR193" s="367" t="s">
        <v>206</v>
      </c>
      <c r="QOS193" s="367"/>
      <c r="QOT193" s="367"/>
      <c r="QOU193" s="368" t="s">
        <v>168</v>
      </c>
      <c r="QOV193" s="369">
        <v>0.5</v>
      </c>
      <c r="QOW193" s="370" t="e">
        <f>10/QOS191</f>
        <v>#DIV/0!</v>
      </c>
      <c r="QOX193" s="371">
        <v>15.38</v>
      </c>
      <c r="QOY193" s="371" t="e">
        <f>QOV193*QOW193*QOX193</f>
        <v>#DIV/0!</v>
      </c>
      <c r="QOZ193" s="367" t="s">
        <v>206</v>
      </c>
      <c r="QPA193" s="367"/>
      <c r="QPB193" s="367"/>
      <c r="QPC193" s="368" t="s">
        <v>168</v>
      </c>
      <c r="QPD193" s="369">
        <v>0.5</v>
      </c>
      <c r="QPE193" s="370" t="e">
        <f>10/QPA191</f>
        <v>#DIV/0!</v>
      </c>
      <c r="QPF193" s="371">
        <v>15.38</v>
      </c>
      <c r="QPG193" s="371" t="e">
        <f>QPD193*QPE193*QPF193</f>
        <v>#DIV/0!</v>
      </c>
      <c r="QPH193" s="367" t="s">
        <v>206</v>
      </c>
      <c r="QPI193" s="367"/>
      <c r="QPJ193" s="367"/>
      <c r="QPK193" s="368" t="s">
        <v>168</v>
      </c>
      <c r="QPL193" s="369">
        <v>0.5</v>
      </c>
      <c r="QPM193" s="370" t="e">
        <f>10/QPI191</f>
        <v>#DIV/0!</v>
      </c>
      <c r="QPN193" s="371">
        <v>15.38</v>
      </c>
      <c r="QPO193" s="371" t="e">
        <f>QPL193*QPM193*QPN193</f>
        <v>#DIV/0!</v>
      </c>
      <c r="QPP193" s="367" t="s">
        <v>206</v>
      </c>
      <c r="QPQ193" s="367"/>
      <c r="QPR193" s="367"/>
      <c r="QPS193" s="368" t="s">
        <v>168</v>
      </c>
      <c r="QPT193" s="369">
        <v>0.5</v>
      </c>
      <c r="QPU193" s="370" t="e">
        <f>10/QPQ191</f>
        <v>#DIV/0!</v>
      </c>
      <c r="QPV193" s="371">
        <v>15.38</v>
      </c>
      <c r="QPW193" s="371" t="e">
        <f>QPT193*QPU193*QPV193</f>
        <v>#DIV/0!</v>
      </c>
      <c r="QPX193" s="367" t="s">
        <v>206</v>
      </c>
      <c r="QPY193" s="367"/>
      <c r="QPZ193" s="367"/>
      <c r="QQA193" s="368" t="s">
        <v>168</v>
      </c>
      <c r="QQB193" s="369">
        <v>0.5</v>
      </c>
      <c r="QQC193" s="370" t="e">
        <f>10/QPY191</f>
        <v>#DIV/0!</v>
      </c>
      <c r="QQD193" s="371">
        <v>15.38</v>
      </c>
      <c r="QQE193" s="371" t="e">
        <f>QQB193*QQC193*QQD193</f>
        <v>#DIV/0!</v>
      </c>
      <c r="QQF193" s="367" t="s">
        <v>206</v>
      </c>
      <c r="QQG193" s="367"/>
      <c r="QQH193" s="367"/>
      <c r="QQI193" s="368" t="s">
        <v>168</v>
      </c>
      <c r="QQJ193" s="369">
        <v>0.5</v>
      </c>
      <c r="QQK193" s="370" t="e">
        <f>10/QQG191</f>
        <v>#DIV/0!</v>
      </c>
      <c r="QQL193" s="371">
        <v>15.38</v>
      </c>
      <c r="QQM193" s="371" t="e">
        <f>QQJ193*QQK193*QQL193</f>
        <v>#DIV/0!</v>
      </c>
      <c r="QQN193" s="367" t="s">
        <v>206</v>
      </c>
      <c r="QQO193" s="367"/>
      <c r="QQP193" s="367"/>
      <c r="QQQ193" s="368" t="s">
        <v>168</v>
      </c>
      <c r="QQR193" s="369">
        <v>0.5</v>
      </c>
      <c r="QQS193" s="370" t="e">
        <f>10/QQO191</f>
        <v>#DIV/0!</v>
      </c>
      <c r="QQT193" s="371">
        <v>15.38</v>
      </c>
      <c r="QQU193" s="371" t="e">
        <f>QQR193*QQS193*QQT193</f>
        <v>#DIV/0!</v>
      </c>
      <c r="QQV193" s="367" t="s">
        <v>206</v>
      </c>
      <c r="QQW193" s="367"/>
      <c r="QQX193" s="367"/>
      <c r="QQY193" s="368" t="s">
        <v>168</v>
      </c>
      <c r="QQZ193" s="369">
        <v>0.5</v>
      </c>
      <c r="QRA193" s="370" t="e">
        <f>10/QQW191</f>
        <v>#DIV/0!</v>
      </c>
      <c r="QRB193" s="371">
        <v>15.38</v>
      </c>
      <c r="QRC193" s="371" t="e">
        <f>QQZ193*QRA193*QRB193</f>
        <v>#DIV/0!</v>
      </c>
      <c r="QRD193" s="367" t="s">
        <v>206</v>
      </c>
      <c r="QRE193" s="367"/>
      <c r="QRF193" s="367"/>
      <c r="QRG193" s="368" t="s">
        <v>168</v>
      </c>
      <c r="QRH193" s="369">
        <v>0.5</v>
      </c>
      <c r="QRI193" s="370" t="e">
        <f>10/QRE191</f>
        <v>#DIV/0!</v>
      </c>
      <c r="QRJ193" s="371">
        <v>15.38</v>
      </c>
      <c r="QRK193" s="371" t="e">
        <f>QRH193*QRI193*QRJ193</f>
        <v>#DIV/0!</v>
      </c>
      <c r="QRL193" s="367" t="s">
        <v>206</v>
      </c>
      <c r="QRM193" s="367"/>
      <c r="QRN193" s="367"/>
      <c r="QRO193" s="368" t="s">
        <v>168</v>
      </c>
      <c r="QRP193" s="369">
        <v>0.5</v>
      </c>
      <c r="QRQ193" s="370" t="e">
        <f>10/QRM191</f>
        <v>#DIV/0!</v>
      </c>
      <c r="QRR193" s="371">
        <v>15.38</v>
      </c>
      <c r="QRS193" s="371" t="e">
        <f>QRP193*QRQ193*QRR193</f>
        <v>#DIV/0!</v>
      </c>
      <c r="QRT193" s="367" t="s">
        <v>206</v>
      </c>
      <c r="QRU193" s="367"/>
      <c r="QRV193" s="367"/>
      <c r="QRW193" s="368" t="s">
        <v>168</v>
      </c>
      <c r="QRX193" s="369">
        <v>0.5</v>
      </c>
      <c r="QRY193" s="370" t="e">
        <f>10/QRU191</f>
        <v>#DIV/0!</v>
      </c>
      <c r="QRZ193" s="371">
        <v>15.38</v>
      </c>
      <c r="QSA193" s="371" t="e">
        <f>QRX193*QRY193*QRZ193</f>
        <v>#DIV/0!</v>
      </c>
      <c r="QSB193" s="367" t="s">
        <v>206</v>
      </c>
      <c r="QSC193" s="367"/>
      <c r="QSD193" s="367"/>
      <c r="QSE193" s="368" t="s">
        <v>168</v>
      </c>
      <c r="QSF193" s="369">
        <v>0.5</v>
      </c>
      <c r="QSG193" s="370" t="e">
        <f>10/QSC191</f>
        <v>#DIV/0!</v>
      </c>
      <c r="QSH193" s="371">
        <v>15.38</v>
      </c>
      <c r="QSI193" s="371" t="e">
        <f>QSF193*QSG193*QSH193</f>
        <v>#DIV/0!</v>
      </c>
      <c r="QSJ193" s="367" t="s">
        <v>206</v>
      </c>
      <c r="QSK193" s="367"/>
      <c r="QSL193" s="367"/>
      <c r="QSM193" s="368" t="s">
        <v>168</v>
      </c>
      <c r="QSN193" s="369">
        <v>0.5</v>
      </c>
      <c r="QSO193" s="370" t="e">
        <f>10/QSK191</f>
        <v>#DIV/0!</v>
      </c>
      <c r="QSP193" s="371">
        <v>15.38</v>
      </c>
      <c r="QSQ193" s="371" t="e">
        <f>QSN193*QSO193*QSP193</f>
        <v>#DIV/0!</v>
      </c>
      <c r="QSR193" s="367" t="s">
        <v>206</v>
      </c>
      <c r="QSS193" s="367"/>
      <c r="QST193" s="367"/>
      <c r="QSU193" s="368" t="s">
        <v>168</v>
      </c>
      <c r="QSV193" s="369">
        <v>0.5</v>
      </c>
      <c r="QSW193" s="370" t="e">
        <f>10/QSS191</f>
        <v>#DIV/0!</v>
      </c>
      <c r="QSX193" s="371">
        <v>15.38</v>
      </c>
      <c r="QSY193" s="371" t="e">
        <f>QSV193*QSW193*QSX193</f>
        <v>#DIV/0!</v>
      </c>
      <c r="QSZ193" s="367" t="s">
        <v>206</v>
      </c>
      <c r="QTA193" s="367"/>
      <c r="QTB193" s="367"/>
      <c r="QTC193" s="368" t="s">
        <v>168</v>
      </c>
      <c r="QTD193" s="369">
        <v>0.5</v>
      </c>
      <c r="QTE193" s="370" t="e">
        <f>10/QTA191</f>
        <v>#DIV/0!</v>
      </c>
      <c r="QTF193" s="371">
        <v>15.38</v>
      </c>
      <c r="QTG193" s="371" t="e">
        <f>QTD193*QTE193*QTF193</f>
        <v>#DIV/0!</v>
      </c>
      <c r="QTH193" s="367" t="s">
        <v>206</v>
      </c>
      <c r="QTI193" s="367"/>
      <c r="QTJ193" s="367"/>
      <c r="QTK193" s="368" t="s">
        <v>168</v>
      </c>
      <c r="QTL193" s="369">
        <v>0.5</v>
      </c>
      <c r="QTM193" s="370" t="e">
        <f>10/QTI191</f>
        <v>#DIV/0!</v>
      </c>
      <c r="QTN193" s="371">
        <v>15.38</v>
      </c>
      <c r="QTO193" s="371" t="e">
        <f>QTL193*QTM193*QTN193</f>
        <v>#DIV/0!</v>
      </c>
      <c r="QTP193" s="367" t="s">
        <v>206</v>
      </c>
      <c r="QTQ193" s="367"/>
      <c r="QTR193" s="367"/>
      <c r="QTS193" s="368" t="s">
        <v>168</v>
      </c>
      <c r="QTT193" s="369">
        <v>0.5</v>
      </c>
      <c r="QTU193" s="370" t="e">
        <f>10/QTQ191</f>
        <v>#DIV/0!</v>
      </c>
      <c r="QTV193" s="371">
        <v>15.38</v>
      </c>
      <c r="QTW193" s="371" t="e">
        <f>QTT193*QTU193*QTV193</f>
        <v>#DIV/0!</v>
      </c>
      <c r="QTX193" s="367" t="s">
        <v>206</v>
      </c>
      <c r="QTY193" s="367"/>
      <c r="QTZ193" s="367"/>
      <c r="QUA193" s="368" t="s">
        <v>168</v>
      </c>
      <c r="QUB193" s="369">
        <v>0.5</v>
      </c>
      <c r="QUC193" s="370" t="e">
        <f>10/QTY191</f>
        <v>#DIV/0!</v>
      </c>
      <c r="QUD193" s="371">
        <v>15.38</v>
      </c>
      <c r="QUE193" s="371" t="e">
        <f>QUB193*QUC193*QUD193</f>
        <v>#DIV/0!</v>
      </c>
      <c r="QUF193" s="367" t="s">
        <v>206</v>
      </c>
      <c r="QUG193" s="367"/>
      <c r="QUH193" s="367"/>
      <c r="QUI193" s="368" t="s">
        <v>168</v>
      </c>
      <c r="QUJ193" s="369">
        <v>0.5</v>
      </c>
      <c r="QUK193" s="370" t="e">
        <f>10/QUG191</f>
        <v>#DIV/0!</v>
      </c>
      <c r="QUL193" s="371">
        <v>15.38</v>
      </c>
      <c r="QUM193" s="371" t="e">
        <f>QUJ193*QUK193*QUL193</f>
        <v>#DIV/0!</v>
      </c>
      <c r="QUN193" s="367" t="s">
        <v>206</v>
      </c>
      <c r="QUO193" s="367"/>
      <c r="QUP193" s="367"/>
      <c r="QUQ193" s="368" t="s">
        <v>168</v>
      </c>
      <c r="QUR193" s="369">
        <v>0.5</v>
      </c>
      <c r="QUS193" s="370" t="e">
        <f>10/QUO191</f>
        <v>#DIV/0!</v>
      </c>
      <c r="QUT193" s="371">
        <v>15.38</v>
      </c>
      <c r="QUU193" s="371" t="e">
        <f>QUR193*QUS193*QUT193</f>
        <v>#DIV/0!</v>
      </c>
      <c r="QUV193" s="367" t="s">
        <v>206</v>
      </c>
      <c r="QUW193" s="367"/>
      <c r="QUX193" s="367"/>
      <c r="QUY193" s="368" t="s">
        <v>168</v>
      </c>
      <c r="QUZ193" s="369">
        <v>0.5</v>
      </c>
      <c r="QVA193" s="370" t="e">
        <f>10/QUW191</f>
        <v>#DIV/0!</v>
      </c>
      <c r="QVB193" s="371">
        <v>15.38</v>
      </c>
      <c r="QVC193" s="371" t="e">
        <f>QUZ193*QVA193*QVB193</f>
        <v>#DIV/0!</v>
      </c>
      <c r="QVD193" s="367" t="s">
        <v>206</v>
      </c>
      <c r="QVE193" s="367"/>
      <c r="QVF193" s="367"/>
      <c r="QVG193" s="368" t="s">
        <v>168</v>
      </c>
      <c r="QVH193" s="369">
        <v>0.5</v>
      </c>
      <c r="QVI193" s="370" t="e">
        <f>10/QVE191</f>
        <v>#DIV/0!</v>
      </c>
      <c r="QVJ193" s="371">
        <v>15.38</v>
      </c>
      <c r="QVK193" s="371" t="e">
        <f>QVH193*QVI193*QVJ193</f>
        <v>#DIV/0!</v>
      </c>
      <c r="QVL193" s="367" t="s">
        <v>206</v>
      </c>
      <c r="QVM193" s="367"/>
      <c r="QVN193" s="367"/>
      <c r="QVO193" s="368" t="s">
        <v>168</v>
      </c>
      <c r="QVP193" s="369">
        <v>0.5</v>
      </c>
      <c r="QVQ193" s="370" t="e">
        <f>10/QVM191</f>
        <v>#DIV/0!</v>
      </c>
      <c r="QVR193" s="371">
        <v>15.38</v>
      </c>
      <c r="QVS193" s="371" t="e">
        <f>QVP193*QVQ193*QVR193</f>
        <v>#DIV/0!</v>
      </c>
      <c r="QVT193" s="367" t="s">
        <v>206</v>
      </c>
      <c r="QVU193" s="367"/>
      <c r="QVV193" s="367"/>
      <c r="QVW193" s="368" t="s">
        <v>168</v>
      </c>
      <c r="QVX193" s="369">
        <v>0.5</v>
      </c>
      <c r="QVY193" s="370" t="e">
        <f>10/QVU191</f>
        <v>#DIV/0!</v>
      </c>
      <c r="QVZ193" s="371">
        <v>15.38</v>
      </c>
      <c r="QWA193" s="371" t="e">
        <f>QVX193*QVY193*QVZ193</f>
        <v>#DIV/0!</v>
      </c>
      <c r="QWB193" s="367" t="s">
        <v>206</v>
      </c>
      <c r="QWC193" s="367"/>
      <c r="QWD193" s="367"/>
      <c r="QWE193" s="368" t="s">
        <v>168</v>
      </c>
      <c r="QWF193" s="369">
        <v>0.5</v>
      </c>
      <c r="QWG193" s="370" t="e">
        <f>10/QWC191</f>
        <v>#DIV/0!</v>
      </c>
      <c r="QWH193" s="371">
        <v>15.38</v>
      </c>
      <c r="QWI193" s="371" t="e">
        <f>QWF193*QWG193*QWH193</f>
        <v>#DIV/0!</v>
      </c>
      <c r="QWJ193" s="367" t="s">
        <v>206</v>
      </c>
      <c r="QWK193" s="367"/>
      <c r="QWL193" s="367"/>
      <c r="QWM193" s="368" t="s">
        <v>168</v>
      </c>
      <c r="QWN193" s="369">
        <v>0.5</v>
      </c>
      <c r="QWO193" s="370" t="e">
        <f>10/QWK191</f>
        <v>#DIV/0!</v>
      </c>
      <c r="QWP193" s="371">
        <v>15.38</v>
      </c>
      <c r="QWQ193" s="371" t="e">
        <f>QWN193*QWO193*QWP193</f>
        <v>#DIV/0!</v>
      </c>
      <c r="QWR193" s="367" t="s">
        <v>206</v>
      </c>
      <c r="QWS193" s="367"/>
      <c r="QWT193" s="367"/>
      <c r="QWU193" s="368" t="s">
        <v>168</v>
      </c>
      <c r="QWV193" s="369">
        <v>0.5</v>
      </c>
      <c r="QWW193" s="370" t="e">
        <f>10/QWS191</f>
        <v>#DIV/0!</v>
      </c>
      <c r="QWX193" s="371">
        <v>15.38</v>
      </c>
      <c r="QWY193" s="371" t="e">
        <f>QWV193*QWW193*QWX193</f>
        <v>#DIV/0!</v>
      </c>
      <c r="QWZ193" s="367" t="s">
        <v>206</v>
      </c>
      <c r="QXA193" s="367"/>
      <c r="QXB193" s="367"/>
      <c r="QXC193" s="368" t="s">
        <v>168</v>
      </c>
      <c r="QXD193" s="369">
        <v>0.5</v>
      </c>
      <c r="QXE193" s="370" t="e">
        <f>10/QXA191</f>
        <v>#DIV/0!</v>
      </c>
      <c r="QXF193" s="371">
        <v>15.38</v>
      </c>
      <c r="QXG193" s="371" t="e">
        <f>QXD193*QXE193*QXF193</f>
        <v>#DIV/0!</v>
      </c>
      <c r="QXH193" s="367" t="s">
        <v>206</v>
      </c>
      <c r="QXI193" s="367"/>
      <c r="QXJ193" s="367"/>
      <c r="QXK193" s="368" t="s">
        <v>168</v>
      </c>
      <c r="QXL193" s="369">
        <v>0.5</v>
      </c>
      <c r="QXM193" s="370" t="e">
        <f>10/QXI191</f>
        <v>#DIV/0!</v>
      </c>
      <c r="QXN193" s="371">
        <v>15.38</v>
      </c>
      <c r="QXO193" s="371" t="e">
        <f>QXL193*QXM193*QXN193</f>
        <v>#DIV/0!</v>
      </c>
      <c r="QXP193" s="367" t="s">
        <v>206</v>
      </c>
      <c r="QXQ193" s="367"/>
      <c r="QXR193" s="367"/>
      <c r="QXS193" s="368" t="s">
        <v>168</v>
      </c>
      <c r="QXT193" s="369">
        <v>0.5</v>
      </c>
      <c r="QXU193" s="370" t="e">
        <f>10/QXQ191</f>
        <v>#DIV/0!</v>
      </c>
      <c r="QXV193" s="371">
        <v>15.38</v>
      </c>
      <c r="QXW193" s="371" t="e">
        <f>QXT193*QXU193*QXV193</f>
        <v>#DIV/0!</v>
      </c>
      <c r="QXX193" s="367" t="s">
        <v>206</v>
      </c>
      <c r="QXY193" s="367"/>
      <c r="QXZ193" s="367"/>
      <c r="QYA193" s="368" t="s">
        <v>168</v>
      </c>
      <c r="QYB193" s="369">
        <v>0.5</v>
      </c>
      <c r="QYC193" s="370" t="e">
        <f>10/QXY191</f>
        <v>#DIV/0!</v>
      </c>
      <c r="QYD193" s="371">
        <v>15.38</v>
      </c>
      <c r="QYE193" s="371" t="e">
        <f>QYB193*QYC193*QYD193</f>
        <v>#DIV/0!</v>
      </c>
      <c r="QYF193" s="367" t="s">
        <v>206</v>
      </c>
      <c r="QYG193" s="367"/>
      <c r="QYH193" s="367"/>
      <c r="QYI193" s="368" t="s">
        <v>168</v>
      </c>
      <c r="QYJ193" s="369">
        <v>0.5</v>
      </c>
      <c r="QYK193" s="370" t="e">
        <f>10/QYG191</f>
        <v>#DIV/0!</v>
      </c>
      <c r="QYL193" s="371">
        <v>15.38</v>
      </c>
      <c r="QYM193" s="371" t="e">
        <f>QYJ193*QYK193*QYL193</f>
        <v>#DIV/0!</v>
      </c>
      <c r="QYN193" s="367" t="s">
        <v>206</v>
      </c>
      <c r="QYO193" s="367"/>
      <c r="QYP193" s="367"/>
      <c r="QYQ193" s="368" t="s">
        <v>168</v>
      </c>
      <c r="QYR193" s="369">
        <v>0.5</v>
      </c>
      <c r="QYS193" s="370" t="e">
        <f>10/QYO191</f>
        <v>#DIV/0!</v>
      </c>
      <c r="QYT193" s="371">
        <v>15.38</v>
      </c>
      <c r="QYU193" s="371" t="e">
        <f>QYR193*QYS193*QYT193</f>
        <v>#DIV/0!</v>
      </c>
      <c r="QYV193" s="367" t="s">
        <v>206</v>
      </c>
      <c r="QYW193" s="367"/>
      <c r="QYX193" s="367"/>
      <c r="QYY193" s="368" t="s">
        <v>168</v>
      </c>
      <c r="QYZ193" s="369">
        <v>0.5</v>
      </c>
      <c r="QZA193" s="370" t="e">
        <f>10/QYW191</f>
        <v>#DIV/0!</v>
      </c>
      <c r="QZB193" s="371">
        <v>15.38</v>
      </c>
      <c r="QZC193" s="371" t="e">
        <f>QYZ193*QZA193*QZB193</f>
        <v>#DIV/0!</v>
      </c>
      <c r="QZD193" s="367" t="s">
        <v>206</v>
      </c>
      <c r="QZE193" s="367"/>
      <c r="QZF193" s="367"/>
      <c r="QZG193" s="368" t="s">
        <v>168</v>
      </c>
      <c r="QZH193" s="369">
        <v>0.5</v>
      </c>
      <c r="QZI193" s="370" t="e">
        <f>10/QZE191</f>
        <v>#DIV/0!</v>
      </c>
      <c r="QZJ193" s="371">
        <v>15.38</v>
      </c>
      <c r="QZK193" s="371" t="e">
        <f>QZH193*QZI193*QZJ193</f>
        <v>#DIV/0!</v>
      </c>
      <c r="QZL193" s="367" t="s">
        <v>206</v>
      </c>
      <c r="QZM193" s="367"/>
      <c r="QZN193" s="367"/>
      <c r="QZO193" s="368" t="s">
        <v>168</v>
      </c>
      <c r="QZP193" s="369">
        <v>0.5</v>
      </c>
      <c r="QZQ193" s="370" t="e">
        <f>10/QZM191</f>
        <v>#DIV/0!</v>
      </c>
      <c r="QZR193" s="371">
        <v>15.38</v>
      </c>
      <c r="QZS193" s="371" t="e">
        <f>QZP193*QZQ193*QZR193</f>
        <v>#DIV/0!</v>
      </c>
      <c r="QZT193" s="367" t="s">
        <v>206</v>
      </c>
      <c r="QZU193" s="367"/>
      <c r="QZV193" s="367"/>
      <c r="QZW193" s="368" t="s">
        <v>168</v>
      </c>
      <c r="QZX193" s="369">
        <v>0.5</v>
      </c>
      <c r="QZY193" s="370" t="e">
        <f>10/QZU191</f>
        <v>#DIV/0!</v>
      </c>
      <c r="QZZ193" s="371">
        <v>15.38</v>
      </c>
      <c r="RAA193" s="371" t="e">
        <f>QZX193*QZY193*QZZ193</f>
        <v>#DIV/0!</v>
      </c>
      <c r="RAB193" s="367" t="s">
        <v>206</v>
      </c>
      <c r="RAC193" s="367"/>
      <c r="RAD193" s="367"/>
      <c r="RAE193" s="368" t="s">
        <v>168</v>
      </c>
      <c r="RAF193" s="369">
        <v>0.5</v>
      </c>
      <c r="RAG193" s="370" t="e">
        <f>10/RAC191</f>
        <v>#DIV/0!</v>
      </c>
      <c r="RAH193" s="371">
        <v>15.38</v>
      </c>
      <c r="RAI193" s="371" t="e">
        <f>RAF193*RAG193*RAH193</f>
        <v>#DIV/0!</v>
      </c>
      <c r="RAJ193" s="367" t="s">
        <v>206</v>
      </c>
      <c r="RAK193" s="367"/>
      <c r="RAL193" s="367"/>
      <c r="RAM193" s="368" t="s">
        <v>168</v>
      </c>
      <c r="RAN193" s="369">
        <v>0.5</v>
      </c>
      <c r="RAO193" s="370" t="e">
        <f>10/RAK191</f>
        <v>#DIV/0!</v>
      </c>
      <c r="RAP193" s="371">
        <v>15.38</v>
      </c>
      <c r="RAQ193" s="371" t="e">
        <f>RAN193*RAO193*RAP193</f>
        <v>#DIV/0!</v>
      </c>
      <c r="RAR193" s="367" t="s">
        <v>206</v>
      </c>
      <c r="RAS193" s="367"/>
      <c r="RAT193" s="367"/>
      <c r="RAU193" s="368" t="s">
        <v>168</v>
      </c>
      <c r="RAV193" s="369">
        <v>0.5</v>
      </c>
      <c r="RAW193" s="370" t="e">
        <f>10/RAS191</f>
        <v>#DIV/0!</v>
      </c>
      <c r="RAX193" s="371">
        <v>15.38</v>
      </c>
      <c r="RAY193" s="371" t="e">
        <f>RAV193*RAW193*RAX193</f>
        <v>#DIV/0!</v>
      </c>
      <c r="RAZ193" s="367" t="s">
        <v>206</v>
      </c>
      <c r="RBA193" s="367"/>
      <c r="RBB193" s="367"/>
      <c r="RBC193" s="368" t="s">
        <v>168</v>
      </c>
      <c r="RBD193" s="369">
        <v>0.5</v>
      </c>
      <c r="RBE193" s="370" t="e">
        <f>10/RBA191</f>
        <v>#DIV/0!</v>
      </c>
      <c r="RBF193" s="371">
        <v>15.38</v>
      </c>
      <c r="RBG193" s="371" t="e">
        <f>RBD193*RBE193*RBF193</f>
        <v>#DIV/0!</v>
      </c>
      <c r="RBH193" s="367" t="s">
        <v>206</v>
      </c>
      <c r="RBI193" s="367"/>
      <c r="RBJ193" s="367"/>
      <c r="RBK193" s="368" t="s">
        <v>168</v>
      </c>
      <c r="RBL193" s="369">
        <v>0.5</v>
      </c>
      <c r="RBM193" s="370" t="e">
        <f>10/RBI191</f>
        <v>#DIV/0!</v>
      </c>
      <c r="RBN193" s="371">
        <v>15.38</v>
      </c>
      <c r="RBO193" s="371" t="e">
        <f>RBL193*RBM193*RBN193</f>
        <v>#DIV/0!</v>
      </c>
      <c r="RBP193" s="367" t="s">
        <v>206</v>
      </c>
      <c r="RBQ193" s="367"/>
      <c r="RBR193" s="367"/>
      <c r="RBS193" s="368" t="s">
        <v>168</v>
      </c>
      <c r="RBT193" s="369">
        <v>0.5</v>
      </c>
      <c r="RBU193" s="370" t="e">
        <f>10/RBQ191</f>
        <v>#DIV/0!</v>
      </c>
      <c r="RBV193" s="371">
        <v>15.38</v>
      </c>
      <c r="RBW193" s="371" t="e">
        <f>RBT193*RBU193*RBV193</f>
        <v>#DIV/0!</v>
      </c>
      <c r="RBX193" s="367" t="s">
        <v>206</v>
      </c>
      <c r="RBY193" s="367"/>
      <c r="RBZ193" s="367"/>
      <c r="RCA193" s="368" t="s">
        <v>168</v>
      </c>
      <c r="RCB193" s="369">
        <v>0.5</v>
      </c>
      <c r="RCC193" s="370" t="e">
        <f>10/RBY191</f>
        <v>#DIV/0!</v>
      </c>
      <c r="RCD193" s="371">
        <v>15.38</v>
      </c>
      <c r="RCE193" s="371" t="e">
        <f>RCB193*RCC193*RCD193</f>
        <v>#DIV/0!</v>
      </c>
      <c r="RCF193" s="367" t="s">
        <v>206</v>
      </c>
      <c r="RCG193" s="367"/>
      <c r="RCH193" s="367"/>
      <c r="RCI193" s="368" t="s">
        <v>168</v>
      </c>
      <c r="RCJ193" s="369">
        <v>0.5</v>
      </c>
      <c r="RCK193" s="370" t="e">
        <f>10/RCG191</f>
        <v>#DIV/0!</v>
      </c>
      <c r="RCL193" s="371">
        <v>15.38</v>
      </c>
      <c r="RCM193" s="371" t="e">
        <f>RCJ193*RCK193*RCL193</f>
        <v>#DIV/0!</v>
      </c>
      <c r="RCN193" s="367" t="s">
        <v>206</v>
      </c>
      <c r="RCO193" s="367"/>
      <c r="RCP193" s="367"/>
      <c r="RCQ193" s="368" t="s">
        <v>168</v>
      </c>
      <c r="RCR193" s="369">
        <v>0.5</v>
      </c>
      <c r="RCS193" s="370" t="e">
        <f>10/RCO191</f>
        <v>#DIV/0!</v>
      </c>
      <c r="RCT193" s="371">
        <v>15.38</v>
      </c>
      <c r="RCU193" s="371" t="e">
        <f>RCR193*RCS193*RCT193</f>
        <v>#DIV/0!</v>
      </c>
      <c r="RCV193" s="367" t="s">
        <v>206</v>
      </c>
      <c r="RCW193" s="367"/>
      <c r="RCX193" s="367"/>
      <c r="RCY193" s="368" t="s">
        <v>168</v>
      </c>
      <c r="RCZ193" s="369">
        <v>0.5</v>
      </c>
      <c r="RDA193" s="370" t="e">
        <f>10/RCW191</f>
        <v>#DIV/0!</v>
      </c>
      <c r="RDB193" s="371">
        <v>15.38</v>
      </c>
      <c r="RDC193" s="371" t="e">
        <f>RCZ193*RDA193*RDB193</f>
        <v>#DIV/0!</v>
      </c>
      <c r="RDD193" s="367" t="s">
        <v>206</v>
      </c>
      <c r="RDE193" s="367"/>
      <c r="RDF193" s="367"/>
      <c r="RDG193" s="368" t="s">
        <v>168</v>
      </c>
      <c r="RDH193" s="369">
        <v>0.5</v>
      </c>
      <c r="RDI193" s="370" t="e">
        <f>10/RDE191</f>
        <v>#DIV/0!</v>
      </c>
      <c r="RDJ193" s="371">
        <v>15.38</v>
      </c>
      <c r="RDK193" s="371" t="e">
        <f>RDH193*RDI193*RDJ193</f>
        <v>#DIV/0!</v>
      </c>
      <c r="RDL193" s="367" t="s">
        <v>206</v>
      </c>
      <c r="RDM193" s="367"/>
      <c r="RDN193" s="367"/>
      <c r="RDO193" s="368" t="s">
        <v>168</v>
      </c>
      <c r="RDP193" s="369">
        <v>0.5</v>
      </c>
      <c r="RDQ193" s="370" t="e">
        <f>10/RDM191</f>
        <v>#DIV/0!</v>
      </c>
      <c r="RDR193" s="371">
        <v>15.38</v>
      </c>
      <c r="RDS193" s="371" t="e">
        <f>RDP193*RDQ193*RDR193</f>
        <v>#DIV/0!</v>
      </c>
      <c r="RDT193" s="367" t="s">
        <v>206</v>
      </c>
      <c r="RDU193" s="367"/>
      <c r="RDV193" s="367"/>
      <c r="RDW193" s="368" t="s">
        <v>168</v>
      </c>
      <c r="RDX193" s="369">
        <v>0.5</v>
      </c>
      <c r="RDY193" s="370" t="e">
        <f>10/RDU191</f>
        <v>#DIV/0!</v>
      </c>
      <c r="RDZ193" s="371">
        <v>15.38</v>
      </c>
      <c r="REA193" s="371" t="e">
        <f>RDX193*RDY193*RDZ193</f>
        <v>#DIV/0!</v>
      </c>
      <c r="REB193" s="367" t="s">
        <v>206</v>
      </c>
      <c r="REC193" s="367"/>
      <c r="RED193" s="367"/>
      <c r="REE193" s="368" t="s">
        <v>168</v>
      </c>
      <c r="REF193" s="369">
        <v>0.5</v>
      </c>
      <c r="REG193" s="370" t="e">
        <f>10/REC191</f>
        <v>#DIV/0!</v>
      </c>
      <c r="REH193" s="371">
        <v>15.38</v>
      </c>
      <c r="REI193" s="371" t="e">
        <f>REF193*REG193*REH193</f>
        <v>#DIV/0!</v>
      </c>
      <c r="REJ193" s="367" t="s">
        <v>206</v>
      </c>
      <c r="REK193" s="367"/>
      <c r="REL193" s="367"/>
      <c r="REM193" s="368" t="s">
        <v>168</v>
      </c>
      <c r="REN193" s="369">
        <v>0.5</v>
      </c>
      <c r="REO193" s="370" t="e">
        <f>10/REK191</f>
        <v>#DIV/0!</v>
      </c>
      <c r="REP193" s="371">
        <v>15.38</v>
      </c>
      <c r="REQ193" s="371" t="e">
        <f>REN193*REO193*REP193</f>
        <v>#DIV/0!</v>
      </c>
      <c r="RER193" s="367" t="s">
        <v>206</v>
      </c>
      <c r="RES193" s="367"/>
      <c r="RET193" s="367"/>
      <c r="REU193" s="368" t="s">
        <v>168</v>
      </c>
      <c r="REV193" s="369">
        <v>0.5</v>
      </c>
      <c r="REW193" s="370" t="e">
        <f>10/RES191</f>
        <v>#DIV/0!</v>
      </c>
      <c r="REX193" s="371">
        <v>15.38</v>
      </c>
      <c r="REY193" s="371" t="e">
        <f>REV193*REW193*REX193</f>
        <v>#DIV/0!</v>
      </c>
      <c r="REZ193" s="367" t="s">
        <v>206</v>
      </c>
      <c r="RFA193" s="367"/>
      <c r="RFB193" s="367"/>
      <c r="RFC193" s="368" t="s">
        <v>168</v>
      </c>
      <c r="RFD193" s="369">
        <v>0.5</v>
      </c>
      <c r="RFE193" s="370" t="e">
        <f>10/RFA191</f>
        <v>#DIV/0!</v>
      </c>
      <c r="RFF193" s="371">
        <v>15.38</v>
      </c>
      <c r="RFG193" s="371" t="e">
        <f>RFD193*RFE193*RFF193</f>
        <v>#DIV/0!</v>
      </c>
      <c r="RFH193" s="367" t="s">
        <v>206</v>
      </c>
      <c r="RFI193" s="367"/>
      <c r="RFJ193" s="367"/>
      <c r="RFK193" s="368" t="s">
        <v>168</v>
      </c>
      <c r="RFL193" s="369">
        <v>0.5</v>
      </c>
      <c r="RFM193" s="370" t="e">
        <f>10/RFI191</f>
        <v>#DIV/0!</v>
      </c>
      <c r="RFN193" s="371">
        <v>15.38</v>
      </c>
      <c r="RFO193" s="371" t="e">
        <f>RFL193*RFM193*RFN193</f>
        <v>#DIV/0!</v>
      </c>
      <c r="RFP193" s="367" t="s">
        <v>206</v>
      </c>
      <c r="RFQ193" s="367"/>
      <c r="RFR193" s="367"/>
      <c r="RFS193" s="368" t="s">
        <v>168</v>
      </c>
      <c r="RFT193" s="369">
        <v>0.5</v>
      </c>
      <c r="RFU193" s="370" t="e">
        <f>10/RFQ191</f>
        <v>#DIV/0!</v>
      </c>
      <c r="RFV193" s="371">
        <v>15.38</v>
      </c>
      <c r="RFW193" s="371" t="e">
        <f>RFT193*RFU193*RFV193</f>
        <v>#DIV/0!</v>
      </c>
      <c r="RFX193" s="367" t="s">
        <v>206</v>
      </c>
      <c r="RFY193" s="367"/>
      <c r="RFZ193" s="367"/>
      <c r="RGA193" s="368" t="s">
        <v>168</v>
      </c>
      <c r="RGB193" s="369">
        <v>0.5</v>
      </c>
      <c r="RGC193" s="370" t="e">
        <f>10/RFY191</f>
        <v>#DIV/0!</v>
      </c>
      <c r="RGD193" s="371">
        <v>15.38</v>
      </c>
      <c r="RGE193" s="371" t="e">
        <f>RGB193*RGC193*RGD193</f>
        <v>#DIV/0!</v>
      </c>
      <c r="RGF193" s="367" t="s">
        <v>206</v>
      </c>
      <c r="RGG193" s="367"/>
      <c r="RGH193" s="367"/>
      <c r="RGI193" s="368" t="s">
        <v>168</v>
      </c>
      <c r="RGJ193" s="369">
        <v>0.5</v>
      </c>
      <c r="RGK193" s="370" t="e">
        <f>10/RGG191</f>
        <v>#DIV/0!</v>
      </c>
      <c r="RGL193" s="371">
        <v>15.38</v>
      </c>
      <c r="RGM193" s="371" t="e">
        <f>RGJ193*RGK193*RGL193</f>
        <v>#DIV/0!</v>
      </c>
      <c r="RGN193" s="367" t="s">
        <v>206</v>
      </c>
      <c r="RGO193" s="367"/>
      <c r="RGP193" s="367"/>
      <c r="RGQ193" s="368" t="s">
        <v>168</v>
      </c>
      <c r="RGR193" s="369">
        <v>0.5</v>
      </c>
      <c r="RGS193" s="370" t="e">
        <f>10/RGO191</f>
        <v>#DIV/0!</v>
      </c>
      <c r="RGT193" s="371">
        <v>15.38</v>
      </c>
      <c r="RGU193" s="371" t="e">
        <f>RGR193*RGS193*RGT193</f>
        <v>#DIV/0!</v>
      </c>
      <c r="RGV193" s="367" t="s">
        <v>206</v>
      </c>
      <c r="RGW193" s="367"/>
      <c r="RGX193" s="367"/>
      <c r="RGY193" s="368" t="s">
        <v>168</v>
      </c>
      <c r="RGZ193" s="369">
        <v>0.5</v>
      </c>
      <c r="RHA193" s="370" t="e">
        <f>10/RGW191</f>
        <v>#DIV/0!</v>
      </c>
      <c r="RHB193" s="371">
        <v>15.38</v>
      </c>
      <c r="RHC193" s="371" t="e">
        <f>RGZ193*RHA193*RHB193</f>
        <v>#DIV/0!</v>
      </c>
      <c r="RHD193" s="367" t="s">
        <v>206</v>
      </c>
      <c r="RHE193" s="367"/>
      <c r="RHF193" s="367"/>
      <c r="RHG193" s="368" t="s">
        <v>168</v>
      </c>
      <c r="RHH193" s="369">
        <v>0.5</v>
      </c>
      <c r="RHI193" s="370" t="e">
        <f>10/RHE191</f>
        <v>#DIV/0!</v>
      </c>
      <c r="RHJ193" s="371">
        <v>15.38</v>
      </c>
      <c r="RHK193" s="371" t="e">
        <f>RHH193*RHI193*RHJ193</f>
        <v>#DIV/0!</v>
      </c>
      <c r="RHL193" s="367" t="s">
        <v>206</v>
      </c>
      <c r="RHM193" s="367"/>
      <c r="RHN193" s="367"/>
      <c r="RHO193" s="368" t="s">
        <v>168</v>
      </c>
      <c r="RHP193" s="369">
        <v>0.5</v>
      </c>
      <c r="RHQ193" s="370" t="e">
        <f>10/RHM191</f>
        <v>#DIV/0!</v>
      </c>
      <c r="RHR193" s="371">
        <v>15.38</v>
      </c>
      <c r="RHS193" s="371" t="e">
        <f>RHP193*RHQ193*RHR193</f>
        <v>#DIV/0!</v>
      </c>
      <c r="RHT193" s="367" t="s">
        <v>206</v>
      </c>
      <c r="RHU193" s="367"/>
      <c r="RHV193" s="367"/>
      <c r="RHW193" s="368" t="s">
        <v>168</v>
      </c>
      <c r="RHX193" s="369">
        <v>0.5</v>
      </c>
      <c r="RHY193" s="370" t="e">
        <f>10/RHU191</f>
        <v>#DIV/0!</v>
      </c>
      <c r="RHZ193" s="371">
        <v>15.38</v>
      </c>
      <c r="RIA193" s="371" t="e">
        <f>RHX193*RHY193*RHZ193</f>
        <v>#DIV/0!</v>
      </c>
      <c r="RIB193" s="367" t="s">
        <v>206</v>
      </c>
      <c r="RIC193" s="367"/>
      <c r="RID193" s="367"/>
      <c r="RIE193" s="368" t="s">
        <v>168</v>
      </c>
      <c r="RIF193" s="369">
        <v>0.5</v>
      </c>
      <c r="RIG193" s="370" t="e">
        <f>10/RIC191</f>
        <v>#DIV/0!</v>
      </c>
      <c r="RIH193" s="371">
        <v>15.38</v>
      </c>
      <c r="RII193" s="371" t="e">
        <f>RIF193*RIG193*RIH193</f>
        <v>#DIV/0!</v>
      </c>
      <c r="RIJ193" s="367" t="s">
        <v>206</v>
      </c>
      <c r="RIK193" s="367"/>
      <c r="RIL193" s="367"/>
      <c r="RIM193" s="368" t="s">
        <v>168</v>
      </c>
      <c r="RIN193" s="369">
        <v>0.5</v>
      </c>
      <c r="RIO193" s="370" t="e">
        <f>10/RIK191</f>
        <v>#DIV/0!</v>
      </c>
      <c r="RIP193" s="371">
        <v>15.38</v>
      </c>
      <c r="RIQ193" s="371" t="e">
        <f>RIN193*RIO193*RIP193</f>
        <v>#DIV/0!</v>
      </c>
      <c r="RIR193" s="367" t="s">
        <v>206</v>
      </c>
      <c r="RIS193" s="367"/>
      <c r="RIT193" s="367"/>
      <c r="RIU193" s="368" t="s">
        <v>168</v>
      </c>
      <c r="RIV193" s="369">
        <v>0.5</v>
      </c>
      <c r="RIW193" s="370" t="e">
        <f>10/RIS191</f>
        <v>#DIV/0!</v>
      </c>
      <c r="RIX193" s="371">
        <v>15.38</v>
      </c>
      <c r="RIY193" s="371" t="e">
        <f>RIV193*RIW193*RIX193</f>
        <v>#DIV/0!</v>
      </c>
      <c r="RIZ193" s="367" t="s">
        <v>206</v>
      </c>
      <c r="RJA193" s="367"/>
      <c r="RJB193" s="367"/>
      <c r="RJC193" s="368" t="s">
        <v>168</v>
      </c>
      <c r="RJD193" s="369">
        <v>0.5</v>
      </c>
      <c r="RJE193" s="370" t="e">
        <f>10/RJA191</f>
        <v>#DIV/0!</v>
      </c>
      <c r="RJF193" s="371">
        <v>15.38</v>
      </c>
      <c r="RJG193" s="371" t="e">
        <f>RJD193*RJE193*RJF193</f>
        <v>#DIV/0!</v>
      </c>
      <c r="RJH193" s="367" t="s">
        <v>206</v>
      </c>
      <c r="RJI193" s="367"/>
      <c r="RJJ193" s="367"/>
      <c r="RJK193" s="368" t="s">
        <v>168</v>
      </c>
      <c r="RJL193" s="369">
        <v>0.5</v>
      </c>
      <c r="RJM193" s="370" t="e">
        <f>10/RJI191</f>
        <v>#DIV/0!</v>
      </c>
      <c r="RJN193" s="371">
        <v>15.38</v>
      </c>
      <c r="RJO193" s="371" t="e">
        <f>RJL193*RJM193*RJN193</f>
        <v>#DIV/0!</v>
      </c>
      <c r="RJP193" s="367" t="s">
        <v>206</v>
      </c>
      <c r="RJQ193" s="367"/>
      <c r="RJR193" s="367"/>
      <c r="RJS193" s="368" t="s">
        <v>168</v>
      </c>
      <c r="RJT193" s="369">
        <v>0.5</v>
      </c>
      <c r="RJU193" s="370" t="e">
        <f>10/RJQ191</f>
        <v>#DIV/0!</v>
      </c>
      <c r="RJV193" s="371">
        <v>15.38</v>
      </c>
      <c r="RJW193" s="371" t="e">
        <f>RJT193*RJU193*RJV193</f>
        <v>#DIV/0!</v>
      </c>
      <c r="RJX193" s="367" t="s">
        <v>206</v>
      </c>
      <c r="RJY193" s="367"/>
      <c r="RJZ193" s="367"/>
      <c r="RKA193" s="368" t="s">
        <v>168</v>
      </c>
      <c r="RKB193" s="369">
        <v>0.5</v>
      </c>
      <c r="RKC193" s="370" t="e">
        <f>10/RJY191</f>
        <v>#DIV/0!</v>
      </c>
      <c r="RKD193" s="371">
        <v>15.38</v>
      </c>
      <c r="RKE193" s="371" t="e">
        <f>RKB193*RKC193*RKD193</f>
        <v>#DIV/0!</v>
      </c>
      <c r="RKF193" s="367" t="s">
        <v>206</v>
      </c>
      <c r="RKG193" s="367"/>
      <c r="RKH193" s="367"/>
      <c r="RKI193" s="368" t="s">
        <v>168</v>
      </c>
      <c r="RKJ193" s="369">
        <v>0.5</v>
      </c>
      <c r="RKK193" s="370" t="e">
        <f>10/RKG191</f>
        <v>#DIV/0!</v>
      </c>
      <c r="RKL193" s="371">
        <v>15.38</v>
      </c>
      <c r="RKM193" s="371" t="e">
        <f>RKJ193*RKK193*RKL193</f>
        <v>#DIV/0!</v>
      </c>
      <c r="RKN193" s="367" t="s">
        <v>206</v>
      </c>
      <c r="RKO193" s="367"/>
      <c r="RKP193" s="367"/>
      <c r="RKQ193" s="368" t="s">
        <v>168</v>
      </c>
      <c r="RKR193" s="369">
        <v>0.5</v>
      </c>
      <c r="RKS193" s="370" t="e">
        <f>10/RKO191</f>
        <v>#DIV/0!</v>
      </c>
      <c r="RKT193" s="371">
        <v>15.38</v>
      </c>
      <c r="RKU193" s="371" t="e">
        <f>RKR193*RKS193*RKT193</f>
        <v>#DIV/0!</v>
      </c>
      <c r="RKV193" s="367" t="s">
        <v>206</v>
      </c>
      <c r="RKW193" s="367"/>
      <c r="RKX193" s="367"/>
      <c r="RKY193" s="368" t="s">
        <v>168</v>
      </c>
      <c r="RKZ193" s="369">
        <v>0.5</v>
      </c>
      <c r="RLA193" s="370" t="e">
        <f>10/RKW191</f>
        <v>#DIV/0!</v>
      </c>
      <c r="RLB193" s="371">
        <v>15.38</v>
      </c>
      <c r="RLC193" s="371" t="e">
        <f>RKZ193*RLA193*RLB193</f>
        <v>#DIV/0!</v>
      </c>
      <c r="RLD193" s="367" t="s">
        <v>206</v>
      </c>
      <c r="RLE193" s="367"/>
      <c r="RLF193" s="367"/>
      <c r="RLG193" s="368" t="s">
        <v>168</v>
      </c>
      <c r="RLH193" s="369">
        <v>0.5</v>
      </c>
      <c r="RLI193" s="370" t="e">
        <f>10/RLE191</f>
        <v>#DIV/0!</v>
      </c>
      <c r="RLJ193" s="371">
        <v>15.38</v>
      </c>
      <c r="RLK193" s="371" t="e">
        <f>RLH193*RLI193*RLJ193</f>
        <v>#DIV/0!</v>
      </c>
      <c r="RLL193" s="367" t="s">
        <v>206</v>
      </c>
      <c r="RLM193" s="367"/>
      <c r="RLN193" s="367"/>
      <c r="RLO193" s="368" t="s">
        <v>168</v>
      </c>
      <c r="RLP193" s="369">
        <v>0.5</v>
      </c>
      <c r="RLQ193" s="370" t="e">
        <f>10/RLM191</f>
        <v>#DIV/0!</v>
      </c>
      <c r="RLR193" s="371">
        <v>15.38</v>
      </c>
      <c r="RLS193" s="371" t="e">
        <f>RLP193*RLQ193*RLR193</f>
        <v>#DIV/0!</v>
      </c>
      <c r="RLT193" s="367" t="s">
        <v>206</v>
      </c>
      <c r="RLU193" s="367"/>
      <c r="RLV193" s="367"/>
      <c r="RLW193" s="368" t="s">
        <v>168</v>
      </c>
      <c r="RLX193" s="369">
        <v>0.5</v>
      </c>
      <c r="RLY193" s="370" t="e">
        <f>10/RLU191</f>
        <v>#DIV/0!</v>
      </c>
      <c r="RLZ193" s="371">
        <v>15.38</v>
      </c>
      <c r="RMA193" s="371" t="e">
        <f>RLX193*RLY193*RLZ193</f>
        <v>#DIV/0!</v>
      </c>
      <c r="RMB193" s="367" t="s">
        <v>206</v>
      </c>
      <c r="RMC193" s="367"/>
      <c r="RMD193" s="367"/>
      <c r="RME193" s="368" t="s">
        <v>168</v>
      </c>
      <c r="RMF193" s="369">
        <v>0.5</v>
      </c>
      <c r="RMG193" s="370" t="e">
        <f>10/RMC191</f>
        <v>#DIV/0!</v>
      </c>
      <c r="RMH193" s="371">
        <v>15.38</v>
      </c>
      <c r="RMI193" s="371" t="e">
        <f>RMF193*RMG193*RMH193</f>
        <v>#DIV/0!</v>
      </c>
      <c r="RMJ193" s="367" t="s">
        <v>206</v>
      </c>
      <c r="RMK193" s="367"/>
      <c r="RML193" s="367"/>
      <c r="RMM193" s="368" t="s">
        <v>168</v>
      </c>
      <c r="RMN193" s="369">
        <v>0.5</v>
      </c>
      <c r="RMO193" s="370" t="e">
        <f>10/RMK191</f>
        <v>#DIV/0!</v>
      </c>
      <c r="RMP193" s="371">
        <v>15.38</v>
      </c>
      <c r="RMQ193" s="371" t="e">
        <f>RMN193*RMO193*RMP193</f>
        <v>#DIV/0!</v>
      </c>
      <c r="RMR193" s="367" t="s">
        <v>206</v>
      </c>
      <c r="RMS193" s="367"/>
      <c r="RMT193" s="367"/>
      <c r="RMU193" s="368" t="s">
        <v>168</v>
      </c>
      <c r="RMV193" s="369">
        <v>0.5</v>
      </c>
      <c r="RMW193" s="370" t="e">
        <f>10/RMS191</f>
        <v>#DIV/0!</v>
      </c>
      <c r="RMX193" s="371">
        <v>15.38</v>
      </c>
      <c r="RMY193" s="371" t="e">
        <f>RMV193*RMW193*RMX193</f>
        <v>#DIV/0!</v>
      </c>
      <c r="RMZ193" s="367" t="s">
        <v>206</v>
      </c>
      <c r="RNA193" s="367"/>
      <c r="RNB193" s="367"/>
      <c r="RNC193" s="368" t="s">
        <v>168</v>
      </c>
      <c r="RND193" s="369">
        <v>0.5</v>
      </c>
      <c r="RNE193" s="370" t="e">
        <f>10/RNA191</f>
        <v>#DIV/0!</v>
      </c>
      <c r="RNF193" s="371">
        <v>15.38</v>
      </c>
      <c r="RNG193" s="371" t="e">
        <f>RND193*RNE193*RNF193</f>
        <v>#DIV/0!</v>
      </c>
      <c r="RNH193" s="367" t="s">
        <v>206</v>
      </c>
      <c r="RNI193" s="367"/>
      <c r="RNJ193" s="367"/>
      <c r="RNK193" s="368" t="s">
        <v>168</v>
      </c>
      <c r="RNL193" s="369">
        <v>0.5</v>
      </c>
      <c r="RNM193" s="370" t="e">
        <f>10/RNI191</f>
        <v>#DIV/0!</v>
      </c>
      <c r="RNN193" s="371">
        <v>15.38</v>
      </c>
      <c r="RNO193" s="371" t="e">
        <f>RNL193*RNM193*RNN193</f>
        <v>#DIV/0!</v>
      </c>
      <c r="RNP193" s="367" t="s">
        <v>206</v>
      </c>
      <c r="RNQ193" s="367"/>
      <c r="RNR193" s="367"/>
      <c r="RNS193" s="368" t="s">
        <v>168</v>
      </c>
      <c r="RNT193" s="369">
        <v>0.5</v>
      </c>
      <c r="RNU193" s="370" t="e">
        <f>10/RNQ191</f>
        <v>#DIV/0!</v>
      </c>
      <c r="RNV193" s="371">
        <v>15.38</v>
      </c>
      <c r="RNW193" s="371" t="e">
        <f>RNT193*RNU193*RNV193</f>
        <v>#DIV/0!</v>
      </c>
      <c r="RNX193" s="367" t="s">
        <v>206</v>
      </c>
      <c r="RNY193" s="367"/>
      <c r="RNZ193" s="367"/>
      <c r="ROA193" s="368" t="s">
        <v>168</v>
      </c>
      <c r="ROB193" s="369">
        <v>0.5</v>
      </c>
      <c r="ROC193" s="370" t="e">
        <f>10/RNY191</f>
        <v>#DIV/0!</v>
      </c>
      <c r="ROD193" s="371">
        <v>15.38</v>
      </c>
      <c r="ROE193" s="371" t="e">
        <f>ROB193*ROC193*ROD193</f>
        <v>#DIV/0!</v>
      </c>
      <c r="ROF193" s="367" t="s">
        <v>206</v>
      </c>
      <c r="ROG193" s="367"/>
      <c r="ROH193" s="367"/>
      <c r="ROI193" s="368" t="s">
        <v>168</v>
      </c>
      <c r="ROJ193" s="369">
        <v>0.5</v>
      </c>
      <c r="ROK193" s="370" t="e">
        <f>10/ROG191</f>
        <v>#DIV/0!</v>
      </c>
      <c r="ROL193" s="371">
        <v>15.38</v>
      </c>
      <c r="ROM193" s="371" t="e">
        <f>ROJ193*ROK193*ROL193</f>
        <v>#DIV/0!</v>
      </c>
      <c r="RON193" s="367" t="s">
        <v>206</v>
      </c>
      <c r="ROO193" s="367"/>
      <c r="ROP193" s="367"/>
      <c r="ROQ193" s="368" t="s">
        <v>168</v>
      </c>
      <c r="ROR193" s="369">
        <v>0.5</v>
      </c>
      <c r="ROS193" s="370" t="e">
        <f>10/ROO191</f>
        <v>#DIV/0!</v>
      </c>
      <c r="ROT193" s="371">
        <v>15.38</v>
      </c>
      <c r="ROU193" s="371" t="e">
        <f>ROR193*ROS193*ROT193</f>
        <v>#DIV/0!</v>
      </c>
      <c r="ROV193" s="367" t="s">
        <v>206</v>
      </c>
      <c r="ROW193" s="367"/>
      <c r="ROX193" s="367"/>
      <c r="ROY193" s="368" t="s">
        <v>168</v>
      </c>
      <c r="ROZ193" s="369">
        <v>0.5</v>
      </c>
      <c r="RPA193" s="370" t="e">
        <f>10/ROW191</f>
        <v>#DIV/0!</v>
      </c>
      <c r="RPB193" s="371">
        <v>15.38</v>
      </c>
      <c r="RPC193" s="371" t="e">
        <f>ROZ193*RPA193*RPB193</f>
        <v>#DIV/0!</v>
      </c>
      <c r="RPD193" s="367" t="s">
        <v>206</v>
      </c>
      <c r="RPE193" s="367"/>
      <c r="RPF193" s="367"/>
      <c r="RPG193" s="368" t="s">
        <v>168</v>
      </c>
      <c r="RPH193" s="369">
        <v>0.5</v>
      </c>
      <c r="RPI193" s="370" t="e">
        <f>10/RPE191</f>
        <v>#DIV/0!</v>
      </c>
      <c r="RPJ193" s="371">
        <v>15.38</v>
      </c>
      <c r="RPK193" s="371" t="e">
        <f>RPH193*RPI193*RPJ193</f>
        <v>#DIV/0!</v>
      </c>
      <c r="RPL193" s="367" t="s">
        <v>206</v>
      </c>
      <c r="RPM193" s="367"/>
      <c r="RPN193" s="367"/>
      <c r="RPO193" s="368" t="s">
        <v>168</v>
      </c>
      <c r="RPP193" s="369">
        <v>0.5</v>
      </c>
      <c r="RPQ193" s="370" t="e">
        <f>10/RPM191</f>
        <v>#DIV/0!</v>
      </c>
      <c r="RPR193" s="371">
        <v>15.38</v>
      </c>
      <c r="RPS193" s="371" t="e">
        <f>RPP193*RPQ193*RPR193</f>
        <v>#DIV/0!</v>
      </c>
      <c r="RPT193" s="367" t="s">
        <v>206</v>
      </c>
      <c r="RPU193" s="367"/>
      <c r="RPV193" s="367"/>
      <c r="RPW193" s="368" t="s">
        <v>168</v>
      </c>
      <c r="RPX193" s="369">
        <v>0.5</v>
      </c>
      <c r="RPY193" s="370" t="e">
        <f>10/RPU191</f>
        <v>#DIV/0!</v>
      </c>
      <c r="RPZ193" s="371">
        <v>15.38</v>
      </c>
      <c r="RQA193" s="371" t="e">
        <f>RPX193*RPY193*RPZ193</f>
        <v>#DIV/0!</v>
      </c>
      <c r="RQB193" s="367" t="s">
        <v>206</v>
      </c>
      <c r="RQC193" s="367"/>
      <c r="RQD193" s="367"/>
      <c r="RQE193" s="368" t="s">
        <v>168</v>
      </c>
      <c r="RQF193" s="369">
        <v>0.5</v>
      </c>
      <c r="RQG193" s="370" t="e">
        <f>10/RQC191</f>
        <v>#DIV/0!</v>
      </c>
      <c r="RQH193" s="371">
        <v>15.38</v>
      </c>
      <c r="RQI193" s="371" t="e">
        <f>RQF193*RQG193*RQH193</f>
        <v>#DIV/0!</v>
      </c>
      <c r="RQJ193" s="367" t="s">
        <v>206</v>
      </c>
      <c r="RQK193" s="367"/>
      <c r="RQL193" s="367"/>
      <c r="RQM193" s="368" t="s">
        <v>168</v>
      </c>
      <c r="RQN193" s="369">
        <v>0.5</v>
      </c>
      <c r="RQO193" s="370" t="e">
        <f>10/RQK191</f>
        <v>#DIV/0!</v>
      </c>
      <c r="RQP193" s="371">
        <v>15.38</v>
      </c>
      <c r="RQQ193" s="371" t="e">
        <f>RQN193*RQO193*RQP193</f>
        <v>#DIV/0!</v>
      </c>
      <c r="RQR193" s="367" t="s">
        <v>206</v>
      </c>
      <c r="RQS193" s="367"/>
      <c r="RQT193" s="367"/>
      <c r="RQU193" s="368" t="s">
        <v>168</v>
      </c>
      <c r="RQV193" s="369">
        <v>0.5</v>
      </c>
      <c r="RQW193" s="370" t="e">
        <f>10/RQS191</f>
        <v>#DIV/0!</v>
      </c>
      <c r="RQX193" s="371">
        <v>15.38</v>
      </c>
      <c r="RQY193" s="371" t="e">
        <f>RQV193*RQW193*RQX193</f>
        <v>#DIV/0!</v>
      </c>
      <c r="RQZ193" s="367" t="s">
        <v>206</v>
      </c>
      <c r="RRA193" s="367"/>
      <c r="RRB193" s="367"/>
      <c r="RRC193" s="368" t="s">
        <v>168</v>
      </c>
      <c r="RRD193" s="369">
        <v>0.5</v>
      </c>
      <c r="RRE193" s="370" t="e">
        <f>10/RRA191</f>
        <v>#DIV/0!</v>
      </c>
      <c r="RRF193" s="371">
        <v>15.38</v>
      </c>
      <c r="RRG193" s="371" t="e">
        <f>RRD193*RRE193*RRF193</f>
        <v>#DIV/0!</v>
      </c>
      <c r="RRH193" s="367" t="s">
        <v>206</v>
      </c>
      <c r="RRI193" s="367"/>
      <c r="RRJ193" s="367"/>
      <c r="RRK193" s="368" t="s">
        <v>168</v>
      </c>
      <c r="RRL193" s="369">
        <v>0.5</v>
      </c>
      <c r="RRM193" s="370" t="e">
        <f>10/RRI191</f>
        <v>#DIV/0!</v>
      </c>
      <c r="RRN193" s="371">
        <v>15.38</v>
      </c>
      <c r="RRO193" s="371" t="e">
        <f>RRL193*RRM193*RRN193</f>
        <v>#DIV/0!</v>
      </c>
      <c r="RRP193" s="367" t="s">
        <v>206</v>
      </c>
      <c r="RRQ193" s="367"/>
      <c r="RRR193" s="367"/>
      <c r="RRS193" s="368" t="s">
        <v>168</v>
      </c>
      <c r="RRT193" s="369">
        <v>0.5</v>
      </c>
      <c r="RRU193" s="370" t="e">
        <f>10/RRQ191</f>
        <v>#DIV/0!</v>
      </c>
      <c r="RRV193" s="371">
        <v>15.38</v>
      </c>
      <c r="RRW193" s="371" t="e">
        <f>RRT193*RRU193*RRV193</f>
        <v>#DIV/0!</v>
      </c>
      <c r="RRX193" s="367" t="s">
        <v>206</v>
      </c>
      <c r="RRY193" s="367"/>
      <c r="RRZ193" s="367"/>
      <c r="RSA193" s="368" t="s">
        <v>168</v>
      </c>
      <c r="RSB193" s="369">
        <v>0.5</v>
      </c>
      <c r="RSC193" s="370" t="e">
        <f>10/RRY191</f>
        <v>#DIV/0!</v>
      </c>
      <c r="RSD193" s="371">
        <v>15.38</v>
      </c>
      <c r="RSE193" s="371" t="e">
        <f>RSB193*RSC193*RSD193</f>
        <v>#DIV/0!</v>
      </c>
      <c r="RSF193" s="367" t="s">
        <v>206</v>
      </c>
      <c r="RSG193" s="367"/>
      <c r="RSH193" s="367"/>
      <c r="RSI193" s="368" t="s">
        <v>168</v>
      </c>
      <c r="RSJ193" s="369">
        <v>0.5</v>
      </c>
      <c r="RSK193" s="370" t="e">
        <f>10/RSG191</f>
        <v>#DIV/0!</v>
      </c>
      <c r="RSL193" s="371">
        <v>15.38</v>
      </c>
      <c r="RSM193" s="371" t="e">
        <f>RSJ193*RSK193*RSL193</f>
        <v>#DIV/0!</v>
      </c>
      <c r="RSN193" s="367" t="s">
        <v>206</v>
      </c>
      <c r="RSO193" s="367"/>
      <c r="RSP193" s="367"/>
      <c r="RSQ193" s="368" t="s">
        <v>168</v>
      </c>
      <c r="RSR193" s="369">
        <v>0.5</v>
      </c>
      <c r="RSS193" s="370" t="e">
        <f>10/RSO191</f>
        <v>#DIV/0!</v>
      </c>
      <c r="RST193" s="371">
        <v>15.38</v>
      </c>
      <c r="RSU193" s="371" t="e">
        <f>RSR193*RSS193*RST193</f>
        <v>#DIV/0!</v>
      </c>
      <c r="RSV193" s="367" t="s">
        <v>206</v>
      </c>
      <c r="RSW193" s="367"/>
      <c r="RSX193" s="367"/>
      <c r="RSY193" s="368" t="s">
        <v>168</v>
      </c>
      <c r="RSZ193" s="369">
        <v>0.5</v>
      </c>
      <c r="RTA193" s="370" t="e">
        <f>10/RSW191</f>
        <v>#DIV/0!</v>
      </c>
      <c r="RTB193" s="371">
        <v>15.38</v>
      </c>
      <c r="RTC193" s="371" t="e">
        <f>RSZ193*RTA193*RTB193</f>
        <v>#DIV/0!</v>
      </c>
      <c r="RTD193" s="367" t="s">
        <v>206</v>
      </c>
      <c r="RTE193" s="367"/>
      <c r="RTF193" s="367"/>
      <c r="RTG193" s="368" t="s">
        <v>168</v>
      </c>
      <c r="RTH193" s="369">
        <v>0.5</v>
      </c>
      <c r="RTI193" s="370" t="e">
        <f>10/RTE191</f>
        <v>#DIV/0!</v>
      </c>
      <c r="RTJ193" s="371">
        <v>15.38</v>
      </c>
      <c r="RTK193" s="371" t="e">
        <f>RTH193*RTI193*RTJ193</f>
        <v>#DIV/0!</v>
      </c>
      <c r="RTL193" s="367" t="s">
        <v>206</v>
      </c>
      <c r="RTM193" s="367"/>
      <c r="RTN193" s="367"/>
      <c r="RTO193" s="368" t="s">
        <v>168</v>
      </c>
      <c r="RTP193" s="369">
        <v>0.5</v>
      </c>
      <c r="RTQ193" s="370" t="e">
        <f>10/RTM191</f>
        <v>#DIV/0!</v>
      </c>
      <c r="RTR193" s="371">
        <v>15.38</v>
      </c>
      <c r="RTS193" s="371" t="e">
        <f>RTP193*RTQ193*RTR193</f>
        <v>#DIV/0!</v>
      </c>
      <c r="RTT193" s="367" t="s">
        <v>206</v>
      </c>
      <c r="RTU193" s="367"/>
      <c r="RTV193" s="367"/>
      <c r="RTW193" s="368" t="s">
        <v>168</v>
      </c>
      <c r="RTX193" s="369">
        <v>0.5</v>
      </c>
      <c r="RTY193" s="370" t="e">
        <f>10/RTU191</f>
        <v>#DIV/0!</v>
      </c>
      <c r="RTZ193" s="371">
        <v>15.38</v>
      </c>
      <c r="RUA193" s="371" t="e">
        <f>RTX193*RTY193*RTZ193</f>
        <v>#DIV/0!</v>
      </c>
      <c r="RUB193" s="367" t="s">
        <v>206</v>
      </c>
      <c r="RUC193" s="367"/>
      <c r="RUD193" s="367"/>
      <c r="RUE193" s="368" t="s">
        <v>168</v>
      </c>
      <c r="RUF193" s="369">
        <v>0.5</v>
      </c>
      <c r="RUG193" s="370" t="e">
        <f>10/RUC191</f>
        <v>#DIV/0!</v>
      </c>
      <c r="RUH193" s="371">
        <v>15.38</v>
      </c>
      <c r="RUI193" s="371" t="e">
        <f>RUF193*RUG193*RUH193</f>
        <v>#DIV/0!</v>
      </c>
      <c r="RUJ193" s="367" t="s">
        <v>206</v>
      </c>
      <c r="RUK193" s="367"/>
      <c r="RUL193" s="367"/>
      <c r="RUM193" s="368" t="s">
        <v>168</v>
      </c>
      <c r="RUN193" s="369">
        <v>0.5</v>
      </c>
      <c r="RUO193" s="370" t="e">
        <f>10/RUK191</f>
        <v>#DIV/0!</v>
      </c>
      <c r="RUP193" s="371">
        <v>15.38</v>
      </c>
      <c r="RUQ193" s="371" t="e">
        <f>RUN193*RUO193*RUP193</f>
        <v>#DIV/0!</v>
      </c>
      <c r="RUR193" s="367" t="s">
        <v>206</v>
      </c>
      <c r="RUS193" s="367"/>
      <c r="RUT193" s="367"/>
      <c r="RUU193" s="368" t="s">
        <v>168</v>
      </c>
      <c r="RUV193" s="369">
        <v>0.5</v>
      </c>
      <c r="RUW193" s="370" t="e">
        <f>10/RUS191</f>
        <v>#DIV/0!</v>
      </c>
      <c r="RUX193" s="371">
        <v>15.38</v>
      </c>
      <c r="RUY193" s="371" t="e">
        <f>RUV193*RUW193*RUX193</f>
        <v>#DIV/0!</v>
      </c>
      <c r="RUZ193" s="367" t="s">
        <v>206</v>
      </c>
      <c r="RVA193" s="367"/>
      <c r="RVB193" s="367"/>
      <c r="RVC193" s="368" t="s">
        <v>168</v>
      </c>
      <c r="RVD193" s="369">
        <v>0.5</v>
      </c>
      <c r="RVE193" s="370" t="e">
        <f>10/RVA191</f>
        <v>#DIV/0!</v>
      </c>
      <c r="RVF193" s="371">
        <v>15.38</v>
      </c>
      <c r="RVG193" s="371" t="e">
        <f>RVD193*RVE193*RVF193</f>
        <v>#DIV/0!</v>
      </c>
      <c r="RVH193" s="367" t="s">
        <v>206</v>
      </c>
      <c r="RVI193" s="367"/>
      <c r="RVJ193" s="367"/>
      <c r="RVK193" s="368" t="s">
        <v>168</v>
      </c>
      <c r="RVL193" s="369">
        <v>0.5</v>
      </c>
      <c r="RVM193" s="370" t="e">
        <f>10/RVI191</f>
        <v>#DIV/0!</v>
      </c>
      <c r="RVN193" s="371">
        <v>15.38</v>
      </c>
      <c r="RVO193" s="371" t="e">
        <f>RVL193*RVM193*RVN193</f>
        <v>#DIV/0!</v>
      </c>
      <c r="RVP193" s="367" t="s">
        <v>206</v>
      </c>
      <c r="RVQ193" s="367"/>
      <c r="RVR193" s="367"/>
      <c r="RVS193" s="368" t="s">
        <v>168</v>
      </c>
      <c r="RVT193" s="369">
        <v>0.5</v>
      </c>
      <c r="RVU193" s="370" t="e">
        <f>10/RVQ191</f>
        <v>#DIV/0!</v>
      </c>
      <c r="RVV193" s="371">
        <v>15.38</v>
      </c>
      <c r="RVW193" s="371" t="e">
        <f>RVT193*RVU193*RVV193</f>
        <v>#DIV/0!</v>
      </c>
      <c r="RVX193" s="367" t="s">
        <v>206</v>
      </c>
      <c r="RVY193" s="367"/>
      <c r="RVZ193" s="367"/>
      <c r="RWA193" s="368" t="s">
        <v>168</v>
      </c>
      <c r="RWB193" s="369">
        <v>0.5</v>
      </c>
      <c r="RWC193" s="370" t="e">
        <f>10/RVY191</f>
        <v>#DIV/0!</v>
      </c>
      <c r="RWD193" s="371">
        <v>15.38</v>
      </c>
      <c r="RWE193" s="371" t="e">
        <f>RWB193*RWC193*RWD193</f>
        <v>#DIV/0!</v>
      </c>
      <c r="RWF193" s="367" t="s">
        <v>206</v>
      </c>
      <c r="RWG193" s="367"/>
      <c r="RWH193" s="367"/>
      <c r="RWI193" s="368" t="s">
        <v>168</v>
      </c>
      <c r="RWJ193" s="369">
        <v>0.5</v>
      </c>
      <c r="RWK193" s="370" t="e">
        <f>10/RWG191</f>
        <v>#DIV/0!</v>
      </c>
      <c r="RWL193" s="371">
        <v>15.38</v>
      </c>
      <c r="RWM193" s="371" t="e">
        <f>RWJ193*RWK193*RWL193</f>
        <v>#DIV/0!</v>
      </c>
      <c r="RWN193" s="367" t="s">
        <v>206</v>
      </c>
      <c r="RWO193" s="367"/>
      <c r="RWP193" s="367"/>
      <c r="RWQ193" s="368" t="s">
        <v>168</v>
      </c>
      <c r="RWR193" s="369">
        <v>0.5</v>
      </c>
      <c r="RWS193" s="370" t="e">
        <f>10/RWO191</f>
        <v>#DIV/0!</v>
      </c>
      <c r="RWT193" s="371">
        <v>15.38</v>
      </c>
      <c r="RWU193" s="371" t="e">
        <f>RWR193*RWS193*RWT193</f>
        <v>#DIV/0!</v>
      </c>
      <c r="RWV193" s="367" t="s">
        <v>206</v>
      </c>
      <c r="RWW193" s="367"/>
      <c r="RWX193" s="367"/>
      <c r="RWY193" s="368" t="s">
        <v>168</v>
      </c>
      <c r="RWZ193" s="369">
        <v>0.5</v>
      </c>
      <c r="RXA193" s="370" t="e">
        <f>10/RWW191</f>
        <v>#DIV/0!</v>
      </c>
      <c r="RXB193" s="371">
        <v>15.38</v>
      </c>
      <c r="RXC193" s="371" t="e">
        <f>RWZ193*RXA193*RXB193</f>
        <v>#DIV/0!</v>
      </c>
      <c r="RXD193" s="367" t="s">
        <v>206</v>
      </c>
      <c r="RXE193" s="367"/>
      <c r="RXF193" s="367"/>
      <c r="RXG193" s="368" t="s">
        <v>168</v>
      </c>
      <c r="RXH193" s="369">
        <v>0.5</v>
      </c>
      <c r="RXI193" s="370" t="e">
        <f>10/RXE191</f>
        <v>#DIV/0!</v>
      </c>
      <c r="RXJ193" s="371">
        <v>15.38</v>
      </c>
      <c r="RXK193" s="371" t="e">
        <f>RXH193*RXI193*RXJ193</f>
        <v>#DIV/0!</v>
      </c>
      <c r="RXL193" s="367" t="s">
        <v>206</v>
      </c>
      <c r="RXM193" s="367"/>
      <c r="RXN193" s="367"/>
      <c r="RXO193" s="368" t="s">
        <v>168</v>
      </c>
      <c r="RXP193" s="369">
        <v>0.5</v>
      </c>
      <c r="RXQ193" s="370" t="e">
        <f>10/RXM191</f>
        <v>#DIV/0!</v>
      </c>
      <c r="RXR193" s="371">
        <v>15.38</v>
      </c>
      <c r="RXS193" s="371" t="e">
        <f>RXP193*RXQ193*RXR193</f>
        <v>#DIV/0!</v>
      </c>
      <c r="RXT193" s="367" t="s">
        <v>206</v>
      </c>
      <c r="RXU193" s="367"/>
      <c r="RXV193" s="367"/>
      <c r="RXW193" s="368" t="s">
        <v>168</v>
      </c>
      <c r="RXX193" s="369">
        <v>0.5</v>
      </c>
      <c r="RXY193" s="370" t="e">
        <f>10/RXU191</f>
        <v>#DIV/0!</v>
      </c>
      <c r="RXZ193" s="371">
        <v>15.38</v>
      </c>
      <c r="RYA193" s="371" t="e">
        <f>RXX193*RXY193*RXZ193</f>
        <v>#DIV/0!</v>
      </c>
      <c r="RYB193" s="367" t="s">
        <v>206</v>
      </c>
      <c r="RYC193" s="367"/>
      <c r="RYD193" s="367"/>
      <c r="RYE193" s="368" t="s">
        <v>168</v>
      </c>
      <c r="RYF193" s="369">
        <v>0.5</v>
      </c>
      <c r="RYG193" s="370" t="e">
        <f>10/RYC191</f>
        <v>#DIV/0!</v>
      </c>
      <c r="RYH193" s="371">
        <v>15.38</v>
      </c>
      <c r="RYI193" s="371" t="e">
        <f>RYF193*RYG193*RYH193</f>
        <v>#DIV/0!</v>
      </c>
      <c r="RYJ193" s="367" t="s">
        <v>206</v>
      </c>
      <c r="RYK193" s="367"/>
      <c r="RYL193" s="367"/>
      <c r="RYM193" s="368" t="s">
        <v>168</v>
      </c>
      <c r="RYN193" s="369">
        <v>0.5</v>
      </c>
      <c r="RYO193" s="370" t="e">
        <f>10/RYK191</f>
        <v>#DIV/0!</v>
      </c>
      <c r="RYP193" s="371">
        <v>15.38</v>
      </c>
      <c r="RYQ193" s="371" t="e">
        <f>RYN193*RYO193*RYP193</f>
        <v>#DIV/0!</v>
      </c>
      <c r="RYR193" s="367" t="s">
        <v>206</v>
      </c>
      <c r="RYS193" s="367"/>
      <c r="RYT193" s="367"/>
      <c r="RYU193" s="368" t="s">
        <v>168</v>
      </c>
      <c r="RYV193" s="369">
        <v>0.5</v>
      </c>
      <c r="RYW193" s="370" t="e">
        <f>10/RYS191</f>
        <v>#DIV/0!</v>
      </c>
      <c r="RYX193" s="371">
        <v>15.38</v>
      </c>
      <c r="RYY193" s="371" t="e">
        <f>RYV193*RYW193*RYX193</f>
        <v>#DIV/0!</v>
      </c>
      <c r="RYZ193" s="367" t="s">
        <v>206</v>
      </c>
      <c r="RZA193" s="367"/>
      <c r="RZB193" s="367"/>
      <c r="RZC193" s="368" t="s">
        <v>168</v>
      </c>
      <c r="RZD193" s="369">
        <v>0.5</v>
      </c>
      <c r="RZE193" s="370" t="e">
        <f>10/RZA191</f>
        <v>#DIV/0!</v>
      </c>
      <c r="RZF193" s="371">
        <v>15.38</v>
      </c>
      <c r="RZG193" s="371" t="e">
        <f>RZD193*RZE193*RZF193</f>
        <v>#DIV/0!</v>
      </c>
      <c r="RZH193" s="367" t="s">
        <v>206</v>
      </c>
      <c r="RZI193" s="367"/>
      <c r="RZJ193" s="367"/>
      <c r="RZK193" s="368" t="s">
        <v>168</v>
      </c>
      <c r="RZL193" s="369">
        <v>0.5</v>
      </c>
      <c r="RZM193" s="370" t="e">
        <f>10/RZI191</f>
        <v>#DIV/0!</v>
      </c>
      <c r="RZN193" s="371">
        <v>15.38</v>
      </c>
      <c r="RZO193" s="371" t="e">
        <f>RZL193*RZM193*RZN193</f>
        <v>#DIV/0!</v>
      </c>
      <c r="RZP193" s="367" t="s">
        <v>206</v>
      </c>
      <c r="RZQ193" s="367"/>
      <c r="RZR193" s="367"/>
      <c r="RZS193" s="368" t="s">
        <v>168</v>
      </c>
      <c r="RZT193" s="369">
        <v>0.5</v>
      </c>
      <c r="RZU193" s="370" t="e">
        <f>10/RZQ191</f>
        <v>#DIV/0!</v>
      </c>
      <c r="RZV193" s="371">
        <v>15.38</v>
      </c>
      <c r="RZW193" s="371" t="e">
        <f>RZT193*RZU193*RZV193</f>
        <v>#DIV/0!</v>
      </c>
      <c r="RZX193" s="367" t="s">
        <v>206</v>
      </c>
      <c r="RZY193" s="367"/>
      <c r="RZZ193" s="367"/>
      <c r="SAA193" s="368" t="s">
        <v>168</v>
      </c>
      <c r="SAB193" s="369">
        <v>0.5</v>
      </c>
      <c r="SAC193" s="370" t="e">
        <f>10/RZY191</f>
        <v>#DIV/0!</v>
      </c>
      <c r="SAD193" s="371">
        <v>15.38</v>
      </c>
      <c r="SAE193" s="371" t="e">
        <f>SAB193*SAC193*SAD193</f>
        <v>#DIV/0!</v>
      </c>
      <c r="SAF193" s="367" t="s">
        <v>206</v>
      </c>
      <c r="SAG193" s="367"/>
      <c r="SAH193" s="367"/>
      <c r="SAI193" s="368" t="s">
        <v>168</v>
      </c>
      <c r="SAJ193" s="369">
        <v>0.5</v>
      </c>
      <c r="SAK193" s="370" t="e">
        <f>10/SAG191</f>
        <v>#DIV/0!</v>
      </c>
      <c r="SAL193" s="371">
        <v>15.38</v>
      </c>
      <c r="SAM193" s="371" t="e">
        <f>SAJ193*SAK193*SAL193</f>
        <v>#DIV/0!</v>
      </c>
      <c r="SAN193" s="367" t="s">
        <v>206</v>
      </c>
      <c r="SAO193" s="367"/>
      <c r="SAP193" s="367"/>
      <c r="SAQ193" s="368" t="s">
        <v>168</v>
      </c>
      <c r="SAR193" s="369">
        <v>0.5</v>
      </c>
      <c r="SAS193" s="370" t="e">
        <f>10/SAO191</f>
        <v>#DIV/0!</v>
      </c>
      <c r="SAT193" s="371">
        <v>15.38</v>
      </c>
      <c r="SAU193" s="371" t="e">
        <f>SAR193*SAS193*SAT193</f>
        <v>#DIV/0!</v>
      </c>
      <c r="SAV193" s="367" t="s">
        <v>206</v>
      </c>
      <c r="SAW193" s="367"/>
      <c r="SAX193" s="367"/>
      <c r="SAY193" s="368" t="s">
        <v>168</v>
      </c>
      <c r="SAZ193" s="369">
        <v>0.5</v>
      </c>
      <c r="SBA193" s="370" t="e">
        <f>10/SAW191</f>
        <v>#DIV/0!</v>
      </c>
      <c r="SBB193" s="371">
        <v>15.38</v>
      </c>
      <c r="SBC193" s="371" t="e">
        <f>SAZ193*SBA193*SBB193</f>
        <v>#DIV/0!</v>
      </c>
      <c r="SBD193" s="367" t="s">
        <v>206</v>
      </c>
      <c r="SBE193" s="367"/>
      <c r="SBF193" s="367"/>
      <c r="SBG193" s="368" t="s">
        <v>168</v>
      </c>
      <c r="SBH193" s="369">
        <v>0.5</v>
      </c>
      <c r="SBI193" s="370" t="e">
        <f>10/SBE191</f>
        <v>#DIV/0!</v>
      </c>
      <c r="SBJ193" s="371">
        <v>15.38</v>
      </c>
      <c r="SBK193" s="371" t="e">
        <f>SBH193*SBI193*SBJ193</f>
        <v>#DIV/0!</v>
      </c>
      <c r="SBL193" s="367" t="s">
        <v>206</v>
      </c>
      <c r="SBM193" s="367"/>
      <c r="SBN193" s="367"/>
      <c r="SBO193" s="368" t="s">
        <v>168</v>
      </c>
      <c r="SBP193" s="369">
        <v>0.5</v>
      </c>
      <c r="SBQ193" s="370" t="e">
        <f>10/SBM191</f>
        <v>#DIV/0!</v>
      </c>
      <c r="SBR193" s="371">
        <v>15.38</v>
      </c>
      <c r="SBS193" s="371" t="e">
        <f>SBP193*SBQ193*SBR193</f>
        <v>#DIV/0!</v>
      </c>
      <c r="SBT193" s="367" t="s">
        <v>206</v>
      </c>
      <c r="SBU193" s="367"/>
      <c r="SBV193" s="367"/>
      <c r="SBW193" s="368" t="s">
        <v>168</v>
      </c>
      <c r="SBX193" s="369">
        <v>0.5</v>
      </c>
      <c r="SBY193" s="370" t="e">
        <f>10/SBU191</f>
        <v>#DIV/0!</v>
      </c>
      <c r="SBZ193" s="371">
        <v>15.38</v>
      </c>
      <c r="SCA193" s="371" t="e">
        <f>SBX193*SBY193*SBZ193</f>
        <v>#DIV/0!</v>
      </c>
      <c r="SCB193" s="367" t="s">
        <v>206</v>
      </c>
      <c r="SCC193" s="367"/>
      <c r="SCD193" s="367"/>
      <c r="SCE193" s="368" t="s">
        <v>168</v>
      </c>
      <c r="SCF193" s="369">
        <v>0.5</v>
      </c>
      <c r="SCG193" s="370" t="e">
        <f>10/SCC191</f>
        <v>#DIV/0!</v>
      </c>
      <c r="SCH193" s="371">
        <v>15.38</v>
      </c>
      <c r="SCI193" s="371" t="e">
        <f>SCF193*SCG193*SCH193</f>
        <v>#DIV/0!</v>
      </c>
      <c r="SCJ193" s="367" t="s">
        <v>206</v>
      </c>
      <c r="SCK193" s="367"/>
      <c r="SCL193" s="367"/>
      <c r="SCM193" s="368" t="s">
        <v>168</v>
      </c>
      <c r="SCN193" s="369">
        <v>0.5</v>
      </c>
      <c r="SCO193" s="370" t="e">
        <f>10/SCK191</f>
        <v>#DIV/0!</v>
      </c>
      <c r="SCP193" s="371">
        <v>15.38</v>
      </c>
      <c r="SCQ193" s="371" t="e">
        <f>SCN193*SCO193*SCP193</f>
        <v>#DIV/0!</v>
      </c>
      <c r="SCR193" s="367" t="s">
        <v>206</v>
      </c>
      <c r="SCS193" s="367"/>
      <c r="SCT193" s="367"/>
      <c r="SCU193" s="368" t="s">
        <v>168</v>
      </c>
      <c r="SCV193" s="369">
        <v>0.5</v>
      </c>
      <c r="SCW193" s="370" t="e">
        <f>10/SCS191</f>
        <v>#DIV/0!</v>
      </c>
      <c r="SCX193" s="371">
        <v>15.38</v>
      </c>
      <c r="SCY193" s="371" t="e">
        <f>SCV193*SCW193*SCX193</f>
        <v>#DIV/0!</v>
      </c>
      <c r="SCZ193" s="367" t="s">
        <v>206</v>
      </c>
      <c r="SDA193" s="367"/>
      <c r="SDB193" s="367"/>
      <c r="SDC193" s="368" t="s">
        <v>168</v>
      </c>
      <c r="SDD193" s="369">
        <v>0.5</v>
      </c>
      <c r="SDE193" s="370" t="e">
        <f>10/SDA191</f>
        <v>#DIV/0!</v>
      </c>
      <c r="SDF193" s="371">
        <v>15.38</v>
      </c>
      <c r="SDG193" s="371" t="e">
        <f>SDD193*SDE193*SDF193</f>
        <v>#DIV/0!</v>
      </c>
      <c r="SDH193" s="367" t="s">
        <v>206</v>
      </c>
      <c r="SDI193" s="367"/>
      <c r="SDJ193" s="367"/>
      <c r="SDK193" s="368" t="s">
        <v>168</v>
      </c>
      <c r="SDL193" s="369">
        <v>0.5</v>
      </c>
      <c r="SDM193" s="370" t="e">
        <f>10/SDI191</f>
        <v>#DIV/0!</v>
      </c>
      <c r="SDN193" s="371">
        <v>15.38</v>
      </c>
      <c r="SDO193" s="371" t="e">
        <f>SDL193*SDM193*SDN193</f>
        <v>#DIV/0!</v>
      </c>
      <c r="SDP193" s="367" t="s">
        <v>206</v>
      </c>
      <c r="SDQ193" s="367"/>
      <c r="SDR193" s="367"/>
      <c r="SDS193" s="368" t="s">
        <v>168</v>
      </c>
      <c r="SDT193" s="369">
        <v>0.5</v>
      </c>
      <c r="SDU193" s="370" t="e">
        <f>10/SDQ191</f>
        <v>#DIV/0!</v>
      </c>
      <c r="SDV193" s="371">
        <v>15.38</v>
      </c>
      <c r="SDW193" s="371" t="e">
        <f>SDT193*SDU193*SDV193</f>
        <v>#DIV/0!</v>
      </c>
      <c r="SDX193" s="367" t="s">
        <v>206</v>
      </c>
      <c r="SDY193" s="367"/>
      <c r="SDZ193" s="367"/>
      <c r="SEA193" s="368" t="s">
        <v>168</v>
      </c>
      <c r="SEB193" s="369">
        <v>0.5</v>
      </c>
      <c r="SEC193" s="370" t="e">
        <f>10/SDY191</f>
        <v>#DIV/0!</v>
      </c>
      <c r="SED193" s="371">
        <v>15.38</v>
      </c>
      <c r="SEE193" s="371" t="e">
        <f>SEB193*SEC193*SED193</f>
        <v>#DIV/0!</v>
      </c>
      <c r="SEF193" s="367" t="s">
        <v>206</v>
      </c>
      <c r="SEG193" s="367"/>
      <c r="SEH193" s="367"/>
      <c r="SEI193" s="368" t="s">
        <v>168</v>
      </c>
      <c r="SEJ193" s="369">
        <v>0.5</v>
      </c>
      <c r="SEK193" s="370" t="e">
        <f>10/SEG191</f>
        <v>#DIV/0!</v>
      </c>
      <c r="SEL193" s="371">
        <v>15.38</v>
      </c>
      <c r="SEM193" s="371" t="e">
        <f>SEJ193*SEK193*SEL193</f>
        <v>#DIV/0!</v>
      </c>
      <c r="SEN193" s="367" t="s">
        <v>206</v>
      </c>
      <c r="SEO193" s="367"/>
      <c r="SEP193" s="367"/>
      <c r="SEQ193" s="368" t="s">
        <v>168</v>
      </c>
      <c r="SER193" s="369">
        <v>0.5</v>
      </c>
      <c r="SES193" s="370" t="e">
        <f>10/SEO191</f>
        <v>#DIV/0!</v>
      </c>
      <c r="SET193" s="371">
        <v>15.38</v>
      </c>
      <c r="SEU193" s="371" t="e">
        <f>SER193*SES193*SET193</f>
        <v>#DIV/0!</v>
      </c>
      <c r="SEV193" s="367" t="s">
        <v>206</v>
      </c>
      <c r="SEW193" s="367"/>
      <c r="SEX193" s="367"/>
      <c r="SEY193" s="368" t="s">
        <v>168</v>
      </c>
      <c r="SEZ193" s="369">
        <v>0.5</v>
      </c>
      <c r="SFA193" s="370" t="e">
        <f>10/SEW191</f>
        <v>#DIV/0!</v>
      </c>
      <c r="SFB193" s="371">
        <v>15.38</v>
      </c>
      <c r="SFC193" s="371" t="e">
        <f>SEZ193*SFA193*SFB193</f>
        <v>#DIV/0!</v>
      </c>
      <c r="SFD193" s="367" t="s">
        <v>206</v>
      </c>
      <c r="SFE193" s="367"/>
      <c r="SFF193" s="367"/>
      <c r="SFG193" s="368" t="s">
        <v>168</v>
      </c>
      <c r="SFH193" s="369">
        <v>0.5</v>
      </c>
      <c r="SFI193" s="370" t="e">
        <f>10/SFE191</f>
        <v>#DIV/0!</v>
      </c>
      <c r="SFJ193" s="371">
        <v>15.38</v>
      </c>
      <c r="SFK193" s="371" t="e">
        <f>SFH193*SFI193*SFJ193</f>
        <v>#DIV/0!</v>
      </c>
      <c r="SFL193" s="367" t="s">
        <v>206</v>
      </c>
      <c r="SFM193" s="367"/>
      <c r="SFN193" s="367"/>
      <c r="SFO193" s="368" t="s">
        <v>168</v>
      </c>
      <c r="SFP193" s="369">
        <v>0.5</v>
      </c>
      <c r="SFQ193" s="370" t="e">
        <f>10/SFM191</f>
        <v>#DIV/0!</v>
      </c>
      <c r="SFR193" s="371">
        <v>15.38</v>
      </c>
      <c r="SFS193" s="371" t="e">
        <f>SFP193*SFQ193*SFR193</f>
        <v>#DIV/0!</v>
      </c>
      <c r="SFT193" s="367" t="s">
        <v>206</v>
      </c>
      <c r="SFU193" s="367"/>
      <c r="SFV193" s="367"/>
      <c r="SFW193" s="368" t="s">
        <v>168</v>
      </c>
      <c r="SFX193" s="369">
        <v>0.5</v>
      </c>
      <c r="SFY193" s="370" t="e">
        <f>10/SFU191</f>
        <v>#DIV/0!</v>
      </c>
      <c r="SFZ193" s="371">
        <v>15.38</v>
      </c>
      <c r="SGA193" s="371" t="e">
        <f>SFX193*SFY193*SFZ193</f>
        <v>#DIV/0!</v>
      </c>
      <c r="SGB193" s="367" t="s">
        <v>206</v>
      </c>
      <c r="SGC193" s="367"/>
      <c r="SGD193" s="367"/>
      <c r="SGE193" s="368" t="s">
        <v>168</v>
      </c>
      <c r="SGF193" s="369">
        <v>0.5</v>
      </c>
      <c r="SGG193" s="370" t="e">
        <f>10/SGC191</f>
        <v>#DIV/0!</v>
      </c>
      <c r="SGH193" s="371">
        <v>15.38</v>
      </c>
      <c r="SGI193" s="371" t="e">
        <f>SGF193*SGG193*SGH193</f>
        <v>#DIV/0!</v>
      </c>
      <c r="SGJ193" s="367" t="s">
        <v>206</v>
      </c>
      <c r="SGK193" s="367"/>
      <c r="SGL193" s="367"/>
      <c r="SGM193" s="368" t="s">
        <v>168</v>
      </c>
      <c r="SGN193" s="369">
        <v>0.5</v>
      </c>
      <c r="SGO193" s="370" t="e">
        <f>10/SGK191</f>
        <v>#DIV/0!</v>
      </c>
      <c r="SGP193" s="371">
        <v>15.38</v>
      </c>
      <c r="SGQ193" s="371" t="e">
        <f>SGN193*SGO193*SGP193</f>
        <v>#DIV/0!</v>
      </c>
      <c r="SGR193" s="367" t="s">
        <v>206</v>
      </c>
      <c r="SGS193" s="367"/>
      <c r="SGT193" s="367"/>
      <c r="SGU193" s="368" t="s">
        <v>168</v>
      </c>
      <c r="SGV193" s="369">
        <v>0.5</v>
      </c>
      <c r="SGW193" s="370" t="e">
        <f>10/SGS191</f>
        <v>#DIV/0!</v>
      </c>
      <c r="SGX193" s="371">
        <v>15.38</v>
      </c>
      <c r="SGY193" s="371" t="e">
        <f>SGV193*SGW193*SGX193</f>
        <v>#DIV/0!</v>
      </c>
      <c r="SGZ193" s="367" t="s">
        <v>206</v>
      </c>
      <c r="SHA193" s="367"/>
      <c r="SHB193" s="367"/>
      <c r="SHC193" s="368" t="s">
        <v>168</v>
      </c>
      <c r="SHD193" s="369">
        <v>0.5</v>
      </c>
      <c r="SHE193" s="370" t="e">
        <f>10/SHA191</f>
        <v>#DIV/0!</v>
      </c>
      <c r="SHF193" s="371">
        <v>15.38</v>
      </c>
      <c r="SHG193" s="371" t="e">
        <f>SHD193*SHE193*SHF193</f>
        <v>#DIV/0!</v>
      </c>
      <c r="SHH193" s="367" t="s">
        <v>206</v>
      </c>
      <c r="SHI193" s="367"/>
      <c r="SHJ193" s="367"/>
      <c r="SHK193" s="368" t="s">
        <v>168</v>
      </c>
      <c r="SHL193" s="369">
        <v>0.5</v>
      </c>
      <c r="SHM193" s="370" t="e">
        <f>10/SHI191</f>
        <v>#DIV/0!</v>
      </c>
      <c r="SHN193" s="371">
        <v>15.38</v>
      </c>
      <c r="SHO193" s="371" t="e">
        <f>SHL193*SHM193*SHN193</f>
        <v>#DIV/0!</v>
      </c>
      <c r="SHP193" s="367" t="s">
        <v>206</v>
      </c>
      <c r="SHQ193" s="367"/>
      <c r="SHR193" s="367"/>
      <c r="SHS193" s="368" t="s">
        <v>168</v>
      </c>
      <c r="SHT193" s="369">
        <v>0.5</v>
      </c>
      <c r="SHU193" s="370" t="e">
        <f>10/SHQ191</f>
        <v>#DIV/0!</v>
      </c>
      <c r="SHV193" s="371">
        <v>15.38</v>
      </c>
      <c r="SHW193" s="371" t="e">
        <f>SHT193*SHU193*SHV193</f>
        <v>#DIV/0!</v>
      </c>
      <c r="SHX193" s="367" t="s">
        <v>206</v>
      </c>
      <c r="SHY193" s="367"/>
      <c r="SHZ193" s="367"/>
      <c r="SIA193" s="368" t="s">
        <v>168</v>
      </c>
      <c r="SIB193" s="369">
        <v>0.5</v>
      </c>
      <c r="SIC193" s="370" t="e">
        <f>10/SHY191</f>
        <v>#DIV/0!</v>
      </c>
      <c r="SID193" s="371">
        <v>15.38</v>
      </c>
      <c r="SIE193" s="371" t="e">
        <f>SIB193*SIC193*SID193</f>
        <v>#DIV/0!</v>
      </c>
      <c r="SIF193" s="367" t="s">
        <v>206</v>
      </c>
      <c r="SIG193" s="367"/>
      <c r="SIH193" s="367"/>
      <c r="SII193" s="368" t="s">
        <v>168</v>
      </c>
      <c r="SIJ193" s="369">
        <v>0.5</v>
      </c>
      <c r="SIK193" s="370" t="e">
        <f>10/SIG191</f>
        <v>#DIV/0!</v>
      </c>
      <c r="SIL193" s="371">
        <v>15.38</v>
      </c>
      <c r="SIM193" s="371" t="e">
        <f>SIJ193*SIK193*SIL193</f>
        <v>#DIV/0!</v>
      </c>
      <c r="SIN193" s="367" t="s">
        <v>206</v>
      </c>
      <c r="SIO193" s="367"/>
      <c r="SIP193" s="367"/>
      <c r="SIQ193" s="368" t="s">
        <v>168</v>
      </c>
      <c r="SIR193" s="369">
        <v>0.5</v>
      </c>
      <c r="SIS193" s="370" t="e">
        <f>10/SIO191</f>
        <v>#DIV/0!</v>
      </c>
      <c r="SIT193" s="371">
        <v>15.38</v>
      </c>
      <c r="SIU193" s="371" t="e">
        <f>SIR193*SIS193*SIT193</f>
        <v>#DIV/0!</v>
      </c>
      <c r="SIV193" s="367" t="s">
        <v>206</v>
      </c>
      <c r="SIW193" s="367"/>
      <c r="SIX193" s="367"/>
      <c r="SIY193" s="368" t="s">
        <v>168</v>
      </c>
      <c r="SIZ193" s="369">
        <v>0.5</v>
      </c>
      <c r="SJA193" s="370" t="e">
        <f>10/SIW191</f>
        <v>#DIV/0!</v>
      </c>
      <c r="SJB193" s="371">
        <v>15.38</v>
      </c>
      <c r="SJC193" s="371" t="e">
        <f>SIZ193*SJA193*SJB193</f>
        <v>#DIV/0!</v>
      </c>
      <c r="SJD193" s="367" t="s">
        <v>206</v>
      </c>
      <c r="SJE193" s="367"/>
      <c r="SJF193" s="367"/>
      <c r="SJG193" s="368" t="s">
        <v>168</v>
      </c>
      <c r="SJH193" s="369">
        <v>0.5</v>
      </c>
      <c r="SJI193" s="370" t="e">
        <f>10/SJE191</f>
        <v>#DIV/0!</v>
      </c>
      <c r="SJJ193" s="371">
        <v>15.38</v>
      </c>
      <c r="SJK193" s="371" t="e">
        <f>SJH193*SJI193*SJJ193</f>
        <v>#DIV/0!</v>
      </c>
      <c r="SJL193" s="367" t="s">
        <v>206</v>
      </c>
      <c r="SJM193" s="367"/>
      <c r="SJN193" s="367"/>
      <c r="SJO193" s="368" t="s">
        <v>168</v>
      </c>
      <c r="SJP193" s="369">
        <v>0.5</v>
      </c>
      <c r="SJQ193" s="370" t="e">
        <f>10/SJM191</f>
        <v>#DIV/0!</v>
      </c>
      <c r="SJR193" s="371">
        <v>15.38</v>
      </c>
      <c r="SJS193" s="371" t="e">
        <f>SJP193*SJQ193*SJR193</f>
        <v>#DIV/0!</v>
      </c>
      <c r="SJT193" s="367" t="s">
        <v>206</v>
      </c>
      <c r="SJU193" s="367"/>
      <c r="SJV193" s="367"/>
      <c r="SJW193" s="368" t="s">
        <v>168</v>
      </c>
      <c r="SJX193" s="369">
        <v>0.5</v>
      </c>
      <c r="SJY193" s="370" t="e">
        <f>10/SJU191</f>
        <v>#DIV/0!</v>
      </c>
      <c r="SJZ193" s="371">
        <v>15.38</v>
      </c>
      <c r="SKA193" s="371" t="e">
        <f>SJX193*SJY193*SJZ193</f>
        <v>#DIV/0!</v>
      </c>
      <c r="SKB193" s="367" t="s">
        <v>206</v>
      </c>
      <c r="SKC193" s="367"/>
      <c r="SKD193" s="367"/>
      <c r="SKE193" s="368" t="s">
        <v>168</v>
      </c>
      <c r="SKF193" s="369">
        <v>0.5</v>
      </c>
      <c r="SKG193" s="370" t="e">
        <f>10/SKC191</f>
        <v>#DIV/0!</v>
      </c>
      <c r="SKH193" s="371">
        <v>15.38</v>
      </c>
      <c r="SKI193" s="371" t="e">
        <f>SKF193*SKG193*SKH193</f>
        <v>#DIV/0!</v>
      </c>
      <c r="SKJ193" s="367" t="s">
        <v>206</v>
      </c>
      <c r="SKK193" s="367"/>
      <c r="SKL193" s="367"/>
      <c r="SKM193" s="368" t="s">
        <v>168</v>
      </c>
      <c r="SKN193" s="369">
        <v>0.5</v>
      </c>
      <c r="SKO193" s="370" t="e">
        <f>10/SKK191</f>
        <v>#DIV/0!</v>
      </c>
      <c r="SKP193" s="371">
        <v>15.38</v>
      </c>
      <c r="SKQ193" s="371" t="e">
        <f>SKN193*SKO193*SKP193</f>
        <v>#DIV/0!</v>
      </c>
      <c r="SKR193" s="367" t="s">
        <v>206</v>
      </c>
      <c r="SKS193" s="367"/>
      <c r="SKT193" s="367"/>
      <c r="SKU193" s="368" t="s">
        <v>168</v>
      </c>
      <c r="SKV193" s="369">
        <v>0.5</v>
      </c>
      <c r="SKW193" s="370" t="e">
        <f>10/SKS191</f>
        <v>#DIV/0!</v>
      </c>
      <c r="SKX193" s="371">
        <v>15.38</v>
      </c>
      <c r="SKY193" s="371" t="e">
        <f>SKV193*SKW193*SKX193</f>
        <v>#DIV/0!</v>
      </c>
      <c r="SKZ193" s="367" t="s">
        <v>206</v>
      </c>
      <c r="SLA193" s="367"/>
      <c r="SLB193" s="367"/>
      <c r="SLC193" s="368" t="s">
        <v>168</v>
      </c>
      <c r="SLD193" s="369">
        <v>0.5</v>
      </c>
      <c r="SLE193" s="370" t="e">
        <f>10/SLA191</f>
        <v>#DIV/0!</v>
      </c>
      <c r="SLF193" s="371">
        <v>15.38</v>
      </c>
      <c r="SLG193" s="371" t="e">
        <f>SLD193*SLE193*SLF193</f>
        <v>#DIV/0!</v>
      </c>
      <c r="SLH193" s="367" t="s">
        <v>206</v>
      </c>
      <c r="SLI193" s="367"/>
      <c r="SLJ193" s="367"/>
      <c r="SLK193" s="368" t="s">
        <v>168</v>
      </c>
      <c r="SLL193" s="369">
        <v>0.5</v>
      </c>
      <c r="SLM193" s="370" t="e">
        <f>10/SLI191</f>
        <v>#DIV/0!</v>
      </c>
      <c r="SLN193" s="371">
        <v>15.38</v>
      </c>
      <c r="SLO193" s="371" t="e">
        <f>SLL193*SLM193*SLN193</f>
        <v>#DIV/0!</v>
      </c>
      <c r="SLP193" s="367" t="s">
        <v>206</v>
      </c>
      <c r="SLQ193" s="367"/>
      <c r="SLR193" s="367"/>
      <c r="SLS193" s="368" t="s">
        <v>168</v>
      </c>
      <c r="SLT193" s="369">
        <v>0.5</v>
      </c>
      <c r="SLU193" s="370" t="e">
        <f>10/SLQ191</f>
        <v>#DIV/0!</v>
      </c>
      <c r="SLV193" s="371">
        <v>15.38</v>
      </c>
      <c r="SLW193" s="371" t="e">
        <f>SLT193*SLU193*SLV193</f>
        <v>#DIV/0!</v>
      </c>
      <c r="SLX193" s="367" t="s">
        <v>206</v>
      </c>
      <c r="SLY193" s="367"/>
      <c r="SLZ193" s="367"/>
      <c r="SMA193" s="368" t="s">
        <v>168</v>
      </c>
      <c r="SMB193" s="369">
        <v>0.5</v>
      </c>
      <c r="SMC193" s="370" t="e">
        <f>10/SLY191</f>
        <v>#DIV/0!</v>
      </c>
      <c r="SMD193" s="371">
        <v>15.38</v>
      </c>
      <c r="SME193" s="371" t="e">
        <f>SMB193*SMC193*SMD193</f>
        <v>#DIV/0!</v>
      </c>
      <c r="SMF193" s="367" t="s">
        <v>206</v>
      </c>
      <c r="SMG193" s="367"/>
      <c r="SMH193" s="367"/>
      <c r="SMI193" s="368" t="s">
        <v>168</v>
      </c>
      <c r="SMJ193" s="369">
        <v>0.5</v>
      </c>
      <c r="SMK193" s="370" t="e">
        <f>10/SMG191</f>
        <v>#DIV/0!</v>
      </c>
      <c r="SML193" s="371">
        <v>15.38</v>
      </c>
      <c r="SMM193" s="371" t="e">
        <f>SMJ193*SMK193*SML193</f>
        <v>#DIV/0!</v>
      </c>
      <c r="SMN193" s="367" t="s">
        <v>206</v>
      </c>
      <c r="SMO193" s="367"/>
      <c r="SMP193" s="367"/>
      <c r="SMQ193" s="368" t="s">
        <v>168</v>
      </c>
      <c r="SMR193" s="369">
        <v>0.5</v>
      </c>
      <c r="SMS193" s="370" t="e">
        <f>10/SMO191</f>
        <v>#DIV/0!</v>
      </c>
      <c r="SMT193" s="371">
        <v>15.38</v>
      </c>
      <c r="SMU193" s="371" t="e">
        <f>SMR193*SMS193*SMT193</f>
        <v>#DIV/0!</v>
      </c>
      <c r="SMV193" s="367" t="s">
        <v>206</v>
      </c>
      <c r="SMW193" s="367"/>
      <c r="SMX193" s="367"/>
      <c r="SMY193" s="368" t="s">
        <v>168</v>
      </c>
      <c r="SMZ193" s="369">
        <v>0.5</v>
      </c>
      <c r="SNA193" s="370" t="e">
        <f>10/SMW191</f>
        <v>#DIV/0!</v>
      </c>
      <c r="SNB193" s="371">
        <v>15.38</v>
      </c>
      <c r="SNC193" s="371" t="e">
        <f>SMZ193*SNA193*SNB193</f>
        <v>#DIV/0!</v>
      </c>
      <c r="SND193" s="367" t="s">
        <v>206</v>
      </c>
      <c r="SNE193" s="367"/>
      <c r="SNF193" s="367"/>
      <c r="SNG193" s="368" t="s">
        <v>168</v>
      </c>
      <c r="SNH193" s="369">
        <v>0.5</v>
      </c>
      <c r="SNI193" s="370" t="e">
        <f>10/SNE191</f>
        <v>#DIV/0!</v>
      </c>
      <c r="SNJ193" s="371">
        <v>15.38</v>
      </c>
      <c r="SNK193" s="371" t="e">
        <f>SNH193*SNI193*SNJ193</f>
        <v>#DIV/0!</v>
      </c>
      <c r="SNL193" s="367" t="s">
        <v>206</v>
      </c>
      <c r="SNM193" s="367"/>
      <c r="SNN193" s="367"/>
      <c r="SNO193" s="368" t="s">
        <v>168</v>
      </c>
      <c r="SNP193" s="369">
        <v>0.5</v>
      </c>
      <c r="SNQ193" s="370" t="e">
        <f>10/SNM191</f>
        <v>#DIV/0!</v>
      </c>
      <c r="SNR193" s="371">
        <v>15.38</v>
      </c>
      <c r="SNS193" s="371" t="e">
        <f>SNP193*SNQ193*SNR193</f>
        <v>#DIV/0!</v>
      </c>
      <c r="SNT193" s="367" t="s">
        <v>206</v>
      </c>
      <c r="SNU193" s="367"/>
      <c r="SNV193" s="367"/>
      <c r="SNW193" s="368" t="s">
        <v>168</v>
      </c>
      <c r="SNX193" s="369">
        <v>0.5</v>
      </c>
      <c r="SNY193" s="370" t="e">
        <f>10/SNU191</f>
        <v>#DIV/0!</v>
      </c>
      <c r="SNZ193" s="371">
        <v>15.38</v>
      </c>
      <c r="SOA193" s="371" t="e">
        <f>SNX193*SNY193*SNZ193</f>
        <v>#DIV/0!</v>
      </c>
      <c r="SOB193" s="367" t="s">
        <v>206</v>
      </c>
      <c r="SOC193" s="367"/>
      <c r="SOD193" s="367"/>
      <c r="SOE193" s="368" t="s">
        <v>168</v>
      </c>
      <c r="SOF193" s="369">
        <v>0.5</v>
      </c>
      <c r="SOG193" s="370" t="e">
        <f>10/SOC191</f>
        <v>#DIV/0!</v>
      </c>
      <c r="SOH193" s="371">
        <v>15.38</v>
      </c>
      <c r="SOI193" s="371" t="e">
        <f>SOF193*SOG193*SOH193</f>
        <v>#DIV/0!</v>
      </c>
      <c r="SOJ193" s="367" t="s">
        <v>206</v>
      </c>
      <c r="SOK193" s="367"/>
      <c r="SOL193" s="367"/>
      <c r="SOM193" s="368" t="s">
        <v>168</v>
      </c>
      <c r="SON193" s="369">
        <v>0.5</v>
      </c>
      <c r="SOO193" s="370" t="e">
        <f>10/SOK191</f>
        <v>#DIV/0!</v>
      </c>
      <c r="SOP193" s="371">
        <v>15.38</v>
      </c>
      <c r="SOQ193" s="371" t="e">
        <f>SON193*SOO193*SOP193</f>
        <v>#DIV/0!</v>
      </c>
      <c r="SOR193" s="367" t="s">
        <v>206</v>
      </c>
      <c r="SOS193" s="367"/>
      <c r="SOT193" s="367"/>
      <c r="SOU193" s="368" t="s">
        <v>168</v>
      </c>
      <c r="SOV193" s="369">
        <v>0.5</v>
      </c>
      <c r="SOW193" s="370" t="e">
        <f>10/SOS191</f>
        <v>#DIV/0!</v>
      </c>
      <c r="SOX193" s="371">
        <v>15.38</v>
      </c>
      <c r="SOY193" s="371" t="e">
        <f>SOV193*SOW193*SOX193</f>
        <v>#DIV/0!</v>
      </c>
      <c r="SOZ193" s="367" t="s">
        <v>206</v>
      </c>
      <c r="SPA193" s="367"/>
      <c r="SPB193" s="367"/>
      <c r="SPC193" s="368" t="s">
        <v>168</v>
      </c>
      <c r="SPD193" s="369">
        <v>0.5</v>
      </c>
      <c r="SPE193" s="370" t="e">
        <f>10/SPA191</f>
        <v>#DIV/0!</v>
      </c>
      <c r="SPF193" s="371">
        <v>15.38</v>
      </c>
      <c r="SPG193" s="371" t="e">
        <f>SPD193*SPE193*SPF193</f>
        <v>#DIV/0!</v>
      </c>
      <c r="SPH193" s="367" t="s">
        <v>206</v>
      </c>
      <c r="SPI193" s="367"/>
      <c r="SPJ193" s="367"/>
      <c r="SPK193" s="368" t="s">
        <v>168</v>
      </c>
      <c r="SPL193" s="369">
        <v>0.5</v>
      </c>
      <c r="SPM193" s="370" t="e">
        <f>10/SPI191</f>
        <v>#DIV/0!</v>
      </c>
      <c r="SPN193" s="371">
        <v>15.38</v>
      </c>
      <c r="SPO193" s="371" t="e">
        <f>SPL193*SPM193*SPN193</f>
        <v>#DIV/0!</v>
      </c>
      <c r="SPP193" s="367" t="s">
        <v>206</v>
      </c>
      <c r="SPQ193" s="367"/>
      <c r="SPR193" s="367"/>
      <c r="SPS193" s="368" t="s">
        <v>168</v>
      </c>
      <c r="SPT193" s="369">
        <v>0.5</v>
      </c>
      <c r="SPU193" s="370" t="e">
        <f>10/SPQ191</f>
        <v>#DIV/0!</v>
      </c>
      <c r="SPV193" s="371">
        <v>15.38</v>
      </c>
      <c r="SPW193" s="371" t="e">
        <f>SPT193*SPU193*SPV193</f>
        <v>#DIV/0!</v>
      </c>
      <c r="SPX193" s="367" t="s">
        <v>206</v>
      </c>
      <c r="SPY193" s="367"/>
      <c r="SPZ193" s="367"/>
      <c r="SQA193" s="368" t="s">
        <v>168</v>
      </c>
      <c r="SQB193" s="369">
        <v>0.5</v>
      </c>
      <c r="SQC193" s="370" t="e">
        <f>10/SPY191</f>
        <v>#DIV/0!</v>
      </c>
      <c r="SQD193" s="371">
        <v>15.38</v>
      </c>
      <c r="SQE193" s="371" t="e">
        <f>SQB193*SQC193*SQD193</f>
        <v>#DIV/0!</v>
      </c>
      <c r="SQF193" s="367" t="s">
        <v>206</v>
      </c>
      <c r="SQG193" s="367"/>
      <c r="SQH193" s="367"/>
      <c r="SQI193" s="368" t="s">
        <v>168</v>
      </c>
      <c r="SQJ193" s="369">
        <v>0.5</v>
      </c>
      <c r="SQK193" s="370" t="e">
        <f>10/SQG191</f>
        <v>#DIV/0!</v>
      </c>
      <c r="SQL193" s="371">
        <v>15.38</v>
      </c>
      <c r="SQM193" s="371" t="e">
        <f>SQJ193*SQK193*SQL193</f>
        <v>#DIV/0!</v>
      </c>
      <c r="SQN193" s="367" t="s">
        <v>206</v>
      </c>
      <c r="SQO193" s="367"/>
      <c r="SQP193" s="367"/>
      <c r="SQQ193" s="368" t="s">
        <v>168</v>
      </c>
      <c r="SQR193" s="369">
        <v>0.5</v>
      </c>
      <c r="SQS193" s="370" t="e">
        <f>10/SQO191</f>
        <v>#DIV/0!</v>
      </c>
      <c r="SQT193" s="371">
        <v>15.38</v>
      </c>
      <c r="SQU193" s="371" t="e">
        <f>SQR193*SQS193*SQT193</f>
        <v>#DIV/0!</v>
      </c>
      <c r="SQV193" s="367" t="s">
        <v>206</v>
      </c>
      <c r="SQW193" s="367"/>
      <c r="SQX193" s="367"/>
      <c r="SQY193" s="368" t="s">
        <v>168</v>
      </c>
      <c r="SQZ193" s="369">
        <v>0.5</v>
      </c>
      <c r="SRA193" s="370" t="e">
        <f>10/SQW191</f>
        <v>#DIV/0!</v>
      </c>
      <c r="SRB193" s="371">
        <v>15.38</v>
      </c>
      <c r="SRC193" s="371" t="e">
        <f>SQZ193*SRA193*SRB193</f>
        <v>#DIV/0!</v>
      </c>
      <c r="SRD193" s="367" t="s">
        <v>206</v>
      </c>
      <c r="SRE193" s="367"/>
      <c r="SRF193" s="367"/>
      <c r="SRG193" s="368" t="s">
        <v>168</v>
      </c>
      <c r="SRH193" s="369">
        <v>0.5</v>
      </c>
      <c r="SRI193" s="370" t="e">
        <f>10/SRE191</f>
        <v>#DIV/0!</v>
      </c>
      <c r="SRJ193" s="371">
        <v>15.38</v>
      </c>
      <c r="SRK193" s="371" t="e">
        <f>SRH193*SRI193*SRJ193</f>
        <v>#DIV/0!</v>
      </c>
      <c r="SRL193" s="367" t="s">
        <v>206</v>
      </c>
      <c r="SRM193" s="367"/>
      <c r="SRN193" s="367"/>
      <c r="SRO193" s="368" t="s">
        <v>168</v>
      </c>
      <c r="SRP193" s="369">
        <v>0.5</v>
      </c>
      <c r="SRQ193" s="370" t="e">
        <f>10/SRM191</f>
        <v>#DIV/0!</v>
      </c>
      <c r="SRR193" s="371">
        <v>15.38</v>
      </c>
      <c r="SRS193" s="371" t="e">
        <f>SRP193*SRQ193*SRR193</f>
        <v>#DIV/0!</v>
      </c>
      <c r="SRT193" s="367" t="s">
        <v>206</v>
      </c>
      <c r="SRU193" s="367"/>
      <c r="SRV193" s="367"/>
      <c r="SRW193" s="368" t="s">
        <v>168</v>
      </c>
      <c r="SRX193" s="369">
        <v>0.5</v>
      </c>
      <c r="SRY193" s="370" t="e">
        <f>10/SRU191</f>
        <v>#DIV/0!</v>
      </c>
      <c r="SRZ193" s="371">
        <v>15.38</v>
      </c>
      <c r="SSA193" s="371" t="e">
        <f>SRX193*SRY193*SRZ193</f>
        <v>#DIV/0!</v>
      </c>
      <c r="SSB193" s="367" t="s">
        <v>206</v>
      </c>
      <c r="SSC193" s="367"/>
      <c r="SSD193" s="367"/>
      <c r="SSE193" s="368" t="s">
        <v>168</v>
      </c>
      <c r="SSF193" s="369">
        <v>0.5</v>
      </c>
      <c r="SSG193" s="370" t="e">
        <f>10/SSC191</f>
        <v>#DIV/0!</v>
      </c>
      <c r="SSH193" s="371">
        <v>15.38</v>
      </c>
      <c r="SSI193" s="371" t="e">
        <f>SSF193*SSG193*SSH193</f>
        <v>#DIV/0!</v>
      </c>
      <c r="SSJ193" s="367" t="s">
        <v>206</v>
      </c>
      <c r="SSK193" s="367"/>
      <c r="SSL193" s="367"/>
      <c r="SSM193" s="368" t="s">
        <v>168</v>
      </c>
      <c r="SSN193" s="369">
        <v>0.5</v>
      </c>
      <c r="SSO193" s="370" t="e">
        <f>10/SSK191</f>
        <v>#DIV/0!</v>
      </c>
      <c r="SSP193" s="371">
        <v>15.38</v>
      </c>
      <c r="SSQ193" s="371" t="e">
        <f>SSN193*SSO193*SSP193</f>
        <v>#DIV/0!</v>
      </c>
      <c r="SSR193" s="367" t="s">
        <v>206</v>
      </c>
      <c r="SSS193" s="367"/>
      <c r="SST193" s="367"/>
      <c r="SSU193" s="368" t="s">
        <v>168</v>
      </c>
      <c r="SSV193" s="369">
        <v>0.5</v>
      </c>
      <c r="SSW193" s="370" t="e">
        <f>10/SSS191</f>
        <v>#DIV/0!</v>
      </c>
      <c r="SSX193" s="371">
        <v>15.38</v>
      </c>
      <c r="SSY193" s="371" t="e">
        <f>SSV193*SSW193*SSX193</f>
        <v>#DIV/0!</v>
      </c>
      <c r="SSZ193" s="367" t="s">
        <v>206</v>
      </c>
      <c r="STA193" s="367"/>
      <c r="STB193" s="367"/>
      <c r="STC193" s="368" t="s">
        <v>168</v>
      </c>
      <c r="STD193" s="369">
        <v>0.5</v>
      </c>
      <c r="STE193" s="370" t="e">
        <f>10/STA191</f>
        <v>#DIV/0!</v>
      </c>
      <c r="STF193" s="371">
        <v>15.38</v>
      </c>
      <c r="STG193" s="371" t="e">
        <f>STD193*STE193*STF193</f>
        <v>#DIV/0!</v>
      </c>
      <c r="STH193" s="367" t="s">
        <v>206</v>
      </c>
      <c r="STI193" s="367"/>
      <c r="STJ193" s="367"/>
      <c r="STK193" s="368" t="s">
        <v>168</v>
      </c>
      <c r="STL193" s="369">
        <v>0.5</v>
      </c>
      <c r="STM193" s="370" t="e">
        <f>10/STI191</f>
        <v>#DIV/0!</v>
      </c>
      <c r="STN193" s="371">
        <v>15.38</v>
      </c>
      <c r="STO193" s="371" t="e">
        <f>STL193*STM193*STN193</f>
        <v>#DIV/0!</v>
      </c>
      <c r="STP193" s="367" t="s">
        <v>206</v>
      </c>
      <c r="STQ193" s="367"/>
      <c r="STR193" s="367"/>
      <c r="STS193" s="368" t="s">
        <v>168</v>
      </c>
      <c r="STT193" s="369">
        <v>0.5</v>
      </c>
      <c r="STU193" s="370" t="e">
        <f>10/STQ191</f>
        <v>#DIV/0!</v>
      </c>
      <c r="STV193" s="371">
        <v>15.38</v>
      </c>
      <c r="STW193" s="371" t="e">
        <f>STT193*STU193*STV193</f>
        <v>#DIV/0!</v>
      </c>
      <c r="STX193" s="367" t="s">
        <v>206</v>
      </c>
      <c r="STY193" s="367"/>
      <c r="STZ193" s="367"/>
      <c r="SUA193" s="368" t="s">
        <v>168</v>
      </c>
      <c r="SUB193" s="369">
        <v>0.5</v>
      </c>
      <c r="SUC193" s="370" t="e">
        <f>10/STY191</f>
        <v>#DIV/0!</v>
      </c>
      <c r="SUD193" s="371">
        <v>15.38</v>
      </c>
      <c r="SUE193" s="371" t="e">
        <f>SUB193*SUC193*SUD193</f>
        <v>#DIV/0!</v>
      </c>
      <c r="SUF193" s="367" t="s">
        <v>206</v>
      </c>
      <c r="SUG193" s="367"/>
      <c r="SUH193" s="367"/>
      <c r="SUI193" s="368" t="s">
        <v>168</v>
      </c>
      <c r="SUJ193" s="369">
        <v>0.5</v>
      </c>
      <c r="SUK193" s="370" t="e">
        <f>10/SUG191</f>
        <v>#DIV/0!</v>
      </c>
      <c r="SUL193" s="371">
        <v>15.38</v>
      </c>
      <c r="SUM193" s="371" t="e">
        <f>SUJ193*SUK193*SUL193</f>
        <v>#DIV/0!</v>
      </c>
      <c r="SUN193" s="367" t="s">
        <v>206</v>
      </c>
      <c r="SUO193" s="367"/>
      <c r="SUP193" s="367"/>
      <c r="SUQ193" s="368" t="s">
        <v>168</v>
      </c>
      <c r="SUR193" s="369">
        <v>0.5</v>
      </c>
      <c r="SUS193" s="370" t="e">
        <f>10/SUO191</f>
        <v>#DIV/0!</v>
      </c>
      <c r="SUT193" s="371">
        <v>15.38</v>
      </c>
      <c r="SUU193" s="371" t="e">
        <f>SUR193*SUS193*SUT193</f>
        <v>#DIV/0!</v>
      </c>
      <c r="SUV193" s="367" t="s">
        <v>206</v>
      </c>
      <c r="SUW193" s="367"/>
      <c r="SUX193" s="367"/>
      <c r="SUY193" s="368" t="s">
        <v>168</v>
      </c>
      <c r="SUZ193" s="369">
        <v>0.5</v>
      </c>
      <c r="SVA193" s="370" t="e">
        <f>10/SUW191</f>
        <v>#DIV/0!</v>
      </c>
      <c r="SVB193" s="371">
        <v>15.38</v>
      </c>
      <c r="SVC193" s="371" t="e">
        <f>SUZ193*SVA193*SVB193</f>
        <v>#DIV/0!</v>
      </c>
      <c r="SVD193" s="367" t="s">
        <v>206</v>
      </c>
      <c r="SVE193" s="367"/>
      <c r="SVF193" s="367"/>
      <c r="SVG193" s="368" t="s">
        <v>168</v>
      </c>
      <c r="SVH193" s="369">
        <v>0.5</v>
      </c>
      <c r="SVI193" s="370" t="e">
        <f>10/SVE191</f>
        <v>#DIV/0!</v>
      </c>
      <c r="SVJ193" s="371">
        <v>15.38</v>
      </c>
      <c r="SVK193" s="371" t="e">
        <f>SVH193*SVI193*SVJ193</f>
        <v>#DIV/0!</v>
      </c>
      <c r="SVL193" s="367" t="s">
        <v>206</v>
      </c>
      <c r="SVM193" s="367"/>
      <c r="SVN193" s="367"/>
      <c r="SVO193" s="368" t="s">
        <v>168</v>
      </c>
      <c r="SVP193" s="369">
        <v>0.5</v>
      </c>
      <c r="SVQ193" s="370" t="e">
        <f>10/SVM191</f>
        <v>#DIV/0!</v>
      </c>
      <c r="SVR193" s="371">
        <v>15.38</v>
      </c>
      <c r="SVS193" s="371" t="e">
        <f>SVP193*SVQ193*SVR193</f>
        <v>#DIV/0!</v>
      </c>
      <c r="SVT193" s="367" t="s">
        <v>206</v>
      </c>
      <c r="SVU193" s="367"/>
      <c r="SVV193" s="367"/>
      <c r="SVW193" s="368" t="s">
        <v>168</v>
      </c>
      <c r="SVX193" s="369">
        <v>0.5</v>
      </c>
      <c r="SVY193" s="370" t="e">
        <f>10/SVU191</f>
        <v>#DIV/0!</v>
      </c>
      <c r="SVZ193" s="371">
        <v>15.38</v>
      </c>
      <c r="SWA193" s="371" t="e">
        <f>SVX193*SVY193*SVZ193</f>
        <v>#DIV/0!</v>
      </c>
      <c r="SWB193" s="367" t="s">
        <v>206</v>
      </c>
      <c r="SWC193" s="367"/>
      <c r="SWD193" s="367"/>
      <c r="SWE193" s="368" t="s">
        <v>168</v>
      </c>
      <c r="SWF193" s="369">
        <v>0.5</v>
      </c>
      <c r="SWG193" s="370" t="e">
        <f>10/SWC191</f>
        <v>#DIV/0!</v>
      </c>
      <c r="SWH193" s="371">
        <v>15.38</v>
      </c>
      <c r="SWI193" s="371" t="e">
        <f>SWF193*SWG193*SWH193</f>
        <v>#DIV/0!</v>
      </c>
      <c r="SWJ193" s="367" t="s">
        <v>206</v>
      </c>
      <c r="SWK193" s="367"/>
      <c r="SWL193" s="367"/>
      <c r="SWM193" s="368" t="s">
        <v>168</v>
      </c>
      <c r="SWN193" s="369">
        <v>0.5</v>
      </c>
      <c r="SWO193" s="370" t="e">
        <f>10/SWK191</f>
        <v>#DIV/0!</v>
      </c>
      <c r="SWP193" s="371">
        <v>15.38</v>
      </c>
      <c r="SWQ193" s="371" t="e">
        <f>SWN193*SWO193*SWP193</f>
        <v>#DIV/0!</v>
      </c>
      <c r="SWR193" s="367" t="s">
        <v>206</v>
      </c>
      <c r="SWS193" s="367"/>
      <c r="SWT193" s="367"/>
      <c r="SWU193" s="368" t="s">
        <v>168</v>
      </c>
      <c r="SWV193" s="369">
        <v>0.5</v>
      </c>
      <c r="SWW193" s="370" t="e">
        <f>10/SWS191</f>
        <v>#DIV/0!</v>
      </c>
      <c r="SWX193" s="371">
        <v>15.38</v>
      </c>
      <c r="SWY193" s="371" t="e">
        <f>SWV193*SWW193*SWX193</f>
        <v>#DIV/0!</v>
      </c>
      <c r="SWZ193" s="367" t="s">
        <v>206</v>
      </c>
      <c r="SXA193" s="367"/>
      <c r="SXB193" s="367"/>
      <c r="SXC193" s="368" t="s">
        <v>168</v>
      </c>
      <c r="SXD193" s="369">
        <v>0.5</v>
      </c>
      <c r="SXE193" s="370" t="e">
        <f>10/SXA191</f>
        <v>#DIV/0!</v>
      </c>
      <c r="SXF193" s="371">
        <v>15.38</v>
      </c>
      <c r="SXG193" s="371" t="e">
        <f>SXD193*SXE193*SXF193</f>
        <v>#DIV/0!</v>
      </c>
      <c r="SXH193" s="367" t="s">
        <v>206</v>
      </c>
      <c r="SXI193" s="367"/>
      <c r="SXJ193" s="367"/>
      <c r="SXK193" s="368" t="s">
        <v>168</v>
      </c>
      <c r="SXL193" s="369">
        <v>0.5</v>
      </c>
      <c r="SXM193" s="370" t="e">
        <f>10/SXI191</f>
        <v>#DIV/0!</v>
      </c>
      <c r="SXN193" s="371">
        <v>15.38</v>
      </c>
      <c r="SXO193" s="371" t="e">
        <f>SXL193*SXM193*SXN193</f>
        <v>#DIV/0!</v>
      </c>
      <c r="SXP193" s="367" t="s">
        <v>206</v>
      </c>
      <c r="SXQ193" s="367"/>
      <c r="SXR193" s="367"/>
      <c r="SXS193" s="368" t="s">
        <v>168</v>
      </c>
      <c r="SXT193" s="369">
        <v>0.5</v>
      </c>
      <c r="SXU193" s="370" t="e">
        <f>10/SXQ191</f>
        <v>#DIV/0!</v>
      </c>
      <c r="SXV193" s="371">
        <v>15.38</v>
      </c>
      <c r="SXW193" s="371" t="e">
        <f>SXT193*SXU193*SXV193</f>
        <v>#DIV/0!</v>
      </c>
      <c r="SXX193" s="367" t="s">
        <v>206</v>
      </c>
      <c r="SXY193" s="367"/>
      <c r="SXZ193" s="367"/>
      <c r="SYA193" s="368" t="s">
        <v>168</v>
      </c>
      <c r="SYB193" s="369">
        <v>0.5</v>
      </c>
      <c r="SYC193" s="370" t="e">
        <f>10/SXY191</f>
        <v>#DIV/0!</v>
      </c>
      <c r="SYD193" s="371">
        <v>15.38</v>
      </c>
      <c r="SYE193" s="371" t="e">
        <f>SYB193*SYC193*SYD193</f>
        <v>#DIV/0!</v>
      </c>
      <c r="SYF193" s="367" t="s">
        <v>206</v>
      </c>
      <c r="SYG193" s="367"/>
      <c r="SYH193" s="367"/>
      <c r="SYI193" s="368" t="s">
        <v>168</v>
      </c>
      <c r="SYJ193" s="369">
        <v>0.5</v>
      </c>
      <c r="SYK193" s="370" t="e">
        <f>10/SYG191</f>
        <v>#DIV/0!</v>
      </c>
      <c r="SYL193" s="371">
        <v>15.38</v>
      </c>
      <c r="SYM193" s="371" t="e">
        <f>SYJ193*SYK193*SYL193</f>
        <v>#DIV/0!</v>
      </c>
      <c r="SYN193" s="367" t="s">
        <v>206</v>
      </c>
      <c r="SYO193" s="367"/>
      <c r="SYP193" s="367"/>
      <c r="SYQ193" s="368" t="s">
        <v>168</v>
      </c>
      <c r="SYR193" s="369">
        <v>0.5</v>
      </c>
      <c r="SYS193" s="370" t="e">
        <f>10/SYO191</f>
        <v>#DIV/0!</v>
      </c>
      <c r="SYT193" s="371">
        <v>15.38</v>
      </c>
      <c r="SYU193" s="371" t="e">
        <f>SYR193*SYS193*SYT193</f>
        <v>#DIV/0!</v>
      </c>
      <c r="SYV193" s="367" t="s">
        <v>206</v>
      </c>
      <c r="SYW193" s="367"/>
      <c r="SYX193" s="367"/>
      <c r="SYY193" s="368" t="s">
        <v>168</v>
      </c>
      <c r="SYZ193" s="369">
        <v>0.5</v>
      </c>
      <c r="SZA193" s="370" t="e">
        <f>10/SYW191</f>
        <v>#DIV/0!</v>
      </c>
      <c r="SZB193" s="371">
        <v>15.38</v>
      </c>
      <c r="SZC193" s="371" t="e">
        <f>SYZ193*SZA193*SZB193</f>
        <v>#DIV/0!</v>
      </c>
      <c r="SZD193" s="367" t="s">
        <v>206</v>
      </c>
      <c r="SZE193" s="367"/>
      <c r="SZF193" s="367"/>
      <c r="SZG193" s="368" t="s">
        <v>168</v>
      </c>
      <c r="SZH193" s="369">
        <v>0.5</v>
      </c>
      <c r="SZI193" s="370" t="e">
        <f>10/SZE191</f>
        <v>#DIV/0!</v>
      </c>
      <c r="SZJ193" s="371">
        <v>15.38</v>
      </c>
      <c r="SZK193" s="371" t="e">
        <f>SZH193*SZI193*SZJ193</f>
        <v>#DIV/0!</v>
      </c>
      <c r="SZL193" s="367" t="s">
        <v>206</v>
      </c>
      <c r="SZM193" s="367"/>
      <c r="SZN193" s="367"/>
      <c r="SZO193" s="368" t="s">
        <v>168</v>
      </c>
      <c r="SZP193" s="369">
        <v>0.5</v>
      </c>
      <c r="SZQ193" s="370" t="e">
        <f>10/SZM191</f>
        <v>#DIV/0!</v>
      </c>
      <c r="SZR193" s="371">
        <v>15.38</v>
      </c>
      <c r="SZS193" s="371" t="e">
        <f>SZP193*SZQ193*SZR193</f>
        <v>#DIV/0!</v>
      </c>
      <c r="SZT193" s="367" t="s">
        <v>206</v>
      </c>
      <c r="SZU193" s="367"/>
      <c r="SZV193" s="367"/>
      <c r="SZW193" s="368" t="s">
        <v>168</v>
      </c>
      <c r="SZX193" s="369">
        <v>0.5</v>
      </c>
      <c r="SZY193" s="370" t="e">
        <f>10/SZU191</f>
        <v>#DIV/0!</v>
      </c>
      <c r="SZZ193" s="371">
        <v>15.38</v>
      </c>
      <c r="TAA193" s="371" t="e">
        <f>SZX193*SZY193*SZZ193</f>
        <v>#DIV/0!</v>
      </c>
      <c r="TAB193" s="367" t="s">
        <v>206</v>
      </c>
      <c r="TAC193" s="367"/>
      <c r="TAD193" s="367"/>
      <c r="TAE193" s="368" t="s">
        <v>168</v>
      </c>
      <c r="TAF193" s="369">
        <v>0.5</v>
      </c>
      <c r="TAG193" s="370" t="e">
        <f>10/TAC191</f>
        <v>#DIV/0!</v>
      </c>
      <c r="TAH193" s="371">
        <v>15.38</v>
      </c>
      <c r="TAI193" s="371" t="e">
        <f>TAF193*TAG193*TAH193</f>
        <v>#DIV/0!</v>
      </c>
      <c r="TAJ193" s="367" t="s">
        <v>206</v>
      </c>
      <c r="TAK193" s="367"/>
      <c r="TAL193" s="367"/>
      <c r="TAM193" s="368" t="s">
        <v>168</v>
      </c>
      <c r="TAN193" s="369">
        <v>0.5</v>
      </c>
      <c r="TAO193" s="370" t="e">
        <f>10/TAK191</f>
        <v>#DIV/0!</v>
      </c>
      <c r="TAP193" s="371">
        <v>15.38</v>
      </c>
      <c r="TAQ193" s="371" t="e">
        <f>TAN193*TAO193*TAP193</f>
        <v>#DIV/0!</v>
      </c>
      <c r="TAR193" s="367" t="s">
        <v>206</v>
      </c>
      <c r="TAS193" s="367"/>
      <c r="TAT193" s="367"/>
      <c r="TAU193" s="368" t="s">
        <v>168</v>
      </c>
      <c r="TAV193" s="369">
        <v>0.5</v>
      </c>
      <c r="TAW193" s="370" t="e">
        <f>10/TAS191</f>
        <v>#DIV/0!</v>
      </c>
      <c r="TAX193" s="371">
        <v>15.38</v>
      </c>
      <c r="TAY193" s="371" t="e">
        <f>TAV193*TAW193*TAX193</f>
        <v>#DIV/0!</v>
      </c>
      <c r="TAZ193" s="367" t="s">
        <v>206</v>
      </c>
      <c r="TBA193" s="367"/>
      <c r="TBB193" s="367"/>
      <c r="TBC193" s="368" t="s">
        <v>168</v>
      </c>
      <c r="TBD193" s="369">
        <v>0.5</v>
      </c>
      <c r="TBE193" s="370" t="e">
        <f>10/TBA191</f>
        <v>#DIV/0!</v>
      </c>
      <c r="TBF193" s="371">
        <v>15.38</v>
      </c>
      <c r="TBG193" s="371" t="e">
        <f>TBD193*TBE193*TBF193</f>
        <v>#DIV/0!</v>
      </c>
      <c r="TBH193" s="367" t="s">
        <v>206</v>
      </c>
      <c r="TBI193" s="367"/>
      <c r="TBJ193" s="367"/>
      <c r="TBK193" s="368" t="s">
        <v>168</v>
      </c>
      <c r="TBL193" s="369">
        <v>0.5</v>
      </c>
      <c r="TBM193" s="370" t="e">
        <f>10/TBI191</f>
        <v>#DIV/0!</v>
      </c>
      <c r="TBN193" s="371">
        <v>15.38</v>
      </c>
      <c r="TBO193" s="371" t="e">
        <f>TBL193*TBM193*TBN193</f>
        <v>#DIV/0!</v>
      </c>
      <c r="TBP193" s="367" t="s">
        <v>206</v>
      </c>
      <c r="TBQ193" s="367"/>
      <c r="TBR193" s="367"/>
      <c r="TBS193" s="368" t="s">
        <v>168</v>
      </c>
      <c r="TBT193" s="369">
        <v>0.5</v>
      </c>
      <c r="TBU193" s="370" t="e">
        <f>10/TBQ191</f>
        <v>#DIV/0!</v>
      </c>
      <c r="TBV193" s="371">
        <v>15.38</v>
      </c>
      <c r="TBW193" s="371" t="e">
        <f>TBT193*TBU193*TBV193</f>
        <v>#DIV/0!</v>
      </c>
      <c r="TBX193" s="367" t="s">
        <v>206</v>
      </c>
      <c r="TBY193" s="367"/>
      <c r="TBZ193" s="367"/>
      <c r="TCA193" s="368" t="s">
        <v>168</v>
      </c>
      <c r="TCB193" s="369">
        <v>0.5</v>
      </c>
      <c r="TCC193" s="370" t="e">
        <f>10/TBY191</f>
        <v>#DIV/0!</v>
      </c>
      <c r="TCD193" s="371">
        <v>15.38</v>
      </c>
      <c r="TCE193" s="371" t="e">
        <f>TCB193*TCC193*TCD193</f>
        <v>#DIV/0!</v>
      </c>
      <c r="TCF193" s="367" t="s">
        <v>206</v>
      </c>
      <c r="TCG193" s="367"/>
      <c r="TCH193" s="367"/>
      <c r="TCI193" s="368" t="s">
        <v>168</v>
      </c>
      <c r="TCJ193" s="369">
        <v>0.5</v>
      </c>
      <c r="TCK193" s="370" t="e">
        <f>10/TCG191</f>
        <v>#DIV/0!</v>
      </c>
      <c r="TCL193" s="371">
        <v>15.38</v>
      </c>
      <c r="TCM193" s="371" t="e">
        <f>TCJ193*TCK193*TCL193</f>
        <v>#DIV/0!</v>
      </c>
      <c r="TCN193" s="367" t="s">
        <v>206</v>
      </c>
      <c r="TCO193" s="367"/>
      <c r="TCP193" s="367"/>
      <c r="TCQ193" s="368" t="s">
        <v>168</v>
      </c>
      <c r="TCR193" s="369">
        <v>0.5</v>
      </c>
      <c r="TCS193" s="370" t="e">
        <f>10/TCO191</f>
        <v>#DIV/0!</v>
      </c>
      <c r="TCT193" s="371">
        <v>15.38</v>
      </c>
      <c r="TCU193" s="371" t="e">
        <f>TCR193*TCS193*TCT193</f>
        <v>#DIV/0!</v>
      </c>
      <c r="TCV193" s="367" t="s">
        <v>206</v>
      </c>
      <c r="TCW193" s="367"/>
      <c r="TCX193" s="367"/>
      <c r="TCY193" s="368" t="s">
        <v>168</v>
      </c>
      <c r="TCZ193" s="369">
        <v>0.5</v>
      </c>
      <c r="TDA193" s="370" t="e">
        <f>10/TCW191</f>
        <v>#DIV/0!</v>
      </c>
      <c r="TDB193" s="371">
        <v>15.38</v>
      </c>
      <c r="TDC193" s="371" t="e">
        <f>TCZ193*TDA193*TDB193</f>
        <v>#DIV/0!</v>
      </c>
      <c r="TDD193" s="367" t="s">
        <v>206</v>
      </c>
      <c r="TDE193" s="367"/>
      <c r="TDF193" s="367"/>
      <c r="TDG193" s="368" t="s">
        <v>168</v>
      </c>
      <c r="TDH193" s="369">
        <v>0.5</v>
      </c>
      <c r="TDI193" s="370" t="e">
        <f>10/TDE191</f>
        <v>#DIV/0!</v>
      </c>
      <c r="TDJ193" s="371">
        <v>15.38</v>
      </c>
      <c r="TDK193" s="371" t="e">
        <f>TDH193*TDI193*TDJ193</f>
        <v>#DIV/0!</v>
      </c>
      <c r="TDL193" s="367" t="s">
        <v>206</v>
      </c>
      <c r="TDM193" s="367"/>
      <c r="TDN193" s="367"/>
      <c r="TDO193" s="368" t="s">
        <v>168</v>
      </c>
      <c r="TDP193" s="369">
        <v>0.5</v>
      </c>
      <c r="TDQ193" s="370" t="e">
        <f>10/TDM191</f>
        <v>#DIV/0!</v>
      </c>
      <c r="TDR193" s="371">
        <v>15.38</v>
      </c>
      <c r="TDS193" s="371" t="e">
        <f>TDP193*TDQ193*TDR193</f>
        <v>#DIV/0!</v>
      </c>
      <c r="TDT193" s="367" t="s">
        <v>206</v>
      </c>
      <c r="TDU193" s="367"/>
      <c r="TDV193" s="367"/>
      <c r="TDW193" s="368" t="s">
        <v>168</v>
      </c>
      <c r="TDX193" s="369">
        <v>0.5</v>
      </c>
      <c r="TDY193" s="370" t="e">
        <f>10/TDU191</f>
        <v>#DIV/0!</v>
      </c>
      <c r="TDZ193" s="371">
        <v>15.38</v>
      </c>
      <c r="TEA193" s="371" t="e">
        <f>TDX193*TDY193*TDZ193</f>
        <v>#DIV/0!</v>
      </c>
      <c r="TEB193" s="367" t="s">
        <v>206</v>
      </c>
      <c r="TEC193" s="367"/>
      <c r="TED193" s="367"/>
      <c r="TEE193" s="368" t="s">
        <v>168</v>
      </c>
      <c r="TEF193" s="369">
        <v>0.5</v>
      </c>
      <c r="TEG193" s="370" t="e">
        <f>10/TEC191</f>
        <v>#DIV/0!</v>
      </c>
      <c r="TEH193" s="371">
        <v>15.38</v>
      </c>
      <c r="TEI193" s="371" t="e">
        <f>TEF193*TEG193*TEH193</f>
        <v>#DIV/0!</v>
      </c>
      <c r="TEJ193" s="367" t="s">
        <v>206</v>
      </c>
      <c r="TEK193" s="367"/>
      <c r="TEL193" s="367"/>
      <c r="TEM193" s="368" t="s">
        <v>168</v>
      </c>
      <c r="TEN193" s="369">
        <v>0.5</v>
      </c>
      <c r="TEO193" s="370" t="e">
        <f>10/TEK191</f>
        <v>#DIV/0!</v>
      </c>
      <c r="TEP193" s="371">
        <v>15.38</v>
      </c>
      <c r="TEQ193" s="371" t="e">
        <f>TEN193*TEO193*TEP193</f>
        <v>#DIV/0!</v>
      </c>
      <c r="TER193" s="367" t="s">
        <v>206</v>
      </c>
      <c r="TES193" s="367"/>
      <c r="TET193" s="367"/>
      <c r="TEU193" s="368" t="s">
        <v>168</v>
      </c>
      <c r="TEV193" s="369">
        <v>0.5</v>
      </c>
      <c r="TEW193" s="370" t="e">
        <f>10/TES191</f>
        <v>#DIV/0!</v>
      </c>
      <c r="TEX193" s="371">
        <v>15.38</v>
      </c>
      <c r="TEY193" s="371" t="e">
        <f>TEV193*TEW193*TEX193</f>
        <v>#DIV/0!</v>
      </c>
      <c r="TEZ193" s="367" t="s">
        <v>206</v>
      </c>
      <c r="TFA193" s="367"/>
      <c r="TFB193" s="367"/>
      <c r="TFC193" s="368" t="s">
        <v>168</v>
      </c>
      <c r="TFD193" s="369">
        <v>0.5</v>
      </c>
      <c r="TFE193" s="370" t="e">
        <f>10/TFA191</f>
        <v>#DIV/0!</v>
      </c>
      <c r="TFF193" s="371">
        <v>15.38</v>
      </c>
      <c r="TFG193" s="371" t="e">
        <f>TFD193*TFE193*TFF193</f>
        <v>#DIV/0!</v>
      </c>
      <c r="TFH193" s="367" t="s">
        <v>206</v>
      </c>
      <c r="TFI193" s="367"/>
      <c r="TFJ193" s="367"/>
      <c r="TFK193" s="368" t="s">
        <v>168</v>
      </c>
      <c r="TFL193" s="369">
        <v>0.5</v>
      </c>
      <c r="TFM193" s="370" t="e">
        <f>10/TFI191</f>
        <v>#DIV/0!</v>
      </c>
      <c r="TFN193" s="371">
        <v>15.38</v>
      </c>
      <c r="TFO193" s="371" t="e">
        <f>TFL193*TFM193*TFN193</f>
        <v>#DIV/0!</v>
      </c>
      <c r="TFP193" s="367" t="s">
        <v>206</v>
      </c>
      <c r="TFQ193" s="367"/>
      <c r="TFR193" s="367"/>
      <c r="TFS193" s="368" t="s">
        <v>168</v>
      </c>
      <c r="TFT193" s="369">
        <v>0.5</v>
      </c>
      <c r="TFU193" s="370" t="e">
        <f>10/TFQ191</f>
        <v>#DIV/0!</v>
      </c>
      <c r="TFV193" s="371">
        <v>15.38</v>
      </c>
      <c r="TFW193" s="371" t="e">
        <f>TFT193*TFU193*TFV193</f>
        <v>#DIV/0!</v>
      </c>
      <c r="TFX193" s="367" t="s">
        <v>206</v>
      </c>
      <c r="TFY193" s="367"/>
      <c r="TFZ193" s="367"/>
      <c r="TGA193" s="368" t="s">
        <v>168</v>
      </c>
      <c r="TGB193" s="369">
        <v>0.5</v>
      </c>
      <c r="TGC193" s="370" t="e">
        <f>10/TFY191</f>
        <v>#DIV/0!</v>
      </c>
      <c r="TGD193" s="371">
        <v>15.38</v>
      </c>
      <c r="TGE193" s="371" t="e">
        <f>TGB193*TGC193*TGD193</f>
        <v>#DIV/0!</v>
      </c>
      <c r="TGF193" s="367" t="s">
        <v>206</v>
      </c>
      <c r="TGG193" s="367"/>
      <c r="TGH193" s="367"/>
      <c r="TGI193" s="368" t="s">
        <v>168</v>
      </c>
      <c r="TGJ193" s="369">
        <v>0.5</v>
      </c>
      <c r="TGK193" s="370" t="e">
        <f>10/TGG191</f>
        <v>#DIV/0!</v>
      </c>
      <c r="TGL193" s="371">
        <v>15.38</v>
      </c>
      <c r="TGM193" s="371" t="e">
        <f>TGJ193*TGK193*TGL193</f>
        <v>#DIV/0!</v>
      </c>
      <c r="TGN193" s="367" t="s">
        <v>206</v>
      </c>
      <c r="TGO193" s="367"/>
      <c r="TGP193" s="367"/>
      <c r="TGQ193" s="368" t="s">
        <v>168</v>
      </c>
      <c r="TGR193" s="369">
        <v>0.5</v>
      </c>
      <c r="TGS193" s="370" t="e">
        <f>10/TGO191</f>
        <v>#DIV/0!</v>
      </c>
      <c r="TGT193" s="371">
        <v>15.38</v>
      </c>
      <c r="TGU193" s="371" t="e">
        <f>TGR193*TGS193*TGT193</f>
        <v>#DIV/0!</v>
      </c>
      <c r="TGV193" s="367" t="s">
        <v>206</v>
      </c>
      <c r="TGW193" s="367"/>
      <c r="TGX193" s="367"/>
      <c r="TGY193" s="368" t="s">
        <v>168</v>
      </c>
      <c r="TGZ193" s="369">
        <v>0.5</v>
      </c>
      <c r="THA193" s="370" t="e">
        <f>10/TGW191</f>
        <v>#DIV/0!</v>
      </c>
      <c r="THB193" s="371">
        <v>15.38</v>
      </c>
      <c r="THC193" s="371" t="e">
        <f>TGZ193*THA193*THB193</f>
        <v>#DIV/0!</v>
      </c>
      <c r="THD193" s="367" t="s">
        <v>206</v>
      </c>
      <c r="THE193" s="367"/>
      <c r="THF193" s="367"/>
      <c r="THG193" s="368" t="s">
        <v>168</v>
      </c>
      <c r="THH193" s="369">
        <v>0.5</v>
      </c>
      <c r="THI193" s="370" t="e">
        <f>10/THE191</f>
        <v>#DIV/0!</v>
      </c>
      <c r="THJ193" s="371">
        <v>15.38</v>
      </c>
      <c r="THK193" s="371" t="e">
        <f>THH193*THI193*THJ193</f>
        <v>#DIV/0!</v>
      </c>
      <c r="THL193" s="367" t="s">
        <v>206</v>
      </c>
      <c r="THM193" s="367"/>
      <c r="THN193" s="367"/>
      <c r="THO193" s="368" t="s">
        <v>168</v>
      </c>
      <c r="THP193" s="369">
        <v>0.5</v>
      </c>
      <c r="THQ193" s="370" t="e">
        <f>10/THM191</f>
        <v>#DIV/0!</v>
      </c>
      <c r="THR193" s="371">
        <v>15.38</v>
      </c>
      <c r="THS193" s="371" t="e">
        <f>THP193*THQ193*THR193</f>
        <v>#DIV/0!</v>
      </c>
      <c r="THT193" s="367" t="s">
        <v>206</v>
      </c>
      <c r="THU193" s="367"/>
      <c r="THV193" s="367"/>
      <c r="THW193" s="368" t="s">
        <v>168</v>
      </c>
      <c r="THX193" s="369">
        <v>0.5</v>
      </c>
      <c r="THY193" s="370" t="e">
        <f>10/THU191</f>
        <v>#DIV/0!</v>
      </c>
      <c r="THZ193" s="371">
        <v>15.38</v>
      </c>
      <c r="TIA193" s="371" t="e">
        <f>THX193*THY193*THZ193</f>
        <v>#DIV/0!</v>
      </c>
      <c r="TIB193" s="367" t="s">
        <v>206</v>
      </c>
      <c r="TIC193" s="367"/>
      <c r="TID193" s="367"/>
      <c r="TIE193" s="368" t="s">
        <v>168</v>
      </c>
      <c r="TIF193" s="369">
        <v>0.5</v>
      </c>
      <c r="TIG193" s="370" t="e">
        <f>10/TIC191</f>
        <v>#DIV/0!</v>
      </c>
      <c r="TIH193" s="371">
        <v>15.38</v>
      </c>
      <c r="TII193" s="371" t="e">
        <f>TIF193*TIG193*TIH193</f>
        <v>#DIV/0!</v>
      </c>
      <c r="TIJ193" s="367" t="s">
        <v>206</v>
      </c>
      <c r="TIK193" s="367"/>
      <c r="TIL193" s="367"/>
      <c r="TIM193" s="368" t="s">
        <v>168</v>
      </c>
      <c r="TIN193" s="369">
        <v>0.5</v>
      </c>
      <c r="TIO193" s="370" t="e">
        <f>10/TIK191</f>
        <v>#DIV/0!</v>
      </c>
      <c r="TIP193" s="371">
        <v>15.38</v>
      </c>
      <c r="TIQ193" s="371" t="e">
        <f>TIN193*TIO193*TIP193</f>
        <v>#DIV/0!</v>
      </c>
      <c r="TIR193" s="367" t="s">
        <v>206</v>
      </c>
      <c r="TIS193" s="367"/>
      <c r="TIT193" s="367"/>
      <c r="TIU193" s="368" t="s">
        <v>168</v>
      </c>
      <c r="TIV193" s="369">
        <v>0.5</v>
      </c>
      <c r="TIW193" s="370" t="e">
        <f>10/TIS191</f>
        <v>#DIV/0!</v>
      </c>
      <c r="TIX193" s="371">
        <v>15.38</v>
      </c>
      <c r="TIY193" s="371" t="e">
        <f>TIV193*TIW193*TIX193</f>
        <v>#DIV/0!</v>
      </c>
      <c r="TIZ193" s="367" t="s">
        <v>206</v>
      </c>
      <c r="TJA193" s="367"/>
      <c r="TJB193" s="367"/>
      <c r="TJC193" s="368" t="s">
        <v>168</v>
      </c>
      <c r="TJD193" s="369">
        <v>0.5</v>
      </c>
      <c r="TJE193" s="370" t="e">
        <f>10/TJA191</f>
        <v>#DIV/0!</v>
      </c>
      <c r="TJF193" s="371">
        <v>15.38</v>
      </c>
      <c r="TJG193" s="371" t="e">
        <f>TJD193*TJE193*TJF193</f>
        <v>#DIV/0!</v>
      </c>
      <c r="TJH193" s="367" t="s">
        <v>206</v>
      </c>
      <c r="TJI193" s="367"/>
      <c r="TJJ193" s="367"/>
      <c r="TJK193" s="368" t="s">
        <v>168</v>
      </c>
      <c r="TJL193" s="369">
        <v>0.5</v>
      </c>
      <c r="TJM193" s="370" t="e">
        <f>10/TJI191</f>
        <v>#DIV/0!</v>
      </c>
      <c r="TJN193" s="371">
        <v>15.38</v>
      </c>
      <c r="TJO193" s="371" t="e">
        <f>TJL193*TJM193*TJN193</f>
        <v>#DIV/0!</v>
      </c>
      <c r="TJP193" s="367" t="s">
        <v>206</v>
      </c>
      <c r="TJQ193" s="367"/>
      <c r="TJR193" s="367"/>
      <c r="TJS193" s="368" t="s">
        <v>168</v>
      </c>
      <c r="TJT193" s="369">
        <v>0.5</v>
      </c>
      <c r="TJU193" s="370" t="e">
        <f>10/TJQ191</f>
        <v>#DIV/0!</v>
      </c>
      <c r="TJV193" s="371">
        <v>15.38</v>
      </c>
      <c r="TJW193" s="371" t="e">
        <f>TJT193*TJU193*TJV193</f>
        <v>#DIV/0!</v>
      </c>
      <c r="TJX193" s="367" t="s">
        <v>206</v>
      </c>
      <c r="TJY193" s="367"/>
      <c r="TJZ193" s="367"/>
      <c r="TKA193" s="368" t="s">
        <v>168</v>
      </c>
      <c r="TKB193" s="369">
        <v>0.5</v>
      </c>
      <c r="TKC193" s="370" t="e">
        <f>10/TJY191</f>
        <v>#DIV/0!</v>
      </c>
      <c r="TKD193" s="371">
        <v>15.38</v>
      </c>
      <c r="TKE193" s="371" t="e">
        <f>TKB193*TKC193*TKD193</f>
        <v>#DIV/0!</v>
      </c>
      <c r="TKF193" s="367" t="s">
        <v>206</v>
      </c>
      <c r="TKG193" s="367"/>
      <c r="TKH193" s="367"/>
      <c r="TKI193" s="368" t="s">
        <v>168</v>
      </c>
      <c r="TKJ193" s="369">
        <v>0.5</v>
      </c>
      <c r="TKK193" s="370" t="e">
        <f>10/TKG191</f>
        <v>#DIV/0!</v>
      </c>
      <c r="TKL193" s="371">
        <v>15.38</v>
      </c>
      <c r="TKM193" s="371" t="e">
        <f>TKJ193*TKK193*TKL193</f>
        <v>#DIV/0!</v>
      </c>
      <c r="TKN193" s="367" t="s">
        <v>206</v>
      </c>
      <c r="TKO193" s="367"/>
      <c r="TKP193" s="367"/>
      <c r="TKQ193" s="368" t="s">
        <v>168</v>
      </c>
      <c r="TKR193" s="369">
        <v>0.5</v>
      </c>
      <c r="TKS193" s="370" t="e">
        <f>10/TKO191</f>
        <v>#DIV/0!</v>
      </c>
      <c r="TKT193" s="371">
        <v>15.38</v>
      </c>
      <c r="TKU193" s="371" t="e">
        <f>TKR193*TKS193*TKT193</f>
        <v>#DIV/0!</v>
      </c>
      <c r="TKV193" s="367" t="s">
        <v>206</v>
      </c>
      <c r="TKW193" s="367"/>
      <c r="TKX193" s="367"/>
      <c r="TKY193" s="368" t="s">
        <v>168</v>
      </c>
      <c r="TKZ193" s="369">
        <v>0.5</v>
      </c>
      <c r="TLA193" s="370" t="e">
        <f>10/TKW191</f>
        <v>#DIV/0!</v>
      </c>
      <c r="TLB193" s="371">
        <v>15.38</v>
      </c>
      <c r="TLC193" s="371" t="e">
        <f>TKZ193*TLA193*TLB193</f>
        <v>#DIV/0!</v>
      </c>
      <c r="TLD193" s="367" t="s">
        <v>206</v>
      </c>
      <c r="TLE193" s="367"/>
      <c r="TLF193" s="367"/>
      <c r="TLG193" s="368" t="s">
        <v>168</v>
      </c>
      <c r="TLH193" s="369">
        <v>0.5</v>
      </c>
      <c r="TLI193" s="370" t="e">
        <f>10/TLE191</f>
        <v>#DIV/0!</v>
      </c>
      <c r="TLJ193" s="371">
        <v>15.38</v>
      </c>
      <c r="TLK193" s="371" t="e">
        <f>TLH193*TLI193*TLJ193</f>
        <v>#DIV/0!</v>
      </c>
      <c r="TLL193" s="367" t="s">
        <v>206</v>
      </c>
      <c r="TLM193" s="367"/>
      <c r="TLN193" s="367"/>
      <c r="TLO193" s="368" t="s">
        <v>168</v>
      </c>
      <c r="TLP193" s="369">
        <v>0.5</v>
      </c>
      <c r="TLQ193" s="370" t="e">
        <f>10/TLM191</f>
        <v>#DIV/0!</v>
      </c>
      <c r="TLR193" s="371">
        <v>15.38</v>
      </c>
      <c r="TLS193" s="371" t="e">
        <f>TLP193*TLQ193*TLR193</f>
        <v>#DIV/0!</v>
      </c>
      <c r="TLT193" s="367" t="s">
        <v>206</v>
      </c>
      <c r="TLU193" s="367"/>
      <c r="TLV193" s="367"/>
      <c r="TLW193" s="368" t="s">
        <v>168</v>
      </c>
      <c r="TLX193" s="369">
        <v>0.5</v>
      </c>
      <c r="TLY193" s="370" t="e">
        <f>10/TLU191</f>
        <v>#DIV/0!</v>
      </c>
      <c r="TLZ193" s="371">
        <v>15.38</v>
      </c>
      <c r="TMA193" s="371" t="e">
        <f>TLX193*TLY193*TLZ193</f>
        <v>#DIV/0!</v>
      </c>
      <c r="TMB193" s="367" t="s">
        <v>206</v>
      </c>
      <c r="TMC193" s="367"/>
      <c r="TMD193" s="367"/>
      <c r="TME193" s="368" t="s">
        <v>168</v>
      </c>
      <c r="TMF193" s="369">
        <v>0.5</v>
      </c>
      <c r="TMG193" s="370" t="e">
        <f>10/TMC191</f>
        <v>#DIV/0!</v>
      </c>
      <c r="TMH193" s="371">
        <v>15.38</v>
      </c>
      <c r="TMI193" s="371" t="e">
        <f>TMF193*TMG193*TMH193</f>
        <v>#DIV/0!</v>
      </c>
      <c r="TMJ193" s="367" t="s">
        <v>206</v>
      </c>
      <c r="TMK193" s="367"/>
      <c r="TML193" s="367"/>
      <c r="TMM193" s="368" t="s">
        <v>168</v>
      </c>
      <c r="TMN193" s="369">
        <v>0.5</v>
      </c>
      <c r="TMO193" s="370" t="e">
        <f>10/TMK191</f>
        <v>#DIV/0!</v>
      </c>
      <c r="TMP193" s="371">
        <v>15.38</v>
      </c>
      <c r="TMQ193" s="371" t="e">
        <f>TMN193*TMO193*TMP193</f>
        <v>#DIV/0!</v>
      </c>
      <c r="TMR193" s="367" t="s">
        <v>206</v>
      </c>
      <c r="TMS193" s="367"/>
      <c r="TMT193" s="367"/>
      <c r="TMU193" s="368" t="s">
        <v>168</v>
      </c>
      <c r="TMV193" s="369">
        <v>0.5</v>
      </c>
      <c r="TMW193" s="370" t="e">
        <f>10/TMS191</f>
        <v>#DIV/0!</v>
      </c>
      <c r="TMX193" s="371">
        <v>15.38</v>
      </c>
      <c r="TMY193" s="371" t="e">
        <f>TMV193*TMW193*TMX193</f>
        <v>#DIV/0!</v>
      </c>
      <c r="TMZ193" s="367" t="s">
        <v>206</v>
      </c>
      <c r="TNA193" s="367"/>
      <c r="TNB193" s="367"/>
      <c r="TNC193" s="368" t="s">
        <v>168</v>
      </c>
      <c r="TND193" s="369">
        <v>0.5</v>
      </c>
      <c r="TNE193" s="370" t="e">
        <f>10/TNA191</f>
        <v>#DIV/0!</v>
      </c>
      <c r="TNF193" s="371">
        <v>15.38</v>
      </c>
      <c r="TNG193" s="371" t="e">
        <f>TND193*TNE193*TNF193</f>
        <v>#DIV/0!</v>
      </c>
      <c r="TNH193" s="367" t="s">
        <v>206</v>
      </c>
      <c r="TNI193" s="367"/>
      <c r="TNJ193" s="367"/>
      <c r="TNK193" s="368" t="s">
        <v>168</v>
      </c>
      <c r="TNL193" s="369">
        <v>0.5</v>
      </c>
      <c r="TNM193" s="370" t="e">
        <f>10/TNI191</f>
        <v>#DIV/0!</v>
      </c>
      <c r="TNN193" s="371">
        <v>15.38</v>
      </c>
      <c r="TNO193" s="371" t="e">
        <f>TNL193*TNM193*TNN193</f>
        <v>#DIV/0!</v>
      </c>
      <c r="TNP193" s="367" t="s">
        <v>206</v>
      </c>
      <c r="TNQ193" s="367"/>
      <c r="TNR193" s="367"/>
      <c r="TNS193" s="368" t="s">
        <v>168</v>
      </c>
      <c r="TNT193" s="369">
        <v>0.5</v>
      </c>
      <c r="TNU193" s="370" t="e">
        <f>10/TNQ191</f>
        <v>#DIV/0!</v>
      </c>
      <c r="TNV193" s="371">
        <v>15.38</v>
      </c>
      <c r="TNW193" s="371" t="e">
        <f>TNT193*TNU193*TNV193</f>
        <v>#DIV/0!</v>
      </c>
      <c r="TNX193" s="367" t="s">
        <v>206</v>
      </c>
      <c r="TNY193" s="367"/>
      <c r="TNZ193" s="367"/>
      <c r="TOA193" s="368" t="s">
        <v>168</v>
      </c>
      <c r="TOB193" s="369">
        <v>0.5</v>
      </c>
      <c r="TOC193" s="370" t="e">
        <f>10/TNY191</f>
        <v>#DIV/0!</v>
      </c>
      <c r="TOD193" s="371">
        <v>15.38</v>
      </c>
      <c r="TOE193" s="371" t="e">
        <f>TOB193*TOC193*TOD193</f>
        <v>#DIV/0!</v>
      </c>
      <c r="TOF193" s="367" t="s">
        <v>206</v>
      </c>
      <c r="TOG193" s="367"/>
      <c r="TOH193" s="367"/>
      <c r="TOI193" s="368" t="s">
        <v>168</v>
      </c>
      <c r="TOJ193" s="369">
        <v>0.5</v>
      </c>
      <c r="TOK193" s="370" t="e">
        <f>10/TOG191</f>
        <v>#DIV/0!</v>
      </c>
      <c r="TOL193" s="371">
        <v>15.38</v>
      </c>
      <c r="TOM193" s="371" t="e">
        <f>TOJ193*TOK193*TOL193</f>
        <v>#DIV/0!</v>
      </c>
      <c r="TON193" s="367" t="s">
        <v>206</v>
      </c>
      <c r="TOO193" s="367"/>
      <c r="TOP193" s="367"/>
      <c r="TOQ193" s="368" t="s">
        <v>168</v>
      </c>
      <c r="TOR193" s="369">
        <v>0.5</v>
      </c>
      <c r="TOS193" s="370" t="e">
        <f>10/TOO191</f>
        <v>#DIV/0!</v>
      </c>
      <c r="TOT193" s="371">
        <v>15.38</v>
      </c>
      <c r="TOU193" s="371" t="e">
        <f>TOR193*TOS193*TOT193</f>
        <v>#DIV/0!</v>
      </c>
      <c r="TOV193" s="367" t="s">
        <v>206</v>
      </c>
      <c r="TOW193" s="367"/>
      <c r="TOX193" s="367"/>
      <c r="TOY193" s="368" t="s">
        <v>168</v>
      </c>
      <c r="TOZ193" s="369">
        <v>0.5</v>
      </c>
      <c r="TPA193" s="370" t="e">
        <f>10/TOW191</f>
        <v>#DIV/0!</v>
      </c>
      <c r="TPB193" s="371">
        <v>15.38</v>
      </c>
      <c r="TPC193" s="371" t="e">
        <f>TOZ193*TPA193*TPB193</f>
        <v>#DIV/0!</v>
      </c>
      <c r="TPD193" s="367" t="s">
        <v>206</v>
      </c>
      <c r="TPE193" s="367"/>
      <c r="TPF193" s="367"/>
      <c r="TPG193" s="368" t="s">
        <v>168</v>
      </c>
      <c r="TPH193" s="369">
        <v>0.5</v>
      </c>
      <c r="TPI193" s="370" t="e">
        <f>10/TPE191</f>
        <v>#DIV/0!</v>
      </c>
      <c r="TPJ193" s="371">
        <v>15.38</v>
      </c>
      <c r="TPK193" s="371" t="e">
        <f>TPH193*TPI193*TPJ193</f>
        <v>#DIV/0!</v>
      </c>
      <c r="TPL193" s="367" t="s">
        <v>206</v>
      </c>
      <c r="TPM193" s="367"/>
      <c r="TPN193" s="367"/>
      <c r="TPO193" s="368" t="s">
        <v>168</v>
      </c>
      <c r="TPP193" s="369">
        <v>0.5</v>
      </c>
      <c r="TPQ193" s="370" t="e">
        <f>10/TPM191</f>
        <v>#DIV/0!</v>
      </c>
      <c r="TPR193" s="371">
        <v>15.38</v>
      </c>
      <c r="TPS193" s="371" t="e">
        <f>TPP193*TPQ193*TPR193</f>
        <v>#DIV/0!</v>
      </c>
      <c r="TPT193" s="367" t="s">
        <v>206</v>
      </c>
      <c r="TPU193" s="367"/>
      <c r="TPV193" s="367"/>
      <c r="TPW193" s="368" t="s">
        <v>168</v>
      </c>
      <c r="TPX193" s="369">
        <v>0.5</v>
      </c>
      <c r="TPY193" s="370" t="e">
        <f>10/TPU191</f>
        <v>#DIV/0!</v>
      </c>
      <c r="TPZ193" s="371">
        <v>15.38</v>
      </c>
      <c r="TQA193" s="371" t="e">
        <f>TPX193*TPY193*TPZ193</f>
        <v>#DIV/0!</v>
      </c>
      <c r="TQB193" s="367" t="s">
        <v>206</v>
      </c>
      <c r="TQC193" s="367"/>
      <c r="TQD193" s="367"/>
      <c r="TQE193" s="368" t="s">
        <v>168</v>
      </c>
      <c r="TQF193" s="369">
        <v>0.5</v>
      </c>
      <c r="TQG193" s="370" t="e">
        <f>10/TQC191</f>
        <v>#DIV/0!</v>
      </c>
      <c r="TQH193" s="371">
        <v>15.38</v>
      </c>
      <c r="TQI193" s="371" t="e">
        <f>TQF193*TQG193*TQH193</f>
        <v>#DIV/0!</v>
      </c>
      <c r="TQJ193" s="367" t="s">
        <v>206</v>
      </c>
      <c r="TQK193" s="367"/>
      <c r="TQL193" s="367"/>
      <c r="TQM193" s="368" t="s">
        <v>168</v>
      </c>
      <c r="TQN193" s="369">
        <v>0.5</v>
      </c>
      <c r="TQO193" s="370" t="e">
        <f>10/TQK191</f>
        <v>#DIV/0!</v>
      </c>
      <c r="TQP193" s="371">
        <v>15.38</v>
      </c>
      <c r="TQQ193" s="371" t="e">
        <f>TQN193*TQO193*TQP193</f>
        <v>#DIV/0!</v>
      </c>
      <c r="TQR193" s="367" t="s">
        <v>206</v>
      </c>
      <c r="TQS193" s="367"/>
      <c r="TQT193" s="367"/>
      <c r="TQU193" s="368" t="s">
        <v>168</v>
      </c>
      <c r="TQV193" s="369">
        <v>0.5</v>
      </c>
      <c r="TQW193" s="370" t="e">
        <f>10/TQS191</f>
        <v>#DIV/0!</v>
      </c>
      <c r="TQX193" s="371">
        <v>15.38</v>
      </c>
      <c r="TQY193" s="371" t="e">
        <f>TQV193*TQW193*TQX193</f>
        <v>#DIV/0!</v>
      </c>
      <c r="TQZ193" s="367" t="s">
        <v>206</v>
      </c>
      <c r="TRA193" s="367"/>
      <c r="TRB193" s="367"/>
      <c r="TRC193" s="368" t="s">
        <v>168</v>
      </c>
      <c r="TRD193" s="369">
        <v>0.5</v>
      </c>
      <c r="TRE193" s="370" t="e">
        <f>10/TRA191</f>
        <v>#DIV/0!</v>
      </c>
      <c r="TRF193" s="371">
        <v>15.38</v>
      </c>
      <c r="TRG193" s="371" t="e">
        <f>TRD193*TRE193*TRF193</f>
        <v>#DIV/0!</v>
      </c>
      <c r="TRH193" s="367" t="s">
        <v>206</v>
      </c>
      <c r="TRI193" s="367"/>
      <c r="TRJ193" s="367"/>
      <c r="TRK193" s="368" t="s">
        <v>168</v>
      </c>
      <c r="TRL193" s="369">
        <v>0.5</v>
      </c>
      <c r="TRM193" s="370" t="e">
        <f>10/TRI191</f>
        <v>#DIV/0!</v>
      </c>
      <c r="TRN193" s="371">
        <v>15.38</v>
      </c>
      <c r="TRO193" s="371" t="e">
        <f>TRL193*TRM193*TRN193</f>
        <v>#DIV/0!</v>
      </c>
      <c r="TRP193" s="367" t="s">
        <v>206</v>
      </c>
      <c r="TRQ193" s="367"/>
      <c r="TRR193" s="367"/>
      <c r="TRS193" s="368" t="s">
        <v>168</v>
      </c>
      <c r="TRT193" s="369">
        <v>0.5</v>
      </c>
      <c r="TRU193" s="370" t="e">
        <f>10/TRQ191</f>
        <v>#DIV/0!</v>
      </c>
      <c r="TRV193" s="371">
        <v>15.38</v>
      </c>
      <c r="TRW193" s="371" t="e">
        <f>TRT193*TRU193*TRV193</f>
        <v>#DIV/0!</v>
      </c>
      <c r="TRX193" s="367" t="s">
        <v>206</v>
      </c>
      <c r="TRY193" s="367"/>
      <c r="TRZ193" s="367"/>
      <c r="TSA193" s="368" t="s">
        <v>168</v>
      </c>
      <c r="TSB193" s="369">
        <v>0.5</v>
      </c>
      <c r="TSC193" s="370" t="e">
        <f>10/TRY191</f>
        <v>#DIV/0!</v>
      </c>
      <c r="TSD193" s="371">
        <v>15.38</v>
      </c>
      <c r="TSE193" s="371" t="e">
        <f>TSB193*TSC193*TSD193</f>
        <v>#DIV/0!</v>
      </c>
      <c r="TSF193" s="367" t="s">
        <v>206</v>
      </c>
      <c r="TSG193" s="367"/>
      <c r="TSH193" s="367"/>
      <c r="TSI193" s="368" t="s">
        <v>168</v>
      </c>
      <c r="TSJ193" s="369">
        <v>0.5</v>
      </c>
      <c r="TSK193" s="370" t="e">
        <f>10/TSG191</f>
        <v>#DIV/0!</v>
      </c>
      <c r="TSL193" s="371">
        <v>15.38</v>
      </c>
      <c r="TSM193" s="371" t="e">
        <f>TSJ193*TSK193*TSL193</f>
        <v>#DIV/0!</v>
      </c>
      <c r="TSN193" s="367" t="s">
        <v>206</v>
      </c>
      <c r="TSO193" s="367"/>
      <c r="TSP193" s="367"/>
      <c r="TSQ193" s="368" t="s">
        <v>168</v>
      </c>
      <c r="TSR193" s="369">
        <v>0.5</v>
      </c>
      <c r="TSS193" s="370" t="e">
        <f>10/TSO191</f>
        <v>#DIV/0!</v>
      </c>
      <c r="TST193" s="371">
        <v>15.38</v>
      </c>
      <c r="TSU193" s="371" t="e">
        <f>TSR193*TSS193*TST193</f>
        <v>#DIV/0!</v>
      </c>
      <c r="TSV193" s="367" t="s">
        <v>206</v>
      </c>
      <c r="TSW193" s="367"/>
      <c r="TSX193" s="367"/>
      <c r="TSY193" s="368" t="s">
        <v>168</v>
      </c>
      <c r="TSZ193" s="369">
        <v>0.5</v>
      </c>
      <c r="TTA193" s="370" t="e">
        <f>10/TSW191</f>
        <v>#DIV/0!</v>
      </c>
      <c r="TTB193" s="371">
        <v>15.38</v>
      </c>
      <c r="TTC193" s="371" t="e">
        <f>TSZ193*TTA193*TTB193</f>
        <v>#DIV/0!</v>
      </c>
      <c r="TTD193" s="367" t="s">
        <v>206</v>
      </c>
      <c r="TTE193" s="367"/>
      <c r="TTF193" s="367"/>
      <c r="TTG193" s="368" t="s">
        <v>168</v>
      </c>
      <c r="TTH193" s="369">
        <v>0.5</v>
      </c>
      <c r="TTI193" s="370" t="e">
        <f>10/TTE191</f>
        <v>#DIV/0!</v>
      </c>
      <c r="TTJ193" s="371">
        <v>15.38</v>
      </c>
      <c r="TTK193" s="371" t="e">
        <f>TTH193*TTI193*TTJ193</f>
        <v>#DIV/0!</v>
      </c>
      <c r="TTL193" s="367" t="s">
        <v>206</v>
      </c>
      <c r="TTM193" s="367"/>
      <c r="TTN193" s="367"/>
      <c r="TTO193" s="368" t="s">
        <v>168</v>
      </c>
      <c r="TTP193" s="369">
        <v>0.5</v>
      </c>
      <c r="TTQ193" s="370" t="e">
        <f>10/TTM191</f>
        <v>#DIV/0!</v>
      </c>
      <c r="TTR193" s="371">
        <v>15.38</v>
      </c>
      <c r="TTS193" s="371" t="e">
        <f>TTP193*TTQ193*TTR193</f>
        <v>#DIV/0!</v>
      </c>
      <c r="TTT193" s="367" t="s">
        <v>206</v>
      </c>
      <c r="TTU193" s="367"/>
      <c r="TTV193" s="367"/>
      <c r="TTW193" s="368" t="s">
        <v>168</v>
      </c>
      <c r="TTX193" s="369">
        <v>0.5</v>
      </c>
      <c r="TTY193" s="370" t="e">
        <f>10/TTU191</f>
        <v>#DIV/0!</v>
      </c>
      <c r="TTZ193" s="371">
        <v>15.38</v>
      </c>
      <c r="TUA193" s="371" t="e">
        <f>TTX193*TTY193*TTZ193</f>
        <v>#DIV/0!</v>
      </c>
      <c r="TUB193" s="367" t="s">
        <v>206</v>
      </c>
      <c r="TUC193" s="367"/>
      <c r="TUD193" s="367"/>
      <c r="TUE193" s="368" t="s">
        <v>168</v>
      </c>
      <c r="TUF193" s="369">
        <v>0.5</v>
      </c>
      <c r="TUG193" s="370" t="e">
        <f>10/TUC191</f>
        <v>#DIV/0!</v>
      </c>
      <c r="TUH193" s="371">
        <v>15.38</v>
      </c>
      <c r="TUI193" s="371" t="e">
        <f>TUF193*TUG193*TUH193</f>
        <v>#DIV/0!</v>
      </c>
      <c r="TUJ193" s="367" t="s">
        <v>206</v>
      </c>
      <c r="TUK193" s="367"/>
      <c r="TUL193" s="367"/>
      <c r="TUM193" s="368" t="s">
        <v>168</v>
      </c>
      <c r="TUN193" s="369">
        <v>0.5</v>
      </c>
      <c r="TUO193" s="370" t="e">
        <f>10/TUK191</f>
        <v>#DIV/0!</v>
      </c>
      <c r="TUP193" s="371">
        <v>15.38</v>
      </c>
      <c r="TUQ193" s="371" t="e">
        <f>TUN193*TUO193*TUP193</f>
        <v>#DIV/0!</v>
      </c>
      <c r="TUR193" s="367" t="s">
        <v>206</v>
      </c>
      <c r="TUS193" s="367"/>
      <c r="TUT193" s="367"/>
      <c r="TUU193" s="368" t="s">
        <v>168</v>
      </c>
      <c r="TUV193" s="369">
        <v>0.5</v>
      </c>
      <c r="TUW193" s="370" t="e">
        <f>10/TUS191</f>
        <v>#DIV/0!</v>
      </c>
      <c r="TUX193" s="371">
        <v>15.38</v>
      </c>
      <c r="TUY193" s="371" t="e">
        <f>TUV193*TUW193*TUX193</f>
        <v>#DIV/0!</v>
      </c>
      <c r="TUZ193" s="367" t="s">
        <v>206</v>
      </c>
      <c r="TVA193" s="367"/>
      <c r="TVB193" s="367"/>
      <c r="TVC193" s="368" t="s">
        <v>168</v>
      </c>
      <c r="TVD193" s="369">
        <v>0.5</v>
      </c>
      <c r="TVE193" s="370" t="e">
        <f>10/TVA191</f>
        <v>#DIV/0!</v>
      </c>
      <c r="TVF193" s="371">
        <v>15.38</v>
      </c>
      <c r="TVG193" s="371" t="e">
        <f>TVD193*TVE193*TVF193</f>
        <v>#DIV/0!</v>
      </c>
      <c r="TVH193" s="367" t="s">
        <v>206</v>
      </c>
      <c r="TVI193" s="367"/>
      <c r="TVJ193" s="367"/>
      <c r="TVK193" s="368" t="s">
        <v>168</v>
      </c>
      <c r="TVL193" s="369">
        <v>0.5</v>
      </c>
      <c r="TVM193" s="370" t="e">
        <f>10/TVI191</f>
        <v>#DIV/0!</v>
      </c>
      <c r="TVN193" s="371">
        <v>15.38</v>
      </c>
      <c r="TVO193" s="371" t="e">
        <f>TVL193*TVM193*TVN193</f>
        <v>#DIV/0!</v>
      </c>
      <c r="TVP193" s="367" t="s">
        <v>206</v>
      </c>
      <c r="TVQ193" s="367"/>
      <c r="TVR193" s="367"/>
      <c r="TVS193" s="368" t="s">
        <v>168</v>
      </c>
      <c r="TVT193" s="369">
        <v>0.5</v>
      </c>
      <c r="TVU193" s="370" t="e">
        <f>10/TVQ191</f>
        <v>#DIV/0!</v>
      </c>
      <c r="TVV193" s="371">
        <v>15.38</v>
      </c>
      <c r="TVW193" s="371" t="e">
        <f>TVT193*TVU193*TVV193</f>
        <v>#DIV/0!</v>
      </c>
      <c r="TVX193" s="367" t="s">
        <v>206</v>
      </c>
      <c r="TVY193" s="367"/>
      <c r="TVZ193" s="367"/>
      <c r="TWA193" s="368" t="s">
        <v>168</v>
      </c>
      <c r="TWB193" s="369">
        <v>0.5</v>
      </c>
      <c r="TWC193" s="370" t="e">
        <f>10/TVY191</f>
        <v>#DIV/0!</v>
      </c>
      <c r="TWD193" s="371">
        <v>15.38</v>
      </c>
      <c r="TWE193" s="371" t="e">
        <f>TWB193*TWC193*TWD193</f>
        <v>#DIV/0!</v>
      </c>
      <c r="TWF193" s="367" t="s">
        <v>206</v>
      </c>
      <c r="TWG193" s="367"/>
      <c r="TWH193" s="367"/>
      <c r="TWI193" s="368" t="s">
        <v>168</v>
      </c>
      <c r="TWJ193" s="369">
        <v>0.5</v>
      </c>
      <c r="TWK193" s="370" t="e">
        <f>10/TWG191</f>
        <v>#DIV/0!</v>
      </c>
      <c r="TWL193" s="371">
        <v>15.38</v>
      </c>
      <c r="TWM193" s="371" t="e">
        <f>TWJ193*TWK193*TWL193</f>
        <v>#DIV/0!</v>
      </c>
      <c r="TWN193" s="367" t="s">
        <v>206</v>
      </c>
      <c r="TWO193" s="367"/>
      <c r="TWP193" s="367"/>
      <c r="TWQ193" s="368" t="s">
        <v>168</v>
      </c>
      <c r="TWR193" s="369">
        <v>0.5</v>
      </c>
      <c r="TWS193" s="370" t="e">
        <f>10/TWO191</f>
        <v>#DIV/0!</v>
      </c>
      <c r="TWT193" s="371">
        <v>15.38</v>
      </c>
      <c r="TWU193" s="371" t="e">
        <f>TWR193*TWS193*TWT193</f>
        <v>#DIV/0!</v>
      </c>
      <c r="TWV193" s="367" t="s">
        <v>206</v>
      </c>
      <c r="TWW193" s="367"/>
      <c r="TWX193" s="367"/>
      <c r="TWY193" s="368" t="s">
        <v>168</v>
      </c>
      <c r="TWZ193" s="369">
        <v>0.5</v>
      </c>
      <c r="TXA193" s="370" t="e">
        <f>10/TWW191</f>
        <v>#DIV/0!</v>
      </c>
      <c r="TXB193" s="371">
        <v>15.38</v>
      </c>
      <c r="TXC193" s="371" t="e">
        <f>TWZ193*TXA193*TXB193</f>
        <v>#DIV/0!</v>
      </c>
      <c r="TXD193" s="367" t="s">
        <v>206</v>
      </c>
      <c r="TXE193" s="367"/>
      <c r="TXF193" s="367"/>
      <c r="TXG193" s="368" t="s">
        <v>168</v>
      </c>
      <c r="TXH193" s="369">
        <v>0.5</v>
      </c>
      <c r="TXI193" s="370" t="e">
        <f>10/TXE191</f>
        <v>#DIV/0!</v>
      </c>
      <c r="TXJ193" s="371">
        <v>15.38</v>
      </c>
      <c r="TXK193" s="371" t="e">
        <f>TXH193*TXI193*TXJ193</f>
        <v>#DIV/0!</v>
      </c>
      <c r="TXL193" s="367" t="s">
        <v>206</v>
      </c>
      <c r="TXM193" s="367"/>
      <c r="TXN193" s="367"/>
      <c r="TXO193" s="368" t="s">
        <v>168</v>
      </c>
      <c r="TXP193" s="369">
        <v>0.5</v>
      </c>
      <c r="TXQ193" s="370" t="e">
        <f>10/TXM191</f>
        <v>#DIV/0!</v>
      </c>
      <c r="TXR193" s="371">
        <v>15.38</v>
      </c>
      <c r="TXS193" s="371" t="e">
        <f>TXP193*TXQ193*TXR193</f>
        <v>#DIV/0!</v>
      </c>
      <c r="TXT193" s="367" t="s">
        <v>206</v>
      </c>
      <c r="TXU193" s="367"/>
      <c r="TXV193" s="367"/>
      <c r="TXW193" s="368" t="s">
        <v>168</v>
      </c>
      <c r="TXX193" s="369">
        <v>0.5</v>
      </c>
      <c r="TXY193" s="370" t="e">
        <f>10/TXU191</f>
        <v>#DIV/0!</v>
      </c>
      <c r="TXZ193" s="371">
        <v>15.38</v>
      </c>
      <c r="TYA193" s="371" t="e">
        <f>TXX193*TXY193*TXZ193</f>
        <v>#DIV/0!</v>
      </c>
      <c r="TYB193" s="367" t="s">
        <v>206</v>
      </c>
      <c r="TYC193" s="367"/>
      <c r="TYD193" s="367"/>
      <c r="TYE193" s="368" t="s">
        <v>168</v>
      </c>
      <c r="TYF193" s="369">
        <v>0.5</v>
      </c>
      <c r="TYG193" s="370" t="e">
        <f>10/TYC191</f>
        <v>#DIV/0!</v>
      </c>
      <c r="TYH193" s="371">
        <v>15.38</v>
      </c>
      <c r="TYI193" s="371" t="e">
        <f>TYF193*TYG193*TYH193</f>
        <v>#DIV/0!</v>
      </c>
      <c r="TYJ193" s="367" t="s">
        <v>206</v>
      </c>
      <c r="TYK193" s="367"/>
      <c r="TYL193" s="367"/>
      <c r="TYM193" s="368" t="s">
        <v>168</v>
      </c>
      <c r="TYN193" s="369">
        <v>0.5</v>
      </c>
      <c r="TYO193" s="370" t="e">
        <f>10/TYK191</f>
        <v>#DIV/0!</v>
      </c>
      <c r="TYP193" s="371">
        <v>15.38</v>
      </c>
      <c r="TYQ193" s="371" t="e">
        <f>TYN193*TYO193*TYP193</f>
        <v>#DIV/0!</v>
      </c>
      <c r="TYR193" s="367" t="s">
        <v>206</v>
      </c>
      <c r="TYS193" s="367"/>
      <c r="TYT193" s="367"/>
      <c r="TYU193" s="368" t="s">
        <v>168</v>
      </c>
      <c r="TYV193" s="369">
        <v>0.5</v>
      </c>
      <c r="TYW193" s="370" t="e">
        <f>10/TYS191</f>
        <v>#DIV/0!</v>
      </c>
      <c r="TYX193" s="371">
        <v>15.38</v>
      </c>
      <c r="TYY193" s="371" t="e">
        <f>TYV193*TYW193*TYX193</f>
        <v>#DIV/0!</v>
      </c>
      <c r="TYZ193" s="367" t="s">
        <v>206</v>
      </c>
      <c r="TZA193" s="367"/>
      <c r="TZB193" s="367"/>
      <c r="TZC193" s="368" t="s">
        <v>168</v>
      </c>
      <c r="TZD193" s="369">
        <v>0.5</v>
      </c>
      <c r="TZE193" s="370" t="e">
        <f>10/TZA191</f>
        <v>#DIV/0!</v>
      </c>
      <c r="TZF193" s="371">
        <v>15.38</v>
      </c>
      <c r="TZG193" s="371" t="e">
        <f>TZD193*TZE193*TZF193</f>
        <v>#DIV/0!</v>
      </c>
      <c r="TZH193" s="367" t="s">
        <v>206</v>
      </c>
      <c r="TZI193" s="367"/>
      <c r="TZJ193" s="367"/>
      <c r="TZK193" s="368" t="s">
        <v>168</v>
      </c>
      <c r="TZL193" s="369">
        <v>0.5</v>
      </c>
      <c r="TZM193" s="370" t="e">
        <f>10/TZI191</f>
        <v>#DIV/0!</v>
      </c>
      <c r="TZN193" s="371">
        <v>15.38</v>
      </c>
      <c r="TZO193" s="371" t="e">
        <f>TZL193*TZM193*TZN193</f>
        <v>#DIV/0!</v>
      </c>
      <c r="TZP193" s="367" t="s">
        <v>206</v>
      </c>
      <c r="TZQ193" s="367"/>
      <c r="TZR193" s="367"/>
      <c r="TZS193" s="368" t="s">
        <v>168</v>
      </c>
      <c r="TZT193" s="369">
        <v>0.5</v>
      </c>
      <c r="TZU193" s="370" t="e">
        <f>10/TZQ191</f>
        <v>#DIV/0!</v>
      </c>
      <c r="TZV193" s="371">
        <v>15.38</v>
      </c>
      <c r="TZW193" s="371" t="e">
        <f>TZT193*TZU193*TZV193</f>
        <v>#DIV/0!</v>
      </c>
      <c r="TZX193" s="367" t="s">
        <v>206</v>
      </c>
      <c r="TZY193" s="367"/>
      <c r="TZZ193" s="367"/>
      <c r="UAA193" s="368" t="s">
        <v>168</v>
      </c>
      <c r="UAB193" s="369">
        <v>0.5</v>
      </c>
      <c r="UAC193" s="370" t="e">
        <f>10/TZY191</f>
        <v>#DIV/0!</v>
      </c>
      <c r="UAD193" s="371">
        <v>15.38</v>
      </c>
      <c r="UAE193" s="371" t="e">
        <f>UAB193*UAC193*UAD193</f>
        <v>#DIV/0!</v>
      </c>
      <c r="UAF193" s="367" t="s">
        <v>206</v>
      </c>
      <c r="UAG193" s="367"/>
      <c r="UAH193" s="367"/>
      <c r="UAI193" s="368" t="s">
        <v>168</v>
      </c>
      <c r="UAJ193" s="369">
        <v>0.5</v>
      </c>
      <c r="UAK193" s="370" t="e">
        <f>10/UAG191</f>
        <v>#DIV/0!</v>
      </c>
      <c r="UAL193" s="371">
        <v>15.38</v>
      </c>
      <c r="UAM193" s="371" t="e">
        <f>UAJ193*UAK193*UAL193</f>
        <v>#DIV/0!</v>
      </c>
      <c r="UAN193" s="367" t="s">
        <v>206</v>
      </c>
      <c r="UAO193" s="367"/>
      <c r="UAP193" s="367"/>
      <c r="UAQ193" s="368" t="s">
        <v>168</v>
      </c>
      <c r="UAR193" s="369">
        <v>0.5</v>
      </c>
      <c r="UAS193" s="370" t="e">
        <f>10/UAO191</f>
        <v>#DIV/0!</v>
      </c>
      <c r="UAT193" s="371">
        <v>15.38</v>
      </c>
      <c r="UAU193" s="371" t="e">
        <f>UAR193*UAS193*UAT193</f>
        <v>#DIV/0!</v>
      </c>
      <c r="UAV193" s="367" t="s">
        <v>206</v>
      </c>
      <c r="UAW193" s="367"/>
      <c r="UAX193" s="367"/>
      <c r="UAY193" s="368" t="s">
        <v>168</v>
      </c>
      <c r="UAZ193" s="369">
        <v>0.5</v>
      </c>
      <c r="UBA193" s="370" t="e">
        <f>10/UAW191</f>
        <v>#DIV/0!</v>
      </c>
      <c r="UBB193" s="371">
        <v>15.38</v>
      </c>
      <c r="UBC193" s="371" t="e">
        <f>UAZ193*UBA193*UBB193</f>
        <v>#DIV/0!</v>
      </c>
      <c r="UBD193" s="367" t="s">
        <v>206</v>
      </c>
      <c r="UBE193" s="367"/>
      <c r="UBF193" s="367"/>
      <c r="UBG193" s="368" t="s">
        <v>168</v>
      </c>
      <c r="UBH193" s="369">
        <v>0.5</v>
      </c>
      <c r="UBI193" s="370" t="e">
        <f>10/UBE191</f>
        <v>#DIV/0!</v>
      </c>
      <c r="UBJ193" s="371">
        <v>15.38</v>
      </c>
      <c r="UBK193" s="371" t="e">
        <f>UBH193*UBI193*UBJ193</f>
        <v>#DIV/0!</v>
      </c>
      <c r="UBL193" s="367" t="s">
        <v>206</v>
      </c>
      <c r="UBM193" s="367"/>
      <c r="UBN193" s="367"/>
      <c r="UBO193" s="368" t="s">
        <v>168</v>
      </c>
      <c r="UBP193" s="369">
        <v>0.5</v>
      </c>
      <c r="UBQ193" s="370" t="e">
        <f>10/UBM191</f>
        <v>#DIV/0!</v>
      </c>
      <c r="UBR193" s="371">
        <v>15.38</v>
      </c>
      <c r="UBS193" s="371" t="e">
        <f>UBP193*UBQ193*UBR193</f>
        <v>#DIV/0!</v>
      </c>
      <c r="UBT193" s="367" t="s">
        <v>206</v>
      </c>
      <c r="UBU193" s="367"/>
      <c r="UBV193" s="367"/>
      <c r="UBW193" s="368" t="s">
        <v>168</v>
      </c>
      <c r="UBX193" s="369">
        <v>0.5</v>
      </c>
      <c r="UBY193" s="370" t="e">
        <f>10/UBU191</f>
        <v>#DIV/0!</v>
      </c>
      <c r="UBZ193" s="371">
        <v>15.38</v>
      </c>
      <c r="UCA193" s="371" t="e">
        <f>UBX193*UBY193*UBZ193</f>
        <v>#DIV/0!</v>
      </c>
      <c r="UCB193" s="367" t="s">
        <v>206</v>
      </c>
      <c r="UCC193" s="367"/>
      <c r="UCD193" s="367"/>
      <c r="UCE193" s="368" t="s">
        <v>168</v>
      </c>
      <c r="UCF193" s="369">
        <v>0.5</v>
      </c>
      <c r="UCG193" s="370" t="e">
        <f>10/UCC191</f>
        <v>#DIV/0!</v>
      </c>
      <c r="UCH193" s="371">
        <v>15.38</v>
      </c>
      <c r="UCI193" s="371" t="e">
        <f>UCF193*UCG193*UCH193</f>
        <v>#DIV/0!</v>
      </c>
      <c r="UCJ193" s="367" t="s">
        <v>206</v>
      </c>
      <c r="UCK193" s="367"/>
      <c r="UCL193" s="367"/>
      <c r="UCM193" s="368" t="s">
        <v>168</v>
      </c>
      <c r="UCN193" s="369">
        <v>0.5</v>
      </c>
      <c r="UCO193" s="370" t="e">
        <f>10/UCK191</f>
        <v>#DIV/0!</v>
      </c>
      <c r="UCP193" s="371">
        <v>15.38</v>
      </c>
      <c r="UCQ193" s="371" t="e">
        <f>UCN193*UCO193*UCP193</f>
        <v>#DIV/0!</v>
      </c>
      <c r="UCR193" s="367" t="s">
        <v>206</v>
      </c>
      <c r="UCS193" s="367"/>
      <c r="UCT193" s="367"/>
      <c r="UCU193" s="368" t="s">
        <v>168</v>
      </c>
      <c r="UCV193" s="369">
        <v>0.5</v>
      </c>
      <c r="UCW193" s="370" t="e">
        <f>10/UCS191</f>
        <v>#DIV/0!</v>
      </c>
      <c r="UCX193" s="371">
        <v>15.38</v>
      </c>
      <c r="UCY193" s="371" t="e">
        <f>UCV193*UCW193*UCX193</f>
        <v>#DIV/0!</v>
      </c>
      <c r="UCZ193" s="367" t="s">
        <v>206</v>
      </c>
      <c r="UDA193" s="367"/>
      <c r="UDB193" s="367"/>
      <c r="UDC193" s="368" t="s">
        <v>168</v>
      </c>
      <c r="UDD193" s="369">
        <v>0.5</v>
      </c>
      <c r="UDE193" s="370" t="e">
        <f>10/UDA191</f>
        <v>#DIV/0!</v>
      </c>
      <c r="UDF193" s="371">
        <v>15.38</v>
      </c>
      <c r="UDG193" s="371" t="e">
        <f>UDD193*UDE193*UDF193</f>
        <v>#DIV/0!</v>
      </c>
      <c r="UDH193" s="367" t="s">
        <v>206</v>
      </c>
      <c r="UDI193" s="367"/>
      <c r="UDJ193" s="367"/>
      <c r="UDK193" s="368" t="s">
        <v>168</v>
      </c>
      <c r="UDL193" s="369">
        <v>0.5</v>
      </c>
      <c r="UDM193" s="370" t="e">
        <f>10/UDI191</f>
        <v>#DIV/0!</v>
      </c>
      <c r="UDN193" s="371">
        <v>15.38</v>
      </c>
      <c r="UDO193" s="371" t="e">
        <f>UDL193*UDM193*UDN193</f>
        <v>#DIV/0!</v>
      </c>
      <c r="UDP193" s="367" t="s">
        <v>206</v>
      </c>
      <c r="UDQ193" s="367"/>
      <c r="UDR193" s="367"/>
      <c r="UDS193" s="368" t="s">
        <v>168</v>
      </c>
      <c r="UDT193" s="369">
        <v>0.5</v>
      </c>
      <c r="UDU193" s="370" t="e">
        <f>10/UDQ191</f>
        <v>#DIV/0!</v>
      </c>
      <c r="UDV193" s="371">
        <v>15.38</v>
      </c>
      <c r="UDW193" s="371" t="e">
        <f>UDT193*UDU193*UDV193</f>
        <v>#DIV/0!</v>
      </c>
      <c r="UDX193" s="367" t="s">
        <v>206</v>
      </c>
      <c r="UDY193" s="367"/>
      <c r="UDZ193" s="367"/>
      <c r="UEA193" s="368" t="s">
        <v>168</v>
      </c>
      <c r="UEB193" s="369">
        <v>0.5</v>
      </c>
      <c r="UEC193" s="370" t="e">
        <f>10/UDY191</f>
        <v>#DIV/0!</v>
      </c>
      <c r="UED193" s="371">
        <v>15.38</v>
      </c>
      <c r="UEE193" s="371" t="e">
        <f>UEB193*UEC193*UED193</f>
        <v>#DIV/0!</v>
      </c>
      <c r="UEF193" s="367" t="s">
        <v>206</v>
      </c>
      <c r="UEG193" s="367"/>
      <c r="UEH193" s="367"/>
      <c r="UEI193" s="368" t="s">
        <v>168</v>
      </c>
      <c r="UEJ193" s="369">
        <v>0.5</v>
      </c>
      <c r="UEK193" s="370" t="e">
        <f>10/UEG191</f>
        <v>#DIV/0!</v>
      </c>
      <c r="UEL193" s="371">
        <v>15.38</v>
      </c>
      <c r="UEM193" s="371" t="e">
        <f>UEJ193*UEK193*UEL193</f>
        <v>#DIV/0!</v>
      </c>
      <c r="UEN193" s="367" t="s">
        <v>206</v>
      </c>
      <c r="UEO193" s="367"/>
      <c r="UEP193" s="367"/>
      <c r="UEQ193" s="368" t="s">
        <v>168</v>
      </c>
      <c r="UER193" s="369">
        <v>0.5</v>
      </c>
      <c r="UES193" s="370" t="e">
        <f>10/UEO191</f>
        <v>#DIV/0!</v>
      </c>
      <c r="UET193" s="371">
        <v>15.38</v>
      </c>
      <c r="UEU193" s="371" t="e">
        <f>UER193*UES193*UET193</f>
        <v>#DIV/0!</v>
      </c>
      <c r="UEV193" s="367" t="s">
        <v>206</v>
      </c>
      <c r="UEW193" s="367"/>
      <c r="UEX193" s="367"/>
      <c r="UEY193" s="368" t="s">
        <v>168</v>
      </c>
      <c r="UEZ193" s="369">
        <v>0.5</v>
      </c>
      <c r="UFA193" s="370" t="e">
        <f>10/UEW191</f>
        <v>#DIV/0!</v>
      </c>
      <c r="UFB193" s="371">
        <v>15.38</v>
      </c>
      <c r="UFC193" s="371" t="e">
        <f>UEZ193*UFA193*UFB193</f>
        <v>#DIV/0!</v>
      </c>
      <c r="UFD193" s="367" t="s">
        <v>206</v>
      </c>
      <c r="UFE193" s="367"/>
      <c r="UFF193" s="367"/>
      <c r="UFG193" s="368" t="s">
        <v>168</v>
      </c>
      <c r="UFH193" s="369">
        <v>0.5</v>
      </c>
      <c r="UFI193" s="370" t="e">
        <f>10/UFE191</f>
        <v>#DIV/0!</v>
      </c>
      <c r="UFJ193" s="371">
        <v>15.38</v>
      </c>
      <c r="UFK193" s="371" t="e">
        <f>UFH193*UFI193*UFJ193</f>
        <v>#DIV/0!</v>
      </c>
      <c r="UFL193" s="367" t="s">
        <v>206</v>
      </c>
      <c r="UFM193" s="367"/>
      <c r="UFN193" s="367"/>
      <c r="UFO193" s="368" t="s">
        <v>168</v>
      </c>
      <c r="UFP193" s="369">
        <v>0.5</v>
      </c>
      <c r="UFQ193" s="370" t="e">
        <f>10/UFM191</f>
        <v>#DIV/0!</v>
      </c>
      <c r="UFR193" s="371">
        <v>15.38</v>
      </c>
      <c r="UFS193" s="371" t="e">
        <f>UFP193*UFQ193*UFR193</f>
        <v>#DIV/0!</v>
      </c>
      <c r="UFT193" s="367" t="s">
        <v>206</v>
      </c>
      <c r="UFU193" s="367"/>
      <c r="UFV193" s="367"/>
      <c r="UFW193" s="368" t="s">
        <v>168</v>
      </c>
      <c r="UFX193" s="369">
        <v>0.5</v>
      </c>
      <c r="UFY193" s="370" t="e">
        <f>10/UFU191</f>
        <v>#DIV/0!</v>
      </c>
      <c r="UFZ193" s="371">
        <v>15.38</v>
      </c>
      <c r="UGA193" s="371" t="e">
        <f>UFX193*UFY193*UFZ193</f>
        <v>#DIV/0!</v>
      </c>
      <c r="UGB193" s="367" t="s">
        <v>206</v>
      </c>
      <c r="UGC193" s="367"/>
      <c r="UGD193" s="367"/>
      <c r="UGE193" s="368" t="s">
        <v>168</v>
      </c>
      <c r="UGF193" s="369">
        <v>0.5</v>
      </c>
      <c r="UGG193" s="370" t="e">
        <f>10/UGC191</f>
        <v>#DIV/0!</v>
      </c>
      <c r="UGH193" s="371">
        <v>15.38</v>
      </c>
      <c r="UGI193" s="371" t="e">
        <f>UGF193*UGG193*UGH193</f>
        <v>#DIV/0!</v>
      </c>
      <c r="UGJ193" s="367" t="s">
        <v>206</v>
      </c>
      <c r="UGK193" s="367"/>
      <c r="UGL193" s="367"/>
      <c r="UGM193" s="368" t="s">
        <v>168</v>
      </c>
      <c r="UGN193" s="369">
        <v>0.5</v>
      </c>
      <c r="UGO193" s="370" t="e">
        <f>10/UGK191</f>
        <v>#DIV/0!</v>
      </c>
      <c r="UGP193" s="371">
        <v>15.38</v>
      </c>
      <c r="UGQ193" s="371" t="e">
        <f>UGN193*UGO193*UGP193</f>
        <v>#DIV/0!</v>
      </c>
      <c r="UGR193" s="367" t="s">
        <v>206</v>
      </c>
      <c r="UGS193" s="367"/>
      <c r="UGT193" s="367"/>
      <c r="UGU193" s="368" t="s">
        <v>168</v>
      </c>
      <c r="UGV193" s="369">
        <v>0.5</v>
      </c>
      <c r="UGW193" s="370" t="e">
        <f>10/UGS191</f>
        <v>#DIV/0!</v>
      </c>
      <c r="UGX193" s="371">
        <v>15.38</v>
      </c>
      <c r="UGY193" s="371" t="e">
        <f>UGV193*UGW193*UGX193</f>
        <v>#DIV/0!</v>
      </c>
      <c r="UGZ193" s="367" t="s">
        <v>206</v>
      </c>
      <c r="UHA193" s="367"/>
      <c r="UHB193" s="367"/>
      <c r="UHC193" s="368" t="s">
        <v>168</v>
      </c>
      <c r="UHD193" s="369">
        <v>0.5</v>
      </c>
      <c r="UHE193" s="370" t="e">
        <f>10/UHA191</f>
        <v>#DIV/0!</v>
      </c>
      <c r="UHF193" s="371">
        <v>15.38</v>
      </c>
      <c r="UHG193" s="371" t="e">
        <f>UHD193*UHE193*UHF193</f>
        <v>#DIV/0!</v>
      </c>
      <c r="UHH193" s="367" t="s">
        <v>206</v>
      </c>
      <c r="UHI193" s="367"/>
      <c r="UHJ193" s="367"/>
      <c r="UHK193" s="368" t="s">
        <v>168</v>
      </c>
      <c r="UHL193" s="369">
        <v>0.5</v>
      </c>
      <c r="UHM193" s="370" t="e">
        <f>10/UHI191</f>
        <v>#DIV/0!</v>
      </c>
      <c r="UHN193" s="371">
        <v>15.38</v>
      </c>
      <c r="UHO193" s="371" t="e">
        <f>UHL193*UHM193*UHN193</f>
        <v>#DIV/0!</v>
      </c>
      <c r="UHP193" s="367" t="s">
        <v>206</v>
      </c>
      <c r="UHQ193" s="367"/>
      <c r="UHR193" s="367"/>
      <c r="UHS193" s="368" t="s">
        <v>168</v>
      </c>
      <c r="UHT193" s="369">
        <v>0.5</v>
      </c>
      <c r="UHU193" s="370" t="e">
        <f>10/UHQ191</f>
        <v>#DIV/0!</v>
      </c>
      <c r="UHV193" s="371">
        <v>15.38</v>
      </c>
      <c r="UHW193" s="371" t="e">
        <f>UHT193*UHU193*UHV193</f>
        <v>#DIV/0!</v>
      </c>
      <c r="UHX193" s="367" t="s">
        <v>206</v>
      </c>
      <c r="UHY193" s="367"/>
      <c r="UHZ193" s="367"/>
      <c r="UIA193" s="368" t="s">
        <v>168</v>
      </c>
      <c r="UIB193" s="369">
        <v>0.5</v>
      </c>
      <c r="UIC193" s="370" t="e">
        <f>10/UHY191</f>
        <v>#DIV/0!</v>
      </c>
      <c r="UID193" s="371">
        <v>15.38</v>
      </c>
      <c r="UIE193" s="371" t="e">
        <f>UIB193*UIC193*UID193</f>
        <v>#DIV/0!</v>
      </c>
      <c r="UIF193" s="367" t="s">
        <v>206</v>
      </c>
      <c r="UIG193" s="367"/>
      <c r="UIH193" s="367"/>
      <c r="UII193" s="368" t="s">
        <v>168</v>
      </c>
      <c r="UIJ193" s="369">
        <v>0.5</v>
      </c>
      <c r="UIK193" s="370" t="e">
        <f>10/UIG191</f>
        <v>#DIV/0!</v>
      </c>
      <c r="UIL193" s="371">
        <v>15.38</v>
      </c>
      <c r="UIM193" s="371" t="e">
        <f>UIJ193*UIK193*UIL193</f>
        <v>#DIV/0!</v>
      </c>
      <c r="UIN193" s="367" t="s">
        <v>206</v>
      </c>
      <c r="UIO193" s="367"/>
      <c r="UIP193" s="367"/>
      <c r="UIQ193" s="368" t="s">
        <v>168</v>
      </c>
      <c r="UIR193" s="369">
        <v>0.5</v>
      </c>
      <c r="UIS193" s="370" t="e">
        <f>10/UIO191</f>
        <v>#DIV/0!</v>
      </c>
      <c r="UIT193" s="371">
        <v>15.38</v>
      </c>
      <c r="UIU193" s="371" t="e">
        <f>UIR193*UIS193*UIT193</f>
        <v>#DIV/0!</v>
      </c>
      <c r="UIV193" s="367" t="s">
        <v>206</v>
      </c>
      <c r="UIW193" s="367"/>
      <c r="UIX193" s="367"/>
      <c r="UIY193" s="368" t="s">
        <v>168</v>
      </c>
      <c r="UIZ193" s="369">
        <v>0.5</v>
      </c>
      <c r="UJA193" s="370" t="e">
        <f>10/UIW191</f>
        <v>#DIV/0!</v>
      </c>
      <c r="UJB193" s="371">
        <v>15.38</v>
      </c>
      <c r="UJC193" s="371" t="e">
        <f>UIZ193*UJA193*UJB193</f>
        <v>#DIV/0!</v>
      </c>
      <c r="UJD193" s="367" t="s">
        <v>206</v>
      </c>
      <c r="UJE193" s="367"/>
      <c r="UJF193" s="367"/>
      <c r="UJG193" s="368" t="s">
        <v>168</v>
      </c>
      <c r="UJH193" s="369">
        <v>0.5</v>
      </c>
      <c r="UJI193" s="370" t="e">
        <f>10/UJE191</f>
        <v>#DIV/0!</v>
      </c>
      <c r="UJJ193" s="371">
        <v>15.38</v>
      </c>
      <c r="UJK193" s="371" t="e">
        <f>UJH193*UJI193*UJJ193</f>
        <v>#DIV/0!</v>
      </c>
      <c r="UJL193" s="367" t="s">
        <v>206</v>
      </c>
      <c r="UJM193" s="367"/>
      <c r="UJN193" s="367"/>
      <c r="UJO193" s="368" t="s">
        <v>168</v>
      </c>
      <c r="UJP193" s="369">
        <v>0.5</v>
      </c>
      <c r="UJQ193" s="370" t="e">
        <f>10/UJM191</f>
        <v>#DIV/0!</v>
      </c>
      <c r="UJR193" s="371">
        <v>15.38</v>
      </c>
      <c r="UJS193" s="371" t="e">
        <f>UJP193*UJQ193*UJR193</f>
        <v>#DIV/0!</v>
      </c>
      <c r="UJT193" s="367" t="s">
        <v>206</v>
      </c>
      <c r="UJU193" s="367"/>
      <c r="UJV193" s="367"/>
      <c r="UJW193" s="368" t="s">
        <v>168</v>
      </c>
      <c r="UJX193" s="369">
        <v>0.5</v>
      </c>
      <c r="UJY193" s="370" t="e">
        <f>10/UJU191</f>
        <v>#DIV/0!</v>
      </c>
      <c r="UJZ193" s="371">
        <v>15.38</v>
      </c>
      <c r="UKA193" s="371" t="e">
        <f>UJX193*UJY193*UJZ193</f>
        <v>#DIV/0!</v>
      </c>
      <c r="UKB193" s="367" t="s">
        <v>206</v>
      </c>
      <c r="UKC193" s="367"/>
      <c r="UKD193" s="367"/>
      <c r="UKE193" s="368" t="s">
        <v>168</v>
      </c>
      <c r="UKF193" s="369">
        <v>0.5</v>
      </c>
      <c r="UKG193" s="370" t="e">
        <f>10/UKC191</f>
        <v>#DIV/0!</v>
      </c>
      <c r="UKH193" s="371">
        <v>15.38</v>
      </c>
      <c r="UKI193" s="371" t="e">
        <f>UKF193*UKG193*UKH193</f>
        <v>#DIV/0!</v>
      </c>
      <c r="UKJ193" s="367" t="s">
        <v>206</v>
      </c>
      <c r="UKK193" s="367"/>
      <c r="UKL193" s="367"/>
      <c r="UKM193" s="368" t="s">
        <v>168</v>
      </c>
      <c r="UKN193" s="369">
        <v>0.5</v>
      </c>
      <c r="UKO193" s="370" t="e">
        <f>10/UKK191</f>
        <v>#DIV/0!</v>
      </c>
      <c r="UKP193" s="371">
        <v>15.38</v>
      </c>
      <c r="UKQ193" s="371" t="e">
        <f>UKN193*UKO193*UKP193</f>
        <v>#DIV/0!</v>
      </c>
      <c r="UKR193" s="367" t="s">
        <v>206</v>
      </c>
      <c r="UKS193" s="367"/>
      <c r="UKT193" s="367"/>
      <c r="UKU193" s="368" t="s">
        <v>168</v>
      </c>
      <c r="UKV193" s="369">
        <v>0.5</v>
      </c>
      <c r="UKW193" s="370" t="e">
        <f>10/UKS191</f>
        <v>#DIV/0!</v>
      </c>
      <c r="UKX193" s="371">
        <v>15.38</v>
      </c>
      <c r="UKY193" s="371" t="e">
        <f>UKV193*UKW193*UKX193</f>
        <v>#DIV/0!</v>
      </c>
      <c r="UKZ193" s="367" t="s">
        <v>206</v>
      </c>
      <c r="ULA193" s="367"/>
      <c r="ULB193" s="367"/>
      <c r="ULC193" s="368" t="s">
        <v>168</v>
      </c>
      <c r="ULD193" s="369">
        <v>0.5</v>
      </c>
      <c r="ULE193" s="370" t="e">
        <f>10/ULA191</f>
        <v>#DIV/0!</v>
      </c>
      <c r="ULF193" s="371">
        <v>15.38</v>
      </c>
      <c r="ULG193" s="371" t="e">
        <f>ULD193*ULE193*ULF193</f>
        <v>#DIV/0!</v>
      </c>
      <c r="ULH193" s="367" t="s">
        <v>206</v>
      </c>
      <c r="ULI193" s="367"/>
      <c r="ULJ193" s="367"/>
      <c r="ULK193" s="368" t="s">
        <v>168</v>
      </c>
      <c r="ULL193" s="369">
        <v>0.5</v>
      </c>
      <c r="ULM193" s="370" t="e">
        <f>10/ULI191</f>
        <v>#DIV/0!</v>
      </c>
      <c r="ULN193" s="371">
        <v>15.38</v>
      </c>
      <c r="ULO193" s="371" t="e">
        <f>ULL193*ULM193*ULN193</f>
        <v>#DIV/0!</v>
      </c>
      <c r="ULP193" s="367" t="s">
        <v>206</v>
      </c>
      <c r="ULQ193" s="367"/>
      <c r="ULR193" s="367"/>
      <c r="ULS193" s="368" t="s">
        <v>168</v>
      </c>
      <c r="ULT193" s="369">
        <v>0.5</v>
      </c>
      <c r="ULU193" s="370" t="e">
        <f>10/ULQ191</f>
        <v>#DIV/0!</v>
      </c>
      <c r="ULV193" s="371">
        <v>15.38</v>
      </c>
      <c r="ULW193" s="371" t="e">
        <f>ULT193*ULU193*ULV193</f>
        <v>#DIV/0!</v>
      </c>
      <c r="ULX193" s="367" t="s">
        <v>206</v>
      </c>
      <c r="ULY193" s="367"/>
      <c r="ULZ193" s="367"/>
      <c r="UMA193" s="368" t="s">
        <v>168</v>
      </c>
      <c r="UMB193" s="369">
        <v>0.5</v>
      </c>
      <c r="UMC193" s="370" t="e">
        <f>10/ULY191</f>
        <v>#DIV/0!</v>
      </c>
      <c r="UMD193" s="371">
        <v>15.38</v>
      </c>
      <c r="UME193" s="371" t="e">
        <f>UMB193*UMC193*UMD193</f>
        <v>#DIV/0!</v>
      </c>
      <c r="UMF193" s="367" t="s">
        <v>206</v>
      </c>
      <c r="UMG193" s="367"/>
      <c r="UMH193" s="367"/>
      <c r="UMI193" s="368" t="s">
        <v>168</v>
      </c>
      <c r="UMJ193" s="369">
        <v>0.5</v>
      </c>
      <c r="UMK193" s="370" t="e">
        <f>10/UMG191</f>
        <v>#DIV/0!</v>
      </c>
      <c r="UML193" s="371">
        <v>15.38</v>
      </c>
      <c r="UMM193" s="371" t="e">
        <f>UMJ193*UMK193*UML193</f>
        <v>#DIV/0!</v>
      </c>
      <c r="UMN193" s="367" t="s">
        <v>206</v>
      </c>
      <c r="UMO193" s="367"/>
      <c r="UMP193" s="367"/>
      <c r="UMQ193" s="368" t="s">
        <v>168</v>
      </c>
      <c r="UMR193" s="369">
        <v>0.5</v>
      </c>
      <c r="UMS193" s="370" t="e">
        <f>10/UMO191</f>
        <v>#DIV/0!</v>
      </c>
      <c r="UMT193" s="371">
        <v>15.38</v>
      </c>
      <c r="UMU193" s="371" t="e">
        <f>UMR193*UMS193*UMT193</f>
        <v>#DIV/0!</v>
      </c>
      <c r="UMV193" s="367" t="s">
        <v>206</v>
      </c>
      <c r="UMW193" s="367"/>
      <c r="UMX193" s="367"/>
      <c r="UMY193" s="368" t="s">
        <v>168</v>
      </c>
      <c r="UMZ193" s="369">
        <v>0.5</v>
      </c>
      <c r="UNA193" s="370" t="e">
        <f>10/UMW191</f>
        <v>#DIV/0!</v>
      </c>
      <c r="UNB193" s="371">
        <v>15.38</v>
      </c>
      <c r="UNC193" s="371" t="e">
        <f>UMZ193*UNA193*UNB193</f>
        <v>#DIV/0!</v>
      </c>
      <c r="UND193" s="367" t="s">
        <v>206</v>
      </c>
      <c r="UNE193" s="367"/>
      <c r="UNF193" s="367"/>
      <c r="UNG193" s="368" t="s">
        <v>168</v>
      </c>
      <c r="UNH193" s="369">
        <v>0.5</v>
      </c>
      <c r="UNI193" s="370" t="e">
        <f>10/UNE191</f>
        <v>#DIV/0!</v>
      </c>
      <c r="UNJ193" s="371">
        <v>15.38</v>
      </c>
      <c r="UNK193" s="371" t="e">
        <f>UNH193*UNI193*UNJ193</f>
        <v>#DIV/0!</v>
      </c>
      <c r="UNL193" s="367" t="s">
        <v>206</v>
      </c>
      <c r="UNM193" s="367"/>
      <c r="UNN193" s="367"/>
      <c r="UNO193" s="368" t="s">
        <v>168</v>
      </c>
      <c r="UNP193" s="369">
        <v>0.5</v>
      </c>
      <c r="UNQ193" s="370" t="e">
        <f>10/UNM191</f>
        <v>#DIV/0!</v>
      </c>
      <c r="UNR193" s="371">
        <v>15.38</v>
      </c>
      <c r="UNS193" s="371" t="e">
        <f>UNP193*UNQ193*UNR193</f>
        <v>#DIV/0!</v>
      </c>
      <c r="UNT193" s="367" t="s">
        <v>206</v>
      </c>
      <c r="UNU193" s="367"/>
      <c r="UNV193" s="367"/>
      <c r="UNW193" s="368" t="s">
        <v>168</v>
      </c>
      <c r="UNX193" s="369">
        <v>0.5</v>
      </c>
      <c r="UNY193" s="370" t="e">
        <f>10/UNU191</f>
        <v>#DIV/0!</v>
      </c>
      <c r="UNZ193" s="371">
        <v>15.38</v>
      </c>
      <c r="UOA193" s="371" t="e">
        <f>UNX193*UNY193*UNZ193</f>
        <v>#DIV/0!</v>
      </c>
      <c r="UOB193" s="367" t="s">
        <v>206</v>
      </c>
      <c r="UOC193" s="367"/>
      <c r="UOD193" s="367"/>
      <c r="UOE193" s="368" t="s">
        <v>168</v>
      </c>
      <c r="UOF193" s="369">
        <v>0.5</v>
      </c>
      <c r="UOG193" s="370" t="e">
        <f>10/UOC191</f>
        <v>#DIV/0!</v>
      </c>
      <c r="UOH193" s="371">
        <v>15.38</v>
      </c>
      <c r="UOI193" s="371" t="e">
        <f>UOF193*UOG193*UOH193</f>
        <v>#DIV/0!</v>
      </c>
      <c r="UOJ193" s="367" t="s">
        <v>206</v>
      </c>
      <c r="UOK193" s="367"/>
      <c r="UOL193" s="367"/>
      <c r="UOM193" s="368" t="s">
        <v>168</v>
      </c>
      <c r="UON193" s="369">
        <v>0.5</v>
      </c>
      <c r="UOO193" s="370" t="e">
        <f>10/UOK191</f>
        <v>#DIV/0!</v>
      </c>
      <c r="UOP193" s="371">
        <v>15.38</v>
      </c>
      <c r="UOQ193" s="371" t="e">
        <f>UON193*UOO193*UOP193</f>
        <v>#DIV/0!</v>
      </c>
      <c r="UOR193" s="367" t="s">
        <v>206</v>
      </c>
      <c r="UOS193" s="367"/>
      <c r="UOT193" s="367"/>
      <c r="UOU193" s="368" t="s">
        <v>168</v>
      </c>
      <c r="UOV193" s="369">
        <v>0.5</v>
      </c>
      <c r="UOW193" s="370" t="e">
        <f>10/UOS191</f>
        <v>#DIV/0!</v>
      </c>
      <c r="UOX193" s="371">
        <v>15.38</v>
      </c>
      <c r="UOY193" s="371" t="e">
        <f>UOV193*UOW193*UOX193</f>
        <v>#DIV/0!</v>
      </c>
      <c r="UOZ193" s="367" t="s">
        <v>206</v>
      </c>
      <c r="UPA193" s="367"/>
      <c r="UPB193" s="367"/>
      <c r="UPC193" s="368" t="s">
        <v>168</v>
      </c>
      <c r="UPD193" s="369">
        <v>0.5</v>
      </c>
      <c r="UPE193" s="370" t="e">
        <f>10/UPA191</f>
        <v>#DIV/0!</v>
      </c>
      <c r="UPF193" s="371">
        <v>15.38</v>
      </c>
      <c r="UPG193" s="371" t="e">
        <f>UPD193*UPE193*UPF193</f>
        <v>#DIV/0!</v>
      </c>
      <c r="UPH193" s="367" t="s">
        <v>206</v>
      </c>
      <c r="UPI193" s="367"/>
      <c r="UPJ193" s="367"/>
      <c r="UPK193" s="368" t="s">
        <v>168</v>
      </c>
      <c r="UPL193" s="369">
        <v>0.5</v>
      </c>
      <c r="UPM193" s="370" t="e">
        <f>10/UPI191</f>
        <v>#DIV/0!</v>
      </c>
      <c r="UPN193" s="371">
        <v>15.38</v>
      </c>
      <c r="UPO193" s="371" t="e">
        <f>UPL193*UPM193*UPN193</f>
        <v>#DIV/0!</v>
      </c>
      <c r="UPP193" s="367" t="s">
        <v>206</v>
      </c>
      <c r="UPQ193" s="367"/>
      <c r="UPR193" s="367"/>
      <c r="UPS193" s="368" t="s">
        <v>168</v>
      </c>
      <c r="UPT193" s="369">
        <v>0.5</v>
      </c>
      <c r="UPU193" s="370" t="e">
        <f>10/UPQ191</f>
        <v>#DIV/0!</v>
      </c>
      <c r="UPV193" s="371">
        <v>15.38</v>
      </c>
      <c r="UPW193" s="371" t="e">
        <f>UPT193*UPU193*UPV193</f>
        <v>#DIV/0!</v>
      </c>
      <c r="UPX193" s="367" t="s">
        <v>206</v>
      </c>
      <c r="UPY193" s="367"/>
      <c r="UPZ193" s="367"/>
      <c r="UQA193" s="368" t="s">
        <v>168</v>
      </c>
      <c r="UQB193" s="369">
        <v>0.5</v>
      </c>
      <c r="UQC193" s="370" t="e">
        <f>10/UPY191</f>
        <v>#DIV/0!</v>
      </c>
      <c r="UQD193" s="371">
        <v>15.38</v>
      </c>
      <c r="UQE193" s="371" t="e">
        <f>UQB193*UQC193*UQD193</f>
        <v>#DIV/0!</v>
      </c>
      <c r="UQF193" s="367" t="s">
        <v>206</v>
      </c>
      <c r="UQG193" s="367"/>
      <c r="UQH193" s="367"/>
      <c r="UQI193" s="368" t="s">
        <v>168</v>
      </c>
      <c r="UQJ193" s="369">
        <v>0.5</v>
      </c>
      <c r="UQK193" s="370" t="e">
        <f>10/UQG191</f>
        <v>#DIV/0!</v>
      </c>
      <c r="UQL193" s="371">
        <v>15.38</v>
      </c>
      <c r="UQM193" s="371" t="e">
        <f>UQJ193*UQK193*UQL193</f>
        <v>#DIV/0!</v>
      </c>
      <c r="UQN193" s="367" t="s">
        <v>206</v>
      </c>
      <c r="UQO193" s="367"/>
      <c r="UQP193" s="367"/>
      <c r="UQQ193" s="368" t="s">
        <v>168</v>
      </c>
      <c r="UQR193" s="369">
        <v>0.5</v>
      </c>
      <c r="UQS193" s="370" t="e">
        <f>10/UQO191</f>
        <v>#DIV/0!</v>
      </c>
      <c r="UQT193" s="371">
        <v>15.38</v>
      </c>
      <c r="UQU193" s="371" t="e">
        <f>UQR193*UQS193*UQT193</f>
        <v>#DIV/0!</v>
      </c>
      <c r="UQV193" s="367" t="s">
        <v>206</v>
      </c>
      <c r="UQW193" s="367"/>
      <c r="UQX193" s="367"/>
      <c r="UQY193" s="368" t="s">
        <v>168</v>
      </c>
      <c r="UQZ193" s="369">
        <v>0.5</v>
      </c>
      <c r="URA193" s="370" t="e">
        <f>10/UQW191</f>
        <v>#DIV/0!</v>
      </c>
      <c r="URB193" s="371">
        <v>15.38</v>
      </c>
      <c r="URC193" s="371" t="e">
        <f>UQZ193*URA193*URB193</f>
        <v>#DIV/0!</v>
      </c>
      <c r="URD193" s="367" t="s">
        <v>206</v>
      </c>
      <c r="URE193" s="367"/>
      <c r="URF193" s="367"/>
      <c r="URG193" s="368" t="s">
        <v>168</v>
      </c>
      <c r="URH193" s="369">
        <v>0.5</v>
      </c>
      <c r="URI193" s="370" t="e">
        <f>10/URE191</f>
        <v>#DIV/0!</v>
      </c>
      <c r="URJ193" s="371">
        <v>15.38</v>
      </c>
      <c r="URK193" s="371" t="e">
        <f>URH193*URI193*URJ193</f>
        <v>#DIV/0!</v>
      </c>
      <c r="URL193" s="367" t="s">
        <v>206</v>
      </c>
      <c r="URM193" s="367"/>
      <c r="URN193" s="367"/>
      <c r="URO193" s="368" t="s">
        <v>168</v>
      </c>
      <c r="URP193" s="369">
        <v>0.5</v>
      </c>
      <c r="URQ193" s="370" t="e">
        <f>10/URM191</f>
        <v>#DIV/0!</v>
      </c>
      <c r="URR193" s="371">
        <v>15.38</v>
      </c>
      <c r="URS193" s="371" t="e">
        <f>URP193*URQ193*URR193</f>
        <v>#DIV/0!</v>
      </c>
      <c r="URT193" s="367" t="s">
        <v>206</v>
      </c>
      <c r="URU193" s="367"/>
      <c r="URV193" s="367"/>
      <c r="URW193" s="368" t="s">
        <v>168</v>
      </c>
      <c r="URX193" s="369">
        <v>0.5</v>
      </c>
      <c r="URY193" s="370" t="e">
        <f>10/URU191</f>
        <v>#DIV/0!</v>
      </c>
      <c r="URZ193" s="371">
        <v>15.38</v>
      </c>
      <c r="USA193" s="371" t="e">
        <f>URX193*URY193*URZ193</f>
        <v>#DIV/0!</v>
      </c>
      <c r="USB193" s="367" t="s">
        <v>206</v>
      </c>
      <c r="USC193" s="367"/>
      <c r="USD193" s="367"/>
      <c r="USE193" s="368" t="s">
        <v>168</v>
      </c>
      <c r="USF193" s="369">
        <v>0.5</v>
      </c>
      <c r="USG193" s="370" t="e">
        <f>10/USC191</f>
        <v>#DIV/0!</v>
      </c>
      <c r="USH193" s="371">
        <v>15.38</v>
      </c>
      <c r="USI193" s="371" t="e">
        <f>USF193*USG193*USH193</f>
        <v>#DIV/0!</v>
      </c>
      <c r="USJ193" s="367" t="s">
        <v>206</v>
      </c>
      <c r="USK193" s="367"/>
      <c r="USL193" s="367"/>
      <c r="USM193" s="368" t="s">
        <v>168</v>
      </c>
      <c r="USN193" s="369">
        <v>0.5</v>
      </c>
      <c r="USO193" s="370" t="e">
        <f>10/USK191</f>
        <v>#DIV/0!</v>
      </c>
      <c r="USP193" s="371">
        <v>15.38</v>
      </c>
      <c r="USQ193" s="371" t="e">
        <f>USN193*USO193*USP193</f>
        <v>#DIV/0!</v>
      </c>
      <c r="USR193" s="367" t="s">
        <v>206</v>
      </c>
      <c r="USS193" s="367"/>
      <c r="UST193" s="367"/>
      <c r="USU193" s="368" t="s">
        <v>168</v>
      </c>
      <c r="USV193" s="369">
        <v>0.5</v>
      </c>
      <c r="USW193" s="370" t="e">
        <f>10/USS191</f>
        <v>#DIV/0!</v>
      </c>
      <c r="USX193" s="371">
        <v>15.38</v>
      </c>
      <c r="USY193" s="371" t="e">
        <f>USV193*USW193*USX193</f>
        <v>#DIV/0!</v>
      </c>
      <c r="USZ193" s="367" t="s">
        <v>206</v>
      </c>
      <c r="UTA193" s="367"/>
      <c r="UTB193" s="367"/>
      <c r="UTC193" s="368" t="s">
        <v>168</v>
      </c>
      <c r="UTD193" s="369">
        <v>0.5</v>
      </c>
      <c r="UTE193" s="370" t="e">
        <f>10/UTA191</f>
        <v>#DIV/0!</v>
      </c>
      <c r="UTF193" s="371">
        <v>15.38</v>
      </c>
      <c r="UTG193" s="371" t="e">
        <f>UTD193*UTE193*UTF193</f>
        <v>#DIV/0!</v>
      </c>
      <c r="UTH193" s="367" t="s">
        <v>206</v>
      </c>
      <c r="UTI193" s="367"/>
      <c r="UTJ193" s="367"/>
      <c r="UTK193" s="368" t="s">
        <v>168</v>
      </c>
      <c r="UTL193" s="369">
        <v>0.5</v>
      </c>
      <c r="UTM193" s="370" t="e">
        <f>10/UTI191</f>
        <v>#DIV/0!</v>
      </c>
      <c r="UTN193" s="371">
        <v>15.38</v>
      </c>
      <c r="UTO193" s="371" t="e">
        <f>UTL193*UTM193*UTN193</f>
        <v>#DIV/0!</v>
      </c>
      <c r="UTP193" s="367" t="s">
        <v>206</v>
      </c>
      <c r="UTQ193" s="367"/>
      <c r="UTR193" s="367"/>
      <c r="UTS193" s="368" t="s">
        <v>168</v>
      </c>
      <c r="UTT193" s="369">
        <v>0.5</v>
      </c>
      <c r="UTU193" s="370" t="e">
        <f>10/UTQ191</f>
        <v>#DIV/0!</v>
      </c>
      <c r="UTV193" s="371">
        <v>15.38</v>
      </c>
      <c r="UTW193" s="371" t="e">
        <f>UTT193*UTU193*UTV193</f>
        <v>#DIV/0!</v>
      </c>
      <c r="UTX193" s="367" t="s">
        <v>206</v>
      </c>
      <c r="UTY193" s="367"/>
      <c r="UTZ193" s="367"/>
      <c r="UUA193" s="368" t="s">
        <v>168</v>
      </c>
      <c r="UUB193" s="369">
        <v>0.5</v>
      </c>
      <c r="UUC193" s="370" t="e">
        <f>10/UTY191</f>
        <v>#DIV/0!</v>
      </c>
      <c r="UUD193" s="371">
        <v>15.38</v>
      </c>
      <c r="UUE193" s="371" t="e">
        <f>UUB193*UUC193*UUD193</f>
        <v>#DIV/0!</v>
      </c>
      <c r="UUF193" s="367" t="s">
        <v>206</v>
      </c>
      <c r="UUG193" s="367"/>
      <c r="UUH193" s="367"/>
      <c r="UUI193" s="368" t="s">
        <v>168</v>
      </c>
      <c r="UUJ193" s="369">
        <v>0.5</v>
      </c>
      <c r="UUK193" s="370" t="e">
        <f>10/UUG191</f>
        <v>#DIV/0!</v>
      </c>
      <c r="UUL193" s="371">
        <v>15.38</v>
      </c>
      <c r="UUM193" s="371" t="e">
        <f>UUJ193*UUK193*UUL193</f>
        <v>#DIV/0!</v>
      </c>
      <c r="UUN193" s="367" t="s">
        <v>206</v>
      </c>
      <c r="UUO193" s="367"/>
      <c r="UUP193" s="367"/>
      <c r="UUQ193" s="368" t="s">
        <v>168</v>
      </c>
      <c r="UUR193" s="369">
        <v>0.5</v>
      </c>
      <c r="UUS193" s="370" t="e">
        <f>10/UUO191</f>
        <v>#DIV/0!</v>
      </c>
      <c r="UUT193" s="371">
        <v>15.38</v>
      </c>
      <c r="UUU193" s="371" t="e">
        <f>UUR193*UUS193*UUT193</f>
        <v>#DIV/0!</v>
      </c>
      <c r="UUV193" s="367" t="s">
        <v>206</v>
      </c>
      <c r="UUW193" s="367"/>
      <c r="UUX193" s="367"/>
      <c r="UUY193" s="368" t="s">
        <v>168</v>
      </c>
      <c r="UUZ193" s="369">
        <v>0.5</v>
      </c>
      <c r="UVA193" s="370" t="e">
        <f>10/UUW191</f>
        <v>#DIV/0!</v>
      </c>
      <c r="UVB193" s="371">
        <v>15.38</v>
      </c>
      <c r="UVC193" s="371" t="e">
        <f>UUZ193*UVA193*UVB193</f>
        <v>#DIV/0!</v>
      </c>
      <c r="UVD193" s="367" t="s">
        <v>206</v>
      </c>
      <c r="UVE193" s="367"/>
      <c r="UVF193" s="367"/>
      <c r="UVG193" s="368" t="s">
        <v>168</v>
      </c>
      <c r="UVH193" s="369">
        <v>0.5</v>
      </c>
      <c r="UVI193" s="370" t="e">
        <f>10/UVE191</f>
        <v>#DIV/0!</v>
      </c>
      <c r="UVJ193" s="371">
        <v>15.38</v>
      </c>
      <c r="UVK193" s="371" t="e">
        <f>UVH193*UVI193*UVJ193</f>
        <v>#DIV/0!</v>
      </c>
      <c r="UVL193" s="367" t="s">
        <v>206</v>
      </c>
      <c r="UVM193" s="367"/>
      <c r="UVN193" s="367"/>
      <c r="UVO193" s="368" t="s">
        <v>168</v>
      </c>
      <c r="UVP193" s="369">
        <v>0.5</v>
      </c>
      <c r="UVQ193" s="370" t="e">
        <f>10/UVM191</f>
        <v>#DIV/0!</v>
      </c>
      <c r="UVR193" s="371">
        <v>15.38</v>
      </c>
      <c r="UVS193" s="371" t="e">
        <f>UVP193*UVQ193*UVR193</f>
        <v>#DIV/0!</v>
      </c>
      <c r="UVT193" s="367" t="s">
        <v>206</v>
      </c>
      <c r="UVU193" s="367"/>
      <c r="UVV193" s="367"/>
      <c r="UVW193" s="368" t="s">
        <v>168</v>
      </c>
      <c r="UVX193" s="369">
        <v>0.5</v>
      </c>
      <c r="UVY193" s="370" t="e">
        <f>10/UVU191</f>
        <v>#DIV/0!</v>
      </c>
      <c r="UVZ193" s="371">
        <v>15.38</v>
      </c>
      <c r="UWA193" s="371" t="e">
        <f>UVX193*UVY193*UVZ193</f>
        <v>#DIV/0!</v>
      </c>
      <c r="UWB193" s="367" t="s">
        <v>206</v>
      </c>
      <c r="UWC193" s="367"/>
      <c r="UWD193" s="367"/>
      <c r="UWE193" s="368" t="s">
        <v>168</v>
      </c>
      <c r="UWF193" s="369">
        <v>0.5</v>
      </c>
      <c r="UWG193" s="370" t="e">
        <f>10/UWC191</f>
        <v>#DIV/0!</v>
      </c>
      <c r="UWH193" s="371">
        <v>15.38</v>
      </c>
      <c r="UWI193" s="371" t="e">
        <f>UWF193*UWG193*UWH193</f>
        <v>#DIV/0!</v>
      </c>
      <c r="UWJ193" s="367" t="s">
        <v>206</v>
      </c>
      <c r="UWK193" s="367"/>
      <c r="UWL193" s="367"/>
      <c r="UWM193" s="368" t="s">
        <v>168</v>
      </c>
      <c r="UWN193" s="369">
        <v>0.5</v>
      </c>
      <c r="UWO193" s="370" t="e">
        <f>10/UWK191</f>
        <v>#DIV/0!</v>
      </c>
      <c r="UWP193" s="371">
        <v>15.38</v>
      </c>
      <c r="UWQ193" s="371" t="e">
        <f>UWN193*UWO193*UWP193</f>
        <v>#DIV/0!</v>
      </c>
      <c r="UWR193" s="367" t="s">
        <v>206</v>
      </c>
      <c r="UWS193" s="367"/>
      <c r="UWT193" s="367"/>
      <c r="UWU193" s="368" t="s">
        <v>168</v>
      </c>
      <c r="UWV193" s="369">
        <v>0.5</v>
      </c>
      <c r="UWW193" s="370" t="e">
        <f>10/UWS191</f>
        <v>#DIV/0!</v>
      </c>
      <c r="UWX193" s="371">
        <v>15.38</v>
      </c>
      <c r="UWY193" s="371" t="e">
        <f>UWV193*UWW193*UWX193</f>
        <v>#DIV/0!</v>
      </c>
      <c r="UWZ193" s="367" t="s">
        <v>206</v>
      </c>
      <c r="UXA193" s="367"/>
      <c r="UXB193" s="367"/>
      <c r="UXC193" s="368" t="s">
        <v>168</v>
      </c>
      <c r="UXD193" s="369">
        <v>0.5</v>
      </c>
      <c r="UXE193" s="370" t="e">
        <f>10/UXA191</f>
        <v>#DIV/0!</v>
      </c>
      <c r="UXF193" s="371">
        <v>15.38</v>
      </c>
      <c r="UXG193" s="371" t="e">
        <f>UXD193*UXE193*UXF193</f>
        <v>#DIV/0!</v>
      </c>
      <c r="UXH193" s="367" t="s">
        <v>206</v>
      </c>
      <c r="UXI193" s="367"/>
      <c r="UXJ193" s="367"/>
      <c r="UXK193" s="368" t="s">
        <v>168</v>
      </c>
      <c r="UXL193" s="369">
        <v>0.5</v>
      </c>
      <c r="UXM193" s="370" t="e">
        <f>10/UXI191</f>
        <v>#DIV/0!</v>
      </c>
      <c r="UXN193" s="371">
        <v>15.38</v>
      </c>
      <c r="UXO193" s="371" t="e">
        <f>UXL193*UXM193*UXN193</f>
        <v>#DIV/0!</v>
      </c>
      <c r="UXP193" s="367" t="s">
        <v>206</v>
      </c>
      <c r="UXQ193" s="367"/>
      <c r="UXR193" s="367"/>
      <c r="UXS193" s="368" t="s">
        <v>168</v>
      </c>
      <c r="UXT193" s="369">
        <v>0.5</v>
      </c>
      <c r="UXU193" s="370" t="e">
        <f>10/UXQ191</f>
        <v>#DIV/0!</v>
      </c>
      <c r="UXV193" s="371">
        <v>15.38</v>
      </c>
      <c r="UXW193" s="371" t="e">
        <f>UXT193*UXU193*UXV193</f>
        <v>#DIV/0!</v>
      </c>
      <c r="UXX193" s="367" t="s">
        <v>206</v>
      </c>
      <c r="UXY193" s="367"/>
      <c r="UXZ193" s="367"/>
      <c r="UYA193" s="368" t="s">
        <v>168</v>
      </c>
      <c r="UYB193" s="369">
        <v>0.5</v>
      </c>
      <c r="UYC193" s="370" t="e">
        <f>10/UXY191</f>
        <v>#DIV/0!</v>
      </c>
      <c r="UYD193" s="371">
        <v>15.38</v>
      </c>
      <c r="UYE193" s="371" t="e">
        <f>UYB193*UYC193*UYD193</f>
        <v>#DIV/0!</v>
      </c>
      <c r="UYF193" s="367" t="s">
        <v>206</v>
      </c>
      <c r="UYG193" s="367"/>
      <c r="UYH193" s="367"/>
      <c r="UYI193" s="368" t="s">
        <v>168</v>
      </c>
      <c r="UYJ193" s="369">
        <v>0.5</v>
      </c>
      <c r="UYK193" s="370" t="e">
        <f>10/UYG191</f>
        <v>#DIV/0!</v>
      </c>
      <c r="UYL193" s="371">
        <v>15.38</v>
      </c>
      <c r="UYM193" s="371" t="e">
        <f>UYJ193*UYK193*UYL193</f>
        <v>#DIV/0!</v>
      </c>
      <c r="UYN193" s="367" t="s">
        <v>206</v>
      </c>
      <c r="UYO193" s="367"/>
      <c r="UYP193" s="367"/>
      <c r="UYQ193" s="368" t="s">
        <v>168</v>
      </c>
      <c r="UYR193" s="369">
        <v>0.5</v>
      </c>
      <c r="UYS193" s="370" t="e">
        <f>10/UYO191</f>
        <v>#DIV/0!</v>
      </c>
      <c r="UYT193" s="371">
        <v>15.38</v>
      </c>
      <c r="UYU193" s="371" t="e">
        <f>UYR193*UYS193*UYT193</f>
        <v>#DIV/0!</v>
      </c>
      <c r="UYV193" s="367" t="s">
        <v>206</v>
      </c>
      <c r="UYW193" s="367"/>
      <c r="UYX193" s="367"/>
      <c r="UYY193" s="368" t="s">
        <v>168</v>
      </c>
      <c r="UYZ193" s="369">
        <v>0.5</v>
      </c>
      <c r="UZA193" s="370" t="e">
        <f>10/UYW191</f>
        <v>#DIV/0!</v>
      </c>
      <c r="UZB193" s="371">
        <v>15.38</v>
      </c>
      <c r="UZC193" s="371" t="e">
        <f>UYZ193*UZA193*UZB193</f>
        <v>#DIV/0!</v>
      </c>
      <c r="UZD193" s="367" t="s">
        <v>206</v>
      </c>
      <c r="UZE193" s="367"/>
      <c r="UZF193" s="367"/>
      <c r="UZG193" s="368" t="s">
        <v>168</v>
      </c>
      <c r="UZH193" s="369">
        <v>0.5</v>
      </c>
      <c r="UZI193" s="370" t="e">
        <f>10/UZE191</f>
        <v>#DIV/0!</v>
      </c>
      <c r="UZJ193" s="371">
        <v>15.38</v>
      </c>
      <c r="UZK193" s="371" t="e">
        <f>UZH193*UZI193*UZJ193</f>
        <v>#DIV/0!</v>
      </c>
      <c r="UZL193" s="367" t="s">
        <v>206</v>
      </c>
      <c r="UZM193" s="367"/>
      <c r="UZN193" s="367"/>
      <c r="UZO193" s="368" t="s">
        <v>168</v>
      </c>
      <c r="UZP193" s="369">
        <v>0.5</v>
      </c>
      <c r="UZQ193" s="370" t="e">
        <f>10/UZM191</f>
        <v>#DIV/0!</v>
      </c>
      <c r="UZR193" s="371">
        <v>15.38</v>
      </c>
      <c r="UZS193" s="371" t="e">
        <f>UZP193*UZQ193*UZR193</f>
        <v>#DIV/0!</v>
      </c>
      <c r="UZT193" s="367" t="s">
        <v>206</v>
      </c>
      <c r="UZU193" s="367"/>
      <c r="UZV193" s="367"/>
      <c r="UZW193" s="368" t="s">
        <v>168</v>
      </c>
      <c r="UZX193" s="369">
        <v>0.5</v>
      </c>
      <c r="UZY193" s="370" t="e">
        <f>10/UZU191</f>
        <v>#DIV/0!</v>
      </c>
      <c r="UZZ193" s="371">
        <v>15.38</v>
      </c>
      <c r="VAA193" s="371" t="e">
        <f>UZX193*UZY193*UZZ193</f>
        <v>#DIV/0!</v>
      </c>
      <c r="VAB193" s="367" t="s">
        <v>206</v>
      </c>
      <c r="VAC193" s="367"/>
      <c r="VAD193" s="367"/>
      <c r="VAE193" s="368" t="s">
        <v>168</v>
      </c>
      <c r="VAF193" s="369">
        <v>0.5</v>
      </c>
      <c r="VAG193" s="370" t="e">
        <f>10/VAC191</f>
        <v>#DIV/0!</v>
      </c>
      <c r="VAH193" s="371">
        <v>15.38</v>
      </c>
      <c r="VAI193" s="371" t="e">
        <f>VAF193*VAG193*VAH193</f>
        <v>#DIV/0!</v>
      </c>
      <c r="VAJ193" s="367" t="s">
        <v>206</v>
      </c>
      <c r="VAK193" s="367"/>
      <c r="VAL193" s="367"/>
      <c r="VAM193" s="368" t="s">
        <v>168</v>
      </c>
      <c r="VAN193" s="369">
        <v>0.5</v>
      </c>
      <c r="VAO193" s="370" t="e">
        <f>10/VAK191</f>
        <v>#DIV/0!</v>
      </c>
      <c r="VAP193" s="371">
        <v>15.38</v>
      </c>
      <c r="VAQ193" s="371" t="e">
        <f>VAN193*VAO193*VAP193</f>
        <v>#DIV/0!</v>
      </c>
      <c r="VAR193" s="367" t="s">
        <v>206</v>
      </c>
      <c r="VAS193" s="367"/>
      <c r="VAT193" s="367"/>
      <c r="VAU193" s="368" t="s">
        <v>168</v>
      </c>
      <c r="VAV193" s="369">
        <v>0.5</v>
      </c>
      <c r="VAW193" s="370" t="e">
        <f>10/VAS191</f>
        <v>#DIV/0!</v>
      </c>
      <c r="VAX193" s="371">
        <v>15.38</v>
      </c>
      <c r="VAY193" s="371" t="e">
        <f>VAV193*VAW193*VAX193</f>
        <v>#DIV/0!</v>
      </c>
      <c r="VAZ193" s="367" t="s">
        <v>206</v>
      </c>
      <c r="VBA193" s="367"/>
      <c r="VBB193" s="367"/>
      <c r="VBC193" s="368" t="s">
        <v>168</v>
      </c>
      <c r="VBD193" s="369">
        <v>0.5</v>
      </c>
      <c r="VBE193" s="370" t="e">
        <f>10/VBA191</f>
        <v>#DIV/0!</v>
      </c>
      <c r="VBF193" s="371">
        <v>15.38</v>
      </c>
      <c r="VBG193" s="371" t="e">
        <f>VBD193*VBE193*VBF193</f>
        <v>#DIV/0!</v>
      </c>
      <c r="VBH193" s="367" t="s">
        <v>206</v>
      </c>
      <c r="VBI193" s="367"/>
      <c r="VBJ193" s="367"/>
      <c r="VBK193" s="368" t="s">
        <v>168</v>
      </c>
      <c r="VBL193" s="369">
        <v>0.5</v>
      </c>
      <c r="VBM193" s="370" t="e">
        <f>10/VBI191</f>
        <v>#DIV/0!</v>
      </c>
      <c r="VBN193" s="371">
        <v>15.38</v>
      </c>
      <c r="VBO193" s="371" t="e">
        <f>VBL193*VBM193*VBN193</f>
        <v>#DIV/0!</v>
      </c>
      <c r="VBP193" s="367" t="s">
        <v>206</v>
      </c>
      <c r="VBQ193" s="367"/>
      <c r="VBR193" s="367"/>
      <c r="VBS193" s="368" t="s">
        <v>168</v>
      </c>
      <c r="VBT193" s="369">
        <v>0.5</v>
      </c>
      <c r="VBU193" s="370" t="e">
        <f>10/VBQ191</f>
        <v>#DIV/0!</v>
      </c>
      <c r="VBV193" s="371">
        <v>15.38</v>
      </c>
      <c r="VBW193" s="371" t="e">
        <f>VBT193*VBU193*VBV193</f>
        <v>#DIV/0!</v>
      </c>
      <c r="VBX193" s="367" t="s">
        <v>206</v>
      </c>
      <c r="VBY193" s="367"/>
      <c r="VBZ193" s="367"/>
      <c r="VCA193" s="368" t="s">
        <v>168</v>
      </c>
      <c r="VCB193" s="369">
        <v>0.5</v>
      </c>
      <c r="VCC193" s="370" t="e">
        <f>10/VBY191</f>
        <v>#DIV/0!</v>
      </c>
      <c r="VCD193" s="371">
        <v>15.38</v>
      </c>
      <c r="VCE193" s="371" t="e">
        <f>VCB193*VCC193*VCD193</f>
        <v>#DIV/0!</v>
      </c>
      <c r="VCF193" s="367" t="s">
        <v>206</v>
      </c>
      <c r="VCG193" s="367"/>
      <c r="VCH193" s="367"/>
      <c r="VCI193" s="368" t="s">
        <v>168</v>
      </c>
      <c r="VCJ193" s="369">
        <v>0.5</v>
      </c>
      <c r="VCK193" s="370" t="e">
        <f>10/VCG191</f>
        <v>#DIV/0!</v>
      </c>
      <c r="VCL193" s="371">
        <v>15.38</v>
      </c>
      <c r="VCM193" s="371" t="e">
        <f>VCJ193*VCK193*VCL193</f>
        <v>#DIV/0!</v>
      </c>
      <c r="VCN193" s="367" t="s">
        <v>206</v>
      </c>
      <c r="VCO193" s="367"/>
      <c r="VCP193" s="367"/>
      <c r="VCQ193" s="368" t="s">
        <v>168</v>
      </c>
      <c r="VCR193" s="369">
        <v>0.5</v>
      </c>
      <c r="VCS193" s="370" t="e">
        <f>10/VCO191</f>
        <v>#DIV/0!</v>
      </c>
      <c r="VCT193" s="371">
        <v>15.38</v>
      </c>
      <c r="VCU193" s="371" t="e">
        <f>VCR193*VCS193*VCT193</f>
        <v>#DIV/0!</v>
      </c>
      <c r="VCV193" s="367" t="s">
        <v>206</v>
      </c>
      <c r="VCW193" s="367"/>
      <c r="VCX193" s="367"/>
      <c r="VCY193" s="368" t="s">
        <v>168</v>
      </c>
      <c r="VCZ193" s="369">
        <v>0.5</v>
      </c>
      <c r="VDA193" s="370" t="e">
        <f>10/VCW191</f>
        <v>#DIV/0!</v>
      </c>
      <c r="VDB193" s="371">
        <v>15.38</v>
      </c>
      <c r="VDC193" s="371" t="e">
        <f>VCZ193*VDA193*VDB193</f>
        <v>#DIV/0!</v>
      </c>
      <c r="VDD193" s="367" t="s">
        <v>206</v>
      </c>
      <c r="VDE193" s="367"/>
      <c r="VDF193" s="367"/>
      <c r="VDG193" s="368" t="s">
        <v>168</v>
      </c>
      <c r="VDH193" s="369">
        <v>0.5</v>
      </c>
      <c r="VDI193" s="370" t="e">
        <f>10/VDE191</f>
        <v>#DIV/0!</v>
      </c>
      <c r="VDJ193" s="371">
        <v>15.38</v>
      </c>
      <c r="VDK193" s="371" t="e">
        <f>VDH193*VDI193*VDJ193</f>
        <v>#DIV/0!</v>
      </c>
      <c r="VDL193" s="367" t="s">
        <v>206</v>
      </c>
      <c r="VDM193" s="367"/>
      <c r="VDN193" s="367"/>
      <c r="VDO193" s="368" t="s">
        <v>168</v>
      </c>
      <c r="VDP193" s="369">
        <v>0.5</v>
      </c>
      <c r="VDQ193" s="370" t="e">
        <f>10/VDM191</f>
        <v>#DIV/0!</v>
      </c>
      <c r="VDR193" s="371">
        <v>15.38</v>
      </c>
      <c r="VDS193" s="371" t="e">
        <f>VDP193*VDQ193*VDR193</f>
        <v>#DIV/0!</v>
      </c>
      <c r="VDT193" s="367" t="s">
        <v>206</v>
      </c>
      <c r="VDU193" s="367"/>
      <c r="VDV193" s="367"/>
      <c r="VDW193" s="368" t="s">
        <v>168</v>
      </c>
      <c r="VDX193" s="369">
        <v>0.5</v>
      </c>
      <c r="VDY193" s="370" t="e">
        <f>10/VDU191</f>
        <v>#DIV/0!</v>
      </c>
      <c r="VDZ193" s="371">
        <v>15.38</v>
      </c>
      <c r="VEA193" s="371" t="e">
        <f>VDX193*VDY193*VDZ193</f>
        <v>#DIV/0!</v>
      </c>
      <c r="VEB193" s="367" t="s">
        <v>206</v>
      </c>
      <c r="VEC193" s="367"/>
      <c r="VED193" s="367"/>
      <c r="VEE193" s="368" t="s">
        <v>168</v>
      </c>
      <c r="VEF193" s="369">
        <v>0.5</v>
      </c>
      <c r="VEG193" s="370" t="e">
        <f>10/VEC191</f>
        <v>#DIV/0!</v>
      </c>
      <c r="VEH193" s="371">
        <v>15.38</v>
      </c>
      <c r="VEI193" s="371" t="e">
        <f>VEF193*VEG193*VEH193</f>
        <v>#DIV/0!</v>
      </c>
      <c r="VEJ193" s="367" t="s">
        <v>206</v>
      </c>
      <c r="VEK193" s="367"/>
      <c r="VEL193" s="367"/>
      <c r="VEM193" s="368" t="s">
        <v>168</v>
      </c>
      <c r="VEN193" s="369">
        <v>0.5</v>
      </c>
      <c r="VEO193" s="370" t="e">
        <f>10/VEK191</f>
        <v>#DIV/0!</v>
      </c>
      <c r="VEP193" s="371">
        <v>15.38</v>
      </c>
      <c r="VEQ193" s="371" t="e">
        <f>VEN193*VEO193*VEP193</f>
        <v>#DIV/0!</v>
      </c>
      <c r="VER193" s="367" t="s">
        <v>206</v>
      </c>
      <c r="VES193" s="367"/>
      <c r="VET193" s="367"/>
      <c r="VEU193" s="368" t="s">
        <v>168</v>
      </c>
      <c r="VEV193" s="369">
        <v>0.5</v>
      </c>
      <c r="VEW193" s="370" t="e">
        <f>10/VES191</f>
        <v>#DIV/0!</v>
      </c>
      <c r="VEX193" s="371">
        <v>15.38</v>
      </c>
      <c r="VEY193" s="371" t="e">
        <f>VEV193*VEW193*VEX193</f>
        <v>#DIV/0!</v>
      </c>
      <c r="VEZ193" s="367" t="s">
        <v>206</v>
      </c>
      <c r="VFA193" s="367"/>
      <c r="VFB193" s="367"/>
      <c r="VFC193" s="368" t="s">
        <v>168</v>
      </c>
      <c r="VFD193" s="369">
        <v>0.5</v>
      </c>
      <c r="VFE193" s="370" t="e">
        <f>10/VFA191</f>
        <v>#DIV/0!</v>
      </c>
      <c r="VFF193" s="371">
        <v>15.38</v>
      </c>
      <c r="VFG193" s="371" t="e">
        <f>VFD193*VFE193*VFF193</f>
        <v>#DIV/0!</v>
      </c>
      <c r="VFH193" s="367" t="s">
        <v>206</v>
      </c>
      <c r="VFI193" s="367"/>
      <c r="VFJ193" s="367"/>
      <c r="VFK193" s="368" t="s">
        <v>168</v>
      </c>
      <c r="VFL193" s="369">
        <v>0.5</v>
      </c>
      <c r="VFM193" s="370" t="e">
        <f>10/VFI191</f>
        <v>#DIV/0!</v>
      </c>
      <c r="VFN193" s="371">
        <v>15.38</v>
      </c>
      <c r="VFO193" s="371" t="e">
        <f>VFL193*VFM193*VFN193</f>
        <v>#DIV/0!</v>
      </c>
      <c r="VFP193" s="367" t="s">
        <v>206</v>
      </c>
      <c r="VFQ193" s="367"/>
      <c r="VFR193" s="367"/>
      <c r="VFS193" s="368" t="s">
        <v>168</v>
      </c>
      <c r="VFT193" s="369">
        <v>0.5</v>
      </c>
      <c r="VFU193" s="370" t="e">
        <f>10/VFQ191</f>
        <v>#DIV/0!</v>
      </c>
      <c r="VFV193" s="371">
        <v>15.38</v>
      </c>
      <c r="VFW193" s="371" t="e">
        <f>VFT193*VFU193*VFV193</f>
        <v>#DIV/0!</v>
      </c>
      <c r="VFX193" s="367" t="s">
        <v>206</v>
      </c>
      <c r="VFY193" s="367"/>
      <c r="VFZ193" s="367"/>
      <c r="VGA193" s="368" t="s">
        <v>168</v>
      </c>
      <c r="VGB193" s="369">
        <v>0.5</v>
      </c>
      <c r="VGC193" s="370" t="e">
        <f>10/VFY191</f>
        <v>#DIV/0!</v>
      </c>
      <c r="VGD193" s="371">
        <v>15.38</v>
      </c>
      <c r="VGE193" s="371" t="e">
        <f>VGB193*VGC193*VGD193</f>
        <v>#DIV/0!</v>
      </c>
      <c r="VGF193" s="367" t="s">
        <v>206</v>
      </c>
      <c r="VGG193" s="367"/>
      <c r="VGH193" s="367"/>
      <c r="VGI193" s="368" t="s">
        <v>168</v>
      </c>
      <c r="VGJ193" s="369">
        <v>0.5</v>
      </c>
      <c r="VGK193" s="370" t="e">
        <f>10/VGG191</f>
        <v>#DIV/0!</v>
      </c>
      <c r="VGL193" s="371">
        <v>15.38</v>
      </c>
      <c r="VGM193" s="371" t="e">
        <f>VGJ193*VGK193*VGL193</f>
        <v>#DIV/0!</v>
      </c>
      <c r="VGN193" s="367" t="s">
        <v>206</v>
      </c>
      <c r="VGO193" s="367"/>
      <c r="VGP193" s="367"/>
      <c r="VGQ193" s="368" t="s">
        <v>168</v>
      </c>
      <c r="VGR193" s="369">
        <v>0.5</v>
      </c>
      <c r="VGS193" s="370" t="e">
        <f>10/VGO191</f>
        <v>#DIV/0!</v>
      </c>
      <c r="VGT193" s="371">
        <v>15.38</v>
      </c>
      <c r="VGU193" s="371" t="e">
        <f>VGR193*VGS193*VGT193</f>
        <v>#DIV/0!</v>
      </c>
      <c r="VGV193" s="367" t="s">
        <v>206</v>
      </c>
      <c r="VGW193" s="367"/>
      <c r="VGX193" s="367"/>
      <c r="VGY193" s="368" t="s">
        <v>168</v>
      </c>
      <c r="VGZ193" s="369">
        <v>0.5</v>
      </c>
      <c r="VHA193" s="370" t="e">
        <f>10/VGW191</f>
        <v>#DIV/0!</v>
      </c>
      <c r="VHB193" s="371">
        <v>15.38</v>
      </c>
      <c r="VHC193" s="371" t="e">
        <f>VGZ193*VHA193*VHB193</f>
        <v>#DIV/0!</v>
      </c>
      <c r="VHD193" s="367" t="s">
        <v>206</v>
      </c>
      <c r="VHE193" s="367"/>
      <c r="VHF193" s="367"/>
      <c r="VHG193" s="368" t="s">
        <v>168</v>
      </c>
      <c r="VHH193" s="369">
        <v>0.5</v>
      </c>
      <c r="VHI193" s="370" t="e">
        <f>10/VHE191</f>
        <v>#DIV/0!</v>
      </c>
      <c r="VHJ193" s="371">
        <v>15.38</v>
      </c>
      <c r="VHK193" s="371" t="e">
        <f>VHH193*VHI193*VHJ193</f>
        <v>#DIV/0!</v>
      </c>
      <c r="VHL193" s="367" t="s">
        <v>206</v>
      </c>
      <c r="VHM193" s="367"/>
      <c r="VHN193" s="367"/>
      <c r="VHO193" s="368" t="s">
        <v>168</v>
      </c>
      <c r="VHP193" s="369">
        <v>0.5</v>
      </c>
      <c r="VHQ193" s="370" t="e">
        <f>10/VHM191</f>
        <v>#DIV/0!</v>
      </c>
      <c r="VHR193" s="371">
        <v>15.38</v>
      </c>
      <c r="VHS193" s="371" t="e">
        <f>VHP193*VHQ193*VHR193</f>
        <v>#DIV/0!</v>
      </c>
      <c r="VHT193" s="367" t="s">
        <v>206</v>
      </c>
      <c r="VHU193" s="367"/>
      <c r="VHV193" s="367"/>
      <c r="VHW193" s="368" t="s">
        <v>168</v>
      </c>
      <c r="VHX193" s="369">
        <v>0.5</v>
      </c>
      <c r="VHY193" s="370" t="e">
        <f>10/VHU191</f>
        <v>#DIV/0!</v>
      </c>
      <c r="VHZ193" s="371">
        <v>15.38</v>
      </c>
      <c r="VIA193" s="371" t="e">
        <f>VHX193*VHY193*VHZ193</f>
        <v>#DIV/0!</v>
      </c>
      <c r="VIB193" s="367" t="s">
        <v>206</v>
      </c>
      <c r="VIC193" s="367"/>
      <c r="VID193" s="367"/>
      <c r="VIE193" s="368" t="s">
        <v>168</v>
      </c>
      <c r="VIF193" s="369">
        <v>0.5</v>
      </c>
      <c r="VIG193" s="370" t="e">
        <f>10/VIC191</f>
        <v>#DIV/0!</v>
      </c>
      <c r="VIH193" s="371">
        <v>15.38</v>
      </c>
      <c r="VII193" s="371" t="e">
        <f>VIF193*VIG193*VIH193</f>
        <v>#DIV/0!</v>
      </c>
      <c r="VIJ193" s="367" t="s">
        <v>206</v>
      </c>
      <c r="VIK193" s="367"/>
      <c r="VIL193" s="367"/>
      <c r="VIM193" s="368" t="s">
        <v>168</v>
      </c>
      <c r="VIN193" s="369">
        <v>0.5</v>
      </c>
      <c r="VIO193" s="370" t="e">
        <f>10/VIK191</f>
        <v>#DIV/0!</v>
      </c>
      <c r="VIP193" s="371">
        <v>15.38</v>
      </c>
      <c r="VIQ193" s="371" t="e">
        <f>VIN193*VIO193*VIP193</f>
        <v>#DIV/0!</v>
      </c>
      <c r="VIR193" s="367" t="s">
        <v>206</v>
      </c>
      <c r="VIS193" s="367"/>
      <c r="VIT193" s="367"/>
      <c r="VIU193" s="368" t="s">
        <v>168</v>
      </c>
      <c r="VIV193" s="369">
        <v>0.5</v>
      </c>
      <c r="VIW193" s="370" t="e">
        <f>10/VIS191</f>
        <v>#DIV/0!</v>
      </c>
      <c r="VIX193" s="371">
        <v>15.38</v>
      </c>
      <c r="VIY193" s="371" t="e">
        <f>VIV193*VIW193*VIX193</f>
        <v>#DIV/0!</v>
      </c>
      <c r="VIZ193" s="367" t="s">
        <v>206</v>
      </c>
      <c r="VJA193" s="367"/>
      <c r="VJB193" s="367"/>
      <c r="VJC193" s="368" t="s">
        <v>168</v>
      </c>
      <c r="VJD193" s="369">
        <v>0.5</v>
      </c>
      <c r="VJE193" s="370" t="e">
        <f>10/VJA191</f>
        <v>#DIV/0!</v>
      </c>
      <c r="VJF193" s="371">
        <v>15.38</v>
      </c>
      <c r="VJG193" s="371" t="e">
        <f>VJD193*VJE193*VJF193</f>
        <v>#DIV/0!</v>
      </c>
      <c r="VJH193" s="367" t="s">
        <v>206</v>
      </c>
      <c r="VJI193" s="367"/>
      <c r="VJJ193" s="367"/>
      <c r="VJK193" s="368" t="s">
        <v>168</v>
      </c>
      <c r="VJL193" s="369">
        <v>0.5</v>
      </c>
      <c r="VJM193" s="370" t="e">
        <f>10/VJI191</f>
        <v>#DIV/0!</v>
      </c>
      <c r="VJN193" s="371">
        <v>15.38</v>
      </c>
      <c r="VJO193" s="371" t="e">
        <f>VJL193*VJM193*VJN193</f>
        <v>#DIV/0!</v>
      </c>
      <c r="VJP193" s="367" t="s">
        <v>206</v>
      </c>
      <c r="VJQ193" s="367"/>
      <c r="VJR193" s="367"/>
      <c r="VJS193" s="368" t="s">
        <v>168</v>
      </c>
      <c r="VJT193" s="369">
        <v>0.5</v>
      </c>
      <c r="VJU193" s="370" t="e">
        <f>10/VJQ191</f>
        <v>#DIV/0!</v>
      </c>
      <c r="VJV193" s="371">
        <v>15.38</v>
      </c>
      <c r="VJW193" s="371" t="e">
        <f>VJT193*VJU193*VJV193</f>
        <v>#DIV/0!</v>
      </c>
      <c r="VJX193" s="367" t="s">
        <v>206</v>
      </c>
      <c r="VJY193" s="367"/>
      <c r="VJZ193" s="367"/>
      <c r="VKA193" s="368" t="s">
        <v>168</v>
      </c>
      <c r="VKB193" s="369">
        <v>0.5</v>
      </c>
      <c r="VKC193" s="370" t="e">
        <f>10/VJY191</f>
        <v>#DIV/0!</v>
      </c>
      <c r="VKD193" s="371">
        <v>15.38</v>
      </c>
      <c r="VKE193" s="371" t="e">
        <f>VKB193*VKC193*VKD193</f>
        <v>#DIV/0!</v>
      </c>
      <c r="VKF193" s="367" t="s">
        <v>206</v>
      </c>
      <c r="VKG193" s="367"/>
      <c r="VKH193" s="367"/>
      <c r="VKI193" s="368" t="s">
        <v>168</v>
      </c>
      <c r="VKJ193" s="369">
        <v>0.5</v>
      </c>
      <c r="VKK193" s="370" t="e">
        <f>10/VKG191</f>
        <v>#DIV/0!</v>
      </c>
      <c r="VKL193" s="371">
        <v>15.38</v>
      </c>
      <c r="VKM193" s="371" t="e">
        <f>VKJ193*VKK193*VKL193</f>
        <v>#DIV/0!</v>
      </c>
      <c r="VKN193" s="367" t="s">
        <v>206</v>
      </c>
      <c r="VKO193" s="367"/>
      <c r="VKP193" s="367"/>
      <c r="VKQ193" s="368" t="s">
        <v>168</v>
      </c>
      <c r="VKR193" s="369">
        <v>0.5</v>
      </c>
      <c r="VKS193" s="370" t="e">
        <f>10/VKO191</f>
        <v>#DIV/0!</v>
      </c>
      <c r="VKT193" s="371">
        <v>15.38</v>
      </c>
      <c r="VKU193" s="371" t="e">
        <f>VKR193*VKS193*VKT193</f>
        <v>#DIV/0!</v>
      </c>
      <c r="VKV193" s="367" t="s">
        <v>206</v>
      </c>
      <c r="VKW193" s="367"/>
      <c r="VKX193" s="367"/>
      <c r="VKY193" s="368" t="s">
        <v>168</v>
      </c>
      <c r="VKZ193" s="369">
        <v>0.5</v>
      </c>
      <c r="VLA193" s="370" t="e">
        <f>10/VKW191</f>
        <v>#DIV/0!</v>
      </c>
      <c r="VLB193" s="371">
        <v>15.38</v>
      </c>
      <c r="VLC193" s="371" t="e">
        <f>VKZ193*VLA193*VLB193</f>
        <v>#DIV/0!</v>
      </c>
      <c r="VLD193" s="367" t="s">
        <v>206</v>
      </c>
      <c r="VLE193" s="367"/>
      <c r="VLF193" s="367"/>
      <c r="VLG193" s="368" t="s">
        <v>168</v>
      </c>
      <c r="VLH193" s="369">
        <v>0.5</v>
      </c>
      <c r="VLI193" s="370" t="e">
        <f>10/VLE191</f>
        <v>#DIV/0!</v>
      </c>
      <c r="VLJ193" s="371">
        <v>15.38</v>
      </c>
      <c r="VLK193" s="371" t="e">
        <f>VLH193*VLI193*VLJ193</f>
        <v>#DIV/0!</v>
      </c>
      <c r="VLL193" s="367" t="s">
        <v>206</v>
      </c>
      <c r="VLM193" s="367"/>
      <c r="VLN193" s="367"/>
      <c r="VLO193" s="368" t="s">
        <v>168</v>
      </c>
      <c r="VLP193" s="369">
        <v>0.5</v>
      </c>
      <c r="VLQ193" s="370" t="e">
        <f>10/VLM191</f>
        <v>#DIV/0!</v>
      </c>
      <c r="VLR193" s="371">
        <v>15.38</v>
      </c>
      <c r="VLS193" s="371" t="e">
        <f>VLP193*VLQ193*VLR193</f>
        <v>#DIV/0!</v>
      </c>
      <c r="VLT193" s="367" t="s">
        <v>206</v>
      </c>
      <c r="VLU193" s="367"/>
      <c r="VLV193" s="367"/>
      <c r="VLW193" s="368" t="s">
        <v>168</v>
      </c>
      <c r="VLX193" s="369">
        <v>0.5</v>
      </c>
      <c r="VLY193" s="370" t="e">
        <f>10/VLU191</f>
        <v>#DIV/0!</v>
      </c>
      <c r="VLZ193" s="371">
        <v>15.38</v>
      </c>
      <c r="VMA193" s="371" t="e">
        <f>VLX193*VLY193*VLZ193</f>
        <v>#DIV/0!</v>
      </c>
      <c r="VMB193" s="367" t="s">
        <v>206</v>
      </c>
      <c r="VMC193" s="367"/>
      <c r="VMD193" s="367"/>
      <c r="VME193" s="368" t="s">
        <v>168</v>
      </c>
      <c r="VMF193" s="369">
        <v>0.5</v>
      </c>
      <c r="VMG193" s="370" t="e">
        <f>10/VMC191</f>
        <v>#DIV/0!</v>
      </c>
      <c r="VMH193" s="371">
        <v>15.38</v>
      </c>
      <c r="VMI193" s="371" t="e">
        <f>VMF193*VMG193*VMH193</f>
        <v>#DIV/0!</v>
      </c>
      <c r="VMJ193" s="367" t="s">
        <v>206</v>
      </c>
      <c r="VMK193" s="367"/>
      <c r="VML193" s="367"/>
      <c r="VMM193" s="368" t="s">
        <v>168</v>
      </c>
      <c r="VMN193" s="369">
        <v>0.5</v>
      </c>
      <c r="VMO193" s="370" t="e">
        <f>10/VMK191</f>
        <v>#DIV/0!</v>
      </c>
      <c r="VMP193" s="371">
        <v>15.38</v>
      </c>
      <c r="VMQ193" s="371" t="e">
        <f>VMN193*VMO193*VMP193</f>
        <v>#DIV/0!</v>
      </c>
      <c r="VMR193" s="367" t="s">
        <v>206</v>
      </c>
      <c r="VMS193" s="367"/>
      <c r="VMT193" s="367"/>
      <c r="VMU193" s="368" t="s">
        <v>168</v>
      </c>
      <c r="VMV193" s="369">
        <v>0.5</v>
      </c>
      <c r="VMW193" s="370" t="e">
        <f>10/VMS191</f>
        <v>#DIV/0!</v>
      </c>
      <c r="VMX193" s="371">
        <v>15.38</v>
      </c>
      <c r="VMY193" s="371" t="e">
        <f>VMV193*VMW193*VMX193</f>
        <v>#DIV/0!</v>
      </c>
      <c r="VMZ193" s="367" t="s">
        <v>206</v>
      </c>
      <c r="VNA193" s="367"/>
      <c r="VNB193" s="367"/>
      <c r="VNC193" s="368" t="s">
        <v>168</v>
      </c>
      <c r="VND193" s="369">
        <v>0.5</v>
      </c>
      <c r="VNE193" s="370" t="e">
        <f>10/VNA191</f>
        <v>#DIV/0!</v>
      </c>
      <c r="VNF193" s="371">
        <v>15.38</v>
      </c>
      <c r="VNG193" s="371" t="e">
        <f>VND193*VNE193*VNF193</f>
        <v>#DIV/0!</v>
      </c>
      <c r="VNH193" s="367" t="s">
        <v>206</v>
      </c>
      <c r="VNI193" s="367"/>
      <c r="VNJ193" s="367"/>
      <c r="VNK193" s="368" t="s">
        <v>168</v>
      </c>
      <c r="VNL193" s="369">
        <v>0.5</v>
      </c>
      <c r="VNM193" s="370" t="e">
        <f>10/VNI191</f>
        <v>#DIV/0!</v>
      </c>
      <c r="VNN193" s="371">
        <v>15.38</v>
      </c>
      <c r="VNO193" s="371" t="e">
        <f>VNL193*VNM193*VNN193</f>
        <v>#DIV/0!</v>
      </c>
      <c r="VNP193" s="367" t="s">
        <v>206</v>
      </c>
      <c r="VNQ193" s="367"/>
      <c r="VNR193" s="367"/>
      <c r="VNS193" s="368" t="s">
        <v>168</v>
      </c>
      <c r="VNT193" s="369">
        <v>0.5</v>
      </c>
      <c r="VNU193" s="370" t="e">
        <f>10/VNQ191</f>
        <v>#DIV/0!</v>
      </c>
      <c r="VNV193" s="371">
        <v>15.38</v>
      </c>
      <c r="VNW193" s="371" t="e">
        <f>VNT193*VNU193*VNV193</f>
        <v>#DIV/0!</v>
      </c>
      <c r="VNX193" s="367" t="s">
        <v>206</v>
      </c>
      <c r="VNY193" s="367"/>
      <c r="VNZ193" s="367"/>
      <c r="VOA193" s="368" t="s">
        <v>168</v>
      </c>
      <c r="VOB193" s="369">
        <v>0.5</v>
      </c>
      <c r="VOC193" s="370" t="e">
        <f>10/VNY191</f>
        <v>#DIV/0!</v>
      </c>
      <c r="VOD193" s="371">
        <v>15.38</v>
      </c>
      <c r="VOE193" s="371" t="e">
        <f>VOB193*VOC193*VOD193</f>
        <v>#DIV/0!</v>
      </c>
      <c r="VOF193" s="367" t="s">
        <v>206</v>
      </c>
      <c r="VOG193" s="367"/>
      <c r="VOH193" s="367"/>
      <c r="VOI193" s="368" t="s">
        <v>168</v>
      </c>
      <c r="VOJ193" s="369">
        <v>0.5</v>
      </c>
      <c r="VOK193" s="370" t="e">
        <f>10/VOG191</f>
        <v>#DIV/0!</v>
      </c>
      <c r="VOL193" s="371">
        <v>15.38</v>
      </c>
      <c r="VOM193" s="371" t="e">
        <f>VOJ193*VOK193*VOL193</f>
        <v>#DIV/0!</v>
      </c>
      <c r="VON193" s="367" t="s">
        <v>206</v>
      </c>
      <c r="VOO193" s="367"/>
      <c r="VOP193" s="367"/>
      <c r="VOQ193" s="368" t="s">
        <v>168</v>
      </c>
      <c r="VOR193" s="369">
        <v>0.5</v>
      </c>
      <c r="VOS193" s="370" t="e">
        <f>10/VOO191</f>
        <v>#DIV/0!</v>
      </c>
      <c r="VOT193" s="371">
        <v>15.38</v>
      </c>
      <c r="VOU193" s="371" t="e">
        <f>VOR193*VOS193*VOT193</f>
        <v>#DIV/0!</v>
      </c>
      <c r="VOV193" s="367" t="s">
        <v>206</v>
      </c>
      <c r="VOW193" s="367"/>
      <c r="VOX193" s="367"/>
      <c r="VOY193" s="368" t="s">
        <v>168</v>
      </c>
      <c r="VOZ193" s="369">
        <v>0.5</v>
      </c>
      <c r="VPA193" s="370" t="e">
        <f>10/VOW191</f>
        <v>#DIV/0!</v>
      </c>
      <c r="VPB193" s="371">
        <v>15.38</v>
      </c>
      <c r="VPC193" s="371" t="e">
        <f>VOZ193*VPA193*VPB193</f>
        <v>#DIV/0!</v>
      </c>
      <c r="VPD193" s="367" t="s">
        <v>206</v>
      </c>
      <c r="VPE193" s="367"/>
      <c r="VPF193" s="367"/>
      <c r="VPG193" s="368" t="s">
        <v>168</v>
      </c>
      <c r="VPH193" s="369">
        <v>0.5</v>
      </c>
      <c r="VPI193" s="370" t="e">
        <f>10/VPE191</f>
        <v>#DIV/0!</v>
      </c>
      <c r="VPJ193" s="371">
        <v>15.38</v>
      </c>
      <c r="VPK193" s="371" t="e">
        <f>VPH193*VPI193*VPJ193</f>
        <v>#DIV/0!</v>
      </c>
      <c r="VPL193" s="367" t="s">
        <v>206</v>
      </c>
      <c r="VPM193" s="367"/>
      <c r="VPN193" s="367"/>
      <c r="VPO193" s="368" t="s">
        <v>168</v>
      </c>
      <c r="VPP193" s="369">
        <v>0.5</v>
      </c>
      <c r="VPQ193" s="370" t="e">
        <f>10/VPM191</f>
        <v>#DIV/0!</v>
      </c>
      <c r="VPR193" s="371">
        <v>15.38</v>
      </c>
      <c r="VPS193" s="371" t="e">
        <f>VPP193*VPQ193*VPR193</f>
        <v>#DIV/0!</v>
      </c>
      <c r="VPT193" s="367" t="s">
        <v>206</v>
      </c>
      <c r="VPU193" s="367"/>
      <c r="VPV193" s="367"/>
      <c r="VPW193" s="368" t="s">
        <v>168</v>
      </c>
      <c r="VPX193" s="369">
        <v>0.5</v>
      </c>
      <c r="VPY193" s="370" t="e">
        <f>10/VPU191</f>
        <v>#DIV/0!</v>
      </c>
      <c r="VPZ193" s="371">
        <v>15.38</v>
      </c>
      <c r="VQA193" s="371" t="e">
        <f>VPX193*VPY193*VPZ193</f>
        <v>#DIV/0!</v>
      </c>
      <c r="VQB193" s="367" t="s">
        <v>206</v>
      </c>
      <c r="VQC193" s="367"/>
      <c r="VQD193" s="367"/>
      <c r="VQE193" s="368" t="s">
        <v>168</v>
      </c>
      <c r="VQF193" s="369">
        <v>0.5</v>
      </c>
      <c r="VQG193" s="370" t="e">
        <f>10/VQC191</f>
        <v>#DIV/0!</v>
      </c>
      <c r="VQH193" s="371">
        <v>15.38</v>
      </c>
      <c r="VQI193" s="371" t="e">
        <f>VQF193*VQG193*VQH193</f>
        <v>#DIV/0!</v>
      </c>
      <c r="VQJ193" s="367" t="s">
        <v>206</v>
      </c>
      <c r="VQK193" s="367"/>
      <c r="VQL193" s="367"/>
      <c r="VQM193" s="368" t="s">
        <v>168</v>
      </c>
      <c r="VQN193" s="369">
        <v>0.5</v>
      </c>
      <c r="VQO193" s="370" t="e">
        <f>10/VQK191</f>
        <v>#DIV/0!</v>
      </c>
      <c r="VQP193" s="371">
        <v>15.38</v>
      </c>
      <c r="VQQ193" s="371" t="e">
        <f>VQN193*VQO193*VQP193</f>
        <v>#DIV/0!</v>
      </c>
      <c r="VQR193" s="367" t="s">
        <v>206</v>
      </c>
      <c r="VQS193" s="367"/>
      <c r="VQT193" s="367"/>
      <c r="VQU193" s="368" t="s">
        <v>168</v>
      </c>
      <c r="VQV193" s="369">
        <v>0.5</v>
      </c>
      <c r="VQW193" s="370" t="e">
        <f>10/VQS191</f>
        <v>#DIV/0!</v>
      </c>
      <c r="VQX193" s="371">
        <v>15.38</v>
      </c>
      <c r="VQY193" s="371" t="e">
        <f>VQV193*VQW193*VQX193</f>
        <v>#DIV/0!</v>
      </c>
      <c r="VQZ193" s="367" t="s">
        <v>206</v>
      </c>
      <c r="VRA193" s="367"/>
      <c r="VRB193" s="367"/>
      <c r="VRC193" s="368" t="s">
        <v>168</v>
      </c>
      <c r="VRD193" s="369">
        <v>0.5</v>
      </c>
      <c r="VRE193" s="370" t="e">
        <f>10/VRA191</f>
        <v>#DIV/0!</v>
      </c>
      <c r="VRF193" s="371">
        <v>15.38</v>
      </c>
      <c r="VRG193" s="371" t="e">
        <f>VRD193*VRE193*VRF193</f>
        <v>#DIV/0!</v>
      </c>
      <c r="VRH193" s="367" t="s">
        <v>206</v>
      </c>
      <c r="VRI193" s="367"/>
      <c r="VRJ193" s="367"/>
      <c r="VRK193" s="368" t="s">
        <v>168</v>
      </c>
      <c r="VRL193" s="369">
        <v>0.5</v>
      </c>
      <c r="VRM193" s="370" t="e">
        <f>10/VRI191</f>
        <v>#DIV/0!</v>
      </c>
      <c r="VRN193" s="371">
        <v>15.38</v>
      </c>
      <c r="VRO193" s="371" t="e">
        <f>VRL193*VRM193*VRN193</f>
        <v>#DIV/0!</v>
      </c>
      <c r="VRP193" s="367" t="s">
        <v>206</v>
      </c>
      <c r="VRQ193" s="367"/>
      <c r="VRR193" s="367"/>
      <c r="VRS193" s="368" t="s">
        <v>168</v>
      </c>
      <c r="VRT193" s="369">
        <v>0.5</v>
      </c>
      <c r="VRU193" s="370" t="e">
        <f>10/VRQ191</f>
        <v>#DIV/0!</v>
      </c>
      <c r="VRV193" s="371">
        <v>15.38</v>
      </c>
      <c r="VRW193" s="371" t="e">
        <f>VRT193*VRU193*VRV193</f>
        <v>#DIV/0!</v>
      </c>
      <c r="VRX193" s="367" t="s">
        <v>206</v>
      </c>
      <c r="VRY193" s="367"/>
      <c r="VRZ193" s="367"/>
      <c r="VSA193" s="368" t="s">
        <v>168</v>
      </c>
      <c r="VSB193" s="369">
        <v>0.5</v>
      </c>
      <c r="VSC193" s="370" t="e">
        <f>10/VRY191</f>
        <v>#DIV/0!</v>
      </c>
      <c r="VSD193" s="371">
        <v>15.38</v>
      </c>
      <c r="VSE193" s="371" t="e">
        <f>VSB193*VSC193*VSD193</f>
        <v>#DIV/0!</v>
      </c>
      <c r="VSF193" s="367" t="s">
        <v>206</v>
      </c>
      <c r="VSG193" s="367"/>
      <c r="VSH193" s="367"/>
      <c r="VSI193" s="368" t="s">
        <v>168</v>
      </c>
      <c r="VSJ193" s="369">
        <v>0.5</v>
      </c>
      <c r="VSK193" s="370" t="e">
        <f>10/VSG191</f>
        <v>#DIV/0!</v>
      </c>
      <c r="VSL193" s="371">
        <v>15.38</v>
      </c>
      <c r="VSM193" s="371" t="e">
        <f>VSJ193*VSK193*VSL193</f>
        <v>#DIV/0!</v>
      </c>
      <c r="VSN193" s="367" t="s">
        <v>206</v>
      </c>
      <c r="VSO193" s="367"/>
      <c r="VSP193" s="367"/>
      <c r="VSQ193" s="368" t="s">
        <v>168</v>
      </c>
      <c r="VSR193" s="369">
        <v>0.5</v>
      </c>
      <c r="VSS193" s="370" t="e">
        <f>10/VSO191</f>
        <v>#DIV/0!</v>
      </c>
      <c r="VST193" s="371">
        <v>15.38</v>
      </c>
      <c r="VSU193" s="371" t="e">
        <f>VSR193*VSS193*VST193</f>
        <v>#DIV/0!</v>
      </c>
      <c r="VSV193" s="367" t="s">
        <v>206</v>
      </c>
      <c r="VSW193" s="367"/>
      <c r="VSX193" s="367"/>
      <c r="VSY193" s="368" t="s">
        <v>168</v>
      </c>
      <c r="VSZ193" s="369">
        <v>0.5</v>
      </c>
      <c r="VTA193" s="370" t="e">
        <f>10/VSW191</f>
        <v>#DIV/0!</v>
      </c>
      <c r="VTB193" s="371">
        <v>15.38</v>
      </c>
      <c r="VTC193" s="371" t="e">
        <f>VSZ193*VTA193*VTB193</f>
        <v>#DIV/0!</v>
      </c>
      <c r="VTD193" s="367" t="s">
        <v>206</v>
      </c>
      <c r="VTE193" s="367"/>
      <c r="VTF193" s="367"/>
      <c r="VTG193" s="368" t="s">
        <v>168</v>
      </c>
      <c r="VTH193" s="369">
        <v>0.5</v>
      </c>
      <c r="VTI193" s="370" t="e">
        <f>10/VTE191</f>
        <v>#DIV/0!</v>
      </c>
      <c r="VTJ193" s="371">
        <v>15.38</v>
      </c>
      <c r="VTK193" s="371" t="e">
        <f>VTH193*VTI193*VTJ193</f>
        <v>#DIV/0!</v>
      </c>
      <c r="VTL193" s="367" t="s">
        <v>206</v>
      </c>
      <c r="VTM193" s="367"/>
      <c r="VTN193" s="367"/>
      <c r="VTO193" s="368" t="s">
        <v>168</v>
      </c>
      <c r="VTP193" s="369">
        <v>0.5</v>
      </c>
      <c r="VTQ193" s="370" t="e">
        <f>10/VTM191</f>
        <v>#DIV/0!</v>
      </c>
      <c r="VTR193" s="371">
        <v>15.38</v>
      </c>
      <c r="VTS193" s="371" t="e">
        <f>VTP193*VTQ193*VTR193</f>
        <v>#DIV/0!</v>
      </c>
      <c r="VTT193" s="367" t="s">
        <v>206</v>
      </c>
      <c r="VTU193" s="367"/>
      <c r="VTV193" s="367"/>
      <c r="VTW193" s="368" t="s">
        <v>168</v>
      </c>
      <c r="VTX193" s="369">
        <v>0.5</v>
      </c>
      <c r="VTY193" s="370" t="e">
        <f>10/VTU191</f>
        <v>#DIV/0!</v>
      </c>
      <c r="VTZ193" s="371">
        <v>15.38</v>
      </c>
      <c r="VUA193" s="371" t="e">
        <f>VTX193*VTY193*VTZ193</f>
        <v>#DIV/0!</v>
      </c>
      <c r="VUB193" s="367" t="s">
        <v>206</v>
      </c>
      <c r="VUC193" s="367"/>
      <c r="VUD193" s="367"/>
      <c r="VUE193" s="368" t="s">
        <v>168</v>
      </c>
      <c r="VUF193" s="369">
        <v>0.5</v>
      </c>
      <c r="VUG193" s="370" t="e">
        <f>10/VUC191</f>
        <v>#DIV/0!</v>
      </c>
      <c r="VUH193" s="371">
        <v>15.38</v>
      </c>
      <c r="VUI193" s="371" t="e">
        <f>VUF193*VUG193*VUH193</f>
        <v>#DIV/0!</v>
      </c>
      <c r="VUJ193" s="367" t="s">
        <v>206</v>
      </c>
      <c r="VUK193" s="367"/>
      <c r="VUL193" s="367"/>
      <c r="VUM193" s="368" t="s">
        <v>168</v>
      </c>
      <c r="VUN193" s="369">
        <v>0.5</v>
      </c>
      <c r="VUO193" s="370" t="e">
        <f>10/VUK191</f>
        <v>#DIV/0!</v>
      </c>
      <c r="VUP193" s="371">
        <v>15.38</v>
      </c>
      <c r="VUQ193" s="371" t="e">
        <f>VUN193*VUO193*VUP193</f>
        <v>#DIV/0!</v>
      </c>
      <c r="VUR193" s="367" t="s">
        <v>206</v>
      </c>
      <c r="VUS193" s="367"/>
      <c r="VUT193" s="367"/>
      <c r="VUU193" s="368" t="s">
        <v>168</v>
      </c>
      <c r="VUV193" s="369">
        <v>0.5</v>
      </c>
      <c r="VUW193" s="370" t="e">
        <f>10/VUS191</f>
        <v>#DIV/0!</v>
      </c>
      <c r="VUX193" s="371">
        <v>15.38</v>
      </c>
      <c r="VUY193" s="371" t="e">
        <f>VUV193*VUW193*VUX193</f>
        <v>#DIV/0!</v>
      </c>
      <c r="VUZ193" s="367" t="s">
        <v>206</v>
      </c>
      <c r="VVA193" s="367"/>
      <c r="VVB193" s="367"/>
      <c r="VVC193" s="368" t="s">
        <v>168</v>
      </c>
      <c r="VVD193" s="369">
        <v>0.5</v>
      </c>
      <c r="VVE193" s="370" t="e">
        <f>10/VVA191</f>
        <v>#DIV/0!</v>
      </c>
      <c r="VVF193" s="371">
        <v>15.38</v>
      </c>
      <c r="VVG193" s="371" t="e">
        <f>VVD193*VVE193*VVF193</f>
        <v>#DIV/0!</v>
      </c>
      <c r="VVH193" s="367" t="s">
        <v>206</v>
      </c>
      <c r="VVI193" s="367"/>
      <c r="VVJ193" s="367"/>
      <c r="VVK193" s="368" t="s">
        <v>168</v>
      </c>
      <c r="VVL193" s="369">
        <v>0.5</v>
      </c>
      <c r="VVM193" s="370" t="e">
        <f>10/VVI191</f>
        <v>#DIV/0!</v>
      </c>
      <c r="VVN193" s="371">
        <v>15.38</v>
      </c>
      <c r="VVO193" s="371" t="e">
        <f>VVL193*VVM193*VVN193</f>
        <v>#DIV/0!</v>
      </c>
      <c r="VVP193" s="367" t="s">
        <v>206</v>
      </c>
      <c r="VVQ193" s="367"/>
      <c r="VVR193" s="367"/>
      <c r="VVS193" s="368" t="s">
        <v>168</v>
      </c>
      <c r="VVT193" s="369">
        <v>0.5</v>
      </c>
      <c r="VVU193" s="370" t="e">
        <f>10/VVQ191</f>
        <v>#DIV/0!</v>
      </c>
      <c r="VVV193" s="371">
        <v>15.38</v>
      </c>
      <c r="VVW193" s="371" t="e">
        <f>VVT193*VVU193*VVV193</f>
        <v>#DIV/0!</v>
      </c>
      <c r="VVX193" s="367" t="s">
        <v>206</v>
      </c>
      <c r="VVY193" s="367"/>
      <c r="VVZ193" s="367"/>
      <c r="VWA193" s="368" t="s">
        <v>168</v>
      </c>
      <c r="VWB193" s="369">
        <v>0.5</v>
      </c>
      <c r="VWC193" s="370" t="e">
        <f>10/VVY191</f>
        <v>#DIV/0!</v>
      </c>
      <c r="VWD193" s="371">
        <v>15.38</v>
      </c>
      <c r="VWE193" s="371" t="e">
        <f>VWB193*VWC193*VWD193</f>
        <v>#DIV/0!</v>
      </c>
      <c r="VWF193" s="367" t="s">
        <v>206</v>
      </c>
      <c r="VWG193" s="367"/>
      <c r="VWH193" s="367"/>
      <c r="VWI193" s="368" t="s">
        <v>168</v>
      </c>
      <c r="VWJ193" s="369">
        <v>0.5</v>
      </c>
      <c r="VWK193" s="370" t="e">
        <f>10/VWG191</f>
        <v>#DIV/0!</v>
      </c>
      <c r="VWL193" s="371">
        <v>15.38</v>
      </c>
      <c r="VWM193" s="371" t="e">
        <f>VWJ193*VWK193*VWL193</f>
        <v>#DIV/0!</v>
      </c>
      <c r="VWN193" s="367" t="s">
        <v>206</v>
      </c>
      <c r="VWO193" s="367"/>
      <c r="VWP193" s="367"/>
      <c r="VWQ193" s="368" t="s">
        <v>168</v>
      </c>
      <c r="VWR193" s="369">
        <v>0.5</v>
      </c>
      <c r="VWS193" s="370" t="e">
        <f>10/VWO191</f>
        <v>#DIV/0!</v>
      </c>
      <c r="VWT193" s="371">
        <v>15.38</v>
      </c>
      <c r="VWU193" s="371" t="e">
        <f>VWR193*VWS193*VWT193</f>
        <v>#DIV/0!</v>
      </c>
      <c r="VWV193" s="367" t="s">
        <v>206</v>
      </c>
      <c r="VWW193" s="367"/>
      <c r="VWX193" s="367"/>
      <c r="VWY193" s="368" t="s">
        <v>168</v>
      </c>
      <c r="VWZ193" s="369">
        <v>0.5</v>
      </c>
      <c r="VXA193" s="370" t="e">
        <f>10/VWW191</f>
        <v>#DIV/0!</v>
      </c>
      <c r="VXB193" s="371">
        <v>15.38</v>
      </c>
      <c r="VXC193" s="371" t="e">
        <f>VWZ193*VXA193*VXB193</f>
        <v>#DIV/0!</v>
      </c>
      <c r="VXD193" s="367" t="s">
        <v>206</v>
      </c>
      <c r="VXE193" s="367"/>
      <c r="VXF193" s="367"/>
      <c r="VXG193" s="368" t="s">
        <v>168</v>
      </c>
      <c r="VXH193" s="369">
        <v>0.5</v>
      </c>
      <c r="VXI193" s="370" t="e">
        <f>10/VXE191</f>
        <v>#DIV/0!</v>
      </c>
      <c r="VXJ193" s="371">
        <v>15.38</v>
      </c>
      <c r="VXK193" s="371" t="e">
        <f>VXH193*VXI193*VXJ193</f>
        <v>#DIV/0!</v>
      </c>
      <c r="VXL193" s="367" t="s">
        <v>206</v>
      </c>
      <c r="VXM193" s="367"/>
      <c r="VXN193" s="367"/>
      <c r="VXO193" s="368" t="s">
        <v>168</v>
      </c>
      <c r="VXP193" s="369">
        <v>0.5</v>
      </c>
      <c r="VXQ193" s="370" t="e">
        <f>10/VXM191</f>
        <v>#DIV/0!</v>
      </c>
      <c r="VXR193" s="371">
        <v>15.38</v>
      </c>
      <c r="VXS193" s="371" t="e">
        <f>VXP193*VXQ193*VXR193</f>
        <v>#DIV/0!</v>
      </c>
      <c r="VXT193" s="367" t="s">
        <v>206</v>
      </c>
      <c r="VXU193" s="367"/>
      <c r="VXV193" s="367"/>
      <c r="VXW193" s="368" t="s">
        <v>168</v>
      </c>
      <c r="VXX193" s="369">
        <v>0.5</v>
      </c>
      <c r="VXY193" s="370" t="e">
        <f>10/VXU191</f>
        <v>#DIV/0!</v>
      </c>
      <c r="VXZ193" s="371">
        <v>15.38</v>
      </c>
      <c r="VYA193" s="371" t="e">
        <f>VXX193*VXY193*VXZ193</f>
        <v>#DIV/0!</v>
      </c>
      <c r="VYB193" s="367" t="s">
        <v>206</v>
      </c>
      <c r="VYC193" s="367"/>
      <c r="VYD193" s="367"/>
      <c r="VYE193" s="368" t="s">
        <v>168</v>
      </c>
      <c r="VYF193" s="369">
        <v>0.5</v>
      </c>
      <c r="VYG193" s="370" t="e">
        <f>10/VYC191</f>
        <v>#DIV/0!</v>
      </c>
      <c r="VYH193" s="371">
        <v>15.38</v>
      </c>
      <c r="VYI193" s="371" t="e">
        <f>VYF193*VYG193*VYH193</f>
        <v>#DIV/0!</v>
      </c>
      <c r="VYJ193" s="367" t="s">
        <v>206</v>
      </c>
      <c r="VYK193" s="367"/>
      <c r="VYL193" s="367"/>
      <c r="VYM193" s="368" t="s">
        <v>168</v>
      </c>
      <c r="VYN193" s="369">
        <v>0.5</v>
      </c>
      <c r="VYO193" s="370" t="e">
        <f>10/VYK191</f>
        <v>#DIV/0!</v>
      </c>
      <c r="VYP193" s="371">
        <v>15.38</v>
      </c>
      <c r="VYQ193" s="371" t="e">
        <f>VYN193*VYO193*VYP193</f>
        <v>#DIV/0!</v>
      </c>
      <c r="VYR193" s="367" t="s">
        <v>206</v>
      </c>
      <c r="VYS193" s="367"/>
      <c r="VYT193" s="367"/>
      <c r="VYU193" s="368" t="s">
        <v>168</v>
      </c>
      <c r="VYV193" s="369">
        <v>0.5</v>
      </c>
      <c r="VYW193" s="370" t="e">
        <f>10/VYS191</f>
        <v>#DIV/0!</v>
      </c>
      <c r="VYX193" s="371">
        <v>15.38</v>
      </c>
      <c r="VYY193" s="371" t="e">
        <f>VYV193*VYW193*VYX193</f>
        <v>#DIV/0!</v>
      </c>
      <c r="VYZ193" s="367" t="s">
        <v>206</v>
      </c>
      <c r="VZA193" s="367"/>
      <c r="VZB193" s="367"/>
      <c r="VZC193" s="368" t="s">
        <v>168</v>
      </c>
      <c r="VZD193" s="369">
        <v>0.5</v>
      </c>
      <c r="VZE193" s="370" t="e">
        <f>10/VZA191</f>
        <v>#DIV/0!</v>
      </c>
      <c r="VZF193" s="371">
        <v>15.38</v>
      </c>
      <c r="VZG193" s="371" t="e">
        <f>VZD193*VZE193*VZF193</f>
        <v>#DIV/0!</v>
      </c>
      <c r="VZH193" s="367" t="s">
        <v>206</v>
      </c>
      <c r="VZI193" s="367"/>
      <c r="VZJ193" s="367"/>
      <c r="VZK193" s="368" t="s">
        <v>168</v>
      </c>
      <c r="VZL193" s="369">
        <v>0.5</v>
      </c>
      <c r="VZM193" s="370" t="e">
        <f>10/VZI191</f>
        <v>#DIV/0!</v>
      </c>
      <c r="VZN193" s="371">
        <v>15.38</v>
      </c>
      <c r="VZO193" s="371" t="e">
        <f>VZL193*VZM193*VZN193</f>
        <v>#DIV/0!</v>
      </c>
      <c r="VZP193" s="367" t="s">
        <v>206</v>
      </c>
      <c r="VZQ193" s="367"/>
      <c r="VZR193" s="367"/>
      <c r="VZS193" s="368" t="s">
        <v>168</v>
      </c>
      <c r="VZT193" s="369">
        <v>0.5</v>
      </c>
      <c r="VZU193" s="370" t="e">
        <f>10/VZQ191</f>
        <v>#DIV/0!</v>
      </c>
      <c r="VZV193" s="371">
        <v>15.38</v>
      </c>
      <c r="VZW193" s="371" t="e">
        <f>VZT193*VZU193*VZV193</f>
        <v>#DIV/0!</v>
      </c>
      <c r="VZX193" s="367" t="s">
        <v>206</v>
      </c>
      <c r="VZY193" s="367"/>
      <c r="VZZ193" s="367"/>
      <c r="WAA193" s="368" t="s">
        <v>168</v>
      </c>
      <c r="WAB193" s="369">
        <v>0.5</v>
      </c>
      <c r="WAC193" s="370" t="e">
        <f>10/VZY191</f>
        <v>#DIV/0!</v>
      </c>
      <c r="WAD193" s="371">
        <v>15.38</v>
      </c>
      <c r="WAE193" s="371" t="e">
        <f>WAB193*WAC193*WAD193</f>
        <v>#DIV/0!</v>
      </c>
      <c r="WAF193" s="367" t="s">
        <v>206</v>
      </c>
      <c r="WAG193" s="367"/>
      <c r="WAH193" s="367"/>
      <c r="WAI193" s="368" t="s">
        <v>168</v>
      </c>
      <c r="WAJ193" s="369">
        <v>0.5</v>
      </c>
      <c r="WAK193" s="370" t="e">
        <f>10/WAG191</f>
        <v>#DIV/0!</v>
      </c>
      <c r="WAL193" s="371">
        <v>15.38</v>
      </c>
      <c r="WAM193" s="371" t="e">
        <f>WAJ193*WAK193*WAL193</f>
        <v>#DIV/0!</v>
      </c>
      <c r="WAN193" s="367" t="s">
        <v>206</v>
      </c>
      <c r="WAO193" s="367"/>
      <c r="WAP193" s="367"/>
      <c r="WAQ193" s="368" t="s">
        <v>168</v>
      </c>
      <c r="WAR193" s="369">
        <v>0.5</v>
      </c>
      <c r="WAS193" s="370" t="e">
        <f>10/WAO191</f>
        <v>#DIV/0!</v>
      </c>
      <c r="WAT193" s="371">
        <v>15.38</v>
      </c>
      <c r="WAU193" s="371" t="e">
        <f>WAR193*WAS193*WAT193</f>
        <v>#DIV/0!</v>
      </c>
      <c r="WAV193" s="367" t="s">
        <v>206</v>
      </c>
      <c r="WAW193" s="367"/>
      <c r="WAX193" s="367"/>
      <c r="WAY193" s="368" t="s">
        <v>168</v>
      </c>
      <c r="WAZ193" s="369">
        <v>0.5</v>
      </c>
      <c r="WBA193" s="370" t="e">
        <f>10/WAW191</f>
        <v>#DIV/0!</v>
      </c>
      <c r="WBB193" s="371">
        <v>15.38</v>
      </c>
      <c r="WBC193" s="371" t="e">
        <f>WAZ193*WBA193*WBB193</f>
        <v>#DIV/0!</v>
      </c>
      <c r="WBD193" s="367" t="s">
        <v>206</v>
      </c>
      <c r="WBE193" s="367"/>
      <c r="WBF193" s="367"/>
      <c r="WBG193" s="368" t="s">
        <v>168</v>
      </c>
      <c r="WBH193" s="369">
        <v>0.5</v>
      </c>
      <c r="WBI193" s="370" t="e">
        <f>10/WBE191</f>
        <v>#DIV/0!</v>
      </c>
      <c r="WBJ193" s="371">
        <v>15.38</v>
      </c>
      <c r="WBK193" s="371" t="e">
        <f>WBH193*WBI193*WBJ193</f>
        <v>#DIV/0!</v>
      </c>
      <c r="WBL193" s="367" t="s">
        <v>206</v>
      </c>
      <c r="WBM193" s="367"/>
      <c r="WBN193" s="367"/>
      <c r="WBO193" s="368" t="s">
        <v>168</v>
      </c>
      <c r="WBP193" s="369">
        <v>0.5</v>
      </c>
      <c r="WBQ193" s="370" t="e">
        <f>10/WBM191</f>
        <v>#DIV/0!</v>
      </c>
      <c r="WBR193" s="371">
        <v>15.38</v>
      </c>
      <c r="WBS193" s="371" t="e">
        <f>WBP193*WBQ193*WBR193</f>
        <v>#DIV/0!</v>
      </c>
      <c r="WBT193" s="367" t="s">
        <v>206</v>
      </c>
      <c r="WBU193" s="367"/>
      <c r="WBV193" s="367"/>
      <c r="WBW193" s="368" t="s">
        <v>168</v>
      </c>
      <c r="WBX193" s="369">
        <v>0.5</v>
      </c>
      <c r="WBY193" s="370" t="e">
        <f>10/WBU191</f>
        <v>#DIV/0!</v>
      </c>
      <c r="WBZ193" s="371">
        <v>15.38</v>
      </c>
      <c r="WCA193" s="371" t="e">
        <f>WBX193*WBY193*WBZ193</f>
        <v>#DIV/0!</v>
      </c>
      <c r="WCB193" s="367" t="s">
        <v>206</v>
      </c>
      <c r="WCC193" s="367"/>
      <c r="WCD193" s="367"/>
      <c r="WCE193" s="368" t="s">
        <v>168</v>
      </c>
      <c r="WCF193" s="369">
        <v>0.5</v>
      </c>
      <c r="WCG193" s="370" t="e">
        <f>10/WCC191</f>
        <v>#DIV/0!</v>
      </c>
      <c r="WCH193" s="371">
        <v>15.38</v>
      </c>
      <c r="WCI193" s="371" t="e">
        <f>WCF193*WCG193*WCH193</f>
        <v>#DIV/0!</v>
      </c>
      <c r="WCJ193" s="367" t="s">
        <v>206</v>
      </c>
      <c r="WCK193" s="367"/>
      <c r="WCL193" s="367"/>
      <c r="WCM193" s="368" t="s">
        <v>168</v>
      </c>
      <c r="WCN193" s="369">
        <v>0.5</v>
      </c>
      <c r="WCO193" s="370" t="e">
        <f>10/WCK191</f>
        <v>#DIV/0!</v>
      </c>
      <c r="WCP193" s="371">
        <v>15.38</v>
      </c>
      <c r="WCQ193" s="371" t="e">
        <f>WCN193*WCO193*WCP193</f>
        <v>#DIV/0!</v>
      </c>
      <c r="WCR193" s="367" t="s">
        <v>206</v>
      </c>
      <c r="WCS193" s="367"/>
      <c r="WCT193" s="367"/>
      <c r="WCU193" s="368" t="s">
        <v>168</v>
      </c>
      <c r="WCV193" s="369">
        <v>0.5</v>
      </c>
      <c r="WCW193" s="370" t="e">
        <f>10/WCS191</f>
        <v>#DIV/0!</v>
      </c>
      <c r="WCX193" s="371">
        <v>15.38</v>
      </c>
      <c r="WCY193" s="371" t="e">
        <f>WCV193*WCW193*WCX193</f>
        <v>#DIV/0!</v>
      </c>
      <c r="WCZ193" s="367" t="s">
        <v>206</v>
      </c>
      <c r="WDA193" s="367"/>
      <c r="WDB193" s="367"/>
      <c r="WDC193" s="368" t="s">
        <v>168</v>
      </c>
      <c r="WDD193" s="369">
        <v>0.5</v>
      </c>
      <c r="WDE193" s="370" t="e">
        <f>10/WDA191</f>
        <v>#DIV/0!</v>
      </c>
      <c r="WDF193" s="371">
        <v>15.38</v>
      </c>
      <c r="WDG193" s="371" t="e">
        <f>WDD193*WDE193*WDF193</f>
        <v>#DIV/0!</v>
      </c>
      <c r="WDH193" s="367" t="s">
        <v>206</v>
      </c>
      <c r="WDI193" s="367"/>
      <c r="WDJ193" s="367"/>
      <c r="WDK193" s="368" t="s">
        <v>168</v>
      </c>
      <c r="WDL193" s="369">
        <v>0.5</v>
      </c>
      <c r="WDM193" s="370" t="e">
        <f>10/WDI191</f>
        <v>#DIV/0!</v>
      </c>
      <c r="WDN193" s="371">
        <v>15.38</v>
      </c>
      <c r="WDO193" s="371" t="e">
        <f>WDL193*WDM193*WDN193</f>
        <v>#DIV/0!</v>
      </c>
      <c r="WDP193" s="367" t="s">
        <v>206</v>
      </c>
      <c r="WDQ193" s="367"/>
      <c r="WDR193" s="367"/>
      <c r="WDS193" s="368" t="s">
        <v>168</v>
      </c>
      <c r="WDT193" s="369">
        <v>0.5</v>
      </c>
      <c r="WDU193" s="370" t="e">
        <f>10/WDQ191</f>
        <v>#DIV/0!</v>
      </c>
      <c r="WDV193" s="371">
        <v>15.38</v>
      </c>
      <c r="WDW193" s="371" t="e">
        <f>WDT193*WDU193*WDV193</f>
        <v>#DIV/0!</v>
      </c>
      <c r="WDX193" s="367" t="s">
        <v>206</v>
      </c>
      <c r="WDY193" s="367"/>
      <c r="WDZ193" s="367"/>
      <c r="WEA193" s="368" t="s">
        <v>168</v>
      </c>
      <c r="WEB193" s="369">
        <v>0.5</v>
      </c>
      <c r="WEC193" s="370" t="e">
        <f>10/WDY191</f>
        <v>#DIV/0!</v>
      </c>
      <c r="WED193" s="371">
        <v>15.38</v>
      </c>
      <c r="WEE193" s="371" t="e">
        <f>WEB193*WEC193*WED193</f>
        <v>#DIV/0!</v>
      </c>
      <c r="WEF193" s="367" t="s">
        <v>206</v>
      </c>
      <c r="WEG193" s="367"/>
      <c r="WEH193" s="367"/>
      <c r="WEI193" s="368" t="s">
        <v>168</v>
      </c>
      <c r="WEJ193" s="369">
        <v>0.5</v>
      </c>
      <c r="WEK193" s="370" t="e">
        <f>10/WEG191</f>
        <v>#DIV/0!</v>
      </c>
      <c r="WEL193" s="371">
        <v>15.38</v>
      </c>
      <c r="WEM193" s="371" t="e">
        <f>WEJ193*WEK193*WEL193</f>
        <v>#DIV/0!</v>
      </c>
      <c r="WEN193" s="367" t="s">
        <v>206</v>
      </c>
      <c r="WEO193" s="367"/>
      <c r="WEP193" s="367"/>
      <c r="WEQ193" s="368" t="s">
        <v>168</v>
      </c>
      <c r="WER193" s="369">
        <v>0.5</v>
      </c>
      <c r="WES193" s="370" t="e">
        <f>10/WEO191</f>
        <v>#DIV/0!</v>
      </c>
      <c r="WET193" s="371">
        <v>15.38</v>
      </c>
      <c r="WEU193" s="371" t="e">
        <f>WER193*WES193*WET193</f>
        <v>#DIV/0!</v>
      </c>
      <c r="WEV193" s="367" t="s">
        <v>206</v>
      </c>
      <c r="WEW193" s="367"/>
      <c r="WEX193" s="367"/>
      <c r="WEY193" s="368" t="s">
        <v>168</v>
      </c>
      <c r="WEZ193" s="369">
        <v>0.5</v>
      </c>
      <c r="WFA193" s="370" t="e">
        <f>10/WEW191</f>
        <v>#DIV/0!</v>
      </c>
      <c r="WFB193" s="371">
        <v>15.38</v>
      </c>
      <c r="WFC193" s="371" t="e">
        <f>WEZ193*WFA193*WFB193</f>
        <v>#DIV/0!</v>
      </c>
      <c r="WFD193" s="367" t="s">
        <v>206</v>
      </c>
      <c r="WFE193" s="367"/>
      <c r="WFF193" s="367"/>
      <c r="WFG193" s="368" t="s">
        <v>168</v>
      </c>
      <c r="WFH193" s="369">
        <v>0.5</v>
      </c>
      <c r="WFI193" s="370" t="e">
        <f>10/WFE191</f>
        <v>#DIV/0!</v>
      </c>
      <c r="WFJ193" s="371">
        <v>15.38</v>
      </c>
      <c r="WFK193" s="371" t="e">
        <f>WFH193*WFI193*WFJ193</f>
        <v>#DIV/0!</v>
      </c>
      <c r="WFL193" s="367" t="s">
        <v>206</v>
      </c>
      <c r="WFM193" s="367"/>
      <c r="WFN193" s="367"/>
      <c r="WFO193" s="368" t="s">
        <v>168</v>
      </c>
      <c r="WFP193" s="369">
        <v>0.5</v>
      </c>
      <c r="WFQ193" s="370" t="e">
        <f>10/WFM191</f>
        <v>#DIV/0!</v>
      </c>
      <c r="WFR193" s="371">
        <v>15.38</v>
      </c>
      <c r="WFS193" s="371" t="e">
        <f>WFP193*WFQ193*WFR193</f>
        <v>#DIV/0!</v>
      </c>
      <c r="WFT193" s="367" t="s">
        <v>206</v>
      </c>
      <c r="WFU193" s="367"/>
      <c r="WFV193" s="367"/>
      <c r="WFW193" s="368" t="s">
        <v>168</v>
      </c>
      <c r="WFX193" s="369">
        <v>0.5</v>
      </c>
      <c r="WFY193" s="370" t="e">
        <f>10/WFU191</f>
        <v>#DIV/0!</v>
      </c>
      <c r="WFZ193" s="371">
        <v>15.38</v>
      </c>
      <c r="WGA193" s="371" t="e">
        <f>WFX193*WFY193*WFZ193</f>
        <v>#DIV/0!</v>
      </c>
      <c r="WGB193" s="367" t="s">
        <v>206</v>
      </c>
      <c r="WGC193" s="367"/>
      <c r="WGD193" s="367"/>
      <c r="WGE193" s="368" t="s">
        <v>168</v>
      </c>
      <c r="WGF193" s="369">
        <v>0.5</v>
      </c>
      <c r="WGG193" s="370" t="e">
        <f>10/WGC191</f>
        <v>#DIV/0!</v>
      </c>
      <c r="WGH193" s="371">
        <v>15.38</v>
      </c>
      <c r="WGI193" s="371" t="e">
        <f>WGF193*WGG193*WGH193</f>
        <v>#DIV/0!</v>
      </c>
      <c r="WGJ193" s="367" t="s">
        <v>206</v>
      </c>
      <c r="WGK193" s="367"/>
      <c r="WGL193" s="367"/>
      <c r="WGM193" s="368" t="s">
        <v>168</v>
      </c>
      <c r="WGN193" s="369">
        <v>0.5</v>
      </c>
      <c r="WGO193" s="370" t="e">
        <f>10/WGK191</f>
        <v>#DIV/0!</v>
      </c>
      <c r="WGP193" s="371">
        <v>15.38</v>
      </c>
      <c r="WGQ193" s="371" t="e">
        <f>WGN193*WGO193*WGP193</f>
        <v>#DIV/0!</v>
      </c>
      <c r="WGR193" s="367" t="s">
        <v>206</v>
      </c>
      <c r="WGS193" s="367"/>
      <c r="WGT193" s="367"/>
      <c r="WGU193" s="368" t="s">
        <v>168</v>
      </c>
      <c r="WGV193" s="369">
        <v>0.5</v>
      </c>
      <c r="WGW193" s="370" t="e">
        <f>10/WGS191</f>
        <v>#DIV/0!</v>
      </c>
      <c r="WGX193" s="371">
        <v>15.38</v>
      </c>
      <c r="WGY193" s="371" t="e">
        <f>WGV193*WGW193*WGX193</f>
        <v>#DIV/0!</v>
      </c>
      <c r="WGZ193" s="367" t="s">
        <v>206</v>
      </c>
      <c r="WHA193" s="367"/>
      <c r="WHB193" s="367"/>
      <c r="WHC193" s="368" t="s">
        <v>168</v>
      </c>
      <c r="WHD193" s="369">
        <v>0.5</v>
      </c>
      <c r="WHE193" s="370" t="e">
        <f>10/WHA191</f>
        <v>#DIV/0!</v>
      </c>
      <c r="WHF193" s="371">
        <v>15.38</v>
      </c>
      <c r="WHG193" s="371" t="e">
        <f>WHD193*WHE193*WHF193</f>
        <v>#DIV/0!</v>
      </c>
      <c r="WHH193" s="367" t="s">
        <v>206</v>
      </c>
      <c r="WHI193" s="367"/>
      <c r="WHJ193" s="367"/>
      <c r="WHK193" s="368" t="s">
        <v>168</v>
      </c>
      <c r="WHL193" s="369">
        <v>0.5</v>
      </c>
      <c r="WHM193" s="370" t="e">
        <f>10/WHI191</f>
        <v>#DIV/0!</v>
      </c>
      <c r="WHN193" s="371">
        <v>15.38</v>
      </c>
      <c r="WHO193" s="371" t="e">
        <f>WHL193*WHM193*WHN193</f>
        <v>#DIV/0!</v>
      </c>
      <c r="WHP193" s="367" t="s">
        <v>206</v>
      </c>
      <c r="WHQ193" s="367"/>
      <c r="WHR193" s="367"/>
      <c r="WHS193" s="368" t="s">
        <v>168</v>
      </c>
      <c r="WHT193" s="369">
        <v>0.5</v>
      </c>
      <c r="WHU193" s="370" t="e">
        <f>10/WHQ191</f>
        <v>#DIV/0!</v>
      </c>
      <c r="WHV193" s="371">
        <v>15.38</v>
      </c>
      <c r="WHW193" s="371" t="e">
        <f>WHT193*WHU193*WHV193</f>
        <v>#DIV/0!</v>
      </c>
      <c r="WHX193" s="367" t="s">
        <v>206</v>
      </c>
      <c r="WHY193" s="367"/>
      <c r="WHZ193" s="367"/>
      <c r="WIA193" s="368" t="s">
        <v>168</v>
      </c>
      <c r="WIB193" s="369">
        <v>0.5</v>
      </c>
      <c r="WIC193" s="370" t="e">
        <f>10/WHY191</f>
        <v>#DIV/0!</v>
      </c>
      <c r="WID193" s="371">
        <v>15.38</v>
      </c>
      <c r="WIE193" s="371" t="e">
        <f>WIB193*WIC193*WID193</f>
        <v>#DIV/0!</v>
      </c>
      <c r="WIF193" s="367" t="s">
        <v>206</v>
      </c>
      <c r="WIG193" s="367"/>
      <c r="WIH193" s="367"/>
      <c r="WII193" s="368" t="s">
        <v>168</v>
      </c>
      <c r="WIJ193" s="369">
        <v>0.5</v>
      </c>
      <c r="WIK193" s="370" t="e">
        <f>10/WIG191</f>
        <v>#DIV/0!</v>
      </c>
      <c r="WIL193" s="371">
        <v>15.38</v>
      </c>
      <c r="WIM193" s="371" t="e">
        <f>WIJ193*WIK193*WIL193</f>
        <v>#DIV/0!</v>
      </c>
      <c r="WIN193" s="367" t="s">
        <v>206</v>
      </c>
      <c r="WIO193" s="367"/>
      <c r="WIP193" s="367"/>
      <c r="WIQ193" s="368" t="s">
        <v>168</v>
      </c>
      <c r="WIR193" s="369">
        <v>0.5</v>
      </c>
      <c r="WIS193" s="370" t="e">
        <f>10/WIO191</f>
        <v>#DIV/0!</v>
      </c>
      <c r="WIT193" s="371">
        <v>15.38</v>
      </c>
      <c r="WIU193" s="371" t="e">
        <f>WIR193*WIS193*WIT193</f>
        <v>#DIV/0!</v>
      </c>
      <c r="WIV193" s="367" t="s">
        <v>206</v>
      </c>
      <c r="WIW193" s="367"/>
      <c r="WIX193" s="367"/>
      <c r="WIY193" s="368" t="s">
        <v>168</v>
      </c>
      <c r="WIZ193" s="369">
        <v>0.5</v>
      </c>
      <c r="WJA193" s="370" t="e">
        <f>10/WIW191</f>
        <v>#DIV/0!</v>
      </c>
      <c r="WJB193" s="371">
        <v>15.38</v>
      </c>
      <c r="WJC193" s="371" t="e">
        <f>WIZ193*WJA193*WJB193</f>
        <v>#DIV/0!</v>
      </c>
      <c r="WJD193" s="367" t="s">
        <v>206</v>
      </c>
      <c r="WJE193" s="367"/>
      <c r="WJF193" s="367"/>
      <c r="WJG193" s="368" t="s">
        <v>168</v>
      </c>
      <c r="WJH193" s="369">
        <v>0.5</v>
      </c>
      <c r="WJI193" s="370" t="e">
        <f>10/WJE191</f>
        <v>#DIV/0!</v>
      </c>
      <c r="WJJ193" s="371">
        <v>15.38</v>
      </c>
      <c r="WJK193" s="371" t="e">
        <f>WJH193*WJI193*WJJ193</f>
        <v>#DIV/0!</v>
      </c>
      <c r="WJL193" s="367" t="s">
        <v>206</v>
      </c>
      <c r="WJM193" s="367"/>
      <c r="WJN193" s="367"/>
      <c r="WJO193" s="368" t="s">
        <v>168</v>
      </c>
      <c r="WJP193" s="369">
        <v>0.5</v>
      </c>
      <c r="WJQ193" s="370" t="e">
        <f>10/WJM191</f>
        <v>#DIV/0!</v>
      </c>
      <c r="WJR193" s="371">
        <v>15.38</v>
      </c>
      <c r="WJS193" s="371" t="e">
        <f>WJP193*WJQ193*WJR193</f>
        <v>#DIV/0!</v>
      </c>
      <c r="WJT193" s="367" t="s">
        <v>206</v>
      </c>
      <c r="WJU193" s="367"/>
      <c r="WJV193" s="367"/>
      <c r="WJW193" s="368" t="s">
        <v>168</v>
      </c>
      <c r="WJX193" s="369">
        <v>0.5</v>
      </c>
      <c r="WJY193" s="370" t="e">
        <f>10/WJU191</f>
        <v>#DIV/0!</v>
      </c>
      <c r="WJZ193" s="371">
        <v>15.38</v>
      </c>
      <c r="WKA193" s="371" t="e">
        <f>WJX193*WJY193*WJZ193</f>
        <v>#DIV/0!</v>
      </c>
      <c r="WKB193" s="367" t="s">
        <v>206</v>
      </c>
      <c r="WKC193" s="367"/>
      <c r="WKD193" s="367"/>
      <c r="WKE193" s="368" t="s">
        <v>168</v>
      </c>
      <c r="WKF193" s="369">
        <v>0.5</v>
      </c>
      <c r="WKG193" s="370" t="e">
        <f>10/WKC191</f>
        <v>#DIV/0!</v>
      </c>
      <c r="WKH193" s="371">
        <v>15.38</v>
      </c>
      <c r="WKI193" s="371" t="e">
        <f>WKF193*WKG193*WKH193</f>
        <v>#DIV/0!</v>
      </c>
      <c r="WKJ193" s="367" t="s">
        <v>206</v>
      </c>
      <c r="WKK193" s="367"/>
      <c r="WKL193" s="367"/>
      <c r="WKM193" s="368" t="s">
        <v>168</v>
      </c>
      <c r="WKN193" s="369">
        <v>0.5</v>
      </c>
      <c r="WKO193" s="370" t="e">
        <f>10/WKK191</f>
        <v>#DIV/0!</v>
      </c>
      <c r="WKP193" s="371">
        <v>15.38</v>
      </c>
      <c r="WKQ193" s="371" t="e">
        <f>WKN193*WKO193*WKP193</f>
        <v>#DIV/0!</v>
      </c>
      <c r="WKR193" s="367" t="s">
        <v>206</v>
      </c>
      <c r="WKS193" s="367"/>
      <c r="WKT193" s="367"/>
      <c r="WKU193" s="368" t="s">
        <v>168</v>
      </c>
      <c r="WKV193" s="369">
        <v>0.5</v>
      </c>
      <c r="WKW193" s="370" t="e">
        <f>10/WKS191</f>
        <v>#DIV/0!</v>
      </c>
      <c r="WKX193" s="371">
        <v>15.38</v>
      </c>
      <c r="WKY193" s="371" t="e">
        <f>WKV193*WKW193*WKX193</f>
        <v>#DIV/0!</v>
      </c>
      <c r="WKZ193" s="367" t="s">
        <v>206</v>
      </c>
      <c r="WLA193" s="367"/>
      <c r="WLB193" s="367"/>
      <c r="WLC193" s="368" t="s">
        <v>168</v>
      </c>
      <c r="WLD193" s="369">
        <v>0.5</v>
      </c>
      <c r="WLE193" s="370" t="e">
        <f>10/WLA191</f>
        <v>#DIV/0!</v>
      </c>
      <c r="WLF193" s="371">
        <v>15.38</v>
      </c>
      <c r="WLG193" s="371" t="e">
        <f>WLD193*WLE193*WLF193</f>
        <v>#DIV/0!</v>
      </c>
      <c r="WLH193" s="367" t="s">
        <v>206</v>
      </c>
      <c r="WLI193" s="367"/>
      <c r="WLJ193" s="367"/>
      <c r="WLK193" s="368" t="s">
        <v>168</v>
      </c>
      <c r="WLL193" s="369">
        <v>0.5</v>
      </c>
      <c r="WLM193" s="370" t="e">
        <f>10/WLI191</f>
        <v>#DIV/0!</v>
      </c>
      <c r="WLN193" s="371">
        <v>15.38</v>
      </c>
      <c r="WLO193" s="371" t="e">
        <f>WLL193*WLM193*WLN193</f>
        <v>#DIV/0!</v>
      </c>
      <c r="WLP193" s="367" t="s">
        <v>206</v>
      </c>
      <c r="WLQ193" s="367"/>
      <c r="WLR193" s="367"/>
      <c r="WLS193" s="368" t="s">
        <v>168</v>
      </c>
      <c r="WLT193" s="369">
        <v>0.5</v>
      </c>
      <c r="WLU193" s="370" t="e">
        <f>10/WLQ191</f>
        <v>#DIV/0!</v>
      </c>
      <c r="WLV193" s="371">
        <v>15.38</v>
      </c>
      <c r="WLW193" s="371" t="e">
        <f>WLT193*WLU193*WLV193</f>
        <v>#DIV/0!</v>
      </c>
      <c r="WLX193" s="367" t="s">
        <v>206</v>
      </c>
      <c r="WLY193" s="367"/>
      <c r="WLZ193" s="367"/>
      <c r="WMA193" s="368" t="s">
        <v>168</v>
      </c>
      <c r="WMB193" s="369">
        <v>0.5</v>
      </c>
      <c r="WMC193" s="370" t="e">
        <f>10/WLY191</f>
        <v>#DIV/0!</v>
      </c>
      <c r="WMD193" s="371">
        <v>15.38</v>
      </c>
      <c r="WME193" s="371" t="e">
        <f>WMB193*WMC193*WMD193</f>
        <v>#DIV/0!</v>
      </c>
      <c r="WMF193" s="367" t="s">
        <v>206</v>
      </c>
      <c r="WMG193" s="367"/>
      <c r="WMH193" s="367"/>
      <c r="WMI193" s="368" t="s">
        <v>168</v>
      </c>
      <c r="WMJ193" s="369">
        <v>0.5</v>
      </c>
      <c r="WMK193" s="370" t="e">
        <f>10/WMG191</f>
        <v>#DIV/0!</v>
      </c>
      <c r="WML193" s="371">
        <v>15.38</v>
      </c>
      <c r="WMM193" s="371" t="e">
        <f>WMJ193*WMK193*WML193</f>
        <v>#DIV/0!</v>
      </c>
      <c r="WMN193" s="367" t="s">
        <v>206</v>
      </c>
      <c r="WMO193" s="367"/>
      <c r="WMP193" s="367"/>
      <c r="WMQ193" s="368" t="s">
        <v>168</v>
      </c>
      <c r="WMR193" s="369">
        <v>0.5</v>
      </c>
      <c r="WMS193" s="370" t="e">
        <f>10/WMO191</f>
        <v>#DIV/0!</v>
      </c>
      <c r="WMT193" s="371">
        <v>15.38</v>
      </c>
      <c r="WMU193" s="371" t="e">
        <f>WMR193*WMS193*WMT193</f>
        <v>#DIV/0!</v>
      </c>
      <c r="WMV193" s="367" t="s">
        <v>206</v>
      </c>
      <c r="WMW193" s="367"/>
      <c r="WMX193" s="367"/>
      <c r="WMY193" s="368" t="s">
        <v>168</v>
      </c>
      <c r="WMZ193" s="369">
        <v>0.5</v>
      </c>
      <c r="WNA193" s="370" t="e">
        <f>10/WMW191</f>
        <v>#DIV/0!</v>
      </c>
      <c r="WNB193" s="371">
        <v>15.38</v>
      </c>
      <c r="WNC193" s="371" t="e">
        <f>WMZ193*WNA193*WNB193</f>
        <v>#DIV/0!</v>
      </c>
      <c r="WND193" s="367" t="s">
        <v>206</v>
      </c>
      <c r="WNE193" s="367"/>
      <c r="WNF193" s="367"/>
      <c r="WNG193" s="368" t="s">
        <v>168</v>
      </c>
      <c r="WNH193" s="369">
        <v>0.5</v>
      </c>
      <c r="WNI193" s="370" t="e">
        <f>10/WNE191</f>
        <v>#DIV/0!</v>
      </c>
      <c r="WNJ193" s="371">
        <v>15.38</v>
      </c>
      <c r="WNK193" s="371" t="e">
        <f>WNH193*WNI193*WNJ193</f>
        <v>#DIV/0!</v>
      </c>
      <c r="WNL193" s="367" t="s">
        <v>206</v>
      </c>
      <c r="WNM193" s="367"/>
      <c r="WNN193" s="367"/>
      <c r="WNO193" s="368" t="s">
        <v>168</v>
      </c>
      <c r="WNP193" s="369">
        <v>0.5</v>
      </c>
      <c r="WNQ193" s="370" t="e">
        <f>10/WNM191</f>
        <v>#DIV/0!</v>
      </c>
      <c r="WNR193" s="371">
        <v>15.38</v>
      </c>
      <c r="WNS193" s="371" t="e">
        <f>WNP193*WNQ193*WNR193</f>
        <v>#DIV/0!</v>
      </c>
      <c r="WNT193" s="367" t="s">
        <v>206</v>
      </c>
      <c r="WNU193" s="367"/>
      <c r="WNV193" s="367"/>
      <c r="WNW193" s="368" t="s">
        <v>168</v>
      </c>
      <c r="WNX193" s="369">
        <v>0.5</v>
      </c>
      <c r="WNY193" s="370" t="e">
        <f>10/WNU191</f>
        <v>#DIV/0!</v>
      </c>
      <c r="WNZ193" s="371">
        <v>15.38</v>
      </c>
      <c r="WOA193" s="371" t="e">
        <f>WNX193*WNY193*WNZ193</f>
        <v>#DIV/0!</v>
      </c>
      <c r="WOB193" s="367" t="s">
        <v>206</v>
      </c>
      <c r="WOC193" s="367"/>
      <c r="WOD193" s="367"/>
      <c r="WOE193" s="368" t="s">
        <v>168</v>
      </c>
      <c r="WOF193" s="369">
        <v>0.5</v>
      </c>
      <c r="WOG193" s="370" t="e">
        <f>10/WOC191</f>
        <v>#DIV/0!</v>
      </c>
      <c r="WOH193" s="371">
        <v>15.38</v>
      </c>
      <c r="WOI193" s="371" t="e">
        <f>WOF193*WOG193*WOH193</f>
        <v>#DIV/0!</v>
      </c>
      <c r="WOJ193" s="367" t="s">
        <v>206</v>
      </c>
      <c r="WOK193" s="367"/>
      <c r="WOL193" s="367"/>
      <c r="WOM193" s="368" t="s">
        <v>168</v>
      </c>
      <c r="WON193" s="369">
        <v>0.5</v>
      </c>
      <c r="WOO193" s="370" t="e">
        <f>10/WOK191</f>
        <v>#DIV/0!</v>
      </c>
      <c r="WOP193" s="371">
        <v>15.38</v>
      </c>
      <c r="WOQ193" s="371" t="e">
        <f>WON193*WOO193*WOP193</f>
        <v>#DIV/0!</v>
      </c>
      <c r="WOR193" s="367" t="s">
        <v>206</v>
      </c>
      <c r="WOS193" s="367"/>
      <c r="WOT193" s="367"/>
      <c r="WOU193" s="368" t="s">
        <v>168</v>
      </c>
      <c r="WOV193" s="369">
        <v>0.5</v>
      </c>
      <c r="WOW193" s="370" t="e">
        <f>10/WOS191</f>
        <v>#DIV/0!</v>
      </c>
      <c r="WOX193" s="371">
        <v>15.38</v>
      </c>
      <c r="WOY193" s="371" t="e">
        <f>WOV193*WOW193*WOX193</f>
        <v>#DIV/0!</v>
      </c>
      <c r="WOZ193" s="367" t="s">
        <v>206</v>
      </c>
      <c r="WPA193" s="367"/>
      <c r="WPB193" s="367"/>
      <c r="WPC193" s="368" t="s">
        <v>168</v>
      </c>
      <c r="WPD193" s="369">
        <v>0.5</v>
      </c>
      <c r="WPE193" s="370" t="e">
        <f>10/WPA191</f>
        <v>#DIV/0!</v>
      </c>
      <c r="WPF193" s="371">
        <v>15.38</v>
      </c>
      <c r="WPG193" s="371" t="e">
        <f>WPD193*WPE193*WPF193</f>
        <v>#DIV/0!</v>
      </c>
      <c r="WPH193" s="367" t="s">
        <v>206</v>
      </c>
      <c r="WPI193" s="367"/>
      <c r="WPJ193" s="367"/>
      <c r="WPK193" s="368" t="s">
        <v>168</v>
      </c>
      <c r="WPL193" s="369">
        <v>0.5</v>
      </c>
      <c r="WPM193" s="370" t="e">
        <f>10/WPI191</f>
        <v>#DIV/0!</v>
      </c>
      <c r="WPN193" s="371">
        <v>15.38</v>
      </c>
      <c r="WPO193" s="371" t="e">
        <f>WPL193*WPM193*WPN193</f>
        <v>#DIV/0!</v>
      </c>
      <c r="WPP193" s="367" t="s">
        <v>206</v>
      </c>
      <c r="WPQ193" s="367"/>
      <c r="WPR193" s="367"/>
      <c r="WPS193" s="368" t="s">
        <v>168</v>
      </c>
      <c r="WPT193" s="369">
        <v>0.5</v>
      </c>
      <c r="WPU193" s="370" t="e">
        <f>10/WPQ191</f>
        <v>#DIV/0!</v>
      </c>
      <c r="WPV193" s="371">
        <v>15.38</v>
      </c>
      <c r="WPW193" s="371" t="e">
        <f>WPT193*WPU193*WPV193</f>
        <v>#DIV/0!</v>
      </c>
      <c r="WPX193" s="367" t="s">
        <v>206</v>
      </c>
      <c r="WPY193" s="367"/>
      <c r="WPZ193" s="367"/>
      <c r="WQA193" s="368" t="s">
        <v>168</v>
      </c>
      <c r="WQB193" s="369">
        <v>0.5</v>
      </c>
      <c r="WQC193" s="370" t="e">
        <f>10/WPY191</f>
        <v>#DIV/0!</v>
      </c>
      <c r="WQD193" s="371">
        <v>15.38</v>
      </c>
      <c r="WQE193" s="371" t="e">
        <f>WQB193*WQC193*WQD193</f>
        <v>#DIV/0!</v>
      </c>
      <c r="WQF193" s="367" t="s">
        <v>206</v>
      </c>
      <c r="WQG193" s="367"/>
      <c r="WQH193" s="367"/>
      <c r="WQI193" s="368" t="s">
        <v>168</v>
      </c>
      <c r="WQJ193" s="369">
        <v>0.5</v>
      </c>
      <c r="WQK193" s="370" t="e">
        <f>10/WQG191</f>
        <v>#DIV/0!</v>
      </c>
      <c r="WQL193" s="371">
        <v>15.38</v>
      </c>
      <c r="WQM193" s="371" t="e">
        <f>WQJ193*WQK193*WQL193</f>
        <v>#DIV/0!</v>
      </c>
      <c r="WQN193" s="367" t="s">
        <v>206</v>
      </c>
      <c r="WQO193" s="367"/>
      <c r="WQP193" s="367"/>
      <c r="WQQ193" s="368" t="s">
        <v>168</v>
      </c>
      <c r="WQR193" s="369">
        <v>0.5</v>
      </c>
      <c r="WQS193" s="370" t="e">
        <f>10/WQO191</f>
        <v>#DIV/0!</v>
      </c>
      <c r="WQT193" s="371">
        <v>15.38</v>
      </c>
      <c r="WQU193" s="371" t="e">
        <f>WQR193*WQS193*WQT193</f>
        <v>#DIV/0!</v>
      </c>
      <c r="WQV193" s="367" t="s">
        <v>206</v>
      </c>
      <c r="WQW193" s="367"/>
      <c r="WQX193" s="367"/>
      <c r="WQY193" s="368" t="s">
        <v>168</v>
      </c>
      <c r="WQZ193" s="369">
        <v>0.5</v>
      </c>
      <c r="WRA193" s="370" t="e">
        <f>10/WQW191</f>
        <v>#DIV/0!</v>
      </c>
      <c r="WRB193" s="371">
        <v>15.38</v>
      </c>
      <c r="WRC193" s="371" t="e">
        <f>WQZ193*WRA193*WRB193</f>
        <v>#DIV/0!</v>
      </c>
      <c r="WRD193" s="367" t="s">
        <v>206</v>
      </c>
      <c r="WRE193" s="367"/>
      <c r="WRF193" s="367"/>
      <c r="WRG193" s="368" t="s">
        <v>168</v>
      </c>
      <c r="WRH193" s="369">
        <v>0.5</v>
      </c>
      <c r="WRI193" s="370" t="e">
        <f>10/WRE191</f>
        <v>#DIV/0!</v>
      </c>
      <c r="WRJ193" s="371">
        <v>15.38</v>
      </c>
      <c r="WRK193" s="371" t="e">
        <f>WRH193*WRI193*WRJ193</f>
        <v>#DIV/0!</v>
      </c>
      <c r="WRL193" s="367" t="s">
        <v>206</v>
      </c>
      <c r="WRM193" s="367"/>
      <c r="WRN193" s="367"/>
      <c r="WRO193" s="368" t="s">
        <v>168</v>
      </c>
      <c r="WRP193" s="369">
        <v>0.5</v>
      </c>
      <c r="WRQ193" s="370" t="e">
        <f>10/WRM191</f>
        <v>#DIV/0!</v>
      </c>
      <c r="WRR193" s="371">
        <v>15.38</v>
      </c>
      <c r="WRS193" s="371" t="e">
        <f>WRP193*WRQ193*WRR193</f>
        <v>#DIV/0!</v>
      </c>
      <c r="WRT193" s="367" t="s">
        <v>206</v>
      </c>
      <c r="WRU193" s="367"/>
      <c r="WRV193" s="367"/>
      <c r="WRW193" s="368" t="s">
        <v>168</v>
      </c>
      <c r="WRX193" s="369">
        <v>0.5</v>
      </c>
      <c r="WRY193" s="370" t="e">
        <f>10/WRU191</f>
        <v>#DIV/0!</v>
      </c>
      <c r="WRZ193" s="371">
        <v>15.38</v>
      </c>
      <c r="WSA193" s="371" t="e">
        <f>WRX193*WRY193*WRZ193</f>
        <v>#DIV/0!</v>
      </c>
      <c r="WSB193" s="367" t="s">
        <v>206</v>
      </c>
      <c r="WSC193" s="367"/>
      <c r="WSD193" s="367"/>
      <c r="WSE193" s="368" t="s">
        <v>168</v>
      </c>
      <c r="WSF193" s="369">
        <v>0.5</v>
      </c>
      <c r="WSG193" s="370" t="e">
        <f>10/WSC191</f>
        <v>#DIV/0!</v>
      </c>
      <c r="WSH193" s="371">
        <v>15.38</v>
      </c>
      <c r="WSI193" s="371" t="e">
        <f>WSF193*WSG193*WSH193</f>
        <v>#DIV/0!</v>
      </c>
      <c r="WSJ193" s="367" t="s">
        <v>206</v>
      </c>
      <c r="WSK193" s="367"/>
      <c r="WSL193" s="367"/>
      <c r="WSM193" s="368" t="s">
        <v>168</v>
      </c>
      <c r="WSN193" s="369">
        <v>0.5</v>
      </c>
      <c r="WSO193" s="370" t="e">
        <f>10/WSK191</f>
        <v>#DIV/0!</v>
      </c>
      <c r="WSP193" s="371">
        <v>15.38</v>
      </c>
      <c r="WSQ193" s="371" t="e">
        <f>WSN193*WSO193*WSP193</f>
        <v>#DIV/0!</v>
      </c>
      <c r="WSR193" s="367" t="s">
        <v>206</v>
      </c>
      <c r="WSS193" s="367"/>
      <c r="WST193" s="367"/>
      <c r="WSU193" s="368" t="s">
        <v>168</v>
      </c>
      <c r="WSV193" s="369">
        <v>0.5</v>
      </c>
      <c r="WSW193" s="370" t="e">
        <f>10/WSS191</f>
        <v>#DIV/0!</v>
      </c>
      <c r="WSX193" s="371">
        <v>15.38</v>
      </c>
      <c r="WSY193" s="371" t="e">
        <f>WSV193*WSW193*WSX193</f>
        <v>#DIV/0!</v>
      </c>
      <c r="WSZ193" s="367" t="s">
        <v>206</v>
      </c>
      <c r="WTA193" s="367"/>
      <c r="WTB193" s="367"/>
      <c r="WTC193" s="368" t="s">
        <v>168</v>
      </c>
      <c r="WTD193" s="369">
        <v>0.5</v>
      </c>
      <c r="WTE193" s="370" t="e">
        <f>10/WTA191</f>
        <v>#DIV/0!</v>
      </c>
      <c r="WTF193" s="371">
        <v>15.38</v>
      </c>
      <c r="WTG193" s="371" t="e">
        <f>WTD193*WTE193*WTF193</f>
        <v>#DIV/0!</v>
      </c>
      <c r="WTH193" s="367" t="s">
        <v>206</v>
      </c>
      <c r="WTI193" s="367"/>
      <c r="WTJ193" s="367"/>
      <c r="WTK193" s="368" t="s">
        <v>168</v>
      </c>
      <c r="WTL193" s="369">
        <v>0.5</v>
      </c>
      <c r="WTM193" s="370" t="e">
        <f>10/WTI191</f>
        <v>#DIV/0!</v>
      </c>
      <c r="WTN193" s="371">
        <v>15.38</v>
      </c>
      <c r="WTO193" s="371" t="e">
        <f>WTL193*WTM193*WTN193</f>
        <v>#DIV/0!</v>
      </c>
      <c r="WTP193" s="367" t="s">
        <v>206</v>
      </c>
      <c r="WTQ193" s="367"/>
      <c r="WTR193" s="367"/>
      <c r="WTS193" s="368" t="s">
        <v>168</v>
      </c>
      <c r="WTT193" s="369">
        <v>0.5</v>
      </c>
      <c r="WTU193" s="370" t="e">
        <f>10/WTQ191</f>
        <v>#DIV/0!</v>
      </c>
      <c r="WTV193" s="371">
        <v>15.38</v>
      </c>
      <c r="WTW193" s="371" t="e">
        <f>WTT193*WTU193*WTV193</f>
        <v>#DIV/0!</v>
      </c>
      <c r="WTX193" s="367" t="s">
        <v>206</v>
      </c>
      <c r="WTY193" s="367"/>
      <c r="WTZ193" s="367"/>
      <c r="WUA193" s="368" t="s">
        <v>168</v>
      </c>
      <c r="WUB193" s="369">
        <v>0.5</v>
      </c>
      <c r="WUC193" s="370" t="e">
        <f>10/WTY191</f>
        <v>#DIV/0!</v>
      </c>
      <c r="WUD193" s="371">
        <v>15.38</v>
      </c>
      <c r="WUE193" s="371" t="e">
        <f>WUB193*WUC193*WUD193</f>
        <v>#DIV/0!</v>
      </c>
      <c r="WUF193" s="367" t="s">
        <v>206</v>
      </c>
      <c r="WUG193" s="367"/>
      <c r="WUH193" s="367"/>
      <c r="WUI193" s="368" t="s">
        <v>168</v>
      </c>
      <c r="WUJ193" s="369">
        <v>0.5</v>
      </c>
      <c r="WUK193" s="370" t="e">
        <f>10/WUG191</f>
        <v>#DIV/0!</v>
      </c>
      <c r="WUL193" s="371">
        <v>15.38</v>
      </c>
      <c r="WUM193" s="371" t="e">
        <f>WUJ193*WUK193*WUL193</f>
        <v>#DIV/0!</v>
      </c>
      <c r="WUN193" s="367" t="s">
        <v>206</v>
      </c>
      <c r="WUO193" s="367"/>
      <c r="WUP193" s="367"/>
      <c r="WUQ193" s="368" t="s">
        <v>168</v>
      </c>
      <c r="WUR193" s="369">
        <v>0.5</v>
      </c>
      <c r="WUS193" s="370" t="e">
        <f>10/WUO191</f>
        <v>#DIV/0!</v>
      </c>
      <c r="WUT193" s="371">
        <v>15.38</v>
      </c>
      <c r="WUU193" s="371" t="e">
        <f>WUR193*WUS193*WUT193</f>
        <v>#DIV/0!</v>
      </c>
      <c r="WUV193" s="367" t="s">
        <v>206</v>
      </c>
      <c r="WUW193" s="367"/>
      <c r="WUX193" s="367"/>
      <c r="WUY193" s="368" t="s">
        <v>168</v>
      </c>
      <c r="WUZ193" s="369">
        <v>0.5</v>
      </c>
      <c r="WVA193" s="370" t="e">
        <f>10/WUW191</f>
        <v>#DIV/0!</v>
      </c>
      <c r="WVB193" s="371">
        <v>15.38</v>
      </c>
      <c r="WVC193" s="371" t="e">
        <f>WUZ193*WVA193*WVB193</f>
        <v>#DIV/0!</v>
      </c>
      <c r="WVD193" s="367" t="s">
        <v>206</v>
      </c>
      <c r="WVE193" s="367"/>
      <c r="WVF193" s="367"/>
      <c r="WVG193" s="368" t="s">
        <v>168</v>
      </c>
      <c r="WVH193" s="369">
        <v>0.5</v>
      </c>
      <c r="WVI193" s="370" t="e">
        <f>10/WVE191</f>
        <v>#DIV/0!</v>
      </c>
      <c r="WVJ193" s="371">
        <v>15.38</v>
      </c>
      <c r="WVK193" s="371" t="e">
        <f>WVH193*WVI193*WVJ193</f>
        <v>#DIV/0!</v>
      </c>
      <c r="WVL193" s="367" t="s">
        <v>206</v>
      </c>
      <c r="WVM193" s="367"/>
      <c r="WVN193" s="367"/>
      <c r="WVO193" s="368" t="s">
        <v>168</v>
      </c>
      <c r="WVP193" s="369">
        <v>0.5</v>
      </c>
      <c r="WVQ193" s="370" t="e">
        <f>10/WVM191</f>
        <v>#DIV/0!</v>
      </c>
      <c r="WVR193" s="371">
        <v>15.38</v>
      </c>
      <c r="WVS193" s="371" t="e">
        <f>WVP193*WVQ193*WVR193</f>
        <v>#DIV/0!</v>
      </c>
      <c r="WVT193" s="367" t="s">
        <v>206</v>
      </c>
      <c r="WVU193" s="367"/>
      <c r="WVV193" s="367"/>
      <c r="WVW193" s="368" t="s">
        <v>168</v>
      </c>
      <c r="WVX193" s="369">
        <v>0.5</v>
      </c>
      <c r="WVY193" s="370" t="e">
        <f>10/WVU191</f>
        <v>#DIV/0!</v>
      </c>
      <c r="WVZ193" s="371">
        <v>15.38</v>
      </c>
      <c r="WWA193" s="371" t="e">
        <f>WVX193*WVY193*WVZ193</f>
        <v>#DIV/0!</v>
      </c>
      <c r="WWB193" s="367" t="s">
        <v>206</v>
      </c>
      <c r="WWC193" s="367"/>
      <c r="WWD193" s="367"/>
      <c r="WWE193" s="368" t="s">
        <v>168</v>
      </c>
      <c r="WWF193" s="369">
        <v>0.5</v>
      </c>
      <c r="WWG193" s="370" t="e">
        <f>10/WWC191</f>
        <v>#DIV/0!</v>
      </c>
      <c r="WWH193" s="371">
        <v>15.38</v>
      </c>
      <c r="WWI193" s="371" t="e">
        <f>WWF193*WWG193*WWH193</f>
        <v>#DIV/0!</v>
      </c>
      <c r="WWJ193" s="367" t="s">
        <v>206</v>
      </c>
      <c r="WWK193" s="367"/>
      <c r="WWL193" s="367"/>
      <c r="WWM193" s="368" t="s">
        <v>168</v>
      </c>
      <c r="WWN193" s="369">
        <v>0.5</v>
      </c>
      <c r="WWO193" s="370" t="e">
        <f>10/WWK191</f>
        <v>#DIV/0!</v>
      </c>
      <c r="WWP193" s="371">
        <v>15.38</v>
      </c>
      <c r="WWQ193" s="371" t="e">
        <f>WWN193*WWO193*WWP193</f>
        <v>#DIV/0!</v>
      </c>
      <c r="WWR193" s="367" t="s">
        <v>206</v>
      </c>
      <c r="WWS193" s="367"/>
      <c r="WWT193" s="367"/>
      <c r="WWU193" s="368" t="s">
        <v>168</v>
      </c>
      <c r="WWV193" s="369">
        <v>0.5</v>
      </c>
      <c r="WWW193" s="370" t="e">
        <f>10/WWS191</f>
        <v>#DIV/0!</v>
      </c>
      <c r="WWX193" s="371">
        <v>15.38</v>
      </c>
      <c r="WWY193" s="371" t="e">
        <f>WWV193*WWW193*WWX193</f>
        <v>#DIV/0!</v>
      </c>
      <c r="WWZ193" s="367" t="s">
        <v>206</v>
      </c>
      <c r="WXA193" s="367"/>
      <c r="WXB193" s="367"/>
      <c r="WXC193" s="368" t="s">
        <v>168</v>
      </c>
      <c r="WXD193" s="369">
        <v>0.5</v>
      </c>
      <c r="WXE193" s="370" t="e">
        <f>10/WXA191</f>
        <v>#DIV/0!</v>
      </c>
      <c r="WXF193" s="371">
        <v>15.38</v>
      </c>
      <c r="WXG193" s="371" t="e">
        <f>WXD193*WXE193*WXF193</f>
        <v>#DIV/0!</v>
      </c>
      <c r="WXH193" s="367" t="s">
        <v>206</v>
      </c>
      <c r="WXI193" s="367"/>
      <c r="WXJ193" s="367"/>
      <c r="WXK193" s="368" t="s">
        <v>168</v>
      </c>
      <c r="WXL193" s="369">
        <v>0.5</v>
      </c>
      <c r="WXM193" s="370" t="e">
        <f>10/WXI191</f>
        <v>#DIV/0!</v>
      </c>
      <c r="WXN193" s="371">
        <v>15.38</v>
      </c>
      <c r="WXO193" s="371" t="e">
        <f>WXL193*WXM193*WXN193</f>
        <v>#DIV/0!</v>
      </c>
      <c r="WXP193" s="367" t="s">
        <v>206</v>
      </c>
      <c r="WXQ193" s="367"/>
      <c r="WXR193" s="367"/>
      <c r="WXS193" s="368" t="s">
        <v>168</v>
      </c>
      <c r="WXT193" s="369">
        <v>0.5</v>
      </c>
      <c r="WXU193" s="370" t="e">
        <f>10/WXQ191</f>
        <v>#DIV/0!</v>
      </c>
      <c r="WXV193" s="371">
        <v>15.38</v>
      </c>
      <c r="WXW193" s="371" t="e">
        <f>WXT193*WXU193*WXV193</f>
        <v>#DIV/0!</v>
      </c>
      <c r="WXX193" s="367" t="s">
        <v>206</v>
      </c>
      <c r="WXY193" s="367"/>
      <c r="WXZ193" s="367"/>
      <c r="WYA193" s="368" t="s">
        <v>168</v>
      </c>
      <c r="WYB193" s="369">
        <v>0.5</v>
      </c>
      <c r="WYC193" s="370" t="e">
        <f>10/WXY191</f>
        <v>#DIV/0!</v>
      </c>
      <c r="WYD193" s="371">
        <v>15.38</v>
      </c>
      <c r="WYE193" s="371" t="e">
        <f>WYB193*WYC193*WYD193</f>
        <v>#DIV/0!</v>
      </c>
      <c r="WYF193" s="367" t="s">
        <v>206</v>
      </c>
      <c r="WYG193" s="367"/>
      <c r="WYH193" s="367"/>
      <c r="WYI193" s="368" t="s">
        <v>168</v>
      </c>
      <c r="WYJ193" s="369">
        <v>0.5</v>
      </c>
      <c r="WYK193" s="370" t="e">
        <f>10/WYG191</f>
        <v>#DIV/0!</v>
      </c>
      <c r="WYL193" s="371">
        <v>15.38</v>
      </c>
      <c r="WYM193" s="371" t="e">
        <f>WYJ193*WYK193*WYL193</f>
        <v>#DIV/0!</v>
      </c>
      <c r="WYN193" s="367" t="s">
        <v>206</v>
      </c>
      <c r="WYO193" s="367"/>
      <c r="WYP193" s="367"/>
      <c r="WYQ193" s="368" t="s">
        <v>168</v>
      </c>
      <c r="WYR193" s="369">
        <v>0.5</v>
      </c>
      <c r="WYS193" s="370" t="e">
        <f>10/WYO191</f>
        <v>#DIV/0!</v>
      </c>
      <c r="WYT193" s="371">
        <v>15.38</v>
      </c>
      <c r="WYU193" s="371" t="e">
        <f>WYR193*WYS193*WYT193</f>
        <v>#DIV/0!</v>
      </c>
      <c r="WYV193" s="367" t="s">
        <v>206</v>
      </c>
      <c r="WYW193" s="367"/>
      <c r="WYX193" s="367"/>
      <c r="WYY193" s="368" t="s">
        <v>168</v>
      </c>
      <c r="WYZ193" s="369">
        <v>0.5</v>
      </c>
      <c r="WZA193" s="370" t="e">
        <f>10/WYW191</f>
        <v>#DIV/0!</v>
      </c>
      <c r="WZB193" s="371">
        <v>15.38</v>
      </c>
      <c r="WZC193" s="371" t="e">
        <f>WYZ193*WZA193*WZB193</f>
        <v>#DIV/0!</v>
      </c>
      <c r="WZD193" s="367" t="s">
        <v>206</v>
      </c>
      <c r="WZE193" s="367"/>
      <c r="WZF193" s="367"/>
      <c r="WZG193" s="368" t="s">
        <v>168</v>
      </c>
      <c r="WZH193" s="369">
        <v>0.5</v>
      </c>
      <c r="WZI193" s="370" t="e">
        <f>10/WZE191</f>
        <v>#DIV/0!</v>
      </c>
      <c r="WZJ193" s="371">
        <v>15.38</v>
      </c>
      <c r="WZK193" s="371" t="e">
        <f>WZH193*WZI193*WZJ193</f>
        <v>#DIV/0!</v>
      </c>
      <c r="WZL193" s="367" t="s">
        <v>206</v>
      </c>
      <c r="WZM193" s="367"/>
      <c r="WZN193" s="367"/>
      <c r="WZO193" s="368" t="s">
        <v>168</v>
      </c>
      <c r="WZP193" s="369">
        <v>0.5</v>
      </c>
      <c r="WZQ193" s="370" t="e">
        <f>10/WZM191</f>
        <v>#DIV/0!</v>
      </c>
      <c r="WZR193" s="371">
        <v>15.38</v>
      </c>
      <c r="WZS193" s="371" t="e">
        <f>WZP193*WZQ193*WZR193</f>
        <v>#DIV/0!</v>
      </c>
      <c r="WZT193" s="367" t="s">
        <v>206</v>
      </c>
      <c r="WZU193" s="367"/>
      <c r="WZV193" s="367"/>
      <c r="WZW193" s="368" t="s">
        <v>168</v>
      </c>
      <c r="WZX193" s="369">
        <v>0.5</v>
      </c>
      <c r="WZY193" s="370" t="e">
        <f>10/WZU191</f>
        <v>#DIV/0!</v>
      </c>
      <c r="WZZ193" s="371">
        <v>15.38</v>
      </c>
      <c r="XAA193" s="371" t="e">
        <f>WZX193*WZY193*WZZ193</f>
        <v>#DIV/0!</v>
      </c>
      <c r="XAB193" s="367" t="s">
        <v>206</v>
      </c>
      <c r="XAC193" s="367"/>
      <c r="XAD193" s="367"/>
      <c r="XAE193" s="368" t="s">
        <v>168</v>
      </c>
      <c r="XAF193" s="369">
        <v>0.5</v>
      </c>
      <c r="XAG193" s="370" t="e">
        <f>10/XAC191</f>
        <v>#DIV/0!</v>
      </c>
      <c r="XAH193" s="371">
        <v>15.38</v>
      </c>
      <c r="XAI193" s="371" t="e">
        <f>XAF193*XAG193*XAH193</f>
        <v>#DIV/0!</v>
      </c>
      <c r="XAJ193" s="367" t="s">
        <v>206</v>
      </c>
      <c r="XAK193" s="367"/>
      <c r="XAL193" s="367"/>
      <c r="XAM193" s="368" t="s">
        <v>168</v>
      </c>
      <c r="XAN193" s="369">
        <v>0.5</v>
      </c>
      <c r="XAO193" s="370" t="e">
        <f>10/XAK191</f>
        <v>#DIV/0!</v>
      </c>
      <c r="XAP193" s="371">
        <v>15.38</v>
      </c>
      <c r="XAQ193" s="371" t="e">
        <f>XAN193*XAO193*XAP193</f>
        <v>#DIV/0!</v>
      </c>
      <c r="XAR193" s="367" t="s">
        <v>206</v>
      </c>
      <c r="XAS193" s="367"/>
      <c r="XAT193" s="367"/>
      <c r="XAU193" s="368" t="s">
        <v>168</v>
      </c>
      <c r="XAV193" s="369">
        <v>0.5</v>
      </c>
      <c r="XAW193" s="370" t="e">
        <f>10/XAS191</f>
        <v>#DIV/0!</v>
      </c>
      <c r="XAX193" s="371">
        <v>15.38</v>
      </c>
      <c r="XAY193" s="371" t="e">
        <f>XAV193*XAW193*XAX193</f>
        <v>#DIV/0!</v>
      </c>
      <c r="XAZ193" s="367" t="s">
        <v>206</v>
      </c>
      <c r="XBA193" s="367"/>
      <c r="XBB193" s="367"/>
      <c r="XBC193" s="368" t="s">
        <v>168</v>
      </c>
      <c r="XBD193" s="369">
        <v>0.5</v>
      </c>
      <c r="XBE193" s="370" t="e">
        <f>10/XBA191</f>
        <v>#DIV/0!</v>
      </c>
      <c r="XBF193" s="371">
        <v>15.38</v>
      </c>
      <c r="XBG193" s="371" t="e">
        <f>XBD193*XBE193*XBF193</f>
        <v>#DIV/0!</v>
      </c>
      <c r="XBH193" s="367" t="s">
        <v>206</v>
      </c>
      <c r="XBI193" s="367"/>
      <c r="XBJ193" s="367"/>
      <c r="XBK193" s="368" t="s">
        <v>168</v>
      </c>
      <c r="XBL193" s="369">
        <v>0.5</v>
      </c>
      <c r="XBM193" s="370" t="e">
        <f>10/XBI191</f>
        <v>#DIV/0!</v>
      </c>
      <c r="XBN193" s="371">
        <v>15.38</v>
      </c>
      <c r="XBO193" s="371" t="e">
        <f>XBL193*XBM193*XBN193</f>
        <v>#DIV/0!</v>
      </c>
      <c r="XBP193" s="367" t="s">
        <v>206</v>
      </c>
      <c r="XBQ193" s="367"/>
      <c r="XBR193" s="367"/>
      <c r="XBS193" s="368" t="s">
        <v>168</v>
      </c>
      <c r="XBT193" s="369">
        <v>0.5</v>
      </c>
      <c r="XBU193" s="370" t="e">
        <f>10/XBQ191</f>
        <v>#DIV/0!</v>
      </c>
      <c r="XBV193" s="371">
        <v>15.38</v>
      </c>
      <c r="XBW193" s="371" t="e">
        <f>XBT193*XBU193*XBV193</f>
        <v>#DIV/0!</v>
      </c>
    </row>
    <row r="194" spans="1:16299" x14ac:dyDescent="0.25">
      <c r="A194" s="367" t="s">
        <v>167</v>
      </c>
      <c r="D194" s="368" t="s">
        <v>168</v>
      </c>
      <c r="E194" s="369">
        <v>1</v>
      </c>
      <c r="F194" s="370">
        <f>10/B191</f>
        <v>2.5</v>
      </c>
      <c r="G194" s="371">
        <v>13.94</v>
      </c>
      <c r="H194" s="371">
        <f>E194*F194*G194</f>
        <v>34.85</v>
      </c>
    </row>
    <row r="195" spans="1:16299" x14ac:dyDescent="0.25">
      <c r="A195" s="367" t="s">
        <v>169</v>
      </c>
      <c r="D195" s="368" t="s">
        <v>168</v>
      </c>
      <c r="E195" s="369">
        <v>1</v>
      </c>
      <c r="F195" s="370">
        <f>10/B191</f>
        <v>2.5</v>
      </c>
      <c r="G195" s="320">
        <v>13</v>
      </c>
      <c r="H195" s="371">
        <f>E195*F195*G195</f>
        <v>32.5</v>
      </c>
    </row>
    <row r="196" spans="1:16299" ht="15" customHeight="1" x14ac:dyDescent="0.25">
      <c r="A196" s="299"/>
      <c r="B196" s="299"/>
      <c r="C196" s="299"/>
      <c r="D196" s="300"/>
      <c r="E196" s="330"/>
      <c r="F196" s="331"/>
      <c r="G196" s="301" t="s">
        <v>170</v>
      </c>
      <c r="H196" s="301">
        <f>SUM(H193:H195)</f>
        <v>86.575000000000003</v>
      </c>
    </row>
    <row r="198" spans="1:16299" x14ac:dyDescent="0.25">
      <c r="A198" s="367" t="s">
        <v>209</v>
      </c>
      <c r="D198" s="368" t="s">
        <v>210</v>
      </c>
      <c r="F198" s="370">
        <v>3</v>
      </c>
      <c r="G198" s="371">
        <f>H196</f>
        <v>86.575000000000003</v>
      </c>
      <c r="H198" s="371">
        <f>G198*F198/100</f>
        <v>2.5972500000000003</v>
      </c>
    </row>
    <row r="199" spans="1:16299" ht="15" customHeight="1" x14ac:dyDescent="0.25">
      <c r="A199" s="299"/>
      <c r="B199" s="299"/>
      <c r="C199" s="299"/>
      <c r="D199" s="300"/>
      <c r="E199" s="330"/>
      <c r="F199" s="331"/>
      <c r="G199" s="301" t="s">
        <v>173</v>
      </c>
      <c r="H199" s="301">
        <f>SUM(H198:H198)</f>
        <v>2.5972500000000003</v>
      </c>
    </row>
    <row r="202" spans="1:16299" ht="15" customHeight="1" x14ac:dyDescent="0.3">
      <c r="A202" s="295" t="s">
        <v>225</v>
      </c>
      <c r="B202" s="295"/>
      <c r="C202" s="295"/>
      <c r="D202" s="295"/>
      <c r="E202" s="295"/>
      <c r="F202" s="295"/>
      <c r="G202" s="295"/>
      <c r="H202" s="295"/>
    </row>
    <row r="203" spans="1:16299" ht="15" customHeight="1" x14ac:dyDescent="0.25">
      <c r="A203" s="285" t="s">
        <v>204</v>
      </c>
      <c r="B203" s="377">
        <v>1</v>
      </c>
      <c r="C203" s="285" t="s">
        <v>205</v>
      </c>
      <c r="D203" s="296"/>
      <c r="E203" s="327" t="s">
        <v>201</v>
      </c>
      <c r="F203" s="328"/>
      <c r="G203" s="297" t="s">
        <v>161</v>
      </c>
      <c r="H203" s="297">
        <f>H206</f>
        <v>800</v>
      </c>
    </row>
    <row r="204" spans="1:16299" ht="15" customHeight="1" x14ac:dyDescent="0.25">
      <c r="A204" s="296" t="s">
        <v>162</v>
      </c>
      <c r="B204" s="296"/>
      <c r="C204" s="296"/>
      <c r="D204" s="296" t="s">
        <v>163</v>
      </c>
      <c r="E204" s="329" t="s">
        <v>164</v>
      </c>
      <c r="F204" s="329" t="s">
        <v>24</v>
      </c>
      <c r="G204" s="298" t="s">
        <v>165</v>
      </c>
      <c r="H204" s="298" t="s">
        <v>166</v>
      </c>
    </row>
    <row r="205" spans="1:16299" x14ac:dyDescent="0.25">
      <c r="A205" s="367" t="s">
        <v>226</v>
      </c>
      <c r="D205" s="368" t="s">
        <v>30</v>
      </c>
      <c r="F205" s="370">
        <v>1</v>
      </c>
      <c r="G205" s="371">
        <v>800</v>
      </c>
      <c r="H205" s="371">
        <f>F205*G205</f>
        <v>800</v>
      </c>
    </row>
    <row r="206" spans="1:16299" ht="15" customHeight="1" x14ac:dyDescent="0.25">
      <c r="A206" s="299"/>
      <c r="B206" s="299"/>
      <c r="C206" s="299"/>
      <c r="D206" s="300"/>
      <c r="E206" s="330"/>
      <c r="F206" s="331"/>
      <c r="G206" s="301" t="s">
        <v>227</v>
      </c>
      <c r="H206" s="301">
        <f>SUM(H205:H205)</f>
        <v>800</v>
      </c>
    </row>
    <row r="209" spans="1:16299" ht="15" customHeight="1" x14ac:dyDescent="0.3">
      <c r="A209" s="295" t="s">
        <v>228</v>
      </c>
      <c r="B209" s="295"/>
      <c r="C209" s="295"/>
      <c r="D209" s="295"/>
      <c r="E209" s="295"/>
      <c r="F209" s="295"/>
      <c r="G209" s="295"/>
      <c r="H209" s="295"/>
    </row>
    <row r="210" spans="1:16299" ht="15" customHeight="1" x14ac:dyDescent="0.25">
      <c r="A210" s="285" t="s">
        <v>204</v>
      </c>
      <c r="B210" s="377">
        <v>3</v>
      </c>
      <c r="C210" s="285" t="s">
        <v>205</v>
      </c>
      <c r="D210" s="296"/>
      <c r="E210" s="327" t="s">
        <v>201</v>
      </c>
      <c r="F210" s="328"/>
      <c r="G210" s="297" t="s">
        <v>161</v>
      </c>
      <c r="H210" s="297">
        <f>H215+H218</f>
        <v>118.89633333333333</v>
      </c>
    </row>
    <row r="211" spans="1:16299" ht="15" customHeight="1" x14ac:dyDescent="0.25">
      <c r="A211" s="296" t="s">
        <v>162</v>
      </c>
      <c r="B211" s="296"/>
      <c r="C211" s="296"/>
      <c r="D211" s="296" t="s">
        <v>163</v>
      </c>
      <c r="E211" s="329" t="s">
        <v>164</v>
      </c>
      <c r="F211" s="329" t="s">
        <v>24</v>
      </c>
      <c r="G211" s="298" t="s">
        <v>165</v>
      </c>
      <c r="H211" s="298" t="s">
        <v>166</v>
      </c>
    </row>
    <row r="212" spans="1:16299" ht="15" customHeight="1" x14ac:dyDescent="0.25">
      <c r="A212" s="367" t="s">
        <v>206</v>
      </c>
      <c r="D212" s="368" t="s">
        <v>168</v>
      </c>
      <c r="E212" s="369">
        <v>0.5</v>
      </c>
      <c r="F212" s="370">
        <f>10/B210</f>
        <v>3.3333333333333335</v>
      </c>
      <c r="G212" s="371">
        <v>15.38</v>
      </c>
      <c r="H212" s="371">
        <f>E212*F212*G212</f>
        <v>25.633333333333336</v>
      </c>
      <c r="I212" s="367"/>
      <c r="J212" s="371"/>
      <c r="K212" s="371"/>
      <c r="L212" s="367"/>
      <c r="M212" s="367"/>
      <c r="N212" s="367"/>
      <c r="O212" s="368"/>
      <c r="P212" s="369"/>
      <c r="Q212" s="370"/>
      <c r="R212" s="371"/>
      <c r="S212" s="371"/>
      <c r="T212" s="367"/>
      <c r="U212" s="367"/>
      <c r="V212" s="367"/>
      <c r="W212" s="368"/>
      <c r="X212" s="369"/>
      <c r="Y212" s="370"/>
      <c r="Z212" s="371"/>
      <c r="AA212" s="371">
        <f>X212*Y212*Z212</f>
        <v>0</v>
      </c>
      <c r="AB212" s="367" t="s">
        <v>206</v>
      </c>
      <c r="AC212" s="367"/>
      <c r="AD212" s="367"/>
      <c r="AE212" s="368" t="s">
        <v>168</v>
      </c>
      <c r="AF212" s="369">
        <v>0.5</v>
      </c>
      <c r="AG212" s="370" t="e">
        <f>10/AC210</f>
        <v>#DIV/0!</v>
      </c>
      <c r="AH212" s="371">
        <v>15.38</v>
      </c>
      <c r="AI212" s="371" t="e">
        <f>AF212*AG212*AH212</f>
        <v>#DIV/0!</v>
      </c>
      <c r="AJ212" s="367" t="s">
        <v>206</v>
      </c>
      <c r="AK212" s="367"/>
      <c r="AL212" s="367"/>
      <c r="AM212" s="368" t="s">
        <v>168</v>
      </c>
      <c r="AN212" s="369">
        <v>0.5</v>
      </c>
      <c r="AO212" s="370" t="e">
        <f>10/AK210</f>
        <v>#DIV/0!</v>
      </c>
      <c r="AP212" s="371">
        <v>15.38</v>
      </c>
      <c r="AQ212" s="371" t="e">
        <f>AN212*AO212*AP212</f>
        <v>#DIV/0!</v>
      </c>
      <c r="AR212" s="367" t="s">
        <v>206</v>
      </c>
      <c r="AS212" s="367"/>
      <c r="AT212" s="367"/>
      <c r="AU212" s="368" t="s">
        <v>168</v>
      </c>
      <c r="AV212" s="369">
        <v>0.5</v>
      </c>
      <c r="AW212" s="370" t="e">
        <f>10/AS210</f>
        <v>#DIV/0!</v>
      </c>
      <c r="AX212" s="371">
        <v>15.38</v>
      </c>
      <c r="AY212" s="371" t="e">
        <f>AV212*AW212*AX212</f>
        <v>#DIV/0!</v>
      </c>
      <c r="AZ212" s="367" t="s">
        <v>206</v>
      </c>
      <c r="BA212" s="367"/>
      <c r="BB212" s="367"/>
      <c r="BC212" s="368" t="s">
        <v>168</v>
      </c>
      <c r="BD212" s="369">
        <v>0.5</v>
      </c>
      <c r="BE212" s="370" t="e">
        <f>10/BA210</f>
        <v>#DIV/0!</v>
      </c>
      <c r="BF212" s="371">
        <v>15.38</v>
      </c>
      <c r="BG212" s="371" t="e">
        <f>BD212*BE212*BF212</f>
        <v>#DIV/0!</v>
      </c>
      <c r="BH212" s="367" t="s">
        <v>206</v>
      </c>
      <c r="BI212" s="367"/>
      <c r="BJ212" s="367"/>
      <c r="BK212" s="368" t="s">
        <v>168</v>
      </c>
      <c r="BL212" s="369">
        <v>0.5</v>
      </c>
      <c r="BM212" s="370" t="e">
        <f>10/BI210</f>
        <v>#DIV/0!</v>
      </c>
      <c r="BN212" s="371">
        <v>15.38</v>
      </c>
      <c r="BO212" s="371" t="e">
        <f>BL212*BM212*BN212</f>
        <v>#DIV/0!</v>
      </c>
      <c r="BP212" s="367" t="s">
        <v>206</v>
      </c>
      <c r="BQ212" s="367"/>
      <c r="BR212" s="367"/>
      <c r="BS212" s="368" t="s">
        <v>168</v>
      </c>
      <c r="BT212" s="369">
        <v>0.5</v>
      </c>
      <c r="BU212" s="370" t="e">
        <f>10/BQ210</f>
        <v>#DIV/0!</v>
      </c>
      <c r="BV212" s="371">
        <v>15.38</v>
      </c>
      <c r="BW212" s="371" t="e">
        <f>BT212*BU212*BV212</f>
        <v>#DIV/0!</v>
      </c>
      <c r="BX212" s="367" t="s">
        <v>206</v>
      </c>
      <c r="BY212" s="367"/>
      <c r="BZ212" s="367"/>
      <c r="CA212" s="368" t="s">
        <v>168</v>
      </c>
      <c r="CB212" s="369">
        <v>0.5</v>
      </c>
      <c r="CC212" s="370" t="e">
        <f>10/BY210</f>
        <v>#DIV/0!</v>
      </c>
      <c r="CD212" s="371">
        <v>15.38</v>
      </c>
      <c r="CE212" s="371" t="e">
        <f>CB212*CC212*CD212</f>
        <v>#DIV/0!</v>
      </c>
      <c r="CF212" s="367" t="s">
        <v>206</v>
      </c>
      <c r="CG212" s="367"/>
      <c r="CH212" s="367"/>
      <c r="CI212" s="368" t="s">
        <v>168</v>
      </c>
      <c r="CJ212" s="369">
        <v>0.5</v>
      </c>
      <c r="CK212" s="370" t="e">
        <f>10/CG210</f>
        <v>#DIV/0!</v>
      </c>
      <c r="CL212" s="371">
        <v>15.38</v>
      </c>
      <c r="CM212" s="371" t="e">
        <f>CJ212*CK212*CL212</f>
        <v>#DIV/0!</v>
      </c>
      <c r="CN212" s="367" t="s">
        <v>206</v>
      </c>
      <c r="CO212" s="367"/>
      <c r="CP212" s="367"/>
      <c r="CQ212" s="368" t="s">
        <v>168</v>
      </c>
      <c r="CR212" s="369">
        <v>0.5</v>
      </c>
      <c r="CS212" s="370" t="e">
        <f>10/CO210</f>
        <v>#DIV/0!</v>
      </c>
      <c r="CT212" s="371">
        <v>15.38</v>
      </c>
      <c r="CU212" s="371" t="e">
        <f>CR212*CS212*CT212</f>
        <v>#DIV/0!</v>
      </c>
      <c r="CV212" s="367" t="s">
        <v>206</v>
      </c>
      <c r="CW212" s="367"/>
      <c r="CX212" s="367"/>
      <c r="CY212" s="368" t="s">
        <v>168</v>
      </c>
      <c r="CZ212" s="369">
        <v>0.5</v>
      </c>
      <c r="DA212" s="370" t="e">
        <f>10/CW210</f>
        <v>#DIV/0!</v>
      </c>
      <c r="DB212" s="371">
        <v>15.38</v>
      </c>
      <c r="DC212" s="371" t="e">
        <f>CZ212*DA212*DB212</f>
        <v>#DIV/0!</v>
      </c>
      <c r="DD212" s="367" t="s">
        <v>206</v>
      </c>
      <c r="DE212" s="367"/>
      <c r="DF212" s="367"/>
      <c r="DG212" s="368" t="s">
        <v>168</v>
      </c>
      <c r="DH212" s="369">
        <v>0.5</v>
      </c>
      <c r="DI212" s="370" t="e">
        <f>10/DE210</f>
        <v>#DIV/0!</v>
      </c>
      <c r="DJ212" s="371">
        <v>15.38</v>
      </c>
      <c r="DK212" s="371" t="e">
        <f>DH212*DI212*DJ212</f>
        <v>#DIV/0!</v>
      </c>
      <c r="DL212" s="367" t="s">
        <v>206</v>
      </c>
      <c r="DM212" s="367"/>
      <c r="DN212" s="367"/>
      <c r="DO212" s="368" t="s">
        <v>168</v>
      </c>
      <c r="DP212" s="369">
        <v>0.5</v>
      </c>
      <c r="DQ212" s="370" t="e">
        <f>10/DM210</f>
        <v>#DIV/0!</v>
      </c>
      <c r="DR212" s="371">
        <v>15.38</v>
      </c>
      <c r="DS212" s="371" t="e">
        <f>DP212*DQ212*DR212</f>
        <v>#DIV/0!</v>
      </c>
      <c r="DT212" s="367" t="s">
        <v>206</v>
      </c>
      <c r="DU212" s="367"/>
      <c r="DV212" s="367"/>
      <c r="DW212" s="368" t="s">
        <v>168</v>
      </c>
      <c r="DX212" s="369">
        <v>0.5</v>
      </c>
      <c r="DY212" s="370" t="e">
        <f>10/DU210</f>
        <v>#DIV/0!</v>
      </c>
      <c r="DZ212" s="371">
        <v>15.38</v>
      </c>
      <c r="EA212" s="371" t="e">
        <f>DX212*DY212*DZ212</f>
        <v>#DIV/0!</v>
      </c>
      <c r="EB212" s="367" t="s">
        <v>206</v>
      </c>
      <c r="EC212" s="367"/>
      <c r="ED212" s="367"/>
      <c r="EE212" s="368" t="s">
        <v>168</v>
      </c>
      <c r="EF212" s="369">
        <v>0.5</v>
      </c>
      <c r="EG212" s="370" t="e">
        <f>10/EC210</f>
        <v>#DIV/0!</v>
      </c>
      <c r="EH212" s="371">
        <v>15.38</v>
      </c>
      <c r="EI212" s="371" t="e">
        <f>EF212*EG212*EH212</f>
        <v>#DIV/0!</v>
      </c>
      <c r="EJ212" s="367" t="s">
        <v>206</v>
      </c>
      <c r="EK212" s="367"/>
      <c r="EL212" s="367"/>
      <c r="EM212" s="368" t="s">
        <v>168</v>
      </c>
      <c r="EN212" s="369">
        <v>0.5</v>
      </c>
      <c r="EO212" s="370" t="e">
        <f>10/EK210</f>
        <v>#DIV/0!</v>
      </c>
      <c r="EP212" s="371">
        <v>15.38</v>
      </c>
      <c r="EQ212" s="371" t="e">
        <f>EN212*EO212*EP212</f>
        <v>#DIV/0!</v>
      </c>
      <c r="ER212" s="367" t="s">
        <v>206</v>
      </c>
      <c r="ES212" s="367"/>
      <c r="ET212" s="367"/>
      <c r="EU212" s="368" t="s">
        <v>168</v>
      </c>
      <c r="EV212" s="369">
        <v>0.5</v>
      </c>
      <c r="EW212" s="370" t="e">
        <f>10/ES210</f>
        <v>#DIV/0!</v>
      </c>
      <c r="EX212" s="371">
        <v>15.38</v>
      </c>
      <c r="EY212" s="371" t="e">
        <f>EV212*EW212*EX212</f>
        <v>#DIV/0!</v>
      </c>
      <c r="EZ212" s="367" t="s">
        <v>206</v>
      </c>
      <c r="FA212" s="367"/>
      <c r="FB212" s="367"/>
      <c r="FC212" s="368" t="s">
        <v>168</v>
      </c>
      <c r="FD212" s="369">
        <v>0.5</v>
      </c>
      <c r="FE212" s="370" t="e">
        <f>10/FA210</f>
        <v>#DIV/0!</v>
      </c>
      <c r="FF212" s="371">
        <v>15.38</v>
      </c>
      <c r="FG212" s="371" t="e">
        <f>FD212*FE212*FF212</f>
        <v>#DIV/0!</v>
      </c>
      <c r="FH212" s="367" t="s">
        <v>206</v>
      </c>
      <c r="FI212" s="367"/>
      <c r="FJ212" s="367"/>
      <c r="FK212" s="368" t="s">
        <v>168</v>
      </c>
      <c r="FL212" s="369">
        <v>0.5</v>
      </c>
      <c r="FM212" s="370" t="e">
        <f>10/FI210</f>
        <v>#DIV/0!</v>
      </c>
      <c r="FN212" s="371">
        <v>15.38</v>
      </c>
      <c r="FO212" s="371" t="e">
        <f>FL212*FM212*FN212</f>
        <v>#DIV/0!</v>
      </c>
      <c r="FP212" s="367" t="s">
        <v>206</v>
      </c>
      <c r="FQ212" s="367"/>
      <c r="FR212" s="367"/>
      <c r="FS212" s="368" t="s">
        <v>168</v>
      </c>
      <c r="FT212" s="369">
        <v>0.5</v>
      </c>
      <c r="FU212" s="370" t="e">
        <f>10/FQ210</f>
        <v>#DIV/0!</v>
      </c>
      <c r="FV212" s="371">
        <v>15.38</v>
      </c>
      <c r="FW212" s="371" t="e">
        <f>FT212*FU212*FV212</f>
        <v>#DIV/0!</v>
      </c>
      <c r="FX212" s="367" t="s">
        <v>206</v>
      </c>
      <c r="FY212" s="367"/>
      <c r="FZ212" s="367"/>
      <c r="GA212" s="368" t="s">
        <v>168</v>
      </c>
      <c r="GB212" s="369">
        <v>0.5</v>
      </c>
      <c r="GC212" s="370" t="e">
        <f>10/FY210</f>
        <v>#DIV/0!</v>
      </c>
      <c r="GD212" s="371">
        <v>15.38</v>
      </c>
      <c r="GE212" s="371" t="e">
        <f>GB212*GC212*GD212</f>
        <v>#DIV/0!</v>
      </c>
      <c r="GF212" s="367" t="s">
        <v>206</v>
      </c>
      <c r="GG212" s="367"/>
      <c r="GH212" s="367"/>
      <c r="GI212" s="368" t="s">
        <v>168</v>
      </c>
      <c r="GJ212" s="369">
        <v>0.5</v>
      </c>
      <c r="GK212" s="370" t="e">
        <f>10/GG210</f>
        <v>#DIV/0!</v>
      </c>
      <c r="GL212" s="371">
        <v>15.38</v>
      </c>
      <c r="GM212" s="371" t="e">
        <f>GJ212*GK212*GL212</f>
        <v>#DIV/0!</v>
      </c>
      <c r="GN212" s="367" t="s">
        <v>206</v>
      </c>
      <c r="GO212" s="367"/>
      <c r="GP212" s="367"/>
      <c r="GQ212" s="368" t="s">
        <v>168</v>
      </c>
      <c r="GR212" s="369">
        <v>0.5</v>
      </c>
      <c r="GS212" s="370" t="e">
        <f>10/GO210</f>
        <v>#DIV/0!</v>
      </c>
      <c r="GT212" s="371">
        <v>15.38</v>
      </c>
      <c r="GU212" s="371" t="e">
        <f>GR212*GS212*GT212</f>
        <v>#DIV/0!</v>
      </c>
      <c r="GV212" s="367" t="s">
        <v>206</v>
      </c>
      <c r="GW212" s="367"/>
      <c r="GX212" s="367"/>
      <c r="GY212" s="368" t="s">
        <v>168</v>
      </c>
      <c r="GZ212" s="369">
        <v>0.5</v>
      </c>
      <c r="HA212" s="370" t="e">
        <f>10/GW210</f>
        <v>#DIV/0!</v>
      </c>
      <c r="HB212" s="371">
        <v>15.38</v>
      </c>
      <c r="HC212" s="371" t="e">
        <f>GZ212*HA212*HB212</f>
        <v>#DIV/0!</v>
      </c>
      <c r="HD212" s="367" t="s">
        <v>206</v>
      </c>
      <c r="HE212" s="367"/>
      <c r="HF212" s="367"/>
      <c r="HG212" s="368" t="s">
        <v>168</v>
      </c>
      <c r="HH212" s="369">
        <v>0.5</v>
      </c>
      <c r="HI212" s="370" t="e">
        <f>10/HE210</f>
        <v>#DIV/0!</v>
      </c>
      <c r="HJ212" s="371">
        <v>15.38</v>
      </c>
      <c r="HK212" s="371" t="e">
        <f>HH212*HI212*HJ212</f>
        <v>#DIV/0!</v>
      </c>
      <c r="HL212" s="367" t="s">
        <v>206</v>
      </c>
      <c r="HM212" s="367"/>
      <c r="HN212" s="367"/>
      <c r="HO212" s="368" t="s">
        <v>168</v>
      </c>
      <c r="HP212" s="369">
        <v>0.5</v>
      </c>
      <c r="HQ212" s="370" t="e">
        <f>10/HM210</f>
        <v>#DIV/0!</v>
      </c>
      <c r="HR212" s="371">
        <v>15.38</v>
      </c>
      <c r="HS212" s="371" t="e">
        <f>HP212*HQ212*HR212</f>
        <v>#DIV/0!</v>
      </c>
      <c r="HT212" s="367" t="s">
        <v>206</v>
      </c>
      <c r="HU212" s="367"/>
      <c r="HV212" s="367"/>
      <c r="HW212" s="368" t="s">
        <v>168</v>
      </c>
      <c r="HX212" s="369">
        <v>0.5</v>
      </c>
      <c r="HY212" s="370" t="e">
        <f>10/HU210</f>
        <v>#DIV/0!</v>
      </c>
      <c r="HZ212" s="371">
        <v>15.38</v>
      </c>
      <c r="IA212" s="371" t="e">
        <f>HX212*HY212*HZ212</f>
        <v>#DIV/0!</v>
      </c>
      <c r="IB212" s="367" t="s">
        <v>206</v>
      </c>
      <c r="IC212" s="367"/>
      <c r="ID212" s="367"/>
      <c r="IE212" s="368" t="s">
        <v>168</v>
      </c>
      <c r="IF212" s="369">
        <v>0.5</v>
      </c>
      <c r="IG212" s="370" t="e">
        <f>10/IC210</f>
        <v>#DIV/0!</v>
      </c>
      <c r="IH212" s="371">
        <v>15.38</v>
      </c>
      <c r="II212" s="371" t="e">
        <f>IF212*IG212*IH212</f>
        <v>#DIV/0!</v>
      </c>
      <c r="IJ212" s="367" t="s">
        <v>206</v>
      </c>
      <c r="IK212" s="367"/>
      <c r="IL212" s="367"/>
      <c r="IM212" s="368" t="s">
        <v>168</v>
      </c>
      <c r="IN212" s="369">
        <v>0.5</v>
      </c>
      <c r="IO212" s="370" t="e">
        <f>10/IK210</f>
        <v>#DIV/0!</v>
      </c>
      <c r="IP212" s="371">
        <v>15.38</v>
      </c>
      <c r="IQ212" s="371" t="e">
        <f>IN212*IO212*IP212</f>
        <v>#DIV/0!</v>
      </c>
      <c r="IR212" s="367" t="s">
        <v>206</v>
      </c>
      <c r="IS212" s="367"/>
      <c r="IT212" s="367"/>
      <c r="IU212" s="368" t="s">
        <v>168</v>
      </c>
      <c r="IV212" s="369">
        <v>0.5</v>
      </c>
      <c r="IW212" s="370" t="e">
        <f>10/IS210</f>
        <v>#DIV/0!</v>
      </c>
      <c r="IX212" s="371">
        <v>15.38</v>
      </c>
      <c r="IY212" s="371" t="e">
        <f>IV212*IW212*IX212</f>
        <v>#DIV/0!</v>
      </c>
      <c r="IZ212" s="367" t="s">
        <v>206</v>
      </c>
      <c r="JA212" s="367"/>
      <c r="JB212" s="367"/>
      <c r="JC212" s="368" t="s">
        <v>168</v>
      </c>
      <c r="JD212" s="369">
        <v>0.5</v>
      </c>
      <c r="JE212" s="370" t="e">
        <f>10/JA210</f>
        <v>#DIV/0!</v>
      </c>
      <c r="JF212" s="371">
        <v>15.38</v>
      </c>
      <c r="JG212" s="371" t="e">
        <f>JD212*JE212*JF212</f>
        <v>#DIV/0!</v>
      </c>
      <c r="JH212" s="367" t="s">
        <v>206</v>
      </c>
      <c r="JI212" s="367"/>
      <c r="JJ212" s="367"/>
      <c r="JK212" s="368" t="s">
        <v>168</v>
      </c>
      <c r="JL212" s="369">
        <v>0.5</v>
      </c>
      <c r="JM212" s="370" t="e">
        <f>10/JI210</f>
        <v>#DIV/0!</v>
      </c>
      <c r="JN212" s="371">
        <v>15.38</v>
      </c>
      <c r="JO212" s="371" t="e">
        <f>JL212*JM212*JN212</f>
        <v>#DIV/0!</v>
      </c>
      <c r="JP212" s="367" t="s">
        <v>206</v>
      </c>
      <c r="JQ212" s="367"/>
      <c r="JR212" s="367"/>
      <c r="JS212" s="368" t="s">
        <v>168</v>
      </c>
      <c r="JT212" s="369">
        <v>0.5</v>
      </c>
      <c r="JU212" s="370" t="e">
        <f>10/JQ210</f>
        <v>#DIV/0!</v>
      </c>
      <c r="JV212" s="371">
        <v>15.38</v>
      </c>
      <c r="JW212" s="371" t="e">
        <f>JT212*JU212*JV212</f>
        <v>#DIV/0!</v>
      </c>
      <c r="JX212" s="367" t="s">
        <v>206</v>
      </c>
      <c r="JY212" s="367"/>
      <c r="JZ212" s="367"/>
      <c r="KA212" s="368" t="s">
        <v>168</v>
      </c>
      <c r="KB212" s="369">
        <v>0.5</v>
      </c>
      <c r="KC212" s="370" t="e">
        <f>10/JY210</f>
        <v>#DIV/0!</v>
      </c>
      <c r="KD212" s="371">
        <v>15.38</v>
      </c>
      <c r="KE212" s="371" t="e">
        <f>KB212*KC212*KD212</f>
        <v>#DIV/0!</v>
      </c>
      <c r="KF212" s="367" t="s">
        <v>206</v>
      </c>
      <c r="KG212" s="367"/>
      <c r="KH212" s="367"/>
      <c r="KI212" s="368" t="s">
        <v>168</v>
      </c>
      <c r="KJ212" s="369">
        <v>0.5</v>
      </c>
      <c r="KK212" s="370" t="e">
        <f>10/KG210</f>
        <v>#DIV/0!</v>
      </c>
      <c r="KL212" s="371">
        <v>15.38</v>
      </c>
      <c r="KM212" s="371" t="e">
        <f>KJ212*KK212*KL212</f>
        <v>#DIV/0!</v>
      </c>
      <c r="KN212" s="367" t="s">
        <v>206</v>
      </c>
      <c r="KO212" s="367"/>
      <c r="KP212" s="367"/>
      <c r="KQ212" s="368" t="s">
        <v>168</v>
      </c>
      <c r="KR212" s="369">
        <v>0.5</v>
      </c>
      <c r="KS212" s="370" t="e">
        <f>10/KO210</f>
        <v>#DIV/0!</v>
      </c>
      <c r="KT212" s="371">
        <v>15.38</v>
      </c>
      <c r="KU212" s="371" t="e">
        <f>KR212*KS212*KT212</f>
        <v>#DIV/0!</v>
      </c>
      <c r="KV212" s="367" t="s">
        <v>206</v>
      </c>
      <c r="KW212" s="367"/>
      <c r="KX212" s="367"/>
      <c r="KY212" s="368" t="s">
        <v>168</v>
      </c>
      <c r="KZ212" s="369">
        <v>0.5</v>
      </c>
      <c r="LA212" s="370" t="e">
        <f>10/KW210</f>
        <v>#DIV/0!</v>
      </c>
      <c r="LB212" s="371">
        <v>15.38</v>
      </c>
      <c r="LC212" s="371" t="e">
        <f>KZ212*LA212*LB212</f>
        <v>#DIV/0!</v>
      </c>
      <c r="LD212" s="367" t="s">
        <v>206</v>
      </c>
      <c r="LE212" s="367"/>
      <c r="LF212" s="367"/>
      <c r="LG212" s="368" t="s">
        <v>168</v>
      </c>
      <c r="LH212" s="369">
        <v>0.5</v>
      </c>
      <c r="LI212" s="370" t="e">
        <f>10/LE210</f>
        <v>#DIV/0!</v>
      </c>
      <c r="LJ212" s="371">
        <v>15.38</v>
      </c>
      <c r="LK212" s="371" t="e">
        <f>LH212*LI212*LJ212</f>
        <v>#DIV/0!</v>
      </c>
      <c r="LL212" s="367" t="s">
        <v>206</v>
      </c>
      <c r="LM212" s="367"/>
      <c r="LN212" s="367"/>
      <c r="LO212" s="368" t="s">
        <v>168</v>
      </c>
      <c r="LP212" s="369">
        <v>0.5</v>
      </c>
      <c r="LQ212" s="370" t="e">
        <f>10/LM210</f>
        <v>#DIV/0!</v>
      </c>
      <c r="LR212" s="371">
        <v>15.38</v>
      </c>
      <c r="LS212" s="371" t="e">
        <f>LP212*LQ212*LR212</f>
        <v>#DIV/0!</v>
      </c>
      <c r="LT212" s="367" t="s">
        <v>206</v>
      </c>
      <c r="LU212" s="367"/>
      <c r="LV212" s="367"/>
      <c r="LW212" s="368" t="s">
        <v>168</v>
      </c>
      <c r="LX212" s="369">
        <v>0.5</v>
      </c>
      <c r="LY212" s="370" t="e">
        <f>10/LU210</f>
        <v>#DIV/0!</v>
      </c>
      <c r="LZ212" s="371">
        <v>15.38</v>
      </c>
      <c r="MA212" s="371" t="e">
        <f>LX212*LY212*LZ212</f>
        <v>#DIV/0!</v>
      </c>
      <c r="MB212" s="367" t="s">
        <v>206</v>
      </c>
      <c r="MC212" s="367"/>
      <c r="MD212" s="367"/>
      <c r="ME212" s="368" t="s">
        <v>168</v>
      </c>
      <c r="MF212" s="369">
        <v>0.5</v>
      </c>
      <c r="MG212" s="370" t="e">
        <f>10/MC210</f>
        <v>#DIV/0!</v>
      </c>
      <c r="MH212" s="371">
        <v>15.38</v>
      </c>
      <c r="MI212" s="371" t="e">
        <f>MF212*MG212*MH212</f>
        <v>#DIV/0!</v>
      </c>
      <c r="MJ212" s="367" t="s">
        <v>206</v>
      </c>
      <c r="MK212" s="367"/>
      <c r="ML212" s="367"/>
      <c r="MM212" s="368" t="s">
        <v>168</v>
      </c>
      <c r="MN212" s="369">
        <v>0.5</v>
      </c>
      <c r="MO212" s="370" t="e">
        <f>10/MK210</f>
        <v>#DIV/0!</v>
      </c>
      <c r="MP212" s="371">
        <v>15.38</v>
      </c>
      <c r="MQ212" s="371" t="e">
        <f>MN212*MO212*MP212</f>
        <v>#DIV/0!</v>
      </c>
      <c r="MR212" s="367" t="s">
        <v>206</v>
      </c>
      <c r="MS212" s="367"/>
      <c r="MT212" s="367"/>
      <c r="MU212" s="368" t="s">
        <v>168</v>
      </c>
      <c r="MV212" s="369">
        <v>0.5</v>
      </c>
      <c r="MW212" s="370" t="e">
        <f>10/MS210</f>
        <v>#DIV/0!</v>
      </c>
      <c r="MX212" s="371">
        <v>15.38</v>
      </c>
      <c r="MY212" s="371" t="e">
        <f>MV212*MW212*MX212</f>
        <v>#DIV/0!</v>
      </c>
      <c r="MZ212" s="367" t="s">
        <v>206</v>
      </c>
      <c r="NA212" s="367"/>
      <c r="NB212" s="367"/>
      <c r="NC212" s="368" t="s">
        <v>168</v>
      </c>
      <c r="ND212" s="369">
        <v>0.5</v>
      </c>
      <c r="NE212" s="370" t="e">
        <f>10/NA210</f>
        <v>#DIV/0!</v>
      </c>
      <c r="NF212" s="371">
        <v>15.38</v>
      </c>
      <c r="NG212" s="371" t="e">
        <f>ND212*NE212*NF212</f>
        <v>#DIV/0!</v>
      </c>
      <c r="NH212" s="367" t="s">
        <v>206</v>
      </c>
      <c r="NI212" s="367"/>
      <c r="NJ212" s="367"/>
      <c r="NK212" s="368" t="s">
        <v>168</v>
      </c>
      <c r="NL212" s="369">
        <v>0.5</v>
      </c>
      <c r="NM212" s="370" t="e">
        <f>10/NI210</f>
        <v>#DIV/0!</v>
      </c>
      <c r="NN212" s="371">
        <v>15.38</v>
      </c>
      <c r="NO212" s="371" t="e">
        <f>NL212*NM212*NN212</f>
        <v>#DIV/0!</v>
      </c>
      <c r="NP212" s="367" t="s">
        <v>206</v>
      </c>
      <c r="NQ212" s="367"/>
      <c r="NR212" s="367"/>
      <c r="NS212" s="368" t="s">
        <v>168</v>
      </c>
      <c r="NT212" s="369">
        <v>0.5</v>
      </c>
      <c r="NU212" s="370" t="e">
        <f>10/NQ210</f>
        <v>#DIV/0!</v>
      </c>
      <c r="NV212" s="371">
        <v>15.38</v>
      </c>
      <c r="NW212" s="371" t="e">
        <f>NT212*NU212*NV212</f>
        <v>#DIV/0!</v>
      </c>
      <c r="NX212" s="367" t="s">
        <v>206</v>
      </c>
      <c r="NY212" s="367"/>
      <c r="NZ212" s="367"/>
      <c r="OA212" s="368" t="s">
        <v>168</v>
      </c>
      <c r="OB212" s="369">
        <v>0.5</v>
      </c>
      <c r="OC212" s="370" t="e">
        <f>10/NY210</f>
        <v>#DIV/0!</v>
      </c>
      <c r="OD212" s="371">
        <v>15.38</v>
      </c>
      <c r="OE212" s="371" t="e">
        <f>OB212*OC212*OD212</f>
        <v>#DIV/0!</v>
      </c>
      <c r="OF212" s="367" t="s">
        <v>206</v>
      </c>
      <c r="OG212" s="367"/>
      <c r="OH212" s="367"/>
      <c r="OI212" s="368" t="s">
        <v>168</v>
      </c>
      <c r="OJ212" s="369">
        <v>0.5</v>
      </c>
      <c r="OK212" s="370" t="e">
        <f>10/OG210</f>
        <v>#DIV/0!</v>
      </c>
      <c r="OL212" s="371">
        <v>15.38</v>
      </c>
      <c r="OM212" s="371" t="e">
        <f>OJ212*OK212*OL212</f>
        <v>#DIV/0!</v>
      </c>
      <c r="ON212" s="367" t="s">
        <v>206</v>
      </c>
      <c r="OO212" s="367"/>
      <c r="OP212" s="367"/>
      <c r="OQ212" s="368" t="s">
        <v>168</v>
      </c>
      <c r="OR212" s="369">
        <v>0.5</v>
      </c>
      <c r="OS212" s="370" t="e">
        <f>10/OO210</f>
        <v>#DIV/0!</v>
      </c>
      <c r="OT212" s="371">
        <v>15.38</v>
      </c>
      <c r="OU212" s="371" t="e">
        <f>OR212*OS212*OT212</f>
        <v>#DIV/0!</v>
      </c>
      <c r="OV212" s="367" t="s">
        <v>206</v>
      </c>
      <c r="OW212" s="367"/>
      <c r="OX212" s="367"/>
      <c r="OY212" s="368" t="s">
        <v>168</v>
      </c>
      <c r="OZ212" s="369">
        <v>0.5</v>
      </c>
      <c r="PA212" s="370" t="e">
        <f>10/OW210</f>
        <v>#DIV/0!</v>
      </c>
      <c r="PB212" s="371">
        <v>15.38</v>
      </c>
      <c r="PC212" s="371" t="e">
        <f>OZ212*PA212*PB212</f>
        <v>#DIV/0!</v>
      </c>
      <c r="PD212" s="367" t="s">
        <v>206</v>
      </c>
      <c r="PE212" s="367"/>
      <c r="PF212" s="367"/>
      <c r="PG212" s="368" t="s">
        <v>168</v>
      </c>
      <c r="PH212" s="369">
        <v>0.5</v>
      </c>
      <c r="PI212" s="370" t="e">
        <f>10/PE210</f>
        <v>#DIV/0!</v>
      </c>
      <c r="PJ212" s="371">
        <v>15.38</v>
      </c>
      <c r="PK212" s="371" t="e">
        <f>PH212*PI212*PJ212</f>
        <v>#DIV/0!</v>
      </c>
      <c r="PL212" s="367" t="s">
        <v>206</v>
      </c>
      <c r="PM212" s="367"/>
      <c r="PN212" s="367"/>
      <c r="PO212" s="368" t="s">
        <v>168</v>
      </c>
      <c r="PP212" s="369">
        <v>0.5</v>
      </c>
      <c r="PQ212" s="370" t="e">
        <f>10/PM210</f>
        <v>#DIV/0!</v>
      </c>
      <c r="PR212" s="371">
        <v>15.38</v>
      </c>
      <c r="PS212" s="371" t="e">
        <f>PP212*PQ212*PR212</f>
        <v>#DIV/0!</v>
      </c>
      <c r="PT212" s="367" t="s">
        <v>206</v>
      </c>
      <c r="PU212" s="367"/>
      <c r="PV212" s="367"/>
      <c r="PW212" s="368" t="s">
        <v>168</v>
      </c>
      <c r="PX212" s="369">
        <v>0.5</v>
      </c>
      <c r="PY212" s="370" t="e">
        <f>10/PU210</f>
        <v>#DIV/0!</v>
      </c>
      <c r="PZ212" s="371">
        <v>15.38</v>
      </c>
      <c r="QA212" s="371" t="e">
        <f>PX212*PY212*PZ212</f>
        <v>#DIV/0!</v>
      </c>
      <c r="QB212" s="367" t="s">
        <v>206</v>
      </c>
      <c r="QC212" s="367"/>
      <c r="QD212" s="367"/>
      <c r="QE212" s="368" t="s">
        <v>168</v>
      </c>
      <c r="QF212" s="369">
        <v>0.5</v>
      </c>
      <c r="QG212" s="370" t="e">
        <f>10/QC210</f>
        <v>#DIV/0!</v>
      </c>
      <c r="QH212" s="371">
        <v>15.38</v>
      </c>
      <c r="QI212" s="371" t="e">
        <f>QF212*QG212*QH212</f>
        <v>#DIV/0!</v>
      </c>
      <c r="QJ212" s="367" t="s">
        <v>206</v>
      </c>
      <c r="QK212" s="367"/>
      <c r="QL212" s="367"/>
      <c r="QM212" s="368" t="s">
        <v>168</v>
      </c>
      <c r="QN212" s="369">
        <v>0.5</v>
      </c>
      <c r="QO212" s="370" t="e">
        <f>10/QK210</f>
        <v>#DIV/0!</v>
      </c>
      <c r="QP212" s="371">
        <v>15.38</v>
      </c>
      <c r="QQ212" s="371" t="e">
        <f>QN212*QO212*QP212</f>
        <v>#DIV/0!</v>
      </c>
      <c r="QR212" s="367" t="s">
        <v>206</v>
      </c>
      <c r="QS212" s="367"/>
      <c r="QT212" s="367"/>
      <c r="QU212" s="368" t="s">
        <v>168</v>
      </c>
      <c r="QV212" s="369">
        <v>0.5</v>
      </c>
      <c r="QW212" s="370" t="e">
        <f>10/QS210</f>
        <v>#DIV/0!</v>
      </c>
      <c r="QX212" s="371">
        <v>15.38</v>
      </c>
      <c r="QY212" s="371" t="e">
        <f>QV212*QW212*QX212</f>
        <v>#DIV/0!</v>
      </c>
      <c r="QZ212" s="367" t="s">
        <v>206</v>
      </c>
      <c r="RA212" s="367"/>
      <c r="RB212" s="367"/>
      <c r="RC212" s="368" t="s">
        <v>168</v>
      </c>
      <c r="RD212" s="369">
        <v>0.5</v>
      </c>
      <c r="RE212" s="370" t="e">
        <f>10/RA210</f>
        <v>#DIV/0!</v>
      </c>
      <c r="RF212" s="371">
        <v>15.38</v>
      </c>
      <c r="RG212" s="371" t="e">
        <f>RD212*RE212*RF212</f>
        <v>#DIV/0!</v>
      </c>
      <c r="RH212" s="367" t="s">
        <v>206</v>
      </c>
      <c r="RI212" s="367"/>
      <c r="RJ212" s="367"/>
      <c r="RK212" s="368" t="s">
        <v>168</v>
      </c>
      <c r="RL212" s="369">
        <v>0.5</v>
      </c>
      <c r="RM212" s="370" t="e">
        <f>10/RI210</f>
        <v>#DIV/0!</v>
      </c>
      <c r="RN212" s="371">
        <v>15.38</v>
      </c>
      <c r="RO212" s="371" t="e">
        <f>RL212*RM212*RN212</f>
        <v>#DIV/0!</v>
      </c>
      <c r="RP212" s="367" t="s">
        <v>206</v>
      </c>
      <c r="RQ212" s="367"/>
      <c r="RR212" s="367"/>
      <c r="RS212" s="368" t="s">
        <v>168</v>
      </c>
      <c r="RT212" s="369">
        <v>0.5</v>
      </c>
      <c r="RU212" s="370" t="e">
        <f>10/RQ210</f>
        <v>#DIV/0!</v>
      </c>
      <c r="RV212" s="371">
        <v>15.38</v>
      </c>
      <c r="RW212" s="371" t="e">
        <f>RT212*RU212*RV212</f>
        <v>#DIV/0!</v>
      </c>
      <c r="RX212" s="367" t="s">
        <v>206</v>
      </c>
      <c r="RY212" s="367"/>
      <c r="RZ212" s="367"/>
      <c r="SA212" s="368" t="s">
        <v>168</v>
      </c>
      <c r="SB212" s="369">
        <v>0.5</v>
      </c>
      <c r="SC212" s="370" t="e">
        <f>10/RY210</f>
        <v>#DIV/0!</v>
      </c>
      <c r="SD212" s="371">
        <v>15.38</v>
      </c>
      <c r="SE212" s="371" t="e">
        <f>SB212*SC212*SD212</f>
        <v>#DIV/0!</v>
      </c>
      <c r="SF212" s="367" t="s">
        <v>206</v>
      </c>
      <c r="SG212" s="367"/>
      <c r="SH212" s="367"/>
      <c r="SI212" s="368" t="s">
        <v>168</v>
      </c>
      <c r="SJ212" s="369">
        <v>0.5</v>
      </c>
      <c r="SK212" s="370" t="e">
        <f>10/SG210</f>
        <v>#DIV/0!</v>
      </c>
      <c r="SL212" s="371">
        <v>15.38</v>
      </c>
      <c r="SM212" s="371" t="e">
        <f>SJ212*SK212*SL212</f>
        <v>#DIV/0!</v>
      </c>
      <c r="SN212" s="367" t="s">
        <v>206</v>
      </c>
      <c r="SO212" s="367"/>
      <c r="SP212" s="367"/>
      <c r="SQ212" s="368" t="s">
        <v>168</v>
      </c>
      <c r="SR212" s="369">
        <v>0.5</v>
      </c>
      <c r="SS212" s="370" t="e">
        <f>10/SO210</f>
        <v>#DIV/0!</v>
      </c>
      <c r="ST212" s="371">
        <v>15.38</v>
      </c>
      <c r="SU212" s="371" t="e">
        <f>SR212*SS212*ST212</f>
        <v>#DIV/0!</v>
      </c>
      <c r="SV212" s="367" t="s">
        <v>206</v>
      </c>
      <c r="SW212" s="367"/>
      <c r="SX212" s="367"/>
      <c r="SY212" s="368" t="s">
        <v>168</v>
      </c>
      <c r="SZ212" s="369">
        <v>0.5</v>
      </c>
      <c r="TA212" s="370" t="e">
        <f>10/SW210</f>
        <v>#DIV/0!</v>
      </c>
      <c r="TB212" s="371">
        <v>15.38</v>
      </c>
      <c r="TC212" s="371" t="e">
        <f>SZ212*TA212*TB212</f>
        <v>#DIV/0!</v>
      </c>
      <c r="TD212" s="367" t="s">
        <v>206</v>
      </c>
      <c r="TE212" s="367"/>
      <c r="TF212" s="367"/>
      <c r="TG212" s="368" t="s">
        <v>168</v>
      </c>
      <c r="TH212" s="369">
        <v>0.5</v>
      </c>
      <c r="TI212" s="370" t="e">
        <f>10/TE210</f>
        <v>#DIV/0!</v>
      </c>
      <c r="TJ212" s="371">
        <v>15.38</v>
      </c>
      <c r="TK212" s="371" t="e">
        <f>TH212*TI212*TJ212</f>
        <v>#DIV/0!</v>
      </c>
      <c r="TL212" s="367" t="s">
        <v>206</v>
      </c>
      <c r="TM212" s="367"/>
      <c r="TN212" s="367"/>
      <c r="TO212" s="368" t="s">
        <v>168</v>
      </c>
      <c r="TP212" s="369">
        <v>0.5</v>
      </c>
      <c r="TQ212" s="370" t="e">
        <f>10/TM210</f>
        <v>#DIV/0!</v>
      </c>
      <c r="TR212" s="371">
        <v>15.38</v>
      </c>
      <c r="TS212" s="371" t="e">
        <f>TP212*TQ212*TR212</f>
        <v>#DIV/0!</v>
      </c>
      <c r="TT212" s="367" t="s">
        <v>206</v>
      </c>
      <c r="TU212" s="367"/>
      <c r="TV212" s="367"/>
      <c r="TW212" s="368" t="s">
        <v>168</v>
      </c>
      <c r="TX212" s="369">
        <v>0.5</v>
      </c>
      <c r="TY212" s="370" t="e">
        <f>10/TU210</f>
        <v>#DIV/0!</v>
      </c>
      <c r="TZ212" s="371">
        <v>15.38</v>
      </c>
      <c r="UA212" s="371" t="e">
        <f>TX212*TY212*TZ212</f>
        <v>#DIV/0!</v>
      </c>
      <c r="UB212" s="367" t="s">
        <v>206</v>
      </c>
      <c r="UC212" s="367"/>
      <c r="UD212" s="367"/>
      <c r="UE212" s="368" t="s">
        <v>168</v>
      </c>
      <c r="UF212" s="369">
        <v>0.5</v>
      </c>
      <c r="UG212" s="370" t="e">
        <f>10/UC210</f>
        <v>#DIV/0!</v>
      </c>
      <c r="UH212" s="371">
        <v>15.38</v>
      </c>
      <c r="UI212" s="371" t="e">
        <f>UF212*UG212*UH212</f>
        <v>#DIV/0!</v>
      </c>
      <c r="UJ212" s="367" t="s">
        <v>206</v>
      </c>
      <c r="UK212" s="367"/>
      <c r="UL212" s="367"/>
      <c r="UM212" s="368" t="s">
        <v>168</v>
      </c>
      <c r="UN212" s="369">
        <v>0.5</v>
      </c>
      <c r="UO212" s="370" t="e">
        <f>10/UK210</f>
        <v>#DIV/0!</v>
      </c>
      <c r="UP212" s="371">
        <v>15.38</v>
      </c>
      <c r="UQ212" s="371" t="e">
        <f>UN212*UO212*UP212</f>
        <v>#DIV/0!</v>
      </c>
      <c r="UR212" s="367" t="s">
        <v>206</v>
      </c>
      <c r="US212" s="367"/>
      <c r="UT212" s="367"/>
      <c r="UU212" s="368" t="s">
        <v>168</v>
      </c>
      <c r="UV212" s="369">
        <v>0.5</v>
      </c>
      <c r="UW212" s="370" t="e">
        <f>10/US210</f>
        <v>#DIV/0!</v>
      </c>
      <c r="UX212" s="371">
        <v>15.38</v>
      </c>
      <c r="UY212" s="371" t="e">
        <f>UV212*UW212*UX212</f>
        <v>#DIV/0!</v>
      </c>
      <c r="UZ212" s="367" t="s">
        <v>206</v>
      </c>
      <c r="VA212" s="367"/>
      <c r="VB212" s="367"/>
      <c r="VC212" s="368" t="s">
        <v>168</v>
      </c>
      <c r="VD212" s="369">
        <v>0.5</v>
      </c>
      <c r="VE212" s="370" t="e">
        <f>10/VA210</f>
        <v>#DIV/0!</v>
      </c>
      <c r="VF212" s="371">
        <v>15.38</v>
      </c>
      <c r="VG212" s="371" t="e">
        <f>VD212*VE212*VF212</f>
        <v>#DIV/0!</v>
      </c>
      <c r="VH212" s="367" t="s">
        <v>206</v>
      </c>
      <c r="VI212" s="367"/>
      <c r="VJ212" s="367"/>
      <c r="VK212" s="368" t="s">
        <v>168</v>
      </c>
      <c r="VL212" s="369">
        <v>0.5</v>
      </c>
      <c r="VM212" s="370" t="e">
        <f>10/VI210</f>
        <v>#DIV/0!</v>
      </c>
      <c r="VN212" s="371">
        <v>15.38</v>
      </c>
      <c r="VO212" s="371" t="e">
        <f>VL212*VM212*VN212</f>
        <v>#DIV/0!</v>
      </c>
      <c r="VP212" s="367" t="s">
        <v>206</v>
      </c>
      <c r="VQ212" s="367"/>
      <c r="VR212" s="367"/>
      <c r="VS212" s="368" t="s">
        <v>168</v>
      </c>
      <c r="VT212" s="369">
        <v>0.5</v>
      </c>
      <c r="VU212" s="370" t="e">
        <f>10/VQ210</f>
        <v>#DIV/0!</v>
      </c>
      <c r="VV212" s="371">
        <v>15.38</v>
      </c>
      <c r="VW212" s="371" t="e">
        <f>VT212*VU212*VV212</f>
        <v>#DIV/0!</v>
      </c>
      <c r="VX212" s="367" t="s">
        <v>206</v>
      </c>
      <c r="VY212" s="367"/>
      <c r="VZ212" s="367"/>
      <c r="WA212" s="368" t="s">
        <v>168</v>
      </c>
      <c r="WB212" s="369">
        <v>0.5</v>
      </c>
      <c r="WC212" s="370" t="e">
        <f>10/VY210</f>
        <v>#DIV/0!</v>
      </c>
      <c r="WD212" s="371">
        <v>15.38</v>
      </c>
      <c r="WE212" s="371" t="e">
        <f>WB212*WC212*WD212</f>
        <v>#DIV/0!</v>
      </c>
      <c r="WF212" s="367" t="s">
        <v>206</v>
      </c>
      <c r="WG212" s="367"/>
      <c r="WH212" s="367"/>
      <c r="WI212" s="368" t="s">
        <v>168</v>
      </c>
      <c r="WJ212" s="369">
        <v>0.5</v>
      </c>
      <c r="WK212" s="370" t="e">
        <f>10/WG210</f>
        <v>#DIV/0!</v>
      </c>
      <c r="WL212" s="371">
        <v>15.38</v>
      </c>
      <c r="WM212" s="371" t="e">
        <f>WJ212*WK212*WL212</f>
        <v>#DIV/0!</v>
      </c>
      <c r="WN212" s="367" t="s">
        <v>206</v>
      </c>
      <c r="WO212" s="367"/>
      <c r="WP212" s="367"/>
      <c r="WQ212" s="368" t="s">
        <v>168</v>
      </c>
      <c r="WR212" s="369">
        <v>0.5</v>
      </c>
      <c r="WS212" s="370" t="e">
        <f>10/WO210</f>
        <v>#DIV/0!</v>
      </c>
      <c r="WT212" s="371">
        <v>15.38</v>
      </c>
      <c r="WU212" s="371" t="e">
        <f>WR212*WS212*WT212</f>
        <v>#DIV/0!</v>
      </c>
      <c r="WV212" s="367" t="s">
        <v>206</v>
      </c>
      <c r="WW212" s="367"/>
      <c r="WX212" s="367"/>
      <c r="WY212" s="368" t="s">
        <v>168</v>
      </c>
      <c r="WZ212" s="369">
        <v>0.5</v>
      </c>
      <c r="XA212" s="370" t="e">
        <f>10/WW210</f>
        <v>#DIV/0!</v>
      </c>
      <c r="XB212" s="371">
        <v>15.38</v>
      </c>
      <c r="XC212" s="371" t="e">
        <f>WZ212*XA212*XB212</f>
        <v>#DIV/0!</v>
      </c>
      <c r="XD212" s="367" t="s">
        <v>206</v>
      </c>
      <c r="XE212" s="367"/>
      <c r="XF212" s="367"/>
      <c r="XG212" s="368" t="s">
        <v>168</v>
      </c>
      <c r="XH212" s="369">
        <v>0.5</v>
      </c>
      <c r="XI212" s="370" t="e">
        <f>10/XE210</f>
        <v>#DIV/0!</v>
      </c>
      <c r="XJ212" s="371">
        <v>15.38</v>
      </c>
      <c r="XK212" s="371" t="e">
        <f>XH212*XI212*XJ212</f>
        <v>#DIV/0!</v>
      </c>
      <c r="XL212" s="367" t="s">
        <v>206</v>
      </c>
      <c r="XM212" s="367"/>
      <c r="XN212" s="367"/>
      <c r="XO212" s="368" t="s">
        <v>168</v>
      </c>
      <c r="XP212" s="369">
        <v>0.5</v>
      </c>
      <c r="XQ212" s="370" t="e">
        <f>10/XM210</f>
        <v>#DIV/0!</v>
      </c>
      <c r="XR212" s="371">
        <v>15.38</v>
      </c>
      <c r="XS212" s="371" t="e">
        <f>XP212*XQ212*XR212</f>
        <v>#DIV/0!</v>
      </c>
      <c r="XT212" s="367" t="s">
        <v>206</v>
      </c>
      <c r="XU212" s="367"/>
      <c r="XV212" s="367"/>
      <c r="XW212" s="368" t="s">
        <v>168</v>
      </c>
      <c r="XX212" s="369">
        <v>0.5</v>
      </c>
      <c r="XY212" s="370" t="e">
        <f>10/XU210</f>
        <v>#DIV/0!</v>
      </c>
      <c r="XZ212" s="371">
        <v>15.38</v>
      </c>
      <c r="YA212" s="371" t="e">
        <f>XX212*XY212*XZ212</f>
        <v>#DIV/0!</v>
      </c>
      <c r="YB212" s="367" t="s">
        <v>206</v>
      </c>
      <c r="YC212" s="367"/>
      <c r="YD212" s="367"/>
      <c r="YE212" s="368" t="s">
        <v>168</v>
      </c>
      <c r="YF212" s="369">
        <v>0.5</v>
      </c>
      <c r="YG212" s="370" t="e">
        <f>10/YC210</f>
        <v>#DIV/0!</v>
      </c>
      <c r="YH212" s="371">
        <v>15.38</v>
      </c>
      <c r="YI212" s="371" t="e">
        <f>YF212*YG212*YH212</f>
        <v>#DIV/0!</v>
      </c>
      <c r="YJ212" s="367" t="s">
        <v>206</v>
      </c>
      <c r="YK212" s="367"/>
      <c r="YL212" s="367"/>
      <c r="YM212" s="368" t="s">
        <v>168</v>
      </c>
      <c r="YN212" s="369">
        <v>0.5</v>
      </c>
      <c r="YO212" s="370" t="e">
        <f>10/YK210</f>
        <v>#DIV/0!</v>
      </c>
      <c r="YP212" s="371">
        <v>15.38</v>
      </c>
      <c r="YQ212" s="371" t="e">
        <f>YN212*YO212*YP212</f>
        <v>#DIV/0!</v>
      </c>
      <c r="YR212" s="367" t="s">
        <v>206</v>
      </c>
      <c r="YS212" s="367"/>
      <c r="YT212" s="367"/>
      <c r="YU212" s="368" t="s">
        <v>168</v>
      </c>
      <c r="YV212" s="369">
        <v>0.5</v>
      </c>
      <c r="YW212" s="370" t="e">
        <f>10/YS210</f>
        <v>#DIV/0!</v>
      </c>
      <c r="YX212" s="371">
        <v>15.38</v>
      </c>
      <c r="YY212" s="371" t="e">
        <f>YV212*YW212*YX212</f>
        <v>#DIV/0!</v>
      </c>
      <c r="YZ212" s="367" t="s">
        <v>206</v>
      </c>
      <c r="ZA212" s="367"/>
      <c r="ZB212" s="367"/>
      <c r="ZC212" s="368" t="s">
        <v>168</v>
      </c>
      <c r="ZD212" s="369">
        <v>0.5</v>
      </c>
      <c r="ZE212" s="370" t="e">
        <f>10/ZA210</f>
        <v>#DIV/0!</v>
      </c>
      <c r="ZF212" s="371">
        <v>15.38</v>
      </c>
      <c r="ZG212" s="371" t="e">
        <f>ZD212*ZE212*ZF212</f>
        <v>#DIV/0!</v>
      </c>
      <c r="ZH212" s="367" t="s">
        <v>206</v>
      </c>
      <c r="ZI212" s="367"/>
      <c r="ZJ212" s="367"/>
      <c r="ZK212" s="368" t="s">
        <v>168</v>
      </c>
      <c r="ZL212" s="369">
        <v>0.5</v>
      </c>
      <c r="ZM212" s="370" t="e">
        <f>10/ZI210</f>
        <v>#DIV/0!</v>
      </c>
      <c r="ZN212" s="371">
        <v>15.38</v>
      </c>
      <c r="ZO212" s="371" t="e">
        <f>ZL212*ZM212*ZN212</f>
        <v>#DIV/0!</v>
      </c>
      <c r="ZP212" s="367" t="s">
        <v>206</v>
      </c>
      <c r="ZQ212" s="367"/>
      <c r="ZR212" s="367"/>
      <c r="ZS212" s="368" t="s">
        <v>168</v>
      </c>
      <c r="ZT212" s="369">
        <v>0.5</v>
      </c>
      <c r="ZU212" s="370" t="e">
        <f>10/ZQ210</f>
        <v>#DIV/0!</v>
      </c>
      <c r="ZV212" s="371">
        <v>15.38</v>
      </c>
      <c r="ZW212" s="371" t="e">
        <f>ZT212*ZU212*ZV212</f>
        <v>#DIV/0!</v>
      </c>
      <c r="ZX212" s="367" t="s">
        <v>206</v>
      </c>
      <c r="ZY212" s="367"/>
      <c r="ZZ212" s="367"/>
      <c r="AAA212" s="368" t="s">
        <v>168</v>
      </c>
      <c r="AAB212" s="369">
        <v>0.5</v>
      </c>
      <c r="AAC212" s="370" t="e">
        <f>10/ZY210</f>
        <v>#DIV/0!</v>
      </c>
      <c r="AAD212" s="371">
        <v>15.38</v>
      </c>
      <c r="AAE212" s="371" t="e">
        <f>AAB212*AAC212*AAD212</f>
        <v>#DIV/0!</v>
      </c>
      <c r="AAF212" s="367" t="s">
        <v>206</v>
      </c>
      <c r="AAG212" s="367"/>
      <c r="AAH212" s="367"/>
      <c r="AAI212" s="368" t="s">
        <v>168</v>
      </c>
      <c r="AAJ212" s="369">
        <v>0.5</v>
      </c>
      <c r="AAK212" s="370" t="e">
        <f>10/AAG210</f>
        <v>#DIV/0!</v>
      </c>
      <c r="AAL212" s="371">
        <v>15.38</v>
      </c>
      <c r="AAM212" s="371" t="e">
        <f>AAJ212*AAK212*AAL212</f>
        <v>#DIV/0!</v>
      </c>
      <c r="AAN212" s="367" t="s">
        <v>206</v>
      </c>
      <c r="AAO212" s="367"/>
      <c r="AAP212" s="367"/>
      <c r="AAQ212" s="368" t="s">
        <v>168</v>
      </c>
      <c r="AAR212" s="369">
        <v>0.5</v>
      </c>
      <c r="AAS212" s="370" t="e">
        <f>10/AAO210</f>
        <v>#DIV/0!</v>
      </c>
      <c r="AAT212" s="371">
        <v>15.38</v>
      </c>
      <c r="AAU212" s="371" t="e">
        <f>AAR212*AAS212*AAT212</f>
        <v>#DIV/0!</v>
      </c>
      <c r="AAV212" s="367" t="s">
        <v>206</v>
      </c>
      <c r="AAW212" s="367"/>
      <c r="AAX212" s="367"/>
      <c r="AAY212" s="368" t="s">
        <v>168</v>
      </c>
      <c r="AAZ212" s="369">
        <v>0.5</v>
      </c>
      <c r="ABA212" s="370" t="e">
        <f>10/AAW210</f>
        <v>#DIV/0!</v>
      </c>
      <c r="ABB212" s="371">
        <v>15.38</v>
      </c>
      <c r="ABC212" s="371" t="e">
        <f>AAZ212*ABA212*ABB212</f>
        <v>#DIV/0!</v>
      </c>
      <c r="ABD212" s="367" t="s">
        <v>206</v>
      </c>
      <c r="ABE212" s="367"/>
      <c r="ABF212" s="367"/>
      <c r="ABG212" s="368" t="s">
        <v>168</v>
      </c>
      <c r="ABH212" s="369">
        <v>0.5</v>
      </c>
      <c r="ABI212" s="370" t="e">
        <f>10/ABE210</f>
        <v>#DIV/0!</v>
      </c>
      <c r="ABJ212" s="371">
        <v>15.38</v>
      </c>
      <c r="ABK212" s="371" t="e">
        <f>ABH212*ABI212*ABJ212</f>
        <v>#DIV/0!</v>
      </c>
      <c r="ABL212" s="367" t="s">
        <v>206</v>
      </c>
      <c r="ABM212" s="367"/>
      <c r="ABN212" s="367"/>
      <c r="ABO212" s="368" t="s">
        <v>168</v>
      </c>
      <c r="ABP212" s="369">
        <v>0.5</v>
      </c>
      <c r="ABQ212" s="370" t="e">
        <f>10/ABM210</f>
        <v>#DIV/0!</v>
      </c>
      <c r="ABR212" s="371">
        <v>15.38</v>
      </c>
      <c r="ABS212" s="371" t="e">
        <f>ABP212*ABQ212*ABR212</f>
        <v>#DIV/0!</v>
      </c>
      <c r="ABT212" s="367" t="s">
        <v>206</v>
      </c>
      <c r="ABU212" s="367"/>
      <c r="ABV212" s="367"/>
      <c r="ABW212" s="368" t="s">
        <v>168</v>
      </c>
      <c r="ABX212" s="369">
        <v>0.5</v>
      </c>
      <c r="ABY212" s="370" t="e">
        <f>10/ABU210</f>
        <v>#DIV/0!</v>
      </c>
      <c r="ABZ212" s="371">
        <v>15.38</v>
      </c>
      <c r="ACA212" s="371" t="e">
        <f>ABX212*ABY212*ABZ212</f>
        <v>#DIV/0!</v>
      </c>
      <c r="ACB212" s="367" t="s">
        <v>206</v>
      </c>
      <c r="ACC212" s="367"/>
      <c r="ACD212" s="367"/>
      <c r="ACE212" s="368" t="s">
        <v>168</v>
      </c>
      <c r="ACF212" s="369">
        <v>0.5</v>
      </c>
      <c r="ACG212" s="370" t="e">
        <f>10/ACC210</f>
        <v>#DIV/0!</v>
      </c>
      <c r="ACH212" s="371">
        <v>15.38</v>
      </c>
      <c r="ACI212" s="371" t="e">
        <f>ACF212*ACG212*ACH212</f>
        <v>#DIV/0!</v>
      </c>
      <c r="ACJ212" s="367" t="s">
        <v>206</v>
      </c>
      <c r="ACK212" s="367"/>
      <c r="ACL212" s="367"/>
      <c r="ACM212" s="368" t="s">
        <v>168</v>
      </c>
      <c r="ACN212" s="369">
        <v>0.5</v>
      </c>
      <c r="ACO212" s="370" t="e">
        <f>10/ACK210</f>
        <v>#DIV/0!</v>
      </c>
      <c r="ACP212" s="371">
        <v>15.38</v>
      </c>
      <c r="ACQ212" s="371" t="e">
        <f>ACN212*ACO212*ACP212</f>
        <v>#DIV/0!</v>
      </c>
      <c r="ACR212" s="367" t="s">
        <v>206</v>
      </c>
      <c r="ACS212" s="367"/>
      <c r="ACT212" s="367"/>
      <c r="ACU212" s="368" t="s">
        <v>168</v>
      </c>
      <c r="ACV212" s="369">
        <v>0.5</v>
      </c>
      <c r="ACW212" s="370" t="e">
        <f>10/ACS210</f>
        <v>#DIV/0!</v>
      </c>
      <c r="ACX212" s="371">
        <v>15.38</v>
      </c>
      <c r="ACY212" s="371" t="e">
        <f>ACV212*ACW212*ACX212</f>
        <v>#DIV/0!</v>
      </c>
      <c r="ACZ212" s="367" t="s">
        <v>206</v>
      </c>
      <c r="ADA212" s="367"/>
      <c r="ADB212" s="367"/>
      <c r="ADC212" s="368" t="s">
        <v>168</v>
      </c>
      <c r="ADD212" s="369">
        <v>0.5</v>
      </c>
      <c r="ADE212" s="370" t="e">
        <f>10/ADA210</f>
        <v>#DIV/0!</v>
      </c>
      <c r="ADF212" s="371">
        <v>15.38</v>
      </c>
      <c r="ADG212" s="371" t="e">
        <f>ADD212*ADE212*ADF212</f>
        <v>#DIV/0!</v>
      </c>
      <c r="ADH212" s="367" t="s">
        <v>206</v>
      </c>
      <c r="ADI212" s="367"/>
      <c r="ADJ212" s="367"/>
      <c r="ADK212" s="368" t="s">
        <v>168</v>
      </c>
      <c r="ADL212" s="369">
        <v>0.5</v>
      </c>
      <c r="ADM212" s="370" t="e">
        <f>10/ADI210</f>
        <v>#DIV/0!</v>
      </c>
      <c r="ADN212" s="371">
        <v>15.38</v>
      </c>
      <c r="ADO212" s="371" t="e">
        <f>ADL212*ADM212*ADN212</f>
        <v>#DIV/0!</v>
      </c>
      <c r="ADP212" s="367" t="s">
        <v>206</v>
      </c>
      <c r="ADQ212" s="367"/>
      <c r="ADR212" s="367"/>
      <c r="ADS212" s="368" t="s">
        <v>168</v>
      </c>
      <c r="ADT212" s="369">
        <v>0.5</v>
      </c>
      <c r="ADU212" s="370" t="e">
        <f>10/ADQ210</f>
        <v>#DIV/0!</v>
      </c>
      <c r="ADV212" s="371">
        <v>15.38</v>
      </c>
      <c r="ADW212" s="371" t="e">
        <f>ADT212*ADU212*ADV212</f>
        <v>#DIV/0!</v>
      </c>
      <c r="ADX212" s="367" t="s">
        <v>206</v>
      </c>
      <c r="ADY212" s="367"/>
      <c r="ADZ212" s="367"/>
      <c r="AEA212" s="368" t="s">
        <v>168</v>
      </c>
      <c r="AEB212" s="369">
        <v>0.5</v>
      </c>
      <c r="AEC212" s="370" t="e">
        <f>10/ADY210</f>
        <v>#DIV/0!</v>
      </c>
      <c r="AED212" s="371">
        <v>15.38</v>
      </c>
      <c r="AEE212" s="371" t="e">
        <f>AEB212*AEC212*AED212</f>
        <v>#DIV/0!</v>
      </c>
      <c r="AEF212" s="367" t="s">
        <v>206</v>
      </c>
      <c r="AEG212" s="367"/>
      <c r="AEH212" s="367"/>
      <c r="AEI212" s="368" t="s">
        <v>168</v>
      </c>
      <c r="AEJ212" s="369">
        <v>0.5</v>
      </c>
      <c r="AEK212" s="370" t="e">
        <f>10/AEG210</f>
        <v>#DIV/0!</v>
      </c>
      <c r="AEL212" s="371">
        <v>15.38</v>
      </c>
      <c r="AEM212" s="371" t="e">
        <f>AEJ212*AEK212*AEL212</f>
        <v>#DIV/0!</v>
      </c>
      <c r="AEN212" s="367" t="s">
        <v>206</v>
      </c>
      <c r="AEO212" s="367"/>
      <c r="AEP212" s="367"/>
      <c r="AEQ212" s="368" t="s">
        <v>168</v>
      </c>
      <c r="AER212" s="369">
        <v>0.5</v>
      </c>
      <c r="AES212" s="370" t="e">
        <f>10/AEO210</f>
        <v>#DIV/0!</v>
      </c>
      <c r="AET212" s="371">
        <v>15.38</v>
      </c>
      <c r="AEU212" s="371" t="e">
        <f>AER212*AES212*AET212</f>
        <v>#DIV/0!</v>
      </c>
      <c r="AEV212" s="367" t="s">
        <v>206</v>
      </c>
      <c r="AEW212" s="367"/>
      <c r="AEX212" s="367"/>
      <c r="AEY212" s="368" t="s">
        <v>168</v>
      </c>
      <c r="AEZ212" s="369">
        <v>0.5</v>
      </c>
      <c r="AFA212" s="370" t="e">
        <f>10/AEW210</f>
        <v>#DIV/0!</v>
      </c>
      <c r="AFB212" s="371">
        <v>15.38</v>
      </c>
      <c r="AFC212" s="371" t="e">
        <f>AEZ212*AFA212*AFB212</f>
        <v>#DIV/0!</v>
      </c>
      <c r="AFD212" s="367" t="s">
        <v>206</v>
      </c>
      <c r="AFE212" s="367"/>
      <c r="AFF212" s="367"/>
      <c r="AFG212" s="368" t="s">
        <v>168</v>
      </c>
      <c r="AFH212" s="369">
        <v>0.5</v>
      </c>
      <c r="AFI212" s="370" t="e">
        <f>10/AFE210</f>
        <v>#DIV/0!</v>
      </c>
      <c r="AFJ212" s="371">
        <v>15.38</v>
      </c>
      <c r="AFK212" s="371" t="e">
        <f>AFH212*AFI212*AFJ212</f>
        <v>#DIV/0!</v>
      </c>
      <c r="AFL212" s="367" t="s">
        <v>206</v>
      </c>
      <c r="AFM212" s="367"/>
      <c r="AFN212" s="367"/>
      <c r="AFO212" s="368" t="s">
        <v>168</v>
      </c>
      <c r="AFP212" s="369">
        <v>0.5</v>
      </c>
      <c r="AFQ212" s="370" t="e">
        <f>10/AFM210</f>
        <v>#DIV/0!</v>
      </c>
      <c r="AFR212" s="371">
        <v>15.38</v>
      </c>
      <c r="AFS212" s="371" t="e">
        <f>AFP212*AFQ212*AFR212</f>
        <v>#DIV/0!</v>
      </c>
      <c r="AFT212" s="367" t="s">
        <v>206</v>
      </c>
      <c r="AFU212" s="367"/>
      <c r="AFV212" s="367"/>
      <c r="AFW212" s="368" t="s">
        <v>168</v>
      </c>
      <c r="AFX212" s="369">
        <v>0.5</v>
      </c>
      <c r="AFY212" s="370" t="e">
        <f>10/AFU210</f>
        <v>#DIV/0!</v>
      </c>
      <c r="AFZ212" s="371">
        <v>15.38</v>
      </c>
      <c r="AGA212" s="371" t="e">
        <f>AFX212*AFY212*AFZ212</f>
        <v>#DIV/0!</v>
      </c>
      <c r="AGB212" s="367" t="s">
        <v>206</v>
      </c>
      <c r="AGC212" s="367"/>
      <c r="AGD212" s="367"/>
      <c r="AGE212" s="368" t="s">
        <v>168</v>
      </c>
      <c r="AGF212" s="369">
        <v>0.5</v>
      </c>
      <c r="AGG212" s="370" t="e">
        <f>10/AGC210</f>
        <v>#DIV/0!</v>
      </c>
      <c r="AGH212" s="371">
        <v>15.38</v>
      </c>
      <c r="AGI212" s="371" t="e">
        <f>AGF212*AGG212*AGH212</f>
        <v>#DIV/0!</v>
      </c>
      <c r="AGJ212" s="367" t="s">
        <v>206</v>
      </c>
      <c r="AGK212" s="367"/>
      <c r="AGL212" s="367"/>
      <c r="AGM212" s="368" t="s">
        <v>168</v>
      </c>
      <c r="AGN212" s="369">
        <v>0.5</v>
      </c>
      <c r="AGO212" s="370" t="e">
        <f>10/AGK210</f>
        <v>#DIV/0!</v>
      </c>
      <c r="AGP212" s="371">
        <v>15.38</v>
      </c>
      <c r="AGQ212" s="371" t="e">
        <f>AGN212*AGO212*AGP212</f>
        <v>#DIV/0!</v>
      </c>
      <c r="AGR212" s="367" t="s">
        <v>206</v>
      </c>
      <c r="AGS212" s="367"/>
      <c r="AGT212" s="367"/>
      <c r="AGU212" s="368" t="s">
        <v>168</v>
      </c>
      <c r="AGV212" s="369">
        <v>0.5</v>
      </c>
      <c r="AGW212" s="370" t="e">
        <f>10/AGS210</f>
        <v>#DIV/0!</v>
      </c>
      <c r="AGX212" s="371">
        <v>15.38</v>
      </c>
      <c r="AGY212" s="371" t="e">
        <f>AGV212*AGW212*AGX212</f>
        <v>#DIV/0!</v>
      </c>
      <c r="AGZ212" s="367" t="s">
        <v>206</v>
      </c>
      <c r="AHA212" s="367"/>
      <c r="AHB212" s="367"/>
      <c r="AHC212" s="368" t="s">
        <v>168</v>
      </c>
      <c r="AHD212" s="369">
        <v>0.5</v>
      </c>
      <c r="AHE212" s="370" t="e">
        <f>10/AHA210</f>
        <v>#DIV/0!</v>
      </c>
      <c r="AHF212" s="371">
        <v>15.38</v>
      </c>
      <c r="AHG212" s="371" t="e">
        <f>AHD212*AHE212*AHF212</f>
        <v>#DIV/0!</v>
      </c>
      <c r="AHH212" s="367" t="s">
        <v>206</v>
      </c>
      <c r="AHI212" s="367"/>
      <c r="AHJ212" s="367"/>
      <c r="AHK212" s="368" t="s">
        <v>168</v>
      </c>
      <c r="AHL212" s="369">
        <v>0.5</v>
      </c>
      <c r="AHM212" s="370" t="e">
        <f>10/AHI210</f>
        <v>#DIV/0!</v>
      </c>
      <c r="AHN212" s="371">
        <v>15.38</v>
      </c>
      <c r="AHO212" s="371" t="e">
        <f>AHL212*AHM212*AHN212</f>
        <v>#DIV/0!</v>
      </c>
      <c r="AHP212" s="367" t="s">
        <v>206</v>
      </c>
      <c r="AHQ212" s="367"/>
      <c r="AHR212" s="367"/>
      <c r="AHS212" s="368" t="s">
        <v>168</v>
      </c>
      <c r="AHT212" s="369">
        <v>0.5</v>
      </c>
      <c r="AHU212" s="370" t="e">
        <f>10/AHQ210</f>
        <v>#DIV/0!</v>
      </c>
      <c r="AHV212" s="371">
        <v>15.38</v>
      </c>
      <c r="AHW212" s="371" t="e">
        <f>AHT212*AHU212*AHV212</f>
        <v>#DIV/0!</v>
      </c>
      <c r="AHX212" s="367" t="s">
        <v>206</v>
      </c>
      <c r="AHY212" s="367"/>
      <c r="AHZ212" s="367"/>
      <c r="AIA212" s="368" t="s">
        <v>168</v>
      </c>
      <c r="AIB212" s="369">
        <v>0.5</v>
      </c>
      <c r="AIC212" s="370" t="e">
        <f>10/AHY210</f>
        <v>#DIV/0!</v>
      </c>
      <c r="AID212" s="371">
        <v>15.38</v>
      </c>
      <c r="AIE212" s="371" t="e">
        <f>AIB212*AIC212*AID212</f>
        <v>#DIV/0!</v>
      </c>
      <c r="AIF212" s="367" t="s">
        <v>206</v>
      </c>
      <c r="AIG212" s="367"/>
      <c r="AIH212" s="367"/>
      <c r="AII212" s="368" t="s">
        <v>168</v>
      </c>
      <c r="AIJ212" s="369">
        <v>0.5</v>
      </c>
      <c r="AIK212" s="370" t="e">
        <f>10/AIG210</f>
        <v>#DIV/0!</v>
      </c>
      <c r="AIL212" s="371">
        <v>15.38</v>
      </c>
      <c r="AIM212" s="371" t="e">
        <f>AIJ212*AIK212*AIL212</f>
        <v>#DIV/0!</v>
      </c>
      <c r="AIN212" s="367" t="s">
        <v>206</v>
      </c>
      <c r="AIO212" s="367"/>
      <c r="AIP212" s="367"/>
      <c r="AIQ212" s="368" t="s">
        <v>168</v>
      </c>
      <c r="AIR212" s="369">
        <v>0.5</v>
      </c>
      <c r="AIS212" s="370" t="e">
        <f>10/AIO210</f>
        <v>#DIV/0!</v>
      </c>
      <c r="AIT212" s="371">
        <v>15.38</v>
      </c>
      <c r="AIU212" s="371" t="e">
        <f>AIR212*AIS212*AIT212</f>
        <v>#DIV/0!</v>
      </c>
      <c r="AIV212" s="367" t="s">
        <v>206</v>
      </c>
      <c r="AIW212" s="367"/>
      <c r="AIX212" s="367"/>
      <c r="AIY212" s="368" t="s">
        <v>168</v>
      </c>
      <c r="AIZ212" s="369">
        <v>0.5</v>
      </c>
      <c r="AJA212" s="370" t="e">
        <f>10/AIW210</f>
        <v>#DIV/0!</v>
      </c>
      <c r="AJB212" s="371">
        <v>15.38</v>
      </c>
      <c r="AJC212" s="371" t="e">
        <f>AIZ212*AJA212*AJB212</f>
        <v>#DIV/0!</v>
      </c>
      <c r="AJD212" s="367" t="s">
        <v>206</v>
      </c>
      <c r="AJE212" s="367"/>
      <c r="AJF212" s="367"/>
      <c r="AJG212" s="368" t="s">
        <v>168</v>
      </c>
      <c r="AJH212" s="369">
        <v>0.5</v>
      </c>
      <c r="AJI212" s="370" t="e">
        <f>10/AJE210</f>
        <v>#DIV/0!</v>
      </c>
      <c r="AJJ212" s="371">
        <v>15.38</v>
      </c>
      <c r="AJK212" s="371" t="e">
        <f>AJH212*AJI212*AJJ212</f>
        <v>#DIV/0!</v>
      </c>
      <c r="AJL212" s="367" t="s">
        <v>206</v>
      </c>
      <c r="AJM212" s="367"/>
      <c r="AJN212" s="367"/>
      <c r="AJO212" s="368" t="s">
        <v>168</v>
      </c>
      <c r="AJP212" s="369">
        <v>0.5</v>
      </c>
      <c r="AJQ212" s="370" t="e">
        <f>10/AJM210</f>
        <v>#DIV/0!</v>
      </c>
      <c r="AJR212" s="371">
        <v>15.38</v>
      </c>
      <c r="AJS212" s="371" t="e">
        <f>AJP212*AJQ212*AJR212</f>
        <v>#DIV/0!</v>
      </c>
      <c r="AJT212" s="367" t="s">
        <v>206</v>
      </c>
      <c r="AJU212" s="367"/>
      <c r="AJV212" s="367"/>
      <c r="AJW212" s="368" t="s">
        <v>168</v>
      </c>
      <c r="AJX212" s="369">
        <v>0.5</v>
      </c>
      <c r="AJY212" s="370" t="e">
        <f>10/AJU210</f>
        <v>#DIV/0!</v>
      </c>
      <c r="AJZ212" s="371">
        <v>15.38</v>
      </c>
      <c r="AKA212" s="371" t="e">
        <f>AJX212*AJY212*AJZ212</f>
        <v>#DIV/0!</v>
      </c>
      <c r="AKB212" s="367" t="s">
        <v>206</v>
      </c>
      <c r="AKC212" s="367"/>
      <c r="AKD212" s="367"/>
      <c r="AKE212" s="368" t="s">
        <v>168</v>
      </c>
      <c r="AKF212" s="369">
        <v>0.5</v>
      </c>
      <c r="AKG212" s="370" t="e">
        <f>10/AKC210</f>
        <v>#DIV/0!</v>
      </c>
      <c r="AKH212" s="371">
        <v>15.38</v>
      </c>
      <c r="AKI212" s="371" t="e">
        <f>AKF212*AKG212*AKH212</f>
        <v>#DIV/0!</v>
      </c>
      <c r="AKJ212" s="367" t="s">
        <v>206</v>
      </c>
      <c r="AKK212" s="367"/>
      <c r="AKL212" s="367"/>
      <c r="AKM212" s="368" t="s">
        <v>168</v>
      </c>
      <c r="AKN212" s="369">
        <v>0.5</v>
      </c>
      <c r="AKO212" s="370" t="e">
        <f>10/AKK210</f>
        <v>#DIV/0!</v>
      </c>
      <c r="AKP212" s="371">
        <v>15.38</v>
      </c>
      <c r="AKQ212" s="371" t="e">
        <f>AKN212*AKO212*AKP212</f>
        <v>#DIV/0!</v>
      </c>
      <c r="AKR212" s="367" t="s">
        <v>206</v>
      </c>
      <c r="AKS212" s="367"/>
      <c r="AKT212" s="367"/>
      <c r="AKU212" s="368" t="s">
        <v>168</v>
      </c>
      <c r="AKV212" s="369">
        <v>0.5</v>
      </c>
      <c r="AKW212" s="370" t="e">
        <f>10/AKS210</f>
        <v>#DIV/0!</v>
      </c>
      <c r="AKX212" s="371">
        <v>15.38</v>
      </c>
      <c r="AKY212" s="371" t="e">
        <f>AKV212*AKW212*AKX212</f>
        <v>#DIV/0!</v>
      </c>
      <c r="AKZ212" s="367" t="s">
        <v>206</v>
      </c>
      <c r="ALA212" s="367"/>
      <c r="ALB212" s="367"/>
      <c r="ALC212" s="368" t="s">
        <v>168</v>
      </c>
      <c r="ALD212" s="369">
        <v>0.5</v>
      </c>
      <c r="ALE212" s="370" t="e">
        <f>10/ALA210</f>
        <v>#DIV/0!</v>
      </c>
      <c r="ALF212" s="371">
        <v>15.38</v>
      </c>
      <c r="ALG212" s="371" t="e">
        <f>ALD212*ALE212*ALF212</f>
        <v>#DIV/0!</v>
      </c>
      <c r="ALH212" s="367" t="s">
        <v>206</v>
      </c>
      <c r="ALI212" s="367"/>
      <c r="ALJ212" s="367"/>
      <c r="ALK212" s="368" t="s">
        <v>168</v>
      </c>
      <c r="ALL212" s="369">
        <v>0.5</v>
      </c>
      <c r="ALM212" s="370" t="e">
        <f>10/ALI210</f>
        <v>#DIV/0!</v>
      </c>
      <c r="ALN212" s="371">
        <v>15.38</v>
      </c>
      <c r="ALO212" s="371" t="e">
        <f>ALL212*ALM212*ALN212</f>
        <v>#DIV/0!</v>
      </c>
      <c r="ALP212" s="367" t="s">
        <v>206</v>
      </c>
      <c r="ALQ212" s="367"/>
      <c r="ALR212" s="367"/>
      <c r="ALS212" s="368" t="s">
        <v>168</v>
      </c>
      <c r="ALT212" s="369">
        <v>0.5</v>
      </c>
      <c r="ALU212" s="370" t="e">
        <f>10/ALQ210</f>
        <v>#DIV/0!</v>
      </c>
      <c r="ALV212" s="371">
        <v>15.38</v>
      </c>
      <c r="ALW212" s="371" t="e">
        <f>ALT212*ALU212*ALV212</f>
        <v>#DIV/0!</v>
      </c>
      <c r="ALX212" s="367" t="s">
        <v>206</v>
      </c>
      <c r="ALY212" s="367"/>
      <c r="ALZ212" s="367"/>
      <c r="AMA212" s="368" t="s">
        <v>168</v>
      </c>
      <c r="AMB212" s="369">
        <v>0.5</v>
      </c>
      <c r="AMC212" s="370" t="e">
        <f>10/ALY210</f>
        <v>#DIV/0!</v>
      </c>
      <c r="AMD212" s="371">
        <v>15.38</v>
      </c>
      <c r="AME212" s="371" t="e">
        <f>AMB212*AMC212*AMD212</f>
        <v>#DIV/0!</v>
      </c>
      <c r="AMF212" s="367" t="s">
        <v>206</v>
      </c>
      <c r="AMG212" s="367"/>
      <c r="AMH212" s="367"/>
      <c r="AMI212" s="368" t="s">
        <v>168</v>
      </c>
      <c r="AMJ212" s="369">
        <v>0.5</v>
      </c>
      <c r="AMK212" s="370" t="e">
        <f>10/AMG210</f>
        <v>#DIV/0!</v>
      </c>
      <c r="AML212" s="371">
        <v>15.38</v>
      </c>
      <c r="AMM212" s="371" t="e">
        <f>AMJ212*AMK212*AML212</f>
        <v>#DIV/0!</v>
      </c>
      <c r="AMN212" s="367" t="s">
        <v>206</v>
      </c>
      <c r="AMO212" s="367"/>
      <c r="AMP212" s="367"/>
      <c r="AMQ212" s="368" t="s">
        <v>168</v>
      </c>
      <c r="AMR212" s="369">
        <v>0.5</v>
      </c>
      <c r="AMS212" s="370" t="e">
        <f>10/AMO210</f>
        <v>#DIV/0!</v>
      </c>
      <c r="AMT212" s="371">
        <v>15.38</v>
      </c>
      <c r="AMU212" s="371" t="e">
        <f>AMR212*AMS212*AMT212</f>
        <v>#DIV/0!</v>
      </c>
      <c r="AMV212" s="367" t="s">
        <v>206</v>
      </c>
      <c r="AMW212" s="367"/>
      <c r="AMX212" s="367"/>
      <c r="AMY212" s="368" t="s">
        <v>168</v>
      </c>
      <c r="AMZ212" s="369">
        <v>0.5</v>
      </c>
      <c r="ANA212" s="370" t="e">
        <f>10/AMW210</f>
        <v>#DIV/0!</v>
      </c>
      <c r="ANB212" s="371">
        <v>15.38</v>
      </c>
      <c r="ANC212" s="371" t="e">
        <f>AMZ212*ANA212*ANB212</f>
        <v>#DIV/0!</v>
      </c>
      <c r="AND212" s="367" t="s">
        <v>206</v>
      </c>
      <c r="ANE212" s="367"/>
      <c r="ANF212" s="367"/>
      <c r="ANG212" s="368" t="s">
        <v>168</v>
      </c>
      <c r="ANH212" s="369">
        <v>0.5</v>
      </c>
      <c r="ANI212" s="370" t="e">
        <f>10/ANE210</f>
        <v>#DIV/0!</v>
      </c>
      <c r="ANJ212" s="371">
        <v>15.38</v>
      </c>
      <c r="ANK212" s="371" t="e">
        <f>ANH212*ANI212*ANJ212</f>
        <v>#DIV/0!</v>
      </c>
      <c r="ANL212" s="367" t="s">
        <v>206</v>
      </c>
      <c r="ANM212" s="367"/>
      <c r="ANN212" s="367"/>
      <c r="ANO212" s="368" t="s">
        <v>168</v>
      </c>
      <c r="ANP212" s="369">
        <v>0.5</v>
      </c>
      <c r="ANQ212" s="370" t="e">
        <f>10/ANM210</f>
        <v>#DIV/0!</v>
      </c>
      <c r="ANR212" s="371">
        <v>15.38</v>
      </c>
      <c r="ANS212" s="371" t="e">
        <f>ANP212*ANQ212*ANR212</f>
        <v>#DIV/0!</v>
      </c>
      <c r="ANT212" s="367" t="s">
        <v>206</v>
      </c>
      <c r="ANU212" s="367"/>
      <c r="ANV212" s="367"/>
      <c r="ANW212" s="368" t="s">
        <v>168</v>
      </c>
      <c r="ANX212" s="369">
        <v>0.5</v>
      </c>
      <c r="ANY212" s="370" t="e">
        <f>10/ANU210</f>
        <v>#DIV/0!</v>
      </c>
      <c r="ANZ212" s="371">
        <v>15.38</v>
      </c>
      <c r="AOA212" s="371" t="e">
        <f>ANX212*ANY212*ANZ212</f>
        <v>#DIV/0!</v>
      </c>
      <c r="AOB212" s="367" t="s">
        <v>206</v>
      </c>
      <c r="AOC212" s="367"/>
      <c r="AOD212" s="367"/>
      <c r="AOE212" s="368" t="s">
        <v>168</v>
      </c>
      <c r="AOF212" s="369">
        <v>0.5</v>
      </c>
      <c r="AOG212" s="370" t="e">
        <f>10/AOC210</f>
        <v>#DIV/0!</v>
      </c>
      <c r="AOH212" s="371">
        <v>15.38</v>
      </c>
      <c r="AOI212" s="371" t="e">
        <f>AOF212*AOG212*AOH212</f>
        <v>#DIV/0!</v>
      </c>
      <c r="AOJ212" s="367" t="s">
        <v>206</v>
      </c>
      <c r="AOK212" s="367"/>
      <c r="AOL212" s="367"/>
      <c r="AOM212" s="368" t="s">
        <v>168</v>
      </c>
      <c r="AON212" s="369">
        <v>0.5</v>
      </c>
      <c r="AOO212" s="370" t="e">
        <f>10/AOK210</f>
        <v>#DIV/0!</v>
      </c>
      <c r="AOP212" s="371">
        <v>15.38</v>
      </c>
      <c r="AOQ212" s="371" t="e">
        <f>AON212*AOO212*AOP212</f>
        <v>#DIV/0!</v>
      </c>
      <c r="AOR212" s="367" t="s">
        <v>206</v>
      </c>
      <c r="AOS212" s="367"/>
      <c r="AOT212" s="367"/>
      <c r="AOU212" s="368" t="s">
        <v>168</v>
      </c>
      <c r="AOV212" s="369">
        <v>0.5</v>
      </c>
      <c r="AOW212" s="370" t="e">
        <f>10/AOS210</f>
        <v>#DIV/0!</v>
      </c>
      <c r="AOX212" s="371">
        <v>15.38</v>
      </c>
      <c r="AOY212" s="371" t="e">
        <f>AOV212*AOW212*AOX212</f>
        <v>#DIV/0!</v>
      </c>
      <c r="AOZ212" s="367" t="s">
        <v>206</v>
      </c>
      <c r="APA212" s="367"/>
      <c r="APB212" s="367"/>
      <c r="APC212" s="368" t="s">
        <v>168</v>
      </c>
      <c r="APD212" s="369">
        <v>0.5</v>
      </c>
      <c r="APE212" s="370" t="e">
        <f>10/APA210</f>
        <v>#DIV/0!</v>
      </c>
      <c r="APF212" s="371">
        <v>15.38</v>
      </c>
      <c r="APG212" s="371" t="e">
        <f>APD212*APE212*APF212</f>
        <v>#DIV/0!</v>
      </c>
      <c r="APH212" s="367" t="s">
        <v>206</v>
      </c>
      <c r="API212" s="367"/>
      <c r="APJ212" s="367"/>
      <c r="APK212" s="368" t="s">
        <v>168</v>
      </c>
      <c r="APL212" s="369">
        <v>0.5</v>
      </c>
      <c r="APM212" s="370" t="e">
        <f>10/API210</f>
        <v>#DIV/0!</v>
      </c>
      <c r="APN212" s="371">
        <v>15.38</v>
      </c>
      <c r="APO212" s="371" t="e">
        <f>APL212*APM212*APN212</f>
        <v>#DIV/0!</v>
      </c>
      <c r="APP212" s="367" t="s">
        <v>206</v>
      </c>
      <c r="APQ212" s="367"/>
      <c r="APR212" s="367"/>
      <c r="APS212" s="368" t="s">
        <v>168</v>
      </c>
      <c r="APT212" s="369">
        <v>0.5</v>
      </c>
      <c r="APU212" s="370" t="e">
        <f>10/APQ210</f>
        <v>#DIV/0!</v>
      </c>
      <c r="APV212" s="371">
        <v>15.38</v>
      </c>
      <c r="APW212" s="371" t="e">
        <f>APT212*APU212*APV212</f>
        <v>#DIV/0!</v>
      </c>
      <c r="APX212" s="367" t="s">
        <v>206</v>
      </c>
      <c r="APY212" s="367"/>
      <c r="APZ212" s="367"/>
      <c r="AQA212" s="368" t="s">
        <v>168</v>
      </c>
      <c r="AQB212" s="369">
        <v>0.5</v>
      </c>
      <c r="AQC212" s="370" t="e">
        <f>10/APY210</f>
        <v>#DIV/0!</v>
      </c>
      <c r="AQD212" s="371">
        <v>15.38</v>
      </c>
      <c r="AQE212" s="371" t="e">
        <f>AQB212*AQC212*AQD212</f>
        <v>#DIV/0!</v>
      </c>
      <c r="AQF212" s="367" t="s">
        <v>206</v>
      </c>
      <c r="AQG212" s="367"/>
      <c r="AQH212" s="367"/>
      <c r="AQI212" s="368" t="s">
        <v>168</v>
      </c>
      <c r="AQJ212" s="369">
        <v>0.5</v>
      </c>
      <c r="AQK212" s="370" t="e">
        <f>10/AQG210</f>
        <v>#DIV/0!</v>
      </c>
      <c r="AQL212" s="371">
        <v>15.38</v>
      </c>
      <c r="AQM212" s="371" t="e">
        <f>AQJ212*AQK212*AQL212</f>
        <v>#DIV/0!</v>
      </c>
      <c r="AQN212" s="367" t="s">
        <v>206</v>
      </c>
      <c r="AQO212" s="367"/>
      <c r="AQP212" s="367"/>
      <c r="AQQ212" s="368" t="s">
        <v>168</v>
      </c>
      <c r="AQR212" s="369">
        <v>0.5</v>
      </c>
      <c r="AQS212" s="370" t="e">
        <f>10/AQO210</f>
        <v>#DIV/0!</v>
      </c>
      <c r="AQT212" s="371">
        <v>15.38</v>
      </c>
      <c r="AQU212" s="371" t="e">
        <f>AQR212*AQS212*AQT212</f>
        <v>#DIV/0!</v>
      </c>
      <c r="AQV212" s="367" t="s">
        <v>206</v>
      </c>
      <c r="AQW212" s="367"/>
      <c r="AQX212" s="367"/>
      <c r="AQY212" s="368" t="s">
        <v>168</v>
      </c>
      <c r="AQZ212" s="369">
        <v>0.5</v>
      </c>
      <c r="ARA212" s="370" t="e">
        <f>10/AQW210</f>
        <v>#DIV/0!</v>
      </c>
      <c r="ARB212" s="371">
        <v>15.38</v>
      </c>
      <c r="ARC212" s="371" t="e">
        <f>AQZ212*ARA212*ARB212</f>
        <v>#DIV/0!</v>
      </c>
      <c r="ARD212" s="367" t="s">
        <v>206</v>
      </c>
      <c r="ARE212" s="367"/>
      <c r="ARF212" s="367"/>
      <c r="ARG212" s="368" t="s">
        <v>168</v>
      </c>
      <c r="ARH212" s="369">
        <v>0.5</v>
      </c>
      <c r="ARI212" s="370" t="e">
        <f>10/ARE210</f>
        <v>#DIV/0!</v>
      </c>
      <c r="ARJ212" s="371">
        <v>15.38</v>
      </c>
      <c r="ARK212" s="371" t="e">
        <f>ARH212*ARI212*ARJ212</f>
        <v>#DIV/0!</v>
      </c>
      <c r="ARL212" s="367" t="s">
        <v>206</v>
      </c>
      <c r="ARM212" s="367"/>
      <c r="ARN212" s="367"/>
      <c r="ARO212" s="368" t="s">
        <v>168</v>
      </c>
      <c r="ARP212" s="369">
        <v>0.5</v>
      </c>
      <c r="ARQ212" s="370" t="e">
        <f>10/ARM210</f>
        <v>#DIV/0!</v>
      </c>
      <c r="ARR212" s="371">
        <v>15.38</v>
      </c>
      <c r="ARS212" s="371" t="e">
        <f>ARP212*ARQ212*ARR212</f>
        <v>#DIV/0!</v>
      </c>
      <c r="ART212" s="367" t="s">
        <v>206</v>
      </c>
      <c r="ARU212" s="367"/>
      <c r="ARV212" s="367"/>
      <c r="ARW212" s="368" t="s">
        <v>168</v>
      </c>
      <c r="ARX212" s="369">
        <v>0.5</v>
      </c>
      <c r="ARY212" s="370" t="e">
        <f>10/ARU210</f>
        <v>#DIV/0!</v>
      </c>
      <c r="ARZ212" s="371">
        <v>15.38</v>
      </c>
      <c r="ASA212" s="371" t="e">
        <f>ARX212*ARY212*ARZ212</f>
        <v>#DIV/0!</v>
      </c>
      <c r="ASB212" s="367" t="s">
        <v>206</v>
      </c>
      <c r="ASC212" s="367"/>
      <c r="ASD212" s="367"/>
      <c r="ASE212" s="368" t="s">
        <v>168</v>
      </c>
      <c r="ASF212" s="369">
        <v>0.5</v>
      </c>
      <c r="ASG212" s="370" t="e">
        <f>10/ASC210</f>
        <v>#DIV/0!</v>
      </c>
      <c r="ASH212" s="371">
        <v>15.38</v>
      </c>
      <c r="ASI212" s="371" t="e">
        <f>ASF212*ASG212*ASH212</f>
        <v>#DIV/0!</v>
      </c>
      <c r="ASJ212" s="367" t="s">
        <v>206</v>
      </c>
      <c r="ASK212" s="367"/>
      <c r="ASL212" s="367"/>
      <c r="ASM212" s="368" t="s">
        <v>168</v>
      </c>
      <c r="ASN212" s="369">
        <v>0.5</v>
      </c>
      <c r="ASO212" s="370" t="e">
        <f>10/ASK210</f>
        <v>#DIV/0!</v>
      </c>
      <c r="ASP212" s="371">
        <v>15.38</v>
      </c>
      <c r="ASQ212" s="371" t="e">
        <f>ASN212*ASO212*ASP212</f>
        <v>#DIV/0!</v>
      </c>
      <c r="ASR212" s="367" t="s">
        <v>206</v>
      </c>
      <c r="ASS212" s="367"/>
      <c r="AST212" s="367"/>
      <c r="ASU212" s="368" t="s">
        <v>168</v>
      </c>
      <c r="ASV212" s="369">
        <v>0.5</v>
      </c>
      <c r="ASW212" s="370" t="e">
        <f>10/ASS210</f>
        <v>#DIV/0!</v>
      </c>
      <c r="ASX212" s="371">
        <v>15.38</v>
      </c>
      <c r="ASY212" s="371" t="e">
        <f>ASV212*ASW212*ASX212</f>
        <v>#DIV/0!</v>
      </c>
      <c r="ASZ212" s="367" t="s">
        <v>206</v>
      </c>
      <c r="ATA212" s="367"/>
      <c r="ATB212" s="367"/>
      <c r="ATC212" s="368" t="s">
        <v>168</v>
      </c>
      <c r="ATD212" s="369">
        <v>0.5</v>
      </c>
      <c r="ATE212" s="370" t="e">
        <f>10/ATA210</f>
        <v>#DIV/0!</v>
      </c>
      <c r="ATF212" s="371">
        <v>15.38</v>
      </c>
      <c r="ATG212" s="371" t="e">
        <f>ATD212*ATE212*ATF212</f>
        <v>#DIV/0!</v>
      </c>
      <c r="ATH212" s="367" t="s">
        <v>206</v>
      </c>
      <c r="ATI212" s="367"/>
      <c r="ATJ212" s="367"/>
      <c r="ATK212" s="368" t="s">
        <v>168</v>
      </c>
      <c r="ATL212" s="369">
        <v>0.5</v>
      </c>
      <c r="ATM212" s="370" t="e">
        <f>10/ATI210</f>
        <v>#DIV/0!</v>
      </c>
      <c r="ATN212" s="371">
        <v>15.38</v>
      </c>
      <c r="ATO212" s="371" t="e">
        <f>ATL212*ATM212*ATN212</f>
        <v>#DIV/0!</v>
      </c>
      <c r="ATP212" s="367" t="s">
        <v>206</v>
      </c>
      <c r="ATQ212" s="367"/>
      <c r="ATR212" s="367"/>
      <c r="ATS212" s="368" t="s">
        <v>168</v>
      </c>
      <c r="ATT212" s="369">
        <v>0.5</v>
      </c>
      <c r="ATU212" s="370" t="e">
        <f>10/ATQ210</f>
        <v>#DIV/0!</v>
      </c>
      <c r="ATV212" s="371">
        <v>15.38</v>
      </c>
      <c r="ATW212" s="371" t="e">
        <f>ATT212*ATU212*ATV212</f>
        <v>#DIV/0!</v>
      </c>
      <c r="ATX212" s="367" t="s">
        <v>206</v>
      </c>
      <c r="ATY212" s="367"/>
      <c r="ATZ212" s="367"/>
      <c r="AUA212" s="368" t="s">
        <v>168</v>
      </c>
      <c r="AUB212" s="369">
        <v>0.5</v>
      </c>
      <c r="AUC212" s="370" t="e">
        <f>10/ATY210</f>
        <v>#DIV/0!</v>
      </c>
      <c r="AUD212" s="371">
        <v>15.38</v>
      </c>
      <c r="AUE212" s="371" t="e">
        <f>AUB212*AUC212*AUD212</f>
        <v>#DIV/0!</v>
      </c>
      <c r="AUF212" s="367" t="s">
        <v>206</v>
      </c>
      <c r="AUG212" s="367"/>
      <c r="AUH212" s="367"/>
      <c r="AUI212" s="368" t="s">
        <v>168</v>
      </c>
      <c r="AUJ212" s="369">
        <v>0.5</v>
      </c>
      <c r="AUK212" s="370" t="e">
        <f>10/AUG210</f>
        <v>#DIV/0!</v>
      </c>
      <c r="AUL212" s="371">
        <v>15.38</v>
      </c>
      <c r="AUM212" s="371" t="e">
        <f>AUJ212*AUK212*AUL212</f>
        <v>#DIV/0!</v>
      </c>
      <c r="AUN212" s="367" t="s">
        <v>206</v>
      </c>
      <c r="AUO212" s="367"/>
      <c r="AUP212" s="367"/>
      <c r="AUQ212" s="368" t="s">
        <v>168</v>
      </c>
      <c r="AUR212" s="369">
        <v>0.5</v>
      </c>
      <c r="AUS212" s="370" t="e">
        <f>10/AUO210</f>
        <v>#DIV/0!</v>
      </c>
      <c r="AUT212" s="371">
        <v>15.38</v>
      </c>
      <c r="AUU212" s="371" t="e">
        <f>AUR212*AUS212*AUT212</f>
        <v>#DIV/0!</v>
      </c>
      <c r="AUV212" s="367" t="s">
        <v>206</v>
      </c>
      <c r="AUW212" s="367"/>
      <c r="AUX212" s="367"/>
      <c r="AUY212" s="368" t="s">
        <v>168</v>
      </c>
      <c r="AUZ212" s="369">
        <v>0.5</v>
      </c>
      <c r="AVA212" s="370" t="e">
        <f>10/AUW210</f>
        <v>#DIV/0!</v>
      </c>
      <c r="AVB212" s="371">
        <v>15.38</v>
      </c>
      <c r="AVC212" s="371" t="e">
        <f>AUZ212*AVA212*AVB212</f>
        <v>#DIV/0!</v>
      </c>
      <c r="AVD212" s="367" t="s">
        <v>206</v>
      </c>
      <c r="AVE212" s="367"/>
      <c r="AVF212" s="367"/>
      <c r="AVG212" s="368" t="s">
        <v>168</v>
      </c>
      <c r="AVH212" s="369">
        <v>0.5</v>
      </c>
      <c r="AVI212" s="370" t="e">
        <f>10/AVE210</f>
        <v>#DIV/0!</v>
      </c>
      <c r="AVJ212" s="371">
        <v>15.38</v>
      </c>
      <c r="AVK212" s="371" t="e">
        <f>AVH212*AVI212*AVJ212</f>
        <v>#DIV/0!</v>
      </c>
      <c r="AVL212" s="367" t="s">
        <v>206</v>
      </c>
      <c r="AVM212" s="367"/>
      <c r="AVN212" s="367"/>
      <c r="AVO212" s="368" t="s">
        <v>168</v>
      </c>
      <c r="AVP212" s="369">
        <v>0.5</v>
      </c>
      <c r="AVQ212" s="370" t="e">
        <f>10/AVM210</f>
        <v>#DIV/0!</v>
      </c>
      <c r="AVR212" s="371">
        <v>15.38</v>
      </c>
      <c r="AVS212" s="371" t="e">
        <f>AVP212*AVQ212*AVR212</f>
        <v>#DIV/0!</v>
      </c>
      <c r="AVT212" s="367" t="s">
        <v>206</v>
      </c>
      <c r="AVU212" s="367"/>
      <c r="AVV212" s="367"/>
      <c r="AVW212" s="368" t="s">
        <v>168</v>
      </c>
      <c r="AVX212" s="369">
        <v>0.5</v>
      </c>
      <c r="AVY212" s="370" t="e">
        <f>10/AVU210</f>
        <v>#DIV/0!</v>
      </c>
      <c r="AVZ212" s="371">
        <v>15.38</v>
      </c>
      <c r="AWA212" s="371" t="e">
        <f>AVX212*AVY212*AVZ212</f>
        <v>#DIV/0!</v>
      </c>
      <c r="AWB212" s="367" t="s">
        <v>206</v>
      </c>
      <c r="AWC212" s="367"/>
      <c r="AWD212" s="367"/>
      <c r="AWE212" s="368" t="s">
        <v>168</v>
      </c>
      <c r="AWF212" s="369">
        <v>0.5</v>
      </c>
      <c r="AWG212" s="370" t="e">
        <f>10/AWC210</f>
        <v>#DIV/0!</v>
      </c>
      <c r="AWH212" s="371">
        <v>15.38</v>
      </c>
      <c r="AWI212" s="371" t="e">
        <f>AWF212*AWG212*AWH212</f>
        <v>#DIV/0!</v>
      </c>
      <c r="AWJ212" s="367" t="s">
        <v>206</v>
      </c>
      <c r="AWK212" s="367"/>
      <c r="AWL212" s="367"/>
      <c r="AWM212" s="368" t="s">
        <v>168</v>
      </c>
      <c r="AWN212" s="369">
        <v>0.5</v>
      </c>
      <c r="AWO212" s="370" t="e">
        <f>10/AWK210</f>
        <v>#DIV/0!</v>
      </c>
      <c r="AWP212" s="371">
        <v>15.38</v>
      </c>
      <c r="AWQ212" s="371" t="e">
        <f>AWN212*AWO212*AWP212</f>
        <v>#DIV/0!</v>
      </c>
      <c r="AWR212" s="367" t="s">
        <v>206</v>
      </c>
      <c r="AWS212" s="367"/>
      <c r="AWT212" s="367"/>
      <c r="AWU212" s="368" t="s">
        <v>168</v>
      </c>
      <c r="AWV212" s="369">
        <v>0.5</v>
      </c>
      <c r="AWW212" s="370" t="e">
        <f>10/AWS210</f>
        <v>#DIV/0!</v>
      </c>
      <c r="AWX212" s="371">
        <v>15.38</v>
      </c>
      <c r="AWY212" s="371" t="e">
        <f>AWV212*AWW212*AWX212</f>
        <v>#DIV/0!</v>
      </c>
      <c r="AWZ212" s="367" t="s">
        <v>206</v>
      </c>
      <c r="AXA212" s="367"/>
      <c r="AXB212" s="367"/>
      <c r="AXC212" s="368" t="s">
        <v>168</v>
      </c>
      <c r="AXD212" s="369">
        <v>0.5</v>
      </c>
      <c r="AXE212" s="370" t="e">
        <f>10/AXA210</f>
        <v>#DIV/0!</v>
      </c>
      <c r="AXF212" s="371">
        <v>15.38</v>
      </c>
      <c r="AXG212" s="371" t="e">
        <f>AXD212*AXE212*AXF212</f>
        <v>#DIV/0!</v>
      </c>
      <c r="AXH212" s="367" t="s">
        <v>206</v>
      </c>
      <c r="AXI212" s="367"/>
      <c r="AXJ212" s="367"/>
      <c r="AXK212" s="368" t="s">
        <v>168</v>
      </c>
      <c r="AXL212" s="369">
        <v>0.5</v>
      </c>
      <c r="AXM212" s="370" t="e">
        <f>10/AXI210</f>
        <v>#DIV/0!</v>
      </c>
      <c r="AXN212" s="371">
        <v>15.38</v>
      </c>
      <c r="AXO212" s="371" t="e">
        <f>AXL212*AXM212*AXN212</f>
        <v>#DIV/0!</v>
      </c>
      <c r="AXP212" s="367" t="s">
        <v>206</v>
      </c>
      <c r="AXQ212" s="367"/>
      <c r="AXR212" s="367"/>
      <c r="AXS212" s="368" t="s">
        <v>168</v>
      </c>
      <c r="AXT212" s="369">
        <v>0.5</v>
      </c>
      <c r="AXU212" s="370" t="e">
        <f>10/AXQ210</f>
        <v>#DIV/0!</v>
      </c>
      <c r="AXV212" s="371">
        <v>15.38</v>
      </c>
      <c r="AXW212" s="371" t="e">
        <f>AXT212*AXU212*AXV212</f>
        <v>#DIV/0!</v>
      </c>
      <c r="AXX212" s="367" t="s">
        <v>206</v>
      </c>
      <c r="AXY212" s="367"/>
      <c r="AXZ212" s="367"/>
      <c r="AYA212" s="368" t="s">
        <v>168</v>
      </c>
      <c r="AYB212" s="369">
        <v>0.5</v>
      </c>
      <c r="AYC212" s="370" t="e">
        <f>10/AXY210</f>
        <v>#DIV/0!</v>
      </c>
      <c r="AYD212" s="371">
        <v>15.38</v>
      </c>
      <c r="AYE212" s="371" t="e">
        <f>AYB212*AYC212*AYD212</f>
        <v>#DIV/0!</v>
      </c>
      <c r="AYF212" s="367" t="s">
        <v>206</v>
      </c>
      <c r="AYG212" s="367"/>
      <c r="AYH212" s="367"/>
      <c r="AYI212" s="368" t="s">
        <v>168</v>
      </c>
      <c r="AYJ212" s="369">
        <v>0.5</v>
      </c>
      <c r="AYK212" s="370" t="e">
        <f>10/AYG210</f>
        <v>#DIV/0!</v>
      </c>
      <c r="AYL212" s="371">
        <v>15.38</v>
      </c>
      <c r="AYM212" s="371" t="e">
        <f>AYJ212*AYK212*AYL212</f>
        <v>#DIV/0!</v>
      </c>
      <c r="AYN212" s="367" t="s">
        <v>206</v>
      </c>
      <c r="AYO212" s="367"/>
      <c r="AYP212" s="367"/>
      <c r="AYQ212" s="368" t="s">
        <v>168</v>
      </c>
      <c r="AYR212" s="369">
        <v>0.5</v>
      </c>
      <c r="AYS212" s="370" t="e">
        <f>10/AYO210</f>
        <v>#DIV/0!</v>
      </c>
      <c r="AYT212" s="371">
        <v>15.38</v>
      </c>
      <c r="AYU212" s="371" t="e">
        <f>AYR212*AYS212*AYT212</f>
        <v>#DIV/0!</v>
      </c>
      <c r="AYV212" s="367" t="s">
        <v>206</v>
      </c>
      <c r="AYW212" s="367"/>
      <c r="AYX212" s="367"/>
      <c r="AYY212" s="368" t="s">
        <v>168</v>
      </c>
      <c r="AYZ212" s="369">
        <v>0.5</v>
      </c>
      <c r="AZA212" s="370" t="e">
        <f>10/AYW210</f>
        <v>#DIV/0!</v>
      </c>
      <c r="AZB212" s="371">
        <v>15.38</v>
      </c>
      <c r="AZC212" s="371" t="e">
        <f>AYZ212*AZA212*AZB212</f>
        <v>#DIV/0!</v>
      </c>
      <c r="AZD212" s="367" t="s">
        <v>206</v>
      </c>
      <c r="AZE212" s="367"/>
      <c r="AZF212" s="367"/>
      <c r="AZG212" s="368" t="s">
        <v>168</v>
      </c>
      <c r="AZH212" s="369">
        <v>0.5</v>
      </c>
      <c r="AZI212" s="370" t="e">
        <f>10/AZE210</f>
        <v>#DIV/0!</v>
      </c>
      <c r="AZJ212" s="371">
        <v>15.38</v>
      </c>
      <c r="AZK212" s="371" t="e">
        <f>AZH212*AZI212*AZJ212</f>
        <v>#DIV/0!</v>
      </c>
      <c r="AZL212" s="367" t="s">
        <v>206</v>
      </c>
      <c r="AZM212" s="367"/>
      <c r="AZN212" s="367"/>
      <c r="AZO212" s="368" t="s">
        <v>168</v>
      </c>
      <c r="AZP212" s="369">
        <v>0.5</v>
      </c>
      <c r="AZQ212" s="370" t="e">
        <f>10/AZM210</f>
        <v>#DIV/0!</v>
      </c>
      <c r="AZR212" s="371">
        <v>15.38</v>
      </c>
      <c r="AZS212" s="371" t="e">
        <f>AZP212*AZQ212*AZR212</f>
        <v>#DIV/0!</v>
      </c>
      <c r="AZT212" s="367" t="s">
        <v>206</v>
      </c>
      <c r="AZU212" s="367"/>
      <c r="AZV212" s="367"/>
      <c r="AZW212" s="368" t="s">
        <v>168</v>
      </c>
      <c r="AZX212" s="369">
        <v>0.5</v>
      </c>
      <c r="AZY212" s="370" t="e">
        <f>10/AZU210</f>
        <v>#DIV/0!</v>
      </c>
      <c r="AZZ212" s="371">
        <v>15.38</v>
      </c>
      <c r="BAA212" s="371" t="e">
        <f>AZX212*AZY212*AZZ212</f>
        <v>#DIV/0!</v>
      </c>
      <c r="BAB212" s="367" t="s">
        <v>206</v>
      </c>
      <c r="BAC212" s="367"/>
      <c r="BAD212" s="367"/>
      <c r="BAE212" s="368" t="s">
        <v>168</v>
      </c>
      <c r="BAF212" s="369">
        <v>0.5</v>
      </c>
      <c r="BAG212" s="370" t="e">
        <f>10/BAC210</f>
        <v>#DIV/0!</v>
      </c>
      <c r="BAH212" s="371">
        <v>15.38</v>
      </c>
      <c r="BAI212" s="371" t="e">
        <f>BAF212*BAG212*BAH212</f>
        <v>#DIV/0!</v>
      </c>
      <c r="BAJ212" s="367" t="s">
        <v>206</v>
      </c>
      <c r="BAK212" s="367"/>
      <c r="BAL212" s="367"/>
      <c r="BAM212" s="368" t="s">
        <v>168</v>
      </c>
      <c r="BAN212" s="369">
        <v>0.5</v>
      </c>
      <c r="BAO212" s="370" t="e">
        <f>10/BAK210</f>
        <v>#DIV/0!</v>
      </c>
      <c r="BAP212" s="371">
        <v>15.38</v>
      </c>
      <c r="BAQ212" s="371" t="e">
        <f>BAN212*BAO212*BAP212</f>
        <v>#DIV/0!</v>
      </c>
      <c r="BAR212" s="367" t="s">
        <v>206</v>
      </c>
      <c r="BAS212" s="367"/>
      <c r="BAT212" s="367"/>
      <c r="BAU212" s="368" t="s">
        <v>168</v>
      </c>
      <c r="BAV212" s="369">
        <v>0.5</v>
      </c>
      <c r="BAW212" s="370" t="e">
        <f>10/BAS210</f>
        <v>#DIV/0!</v>
      </c>
      <c r="BAX212" s="371">
        <v>15.38</v>
      </c>
      <c r="BAY212" s="371" t="e">
        <f>BAV212*BAW212*BAX212</f>
        <v>#DIV/0!</v>
      </c>
      <c r="BAZ212" s="367" t="s">
        <v>206</v>
      </c>
      <c r="BBA212" s="367"/>
      <c r="BBB212" s="367"/>
      <c r="BBC212" s="368" t="s">
        <v>168</v>
      </c>
      <c r="BBD212" s="369">
        <v>0.5</v>
      </c>
      <c r="BBE212" s="370" t="e">
        <f>10/BBA210</f>
        <v>#DIV/0!</v>
      </c>
      <c r="BBF212" s="371">
        <v>15.38</v>
      </c>
      <c r="BBG212" s="371" t="e">
        <f>BBD212*BBE212*BBF212</f>
        <v>#DIV/0!</v>
      </c>
      <c r="BBH212" s="367" t="s">
        <v>206</v>
      </c>
      <c r="BBI212" s="367"/>
      <c r="BBJ212" s="367"/>
      <c r="BBK212" s="368" t="s">
        <v>168</v>
      </c>
      <c r="BBL212" s="369">
        <v>0.5</v>
      </c>
      <c r="BBM212" s="370" t="e">
        <f>10/BBI210</f>
        <v>#DIV/0!</v>
      </c>
      <c r="BBN212" s="371">
        <v>15.38</v>
      </c>
      <c r="BBO212" s="371" t="e">
        <f>BBL212*BBM212*BBN212</f>
        <v>#DIV/0!</v>
      </c>
      <c r="BBP212" s="367" t="s">
        <v>206</v>
      </c>
      <c r="BBQ212" s="367"/>
      <c r="BBR212" s="367"/>
      <c r="BBS212" s="368" t="s">
        <v>168</v>
      </c>
      <c r="BBT212" s="369">
        <v>0.5</v>
      </c>
      <c r="BBU212" s="370" t="e">
        <f>10/BBQ210</f>
        <v>#DIV/0!</v>
      </c>
      <c r="BBV212" s="371">
        <v>15.38</v>
      </c>
      <c r="BBW212" s="371" t="e">
        <f>BBT212*BBU212*BBV212</f>
        <v>#DIV/0!</v>
      </c>
      <c r="BBX212" s="367" t="s">
        <v>206</v>
      </c>
      <c r="BBY212" s="367"/>
      <c r="BBZ212" s="367"/>
      <c r="BCA212" s="368" t="s">
        <v>168</v>
      </c>
      <c r="BCB212" s="369">
        <v>0.5</v>
      </c>
      <c r="BCC212" s="370" t="e">
        <f>10/BBY210</f>
        <v>#DIV/0!</v>
      </c>
      <c r="BCD212" s="371">
        <v>15.38</v>
      </c>
      <c r="BCE212" s="371" t="e">
        <f>BCB212*BCC212*BCD212</f>
        <v>#DIV/0!</v>
      </c>
      <c r="BCF212" s="367" t="s">
        <v>206</v>
      </c>
      <c r="BCG212" s="367"/>
      <c r="BCH212" s="367"/>
      <c r="BCI212" s="368" t="s">
        <v>168</v>
      </c>
      <c r="BCJ212" s="369">
        <v>0.5</v>
      </c>
      <c r="BCK212" s="370" t="e">
        <f>10/BCG210</f>
        <v>#DIV/0!</v>
      </c>
      <c r="BCL212" s="371">
        <v>15.38</v>
      </c>
      <c r="BCM212" s="371" t="e">
        <f>BCJ212*BCK212*BCL212</f>
        <v>#DIV/0!</v>
      </c>
      <c r="BCN212" s="367" t="s">
        <v>206</v>
      </c>
      <c r="BCO212" s="367"/>
      <c r="BCP212" s="367"/>
      <c r="BCQ212" s="368" t="s">
        <v>168</v>
      </c>
      <c r="BCR212" s="369">
        <v>0.5</v>
      </c>
      <c r="BCS212" s="370" t="e">
        <f>10/BCO210</f>
        <v>#DIV/0!</v>
      </c>
      <c r="BCT212" s="371">
        <v>15.38</v>
      </c>
      <c r="BCU212" s="371" t="e">
        <f>BCR212*BCS212*BCT212</f>
        <v>#DIV/0!</v>
      </c>
      <c r="BCV212" s="367" t="s">
        <v>206</v>
      </c>
      <c r="BCW212" s="367"/>
      <c r="BCX212" s="367"/>
      <c r="BCY212" s="368" t="s">
        <v>168</v>
      </c>
      <c r="BCZ212" s="369">
        <v>0.5</v>
      </c>
      <c r="BDA212" s="370" t="e">
        <f>10/BCW210</f>
        <v>#DIV/0!</v>
      </c>
      <c r="BDB212" s="371">
        <v>15.38</v>
      </c>
      <c r="BDC212" s="371" t="e">
        <f>BCZ212*BDA212*BDB212</f>
        <v>#DIV/0!</v>
      </c>
      <c r="BDD212" s="367" t="s">
        <v>206</v>
      </c>
      <c r="BDE212" s="367"/>
      <c r="BDF212" s="367"/>
      <c r="BDG212" s="368" t="s">
        <v>168</v>
      </c>
      <c r="BDH212" s="369">
        <v>0.5</v>
      </c>
      <c r="BDI212" s="370" t="e">
        <f>10/BDE210</f>
        <v>#DIV/0!</v>
      </c>
      <c r="BDJ212" s="371">
        <v>15.38</v>
      </c>
      <c r="BDK212" s="371" t="e">
        <f>BDH212*BDI212*BDJ212</f>
        <v>#DIV/0!</v>
      </c>
      <c r="BDL212" s="367" t="s">
        <v>206</v>
      </c>
      <c r="BDM212" s="367"/>
      <c r="BDN212" s="367"/>
      <c r="BDO212" s="368" t="s">
        <v>168</v>
      </c>
      <c r="BDP212" s="369">
        <v>0.5</v>
      </c>
      <c r="BDQ212" s="370" t="e">
        <f>10/BDM210</f>
        <v>#DIV/0!</v>
      </c>
      <c r="BDR212" s="371">
        <v>15.38</v>
      </c>
      <c r="BDS212" s="371" t="e">
        <f>BDP212*BDQ212*BDR212</f>
        <v>#DIV/0!</v>
      </c>
      <c r="BDT212" s="367" t="s">
        <v>206</v>
      </c>
      <c r="BDU212" s="367"/>
      <c r="BDV212" s="367"/>
      <c r="BDW212" s="368" t="s">
        <v>168</v>
      </c>
      <c r="BDX212" s="369">
        <v>0.5</v>
      </c>
      <c r="BDY212" s="370" t="e">
        <f>10/BDU210</f>
        <v>#DIV/0!</v>
      </c>
      <c r="BDZ212" s="371">
        <v>15.38</v>
      </c>
      <c r="BEA212" s="371" t="e">
        <f>BDX212*BDY212*BDZ212</f>
        <v>#DIV/0!</v>
      </c>
      <c r="BEB212" s="367" t="s">
        <v>206</v>
      </c>
      <c r="BEC212" s="367"/>
      <c r="BED212" s="367"/>
      <c r="BEE212" s="368" t="s">
        <v>168</v>
      </c>
      <c r="BEF212" s="369">
        <v>0.5</v>
      </c>
      <c r="BEG212" s="370" t="e">
        <f>10/BEC210</f>
        <v>#DIV/0!</v>
      </c>
      <c r="BEH212" s="371">
        <v>15.38</v>
      </c>
      <c r="BEI212" s="371" t="e">
        <f>BEF212*BEG212*BEH212</f>
        <v>#DIV/0!</v>
      </c>
      <c r="BEJ212" s="367" t="s">
        <v>206</v>
      </c>
      <c r="BEK212" s="367"/>
      <c r="BEL212" s="367"/>
      <c r="BEM212" s="368" t="s">
        <v>168</v>
      </c>
      <c r="BEN212" s="369">
        <v>0.5</v>
      </c>
      <c r="BEO212" s="370" t="e">
        <f>10/BEK210</f>
        <v>#DIV/0!</v>
      </c>
      <c r="BEP212" s="371">
        <v>15.38</v>
      </c>
      <c r="BEQ212" s="371" t="e">
        <f>BEN212*BEO212*BEP212</f>
        <v>#DIV/0!</v>
      </c>
      <c r="BER212" s="367" t="s">
        <v>206</v>
      </c>
      <c r="BES212" s="367"/>
      <c r="BET212" s="367"/>
      <c r="BEU212" s="368" t="s">
        <v>168</v>
      </c>
      <c r="BEV212" s="369">
        <v>0.5</v>
      </c>
      <c r="BEW212" s="370" t="e">
        <f>10/BES210</f>
        <v>#DIV/0!</v>
      </c>
      <c r="BEX212" s="371">
        <v>15.38</v>
      </c>
      <c r="BEY212" s="371" t="e">
        <f>BEV212*BEW212*BEX212</f>
        <v>#DIV/0!</v>
      </c>
      <c r="BEZ212" s="367" t="s">
        <v>206</v>
      </c>
      <c r="BFA212" s="367"/>
      <c r="BFB212" s="367"/>
      <c r="BFC212" s="368" t="s">
        <v>168</v>
      </c>
      <c r="BFD212" s="369">
        <v>0.5</v>
      </c>
      <c r="BFE212" s="370" t="e">
        <f>10/BFA210</f>
        <v>#DIV/0!</v>
      </c>
      <c r="BFF212" s="371">
        <v>15.38</v>
      </c>
      <c r="BFG212" s="371" t="e">
        <f>BFD212*BFE212*BFF212</f>
        <v>#DIV/0!</v>
      </c>
      <c r="BFH212" s="367" t="s">
        <v>206</v>
      </c>
      <c r="BFI212" s="367"/>
      <c r="BFJ212" s="367"/>
      <c r="BFK212" s="368" t="s">
        <v>168</v>
      </c>
      <c r="BFL212" s="369">
        <v>0.5</v>
      </c>
      <c r="BFM212" s="370" t="e">
        <f>10/BFI210</f>
        <v>#DIV/0!</v>
      </c>
      <c r="BFN212" s="371">
        <v>15.38</v>
      </c>
      <c r="BFO212" s="371" t="e">
        <f>BFL212*BFM212*BFN212</f>
        <v>#DIV/0!</v>
      </c>
      <c r="BFP212" s="367" t="s">
        <v>206</v>
      </c>
      <c r="BFQ212" s="367"/>
      <c r="BFR212" s="367"/>
      <c r="BFS212" s="368" t="s">
        <v>168</v>
      </c>
      <c r="BFT212" s="369">
        <v>0.5</v>
      </c>
      <c r="BFU212" s="370" t="e">
        <f>10/BFQ210</f>
        <v>#DIV/0!</v>
      </c>
      <c r="BFV212" s="371">
        <v>15.38</v>
      </c>
      <c r="BFW212" s="371" t="e">
        <f>BFT212*BFU212*BFV212</f>
        <v>#DIV/0!</v>
      </c>
      <c r="BFX212" s="367" t="s">
        <v>206</v>
      </c>
      <c r="BFY212" s="367"/>
      <c r="BFZ212" s="367"/>
      <c r="BGA212" s="368" t="s">
        <v>168</v>
      </c>
      <c r="BGB212" s="369">
        <v>0.5</v>
      </c>
      <c r="BGC212" s="370" t="e">
        <f>10/BFY210</f>
        <v>#DIV/0!</v>
      </c>
      <c r="BGD212" s="371">
        <v>15.38</v>
      </c>
      <c r="BGE212" s="371" t="e">
        <f>BGB212*BGC212*BGD212</f>
        <v>#DIV/0!</v>
      </c>
      <c r="BGF212" s="367" t="s">
        <v>206</v>
      </c>
      <c r="BGG212" s="367"/>
      <c r="BGH212" s="367"/>
      <c r="BGI212" s="368" t="s">
        <v>168</v>
      </c>
      <c r="BGJ212" s="369">
        <v>0.5</v>
      </c>
      <c r="BGK212" s="370" t="e">
        <f>10/BGG210</f>
        <v>#DIV/0!</v>
      </c>
      <c r="BGL212" s="371">
        <v>15.38</v>
      </c>
      <c r="BGM212" s="371" t="e">
        <f>BGJ212*BGK212*BGL212</f>
        <v>#DIV/0!</v>
      </c>
      <c r="BGN212" s="367" t="s">
        <v>206</v>
      </c>
      <c r="BGO212" s="367"/>
      <c r="BGP212" s="367"/>
      <c r="BGQ212" s="368" t="s">
        <v>168</v>
      </c>
      <c r="BGR212" s="369">
        <v>0.5</v>
      </c>
      <c r="BGS212" s="370" t="e">
        <f>10/BGO210</f>
        <v>#DIV/0!</v>
      </c>
      <c r="BGT212" s="371">
        <v>15.38</v>
      </c>
      <c r="BGU212" s="371" t="e">
        <f>BGR212*BGS212*BGT212</f>
        <v>#DIV/0!</v>
      </c>
      <c r="BGV212" s="367" t="s">
        <v>206</v>
      </c>
      <c r="BGW212" s="367"/>
      <c r="BGX212" s="367"/>
      <c r="BGY212" s="368" t="s">
        <v>168</v>
      </c>
      <c r="BGZ212" s="369">
        <v>0.5</v>
      </c>
      <c r="BHA212" s="370" t="e">
        <f>10/BGW210</f>
        <v>#DIV/0!</v>
      </c>
      <c r="BHB212" s="371">
        <v>15.38</v>
      </c>
      <c r="BHC212" s="371" t="e">
        <f>BGZ212*BHA212*BHB212</f>
        <v>#DIV/0!</v>
      </c>
      <c r="BHD212" s="367" t="s">
        <v>206</v>
      </c>
      <c r="BHE212" s="367"/>
      <c r="BHF212" s="367"/>
      <c r="BHG212" s="368" t="s">
        <v>168</v>
      </c>
      <c r="BHH212" s="369">
        <v>0.5</v>
      </c>
      <c r="BHI212" s="370" t="e">
        <f>10/BHE210</f>
        <v>#DIV/0!</v>
      </c>
      <c r="BHJ212" s="371">
        <v>15.38</v>
      </c>
      <c r="BHK212" s="371" t="e">
        <f>BHH212*BHI212*BHJ212</f>
        <v>#DIV/0!</v>
      </c>
      <c r="BHL212" s="367" t="s">
        <v>206</v>
      </c>
      <c r="BHM212" s="367"/>
      <c r="BHN212" s="367"/>
      <c r="BHO212" s="368" t="s">
        <v>168</v>
      </c>
      <c r="BHP212" s="369">
        <v>0.5</v>
      </c>
      <c r="BHQ212" s="370" t="e">
        <f>10/BHM210</f>
        <v>#DIV/0!</v>
      </c>
      <c r="BHR212" s="371">
        <v>15.38</v>
      </c>
      <c r="BHS212" s="371" t="e">
        <f>BHP212*BHQ212*BHR212</f>
        <v>#DIV/0!</v>
      </c>
      <c r="BHT212" s="367" t="s">
        <v>206</v>
      </c>
      <c r="BHU212" s="367"/>
      <c r="BHV212" s="367"/>
      <c r="BHW212" s="368" t="s">
        <v>168</v>
      </c>
      <c r="BHX212" s="369">
        <v>0.5</v>
      </c>
      <c r="BHY212" s="370" t="e">
        <f>10/BHU210</f>
        <v>#DIV/0!</v>
      </c>
      <c r="BHZ212" s="371">
        <v>15.38</v>
      </c>
      <c r="BIA212" s="371" t="e">
        <f>BHX212*BHY212*BHZ212</f>
        <v>#DIV/0!</v>
      </c>
      <c r="BIB212" s="367" t="s">
        <v>206</v>
      </c>
      <c r="BIC212" s="367"/>
      <c r="BID212" s="367"/>
      <c r="BIE212" s="368" t="s">
        <v>168</v>
      </c>
      <c r="BIF212" s="369">
        <v>0.5</v>
      </c>
      <c r="BIG212" s="370" t="e">
        <f>10/BIC210</f>
        <v>#DIV/0!</v>
      </c>
      <c r="BIH212" s="371">
        <v>15.38</v>
      </c>
      <c r="BII212" s="371" t="e">
        <f>BIF212*BIG212*BIH212</f>
        <v>#DIV/0!</v>
      </c>
      <c r="BIJ212" s="367" t="s">
        <v>206</v>
      </c>
      <c r="BIK212" s="367"/>
      <c r="BIL212" s="367"/>
      <c r="BIM212" s="368" t="s">
        <v>168</v>
      </c>
      <c r="BIN212" s="369">
        <v>0.5</v>
      </c>
      <c r="BIO212" s="370" t="e">
        <f>10/BIK210</f>
        <v>#DIV/0!</v>
      </c>
      <c r="BIP212" s="371">
        <v>15.38</v>
      </c>
      <c r="BIQ212" s="371" t="e">
        <f>BIN212*BIO212*BIP212</f>
        <v>#DIV/0!</v>
      </c>
      <c r="BIR212" s="367" t="s">
        <v>206</v>
      </c>
      <c r="BIS212" s="367"/>
      <c r="BIT212" s="367"/>
      <c r="BIU212" s="368" t="s">
        <v>168</v>
      </c>
      <c r="BIV212" s="369">
        <v>0.5</v>
      </c>
      <c r="BIW212" s="370" t="e">
        <f>10/BIS210</f>
        <v>#DIV/0!</v>
      </c>
      <c r="BIX212" s="371">
        <v>15.38</v>
      </c>
      <c r="BIY212" s="371" t="e">
        <f>BIV212*BIW212*BIX212</f>
        <v>#DIV/0!</v>
      </c>
      <c r="BIZ212" s="367" t="s">
        <v>206</v>
      </c>
      <c r="BJA212" s="367"/>
      <c r="BJB212" s="367"/>
      <c r="BJC212" s="368" t="s">
        <v>168</v>
      </c>
      <c r="BJD212" s="369">
        <v>0.5</v>
      </c>
      <c r="BJE212" s="370" t="e">
        <f>10/BJA210</f>
        <v>#DIV/0!</v>
      </c>
      <c r="BJF212" s="371">
        <v>15.38</v>
      </c>
      <c r="BJG212" s="371" t="e">
        <f>BJD212*BJE212*BJF212</f>
        <v>#DIV/0!</v>
      </c>
      <c r="BJH212" s="367" t="s">
        <v>206</v>
      </c>
      <c r="BJI212" s="367"/>
      <c r="BJJ212" s="367"/>
      <c r="BJK212" s="368" t="s">
        <v>168</v>
      </c>
      <c r="BJL212" s="369">
        <v>0.5</v>
      </c>
      <c r="BJM212" s="370" t="e">
        <f>10/BJI210</f>
        <v>#DIV/0!</v>
      </c>
      <c r="BJN212" s="371">
        <v>15.38</v>
      </c>
      <c r="BJO212" s="371" t="e">
        <f>BJL212*BJM212*BJN212</f>
        <v>#DIV/0!</v>
      </c>
      <c r="BJP212" s="367" t="s">
        <v>206</v>
      </c>
      <c r="BJQ212" s="367"/>
      <c r="BJR212" s="367"/>
      <c r="BJS212" s="368" t="s">
        <v>168</v>
      </c>
      <c r="BJT212" s="369">
        <v>0.5</v>
      </c>
      <c r="BJU212" s="370" t="e">
        <f>10/BJQ210</f>
        <v>#DIV/0!</v>
      </c>
      <c r="BJV212" s="371">
        <v>15.38</v>
      </c>
      <c r="BJW212" s="371" t="e">
        <f>BJT212*BJU212*BJV212</f>
        <v>#DIV/0!</v>
      </c>
      <c r="BJX212" s="367" t="s">
        <v>206</v>
      </c>
      <c r="BJY212" s="367"/>
      <c r="BJZ212" s="367"/>
      <c r="BKA212" s="368" t="s">
        <v>168</v>
      </c>
      <c r="BKB212" s="369">
        <v>0.5</v>
      </c>
      <c r="BKC212" s="370" t="e">
        <f>10/BJY210</f>
        <v>#DIV/0!</v>
      </c>
      <c r="BKD212" s="371">
        <v>15.38</v>
      </c>
      <c r="BKE212" s="371" t="e">
        <f>BKB212*BKC212*BKD212</f>
        <v>#DIV/0!</v>
      </c>
      <c r="BKF212" s="367" t="s">
        <v>206</v>
      </c>
      <c r="BKG212" s="367"/>
      <c r="BKH212" s="367"/>
      <c r="BKI212" s="368" t="s">
        <v>168</v>
      </c>
      <c r="BKJ212" s="369">
        <v>0.5</v>
      </c>
      <c r="BKK212" s="370" t="e">
        <f>10/BKG210</f>
        <v>#DIV/0!</v>
      </c>
      <c r="BKL212" s="371">
        <v>15.38</v>
      </c>
      <c r="BKM212" s="371" t="e">
        <f>BKJ212*BKK212*BKL212</f>
        <v>#DIV/0!</v>
      </c>
      <c r="BKN212" s="367" t="s">
        <v>206</v>
      </c>
      <c r="BKO212" s="367"/>
      <c r="BKP212" s="367"/>
      <c r="BKQ212" s="368" t="s">
        <v>168</v>
      </c>
      <c r="BKR212" s="369">
        <v>0.5</v>
      </c>
      <c r="BKS212" s="370" t="e">
        <f>10/BKO210</f>
        <v>#DIV/0!</v>
      </c>
      <c r="BKT212" s="371">
        <v>15.38</v>
      </c>
      <c r="BKU212" s="371" t="e">
        <f>BKR212*BKS212*BKT212</f>
        <v>#DIV/0!</v>
      </c>
      <c r="BKV212" s="367" t="s">
        <v>206</v>
      </c>
      <c r="BKW212" s="367"/>
      <c r="BKX212" s="367"/>
      <c r="BKY212" s="368" t="s">
        <v>168</v>
      </c>
      <c r="BKZ212" s="369">
        <v>0.5</v>
      </c>
      <c r="BLA212" s="370" t="e">
        <f>10/BKW210</f>
        <v>#DIV/0!</v>
      </c>
      <c r="BLB212" s="371">
        <v>15.38</v>
      </c>
      <c r="BLC212" s="371" t="e">
        <f>BKZ212*BLA212*BLB212</f>
        <v>#DIV/0!</v>
      </c>
      <c r="BLD212" s="367" t="s">
        <v>206</v>
      </c>
      <c r="BLE212" s="367"/>
      <c r="BLF212" s="367"/>
      <c r="BLG212" s="368" t="s">
        <v>168</v>
      </c>
      <c r="BLH212" s="369">
        <v>0.5</v>
      </c>
      <c r="BLI212" s="370" t="e">
        <f>10/BLE210</f>
        <v>#DIV/0!</v>
      </c>
      <c r="BLJ212" s="371">
        <v>15.38</v>
      </c>
      <c r="BLK212" s="371" t="e">
        <f>BLH212*BLI212*BLJ212</f>
        <v>#DIV/0!</v>
      </c>
      <c r="BLL212" s="367" t="s">
        <v>206</v>
      </c>
      <c r="BLM212" s="367"/>
      <c r="BLN212" s="367"/>
      <c r="BLO212" s="368" t="s">
        <v>168</v>
      </c>
      <c r="BLP212" s="369">
        <v>0.5</v>
      </c>
      <c r="BLQ212" s="370" t="e">
        <f>10/BLM210</f>
        <v>#DIV/0!</v>
      </c>
      <c r="BLR212" s="371">
        <v>15.38</v>
      </c>
      <c r="BLS212" s="371" t="e">
        <f>BLP212*BLQ212*BLR212</f>
        <v>#DIV/0!</v>
      </c>
      <c r="BLT212" s="367" t="s">
        <v>206</v>
      </c>
      <c r="BLU212" s="367"/>
      <c r="BLV212" s="367"/>
      <c r="BLW212" s="368" t="s">
        <v>168</v>
      </c>
      <c r="BLX212" s="369">
        <v>0.5</v>
      </c>
      <c r="BLY212" s="370" t="e">
        <f>10/BLU210</f>
        <v>#DIV/0!</v>
      </c>
      <c r="BLZ212" s="371">
        <v>15.38</v>
      </c>
      <c r="BMA212" s="371" t="e">
        <f>BLX212*BLY212*BLZ212</f>
        <v>#DIV/0!</v>
      </c>
      <c r="BMB212" s="367" t="s">
        <v>206</v>
      </c>
      <c r="BMC212" s="367"/>
      <c r="BMD212" s="367"/>
      <c r="BME212" s="368" t="s">
        <v>168</v>
      </c>
      <c r="BMF212" s="369">
        <v>0.5</v>
      </c>
      <c r="BMG212" s="370" t="e">
        <f>10/BMC210</f>
        <v>#DIV/0!</v>
      </c>
      <c r="BMH212" s="371">
        <v>15.38</v>
      </c>
      <c r="BMI212" s="371" t="e">
        <f>BMF212*BMG212*BMH212</f>
        <v>#DIV/0!</v>
      </c>
      <c r="BMJ212" s="367" t="s">
        <v>206</v>
      </c>
      <c r="BMK212" s="367"/>
      <c r="BML212" s="367"/>
      <c r="BMM212" s="368" t="s">
        <v>168</v>
      </c>
      <c r="BMN212" s="369">
        <v>0.5</v>
      </c>
      <c r="BMO212" s="370" t="e">
        <f>10/BMK210</f>
        <v>#DIV/0!</v>
      </c>
      <c r="BMP212" s="371">
        <v>15.38</v>
      </c>
      <c r="BMQ212" s="371" t="e">
        <f>BMN212*BMO212*BMP212</f>
        <v>#DIV/0!</v>
      </c>
      <c r="BMR212" s="367" t="s">
        <v>206</v>
      </c>
      <c r="BMS212" s="367"/>
      <c r="BMT212" s="367"/>
      <c r="BMU212" s="368" t="s">
        <v>168</v>
      </c>
      <c r="BMV212" s="369">
        <v>0.5</v>
      </c>
      <c r="BMW212" s="370" t="e">
        <f>10/BMS210</f>
        <v>#DIV/0!</v>
      </c>
      <c r="BMX212" s="371">
        <v>15.38</v>
      </c>
      <c r="BMY212" s="371" t="e">
        <f>BMV212*BMW212*BMX212</f>
        <v>#DIV/0!</v>
      </c>
      <c r="BMZ212" s="367" t="s">
        <v>206</v>
      </c>
      <c r="BNA212" s="367"/>
      <c r="BNB212" s="367"/>
      <c r="BNC212" s="368" t="s">
        <v>168</v>
      </c>
      <c r="BND212" s="369">
        <v>0.5</v>
      </c>
      <c r="BNE212" s="370" t="e">
        <f>10/BNA210</f>
        <v>#DIV/0!</v>
      </c>
      <c r="BNF212" s="371">
        <v>15.38</v>
      </c>
      <c r="BNG212" s="371" t="e">
        <f>BND212*BNE212*BNF212</f>
        <v>#DIV/0!</v>
      </c>
      <c r="BNH212" s="367" t="s">
        <v>206</v>
      </c>
      <c r="BNI212" s="367"/>
      <c r="BNJ212" s="367"/>
      <c r="BNK212" s="368" t="s">
        <v>168</v>
      </c>
      <c r="BNL212" s="369">
        <v>0.5</v>
      </c>
      <c r="BNM212" s="370" t="e">
        <f>10/BNI210</f>
        <v>#DIV/0!</v>
      </c>
      <c r="BNN212" s="371">
        <v>15.38</v>
      </c>
      <c r="BNO212" s="371" t="e">
        <f>BNL212*BNM212*BNN212</f>
        <v>#DIV/0!</v>
      </c>
      <c r="BNP212" s="367" t="s">
        <v>206</v>
      </c>
      <c r="BNQ212" s="367"/>
      <c r="BNR212" s="367"/>
      <c r="BNS212" s="368" t="s">
        <v>168</v>
      </c>
      <c r="BNT212" s="369">
        <v>0.5</v>
      </c>
      <c r="BNU212" s="370" t="e">
        <f>10/BNQ210</f>
        <v>#DIV/0!</v>
      </c>
      <c r="BNV212" s="371">
        <v>15.38</v>
      </c>
      <c r="BNW212" s="371" t="e">
        <f>BNT212*BNU212*BNV212</f>
        <v>#DIV/0!</v>
      </c>
      <c r="BNX212" s="367" t="s">
        <v>206</v>
      </c>
      <c r="BNY212" s="367"/>
      <c r="BNZ212" s="367"/>
      <c r="BOA212" s="368" t="s">
        <v>168</v>
      </c>
      <c r="BOB212" s="369">
        <v>0.5</v>
      </c>
      <c r="BOC212" s="370" t="e">
        <f>10/BNY210</f>
        <v>#DIV/0!</v>
      </c>
      <c r="BOD212" s="371">
        <v>15.38</v>
      </c>
      <c r="BOE212" s="371" t="e">
        <f>BOB212*BOC212*BOD212</f>
        <v>#DIV/0!</v>
      </c>
      <c r="BOF212" s="367" t="s">
        <v>206</v>
      </c>
      <c r="BOG212" s="367"/>
      <c r="BOH212" s="367"/>
      <c r="BOI212" s="368" t="s">
        <v>168</v>
      </c>
      <c r="BOJ212" s="369">
        <v>0.5</v>
      </c>
      <c r="BOK212" s="370" t="e">
        <f>10/BOG210</f>
        <v>#DIV/0!</v>
      </c>
      <c r="BOL212" s="371">
        <v>15.38</v>
      </c>
      <c r="BOM212" s="371" t="e">
        <f>BOJ212*BOK212*BOL212</f>
        <v>#DIV/0!</v>
      </c>
      <c r="BON212" s="367" t="s">
        <v>206</v>
      </c>
      <c r="BOO212" s="367"/>
      <c r="BOP212" s="367"/>
      <c r="BOQ212" s="368" t="s">
        <v>168</v>
      </c>
      <c r="BOR212" s="369">
        <v>0.5</v>
      </c>
      <c r="BOS212" s="370" t="e">
        <f>10/BOO210</f>
        <v>#DIV/0!</v>
      </c>
      <c r="BOT212" s="371">
        <v>15.38</v>
      </c>
      <c r="BOU212" s="371" t="e">
        <f>BOR212*BOS212*BOT212</f>
        <v>#DIV/0!</v>
      </c>
      <c r="BOV212" s="367" t="s">
        <v>206</v>
      </c>
      <c r="BOW212" s="367"/>
      <c r="BOX212" s="367"/>
      <c r="BOY212" s="368" t="s">
        <v>168</v>
      </c>
      <c r="BOZ212" s="369">
        <v>0.5</v>
      </c>
      <c r="BPA212" s="370" t="e">
        <f>10/BOW210</f>
        <v>#DIV/0!</v>
      </c>
      <c r="BPB212" s="371">
        <v>15.38</v>
      </c>
      <c r="BPC212" s="371" t="e">
        <f>BOZ212*BPA212*BPB212</f>
        <v>#DIV/0!</v>
      </c>
      <c r="BPD212" s="367" t="s">
        <v>206</v>
      </c>
      <c r="BPE212" s="367"/>
      <c r="BPF212" s="367"/>
      <c r="BPG212" s="368" t="s">
        <v>168</v>
      </c>
      <c r="BPH212" s="369">
        <v>0.5</v>
      </c>
      <c r="BPI212" s="370" t="e">
        <f>10/BPE210</f>
        <v>#DIV/0!</v>
      </c>
      <c r="BPJ212" s="371">
        <v>15.38</v>
      </c>
      <c r="BPK212" s="371" t="e">
        <f>BPH212*BPI212*BPJ212</f>
        <v>#DIV/0!</v>
      </c>
      <c r="BPL212" s="367" t="s">
        <v>206</v>
      </c>
      <c r="BPM212" s="367"/>
      <c r="BPN212" s="367"/>
      <c r="BPO212" s="368" t="s">
        <v>168</v>
      </c>
      <c r="BPP212" s="369">
        <v>0.5</v>
      </c>
      <c r="BPQ212" s="370" t="e">
        <f>10/BPM210</f>
        <v>#DIV/0!</v>
      </c>
      <c r="BPR212" s="371">
        <v>15.38</v>
      </c>
      <c r="BPS212" s="371" t="e">
        <f>BPP212*BPQ212*BPR212</f>
        <v>#DIV/0!</v>
      </c>
      <c r="BPT212" s="367" t="s">
        <v>206</v>
      </c>
      <c r="BPU212" s="367"/>
      <c r="BPV212" s="367"/>
      <c r="BPW212" s="368" t="s">
        <v>168</v>
      </c>
      <c r="BPX212" s="369">
        <v>0.5</v>
      </c>
      <c r="BPY212" s="370" t="e">
        <f>10/BPU210</f>
        <v>#DIV/0!</v>
      </c>
      <c r="BPZ212" s="371">
        <v>15.38</v>
      </c>
      <c r="BQA212" s="371" t="e">
        <f>BPX212*BPY212*BPZ212</f>
        <v>#DIV/0!</v>
      </c>
      <c r="BQB212" s="367" t="s">
        <v>206</v>
      </c>
      <c r="BQC212" s="367"/>
      <c r="BQD212" s="367"/>
      <c r="BQE212" s="368" t="s">
        <v>168</v>
      </c>
      <c r="BQF212" s="369">
        <v>0.5</v>
      </c>
      <c r="BQG212" s="370" t="e">
        <f>10/BQC210</f>
        <v>#DIV/0!</v>
      </c>
      <c r="BQH212" s="371">
        <v>15.38</v>
      </c>
      <c r="BQI212" s="371" t="e">
        <f>BQF212*BQG212*BQH212</f>
        <v>#DIV/0!</v>
      </c>
      <c r="BQJ212" s="367" t="s">
        <v>206</v>
      </c>
      <c r="BQK212" s="367"/>
      <c r="BQL212" s="367"/>
      <c r="BQM212" s="368" t="s">
        <v>168</v>
      </c>
      <c r="BQN212" s="369">
        <v>0.5</v>
      </c>
      <c r="BQO212" s="370" t="e">
        <f>10/BQK210</f>
        <v>#DIV/0!</v>
      </c>
      <c r="BQP212" s="371">
        <v>15.38</v>
      </c>
      <c r="BQQ212" s="371" t="e">
        <f>BQN212*BQO212*BQP212</f>
        <v>#DIV/0!</v>
      </c>
      <c r="BQR212" s="367" t="s">
        <v>206</v>
      </c>
      <c r="BQS212" s="367"/>
      <c r="BQT212" s="367"/>
      <c r="BQU212" s="368" t="s">
        <v>168</v>
      </c>
      <c r="BQV212" s="369">
        <v>0.5</v>
      </c>
      <c r="BQW212" s="370" t="e">
        <f>10/BQS210</f>
        <v>#DIV/0!</v>
      </c>
      <c r="BQX212" s="371">
        <v>15.38</v>
      </c>
      <c r="BQY212" s="371" t="e">
        <f>BQV212*BQW212*BQX212</f>
        <v>#DIV/0!</v>
      </c>
      <c r="BQZ212" s="367" t="s">
        <v>206</v>
      </c>
      <c r="BRA212" s="367"/>
      <c r="BRB212" s="367"/>
      <c r="BRC212" s="368" t="s">
        <v>168</v>
      </c>
      <c r="BRD212" s="369">
        <v>0.5</v>
      </c>
      <c r="BRE212" s="370" t="e">
        <f>10/BRA210</f>
        <v>#DIV/0!</v>
      </c>
      <c r="BRF212" s="371">
        <v>15.38</v>
      </c>
      <c r="BRG212" s="371" t="e">
        <f>BRD212*BRE212*BRF212</f>
        <v>#DIV/0!</v>
      </c>
      <c r="BRH212" s="367" t="s">
        <v>206</v>
      </c>
      <c r="BRI212" s="367"/>
      <c r="BRJ212" s="367"/>
      <c r="BRK212" s="368" t="s">
        <v>168</v>
      </c>
      <c r="BRL212" s="369">
        <v>0.5</v>
      </c>
      <c r="BRM212" s="370" t="e">
        <f>10/BRI210</f>
        <v>#DIV/0!</v>
      </c>
      <c r="BRN212" s="371">
        <v>15.38</v>
      </c>
      <c r="BRO212" s="371" t="e">
        <f>BRL212*BRM212*BRN212</f>
        <v>#DIV/0!</v>
      </c>
      <c r="BRP212" s="367" t="s">
        <v>206</v>
      </c>
      <c r="BRQ212" s="367"/>
      <c r="BRR212" s="367"/>
      <c r="BRS212" s="368" t="s">
        <v>168</v>
      </c>
      <c r="BRT212" s="369">
        <v>0.5</v>
      </c>
      <c r="BRU212" s="370" t="e">
        <f>10/BRQ210</f>
        <v>#DIV/0!</v>
      </c>
      <c r="BRV212" s="371">
        <v>15.38</v>
      </c>
      <c r="BRW212" s="371" t="e">
        <f>BRT212*BRU212*BRV212</f>
        <v>#DIV/0!</v>
      </c>
      <c r="BRX212" s="367" t="s">
        <v>206</v>
      </c>
      <c r="BRY212" s="367"/>
      <c r="BRZ212" s="367"/>
      <c r="BSA212" s="368" t="s">
        <v>168</v>
      </c>
      <c r="BSB212" s="369">
        <v>0.5</v>
      </c>
      <c r="BSC212" s="370" t="e">
        <f>10/BRY210</f>
        <v>#DIV/0!</v>
      </c>
      <c r="BSD212" s="371">
        <v>15.38</v>
      </c>
      <c r="BSE212" s="371" t="e">
        <f>BSB212*BSC212*BSD212</f>
        <v>#DIV/0!</v>
      </c>
      <c r="BSF212" s="367" t="s">
        <v>206</v>
      </c>
      <c r="BSG212" s="367"/>
      <c r="BSH212" s="367"/>
      <c r="BSI212" s="368" t="s">
        <v>168</v>
      </c>
      <c r="BSJ212" s="369">
        <v>0.5</v>
      </c>
      <c r="BSK212" s="370" t="e">
        <f>10/BSG210</f>
        <v>#DIV/0!</v>
      </c>
      <c r="BSL212" s="371">
        <v>15.38</v>
      </c>
      <c r="BSM212" s="371" t="e">
        <f>BSJ212*BSK212*BSL212</f>
        <v>#DIV/0!</v>
      </c>
      <c r="BSN212" s="367" t="s">
        <v>206</v>
      </c>
      <c r="BSO212" s="367"/>
      <c r="BSP212" s="367"/>
      <c r="BSQ212" s="368" t="s">
        <v>168</v>
      </c>
      <c r="BSR212" s="369">
        <v>0.5</v>
      </c>
      <c r="BSS212" s="370" t="e">
        <f>10/BSO210</f>
        <v>#DIV/0!</v>
      </c>
      <c r="BST212" s="371">
        <v>15.38</v>
      </c>
      <c r="BSU212" s="371" t="e">
        <f>BSR212*BSS212*BST212</f>
        <v>#DIV/0!</v>
      </c>
      <c r="BSV212" s="367" t="s">
        <v>206</v>
      </c>
      <c r="BSW212" s="367"/>
      <c r="BSX212" s="367"/>
      <c r="BSY212" s="368" t="s">
        <v>168</v>
      </c>
      <c r="BSZ212" s="369">
        <v>0.5</v>
      </c>
      <c r="BTA212" s="370" t="e">
        <f>10/BSW210</f>
        <v>#DIV/0!</v>
      </c>
      <c r="BTB212" s="371">
        <v>15.38</v>
      </c>
      <c r="BTC212" s="371" t="e">
        <f>BSZ212*BTA212*BTB212</f>
        <v>#DIV/0!</v>
      </c>
      <c r="BTD212" s="367" t="s">
        <v>206</v>
      </c>
      <c r="BTE212" s="367"/>
      <c r="BTF212" s="367"/>
      <c r="BTG212" s="368" t="s">
        <v>168</v>
      </c>
      <c r="BTH212" s="369">
        <v>0.5</v>
      </c>
      <c r="BTI212" s="370" t="e">
        <f>10/BTE210</f>
        <v>#DIV/0!</v>
      </c>
      <c r="BTJ212" s="371">
        <v>15.38</v>
      </c>
      <c r="BTK212" s="371" t="e">
        <f>BTH212*BTI212*BTJ212</f>
        <v>#DIV/0!</v>
      </c>
      <c r="BTL212" s="367" t="s">
        <v>206</v>
      </c>
      <c r="BTM212" s="367"/>
      <c r="BTN212" s="367"/>
      <c r="BTO212" s="368" t="s">
        <v>168</v>
      </c>
      <c r="BTP212" s="369">
        <v>0.5</v>
      </c>
      <c r="BTQ212" s="370" t="e">
        <f>10/BTM210</f>
        <v>#DIV/0!</v>
      </c>
      <c r="BTR212" s="371">
        <v>15.38</v>
      </c>
      <c r="BTS212" s="371" t="e">
        <f>BTP212*BTQ212*BTR212</f>
        <v>#DIV/0!</v>
      </c>
      <c r="BTT212" s="367" t="s">
        <v>206</v>
      </c>
      <c r="BTU212" s="367"/>
      <c r="BTV212" s="367"/>
      <c r="BTW212" s="368" t="s">
        <v>168</v>
      </c>
      <c r="BTX212" s="369">
        <v>0.5</v>
      </c>
      <c r="BTY212" s="370" t="e">
        <f>10/BTU210</f>
        <v>#DIV/0!</v>
      </c>
      <c r="BTZ212" s="371">
        <v>15.38</v>
      </c>
      <c r="BUA212" s="371" t="e">
        <f>BTX212*BTY212*BTZ212</f>
        <v>#DIV/0!</v>
      </c>
      <c r="BUB212" s="367" t="s">
        <v>206</v>
      </c>
      <c r="BUC212" s="367"/>
      <c r="BUD212" s="367"/>
      <c r="BUE212" s="368" t="s">
        <v>168</v>
      </c>
      <c r="BUF212" s="369">
        <v>0.5</v>
      </c>
      <c r="BUG212" s="370" t="e">
        <f>10/BUC210</f>
        <v>#DIV/0!</v>
      </c>
      <c r="BUH212" s="371">
        <v>15.38</v>
      </c>
      <c r="BUI212" s="371" t="e">
        <f>BUF212*BUG212*BUH212</f>
        <v>#DIV/0!</v>
      </c>
      <c r="BUJ212" s="367" t="s">
        <v>206</v>
      </c>
      <c r="BUK212" s="367"/>
      <c r="BUL212" s="367"/>
      <c r="BUM212" s="368" t="s">
        <v>168</v>
      </c>
      <c r="BUN212" s="369">
        <v>0.5</v>
      </c>
      <c r="BUO212" s="370" t="e">
        <f>10/BUK210</f>
        <v>#DIV/0!</v>
      </c>
      <c r="BUP212" s="371">
        <v>15.38</v>
      </c>
      <c r="BUQ212" s="371" t="e">
        <f>BUN212*BUO212*BUP212</f>
        <v>#DIV/0!</v>
      </c>
      <c r="BUR212" s="367" t="s">
        <v>206</v>
      </c>
      <c r="BUS212" s="367"/>
      <c r="BUT212" s="367"/>
      <c r="BUU212" s="368" t="s">
        <v>168</v>
      </c>
      <c r="BUV212" s="369">
        <v>0.5</v>
      </c>
      <c r="BUW212" s="370" t="e">
        <f>10/BUS210</f>
        <v>#DIV/0!</v>
      </c>
      <c r="BUX212" s="371">
        <v>15.38</v>
      </c>
      <c r="BUY212" s="371" t="e">
        <f>BUV212*BUW212*BUX212</f>
        <v>#DIV/0!</v>
      </c>
      <c r="BUZ212" s="367" t="s">
        <v>206</v>
      </c>
      <c r="BVA212" s="367"/>
      <c r="BVB212" s="367"/>
      <c r="BVC212" s="368" t="s">
        <v>168</v>
      </c>
      <c r="BVD212" s="369">
        <v>0.5</v>
      </c>
      <c r="BVE212" s="370" t="e">
        <f>10/BVA210</f>
        <v>#DIV/0!</v>
      </c>
      <c r="BVF212" s="371">
        <v>15.38</v>
      </c>
      <c r="BVG212" s="371" t="e">
        <f>BVD212*BVE212*BVF212</f>
        <v>#DIV/0!</v>
      </c>
      <c r="BVH212" s="367" t="s">
        <v>206</v>
      </c>
      <c r="BVI212" s="367"/>
      <c r="BVJ212" s="367"/>
      <c r="BVK212" s="368" t="s">
        <v>168</v>
      </c>
      <c r="BVL212" s="369">
        <v>0.5</v>
      </c>
      <c r="BVM212" s="370" t="e">
        <f>10/BVI210</f>
        <v>#DIV/0!</v>
      </c>
      <c r="BVN212" s="371">
        <v>15.38</v>
      </c>
      <c r="BVO212" s="371" t="e">
        <f>BVL212*BVM212*BVN212</f>
        <v>#DIV/0!</v>
      </c>
      <c r="BVP212" s="367" t="s">
        <v>206</v>
      </c>
      <c r="BVQ212" s="367"/>
      <c r="BVR212" s="367"/>
      <c r="BVS212" s="368" t="s">
        <v>168</v>
      </c>
      <c r="BVT212" s="369">
        <v>0.5</v>
      </c>
      <c r="BVU212" s="370" t="e">
        <f>10/BVQ210</f>
        <v>#DIV/0!</v>
      </c>
      <c r="BVV212" s="371">
        <v>15.38</v>
      </c>
      <c r="BVW212" s="371" t="e">
        <f>BVT212*BVU212*BVV212</f>
        <v>#DIV/0!</v>
      </c>
      <c r="BVX212" s="367" t="s">
        <v>206</v>
      </c>
      <c r="BVY212" s="367"/>
      <c r="BVZ212" s="367"/>
      <c r="BWA212" s="368" t="s">
        <v>168</v>
      </c>
      <c r="BWB212" s="369">
        <v>0.5</v>
      </c>
      <c r="BWC212" s="370" t="e">
        <f>10/BVY210</f>
        <v>#DIV/0!</v>
      </c>
      <c r="BWD212" s="371">
        <v>15.38</v>
      </c>
      <c r="BWE212" s="371" t="e">
        <f>BWB212*BWC212*BWD212</f>
        <v>#DIV/0!</v>
      </c>
      <c r="BWF212" s="367" t="s">
        <v>206</v>
      </c>
      <c r="BWG212" s="367"/>
      <c r="BWH212" s="367"/>
      <c r="BWI212" s="368" t="s">
        <v>168</v>
      </c>
      <c r="BWJ212" s="369">
        <v>0.5</v>
      </c>
      <c r="BWK212" s="370" t="e">
        <f>10/BWG210</f>
        <v>#DIV/0!</v>
      </c>
      <c r="BWL212" s="371">
        <v>15.38</v>
      </c>
      <c r="BWM212" s="371" t="e">
        <f>BWJ212*BWK212*BWL212</f>
        <v>#DIV/0!</v>
      </c>
      <c r="BWN212" s="367" t="s">
        <v>206</v>
      </c>
      <c r="BWO212" s="367"/>
      <c r="BWP212" s="367"/>
      <c r="BWQ212" s="368" t="s">
        <v>168</v>
      </c>
      <c r="BWR212" s="369">
        <v>0.5</v>
      </c>
      <c r="BWS212" s="370" t="e">
        <f>10/BWO210</f>
        <v>#DIV/0!</v>
      </c>
      <c r="BWT212" s="371">
        <v>15.38</v>
      </c>
      <c r="BWU212" s="371" t="e">
        <f>BWR212*BWS212*BWT212</f>
        <v>#DIV/0!</v>
      </c>
      <c r="BWV212" s="367" t="s">
        <v>206</v>
      </c>
      <c r="BWW212" s="367"/>
      <c r="BWX212" s="367"/>
      <c r="BWY212" s="368" t="s">
        <v>168</v>
      </c>
      <c r="BWZ212" s="369">
        <v>0.5</v>
      </c>
      <c r="BXA212" s="370" t="e">
        <f>10/BWW210</f>
        <v>#DIV/0!</v>
      </c>
      <c r="BXB212" s="371">
        <v>15.38</v>
      </c>
      <c r="BXC212" s="371" t="e">
        <f>BWZ212*BXA212*BXB212</f>
        <v>#DIV/0!</v>
      </c>
      <c r="BXD212" s="367" t="s">
        <v>206</v>
      </c>
      <c r="BXE212" s="367"/>
      <c r="BXF212" s="367"/>
      <c r="BXG212" s="368" t="s">
        <v>168</v>
      </c>
      <c r="BXH212" s="369">
        <v>0.5</v>
      </c>
      <c r="BXI212" s="370" t="e">
        <f>10/BXE210</f>
        <v>#DIV/0!</v>
      </c>
      <c r="BXJ212" s="371">
        <v>15.38</v>
      </c>
      <c r="BXK212" s="371" t="e">
        <f>BXH212*BXI212*BXJ212</f>
        <v>#DIV/0!</v>
      </c>
      <c r="BXL212" s="367" t="s">
        <v>206</v>
      </c>
      <c r="BXM212" s="367"/>
      <c r="BXN212" s="367"/>
      <c r="BXO212" s="368" t="s">
        <v>168</v>
      </c>
      <c r="BXP212" s="369">
        <v>0.5</v>
      </c>
      <c r="BXQ212" s="370" t="e">
        <f>10/BXM210</f>
        <v>#DIV/0!</v>
      </c>
      <c r="BXR212" s="371">
        <v>15.38</v>
      </c>
      <c r="BXS212" s="371" t="e">
        <f>BXP212*BXQ212*BXR212</f>
        <v>#DIV/0!</v>
      </c>
      <c r="BXT212" s="367" t="s">
        <v>206</v>
      </c>
      <c r="BXU212" s="367"/>
      <c r="BXV212" s="367"/>
      <c r="BXW212" s="368" t="s">
        <v>168</v>
      </c>
      <c r="BXX212" s="369">
        <v>0.5</v>
      </c>
      <c r="BXY212" s="370" t="e">
        <f>10/BXU210</f>
        <v>#DIV/0!</v>
      </c>
      <c r="BXZ212" s="371">
        <v>15.38</v>
      </c>
      <c r="BYA212" s="371" t="e">
        <f>BXX212*BXY212*BXZ212</f>
        <v>#DIV/0!</v>
      </c>
      <c r="BYB212" s="367" t="s">
        <v>206</v>
      </c>
      <c r="BYC212" s="367"/>
      <c r="BYD212" s="367"/>
      <c r="BYE212" s="368" t="s">
        <v>168</v>
      </c>
      <c r="BYF212" s="369">
        <v>0.5</v>
      </c>
      <c r="BYG212" s="370" t="e">
        <f>10/BYC210</f>
        <v>#DIV/0!</v>
      </c>
      <c r="BYH212" s="371">
        <v>15.38</v>
      </c>
      <c r="BYI212" s="371" t="e">
        <f>BYF212*BYG212*BYH212</f>
        <v>#DIV/0!</v>
      </c>
      <c r="BYJ212" s="367" t="s">
        <v>206</v>
      </c>
      <c r="BYK212" s="367"/>
      <c r="BYL212" s="367"/>
      <c r="BYM212" s="368" t="s">
        <v>168</v>
      </c>
      <c r="BYN212" s="369">
        <v>0.5</v>
      </c>
      <c r="BYO212" s="370" t="e">
        <f>10/BYK210</f>
        <v>#DIV/0!</v>
      </c>
      <c r="BYP212" s="371">
        <v>15.38</v>
      </c>
      <c r="BYQ212" s="371" t="e">
        <f>BYN212*BYO212*BYP212</f>
        <v>#DIV/0!</v>
      </c>
      <c r="BYR212" s="367" t="s">
        <v>206</v>
      </c>
      <c r="BYS212" s="367"/>
      <c r="BYT212" s="367"/>
      <c r="BYU212" s="368" t="s">
        <v>168</v>
      </c>
      <c r="BYV212" s="369">
        <v>0.5</v>
      </c>
      <c r="BYW212" s="370" t="e">
        <f>10/BYS210</f>
        <v>#DIV/0!</v>
      </c>
      <c r="BYX212" s="371">
        <v>15.38</v>
      </c>
      <c r="BYY212" s="371" t="e">
        <f>BYV212*BYW212*BYX212</f>
        <v>#DIV/0!</v>
      </c>
      <c r="BYZ212" s="367" t="s">
        <v>206</v>
      </c>
      <c r="BZA212" s="367"/>
      <c r="BZB212" s="367"/>
      <c r="BZC212" s="368" t="s">
        <v>168</v>
      </c>
      <c r="BZD212" s="369">
        <v>0.5</v>
      </c>
      <c r="BZE212" s="370" t="e">
        <f>10/BZA210</f>
        <v>#DIV/0!</v>
      </c>
      <c r="BZF212" s="371">
        <v>15.38</v>
      </c>
      <c r="BZG212" s="371" t="e">
        <f>BZD212*BZE212*BZF212</f>
        <v>#DIV/0!</v>
      </c>
      <c r="BZH212" s="367" t="s">
        <v>206</v>
      </c>
      <c r="BZI212" s="367"/>
      <c r="BZJ212" s="367"/>
      <c r="BZK212" s="368" t="s">
        <v>168</v>
      </c>
      <c r="BZL212" s="369">
        <v>0.5</v>
      </c>
      <c r="BZM212" s="370" t="e">
        <f>10/BZI210</f>
        <v>#DIV/0!</v>
      </c>
      <c r="BZN212" s="371">
        <v>15.38</v>
      </c>
      <c r="BZO212" s="371" t="e">
        <f>BZL212*BZM212*BZN212</f>
        <v>#DIV/0!</v>
      </c>
      <c r="BZP212" s="367" t="s">
        <v>206</v>
      </c>
      <c r="BZQ212" s="367"/>
      <c r="BZR212" s="367"/>
      <c r="BZS212" s="368" t="s">
        <v>168</v>
      </c>
      <c r="BZT212" s="369">
        <v>0.5</v>
      </c>
      <c r="BZU212" s="370" t="e">
        <f>10/BZQ210</f>
        <v>#DIV/0!</v>
      </c>
      <c r="BZV212" s="371">
        <v>15.38</v>
      </c>
      <c r="BZW212" s="371" t="e">
        <f>BZT212*BZU212*BZV212</f>
        <v>#DIV/0!</v>
      </c>
      <c r="BZX212" s="367" t="s">
        <v>206</v>
      </c>
      <c r="BZY212" s="367"/>
      <c r="BZZ212" s="367"/>
      <c r="CAA212" s="368" t="s">
        <v>168</v>
      </c>
      <c r="CAB212" s="369">
        <v>0.5</v>
      </c>
      <c r="CAC212" s="370" t="e">
        <f>10/BZY210</f>
        <v>#DIV/0!</v>
      </c>
      <c r="CAD212" s="371">
        <v>15.38</v>
      </c>
      <c r="CAE212" s="371" t="e">
        <f>CAB212*CAC212*CAD212</f>
        <v>#DIV/0!</v>
      </c>
      <c r="CAF212" s="367" t="s">
        <v>206</v>
      </c>
      <c r="CAG212" s="367"/>
      <c r="CAH212" s="367"/>
      <c r="CAI212" s="368" t="s">
        <v>168</v>
      </c>
      <c r="CAJ212" s="369">
        <v>0.5</v>
      </c>
      <c r="CAK212" s="370" t="e">
        <f>10/CAG210</f>
        <v>#DIV/0!</v>
      </c>
      <c r="CAL212" s="371">
        <v>15.38</v>
      </c>
      <c r="CAM212" s="371" t="e">
        <f>CAJ212*CAK212*CAL212</f>
        <v>#DIV/0!</v>
      </c>
      <c r="CAN212" s="367" t="s">
        <v>206</v>
      </c>
      <c r="CAO212" s="367"/>
      <c r="CAP212" s="367"/>
      <c r="CAQ212" s="368" t="s">
        <v>168</v>
      </c>
      <c r="CAR212" s="369">
        <v>0.5</v>
      </c>
      <c r="CAS212" s="370" t="e">
        <f>10/CAO210</f>
        <v>#DIV/0!</v>
      </c>
      <c r="CAT212" s="371">
        <v>15.38</v>
      </c>
      <c r="CAU212" s="371" t="e">
        <f>CAR212*CAS212*CAT212</f>
        <v>#DIV/0!</v>
      </c>
      <c r="CAV212" s="367" t="s">
        <v>206</v>
      </c>
      <c r="CAW212" s="367"/>
      <c r="CAX212" s="367"/>
      <c r="CAY212" s="368" t="s">
        <v>168</v>
      </c>
      <c r="CAZ212" s="369">
        <v>0.5</v>
      </c>
      <c r="CBA212" s="370" t="e">
        <f>10/CAW210</f>
        <v>#DIV/0!</v>
      </c>
      <c r="CBB212" s="371">
        <v>15.38</v>
      </c>
      <c r="CBC212" s="371" t="e">
        <f>CAZ212*CBA212*CBB212</f>
        <v>#DIV/0!</v>
      </c>
      <c r="CBD212" s="367" t="s">
        <v>206</v>
      </c>
      <c r="CBE212" s="367"/>
      <c r="CBF212" s="367"/>
      <c r="CBG212" s="368" t="s">
        <v>168</v>
      </c>
      <c r="CBH212" s="369">
        <v>0.5</v>
      </c>
      <c r="CBI212" s="370" t="e">
        <f>10/CBE210</f>
        <v>#DIV/0!</v>
      </c>
      <c r="CBJ212" s="371">
        <v>15.38</v>
      </c>
      <c r="CBK212" s="371" t="e">
        <f>CBH212*CBI212*CBJ212</f>
        <v>#DIV/0!</v>
      </c>
      <c r="CBL212" s="367" t="s">
        <v>206</v>
      </c>
      <c r="CBM212" s="367"/>
      <c r="CBN212" s="367"/>
      <c r="CBO212" s="368" t="s">
        <v>168</v>
      </c>
      <c r="CBP212" s="369">
        <v>0.5</v>
      </c>
      <c r="CBQ212" s="370" t="e">
        <f>10/CBM210</f>
        <v>#DIV/0!</v>
      </c>
      <c r="CBR212" s="371">
        <v>15.38</v>
      </c>
      <c r="CBS212" s="371" t="e">
        <f>CBP212*CBQ212*CBR212</f>
        <v>#DIV/0!</v>
      </c>
      <c r="CBT212" s="367" t="s">
        <v>206</v>
      </c>
      <c r="CBU212" s="367"/>
      <c r="CBV212" s="367"/>
      <c r="CBW212" s="368" t="s">
        <v>168</v>
      </c>
      <c r="CBX212" s="369">
        <v>0.5</v>
      </c>
      <c r="CBY212" s="370" t="e">
        <f>10/CBU210</f>
        <v>#DIV/0!</v>
      </c>
      <c r="CBZ212" s="371">
        <v>15.38</v>
      </c>
      <c r="CCA212" s="371" t="e">
        <f>CBX212*CBY212*CBZ212</f>
        <v>#DIV/0!</v>
      </c>
      <c r="CCB212" s="367" t="s">
        <v>206</v>
      </c>
      <c r="CCC212" s="367"/>
      <c r="CCD212" s="367"/>
      <c r="CCE212" s="368" t="s">
        <v>168</v>
      </c>
      <c r="CCF212" s="369">
        <v>0.5</v>
      </c>
      <c r="CCG212" s="370" t="e">
        <f>10/CCC210</f>
        <v>#DIV/0!</v>
      </c>
      <c r="CCH212" s="371">
        <v>15.38</v>
      </c>
      <c r="CCI212" s="371" t="e">
        <f>CCF212*CCG212*CCH212</f>
        <v>#DIV/0!</v>
      </c>
      <c r="CCJ212" s="367" t="s">
        <v>206</v>
      </c>
      <c r="CCK212" s="367"/>
      <c r="CCL212" s="367"/>
      <c r="CCM212" s="368" t="s">
        <v>168</v>
      </c>
      <c r="CCN212" s="369">
        <v>0.5</v>
      </c>
      <c r="CCO212" s="370" t="e">
        <f>10/CCK210</f>
        <v>#DIV/0!</v>
      </c>
      <c r="CCP212" s="371">
        <v>15.38</v>
      </c>
      <c r="CCQ212" s="371" t="e">
        <f>CCN212*CCO212*CCP212</f>
        <v>#DIV/0!</v>
      </c>
      <c r="CCR212" s="367" t="s">
        <v>206</v>
      </c>
      <c r="CCS212" s="367"/>
      <c r="CCT212" s="367"/>
      <c r="CCU212" s="368" t="s">
        <v>168</v>
      </c>
      <c r="CCV212" s="369">
        <v>0.5</v>
      </c>
      <c r="CCW212" s="370" t="e">
        <f>10/CCS210</f>
        <v>#DIV/0!</v>
      </c>
      <c r="CCX212" s="371">
        <v>15.38</v>
      </c>
      <c r="CCY212" s="371" t="e">
        <f>CCV212*CCW212*CCX212</f>
        <v>#DIV/0!</v>
      </c>
      <c r="CCZ212" s="367" t="s">
        <v>206</v>
      </c>
      <c r="CDA212" s="367"/>
      <c r="CDB212" s="367"/>
      <c r="CDC212" s="368" t="s">
        <v>168</v>
      </c>
      <c r="CDD212" s="369">
        <v>0.5</v>
      </c>
      <c r="CDE212" s="370" t="e">
        <f>10/CDA210</f>
        <v>#DIV/0!</v>
      </c>
      <c r="CDF212" s="371">
        <v>15.38</v>
      </c>
      <c r="CDG212" s="371" t="e">
        <f>CDD212*CDE212*CDF212</f>
        <v>#DIV/0!</v>
      </c>
      <c r="CDH212" s="367" t="s">
        <v>206</v>
      </c>
      <c r="CDI212" s="367"/>
      <c r="CDJ212" s="367"/>
      <c r="CDK212" s="368" t="s">
        <v>168</v>
      </c>
      <c r="CDL212" s="369">
        <v>0.5</v>
      </c>
      <c r="CDM212" s="370" t="e">
        <f>10/CDI210</f>
        <v>#DIV/0!</v>
      </c>
      <c r="CDN212" s="371">
        <v>15.38</v>
      </c>
      <c r="CDO212" s="371" t="e">
        <f>CDL212*CDM212*CDN212</f>
        <v>#DIV/0!</v>
      </c>
      <c r="CDP212" s="367" t="s">
        <v>206</v>
      </c>
      <c r="CDQ212" s="367"/>
      <c r="CDR212" s="367"/>
      <c r="CDS212" s="368" t="s">
        <v>168</v>
      </c>
      <c r="CDT212" s="369">
        <v>0.5</v>
      </c>
      <c r="CDU212" s="370" t="e">
        <f>10/CDQ210</f>
        <v>#DIV/0!</v>
      </c>
      <c r="CDV212" s="371">
        <v>15.38</v>
      </c>
      <c r="CDW212" s="371" t="e">
        <f>CDT212*CDU212*CDV212</f>
        <v>#DIV/0!</v>
      </c>
      <c r="CDX212" s="367" t="s">
        <v>206</v>
      </c>
      <c r="CDY212" s="367"/>
      <c r="CDZ212" s="367"/>
      <c r="CEA212" s="368" t="s">
        <v>168</v>
      </c>
      <c r="CEB212" s="369">
        <v>0.5</v>
      </c>
      <c r="CEC212" s="370" t="e">
        <f>10/CDY210</f>
        <v>#DIV/0!</v>
      </c>
      <c r="CED212" s="371">
        <v>15.38</v>
      </c>
      <c r="CEE212" s="371" t="e">
        <f>CEB212*CEC212*CED212</f>
        <v>#DIV/0!</v>
      </c>
      <c r="CEF212" s="367" t="s">
        <v>206</v>
      </c>
      <c r="CEG212" s="367"/>
      <c r="CEH212" s="367"/>
      <c r="CEI212" s="368" t="s">
        <v>168</v>
      </c>
      <c r="CEJ212" s="369">
        <v>0.5</v>
      </c>
      <c r="CEK212" s="370" t="e">
        <f>10/CEG210</f>
        <v>#DIV/0!</v>
      </c>
      <c r="CEL212" s="371">
        <v>15.38</v>
      </c>
      <c r="CEM212" s="371" t="e">
        <f>CEJ212*CEK212*CEL212</f>
        <v>#DIV/0!</v>
      </c>
      <c r="CEN212" s="367" t="s">
        <v>206</v>
      </c>
      <c r="CEO212" s="367"/>
      <c r="CEP212" s="367"/>
      <c r="CEQ212" s="368" t="s">
        <v>168</v>
      </c>
      <c r="CER212" s="369">
        <v>0.5</v>
      </c>
      <c r="CES212" s="370" t="e">
        <f>10/CEO210</f>
        <v>#DIV/0!</v>
      </c>
      <c r="CET212" s="371">
        <v>15.38</v>
      </c>
      <c r="CEU212" s="371" t="e">
        <f>CER212*CES212*CET212</f>
        <v>#DIV/0!</v>
      </c>
      <c r="CEV212" s="367" t="s">
        <v>206</v>
      </c>
      <c r="CEW212" s="367"/>
      <c r="CEX212" s="367"/>
      <c r="CEY212" s="368" t="s">
        <v>168</v>
      </c>
      <c r="CEZ212" s="369">
        <v>0.5</v>
      </c>
      <c r="CFA212" s="370" t="e">
        <f>10/CEW210</f>
        <v>#DIV/0!</v>
      </c>
      <c r="CFB212" s="371">
        <v>15.38</v>
      </c>
      <c r="CFC212" s="371" t="e">
        <f>CEZ212*CFA212*CFB212</f>
        <v>#DIV/0!</v>
      </c>
      <c r="CFD212" s="367" t="s">
        <v>206</v>
      </c>
      <c r="CFE212" s="367"/>
      <c r="CFF212" s="367"/>
      <c r="CFG212" s="368" t="s">
        <v>168</v>
      </c>
      <c r="CFH212" s="369">
        <v>0.5</v>
      </c>
      <c r="CFI212" s="370" t="e">
        <f>10/CFE210</f>
        <v>#DIV/0!</v>
      </c>
      <c r="CFJ212" s="371">
        <v>15.38</v>
      </c>
      <c r="CFK212" s="371" t="e">
        <f>CFH212*CFI212*CFJ212</f>
        <v>#DIV/0!</v>
      </c>
      <c r="CFL212" s="367" t="s">
        <v>206</v>
      </c>
      <c r="CFM212" s="367"/>
      <c r="CFN212" s="367"/>
      <c r="CFO212" s="368" t="s">
        <v>168</v>
      </c>
      <c r="CFP212" s="369">
        <v>0.5</v>
      </c>
      <c r="CFQ212" s="370" t="e">
        <f>10/CFM210</f>
        <v>#DIV/0!</v>
      </c>
      <c r="CFR212" s="371">
        <v>15.38</v>
      </c>
      <c r="CFS212" s="371" t="e">
        <f>CFP212*CFQ212*CFR212</f>
        <v>#DIV/0!</v>
      </c>
      <c r="CFT212" s="367" t="s">
        <v>206</v>
      </c>
      <c r="CFU212" s="367"/>
      <c r="CFV212" s="367"/>
      <c r="CFW212" s="368" t="s">
        <v>168</v>
      </c>
      <c r="CFX212" s="369">
        <v>0.5</v>
      </c>
      <c r="CFY212" s="370" t="e">
        <f>10/CFU210</f>
        <v>#DIV/0!</v>
      </c>
      <c r="CFZ212" s="371">
        <v>15.38</v>
      </c>
      <c r="CGA212" s="371" t="e">
        <f>CFX212*CFY212*CFZ212</f>
        <v>#DIV/0!</v>
      </c>
      <c r="CGB212" s="367" t="s">
        <v>206</v>
      </c>
      <c r="CGC212" s="367"/>
      <c r="CGD212" s="367"/>
      <c r="CGE212" s="368" t="s">
        <v>168</v>
      </c>
      <c r="CGF212" s="369">
        <v>0.5</v>
      </c>
      <c r="CGG212" s="370" t="e">
        <f>10/CGC210</f>
        <v>#DIV/0!</v>
      </c>
      <c r="CGH212" s="371">
        <v>15.38</v>
      </c>
      <c r="CGI212" s="371" t="e">
        <f>CGF212*CGG212*CGH212</f>
        <v>#DIV/0!</v>
      </c>
      <c r="CGJ212" s="367" t="s">
        <v>206</v>
      </c>
      <c r="CGK212" s="367"/>
      <c r="CGL212" s="367"/>
      <c r="CGM212" s="368" t="s">
        <v>168</v>
      </c>
      <c r="CGN212" s="369">
        <v>0.5</v>
      </c>
      <c r="CGO212" s="370" t="e">
        <f>10/CGK210</f>
        <v>#DIV/0!</v>
      </c>
      <c r="CGP212" s="371">
        <v>15.38</v>
      </c>
      <c r="CGQ212" s="371" t="e">
        <f>CGN212*CGO212*CGP212</f>
        <v>#DIV/0!</v>
      </c>
      <c r="CGR212" s="367" t="s">
        <v>206</v>
      </c>
      <c r="CGS212" s="367"/>
      <c r="CGT212" s="367"/>
      <c r="CGU212" s="368" t="s">
        <v>168</v>
      </c>
      <c r="CGV212" s="369">
        <v>0.5</v>
      </c>
      <c r="CGW212" s="370" t="e">
        <f>10/CGS210</f>
        <v>#DIV/0!</v>
      </c>
      <c r="CGX212" s="371">
        <v>15.38</v>
      </c>
      <c r="CGY212" s="371" t="e">
        <f>CGV212*CGW212*CGX212</f>
        <v>#DIV/0!</v>
      </c>
      <c r="CGZ212" s="367" t="s">
        <v>206</v>
      </c>
      <c r="CHA212" s="367"/>
      <c r="CHB212" s="367"/>
      <c r="CHC212" s="368" t="s">
        <v>168</v>
      </c>
      <c r="CHD212" s="369">
        <v>0.5</v>
      </c>
      <c r="CHE212" s="370" t="e">
        <f>10/CHA210</f>
        <v>#DIV/0!</v>
      </c>
      <c r="CHF212" s="371">
        <v>15.38</v>
      </c>
      <c r="CHG212" s="371" t="e">
        <f>CHD212*CHE212*CHF212</f>
        <v>#DIV/0!</v>
      </c>
      <c r="CHH212" s="367" t="s">
        <v>206</v>
      </c>
      <c r="CHI212" s="367"/>
      <c r="CHJ212" s="367"/>
      <c r="CHK212" s="368" t="s">
        <v>168</v>
      </c>
      <c r="CHL212" s="369">
        <v>0.5</v>
      </c>
      <c r="CHM212" s="370" t="e">
        <f>10/CHI210</f>
        <v>#DIV/0!</v>
      </c>
      <c r="CHN212" s="371">
        <v>15.38</v>
      </c>
      <c r="CHO212" s="371" t="e">
        <f>CHL212*CHM212*CHN212</f>
        <v>#DIV/0!</v>
      </c>
      <c r="CHP212" s="367" t="s">
        <v>206</v>
      </c>
      <c r="CHQ212" s="367"/>
      <c r="CHR212" s="367"/>
      <c r="CHS212" s="368" t="s">
        <v>168</v>
      </c>
      <c r="CHT212" s="369">
        <v>0.5</v>
      </c>
      <c r="CHU212" s="370" t="e">
        <f>10/CHQ210</f>
        <v>#DIV/0!</v>
      </c>
      <c r="CHV212" s="371">
        <v>15.38</v>
      </c>
      <c r="CHW212" s="371" t="e">
        <f>CHT212*CHU212*CHV212</f>
        <v>#DIV/0!</v>
      </c>
      <c r="CHX212" s="367" t="s">
        <v>206</v>
      </c>
      <c r="CHY212" s="367"/>
      <c r="CHZ212" s="367"/>
      <c r="CIA212" s="368" t="s">
        <v>168</v>
      </c>
      <c r="CIB212" s="369">
        <v>0.5</v>
      </c>
      <c r="CIC212" s="370" t="e">
        <f>10/CHY210</f>
        <v>#DIV/0!</v>
      </c>
      <c r="CID212" s="371">
        <v>15.38</v>
      </c>
      <c r="CIE212" s="371" t="e">
        <f>CIB212*CIC212*CID212</f>
        <v>#DIV/0!</v>
      </c>
      <c r="CIF212" s="367" t="s">
        <v>206</v>
      </c>
      <c r="CIG212" s="367"/>
      <c r="CIH212" s="367"/>
      <c r="CII212" s="368" t="s">
        <v>168</v>
      </c>
      <c r="CIJ212" s="369">
        <v>0.5</v>
      </c>
      <c r="CIK212" s="370" t="e">
        <f>10/CIG210</f>
        <v>#DIV/0!</v>
      </c>
      <c r="CIL212" s="371">
        <v>15.38</v>
      </c>
      <c r="CIM212" s="371" t="e">
        <f>CIJ212*CIK212*CIL212</f>
        <v>#DIV/0!</v>
      </c>
      <c r="CIN212" s="367" t="s">
        <v>206</v>
      </c>
      <c r="CIO212" s="367"/>
      <c r="CIP212" s="367"/>
      <c r="CIQ212" s="368" t="s">
        <v>168</v>
      </c>
      <c r="CIR212" s="369">
        <v>0.5</v>
      </c>
      <c r="CIS212" s="370" t="e">
        <f>10/CIO210</f>
        <v>#DIV/0!</v>
      </c>
      <c r="CIT212" s="371">
        <v>15.38</v>
      </c>
      <c r="CIU212" s="371" t="e">
        <f>CIR212*CIS212*CIT212</f>
        <v>#DIV/0!</v>
      </c>
      <c r="CIV212" s="367" t="s">
        <v>206</v>
      </c>
      <c r="CIW212" s="367"/>
      <c r="CIX212" s="367"/>
      <c r="CIY212" s="368" t="s">
        <v>168</v>
      </c>
      <c r="CIZ212" s="369">
        <v>0.5</v>
      </c>
      <c r="CJA212" s="370" t="e">
        <f>10/CIW210</f>
        <v>#DIV/0!</v>
      </c>
      <c r="CJB212" s="371">
        <v>15.38</v>
      </c>
      <c r="CJC212" s="371" t="e">
        <f>CIZ212*CJA212*CJB212</f>
        <v>#DIV/0!</v>
      </c>
      <c r="CJD212" s="367" t="s">
        <v>206</v>
      </c>
      <c r="CJE212" s="367"/>
      <c r="CJF212" s="367"/>
      <c r="CJG212" s="368" t="s">
        <v>168</v>
      </c>
      <c r="CJH212" s="369">
        <v>0.5</v>
      </c>
      <c r="CJI212" s="370" t="e">
        <f>10/CJE210</f>
        <v>#DIV/0!</v>
      </c>
      <c r="CJJ212" s="371">
        <v>15.38</v>
      </c>
      <c r="CJK212" s="371" t="e">
        <f>CJH212*CJI212*CJJ212</f>
        <v>#DIV/0!</v>
      </c>
      <c r="CJL212" s="367" t="s">
        <v>206</v>
      </c>
      <c r="CJM212" s="367"/>
      <c r="CJN212" s="367"/>
      <c r="CJO212" s="368" t="s">
        <v>168</v>
      </c>
      <c r="CJP212" s="369">
        <v>0.5</v>
      </c>
      <c r="CJQ212" s="370" t="e">
        <f>10/CJM210</f>
        <v>#DIV/0!</v>
      </c>
      <c r="CJR212" s="371">
        <v>15.38</v>
      </c>
      <c r="CJS212" s="371" t="e">
        <f>CJP212*CJQ212*CJR212</f>
        <v>#DIV/0!</v>
      </c>
      <c r="CJT212" s="367" t="s">
        <v>206</v>
      </c>
      <c r="CJU212" s="367"/>
      <c r="CJV212" s="367"/>
      <c r="CJW212" s="368" t="s">
        <v>168</v>
      </c>
      <c r="CJX212" s="369">
        <v>0.5</v>
      </c>
      <c r="CJY212" s="370" t="e">
        <f>10/CJU210</f>
        <v>#DIV/0!</v>
      </c>
      <c r="CJZ212" s="371">
        <v>15.38</v>
      </c>
      <c r="CKA212" s="371" t="e">
        <f>CJX212*CJY212*CJZ212</f>
        <v>#DIV/0!</v>
      </c>
      <c r="CKB212" s="367" t="s">
        <v>206</v>
      </c>
      <c r="CKC212" s="367"/>
      <c r="CKD212" s="367"/>
      <c r="CKE212" s="368" t="s">
        <v>168</v>
      </c>
      <c r="CKF212" s="369">
        <v>0.5</v>
      </c>
      <c r="CKG212" s="370" t="e">
        <f>10/CKC210</f>
        <v>#DIV/0!</v>
      </c>
      <c r="CKH212" s="371">
        <v>15.38</v>
      </c>
      <c r="CKI212" s="371" t="e">
        <f>CKF212*CKG212*CKH212</f>
        <v>#DIV/0!</v>
      </c>
      <c r="CKJ212" s="367" t="s">
        <v>206</v>
      </c>
      <c r="CKK212" s="367"/>
      <c r="CKL212" s="367"/>
      <c r="CKM212" s="368" t="s">
        <v>168</v>
      </c>
      <c r="CKN212" s="369">
        <v>0.5</v>
      </c>
      <c r="CKO212" s="370" t="e">
        <f>10/CKK210</f>
        <v>#DIV/0!</v>
      </c>
      <c r="CKP212" s="371">
        <v>15.38</v>
      </c>
      <c r="CKQ212" s="371" t="e">
        <f>CKN212*CKO212*CKP212</f>
        <v>#DIV/0!</v>
      </c>
      <c r="CKR212" s="367" t="s">
        <v>206</v>
      </c>
      <c r="CKS212" s="367"/>
      <c r="CKT212" s="367"/>
      <c r="CKU212" s="368" t="s">
        <v>168</v>
      </c>
      <c r="CKV212" s="369">
        <v>0.5</v>
      </c>
      <c r="CKW212" s="370" t="e">
        <f>10/CKS210</f>
        <v>#DIV/0!</v>
      </c>
      <c r="CKX212" s="371">
        <v>15.38</v>
      </c>
      <c r="CKY212" s="371" t="e">
        <f>CKV212*CKW212*CKX212</f>
        <v>#DIV/0!</v>
      </c>
      <c r="CKZ212" s="367" t="s">
        <v>206</v>
      </c>
      <c r="CLA212" s="367"/>
      <c r="CLB212" s="367"/>
      <c r="CLC212" s="368" t="s">
        <v>168</v>
      </c>
      <c r="CLD212" s="369">
        <v>0.5</v>
      </c>
      <c r="CLE212" s="370" t="e">
        <f>10/CLA210</f>
        <v>#DIV/0!</v>
      </c>
      <c r="CLF212" s="371">
        <v>15.38</v>
      </c>
      <c r="CLG212" s="371" t="e">
        <f>CLD212*CLE212*CLF212</f>
        <v>#DIV/0!</v>
      </c>
      <c r="CLH212" s="367" t="s">
        <v>206</v>
      </c>
      <c r="CLI212" s="367"/>
      <c r="CLJ212" s="367"/>
      <c r="CLK212" s="368" t="s">
        <v>168</v>
      </c>
      <c r="CLL212" s="369">
        <v>0.5</v>
      </c>
      <c r="CLM212" s="370" t="e">
        <f>10/CLI210</f>
        <v>#DIV/0!</v>
      </c>
      <c r="CLN212" s="371">
        <v>15.38</v>
      </c>
      <c r="CLO212" s="371" t="e">
        <f>CLL212*CLM212*CLN212</f>
        <v>#DIV/0!</v>
      </c>
      <c r="CLP212" s="367" t="s">
        <v>206</v>
      </c>
      <c r="CLQ212" s="367"/>
      <c r="CLR212" s="367"/>
      <c r="CLS212" s="368" t="s">
        <v>168</v>
      </c>
      <c r="CLT212" s="369">
        <v>0.5</v>
      </c>
      <c r="CLU212" s="370" t="e">
        <f>10/CLQ210</f>
        <v>#DIV/0!</v>
      </c>
      <c r="CLV212" s="371">
        <v>15.38</v>
      </c>
      <c r="CLW212" s="371" t="e">
        <f>CLT212*CLU212*CLV212</f>
        <v>#DIV/0!</v>
      </c>
      <c r="CLX212" s="367" t="s">
        <v>206</v>
      </c>
      <c r="CLY212" s="367"/>
      <c r="CLZ212" s="367"/>
      <c r="CMA212" s="368" t="s">
        <v>168</v>
      </c>
      <c r="CMB212" s="369">
        <v>0.5</v>
      </c>
      <c r="CMC212" s="370" t="e">
        <f>10/CLY210</f>
        <v>#DIV/0!</v>
      </c>
      <c r="CMD212" s="371">
        <v>15.38</v>
      </c>
      <c r="CME212" s="371" t="e">
        <f>CMB212*CMC212*CMD212</f>
        <v>#DIV/0!</v>
      </c>
      <c r="CMF212" s="367" t="s">
        <v>206</v>
      </c>
      <c r="CMG212" s="367"/>
      <c r="CMH212" s="367"/>
      <c r="CMI212" s="368" t="s">
        <v>168</v>
      </c>
      <c r="CMJ212" s="369">
        <v>0.5</v>
      </c>
      <c r="CMK212" s="370" t="e">
        <f>10/CMG210</f>
        <v>#DIV/0!</v>
      </c>
      <c r="CML212" s="371">
        <v>15.38</v>
      </c>
      <c r="CMM212" s="371" t="e">
        <f>CMJ212*CMK212*CML212</f>
        <v>#DIV/0!</v>
      </c>
      <c r="CMN212" s="367" t="s">
        <v>206</v>
      </c>
      <c r="CMO212" s="367"/>
      <c r="CMP212" s="367"/>
      <c r="CMQ212" s="368" t="s">
        <v>168</v>
      </c>
      <c r="CMR212" s="369">
        <v>0.5</v>
      </c>
      <c r="CMS212" s="370" t="e">
        <f>10/CMO210</f>
        <v>#DIV/0!</v>
      </c>
      <c r="CMT212" s="371">
        <v>15.38</v>
      </c>
      <c r="CMU212" s="371" t="e">
        <f>CMR212*CMS212*CMT212</f>
        <v>#DIV/0!</v>
      </c>
      <c r="CMV212" s="367" t="s">
        <v>206</v>
      </c>
      <c r="CMW212" s="367"/>
      <c r="CMX212" s="367"/>
      <c r="CMY212" s="368" t="s">
        <v>168</v>
      </c>
      <c r="CMZ212" s="369">
        <v>0.5</v>
      </c>
      <c r="CNA212" s="370" t="e">
        <f>10/CMW210</f>
        <v>#DIV/0!</v>
      </c>
      <c r="CNB212" s="371">
        <v>15.38</v>
      </c>
      <c r="CNC212" s="371" t="e">
        <f>CMZ212*CNA212*CNB212</f>
        <v>#DIV/0!</v>
      </c>
      <c r="CND212" s="367" t="s">
        <v>206</v>
      </c>
      <c r="CNE212" s="367"/>
      <c r="CNF212" s="367"/>
      <c r="CNG212" s="368" t="s">
        <v>168</v>
      </c>
      <c r="CNH212" s="369">
        <v>0.5</v>
      </c>
      <c r="CNI212" s="370" t="e">
        <f>10/CNE210</f>
        <v>#DIV/0!</v>
      </c>
      <c r="CNJ212" s="371">
        <v>15.38</v>
      </c>
      <c r="CNK212" s="371" t="e">
        <f>CNH212*CNI212*CNJ212</f>
        <v>#DIV/0!</v>
      </c>
      <c r="CNL212" s="367" t="s">
        <v>206</v>
      </c>
      <c r="CNM212" s="367"/>
      <c r="CNN212" s="367"/>
      <c r="CNO212" s="368" t="s">
        <v>168</v>
      </c>
      <c r="CNP212" s="369">
        <v>0.5</v>
      </c>
      <c r="CNQ212" s="370" t="e">
        <f>10/CNM210</f>
        <v>#DIV/0!</v>
      </c>
      <c r="CNR212" s="371">
        <v>15.38</v>
      </c>
      <c r="CNS212" s="371" t="e">
        <f>CNP212*CNQ212*CNR212</f>
        <v>#DIV/0!</v>
      </c>
      <c r="CNT212" s="367" t="s">
        <v>206</v>
      </c>
      <c r="CNU212" s="367"/>
      <c r="CNV212" s="367"/>
      <c r="CNW212" s="368" t="s">
        <v>168</v>
      </c>
      <c r="CNX212" s="369">
        <v>0.5</v>
      </c>
      <c r="CNY212" s="370" t="e">
        <f>10/CNU210</f>
        <v>#DIV/0!</v>
      </c>
      <c r="CNZ212" s="371">
        <v>15.38</v>
      </c>
      <c r="COA212" s="371" t="e">
        <f>CNX212*CNY212*CNZ212</f>
        <v>#DIV/0!</v>
      </c>
      <c r="COB212" s="367" t="s">
        <v>206</v>
      </c>
      <c r="COC212" s="367"/>
      <c r="COD212" s="367"/>
      <c r="COE212" s="368" t="s">
        <v>168</v>
      </c>
      <c r="COF212" s="369">
        <v>0.5</v>
      </c>
      <c r="COG212" s="370" t="e">
        <f>10/COC210</f>
        <v>#DIV/0!</v>
      </c>
      <c r="COH212" s="371">
        <v>15.38</v>
      </c>
      <c r="COI212" s="371" t="e">
        <f>COF212*COG212*COH212</f>
        <v>#DIV/0!</v>
      </c>
      <c r="COJ212" s="367" t="s">
        <v>206</v>
      </c>
      <c r="COK212" s="367"/>
      <c r="COL212" s="367"/>
      <c r="COM212" s="368" t="s">
        <v>168</v>
      </c>
      <c r="CON212" s="369">
        <v>0.5</v>
      </c>
      <c r="COO212" s="370" t="e">
        <f>10/COK210</f>
        <v>#DIV/0!</v>
      </c>
      <c r="COP212" s="371">
        <v>15.38</v>
      </c>
      <c r="COQ212" s="371" t="e">
        <f>CON212*COO212*COP212</f>
        <v>#DIV/0!</v>
      </c>
      <c r="COR212" s="367" t="s">
        <v>206</v>
      </c>
      <c r="COS212" s="367"/>
      <c r="COT212" s="367"/>
      <c r="COU212" s="368" t="s">
        <v>168</v>
      </c>
      <c r="COV212" s="369">
        <v>0.5</v>
      </c>
      <c r="COW212" s="370" t="e">
        <f>10/COS210</f>
        <v>#DIV/0!</v>
      </c>
      <c r="COX212" s="371">
        <v>15.38</v>
      </c>
      <c r="COY212" s="371" t="e">
        <f>COV212*COW212*COX212</f>
        <v>#DIV/0!</v>
      </c>
      <c r="COZ212" s="367" t="s">
        <v>206</v>
      </c>
      <c r="CPA212" s="367"/>
      <c r="CPB212" s="367"/>
      <c r="CPC212" s="368" t="s">
        <v>168</v>
      </c>
      <c r="CPD212" s="369">
        <v>0.5</v>
      </c>
      <c r="CPE212" s="370" t="e">
        <f>10/CPA210</f>
        <v>#DIV/0!</v>
      </c>
      <c r="CPF212" s="371">
        <v>15.38</v>
      </c>
      <c r="CPG212" s="371" t="e">
        <f>CPD212*CPE212*CPF212</f>
        <v>#DIV/0!</v>
      </c>
      <c r="CPH212" s="367" t="s">
        <v>206</v>
      </c>
      <c r="CPI212" s="367"/>
      <c r="CPJ212" s="367"/>
      <c r="CPK212" s="368" t="s">
        <v>168</v>
      </c>
      <c r="CPL212" s="369">
        <v>0.5</v>
      </c>
      <c r="CPM212" s="370" t="e">
        <f>10/CPI210</f>
        <v>#DIV/0!</v>
      </c>
      <c r="CPN212" s="371">
        <v>15.38</v>
      </c>
      <c r="CPO212" s="371" t="e">
        <f>CPL212*CPM212*CPN212</f>
        <v>#DIV/0!</v>
      </c>
      <c r="CPP212" s="367" t="s">
        <v>206</v>
      </c>
      <c r="CPQ212" s="367"/>
      <c r="CPR212" s="367"/>
      <c r="CPS212" s="368" t="s">
        <v>168</v>
      </c>
      <c r="CPT212" s="369">
        <v>0.5</v>
      </c>
      <c r="CPU212" s="370" t="e">
        <f>10/CPQ210</f>
        <v>#DIV/0!</v>
      </c>
      <c r="CPV212" s="371">
        <v>15.38</v>
      </c>
      <c r="CPW212" s="371" t="e">
        <f>CPT212*CPU212*CPV212</f>
        <v>#DIV/0!</v>
      </c>
      <c r="CPX212" s="367" t="s">
        <v>206</v>
      </c>
      <c r="CPY212" s="367"/>
      <c r="CPZ212" s="367"/>
      <c r="CQA212" s="368" t="s">
        <v>168</v>
      </c>
      <c r="CQB212" s="369">
        <v>0.5</v>
      </c>
      <c r="CQC212" s="370" t="e">
        <f>10/CPY210</f>
        <v>#DIV/0!</v>
      </c>
      <c r="CQD212" s="371">
        <v>15.38</v>
      </c>
      <c r="CQE212" s="371" t="e">
        <f>CQB212*CQC212*CQD212</f>
        <v>#DIV/0!</v>
      </c>
      <c r="CQF212" s="367" t="s">
        <v>206</v>
      </c>
      <c r="CQG212" s="367"/>
      <c r="CQH212" s="367"/>
      <c r="CQI212" s="368" t="s">
        <v>168</v>
      </c>
      <c r="CQJ212" s="369">
        <v>0.5</v>
      </c>
      <c r="CQK212" s="370" t="e">
        <f>10/CQG210</f>
        <v>#DIV/0!</v>
      </c>
      <c r="CQL212" s="371">
        <v>15.38</v>
      </c>
      <c r="CQM212" s="371" t="e">
        <f>CQJ212*CQK212*CQL212</f>
        <v>#DIV/0!</v>
      </c>
      <c r="CQN212" s="367" t="s">
        <v>206</v>
      </c>
      <c r="CQO212" s="367"/>
      <c r="CQP212" s="367"/>
      <c r="CQQ212" s="368" t="s">
        <v>168</v>
      </c>
      <c r="CQR212" s="369">
        <v>0.5</v>
      </c>
      <c r="CQS212" s="370" t="e">
        <f>10/CQO210</f>
        <v>#DIV/0!</v>
      </c>
      <c r="CQT212" s="371">
        <v>15.38</v>
      </c>
      <c r="CQU212" s="371" t="e">
        <f>CQR212*CQS212*CQT212</f>
        <v>#DIV/0!</v>
      </c>
      <c r="CQV212" s="367" t="s">
        <v>206</v>
      </c>
      <c r="CQW212" s="367"/>
      <c r="CQX212" s="367"/>
      <c r="CQY212" s="368" t="s">
        <v>168</v>
      </c>
      <c r="CQZ212" s="369">
        <v>0.5</v>
      </c>
      <c r="CRA212" s="370" t="e">
        <f>10/CQW210</f>
        <v>#DIV/0!</v>
      </c>
      <c r="CRB212" s="371">
        <v>15.38</v>
      </c>
      <c r="CRC212" s="371" t="e">
        <f>CQZ212*CRA212*CRB212</f>
        <v>#DIV/0!</v>
      </c>
      <c r="CRD212" s="367" t="s">
        <v>206</v>
      </c>
      <c r="CRE212" s="367"/>
      <c r="CRF212" s="367"/>
      <c r="CRG212" s="368" t="s">
        <v>168</v>
      </c>
      <c r="CRH212" s="369">
        <v>0.5</v>
      </c>
      <c r="CRI212" s="370" t="e">
        <f>10/CRE210</f>
        <v>#DIV/0!</v>
      </c>
      <c r="CRJ212" s="371">
        <v>15.38</v>
      </c>
      <c r="CRK212" s="371" t="e">
        <f>CRH212*CRI212*CRJ212</f>
        <v>#DIV/0!</v>
      </c>
      <c r="CRL212" s="367" t="s">
        <v>206</v>
      </c>
      <c r="CRM212" s="367"/>
      <c r="CRN212" s="367"/>
      <c r="CRO212" s="368" t="s">
        <v>168</v>
      </c>
      <c r="CRP212" s="369">
        <v>0.5</v>
      </c>
      <c r="CRQ212" s="370" t="e">
        <f>10/CRM210</f>
        <v>#DIV/0!</v>
      </c>
      <c r="CRR212" s="371">
        <v>15.38</v>
      </c>
      <c r="CRS212" s="371" t="e">
        <f>CRP212*CRQ212*CRR212</f>
        <v>#DIV/0!</v>
      </c>
      <c r="CRT212" s="367" t="s">
        <v>206</v>
      </c>
      <c r="CRU212" s="367"/>
      <c r="CRV212" s="367"/>
      <c r="CRW212" s="368" t="s">
        <v>168</v>
      </c>
      <c r="CRX212" s="369">
        <v>0.5</v>
      </c>
      <c r="CRY212" s="370" t="e">
        <f>10/CRU210</f>
        <v>#DIV/0!</v>
      </c>
      <c r="CRZ212" s="371">
        <v>15.38</v>
      </c>
      <c r="CSA212" s="371" t="e">
        <f>CRX212*CRY212*CRZ212</f>
        <v>#DIV/0!</v>
      </c>
      <c r="CSB212" s="367" t="s">
        <v>206</v>
      </c>
      <c r="CSC212" s="367"/>
      <c r="CSD212" s="367"/>
      <c r="CSE212" s="368" t="s">
        <v>168</v>
      </c>
      <c r="CSF212" s="369">
        <v>0.5</v>
      </c>
      <c r="CSG212" s="370" t="e">
        <f>10/CSC210</f>
        <v>#DIV/0!</v>
      </c>
      <c r="CSH212" s="371">
        <v>15.38</v>
      </c>
      <c r="CSI212" s="371" t="e">
        <f>CSF212*CSG212*CSH212</f>
        <v>#DIV/0!</v>
      </c>
      <c r="CSJ212" s="367" t="s">
        <v>206</v>
      </c>
      <c r="CSK212" s="367"/>
      <c r="CSL212" s="367"/>
      <c r="CSM212" s="368" t="s">
        <v>168</v>
      </c>
      <c r="CSN212" s="369">
        <v>0.5</v>
      </c>
      <c r="CSO212" s="370" t="e">
        <f>10/CSK210</f>
        <v>#DIV/0!</v>
      </c>
      <c r="CSP212" s="371">
        <v>15.38</v>
      </c>
      <c r="CSQ212" s="371" t="e">
        <f>CSN212*CSO212*CSP212</f>
        <v>#DIV/0!</v>
      </c>
      <c r="CSR212" s="367" t="s">
        <v>206</v>
      </c>
      <c r="CSS212" s="367"/>
      <c r="CST212" s="367"/>
      <c r="CSU212" s="368" t="s">
        <v>168</v>
      </c>
      <c r="CSV212" s="369">
        <v>0.5</v>
      </c>
      <c r="CSW212" s="370" t="e">
        <f>10/CSS210</f>
        <v>#DIV/0!</v>
      </c>
      <c r="CSX212" s="371">
        <v>15.38</v>
      </c>
      <c r="CSY212" s="371" t="e">
        <f>CSV212*CSW212*CSX212</f>
        <v>#DIV/0!</v>
      </c>
      <c r="CSZ212" s="367" t="s">
        <v>206</v>
      </c>
      <c r="CTA212" s="367"/>
      <c r="CTB212" s="367"/>
      <c r="CTC212" s="368" t="s">
        <v>168</v>
      </c>
      <c r="CTD212" s="369">
        <v>0.5</v>
      </c>
      <c r="CTE212" s="370" t="e">
        <f>10/CTA210</f>
        <v>#DIV/0!</v>
      </c>
      <c r="CTF212" s="371">
        <v>15.38</v>
      </c>
      <c r="CTG212" s="371" t="e">
        <f>CTD212*CTE212*CTF212</f>
        <v>#DIV/0!</v>
      </c>
      <c r="CTH212" s="367" t="s">
        <v>206</v>
      </c>
      <c r="CTI212" s="367"/>
      <c r="CTJ212" s="367"/>
      <c r="CTK212" s="368" t="s">
        <v>168</v>
      </c>
      <c r="CTL212" s="369">
        <v>0.5</v>
      </c>
      <c r="CTM212" s="370" t="e">
        <f>10/CTI210</f>
        <v>#DIV/0!</v>
      </c>
      <c r="CTN212" s="371">
        <v>15.38</v>
      </c>
      <c r="CTO212" s="371" t="e">
        <f>CTL212*CTM212*CTN212</f>
        <v>#DIV/0!</v>
      </c>
      <c r="CTP212" s="367" t="s">
        <v>206</v>
      </c>
      <c r="CTQ212" s="367"/>
      <c r="CTR212" s="367"/>
      <c r="CTS212" s="368" t="s">
        <v>168</v>
      </c>
      <c r="CTT212" s="369">
        <v>0.5</v>
      </c>
      <c r="CTU212" s="370" t="e">
        <f>10/CTQ210</f>
        <v>#DIV/0!</v>
      </c>
      <c r="CTV212" s="371">
        <v>15.38</v>
      </c>
      <c r="CTW212" s="371" t="e">
        <f>CTT212*CTU212*CTV212</f>
        <v>#DIV/0!</v>
      </c>
      <c r="CTX212" s="367" t="s">
        <v>206</v>
      </c>
      <c r="CTY212" s="367"/>
      <c r="CTZ212" s="367"/>
      <c r="CUA212" s="368" t="s">
        <v>168</v>
      </c>
      <c r="CUB212" s="369">
        <v>0.5</v>
      </c>
      <c r="CUC212" s="370" t="e">
        <f>10/CTY210</f>
        <v>#DIV/0!</v>
      </c>
      <c r="CUD212" s="371">
        <v>15.38</v>
      </c>
      <c r="CUE212" s="371" t="e">
        <f>CUB212*CUC212*CUD212</f>
        <v>#DIV/0!</v>
      </c>
      <c r="CUF212" s="367" t="s">
        <v>206</v>
      </c>
      <c r="CUG212" s="367"/>
      <c r="CUH212" s="367"/>
      <c r="CUI212" s="368" t="s">
        <v>168</v>
      </c>
      <c r="CUJ212" s="369">
        <v>0.5</v>
      </c>
      <c r="CUK212" s="370" t="e">
        <f>10/CUG210</f>
        <v>#DIV/0!</v>
      </c>
      <c r="CUL212" s="371">
        <v>15.38</v>
      </c>
      <c r="CUM212" s="371" t="e">
        <f>CUJ212*CUK212*CUL212</f>
        <v>#DIV/0!</v>
      </c>
      <c r="CUN212" s="367" t="s">
        <v>206</v>
      </c>
      <c r="CUO212" s="367"/>
      <c r="CUP212" s="367"/>
      <c r="CUQ212" s="368" t="s">
        <v>168</v>
      </c>
      <c r="CUR212" s="369">
        <v>0.5</v>
      </c>
      <c r="CUS212" s="370" t="e">
        <f>10/CUO210</f>
        <v>#DIV/0!</v>
      </c>
      <c r="CUT212" s="371">
        <v>15.38</v>
      </c>
      <c r="CUU212" s="371" t="e">
        <f>CUR212*CUS212*CUT212</f>
        <v>#DIV/0!</v>
      </c>
      <c r="CUV212" s="367" t="s">
        <v>206</v>
      </c>
      <c r="CUW212" s="367"/>
      <c r="CUX212" s="367"/>
      <c r="CUY212" s="368" t="s">
        <v>168</v>
      </c>
      <c r="CUZ212" s="369">
        <v>0.5</v>
      </c>
      <c r="CVA212" s="370" t="e">
        <f>10/CUW210</f>
        <v>#DIV/0!</v>
      </c>
      <c r="CVB212" s="371">
        <v>15.38</v>
      </c>
      <c r="CVC212" s="371" t="e">
        <f>CUZ212*CVA212*CVB212</f>
        <v>#DIV/0!</v>
      </c>
      <c r="CVD212" s="367" t="s">
        <v>206</v>
      </c>
      <c r="CVE212" s="367"/>
      <c r="CVF212" s="367"/>
      <c r="CVG212" s="368" t="s">
        <v>168</v>
      </c>
      <c r="CVH212" s="369">
        <v>0.5</v>
      </c>
      <c r="CVI212" s="370" t="e">
        <f>10/CVE210</f>
        <v>#DIV/0!</v>
      </c>
      <c r="CVJ212" s="371">
        <v>15.38</v>
      </c>
      <c r="CVK212" s="371" t="e">
        <f>CVH212*CVI212*CVJ212</f>
        <v>#DIV/0!</v>
      </c>
      <c r="CVL212" s="367" t="s">
        <v>206</v>
      </c>
      <c r="CVM212" s="367"/>
      <c r="CVN212" s="367"/>
      <c r="CVO212" s="368" t="s">
        <v>168</v>
      </c>
      <c r="CVP212" s="369">
        <v>0.5</v>
      </c>
      <c r="CVQ212" s="370" t="e">
        <f>10/CVM210</f>
        <v>#DIV/0!</v>
      </c>
      <c r="CVR212" s="371">
        <v>15.38</v>
      </c>
      <c r="CVS212" s="371" t="e">
        <f>CVP212*CVQ212*CVR212</f>
        <v>#DIV/0!</v>
      </c>
      <c r="CVT212" s="367" t="s">
        <v>206</v>
      </c>
      <c r="CVU212" s="367"/>
      <c r="CVV212" s="367"/>
      <c r="CVW212" s="368" t="s">
        <v>168</v>
      </c>
      <c r="CVX212" s="369">
        <v>0.5</v>
      </c>
      <c r="CVY212" s="370" t="e">
        <f>10/CVU210</f>
        <v>#DIV/0!</v>
      </c>
      <c r="CVZ212" s="371">
        <v>15.38</v>
      </c>
      <c r="CWA212" s="371" t="e">
        <f>CVX212*CVY212*CVZ212</f>
        <v>#DIV/0!</v>
      </c>
      <c r="CWB212" s="367" t="s">
        <v>206</v>
      </c>
      <c r="CWC212" s="367"/>
      <c r="CWD212" s="367"/>
      <c r="CWE212" s="368" t="s">
        <v>168</v>
      </c>
      <c r="CWF212" s="369">
        <v>0.5</v>
      </c>
      <c r="CWG212" s="370" t="e">
        <f>10/CWC210</f>
        <v>#DIV/0!</v>
      </c>
      <c r="CWH212" s="371">
        <v>15.38</v>
      </c>
      <c r="CWI212" s="371" t="e">
        <f>CWF212*CWG212*CWH212</f>
        <v>#DIV/0!</v>
      </c>
      <c r="CWJ212" s="367" t="s">
        <v>206</v>
      </c>
      <c r="CWK212" s="367"/>
      <c r="CWL212" s="367"/>
      <c r="CWM212" s="368" t="s">
        <v>168</v>
      </c>
      <c r="CWN212" s="369">
        <v>0.5</v>
      </c>
      <c r="CWO212" s="370" t="e">
        <f>10/CWK210</f>
        <v>#DIV/0!</v>
      </c>
      <c r="CWP212" s="371">
        <v>15.38</v>
      </c>
      <c r="CWQ212" s="371" t="e">
        <f>CWN212*CWO212*CWP212</f>
        <v>#DIV/0!</v>
      </c>
      <c r="CWR212" s="367" t="s">
        <v>206</v>
      </c>
      <c r="CWS212" s="367"/>
      <c r="CWT212" s="367"/>
      <c r="CWU212" s="368" t="s">
        <v>168</v>
      </c>
      <c r="CWV212" s="369">
        <v>0.5</v>
      </c>
      <c r="CWW212" s="370" t="e">
        <f>10/CWS210</f>
        <v>#DIV/0!</v>
      </c>
      <c r="CWX212" s="371">
        <v>15.38</v>
      </c>
      <c r="CWY212" s="371" t="e">
        <f>CWV212*CWW212*CWX212</f>
        <v>#DIV/0!</v>
      </c>
      <c r="CWZ212" s="367" t="s">
        <v>206</v>
      </c>
      <c r="CXA212" s="367"/>
      <c r="CXB212" s="367"/>
      <c r="CXC212" s="368" t="s">
        <v>168</v>
      </c>
      <c r="CXD212" s="369">
        <v>0.5</v>
      </c>
      <c r="CXE212" s="370" t="e">
        <f>10/CXA210</f>
        <v>#DIV/0!</v>
      </c>
      <c r="CXF212" s="371">
        <v>15.38</v>
      </c>
      <c r="CXG212" s="371" t="e">
        <f>CXD212*CXE212*CXF212</f>
        <v>#DIV/0!</v>
      </c>
      <c r="CXH212" s="367" t="s">
        <v>206</v>
      </c>
      <c r="CXI212" s="367"/>
      <c r="CXJ212" s="367"/>
      <c r="CXK212" s="368" t="s">
        <v>168</v>
      </c>
      <c r="CXL212" s="369">
        <v>0.5</v>
      </c>
      <c r="CXM212" s="370" t="e">
        <f>10/CXI210</f>
        <v>#DIV/0!</v>
      </c>
      <c r="CXN212" s="371">
        <v>15.38</v>
      </c>
      <c r="CXO212" s="371" t="e">
        <f>CXL212*CXM212*CXN212</f>
        <v>#DIV/0!</v>
      </c>
      <c r="CXP212" s="367" t="s">
        <v>206</v>
      </c>
      <c r="CXQ212" s="367"/>
      <c r="CXR212" s="367"/>
      <c r="CXS212" s="368" t="s">
        <v>168</v>
      </c>
      <c r="CXT212" s="369">
        <v>0.5</v>
      </c>
      <c r="CXU212" s="370" t="e">
        <f>10/CXQ210</f>
        <v>#DIV/0!</v>
      </c>
      <c r="CXV212" s="371">
        <v>15.38</v>
      </c>
      <c r="CXW212" s="371" t="e">
        <f>CXT212*CXU212*CXV212</f>
        <v>#DIV/0!</v>
      </c>
      <c r="CXX212" s="367" t="s">
        <v>206</v>
      </c>
      <c r="CXY212" s="367"/>
      <c r="CXZ212" s="367"/>
      <c r="CYA212" s="368" t="s">
        <v>168</v>
      </c>
      <c r="CYB212" s="369">
        <v>0.5</v>
      </c>
      <c r="CYC212" s="370" t="e">
        <f>10/CXY210</f>
        <v>#DIV/0!</v>
      </c>
      <c r="CYD212" s="371">
        <v>15.38</v>
      </c>
      <c r="CYE212" s="371" t="e">
        <f>CYB212*CYC212*CYD212</f>
        <v>#DIV/0!</v>
      </c>
      <c r="CYF212" s="367" t="s">
        <v>206</v>
      </c>
      <c r="CYG212" s="367"/>
      <c r="CYH212" s="367"/>
      <c r="CYI212" s="368" t="s">
        <v>168</v>
      </c>
      <c r="CYJ212" s="369">
        <v>0.5</v>
      </c>
      <c r="CYK212" s="370" t="e">
        <f>10/CYG210</f>
        <v>#DIV/0!</v>
      </c>
      <c r="CYL212" s="371">
        <v>15.38</v>
      </c>
      <c r="CYM212" s="371" t="e">
        <f>CYJ212*CYK212*CYL212</f>
        <v>#DIV/0!</v>
      </c>
      <c r="CYN212" s="367" t="s">
        <v>206</v>
      </c>
      <c r="CYO212" s="367"/>
      <c r="CYP212" s="367"/>
      <c r="CYQ212" s="368" t="s">
        <v>168</v>
      </c>
      <c r="CYR212" s="369">
        <v>0.5</v>
      </c>
      <c r="CYS212" s="370" t="e">
        <f>10/CYO210</f>
        <v>#DIV/0!</v>
      </c>
      <c r="CYT212" s="371">
        <v>15.38</v>
      </c>
      <c r="CYU212" s="371" t="e">
        <f>CYR212*CYS212*CYT212</f>
        <v>#DIV/0!</v>
      </c>
      <c r="CYV212" s="367" t="s">
        <v>206</v>
      </c>
      <c r="CYW212" s="367"/>
      <c r="CYX212" s="367"/>
      <c r="CYY212" s="368" t="s">
        <v>168</v>
      </c>
      <c r="CYZ212" s="369">
        <v>0.5</v>
      </c>
      <c r="CZA212" s="370" t="e">
        <f>10/CYW210</f>
        <v>#DIV/0!</v>
      </c>
      <c r="CZB212" s="371">
        <v>15.38</v>
      </c>
      <c r="CZC212" s="371" t="e">
        <f>CYZ212*CZA212*CZB212</f>
        <v>#DIV/0!</v>
      </c>
      <c r="CZD212" s="367" t="s">
        <v>206</v>
      </c>
      <c r="CZE212" s="367"/>
      <c r="CZF212" s="367"/>
      <c r="CZG212" s="368" t="s">
        <v>168</v>
      </c>
      <c r="CZH212" s="369">
        <v>0.5</v>
      </c>
      <c r="CZI212" s="370" t="e">
        <f>10/CZE210</f>
        <v>#DIV/0!</v>
      </c>
      <c r="CZJ212" s="371">
        <v>15.38</v>
      </c>
      <c r="CZK212" s="371" t="e">
        <f>CZH212*CZI212*CZJ212</f>
        <v>#DIV/0!</v>
      </c>
      <c r="CZL212" s="367" t="s">
        <v>206</v>
      </c>
      <c r="CZM212" s="367"/>
      <c r="CZN212" s="367"/>
      <c r="CZO212" s="368" t="s">
        <v>168</v>
      </c>
      <c r="CZP212" s="369">
        <v>0.5</v>
      </c>
      <c r="CZQ212" s="370" t="e">
        <f>10/CZM210</f>
        <v>#DIV/0!</v>
      </c>
      <c r="CZR212" s="371">
        <v>15.38</v>
      </c>
      <c r="CZS212" s="371" t="e">
        <f>CZP212*CZQ212*CZR212</f>
        <v>#DIV/0!</v>
      </c>
      <c r="CZT212" s="367" t="s">
        <v>206</v>
      </c>
      <c r="CZU212" s="367"/>
      <c r="CZV212" s="367"/>
      <c r="CZW212" s="368" t="s">
        <v>168</v>
      </c>
      <c r="CZX212" s="369">
        <v>0.5</v>
      </c>
      <c r="CZY212" s="370" t="e">
        <f>10/CZU210</f>
        <v>#DIV/0!</v>
      </c>
      <c r="CZZ212" s="371">
        <v>15.38</v>
      </c>
      <c r="DAA212" s="371" t="e">
        <f>CZX212*CZY212*CZZ212</f>
        <v>#DIV/0!</v>
      </c>
      <c r="DAB212" s="367" t="s">
        <v>206</v>
      </c>
      <c r="DAC212" s="367"/>
      <c r="DAD212" s="367"/>
      <c r="DAE212" s="368" t="s">
        <v>168</v>
      </c>
      <c r="DAF212" s="369">
        <v>0.5</v>
      </c>
      <c r="DAG212" s="370" t="e">
        <f>10/DAC210</f>
        <v>#DIV/0!</v>
      </c>
      <c r="DAH212" s="371">
        <v>15.38</v>
      </c>
      <c r="DAI212" s="371" t="e">
        <f>DAF212*DAG212*DAH212</f>
        <v>#DIV/0!</v>
      </c>
      <c r="DAJ212" s="367" t="s">
        <v>206</v>
      </c>
      <c r="DAK212" s="367"/>
      <c r="DAL212" s="367"/>
      <c r="DAM212" s="368" t="s">
        <v>168</v>
      </c>
      <c r="DAN212" s="369">
        <v>0.5</v>
      </c>
      <c r="DAO212" s="370" t="e">
        <f>10/DAK210</f>
        <v>#DIV/0!</v>
      </c>
      <c r="DAP212" s="371">
        <v>15.38</v>
      </c>
      <c r="DAQ212" s="371" t="e">
        <f>DAN212*DAO212*DAP212</f>
        <v>#DIV/0!</v>
      </c>
      <c r="DAR212" s="367" t="s">
        <v>206</v>
      </c>
      <c r="DAS212" s="367"/>
      <c r="DAT212" s="367"/>
      <c r="DAU212" s="368" t="s">
        <v>168</v>
      </c>
      <c r="DAV212" s="369">
        <v>0.5</v>
      </c>
      <c r="DAW212" s="370" t="e">
        <f>10/DAS210</f>
        <v>#DIV/0!</v>
      </c>
      <c r="DAX212" s="371">
        <v>15.38</v>
      </c>
      <c r="DAY212" s="371" t="e">
        <f>DAV212*DAW212*DAX212</f>
        <v>#DIV/0!</v>
      </c>
      <c r="DAZ212" s="367" t="s">
        <v>206</v>
      </c>
      <c r="DBA212" s="367"/>
      <c r="DBB212" s="367"/>
      <c r="DBC212" s="368" t="s">
        <v>168</v>
      </c>
      <c r="DBD212" s="369">
        <v>0.5</v>
      </c>
      <c r="DBE212" s="370" t="e">
        <f>10/DBA210</f>
        <v>#DIV/0!</v>
      </c>
      <c r="DBF212" s="371">
        <v>15.38</v>
      </c>
      <c r="DBG212" s="371" t="e">
        <f>DBD212*DBE212*DBF212</f>
        <v>#DIV/0!</v>
      </c>
      <c r="DBH212" s="367" t="s">
        <v>206</v>
      </c>
      <c r="DBI212" s="367"/>
      <c r="DBJ212" s="367"/>
      <c r="DBK212" s="368" t="s">
        <v>168</v>
      </c>
      <c r="DBL212" s="369">
        <v>0.5</v>
      </c>
      <c r="DBM212" s="370" t="e">
        <f>10/DBI210</f>
        <v>#DIV/0!</v>
      </c>
      <c r="DBN212" s="371">
        <v>15.38</v>
      </c>
      <c r="DBO212" s="371" t="e">
        <f>DBL212*DBM212*DBN212</f>
        <v>#DIV/0!</v>
      </c>
      <c r="DBP212" s="367" t="s">
        <v>206</v>
      </c>
      <c r="DBQ212" s="367"/>
      <c r="DBR212" s="367"/>
      <c r="DBS212" s="368" t="s">
        <v>168</v>
      </c>
      <c r="DBT212" s="369">
        <v>0.5</v>
      </c>
      <c r="DBU212" s="370" t="e">
        <f>10/DBQ210</f>
        <v>#DIV/0!</v>
      </c>
      <c r="DBV212" s="371">
        <v>15.38</v>
      </c>
      <c r="DBW212" s="371" t="e">
        <f>DBT212*DBU212*DBV212</f>
        <v>#DIV/0!</v>
      </c>
      <c r="DBX212" s="367" t="s">
        <v>206</v>
      </c>
      <c r="DBY212" s="367"/>
      <c r="DBZ212" s="367"/>
      <c r="DCA212" s="368" t="s">
        <v>168</v>
      </c>
      <c r="DCB212" s="369">
        <v>0.5</v>
      </c>
      <c r="DCC212" s="370" t="e">
        <f>10/DBY210</f>
        <v>#DIV/0!</v>
      </c>
      <c r="DCD212" s="371">
        <v>15.38</v>
      </c>
      <c r="DCE212" s="371" t="e">
        <f>DCB212*DCC212*DCD212</f>
        <v>#DIV/0!</v>
      </c>
      <c r="DCF212" s="367" t="s">
        <v>206</v>
      </c>
      <c r="DCG212" s="367"/>
      <c r="DCH212" s="367"/>
      <c r="DCI212" s="368" t="s">
        <v>168</v>
      </c>
      <c r="DCJ212" s="369">
        <v>0.5</v>
      </c>
      <c r="DCK212" s="370" t="e">
        <f>10/DCG210</f>
        <v>#DIV/0!</v>
      </c>
      <c r="DCL212" s="371">
        <v>15.38</v>
      </c>
      <c r="DCM212" s="371" t="e">
        <f>DCJ212*DCK212*DCL212</f>
        <v>#DIV/0!</v>
      </c>
      <c r="DCN212" s="367" t="s">
        <v>206</v>
      </c>
      <c r="DCO212" s="367"/>
      <c r="DCP212" s="367"/>
      <c r="DCQ212" s="368" t="s">
        <v>168</v>
      </c>
      <c r="DCR212" s="369">
        <v>0.5</v>
      </c>
      <c r="DCS212" s="370" t="e">
        <f>10/DCO210</f>
        <v>#DIV/0!</v>
      </c>
      <c r="DCT212" s="371">
        <v>15.38</v>
      </c>
      <c r="DCU212" s="371" t="e">
        <f>DCR212*DCS212*DCT212</f>
        <v>#DIV/0!</v>
      </c>
      <c r="DCV212" s="367" t="s">
        <v>206</v>
      </c>
      <c r="DCW212" s="367"/>
      <c r="DCX212" s="367"/>
      <c r="DCY212" s="368" t="s">
        <v>168</v>
      </c>
      <c r="DCZ212" s="369">
        <v>0.5</v>
      </c>
      <c r="DDA212" s="370" t="e">
        <f>10/DCW210</f>
        <v>#DIV/0!</v>
      </c>
      <c r="DDB212" s="371">
        <v>15.38</v>
      </c>
      <c r="DDC212" s="371" t="e">
        <f>DCZ212*DDA212*DDB212</f>
        <v>#DIV/0!</v>
      </c>
      <c r="DDD212" s="367" t="s">
        <v>206</v>
      </c>
      <c r="DDE212" s="367"/>
      <c r="DDF212" s="367"/>
      <c r="DDG212" s="368" t="s">
        <v>168</v>
      </c>
      <c r="DDH212" s="369">
        <v>0.5</v>
      </c>
      <c r="DDI212" s="370" t="e">
        <f>10/DDE210</f>
        <v>#DIV/0!</v>
      </c>
      <c r="DDJ212" s="371">
        <v>15.38</v>
      </c>
      <c r="DDK212" s="371" t="e">
        <f>DDH212*DDI212*DDJ212</f>
        <v>#DIV/0!</v>
      </c>
      <c r="DDL212" s="367" t="s">
        <v>206</v>
      </c>
      <c r="DDM212" s="367"/>
      <c r="DDN212" s="367"/>
      <c r="DDO212" s="368" t="s">
        <v>168</v>
      </c>
      <c r="DDP212" s="369">
        <v>0.5</v>
      </c>
      <c r="DDQ212" s="370" t="e">
        <f>10/DDM210</f>
        <v>#DIV/0!</v>
      </c>
      <c r="DDR212" s="371">
        <v>15.38</v>
      </c>
      <c r="DDS212" s="371" t="e">
        <f>DDP212*DDQ212*DDR212</f>
        <v>#DIV/0!</v>
      </c>
      <c r="DDT212" s="367" t="s">
        <v>206</v>
      </c>
      <c r="DDU212" s="367"/>
      <c r="DDV212" s="367"/>
      <c r="DDW212" s="368" t="s">
        <v>168</v>
      </c>
      <c r="DDX212" s="369">
        <v>0.5</v>
      </c>
      <c r="DDY212" s="370" t="e">
        <f>10/DDU210</f>
        <v>#DIV/0!</v>
      </c>
      <c r="DDZ212" s="371">
        <v>15.38</v>
      </c>
      <c r="DEA212" s="371" t="e">
        <f>DDX212*DDY212*DDZ212</f>
        <v>#DIV/0!</v>
      </c>
      <c r="DEB212" s="367" t="s">
        <v>206</v>
      </c>
      <c r="DEC212" s="367"/>
      <c r="DED212" s="367"/>
      <c r="DEE212" s="368" t="s">
        <v>168</v>
      </c>
      <c r="DEF212" s="369">
        <v>0.5</v>
      </c>
      <c r="DEG212" s="370" t="e">
        <f>10/DEC210</f>
        <v>#DIV/0!</v>
      </c>
      <c r="DEH212" s="371">
        <v>15.38</v>
      </c>
      <c r="DEI212" s="371" t="e">
        <f>DEF212*DEG212*DEH212</f>
        <v>#DIV/0!</v>
      </c>
      <c r="DEJ212" s="367" t="s">
        <v>206</v>
      </c>
      <c r="DEK212" s="367"/>
      <c r="DEL212" s="367"/>
      <c r="DEM212" s="368" t="s">
        <v>168</v>
      </c>
      <c r="DEN212" s="369">
        <v>0.5</v>
      </c>
      <c r="DEO212" s="370" t="e">
        <f>10/DEK210</f>
        <v>#DIV/0!</v>
      </c>
      <c r="DEP212" s="371">
        <v>15.38</v>
      </c>
      <c r="DEQ212" s="371" t="e">
        <f>DEN212*DEO212*DEP212</f>
        <v>#DIV/0!</v>
      </c>
      <c r="DER212" s="367" t="s">
        <v>206</v>
      </c>
      <c r="DES212" s="367"/>
      <c r="DET212" s="367"/>
      <c r="DEU212" s="368" t="s">
        <v>168</v>
      </c>
      <c r="DEV212" s="369">
        <v>0.5</v>
      </c>
      <c r="DEW212" s="370" t="e">
        <f>10/DES210</f>
        <v>#DIV/0!</v>
      </c>
      <c r="DEX212" s="371">
        <v>15.38</v>
      </c>
      <c r="DEY212" s="371" t="e">
        <f>DEV212*DEW212*DEX212</f>
        <v>#DIV/0!</v>
      </c>
      <c r="DEZ212" s="367" t="s">
        <v>206</v>
      </c>
      <c r="DFA212" s="367"/>
      <c r="DFB212" s="367"/>
      <c r="DFC212" s="368" t="s">
        <v>168</v>
      </c>
      <c r="DFD212" s="369">
        <v>0.5</v>
      </c>
      <c r="DFE212" s="370" t="e">
        <f>10/DFA210</f>
        <v>#DIV/0!</v>
      </c>
      <c r="DFF212" s="371">
        <v>15.38</v>
      </c>
      <c r="DFG212" s="371" t="e">
        <f>DFD212*DFE212*DFF212</f>
        <v>#DIV/0!</v>
      </c>
      <c r="DFH212" s="367" t="s">
        <v>206</v>
      </c>
      <c r="DFI212" s="367"/>
      <c r="DFJ212" s="367"/>
      <c r="DFK212" s="368" t="s">
        <v>168</v>
      </c>
      <c r="DFL212" s="369">
        <v>0.5</v>
      </c>
      <c r="DFM212" s="370" t="e">
        <f>10/DFI210</f>
        <v>#DIV/0!</v>
      </c>
      <c r="DFN212" s="371">
        <v>15.38</v>
      </c>
      <c r="DFO212" s="371" t="e">
        <f>DFL212*DFM212*DFN212</f>
        <v>#DIV/0!</v>
      </c>
      <c r="DFP212" s="367" t="s">
        <v>206</v>
      </c>
      <c r="DFQ212" s="367"/>
      <c r="DFR212" s="367"/>
      <c r="DFS212" s="368" t="s">
        <v>168</v>
      </c>
      <c r="DFT212" s="369">
        <v>0.5</v>
      </c>
      <c r="DFU212" s="370" t="e">
        <f>10/DFQ210</f>
        <v>#DIV/0!</v>
      </c>
      <c r="DFV212" s="371">
        <v>15.38</v>
      </c>
      <c r="DFW212" s="371" t="e">
        <f>DFT212*DFU212*DFV212</f>
        <v>#DIV/0!</v>
      </c>
      <c r="DFX212" s="367" t="s">
        <v>206</v>
      </c>
      <c r="DFY212" s="367"/>
      <c r="DFZ212" s="367"/>
      <c r="DGA212" s="368" t="s">
        <v>168</v>
      </c>
      <c r="DGB212" s="369">
        <v>0.5</v>
      </c>
      <c r="DGC212" s="370" t="e">
        <f>10/DFY210</f>
        <v>#DIV/0!</v>
      </c>
      <c r="DGD212" s="371">
        <v>15.38</v>
      </c>
      <c r="DGE212" s="371" t="e">
        <f>DGB212*DGC212*DGD212</f>
        <v>#DIV/0!</v>
      </c>
      <c r="DGF212" s="367" t="s">
        <v>206</v>
      </c>
      <c r="DGG212" s="367"/>
      <c r="DGH212" s="367"/>
      <c r="DGI212" s="368" t="s">
        <v>168</v>
      </c>
      <c r="DGJ212" s="369">
        <v>0.5</v>
      </c>
      <c r="DGK212" s="370" t="e">
        <f>10/DGG210</f>
        <v>#DIV/0!</v>
      </c>
      <c r="DGL212" s="371">
        <v>15.38</v>
      </c>
      <c r="DGM212" s="371" t="e">
        <f>DGJ212*DGK212*DGL212</f>
        <v>#DIV/0!</v>
      </c>
      <c r="DGN212" s="367" t="s">
        <v>206</v>
      </c>
      <c r="DGO212" s="367"/>
      <c r="DGP212" s="367"/>
      <c r="DGQ212" s="368" t="s">
        <v>168</v>
      </c>
      <c r="DGR212" s="369">
        <v>0.5</v>
      </c>
      <c r="DGS212" s="370" t="e">
        <f>10/DGO210</f>
        <v>#DIV/0!</v>
      </c>
      <c r="DGT212" s="371">
        <v>15.38</v>
      </c>
      <c r="DGU212" s="371" t="e">
        <f>DGR212*DGS212*DGT212</f>
        <v>#DIV/0!</v>
      </c>
      <c r="DGV212" s="367" t="s">
        <v>206</v>
      </c>
      <c r="DGW212" s="367"/>
      <c r="DGX212" s="367"/>
      <c r="DGY212" s="368" t="s">
        <v>168</v>
      </c>
      <c r="DGZ212" s="369">
        <v>0.5</v>
      </c>
      <c r="DHA212" s="370" t="e">
        <f>10/DGW210</f>
        <v>#DIV/0!</v>
      </c>
      <c r="DHB212" s="371">
        <v>15.38</v>
      </c>
      <c r="DHC212" s="371" t="e">
        <f>DGZ212*DHA212*DHB212</f>
        <v>#DIV/0!</v>
      </c>
      <c r="DHD212" s="367" t="s">
        <v>206</v>
      </c>
      <c r="DHE212" s="367"/>
      <c r="DHF212" s="367"/>
      <c r="DHG212" s="368" t="s">
        <v>168</v>
      </c>
      <c r="DHH212" s="369">
        <v>0.5</v>
      </c>
      <c r="DHI212" s="370" t="e">
        <f>10/DHE210</f>
        <v>#DIV/0!</v>
      </c>
      <c r="DHJ212" s="371">
        <v>15.38</v>
      </c>
      <c r="DHK212" s="371" t="e">
        <f>DHH212*DHI212*DHJ212</f>
        <v>#DIV/0!</v>
      </c>
      <c r="DHL212" s="367" t="s">
        <v>206</v>
      </c>
      <c r="DHM212" s="367"/>
      <c r="DHN212" s="367"/>
      <c r="DHO212" s="368" t="s">
        <v>168</v>
      </c>
      <c r="DHP212" s="369">
        <v>0.5</v>
      </c>
      <c r="DHQ212" s="370" t="e">
        <f>10/DHM210</f>
        <v>#DIV/0!</v>
      </c>
      <c r="DHR212" s="371">
        <v>15.38</v>
      </c>
      <c r="DHS212" s="371" t="e">
        <f>DHP212*DHQ212*DHR212</f>
        <v>#DIV/0!</v>
      </c>
      <c r="DHT212" s="367" t="s">
        <v>206</v>
      </c>
      <c r="DHU212" s="367"/>
      <c r="DHV212" s="367"/>
      <c r="DHW212" s="368" t="s">
        <v>168</v>
      </c>
      <c r="DHX212" s="369">
        <v>0.5</v>
      </c>
      <c r="DHY212" s="370" t="e">
        <f>10/DHU210</f>
        <v>#DIV/0!</v>
      </c>
      <c r="DHZ212" s="371">
        <v>15.38</v>
      </c>
      <c r="DIA212" s="371" t="e">
        <f>DHX212*DHY212*DHZ212</f>
        <v>#DIV/0!</v>
      </c>
      <c r="DIB212" s="367" t="s">
        <v>206</v>
      </c>
      <c r="DIC212" s="367"/>
      <c r="DID212" s="367"/>
      <c r="DIE212" s="368" t="s">
        <v>168</v>
      </c>
      <c r="DIF212" s="369">
        <v>0.5</v>
      </c>
      <c r="DIG212" s="370" t="e">
        <f>10/DIC210</f>
        <v>#DIV/0!</v>
      </c>
      <c r="DIH212" s="371">
        <v>15.38</v>
      </c>
      <c r="DII212" s="371" t="e">
        <f>DIF212*DIG212*DIH212</f>
        <v>#DIV/0!</v>
      </c>
      <c r="DIJ212" s="367" t="s">
        <v>206</v>
      </c>
      <c r="DIK212" s="367"/>
      <c r="DIL212" s="367"/>
      <c r="DIM212" s="368" t="s">
        <v>168</v>
      </c>
      <c r="DIN212" s="369">
        <v>0.5</v>
      </c>
      <c r="DIO212" s="370" t="e">
        <f>10/DIK210</f>
        <v>#DIV/0!</v>
      </c>
      <c r="DIP212" s="371">
        <v>15.38</v>
      </c>
      <c r="DIQ212" s="371" t="e">
        <f>DIN212*DIO212*DIP212</f>
        <v>#DIV/0!</v>
      </c>
      <c r="DIR212" s="367" t="s">
        <v>206</v>
      </c>
      <c r="DIS212" s="367"/>
      <c r="DIT212" s="367"/>
      <c r="DIU212" s="368" t="s">
        <v>168</v>
      </c>
      <c r="DIV212" s="369">
        <v>0.5</v>
      </c>
      <c r="DIW212" s="370" t="e">
        <f>10/DIS210</f>
        <v>#DIV/0!</v>
      </c>
      <c r="DIX212" s="371">
        <v>15.38</v>
      </c>
      <c r="DIY212" s="371" t="e">
        <f>DIV212*DIW212*DIX212</f>
        <v>#DIV/0!</v>
      </c>
      <c r="DIZ212" s="367" t="s">
        <v>206</v>
      </c>
      <c r="DJA212" s="367"/>
      <c r="DJB212" s="367"/>
      <c r="DJC212" s="368" t="s">
        <v>168</v>
      </c>
      <c r="DJD212" s="369">
        <v>0.5</v>
      </c>
      <c r="DJE212" s="370" t="e">
        <f>10/DJA210</f>
        <v>#DIV/0!</v>
      </c>
      <c r="DJF212" s="371">
        <v>15.38</v>
      </c>
      <c r="DJG212" s="371" t="e">
        <f>DJD212*DJE212*DJF212</f>
        <v>#DIV/0!</v>
      </c>
      <c r="DJH212" s="367" t="s">
        <v>206</v>
      </c>
      <c r="DJI212" s="367"/>
      <c r="DJJ212" s="367"/>
      <c r="DJK212" s="368" t="s">
        <v>168</v>
      </c>
      <c r="DJL212" s="369">
        <v>0.5</v>
      </c>
      <c r="DJM212" s="370" t="e">
        <f>10/DJI210</f>
        <v>#DIV/0!</v>
      </c>
      <c r="DJN212" s="371">
        <v>15.38</v>
      </c>
      <c r="DJO212" s="371" t="e">
        <f>DJL212*DJM212*DJN212</f>
        <v>#DIV/0!</v>
      </c>
      <c r="DJP212" s="367" t="s">
        <v>206</v>
      </c>
      <c r="DJQ212" s="367"/>
      <c r="DJR212" s="367"/>
      <c r="DJS212" s="368" t="s">
        <v>168</v>
      </c>
      <c r="DJT212" s="369">
        <v>0.5</v>
      </c>
      <c r="DJU212" s="370" t="e">
        <f>10/DJQ210</f>
        <v>#DIV/0!</v>
      </c>
      <c r="DJV212" s="371">
        <v>15.38</v>
      </c>
      <c r="DJW212" s="371" t="e">
        <f>DJT212*DJU212*DJV212</f>
        <v>#DIV/0!</v>
      </c>
      <c r="DJX212" s="367" t="s">
        <v>206</v>
      </c>
      <c r="DJY212" s="367"/>
      <c r="DJZ212" s="367"/>
      <c r="DKA212" s="368" t="s">
        <v>168</v>
      </c>
      <c r="DKB212" s="369">
        <v>0.5</v>
      </c>
      <c r="DKC212" s="370" t="e">
        <f>10/DJY210</f>
        <v>#DIV/0!</v>
      </c>
      <c r="DKD212" s="371">
        <v>15.38</v>
      </c>
      <c r="DKE212" s="371" t="e">
        <f>DKB212*DKC212*DKD212</f>
        <v>#DIV/0!</v>
      </c>
      <c r="DKF212" s="367" t="s">
        <v>206</v>
      </c>
      <c r="DKG212" s="367"/>
      <c r="DKH212" s="367"/>
      <c r="DKI212" s="368" t="s">
        <v>168</v>
      </c>
      <c r="DKJ212" s="369">
        <v>0.5</v>
      </c>
      <c r="DKK212" s="370" t="e">
        <f>10/DKG210</f>
        <v>#DIV/0!</v>
      </c>
      <c r="DKL212" s="371">
        <v>15.38</v>
      </c>
      <c r="DKM212" s="371" t="e">
        <f>DKJ212*DKK212*DKL212</f>
        <v>#DIV/0!</v>
      </c>
      <c r="DKN212" s="367" t="s">
        <v>206</v>
      </c>
      <c r="DKO212" s="367"/>
      <c r="DKP212" s="367"/>
      <c r="DKQ212" s="368" t="s">
        <v>168</v>
      </c>
      <c r="DKR212" s="369">
        <v>0.5</v>
      </c>
      <c r="DKS212" s="370" t="e">
        <f>10/DKO210</f>
        <v>#DIV/0!</v>
      </c>
      <c r="DKT212" s="371">
        <v>15.38</v>
      </c>
      <c r="DKU212" s="371" t="e">
        <f>DKR212*DKS212*DKT212</f>
        <v>#DIV/0!</v>
      </c>
      <c r="DKV212" s="367" t="s">
        <v>206</v>
      </c>
      <c r="DKW212" s="367"/>
      <c r="DKX212" s="367"/>
      <c r="DKY212" s="368" t="s">
        <v>168</v>
      </c>
      <c r="DKZ212" s="369">
        <v>0.5</v>
      </c>
      <c r="DLA212" s="370" t="e">
        <f>10/DKW210</f>
        <v>#DIV/0!</v>
      </c>
      <c r="DLB212" s="371">
        <v>15.38</v>
      </c>
      <c r="DLC212" s="371" t="e">
        <f>DKZ212*DLA212*DLB212</f>
        <v>#DIV/0!</v>
      </c>
      <c r="DLD212" s="367" t="s">
        <v>206</v>
      </c>
      <c r="DLE212" s="367"/>
      <c r="DLF212" s="367"/>
      <c r="DLG212" s="368" t="s">
        <v>168</v>
      </c>
      <c r="DLH212" s="369">
        <v>0.5</v>
      </c>
      <c r="DLI212" s="370" t="e">
        <f>10/DLE210</f>
        <v>#DIV/0!</v>
      </c>
      <c r="DLJ212" s="371">
        <v>15.38</v>
      </c>
      <c r="DLK212" s="371" t="e">
        <f>DLH212*DLI212*DLJ212</f>
        <v>#DIV/0!</v>
      </c>
      <c r="DLL212" s="367" t="s">
        <v>206</v>
      </c>
      <c r="DLM212" s="367"/>
      <c r="DLN212" s="367"/>
      <c r="DLO212" s="368" t="s">
        <v>168</v>
      </c>
      <c r="DLP212" s="369">
        <v>0.5</v>
      </c>
      <c r="DLQ212" s="370" t="e">
        <f>10/DLM210</f>
        <v>#DIV/0!</v>
      </c>
      <c r="DLR212" s="371">
        <v>15.38</v>
      </c>
      <c r="DLS212" s="371" t="e">
        <f>DLP212*DLQ212*DLR212</f>
        <v>#DIV/0!</v>
      </c>
      <c r="DLT212" s="367" t="s">
        <v>206</v>
      </c>
      <c r="DLU212" s="367"/>
      <c r="DLV212" s="367"/>
      <c r="DLW212" s="368" t="s">
        <v>168</v>
      </c>
      <c r="DLX212" s="369">
        <v>0.5</v>
      </c>
      <c r="DLY212" s="370" t="e">
        <f>10/DLU210</f>
        <v>#DIV/0!</v>
      </c>
      <c r="DLZ212" s="371">
        <v>15.38</v>
      </c>
      <c r="DMA212" s="371" t="e">
        <f>DLX212*DLY212*DLZ212</f>
        <v>#DIV/0!</v>
      </c>
      <c r="DMB212" s="367" t="s">
        <v>206</v>
      </c>
      <c r="DMC212" s="367"/>
      <c r="DMD212" s="367"/>
      <c r="DME212" s="368" t="s">
        <v>168</v>
      </c>
      <c r="DMF212" s="369">
        <v>0.5</v>
      </c>
      <c r="DMG212" s="370" t="e">
        <f>10/DMC210</f>
        <v>#DIV/0!</v>
      </c>
      <c r="DMH212" s="371">
        <v>15.38</v>
      </c>
      <c r="DMI212" s="371" t="e">
        <f>DMF212*DMG212*DMH212</f>
        <v>#DIV/0!</v>
      </c>
      <c r="DMJ212" s="367" t="s">
        <v>206</v>
      </c>
      <c r="DMK212" s="367"/>
      <c r="DML212" s="367"/>
      <c r="DMM212" s="368" t="s">
        <v>168</v>
      </c>
      <c r="DMN212" s="369">
        <v>0.5</v>
      </c>
      <c r="DMO212" s="370" t="e">
        <f>10/DMK210</f>
        <v>#DIV/0!</v>
      </c>
      <c r="DMP212" s="371">
        <v>15.38</v>
      </c>
      <c r="DMQ212" s="371" t="e">
        <f>DMN212*DMO212*DMP212</f>
        <v>#DIV/0!</v>
      </c>
      <c r="DMR212" s="367" t="s">
        <v>206</v>
      </c>
      <c r="DMS212" s="367"/>
      <c r="DMT212" s="367"/>
      <c r="DMU212" s="368" t="s">
        <v>168</v>
      </c>
      <c r="DMV212" s="369">
        <v>0.5</v>
      </c>
      <c r="DMW212" s="370" t="e">
        <f>10/DMS210</f>
        <v>#DIV/0!</v>
      </c>
      <c r="DMX212" s="371">
        <v>15.38</v>
      </c>
      <c r="DMY212" s="371" t="e">
        <f>DMV212*DMW212*DMX212</f>
        <v>#DIV/0!</v>
      </c>
      <c r="DMZ212" s="367" t="s">
        <v>206</v>
      </c>
      <c r="DNA212" s="367"/>
      <c r="DNB212" s="367"/>
      <c r="DNC212" s="368" t="s">
        <v>168</v>
      </c>
      <c r="DND212" s="369">
        <v>0.5</v>
      </c>
      <c r="DNE212" s="370" t="e">
        <f>10/DNA210</f>
        <v>#DIV/0!</v>
      </c>
      <c r="DNF212" s="371">
        <v>15.38</v>
      </c>
      <c r="DNG212" s="371" t="e">
        <f>DND212*DNE212*DNF212</f>
        <v>#DIV/0!</v>
      </c>
      <c r="DNH212" s="367" t="s">
        <v>206</v>
      </c>
      <c r="DNI212" s="367"/>
      <c r="DNJ212" s="367"/>
      <c r="DNK212" s="368" t="s">
        <v>168</v>
      </c>
      <c r="DNL212" s="369">
        <v>0.5</v>
      </c>
      <c r="DNM212" s="370" t="e">
        <f>10/DNI210</f>
        <v>#DIV/0!</v>
      </c>
      <c r="DNN212" s="371">
        <v>15.38</v>
      </c>
      <c r="DNO212" s="371" t="e">
        <f>DNL212*DNM212*DNN212</f>
        <v>#DIV/0!</v>
      </c>
      <c r="DNP212" s="367" t="s">
        <v>206</v>
      </c>
      <c r="DNQ212" s="367"/>
      <c r="DNR212" s="367"/>
      <c r="DNS212" s="368" t="s">
        <v>168</v>
      </c>
      <c r="DNT212" s="369">
        <v>0.5</v>
      </c>
      <c r="DNU212" s="370" t="e">
        <f>10/DNQ210</f>
        <v>#DIV/0!</v>
      </c>
      <c r="DNV212" s="371">
        <v>15.38</v>
      </c>
      <c r="DNW212" s="371" t="e">
        <f>DNT212*DNU212*DNV212</f>
        <v>#DIV/0!</v>
      </c>
      <c r="DNX212" s="367" t="s">
        <v>206</v>
      </c>
      <c r="DNY212" s="367"/>
      <c r="DNZ212" s="367"/>
      <c r="DOA212" s="368" t="s">
        <v>168</v>
      </c>
      <c r="DOB212" s="369">
        <v>0.5</v>
      </c>
      <c r="DOC212" s="370" t="e">
        <f>10/DNY210</f>
        <v>#DIV/0!</v>
      </c>
      <c r="DOD212" s="371">
        <v>15.38</v>
      </c>
      <c r="DOE212" s="371" t="e">
        <f>DOB212*DOC212*DOD212</f>
        <v>#DIV/0!</v>
      </c>
      <c r="DOF212" s="367" t="s">
        <v>206</v>
      </c>
      <c r="DOG212" s="367"/>
      <c r="DOH212" s="367"/>
      <c r="DOI212" s="368" t="s">
        <v>168</v>
      </c>
      <c r="DOJ212" s="369">
        <v>0.5</v>
      </c>
      <c r="DOK212" s="370" t="e">
        <f>10/DOG210</f>
        <v>#DIV/0!</v>
      </c>
      <c r="DOL212" s="371">
        <v>15.38</v>
      </c>
      <c r="DOM212" s="371" t="e">
        <f>DOJ212*DOK212*DOL212</f>
        <v>#DIV/0!</v>
      </c>
      <c r="DON212" s="367" t="s">
        <v>206</v>
      </c>
      <c r="DOO212" s="367"/>
      <c r="DOP212" s="367"/>
      <c r="DOQ212" s="368" t="s">
        <v>168</v>
      </c>
      <c r="DOR212" s="369">
        <v>0.5</v>
      </c>
      <c r="DOS212" s="370" t="e">
        <f>10/DOO210</f>
        <v>#DIV/0!</v>
      </c>
      <c r="DOT212" s="371">
        <v>15.38</v>
      </c>
      <c r="DOU212" s="371" t="e">
        <f>DOR212*DOS212*DOT212</f>
        <v>#DIV/0!</v>
      </c>
      <c r="DOV212" s="367" t="s">
        <v>206</v>
      </c>
      <c r="DOW212" s="367"/>
      <c r="DOX212" s="367"/>
      <c r="DOY212" s="368" t="s">
        <v>168</v>
      </c>
      <c r="DOZ212" s="369">
        <v>0.5</v>
      </c>
      <c r="DPA212" s="370" t="e">
        <f>10/DOW210</f>
        <v>#DIV/0!</v>
      </c>
      <c r="DPB212" s="371">
        <v>15.38</v>
      </c>
      <c r="DPC212" s="371" t="e">
        <f>DOZ212*DPA212*DPB212</f>
        <v>#DIV/0!</v>
      </c>
      <c r="DPD212" s="367" t="s">
        <v>206</v>
      </c>
      <c r="DPE212" s="367"/>
      <c r="DPF212" s="367"/>
      <c r="DPG212" s="368" t="s">
        <v>168</v>
      </c>
      <c r="DPH212" s="369">
        <v>0.5</v>
      </c>
      <c r="DPI212" s="370" t="e">
        <f>10/DPE210</f>
        <v>#DIV/0!</v>
      </c>
      <c r="DPJ212" s="371">
        <v>15.38</v>
      </c>
      <c r="DPK212" s="371" t="e">
        <f>DPH212*DPI212*DPJ212</f>
        <v>#DIV/0!</v>
      </c>
      <c r="DPL212" s="367" t="s">
        <v>206</v>
      </c>
      <c r="DPM212" s="367"/>
      <c r="DPN212" s="367"/>
      <c r="DPO212" s="368" t="s">
        <v>168</v>
      </c>
      <c r="DPP212" s="369">
        <v>0.5</v>
      </c>
      <c r="DPQ212" s="370" t="e">
        <f>10/DPM210</f>
        <v>#DIV/0!</v>
      </c>
      <c r="DPR212" s="371">
        <v>15.38</v>
      </c>
      <c r="DPS212" s="371" t="e">
        <f>DPP212*DPQ212*DPR212</f>
        <v>#DIV/0!</v>
      </c>
      <c r="DPT212" s="367" t="s">
        <v>206</v>
      </c>
      <c r="DPU212" s="367"/>
      <c r="DPV212" s="367"/>
      <c r="DPW212" s="368" t="s">
        <v>168</v>
      </c>
      <c r="DPX212" s="369">
        <v>0.5</v>
      </c>
      <c r="DPY212" s="370" t="e">
        <f>10/DPU210</f>
        <v>#DIV/0!</v>
      </c>
      <c r="DPZ212" s="371">
        <v>15.38</v>
      </c>
      <c r="DQA212" s="371" t="e">
        <f>DPX212*DPY212*DPZ212</f>
        <v>#DIV/0!</v>
      </c>
      <c r="DQB212" s="367" t="s">
        <v>206</v>
      </c>
      <c r="DQC212" s="367"/>
      <c r="DQD212" s="367"/>
      <c r="DQE212" s="368" t="s">
        <v>168</v>
      </c>
      <c r="DQF212" s="369">
        <v>0.5</v>
      </c>
      <c r="DQG212" s="370" t="e">
        <f>10/DQC210</f>
        <v>#DIV/0!</v>
      </c>
      <c r="DQH212" s="371">
        <v>15.38</v>
      </c>
      <c r="DQI212" s="371" t="e">
        <f>DQF212*DQG212*DQH212</f>
        <v>#DIV/0!</v>
      </c>
      <c r="DQJ212" s="367" t="s">
        <v>206</v>
      </c>
      <c r="DQK212" s="367"/>
      <c r="DQL212" s="367"/>
      <c r="DQM212" s="368" t="s">
        <v>168</v>
      </c>
      <c r="DQN212" s="369">
        <v>0.5</v>
      </c>
      <c r="DQO212" s="370" t="e">
        <f>10/DQK210</f>
        <v>#DIV/0!</v>
      </c>
      <c r="DQP212" s="371">
        <v>15.38</v>
      </c>
      <c r="DQQ212" s="371" t="e">
        <f>DQN212*DQO212*DQP212</f>
        <v>#DIV/0!</v>
      </c>
      <c r="DQR212" s="367" t="s">
        <v>206</v>
      </c>
      <c r="DQS212" s="367"/>
      <c r="DQT212" s="367"/>
      <c r="DQU212" s="368" t="s">
        <v>168</v>
      </c>
      <c r="DQV212" s="369">
        <v>0.5</v>
      </c>
      <c r="DQW212" s="370" t="e">
        <f>10/DQS210</f>
        <v>#DIV/0!</v>
      </c>
      <c r="DQX212" s="371">
        <v>15.38</v>
      </c>
      <c r="DQY212" s="371" t="e">
        <f>DQV212*DQW212*DQX212</f>
        <v>#DIV/0!</v>
      </c>
      <c r="DQZ212" s="367" t="s">
        <v>206</v>
      </c>
      <c r="DRA212" s="367"/>
      <c r="DRB212" s="367"/>
      <c r="DRC212" s="368" t="s">
        <v>168</v>
      </c>
      <c r="DRD212" s="369">
        <v>0.5</v>
      </c>
      <c r="DRE212" s="370" t="e">
        <f>10/DRA210</f>
        <v>#DIV/0!</v>
      </c>
      <c r="DRF212" s="371">
        <v>15.38</v>
      </c>
      <c r="DRG212" s="371" t="e">
        <f>DRD212*DRE212*DRF212</f>
        <v>#DIV/0!</v>
      </c>
      <c r="DRH212" s="367" t="s">
        <v>206</v>
      </c>
      <c r="DRI212" s="367"/>
      <c r="DRJ212" s="367"/>
      <c r="DRK212" s="368" t="s">
        <v>168</v>
      </c>
      <c r="DRL212" s="369">
        <v>0.5</v>
      </c>
      <c r="DRM212" s="370" t="e">
        <f>10/DRI210</f>
        <v>#DIV/0!</v>
      </c>
      <c r="DRN212" s="371">
        <v>15.38</v>
      </c>
      <c r="DRO212" s="371" t="e">
        <f>DRL212*DRM212*DRN212</f>
        <v>#DIV/0!</v>
      </c>
      <c r="DRP212" s="367" t="s">
        <v>206</v>
      </c>
      <c r="DRQ212" s="367"/>
      <c r="DRR212" s="367"/>
      <c r="DRS212" s="368" t="s">
        <v>168</v>
      </c>
      <c r="DRT212" s="369">
        <v>0.5</v>
      </c>
      <c r="DRU212" s="370" t="e">
        <f>10/DRQ210</f>
        <v>#DIV/0!</v>
      </c>
      <c r="DRV212" s="371">
        <v>15.38</v>
      </c>
      <c r="DRW212" s="371" t="e">
        <f>DRT212*DRU212*DRV212</f>
        <v>#DIV/0!</v>
      </c>
      <c r="DRX212" s="367" t="s">
        <v>206</v>
      </c>
      <c r="DRY212" s="367"/>
      <c r="DRZ212" s="367"/>
      <c r="DSA212" s="368" t="s">
        <v>168</v>
      </c>
      <c r="DSB212" s="369">
        <v>0.5</v>
      </c>
      <c r="DSC212" s="370" t="e">
        <f>10/DRY210</f>
        <v>#DIV/0!</v>
      </c>
      <c r="DSD212" s="371">
        <v>15.38</v>
      </c>
      <c r="DSE212" s="371" t="e">
        <f>DSB212*DSC212*DSD212</f>
        <v>#DIV/0!</v>
      </c>
      <c r="DSF212" s="367" t="s">
        <v>206</v>
      </c>
      <c r="DSG212" s="367"/>
      <c r="DSH212" s="367"/>
      <c r="DSI212" s="368" t="s">
        <v>168</v>
      </c>
      <c r="DSJ212" s="369">
        <v>0.5</v>
      </c>
      <c r="DSK212" s="370" t="e">
        <f>10/DSG210</f>
        <v>#DIV/0!</v>
      </c>
      <c r="DSL212" s="371">
        <v>15.38</v>
      </c>
      <c r="DSM212" s="371" t="e">
        <f>DSJ212*DSK212*DSL212</f>
        <v>#DIV/0!</v>
      </c>
      <c r="DSN212" s="367" t="s">
        <v>206</v>
      </c>
      <c r="DSO212" s="367"/>
      <c r="DSP212" s="367"/>
      <c r="DSQ212" s="368" t="s">
        <v>168</v>
      </c>
      <c r="DSR212" s="369">
        <v>0.5</v>
      </c>
      <c r="DSS212" s="370" t="e">
        <f>10/DSO210</f>
        <v>#DIV/0!</v>
      </c>
      <c r="DST212" s="371">
        <v>15.38</v>
      </c>
      <c r="DSU212" s="371" t="e">
        <f>DSR212*DSS212*DST212</f>
        <v>#DIV/0!</v>
      </c>
      <c r="DSV212" s="367" t="s">
        <v>206</v>
      </c>
      <c r="DSW212" s="367"/>
      <c r="DSX212" s="367"/>
      <c r="DSY212" s="368" t="s">
        <v>168</v>
      </c>
      <c r="DSZ212" s="369">
        <v>0.5</v>
      </c>
      <c r="DTA212" s="370" t="e">
        <f>10/DSW210</f>
        <v>#DIV/0!</v>
      </c>
      <c r="DTB212" s="371">
        <v>15.38</v>
      </c>
      <c r="DTC212" s="371" t="e">
        <f>DSZ212*DTA212*DTB212</f>
        <v>#DIV/0!</v>
      </c>
      <c r="DTD212" s="367" t="s">
        <v>206</v>
      </c>
      <c r="DTE212" s="367"/>
      <c r="DTF212" s="367"/>
      <c r="DTG212" s="368" t="s">
        <v>168</v>
      </c>
      <c r="DTH212" s="369">
        <v>0.5</v>
      </c>
      <c r="DTI212" s="370" t="e">
        <f>10/DTE210</f>
        <v>#DIV/0!</v>
      </c>
      <c r="DTJ212" s="371">
        <v>15.38</v>
      </c>
      <c r="DTK212" s="371" t="e">
        <f>DTH212*DTI212*DTJ212</f>
        <v>#DIV/0!</v>
      </c>
      <c r="DTL212" s="367" t="s">
        <v>206</v>
      </c>
      <c r="DTM212" s="367"/>
      <c r="DTN212" s="367"/>
      <c r="DTO212" s="368" t="s">
        <v>168</v>
      </c>
      <c r="DTP212" s="369">
        <v>0.5</v>
      </c>
      <c r="DTQ212" s="370" t="e">
        <f>10/DTM210</f>
        <v>#DIV/0!</v>
      </c>
      <c r="DTR212" s="371">
        <v>15.38</v>
      </c>
      <c r="DTS212" s="371" t="e">
        <f>DTP212*DTQ212*DTR212</f>
        <v>#DIV/0!</v>
      </c>
      <c r="DTT212" s="367" t="s">
        <v>206</v>
      </c>
      <c r="DTU212" s="367"/>
      <c r="DTV212" s="367"/>
      <c r="DTW212" s="368" t="s">
        <v>168</v>
      </c>
      <c r="DTX212" s="369">
        <v>0.5</v>
      </c>
      <c r="DTY212" s="370" t="e">
        <f>10/DTU210</f>
        <v>#DIV/0!</v>
      </c>
      <c r="DTZ212" s="371">
        <v>15.38</v>
      </c>
      <c r="DUA212" s="371" t="e">
        <f>DTX212*DTY212*DTZ212</f>
        <v>#DIV/0!</v>
      </c>
      <c r="DUB212" s="367" t="s">
        <v>206</v>
      </c>
      <c r="DUC212" s="367"/>
      <c r="DUD212" s="367"/>
      <c r="DUE212" s="368" t="s">
        <v>168</v>
      </c>
      <c r="DUF212" s="369">
        <v>0.5</v>
      </c>
      <c r="DUG212" s="370" t="e">
        <f>10/DUC210</f>
        <v>#DIV/0!</v>
      </c>
      <c r="DUH212" s="371">
        <v>15.38</v>
      </c>
      <c r="DUI212" s="371" t="e">
        <f>DUF212*DUG212*DUH212</f>
        <v>#DIV/0!</v>
      </c>
      <c r="DUJ212" s="367" t="s">
        <v>206</v>
      </c>
      <c r="DUK212" s="367"/>
      <c r="DUL212" s="367"/>
      <c r="DUM212" s="368" t="s">
        <v>168</v>
      </c>
      <c r="DUN212" s="369">
        <v>0.5</v>
      </c>
      <c r="DUO212" s="370" t="e">
        <f>10/DUK210</f>
        <v>#DIV/0!</v>
      </c>
      <c r="DUP212" s="371">
        <v>15.38</v>
      </c>
      <c r="DUQ212" s="371" t="e">
        <f>DUN212*DUO212*DUP212</f>
        <v>#DIV/0!</v>
      </c>
      <c r="DUR212" s="367" t="s">
        <v>206</v>
      </c>
      <c r="DUS212" s="367"/>
      <c r="DUT212" s="367"/>
      <c r="DUU212" s="368" t="s">
        <v>168</v>
      </c>
      <c r="DUV212" s="369">
        <v>0.5</v>
      </c>
      <c r="DUW212" s="370" t="e">
        <f>10/DUS210</f>
        <v>#DIV/0!</v>
      </c>
      <c r="DUX212" s="371">
        <v>15.38</v>
      </c>
      <c r="DUY212" s="371" t="e">
        <f>DUV212*DUW212*DUX212</f>
        <v>#DIV/0!</v>
      </c>
      <c r="DUZ212" s="367" t="s">
        <v>206</v>
      </c>
      <c r="DVA212" s="367"/>
      <c r="DVB212" s="367"/>
      <c r="DVC212" s="368" t="s">
        <v>168</v>
      </c>
      <c r="DVD212" s="369">
        <v>0.5</v>
      </c>
      <c r="DVE212" s="370" t="e">
        <f>10/DVA210</f>
        <v>#DIV/0!</v>
      </c>
      <c r="DVF212" s="371">
        <v>15.38</v>
      </c>
      <c r="DVG212" s="371" t="e">
        <f>DVD212*DVE212*DVF212</f>
        <v>#DIV/0!</v>
      </c>
      <c r="DVH212" s="367" t="s">
        <v>206</v>
      </c>
      <c r="DVI212" s="367"/>
      <c r="DVJ212" s="367"/>
      <c r="DVK212" s="368" t="s">
        <v>168</v>
      </c>
      <c r="DVL212" s="369">
        <v>0.5</v>
      </c>
      <c r="DVM212" s="370" t="e">
        <f>10/DVI210</f>
        <v>#DIV/0!</v>
      </c>
      <c r="DVN212" s="371">
        <v>15.38</v>
      </c>
      <c r="DVO212" s="371" t="e">
        <f>DVL212*DVM212*DVN212</f>
        <v>#DIV/0!</v>
      </c>
      <c r="DVP212" s="367" t="s">
        <v>206</v>
      </c>
      <c r="DVQ212" s="367"/>
      <c r="DVR212" s="367"/>
      <c r="DVS212" s="368" t="s">
        <v>168</v>
      </c>
      <c r="DVT212" s="369">
        <v>0.5</v>
      </c>
      <c r="DVU212" s="370" t="e">
        <f>10/DVQ210</f>
        <v>#DIV/0!</v>
      </c>
      <c r="DVV212" s="371">
        <v>15.38</v>
      </c>
      <c r="DVW212" s="371" t="e">
        <f>DVT212*DVU212*DVV212</f>
        <v>#DIV/0!</v>
      </c>
      <c r="DVX212" s="367" t="s">
        <v>206</v>
      </c>
      <c r="DVY212" s="367"/>
      <c r="DVZ212" s="367"/>
      <c r="DWA212" s="368" t="s">
        <v>168</v>
      </c>
      <c r="DWB212" s="369">
        <v>0.5</v>
      </c>
      <c r="DWC212" s="370" t="e">
        <f>10/DVY210</f>
        <v>#DIV/0!</v>
      </c>
      <c r="DWD212" s="371">
        <v>15.38</v>
      </c>
      <c r="DWE212" s="371" t="e">
        <f>DWB212*DWC212*DWD212</f>
        <v>#DIV/0!</v>
      </c>
      <c r="DWF212" s="367" t="s">
        <v>206</v>
      </c>
      <c r="DWG212" s="367"/>
      <c r="DWH212" s="367"/>
      <c r="DWI212" s="368" t="s">
        <v>168</v>
      </c>
      <c r="DWJ212" s="369">
        <v>0.5</v>
      </c>
      <c r="DWK212" s="370" t="e">
        <f>10/DWG210</f>
        <v>#DIV/0!</v>
      </c>
      <c r="DWL212" s="371">
        <v>15.38</v>
      </c>
      <c r="DWM212" s="371" t="e">
        <f>DWJ212*DWK212*DWL212</f>
        <v>#DIV/0!</v>
      </c>
      <c r="DWN212" s="367" t="s">
        <v>206</v>
      </c>
      <c r="DWO212" s="367"/>
      <c r="DWP212" s="367"/>
      <c r="DWQ212" s="368" t="s">
        <v>168</v>
      </c>
      <c r="DWR212" s="369">
        <v>0.5</v>
      </c>
      <c r="DWS212" s="370" t="e">
        <f>10/DWO210</f>
        <v>#DIV/0!</v>
      </c>
      <c r="DWT212" s="371">
        <v>15.38</v>
      </c>
      <c r="DWU212" s="371" t="e">
        <f>DWR212*DWS212*DWT212</f>
        <v>#DIV/0!</v>
      </c>
      <c r="DWV212" s="367" t="s">
        <v>206</v>
      </c>
      <c r="DWW212" s="367"/>
      <c r="DWX212" s="367"/>
      <c r="DWY212" s="368" t="s">
        <v>168</v>
      </c>
      <c r="DWZ212" s="369">
        <v>0.5</v>
      </c>
      <c r="DXA212" s="370" t="e">
        <f>10/DWW210</f>
        <v>#DIV/0!</v>
      </c>
      <c r="DXB212" s="371">
        <v>15.38</v>
      </c>
      <c r="DXC212" s="371" t="e">
        <f>DWZ212*DXA212*DXB212</f>
        <v>#DIV/0!</v>
      </c>
      <c r="DXD212" s="367" t="s">
        <v>206</v>
      </c>
      <c r="DXE212" s="367"/>
      <c r="DXF212" s="367"/>
      <c r="DXG212" s="368" t="s">
        <v>168</v>
      </c>
      <c r="DXH212" s="369">
        <v>0.5</v>
      </c>
      <c r="DXI212" s="370" t="e">
        <f>10/DXE210</f>
        <v>#DIV/0!</v>
      </c>
      <c r="DXJ212" s="371">
        <v>15.38</v>
      </c>
      <c r="DXK212" s="371" t="e">
        <f>DXH212*DXI212*DXJ212</f>
        <v>#DIV/0!</v>
      </c>
      <c r="DXL212" s="367" t="s">
        <v>206</v>
      </c>
      <c r="DXM212" s="367"/>
      <c r="DXN212" s="367"/>
      <c r="DXO212" s="368" t="s">
        <v>168</v>
      </c>
      <c r="DXP212" s="369">
        <v>0.5</v>
      </c>
      <c r="DXQ212" s="370" t="e">
        <f>10/DXM210</f>
        <v>#DIV/0!</v>
      </c>
      <c r="DXR212" s="371">
        <v>15.38</v>
      </c>
      <c r="DXS212" s="371" t="e">
        <f>DXP212*DXQ212*DXR212</f>
        <v>#DIV/0!</v>
      </c>
      <c r="DXT212" s="367" t="s">
        <v>206</v>
      </c>
      <c r="DXU212" s="367"/>
      <c r="DXV212" s="367"/>
      <c r="DXW212" s="368" t="s">
        <v>168</v>
      </c>
      <c r="DXX212" s="369">
        <v>0.5</v>
      </c>
      <c r="DXY212" s="370" t="e">
        <f>10/DXU210</f>
        <v>#DIV/0!</v>
      </c>
      <c r="DXZ212" s="371">
        <v>15.38</v>
      </c>
      <c r="DYA212" s="371" t="e">
        <f>DXX212*DXY212*DXZ212</f>
        <v>#DIV/0!</v>
      </c>
      <c r="DYB212" s="367" t="s">
        <v>206</v>
      </c>
      <c r="DYC212" s="367"/>
      <c r="DYD212" s="367"/>
      <c r="DYE212" s="368" t="s">
        <v>168</v>
      </c>
      <c r="DYF212" s="369">
        <v>0.5</v>
      </c>
      <c r="DYG212" s="370" t="e">
        <f>10/DYC210</f>
        <v>#DIV/0!</v>
      </c>
      <c r="DYH212" s="371">
        <v>15.38</v>
      </c>
      <c r="DYI212" s="371" t="e">
        <f>DYF212*DYG212*DYH212</f>
        <v>#DIV/0!</v>
      </c>
      <c r="DYJ212" s="367" t="s">
        <v>206</v>
      </c>
      <c r="DYK212" s="367"/>
      <c r="DYL212" s="367"/>
      <c r="DYM212" s="368" t="s">
        <v>168</v>
      </c>
      <c r="DYN212" s="369">
        <v>0.5</v>
      </c>
      <c r="DYO212" s="370" t="e">
        <f>10/DYK210</f>
        <v>#DIV/0!</v>
      </c>
      <c r="DYP212" s="371">
        <v>15.38</v>
      </c>
      <c r="DYQ212" s="371" t="e">
        <f>DYN212*DYO212*DYP212</f>
        <v>#DIV/0!</v>
      </c>
      <c r="DYR212" s="367" t="s">
        <v>206</v>
      </c>
      <c r="DYS212" s="367"/>
      <c r="DYT212" s="367"/>
      <c r="DYU212" s="368" t="s">
        <v>168</v>
      </c>
      <c r="DYV212" s="369">
        <v>0.5</v>
      </c>
      <c r="DYW212" s="370" t="e">
        <f>10/DYS210</f>
        <v>#DIV/0!</v>
      </c>
      <c r="DYX212" s="371">
        <v>15.38</v>
      </c>
      <c r="DYY212" s="371" t="e">
        <f>DYV212*DYW212*DYX212</f>
        <v>#DIV/0!</v>
      </c>
      <c r="DYZ212" s="367" t="s">
        <v>206</v>
      </c>
      <c r="DZA212" s="367"/>
      <c r="DZB212" s="367"/>
      <c r="DZC212" s="368" t="s">
        <v>168</v>
      </c>
      <c r="DZD212" s="369">
        <v>0.5</v>
      </c>
      <c r="DZE212" s="370" t="e">
        <f>10/DZA210</f>
        <v>#DIV/0!</v>
      </c>
      <c r="DZF212" s="371">
        <v>15.38</v>
      </c>
      <c r="DZG212" s="371" t="e">
        <f>DZD212*DZE212*DZF212</f>
        <v>#DIV/0!</v>
      </c>
      <c r="DZH212" s="367" t="s">
        <v>206</v>
      </c>
      <c r="DZI212" s="367"/>
      <c r="DZJ212" s="367"/>
      <c r="DZK212" s="368" t="s">
        <v>168</v>
      </c>
      <c r="DZL212" s="369">
        <v>0.5</v>
      </c>
      <c r="DZM212" s="370" t="e">
        <f>10/DZI210</f>
        <v>#DIV/0!</v>
      </c>
      <c r="DZN212" s="371">
        <v>15.38</v>
      </c>
      <c r="DZO212" s="371" t="e">
        <f>DZL212*DZM212*DZN212</f>
        <v>#DIV/0!</v>
      </c>
      <c r="DZP212" s="367" t="s">
        <v>206</v>
      </c>
      <c r="DZQ212" s="367"/>
      <c r="DZR212" s="367"/>
      <c r="DZS212" s="368" t="s">
        <v>168</v>
      </c>
      <c r="DZT212" s="369">
        <v>0.5</v>
      </c>
      <c r="DZU212" s="370" t="e">
        <f>10/DZQ210</f>
        <v>#DIV/0!</v>
      </c>
      <c r="DZV212" s="371">
        <v>15.38</v>
      </c>
      <c r="DZW212" s="371" t="e">
        <f>DZT212*DZU212*DZV212</f>
        <v>#DIV/0!</v>
      </c>
      <c r="DZX212" s="367" t="s">
        <v>206</v>
      </c>
      <c r="DZY212" s="367"/>
      <c r="DZZ212" s="367"/>
      <c r="EAA212" s="368" t="s">
        <v>168</v>
      </c>
      <c r="EAB212" s="369">
        <v>0.5</v>
      </c>
      <c r="EAC212" s="370" t="e">
        <f>10/DZY210</f>
        <v>#DIV/0!</v>
      </c>
      <c r="EAD212" s="371">
        <v>15.38</v>
      </c>
      <c r="EAE212" s="371" t="e">
        <f>EAB212*EAC212*EAD212</f>
        <v>#DIV/0!</v>
      </c>
      <c r="EAF212" s="367" t="s">
        <v>206</v>
      </c>
      <c r="EAG212" s="367"/>
      <c r="EAH212" s="367"/>
      <c r="EAI212" s="368" t="s">
        <v>168</v>
      </c>
      <c r="EAJ212" s="369">
        <v>0.5</v>
      </c>
      <c r="EAK212" s="370" t="e">
        <f>10/EAG210</f>
        <v>#DIV/0!</v>
      </c>
      <c r="EAL212" s="371">
        <v>15.38</v>
      </c>
      <c r="EAM212" s="371" t="e">
        <f>EAJ212*EAK212*EAL212</f>
        <v>#DIV/0!</v>
      </c>
      <c r="EAN212" s="367" t="s">
        <v>206</v>
      </c>
      <c r="EAO212" s="367"/>
      <c r="EAP212" s="367"/>
      <c r="EAQ212" s="368" t="s">
        <v>168</v>
      </c>
      <c r="EAR212" s="369">
        <v>0.5</v>
      </c>
      <c r="EAS212" s="370" t="e">
        <f>10/EAO210</f>
        <v>#DIV/0!</v>
      </c>
      <c r="EAT212" s="371">
        <v>15.38</v>
      </c>
      <c r="EAU212" s="371" t="e">
        <f>EAR212*EAS212*EAT212</f>
        <v>#DIV/0!</v>
      </c>
      <c r="EAV212" s="367" t="s">
        <v>206</v>
      </c>
      <c r="EAW212" s="367"/>
      <c r="EAX212" s="367"/>
      <c r="EAY212" s="368" t="s">
        <v>168</v>
      </c>
      <c r="EAZ212" s="369">
        <v>0.5</v>
      </c>
      <c r="EBA212" s="370" t="e">
        <f>10/EAW210</f>
        <v>#DIV/0!</v>
      </c>
      <c r="EBB212" s="371">
        <v>15.38</v>
      </c>
      <c r="EBC212" s="371" t="e">
        <f>EAZ212*EBA212*EBB212</f>
        <v>#DIV/0!</v>
      </c>
      <c r="EBD212" s="367" t="s">
        <v>206</v>
      </c>
      <c r="EBE212" s="367"/>
      <c r="EBF212" s="367"/>
      <c r="EBG212" s="368" t="s">
        <v>168</v>
      </c>
      <c r="EBH212" s="369">
        <v>0.5</v>
      </c>
      <c r="EBI212" s="370" t="e">
        <f>10/EBE210</f>
        <v>#DIV/0!</v>
      </c>
      <c r="EBJ212" s="371">
        <v>15.38</v>
      </c>
      <c r="EBK212" s="371" t="e">
        <f>EBH212*EBI212*EBJ212</f>
        <v>#DIV/0!</v>
      </c>
      <c r="EBL212" s="367" t="s">
        <v>206</v>
      </c>
      <c r="EBM212" s="367"/>
      <c r="EBN212" s="367"/>
      <c r="EBO212" s="368" t="s">
        <v>168</v>
      </c>
      <c r="EBP212" s="369">
        <v>0.5</v>
      </c>
      <c r="EBQ212" s="370" t="e">
        <f>10/EBM210</f>
        <v>#DIV/0!</v>
      </c>
      <c r="EBR212" s="371">
        <v>15.38</v>
      </c>
      <c r="EBS212" s="371" t="e">
        <f>EBP212*EBQ212*EBR212</f>
        <v>#DIV/0!</v>
      </c>
      <c r="EBT212" s="367" t="s">
        <v>206</v>
      </c>
      <c r="EBU212" s="367"/>
      <c r="EBV212" s="367"/>
      <c r="EBW212" s="368" t="s">
        <v>168</v>
      </c>
      <c r="EBX212" s="369">
        <v>0.5</v>
      </c>
      <c r="EBY212" s="370" t="e">
        <f>10/EBU210</f>
        <v>#DIV/0!</v>
      </c>
      <c r="EBZ212" s="371">
        <v>15.38</v>
      </c>
      <c r="ECA212" s="371" t="e">
        <f>EBX212*EBY212*EBZ212</f>
        <v>#DIV/0!</v>
      </c>
      <c r="ECB212" s="367" t="s">
        <v>206</v>
      </c>
      <c r="ECC212" s="367"/>
      <c r="ECD212" s="367"/>
      <c r="ECE212" s="368" t="s">
        <v>168</v>
      </c>
      <c r="ECF212" s="369">
        <v>0.5</v>
      </c>
      <c r="ECG212" s="370" t="e">
        <f>10/ECC210</f>
        <v>#DIV/0!</v>
      </c>
      <c r="ECH212" s="371">
        <v>15.38</v>
      </c>
      <c r="ECI212" s="371" t="e">
        <f>ECF212*ECG212*ECH212</f>
        <v>#DIV/0!</v>
      </c>
      <c r="ECJ212" s="367" t="s">
        <v>206</v>
      </c>
      <c r="ECK212" s="367"/>
      <c r="ECL212" s="367"/>
      <c r="ECM212" s="368" t="s">
        <v>168</v>
      </c>
      <c r="ECN212" s="369">
        <v>0.5</v>
      </c>
      <c r="ECO212" s="370" t="e">
        <f>10/ECK210</f>
        <v>#DIV/0!</v>
      </c>
      <c r="ECP212" s="371">
        <v>15.38</v>
      </c>
      <c r="ECQ212" s="371" t="e">
        <f>ECN212*ECO212*ECP212</f>
        <v>#DIV/0!</v>
      </c>
      <c r="ECR212" s="367" t="s">
        <v>206</v>
      </c>
      <c r="ECS212" s="367"/>
      <c r="ECT212" s="367"/>
      <c r="ECU212" s="368" t="s">
        <v>168</v>
      </c>
      <c r="ECV212" s="369">
        <v>0.5</v>
      </c>
      <c r="ECW212" s="370" t="e">
        <f>10/ECS210</f>
        <v>#DIV/0!</v>
      </c>
      <c r="ECX212" s="371">
        <v>15.38</v>
      </c>
      <c r="ECY212" s="371" t="e">
        <f>ECV212*ECW212*ECX212</f>
        <v>#DIV/0!</v>
      </c>
      <c r="ECZ212" s="367" t="s">
        <v>206</v>
      </c>
      <c r="EDA212" s="367"/>
      <c r="EDB212" s="367"/>
      <c r="EDC212" s="368" t="s">
        <v>168</v>
      </c>
      <c r="EDD212" s="369">
        <v>0.5</v>
      </c>
      <c r="EDE212" s="370" t="e">
        <f>10/EDA210</f>
        <v>#DIV/0!</v>
      </c>
      <c r="EDF212" s="371">
        <v>15.38</v>
      </c>
      <c r="EDG212" s="371" t="e">
        <f>EDD212*EDE212*EDF212</f>
        <v>#DIV/0!</v>
      </c>
      <c r="EDH212" s="367" t="s">
        <v>206</v>
      </c>
      <c r="EDI212" s="367"/>
      <c r="EDJ212" s="367"/>
      <c r="EDK212" s="368" t="s">
        <v>168</v>
      </c>
      <c r="EDL212" s="369">
        <v>0.5</v>
      </c>
      <c r="EDM212" s="370" t="e">
        <f>10/EDI210</f>
        <v>#DIV/0!</v>
      </c>
      <c r="EDN212" s="371">
        <v>15.38</v>
      </c>
      <c r="EDO212" s="371" t="e">
        <f>EDL212*EDM212*EDN212</f>
        <v>#DIV/0!</v>
      </c>
      <c r="EDP212" s="367" t="s">
        <v>206</v>
      </c>
      <c r="EDQ212" s="367"/>
      <c r="EDR212" s="367"/>
      <c r="EDS212" s="368" t="s">
        <v>168</v>
      </c>
      <c r="EDT212" s="369">
        <v>0.5</v>
      </c>
      <c r="EDU212" s="370" t="e">
        <f>10/EDQ210</f>
        <v>#DIV/0!</v>
      </c>
      <c r="EDV212" s="371">
        <v>15.38</v>
      </c>
      <c r="EDW212" s="371" t="e">
        <f>EDT212*EDU212*EDV212</f>
        <v>#DIV/0!</v>
      </c>
      <c r="EDX212" s="367" t="s">
        <v>206</v>
      </c>
      <c r="EDY212" s="367"/>
      <c r="EDZ212" s="367"/>
      <c r="EEA212" s="368" t="s">
        <v>168</v>
      </c>
      <c r="EEB212" s="369">
        <v>0.5</v>
      </c>
      <c r="EEC212" s="370" t="e">
        <f>10/EDY210</f>
        <v>#DIV/0!</v>
      </c>
      <c r="EED212" s="371">
        <v>15.38</v>
      </c>
      <c r="EEE212" s="371" t="e">
        <f>EEB212*EEC212*EED212</f>
        <v>#DIV/0!</v>
      </c>
      <c r="EEF212" s="367" t="s">
        <v>206</v>
      </c>
      <c r="EEG212" s="367"/>
      <c r="EEH212" s="367"/>
      <c r="EEI212" s="368" t="s">
        <v>168</v>
      </c>
      <c r="EEJ212" s="369">
        <v>0.5</v>
      </c>
      <c r="EEK212" s="370" t="e">
        <f>10/EEG210</f>
        <v>#DIV/0!</v>
      </c>
      <c r="EEL212" s="371">
        <v>15.38</v>
      </c>
      <c r="EEM212" s="371" t="e">
        <f>EEJ212*EEK212*EEL212</f>
        <v>#DIV/0!</v>
      </c>
      <c r="EEN212" s="367" t="s">
        <v>206</v>
      </c>
      <c r="EEO212" s="367"/>
      <c r="EEP212" s="367"/>
      <c r="EEQ212" s="368" t="s">
        <v>168</v>
      </c>
      <c r="EER212" s="369">
        <v>0.5</v>
      </c>
      <c r="EES212" s="370" t="e">
        <f>10/EEO210</f>
        <v>#DIV/0!</v>
      </c>
      <c r="EET212" s="371">
        <v>15.38</v>
      </c>
      <c r="EEU212" s="371" t="e">
        <f>EER212*EES212*EET212</f>
        <v>#DIV/0!</v>
      </c>
      <c r="EEV212" s="367" t="s">
        <v>206</v>
      </c>
      <c r="EEW212" s="367"/>
      <c r="EEX212" s="367"/>
      <c r="EEY212" s="368" t="s">
        <v>168</v>
      </c>
      <c r="EEZ212" s="369">
        <v>0.5</v>
      </c>
      <c r="EFA212" s="370" t="e">
        <f>10/EEW210</f>
        <v>#DIV/0!</v>
      </c>
      <c r="EFB212" s="371">
        <v>15.38</v>
      </c>
      <c r="EFC212" s="371" t="e">
        <f>EEZ212*EFA212*EFB212</f>
        <v>#DIV/0!</v>
      </c>
      <c r="EFD212" s="367" t="s">
        <v>206</v>
      </c>
      <c r="EFE212" s="367"/>
      <c r="EFF212" s="367"/>
      <c r="EFG212" s="368" t="s">
        <v>168</v>
      </c>
      <c r="EFH212" s="369">
        <v>0.5</v>
      </c>
      <c r="EFI212" s="370" t="e">
        <f>10/EFE210</f>
        <v>#DIV/0!</v>
      </c>
      <c r="EFJ212" s="371">
        <v>15.38</v>
      </c>
      <c r="EFK212" s="371" t="e">
        <f>EFH212*EFI212*EFJ212</f>
        <v>#DIV/0!</v>
      </c>
      <c r="EFL212" s="367" t="s">
        <v>206</v>
      </c>
      <c r="EFM212" s="367"/>
      <c r="EFN212" s="367"/>
      <c r="EFO212" s="368" t="s">
        <v>168</v>
      </c>
      <c r="EFP212" s="369">
        <v>0.5</v>
      </c>
      <c r="EFQ212" s="370" t="e">
        <f>10/EFM210</f>
        <v>#DIV/0!</v>
      </c>
      <c r="EFR212" s="371">
        <v>15.38</v>
      </c>
      <c r="EFS212" s="371" t="e">
        <f>EFP212*EFQ212*EFR212</f>
        <v>#DIV/0!</v>
      </c>
      <c r="EFT212" s="367" t="s">
        <v>206</v>
      </c>
      <c r="EFU212" s="367"/>
      <c r="EFV212" s="367"/>
      <c r="EFW212" s="368" t="s">
        <v>168</v>
      </c>
      <c r="EFX212" s="369">
        <v>0.5</v>
      </c>
      <c r="EFY212" s="370" t="e">
        <f>10/EFU210</f>
        <v>#DIV/0!</v>
      </c>
      <c r="EFZ212" s="371">
        <v>15.38</v>
      </c>
      <c r="EGA212" s="371" t="e">
        <f>EFX212*EFY212*EFZ212</f>
        <v>#DIV/0!</v>
      </c>
      <c r="EGB212" s="367" t="s">
        <v>206</v>
      </c>
      <c r="EGC212" s="367"/>
      <c r="EGD212" s="367"/>
      <c r="EGE212" s="368" t="s">
        <v>168</v>
      </c>
      <c r="EGF212" s="369">
        <v>0.5</v>
      </c>
      <c r="EGG212" s="370" t="e">
        <f>10/EGC210</f>
        <v>#DIV/0!</v>
      </c>
      <c r="EGH212" s="371">
        <v>15.38</v>
      </c>
      <c r="EGI212" s="371" t="e">
        <f>EGF212*EGG212*EGH212</f>
        <v>#DIV/0!</v>
      </c>
      <c r="EGJ212" s="367" t="s">
        <v>206</v>
      </c>
      <c r="EGK212" s="367"/>
      <c r="EGL212" s="367"/>
      <c r="EGM212" s="368" t="s">
        <v>168</v>
      </c>
      <c r="EGN212" s="369">
        <v>0.5</v>
      </c>
      <c r="EGO212" s="370" t="e">
        <f>10/EGK210</f>
        <v>#DIV/0!</v>
      </c>
      <c r="EGP212" s="371">
        <v>15.38</v>
      </c>
      <c r="EGQ212" s="371" t="e">
        <f>EGN212*EGO212*EGP212</f>
        <v>#DIV/0!</v>
      </c>
      <c r="EGR212" s="367" t="s">
        <v>206</v>
      </c>
      <c r="EGS212" s="367"/>
      <c r="EGT212" s="367"/>
      <c r="EGU212" s="368" t="s">
        <v>168</v>
      </c>
      <c r="EGV212" s="369">
        <v>0.5</v>
      </c>
      <c r="EGW212" s="370" t="e">
        <f>10/EGS210</f>
        <v>#DIV/0!</v>
      </c>
      <c r="EGX212" s="371">
        <v>15.38</v>
      </c>
      <c r="EGY212" s="371" t="e">
        <f>EGV212*EGW212*EGX212</f>
        <v>#DIV/0!</v>
      </c>
      <c r="EGZ212" s="367" t="s">
        <v>206</v>
      </c>
      <c r="EHA212" s="367"/>
      <c r="EHB212" s="367"/>
      <c r="EHC212" s="368" t="s">
        <v>168</v>
      </c>
      <c r="EHD212" s="369">
        <v>0.5</v>
      </c>
      <c r="EHE212" s="370" t="e">
        <f>10/EHA210</f>
        <v>#DIV/0!</v>
      </c>
      <c r="EHF212" s="371">
        <v>15.38</v>
      </c>
      <c r="EHG212" s="371" t="e">
        <f>EHD212*EHE212*EHF212</f>
        <v>#DIV/0!</v>
      </c>
      <c r="EHH212" s="367" t="s">
        <v>206</v>
      </c>
      <c r="EHI212" s="367"/>
      <c r="EHJ212" s="367"/>
      <c r="EHK212" s="368" t="s">
        <v>168</v>
      </c>
      <c r="EHL212" s="369">
        <v>0.5</v>
      </c>
      <c r="EHM212" s="370" t="e">
        <f>10/EHI210</f>
        <v>#DIV/0!</v>
      </c>
      <c r="EHN212" s="371">
        <v>15.38</v>
      </c>
      <c r="EHO212" s="371" t="e">
        <f>EHL212*EHM212*EHN212</f>
        <v>#DIV/0!</v>
      </c>
      <c r="EHP212" s="367" t="s">
        <v>206</v>
      </c>
      <c r="EHQ212" s="367"/>
      <c r="EHR212" s="367"/>
      <c r="EHS212" s="368" t="s">
        <v>168</v>
      </c>
      <c r="EHT212" s="369">
        <v>0.5</v>
      </c>
      <c r="EHU212" s="370" t="e">
        <f>10/EHQ210</f>
        <v>#DIV/0!</v>
      </c>
      <c r="EHV212" s="371">
        <v>15.38</v>
      </c>
      <c r="EHW212" s="371" t="e">
        <f>EHT212*EHU212*EHV212</f>
        <v>#DIV/0!</v>
      </c>
      <c r="EHX212" s="367" t="s">
        <v>206</v>
      </c>
      <c r="EHY212" s="367"/>
      <c r="EHZ212" s="367"/>
      <c r="EIA212" s="368" t="s">
        <v>168</v>
      </c>
      <c r="EIB212" s="369">
        <v>0.5</v>
      </c>
      <c r="EIC212" s="370" t="e">
        <f>10/EHY210</f>
        <v>#DIV/0!</v>
      </c>
      <c r="EID212" s="371">
        <v>15.38</v>
      </c>
      <c r="EIE212" s="371" t="e">
        <f>EIB212*EIC212*EID212</f>
        <v>#DIV/0!</v>
      </c>
      <c r="EIF212" s="367" t="s">
        <v>206</v>
      </c>
      <c r="EIG212" s="367"/>
      <c r="EIH212" s="367"/>
      <c r="EII212" s="368" t="s">
        <v>168</v>
      </c>
      <c r="EIJ212" s="369">
        <v>0.5</v>
      </c>
      <c r="EIK212" s="370" t="e">
        <f>10/EIG210</f>
        <v>#DIV/0!</v>
      </c>
      <c r="EIL212" s="371">
        <v>15.38</v>
      </c>
      <c r="EIM212" s="371" t="e">
        <f>EIJ212*EIK212*EIL212</f>
        <v>#DIV/0!</v>
      </c>
      <c r="EIN212" s="367" t="s">
        <v>206</v>
      </c>
      <c r="EIO212" s="367"/>
      <c r="EIP212" s="367"/>
      <c r="EIQ212" s="368" t="s">
        <v>168</v>
      </c>
      <c r="EIR212" s="369">
        <v>0.5</v>
      </c>
      <c r="EIS212" s="370" t="e">
        <f>10/EIO210</f>
        <v>#DIV/0!</v>
      </c>
      <c r="EIT212" s="371">
        <v>15.38</v>
      </c>
      <c r="EIU212" s="371" t="e">
        <f>EIR212*EIS212*EIT212</f>
        <v>#DIV/0!</v>
      </c>
      <c r="EIV212" s="367" t="s">
        <v>206</v>
      </c>
      <c r="EIW212" s="367"/>
      <c r="EIX212" s="367"/>
      <c r="EIY212" s="368" t="s">
        <v>168</v>
      </c>
      <c r="EIZ212" s="369">
        <v>0.5</v>
      </c>
      <c r="EJA212" s="370" t="e">
        <f>10/EIW210</f>
        <v>#DIV/0!</v>
      </c>
      <c r="EJB212" s="371">
        <v>15.38</v>
      </c>
      <c r="EJC212" s="371" t="e">
        <f>EIZ212*EJA212*EJB212</f>
        <v>#DIV/0!</v>
      </c>
      <c r="EJD212" s="367" t="s">
        <v>206</v>
      </c>
      <c r="EJE212" s="367"/>
      <c r="EJF212" s="367"/>
      <c r="EJG212" s="368" t="s">
        <v>168</v>
      </c>
      <c r="EJH212" s="369">
        <v>0.5</v>
      </c>
      <c r="EJI212" s="370" t="e">
        <f>10/EJE210</f>
        <v>#DIV/0!</v>
      </c>
      <c r="EJJ212" s="371">
        <v>15.38</v>
      </c>
      <c r="EJK212" s="371" t="e">
        <f>EJH212*EJI212*EJJ212</f>
        <v>#DIV/0!</v>
      </c>
      <c r="EJL212" s="367" t="s">
        <v>206</v>
      </c>
      <c r="EJM212" s="367"/>
      <c r="EJN212" s="367"/>
      <c r="EJO212" s="368" t="s">
        <v>168</v>
      </c>
      <c r="EJP212" s="369">
        <v>0.5</v>
      </c>
      <c r="EJQ212" s="370" t="e">
        <f>10/EJM210</f>
        <v>#DIV/0!</v>
      </c>
      <c r="EJR212" s="371">
        <v>15.38</v>
      </c>
      <c r="EJS212" s="371" t="e">
        <f>EJP212*EJQ212*EJR212</f>
        <v>#DIV/0!</v>
      </c>
      <c r="EJT212" s="367" t="s">
        <v>206</v>
      </c>
      <c r="EJU212" s="367"/>
      <c r="EJV212" s="367"/>
      <c r="EJW212" s="368" t="s">
        <v>168</v>
      </c>
      <c r="EJX212" s="369">
        <v>0.5</v>
      </c>
      <c r="EJY212" s="370" t="e">
        <f>10/EJU210</f>
        <v>#DIV/0!</v>
      </c>
      <c r="EJZ212" s="371">
        <v>15.38</v>
      </c>
      <c r="EKA212" s="371" t="e">
        <f>EJX212*EJY212*EJZ212</f>
        <v>#DIV/0!</v>
      </c>
      <c r="EKB212" s="367" t="s">
        <v>206</v>
      </c>
      <c r="EKC212" s="367"/>
      <c r="EKD212" s="367"/>
      <c r="EKE212" s="368" t="s">
        <v>168</v>
      </c>
      <c r="EKF212" s="369">
        <v>0.5</v>
      </c>
      <c r="EKG212" s="370" t="e">
        <f>10/EKC210</f>
        <v>#DIV/0!</v>
      </c>
      <c r="EKH212" s="371">
        <v>15.38</v>
      </c>
      <c r="EKI212" s="371" t="e">
        <f>EKF212*EKG212*EKH212</f>
        <v>#DIV/0!</v>
      </c>
      <c r="EKJ212" s="367" t="s">
        <v>206</v>
      </c>
      <c r="EKK212" s="367"/>
      <c r="EKL212" s="367"/>
      <c r="EKM212" s="368" t="s">
        <v>168</v>
      </c>
      <c r="EKN212" s="369">
        <v>0.5</v>
      </c>
      <c r="EKO212" s="370" t="e">
        <f>10/EKK210</f>
        <v>#DIV/0!</v>
      </c>
      <c r="EKP212" s="371">
        <v>15.38</v>
      </c>
      <c r="EKQ212" s="371" t="e">
        <f>EKN212*EKO212*EKP212</f>
        <v>#DIV/0!</v>
      </c>
      <c r="EKR212" s="367" t="s">
        <v>206</v>
      </c>
      <c r="EKS212" s="367"/>
      <c r="EKT212" s="367"/>
      <c r="EKU212" s="368" t="s">
        <v>168</v>
      </c>
      <c r="EKV212" s="369">
        <v>0.5</v>
      </c>
      <c r="EKW212" s="370" t="e">
        <f>10/EKS210</f>
        <v>#DIV/0!</v>
      </c>
      <c r="EKX212" s="371">
        <v>15.38</v>
      </c>
      <c r="EKY212" s="371" t="e">
        <f>EKV212*EKW212*EKX212</f>
        <v>#DIV/0!</v>
      </c>
      <c r="EKZ212" s="367" t="s">
        <v>206</v>
      </c>
      <c r="ELA212" s="367"/>
      <c r="ELB212" s="367"/>
      <c r="ELC212" s="368" t="s">
        <v>168</v>
      </c>
      <c r="ELD212" s="369">
        <v>0.5</v>
      </c>
      <c r="ELE212" s="370" t="e">
        <f>10/ELA210</f>
        <v>#DIV/0!</v>
      </c>
      <c r="ELF212" s="371">
        <v>15.38</v>
      </c>
      <c r="ELG212" s="371" t="e">
        <f>ELD212*ELE212*ELF212</f>
        <v>#DIV/0!</v>
      </c>
      <c r="ELH212" s="367" t="s">
        <v>206</v>
      </c>
      <c r="ELI212" s="367"/>
      <c r="ELJ212" s="367"/>
      <c r="ELK212" s="368" t="s">
        <v>168</v>
      </c>
      <c r="ELL212" s="369">
        <v>0.5</v>
      </c>
      <c r="ELM212" s="370" t="e">
        <f>10/ELI210</f>
        <v>#DIV/0!</v>
      </c>
      <c r="ELN212" s="371">
        <v>15.38</v>
      </c>
      <c r="ELO212" s="371" t="e">
        <f>ELL212*ELM212*ELN212</f>
        <v>#DIV/0!</v>
      </c>
      <c r="ELP212" s="367" t="s">
        <v>206</v>
      </c>
      <c r="ELQ212" s="367"/>
      <c r="ELR212" s="367"/>
      <c r="ELS212" s="368" t="s">
        <v>168</v>
      </c>
      <c r="ELT212" s="369">
        <v>0.5</v>
      </c>
      <c r="ELU212" s="370" t="e">
        <f>10/ELQ210</f>
        <v>#DIV/0!</v>
      </c>
      <c r="ELV212" s="371">
        <v>15.38</v>
      </c>
      <c r="ELW212" s="371" t="e">
        <f>ELT212*ELU212*ELV212</f>
        <v>#DIV/0!</v>
      </c>
      <c r="ELX212" s="367" t="s">
        <v>206</v>
      </c>
      <c r="ELY212" s="367"/>
      <c r="ELZ212" s="367"/>
      <c r="EMA212" s="368" t="s">
        <v>168</v>
      </c>
      <c r="EMB212" s="369">
        <v>0.5</v>
      </c>
      <c r="EMC212" s="370" t="e">
        <f>10/ELY210</f>
        <v>#DIV/0!</v>
      </c>
      <c r="EMD212" s="371">
        <v>15.38</v>
      </c>
      <c r="EME212" s="371" t="e">
        <f>EMB212*EMC212*EMD212</f>
        <v>#DIV/0!</v>
      </c>
      <c r="EMF212" s="367" t="s">
        <v>206</v>
      </c>
      <c r="EMG212" s="367"/>
      <c r="EMH212" s="367"/>
      <c r="EMI212" s="368" t="s">
        <v>168</v>
      </c>
      <c r="EMJ212" s="369">
        <v>0.5</v>
      </c>
      <c r="EMK212" s="370" t="e">
        <f>10/EMG210</f>
        <v>#DIV/0!</v>
      </c>
      <c r="EML212" s="371">
        <v>15.38</v>
      </c>
      <c r="EMM212" s="371" t="e">
        <f>EMJ212*EMK212*EML212</f>
        <v>#DIV/0!</v>
      </c>
      <c r="EMN212" s="367" t="s">
        <v>206</v>
      </c>
      <c r="EMO212" s="367"/>
      <c r="EMP212" s="367"/>
      <c r="EMQ212" s="368" t="s">
        <v>168</v>
      </c>
      <c r="EMR212" s="369">
        <v>0.5</v>
      </c>
      <c r="EMS212" s="370" t="e">
        <f>10/EMO210</f>
        <v>#DIV/0!</v>
      </c>
      <c r="EMT212" s="371">
        <v>15.38</v>
      </c>
      <c r="EMU212" s="371" t="e">
        <f>EMR212*EMS212*EMT212</f>
        <v>#DIV/0!</v>
      </c>
      <c r="EMV212" s="367" t="s">
        <v>206</v>
      </c>
      <c r="EMW212" s="367"/>
      <c r="EMX212" s="367"/>
      <c r="EMY212" s="368" t="s">
        <v>168</v>
      </c>
      <c r="EMZ212" s="369">
        <v>0.5</v>
      </c>
      <c r="ENA212" s="370" t="e">
        <f>10/EMW210</f>
        <v>#DIV/0!</v>
      </c>
      <c r="ENB212" s="371">
        <v>15.38</v>
      </c>
      <c r="ENC212" s="371" t="e">
        <f>EMZ212*ENA212*ENB212</f>
        <v>#DIV/0!</v>
      </c>
      <c r="END212" s="367" t="s">
        <v>206</v>
      </c>
      <c r="ENE212" s="367"/>
      <c r="ENF212" s="367"/>
      <c r="ENG212" s="368" t="s">
        <v>168</v>
      </c>
      <c r="ENH212" s="369">
        <v>0.5</v>
      </c>
      <c r="ENI212" s="370" t="e">
        <f>10/ENE210</f>
        <v>#DIV/0!</v>
      </c>
      <c r="ENJ212" s="371">
        <v>15.38</v>
      </c>
      <c r="ENK212" s="371" t="e">
        <f>ENH212*ENI212*ENJ212</f>
        <v>#DIV/0!</v>
      </c>
      <c r="ENL212" s="367" t="s">
        <v>206</v>
      </c>
      <c r="ENM212" s="367"/>
      <c r="ENN212" s="367"/>
      <c r="ENO212" s="368" t="s">
        <v>168</v>
      </c>
      <c r="ENP212" s="369">
        <v>0.5</v>
      </c>
      <c r="ENQ212" s="370" t="e">
        <f>10/ENM210</f>
        <v>#DIV/0!</v>
      </c>
      <c r="ENR212" s="371">
        <v>15.38</v>
      </c>
      <c r="ENS212" s="371" t="e">
        <f>ENP212*ENQ212*ENR212</f>
        <v>#DIV/0!</v>
      </c>
      <c r="ENT212" s="367" t="s">
        <v>206</v>
      </c>
      <c r="ENU212" s="367"/>
      <c r="ENV212" s="367"/>
      <c r="ENW212" s="368" t="s">
        <v>168</v>
      </c>
      <c r="ENX212" s="369">
        <v>0.5</v>
      </c>
      <c r="ENY212" s="370" t="e">
        <f>10/ENU210</f>
        <v>#DIV/0!</v>
      </c>
      <c r="ENZ212" s="371">
        <v>15.38</v>
      </c>
      <c r="EOA212" s="371" t="e">
        <f>ENX212*ENY212*ENZ212</f>
        <v>#DIV/0!</v>
      </c>
      <c r="EOB212" s="367" t="s">
        <v>206</v>
      </c>
      <c r="EOC212" s="367"/>
      <c r="EOD212" s="367"/>
      <c r="EOE212" s="368" t="s">
        <v>168</v>
      </c>
      <c r="EOF212" s="369">
        <v>0.5</v>
      </c>
      <c r="EOG212" s="370" t="e">
        <f>10/EOC210</f>
        <v>#DIV/0!</v>
      </c>
      <c r="EOH212" s="371">
        <v>15.38</v>
      </c>
      <c r="EOI212" s="371" t="e">
        <f>EOF212*EOG212*EOH212</f>
        <v>#DIV/0!</v>
      </c>
      <c r="EOJ212" s="367" t="s">
        <v>206</v>
      </c>
      <c r="EOK212" s="367"/>
      <c r="EOL212" s="367"/>
      <c r="EOM212" s="368" t="s">
        <v>168</v>
      </c>
      <c r="EON212" s="369">
        <v>0.5</v>
      </c>
      <c r="EOO212" s="370" t="e">
        <f>10/EOK210</f>
        <v>#DIV/0!</v>
      </c>
      <c r="EOP212" s="371">
        <v>15.38</v>
      </c>
      <c r="EOQ212" s="371" t="e">
        <f>EON212*EOO212*EOP212</f>
        <v>#DIV/0!</v>
      </c>
      <c r="EOR212" s="367" t="s">
        <v>206</v>
      </c>
      <c r="EOS212" s="367"/>
      <c r="EOT212" s="367"/>
      <c r="EOU212" s="368" t="s">
        <v>168</v>
      </c>
      <c r="EOV212" s="369">
        <v>0.5</v>
      </c>
      <c r="EOW212" s="370" t="e">
        <f>10/EOS210</f>
        <v>#DIV/0!</v>
      </c>
      <c r="EOX212" s="371">
        <v>15.38</v>
      </c>
      <c r="EOY212" s="371" t="e">
        <f>EOV212*EOW212*EOX212</f>
        <v>#DIV/0!</v>
      </c>
      <c r="EOZ212" s="367" t="s">
        <v>206</v>
      </c>
      <c r="EPA212" s="367"/>
      <c r="EPB212" s="367"/>
      <c r="EPC212" s="368" t="s">
        <v>168</v>
      </c>
      <c r="EPD212" s="369">
        <v>0.5</v>
      </c>
      <c r="EPE212" s="370" t="e">
        <f>10/EPA210</f>
        <v>#DIV/0!</v>
      </c>
      <c r="EPF212" s="371">
        <v>15.38</v>
      </c>
      <c r="EPG212" s="371" t="e">
        <f>EPD212*EPE212*EPF212</f>
        <v>#DIV/0!</v>
      </c>
      <c r="EPH212" s="367" t="s">
        <v>206</v>
      </c>
      <c r="EPI212" s="367"/>
      <c r="EPJ212" s="367"/>
      <c r="EPK212" s="368" t="s">
        <v>168</v>
      </c>
      <c r="EPL212" s="369">
        <v>0.5</v>
      </c>
      <c r="EPM212" s="370" t="e">
        <f>10/EPI210</f>
        <v>#DIV/0!</v>
      </c>
      <c r="EPN212" s="371">
        <v>15.38</v>
      </c>
      <c r="EPO212" s="371" t="e">
        <f>EPL212*EPM212*EPN212</f>
        <v>#DIV/0!</v>
      </c>
      <c r="EPP212" s="367" t="s">
        <v>206</v>
      </c>
      <c r="EPQ212" s="367"/>
      <c r="EPR212" s="367"/>
      <c r="EPS212" s="368" t="s">
        <v>168</v>
      </c>
      <c r="EPT212" s="369">
        <v>0.5</v>
      </c>
      <c r="EPU212" s="370" t="e">
        <f>10/EPQ210</f>
        <v>#DIV/0!</v>
      </c>
      <c r="EPV212" s="371">
        <v>15.38</v>
      </c>
      <c r="EPW212" s="371" t="e">
        <f>EPT212*EPU212*EPV212</f>
        <v>#DIV/0!</v>
      </c>
      <c r="EPX212" s="367" t="s">
        <v>206</v>
      </c>
      <c r="EPY212" s="367"/>
      <c r="EPZ212" s="367"/>
      <c r="EQA212" s="368" t="s">
        <v>168</v>
      </c>
      <c r="EQB212" s="369">
        <v>0.5</v>
      </c>
      <c r="EQC212" s="370" t="e">
        <f>10/EPY210</f>
        <v>#DIV/0!</v>
      </c>
      <c r="EQD212" s="371">
        <v>15.38</v>
      </c>
      <c r="EQE212" s="371" t="e">
        <f>EQB212*EQC212*EQD212</f>
        <v>#DIV/0!</v>
      </c>
      <c r="EQF212" s="367" t="s">
        <v>206</v>
      </c>
      <c r="EQG212" s="367"/>
      <c r="EQH212" s="367"/>
      <c r="EQI212" s="368" t="s">
        <v>168</v>
      </c>
      <c r="EQJ212" s="369">
        <v>0.5</v>
      </c>
      <c r="EQK212" s="370" t="e">
        <f>10/EQG210</f>
        <v>#DIV/0!</v>
      </c>
      <c r="EQL212" s="371">
        <v>15.38</v>
      </c>
      <c r="EQM212" s="371" t="e">
        <f>EQJ212*EQK212*EQL212</f>
        <v>#DIV/0!</v>
      </c>
      <c r="EQN212" s="367" t="s">
        <v>206</v>
      </c>
      <c r="EQO212" s="367"/>
      <c r="EQP212" s="367"/>
      <c r="EQQ212" s="368" t="s">
        <v>168</v>
      </c>
      <c r="EQR212" s="369">
        <v>0.5</v>
      </c>
      <c r="EQS212" s="370" t="e">
        <f>10/EQO210</f>
        <v>#DIV/0!</v>
      </c>
      <c r="EQT212" s="371">
        <v>15.38</v>
      </c>
      <c r="EQU212" s="371" t="e">
        <f>EQR212*EQS212*EQT212</f>
        <v>#DIV/0!</v>
      </c>
      <c r="EQV212" s="367" t="s">
        <v>206</v>
      </c>
      <c r="EQW212" s="367"/>
      <c r="EQX212" s="367"/>
      <c r="EQY212" s="368" t="s">
        <v>168</v>
      </c>
      <c r="EQZ212" s="369">
        <v>0.5</v>
      </c>
      <c r="ERA212" s="370" t="e">
        <f>10/EQW210</f>
        <v>#DIV/0!</v>
      </c>
      <c r="ERB212" s="371">
        <v>15.38</v>
      </c>
      <c r="ERC212" s="371" t="e">
        <f>EQZ212*ERA212*ERB212</f>
        <v>#DIV/0!</v>
      </c>
      <c r="ERD212" s="367" t="s">
        <v>206</v>
      </c>
      <c r="ERE212" s="367"/>
      <c r="ERF212" s="367"/>
      <c r="ERG212" s="368" t="s">
        <v>168</v>
      </c>
      <c r="ERH212" s="369">
        <v>0.5</v>
      </c>
      <c r="ERI212" s="370" t="e">
        <f>10/ERE210</f>
        <v>#DIV/0!</v>
      </c>
      <c r="ERJ212" s="371">
        <v>15.38</v>
      </c>
      <c r="ERK212" s="371" t="e">
        <f>ERH212*ERI212*ERJ212</f>
        <v>#DIV/0!</v>
      </c>
      <c r="ERL212" s="367" t="s">
        <v>206</v>
      </c>
      <c r="ERM212" s="367"/>
      <c r="ERN212" s="367"/>
      <c r="ERO212" s="368" t="s">
        <v>168</v>
      </c>
      <c r="ERP212" s="369">
        <v>0.5</v>
      </c>
      <c r="ERQ212" s="370" t="e">
        <f>10/ERM210</f>
        <v>#DIV/0!</v>
      </c>
      <c r="ERR212" s="371">
        <v>15.38</v>
      </c>
      <c r="ERS212" s="371" t="e">
        <f>ERP212*ERQ212*ERR212</f>
        <v>#DIV/0!</v>
      </c>
      <c r="ERT212" s="367" t="s">
        <v>206</v>
      </c>
      <c r="ERU212" s="367"/>
      <c r="ERV212" s="367"/>
      <c r="ERW212" s="368" t="s">
        <v>168</v>
      </c>
      <c r="ERX212" s="369">
        <v>0.5</v>
      </c>
      <c r="ERY212" s="370" t="e">
        <f>10/ERU210</f>
        <v>#DIV/0!</v>
      </c>
      <c r="ERZ212" s="371">
        <v>15.38</v>
      </c>
      <c r="ESA212" s="371" t="e">
        <f>ERX212*ERY212*ERZ212</f>
        <v>#DIV/0!</v>
      </c>
      <c r="ESB212" s="367" t="s">
        <v>206</v>
      </c>
      <c r="ESC212" s="367"/>
      <c r="ESD212" s="367"/>
      <c r="ESE212" s="368" t="s">
        <v>168</v>
      </c>
      <c r="ESF212" s="369">
        <v>0.5</v>
      </c>
      <c r="ESG212" s="370" t="e">
        <f>10/ESC210</f>
        <v>#DIV/0!</v>
      </c>
      <c r="ESH212" s="371">
        <v>15.38</v>
      </c>
      <c r="ESI212" s="371" t="e">
        <f>ESF212*ESG212*ESH212</f>
        <v>#DIV/0!</v>
      </c>
      <c r="ESJ212" s="367" t="s">
        <v>206</v>
      </c>
      <c r="ESK212" s="367"/>
      <c r="ESL212" s="367"/>
      <c r="ESM212" s="368" t="s">
        <v>168</v>
      </c>
      <c r="ESN212" s="369">
        <v>0.5</v>
      </c>
      <c r="ESO212" s="370" t="e">
        <f>10/ESK210</f>
        <v>#DIV/0!</v>
      </c>
      <c r="ESP212" s="371">
        <v>15.38</v>
      </c>
      <c r="ESQ212" s="371" t="e">
        <f>ESN212*ESO212*ESP212</f>
        <v>#DIV/0!</v>
      </c>
      <c r="ESR212" s="367" t="s">
        <v>206</v>
      </c>
      <c r="ESS212" s="367"/>
      <c r="EST212" s="367"/>
      <c r="ESU212" s="368" t="s">
        <v>168</v>
      </c>
      <c r="ESV212" s="369">
        <v>0.5</v>
      </c>
      <c r="ESW212" s="370" t="e">
        <f>10/ESS210</f>
        <v>#DIV/0!</v>
      </c>
      <c r="ESX212" s="371">
        <v>15.38</v>
      </c>
      <c r="ESY212" s="371" t="e">
        <f>ESV212*ESW212*ESX212</f>
        <v>#DIV/0!</v>
      </c>
      <c r="ESZ212" s="367" t="s">
        <v>206</v>
      </c>
      <c r="ETA212" s="367"/>
      <c r="ETB212" s="367"/>
      <c r="ETC212" s="368" t="s">
        <v>168</v>
      </c>
      <c r="ETD212" s="369">
        <v>0.5</v>
      </c>
      <c r="ETE212" s="370" t="e">
        <f>10/ETA210</f>
        <v>#DIV/0!</v>
      </c>
      <c r="ETF212" s="371">
        <v>15.38</v>
      </c>
      <c r="ETG212" s="371" t="e">
        <f>ETD212*ETE212*ETF212</f>
        <v>#DIV/0!</v>
      </c>
      <c r="ETH212" s="367" t="s">
        <v>206</v>
      </c>
      <c r="ETI212" s="367"/>
      <c r="ETJ212" s="367"/>
      <c r="ETK212" s="368" t="s">
        <v>168</v>
      </c>
      <c r="ETL212" s="369">
        <v>0.5</v>
      </c>
      <c r="ETM212" s="370" t="e">
        <f>10/ETI210</f>
        <v>#DIV/0!</v>
      </c>
      <c r="ETN212" s="371">
        <v>15.38</v>
      </c>
      <c r="ETO212" s="371" t="e">
        <f>ETL212*ETM212*ETN212</f>
        <v>#DIV/0!</v>
      </c>
      <c r="ETP212" s="367" t="s">
        <v>206</v>
      </c>
      <c r="ETQ212" s="367"/>
      <c r="ETR212" s="367"/>
      <c r="ETS212" s="368" t="s">
        <v>168</v>
      </c>
      <c r="ETT212" s="369">
        <v>0.5</v>
      </c>
      <c r="ETU212" s="370" t="e">
        <f>10/ETQ210</f>
        <v>#DIV/0!</v>
      </c>
      <c r="ETV212" s="371">
        <v>15.38</v>
      </c>
      <c r="ETW212" s="371" t="e">
        <f>ETT212*ETU212*ETV212</f>
        <v>#DIV/0!</v>
      </c>
      <c r="ETX212" s="367" t="s">
        <v>206</v>
      </c>
      <c r="ETY212" s="367"/>
      <c r="ETZ212" s="367"/>
      <c r="EUA212" s="368" t="s">
        <v>168</v>
      </c>
      <c r="EUB212" s="369">
        <v>0.5</v>
      </c>
      <c r="EUC212" s="370" t="e">
        <f>10/ETY210</f>
        <v>#DIV/0!</v>
      </c>
      <c r="EUD212" s="371">
        <v>15.38</v>
      </c>
      <c r="EUE212" s="371" t="e">
        <f>EUB212*EUC212*EUD212</f>
        <v>#DIV/0!</v>
      </c>
      <c r="EUF212" s="367" t="s">
        <v>206</v>
      </c>
      <c r="EUG212" s="367"/>
      <c r="EUH212" s="367"/>
      <c r="EUI212" s="368" t="s">
        <v>168</v>
      </c>
      <c r="EUJ212" s="369">
        <v>0.5</v>
      </c>
      <c r="EUK212" s="370" t="e">
        <f>10/EUG210</f>
        <v>#DIV/0!</v>
      </c>
      <c r="EUL212" s="371">
        <v>15.38</v>
      </c>
      <c r="EUM212" s="371" t="e">
        <f>EUJ212*EUK212*EUL212</f>
        <v>#DIV/0!</v>
      </c>
      <c r="EUN212" s="367" t="s">
        <v>206</v>
      </c>
      <c r="EUO212" s="367"/>
      <c r="EUP212" s="367"/>
      <c r="EUQ212" s="368" t="s">
        <v>168</v>
      </c>
      <c r="EUR212" s="369">
        <v>0.5</v>
      </c>
      <c r="EUS212" s="370" t="e">
        <f>10/EUO210</f>
        <v>#DIV/0!</v>
      </c>
      <c r="EUT212" s="371">
        <v>15.38</v>
      </c>
      <c r="EUU212" s="371" t="e">
        <f>EUR212*EUS212*EUT212</f>
        <v>#DIV/0!</v>
      </c>
      <c r="EUV212" s="367" t="s">
        <v>206</v>
      </c>
      <c r="EUW212" s="367"/>
      <c r="EUX212" s="367"/>
      <c r="EUY212" s="368" t="s">
        <v>168</v>
      </c>
      <c r="EUZ212" s="369">
        <v>0.5</v>
      </c>
      <c r="EVA212" s="370" t="e">
        <f>10/EUW210</f>
        <v>#DIV/0!</v>
      </c>
      <c r="EVB212" s="371">
        <v>15.38</v>
      </c>
      <c r="EVC212" s="371" t="e">
        <f>EUZ212*EVA212*EVB212</f>
        <v>#DIV/0!</v>
      </c>
      <c r="EVD212" s="367" t="s">
        <v>206</v>
      </c>
      <c r="EVE212" s="367"/>
      <c r="EVF212" s="367"/>
      <c r="EVG212" s="368" t="s">
        <v>168</v>
      </c>
      <c r="EVH212" s="369">
        <v>0.5</v>
      </c>
      <c r="EVI212" s="370" t="e">
        <f>10/EVE210</f>
        <v>#DIV/0!</v>
      </c>
      <c r="EVJ212" s="371">
        <v>15.38</v>
      </c>
      <c r="EVK212" s="371" t="e">
        <f>EVH212*EVI212*EVJ212</f>
        <v>#DIV/0!</v>
      </c>
      <c r="EVL212" s="367" t="s">
        <v>206</v>
      </c>
      <c r="EVM212" s="367"/>
      <c r="EVN212" s="367"/>
      <c r="EVO212" s="368" t="s">
        <v>168</v>
      </c>
      <c r="EVP212" s="369">
        <v>0.5</v>
      </c>
      <c r="EVQ212" s="370" t="e">
        <f>10/EVM210</f>
        <v>#DIV/0!</v>
      </c>
      <c r="EVR212" s="371">
        <v>15.38</v>
      </c>
      <c r="EVS212" s="371" t="e">
        <f>EVP212*EVQ212*EVR212</f>
        <v>#DIV/0!</v>
      </c>
      <c r="EVT212" s="367" t="s">
        <v>206</v>
      </c>
      <c r="EVU212" s="367"/>
      <c r="EVV212" s="367"/>
      <c r="EVW212" s="368" t="s">
        <v>168</v>
      </c>
      <c r="EVX212" s="369">
        <v>0.5</v>
      </c>
      <c r="EVY212" s="370" t="e">
        <f>10/EVU210</f>
        <v>#DIV/0!</v>
      </c>
      <c r="EVZ212" s="371">
        <v>15.38</v>
      </c>
      <c r="EWA212" s="371" t="e">
        <f>EVX212*EVY212*EVZ212</f>
        <v>#DIV/0!</v>
      </c>
      <c r="EWB212" s="367" t="s">
        <v>206</v>
      </c>
      <c r="EWC212" s="367"/>
      <c r="EWD212" s="367"/>
      <c r="EWE212" s="368" t="s">
        <v>168</v>
      </c>
      <c r="EWF212" s="369">
        <v>0.5</v>
      </c>
      <c r="EWG212" s="370" t="e">
        <f>10/EWC210</f>
        <v>#DIV/0!</v>
      </c>
      <c r="EWH212" s="371">
        <v>15.38</v>
      </c>
      <c r="EWI212" s="371" t="e">
        <f>EWF212*EWG212*EWH212</f>
        <v>#DIV/0!</v>
      </c>
      <c r="EWJ212" s="367" t="s">
        <v>206</v>
      </c>
      <c r="EWK212" s="367"/>
      <c r="EWL212" s="367"/>
      <c r="EWM212" s="368" t="s">
        <v>168</v>
      </c>
      <c r="EWN212" s="369">
        <v>0.5</v>
      </c>
      <c r="EWO212" s="370" t="e">
        <f>10/EWK210</f>
        <v>#DIV/0!</v>
      </c>
      <c r="EWP212" s="371">
        <v>15.38</v>
      </c>
      <c r="EWQ212" s="371" t="e">
        <f>EWN212*EWO212*EWP212</f>
        <v>#DIV/0!</v>
      </c>
      <c r="EWR212" s="367" t="s">
        <v>206</v>
      </c>
      <c r="EWS212" s="367"/>
      <c r="EWT212" s="367"/>
      <c r="EWU212" s="368" t="s">
        <v>168</v>
      </c>
      <c r="EWV212" s="369">
        <v>0.5</v>
      </c>
      <c r="EWW212" s="370" t="e">
        <f>10/EWS210</f>
        <v>#DIV/0!</v>
      </c>
      <c r="EWX212" s="371">
        <v>15.38</v>
      </c>
      <c r="EWY212" s="371" t="e">
        <f>EWV212*EWW212*EWX212</f>
        <v>#DIV/0!</v>
      </c>
      <c r="EWZ212" s="367" t="s">
        <v>206</v>
      </c>
      <c r="EXA212" s="367"/>
      <c r="EXB212" s="367"/>
      <c r="EXC212" s="368" t="s">
        <v>168</v>
      </c>
      <c r="EXD212" s="369">
        <v>0.5</v>
      </c>
      <c r="EXE212" s="370" t="e">
        <f>10/EXA210</f>
        <v>#DIV/0!</v>
      </c>
      <c r="EXF212" s="371">
        <v>15.38</v>
      </c>
      <c r="EXG212" s="371" t="e">
        <f>EXD212*EXE212*EXF212</f>
        <v>#DIV/0!</v>
      </c>
      <c r="EXH212" s="367" t="s">
        <v>206</v>
      </c>
      <c r="EXI212" s="367"/>
      <c r="EXJ212" s="367"/>
      <c r="EXK212" s="368" t="s">
        <v>168</v>
      </c>
      <c r="EXL212" s="369">
        <v>0.5</v>
      </c>
      <c r="EXM212" s="370" t="e">
        <f>10/EXI210</f>
        <v>#DIV/0!</v>
      </c>
      <c r="EXN212" s="371">
        <v>15.38</v>
      </c>
      <c r="EXO212" s="371" t="e">
        <f>EXL212*EXM212*EXN212</f>
        <v>#DIV/0!</v>
      </c>
      <c r="EXP212" s="367" t="s">
        <v>206</v>
      </c>
      <c r="EXQ212" s="367"/>
      <c r="EXR212" s="367"/>
      <c r="EXS212" s="368" t="s">
        <v>168</v>
      </c>
      <c r="EXT212" s="369">
        <v>0.5</v>
      </c>
      <c r="EXU212" s="370" t="e">
        <f>10/EXQ210</f>
        <v>#DIV/0!</v>
      </c>
      <c r="EXV212" s="371">
        <v>15.38</v>
      </c>
      <c r="EXW212" s="371" t="e">
        <f>EXT212*EXU212*EXV212</f>
        <v>#DIV/0!</v>
      </c>
      <c r="EXX212" s="367" t="s">
        <v>206</v>
      </c>
      <c r="EXY212" s="367"/>
      <c r="EXZ212" s="367"/>
      <c r="EYA212" s="368" t="s">
        <v>168</v>
      </c>
      <c r="EYB212" s="369">
        <v>0.5</v>
      </c>
      <c r="EYC212" s="370" t="e">
        <f>10/EXY210</f>
        <v>#DIV/0!</v>
      </c>
      <c r="EYD212" s="371">
        <v>15.38</v>
      </c>
      <c r="EYE212" s="371" t="e">
        <f>EYB212*EYC212*EYD212</f>
        <v>#DIV/0!</v>
      </c>
      <c r="EYF212" s="367" t="s">
        <v>206</v>
      </c>
      <c r="EYG212" s="367"/>
      <c r="EYH212" s="367"/>
      <c r="EYI212" s="368" t="s">
        <v>168</v>
      </c>
      <c r="EYJ212" s="369">
        <v>0.5</v>
      </c>
      <c r="EYK212" s="370" t="e">
        <f>10/EYG210</f>
        <v>#DIV/0!</v>
      </c>
      <c r="EYL212" s="371">
        <v>15.38</v>
      </c>
      <c r="EYM212" s="371" t="e">
        <f>EYJ212*EYK212*EYL212</f>
        <v>#DIV/0!</v>
      </c>
      <c r="EYN212" s="367" t="s">
        <v>206</v>
      </c>
      <c r="EYO212" s="367"/>
      <c r="EYP212" s="367"/>
      <c r="EYQ212" s="368" t="s">
        <v>168</v>
      </c>
      <c r="EYR212" s="369">
        <v>0.5</v>
      </c>
      <c r="EYS212" s="370" t="e">
        <f>10/EYO210</f>
        <v>#DIV/0!</v>
      </c>
      <c r="EYT212" s="371">
        <v>15.38</v>
      </c>
      <c r="EYU212" s="371" t="e">
        <f>EYR212*EYS212*EYT212</f>
        <v>#DIV/0!</v>
      </c>
      <c r="EYV212" s="367" t="s">
        <v>206</v>
      </c>
      <c r="EYW212" s="367"/>
      <c r="EYX212" s="367"/>
      <c r="EYY212" s="368" t="s">
        <v>168</v>
      </c>
      <c r="EYZ212" s="369">
        <v>0.5</v>
      </c>
      <c r="EZA212" s="370" t="e">
        <f>10/EYW210</f>
        <v>#DIV/0!</v>
      </c>
      <c r="EZB212" s="371">
        <v>15.38</v>
      </c>
      <c r="EZC212" s="371" t="e">
        <f>EYZ212*EZA212*EZB212</f>
        <v>#DIV/0!</v>
      </c>
      <c r="EZD212" s="367" t="s">
        <v>206</v>
      </c>
      <c r="EZE212" s="367"/>
      <c r="EZF212" s="367"/>
      <c r="EZG212" s="368" t="s">
        <v>168</v>
      </c>
      <c r="EZH212" s="369">
        <v>0.5</v>
      </c>
      <c r="EZI212" s="370" t="e">
        <f>10/EZE210</f>
        <v>#DIV/0!</v>
      </c>
      <c r="EZJ212" s="371">
        <v>15.38</v>
      </c>
      <c r="EZK212" s="371" t="e">
        <f>EZH212*EZI212*EZJ212</f>
        <v>#DIV/0!</v>
      </c>
      <c r="EZL212" s="367" t="s">
        <v>206</v>
      </c>
      <c r="EZM212" s="367"/>
      <c r="EZN212" s="367"/>
      <c r="EZO212" s="368" t="s">
        <v>168</v>
      </c>
      <c r="EZP212" s="369">
        <v>0.5</v>
      </c>
      <c r="EZQ212" s="370" t="e">
        <f>10/EZM210</f>
        <v>#DIV/0!</v>
      </c>
      <c r="EZR212" s="371">
        <v>15.38</v>
      </c>
      <c r="EZS212" s="371" t="e">
        <f>EZP212*EZQ212*EZR212</f>
        <v>#DIV/0!</v>
      </c>
      <c r="EZT212" s="367" t="s">
        <v>206</v>
      </c>
      <c r="EZU212" s="367"/>
      <c r="EZV212" s="367"/>
      <c r="EZW212" s="368" t="s">
        <v>168</v>
      </c>
      <c r="EZX212" s="369">
        <v>0.5</v>
      </c>
      <c r="EZY212" s="370" t="e">
        <f>10/EZU210</f>
        <v>#DIV/0!</v>
      </c>
      <c r="EZZ212" s="371">
        <v>15.38</v>
      </c>
      <c r="FAA212" s="371" t="e">
        <f>EZX212*EZY212*EZZ212</f>
        <v>#DIV/0!</v>
      </c>
      <c r="FAB212" s="367" t="s">
        <v>206</v>
      </c>
      <c r="FAC212" s="367"/>
      <c r="FAD212" s="367"/>
      <c r="FAE212" s="368" t="s">
        <v>168</v>
      </c>
      <c r="FAF212" s="369">
        <v>0.5</v>
      </c>
      <c r="FAG212" s="370" t="e">
        <f>10/FAC210</f>
        <v>#DIV/0!</v>
      </c>
      <c r="FAH212" s="371">
        <v>15.38</v>
      </c>
      <c r="FAI212" s="371" t="e">
        <f>FAF212*FAG212*FAH212</f>
        <v>#DIV/0!</v>
      </c>
      <c r="FAJ212" s="367" t="s">
        <v>206</v>
      </c>
      <c r="FAK212" s="367"/>
      <c r="FAL212" s="367"/>
      <c r="FAM212" s="368" t="s">
        <v>168</v>
      </c>
      <c r="FAN212" s="369">
        <v>0.5</v>
      </c>
      <c r="FAO212" s="370" t="e">
        <f>10/FAK210</f>
        <v>#DIV/0!</v>
      </c>
      <c r="FAP212" s="371">
        <v>15.38</v>
      </c>
      <c r="FAQ212" s="371" t="e">
        <f>FAN212*FAO212*FAP212</f>
        <v>#DIV/0!</v>
      </c>
      <c r="FAR212" s="367" t="s">
        <v>206</v>
      </c>
      <c r="FAS212" s="367"/>
      <c r="FAT212" s="367"/>
      <c r="FAU212" s="368" t="s">
        <v>168</v>
      </c>
      <c r="FAV212" s="369">
        <v>0.5</v>
      </c>
      <c r="FAW212" s="370" t="e">
        <f>10/FAS210</f>
        <v>#DIV/0!</v>
      </c>
      <c r="FAX212" s="371">
        <v>15.38</v>
      </c>
      <c r="FAY212" s="371" t="e">
        <f>FAV212*FAW212*FAX212</f>
        <v>#DIV/0!</v>
      </c>
      <c r="FAZ212" s="367" t="s">
        <v>206</v>
      </c>
      <c r="FBA212" s="367"/>
      <c r="FBB212" s="367"/>
      <c r="FBC212" s="368" t="s">
        <v>168</v>
      </c>
      <c r="FBD212" s="369">
        <v>0.5</v>
      </c>
      <c r="FBE212" s="370" t="e">
        <f>10/FBA210</f>
        <v>#DIV/0!</v>
      </c>
      <c r="FBF212" s="371">
        <v>15.38</v>
      </c>
      <c r="FBG212" s="371" t="e">
        <f>FBD212*FBE212*FBF212</f>
        <v>#DIV/0!</v>
      </c>
      <c r="FBH212" s="367" t="s">
        <v>206</v>
      </c>
      <c r="FBI212" s="367"/>
      <c r="FBJ212" s="367"/>
      <c r="FBK212" s="368" t="s">
        <v>168</v>
      </c>
      <c r="FBL212" s="369">
        <v>0.5</v>
      </c>
      <c r="FBM212" s="370" t="e">
        <f>10/FBI210</f>
        <v>#DIV/0!</v>
      </c>
      <c r="FBN212" s="371">
        <v>15.38</v>
      </c>
      <c r="FBO212" s="371" t="e">
        <f>FBL212*FBM212*FBN212</f>
        <v>#DIV/0!</v>
      </c>
      <c r="FBP212" s="367" t="s">
        <v>206</v>
      </c>
      <c r="FBQ212" s="367"/>
      <c r="FBR212" s="367"/>
      <c r="FBS212" s="368" t="s">
        <v>168</v>
      </c>
      <c r="FBT212" s="369">
        <v>0.5</v>
      </c>
      <c r="FBU212" s="370" t="e">
        <f>10/FBQ210</f>
        <v>#DIV/0!</v>
      </c>
      <c r="FBV212" s="371">
        <v>15.38</v>
      </c>
      <c r="FBW212" s="371" t="e">
        <f>FBT212*FBU212*FBV212</f>
        <v>#DIV/0!</v>
      </c>
      <c r="FBX212" s="367" t="s">
        <v>206</v>
      </c>
      <c r="FBY212" s="367"/>
      <c r="FBZ212" s="367"/>
      <c r="FCA212" s="368" t="s">
        <v>168</v>
      </c>
      <c r="FCB212" s="369">
        <v>0.5</v>
      </c>
      <c r="FCC212" s="370" t="e">
        <f>10/FBY210</f>
        <v>#DIV/0!</v>
      </c>
      <c r="FCD212" s="371">
        <v>15.38</v>
      </c>
      <c r="FCE212" s="371" t="e">
        <f>FCB212*FCC212*FCD212</f>
        <v>#DIV/0!</v>
      </c>
      <c r="FCF212" s="367" t="s">
        <v>206</v>
      </c>
      <c r="FCG212" s="367"/>
      <c r="FCH212" s="367"/>
      <c r="FCI212" s="368" t="s">
        <v>168</v>
      </c>
      <c r="FCJ212" s="369">
        <v>0.5</v>
      </c>
      <c r="FCK212" s="370" t="e">
        <f>10/FCG210</f>
        <v>#DIV/0!</v>
      </c>
      <c r="FCL212" s="371">
        <v>15.38</v>
      </c>
      <c r="FCM212" s="371" t="e">
        <f>FCJ212*FCK212*FCL212</f>
        <v>#DIV/0!</v>
      </c>
      <c r="FCN212" s="367" t="s">
        <v>206</v>
      </c>
      <c r="FCO212" s="367"/>
      <c r="FCP212" s="367"/>
      <c r="FCQ212" s="368" t="s">
        <v>168</v>
      </c>
      <c r="FCR212" s="369">
        <v>0.5</v>
      </c>
      <c r="FCS212" s="370" t="e">
        <f>10/FCO210</f>
        <v>#DIV/0!</v>
      </c>
      <c r="FCT212" s="371">
        <v>15.38</v>
      </c>
      <c r="FCU212" s="371" t="e">
        <f>FCR212*FCS212*FCT212</f>
        <v>#DIV/0!</v>
      </c>
      <c r="FCV212" s="367" t="s">
        <v>206</v>
      </c>
      <c r="FCW212" s="367"/>
      <c r="FCX212" s="367"/>
      <c r="FCY212" s="368" t="s">
        <v>168</v>
      </c>
      <c r="FCZ212" s="369">
        <v>0.5</v>
      </c>
      <c r="FDA212" s="370" t="e">
        <f>10/FCW210</f>
        <v>#DIV/0!</v>
      </c>
      <c r="FDB212" s="371">
        <v>15.38</v>
      </c>
      <c r="FDC212" s="371" t="e">
        <f>FCZ212*FDA212*FDB212</f>
        <v>#DIV/0!</v>
      </c>
      <c r="FDD212" s="367" t="s">
        <v>206</v>
      </c>
      <c r="FDE212" s="367"/>
      <c r="FDF212" s="367"/>
      <c r="FDG212" s="368" t="s">
        <v>168</v>
      </c>
      <c r="FDH212" s="369">
        <v>0.5</v>
      </c>
      <c r="FDI212" s="370" t="e">
        <f>10/FDE210</f>
        <v>#DIV/0!</v>
      </c>
      <c r="FDJ212" s="371">
        <v>15.38</v>
      </c>
      <c r="FDK212" s="371" t="e">
        <f>FDH212*FDI212*FDJ212</f>
        <v>#DIV/0!</v>
      </c>
      <c r="FDL212" s="367" t="s">
        <v>206</v>
      </c>
      <c r="FDM212" s="367"/>
      <c r="FDN212" s="367"/>
      <c r="FDO212" s="368" t="s">
        <v>168</v>
      </c>
      <c r="FDP212" s="369">
        <v>0.5</v>
      </c>
      <c r="FDQ212" s="370" t="e">
        <f>10/FDM210</f>
        <v>#DIV/0!</v>
      </c>
      <c r="FDR212" s="371">
        <v>15.38</v>
      </c>
      <c r="FDS212" s="371" t="e">
        <f>FDP212*FDQ212*FDR212</f>
        <v>#DIV/0!</v>
      </c>
      <c r="FDT212" s="367" t="s">
        <v>206</v>
      </c>
      <c r="FDU212" s="367"/>
      <c r="FDV212" s="367"/>
      <c r="FDW212" s="368" t="s">
        <v>168</v>
      </c>
      <c r="FDX212" s="369">
        <v>0.5</v>
      </c>
      <c r="FDY212" s="370" t="e">
        <f>10/FDU210</f>
        <v>#DIV/0!</v>
      </c>
      <c r="FDZ212" s="371">
        <v>15.38</v>
      </c>
      <c r="FEA212" s="371" t="e">
        <f>FDX212*FDY212*FDZ212</f>
        <v>#DIV/0!</v>
      </c>
      <c r="FEB212" s="367" t="s">
        <v>206</v>
      </c>
      <c r="FEC212" s="367"/>
      <c r="FED212" s="367"/>
      <c r="FEE212" s="368" t="s">
        <v>168</v>
      </c>
      <c r="FEF212" s="369">
        <v>0.5</v>
      </c>
      <c r="FEG212" s="370" t="e">
        <f>10/FEC210</f>
        <v>#DIV/0!</v>
      </c>
      <c r="FEH212" s="371">
        <v>15.38</v>
      </c>
      <c r="FEI212" s="371" t="e">
        <f>FEF212*FEG212*FEH212</f>
        <v>#DIV/0!</v>
      </c>
      <c r="FEJ212" s="367" t="s">
        <v>206</v>
      </c>
      <c r="FEK212" s="367"/>
      <c r="FEL212" s="367"/>
      <c r="FEM212" s="368" t="s">
        <v>168</v>
      </c>
      <c r="FEN212" s="369">
        <v>0.5</v>
      </c>
      <c r="FEO212" s="370" t="e">
        <f>10/FEK210</f>
        <v>#DIV/0!</v>
      </c>
      <c r="FEP212" s="371">
        <v>15.38</v>
      </c>
      <c r="FEQ212" s="371" t="e">
        <f>FEN212*FEO212*FEP212</f>
        <v>#DIV/0!</v>
      </c>
      <c r="FER212" s="367" t="s">
        <v>206</v>
      </c>
      <c r="FES212" s="367"/>
      <c r="FET212" s="367"/>
      <c r="FEU212" s="368" t="s">
        <v>168</v>
      </c>
      <c r="FEV212" s="369">
        <v>0.5</v>
      </c>
      <c r="FEW212" s="370" t="e">
        <f>10/FES210</f>
        <v>#DIV/0!</v>
      </c>
      <c r="FEX212" s="371">
        <v>15.38</v>
      </c>
      <c r="FEY212" s="371" t="e">
        <f>FEV212*FEW212*FEX212</f>
        <v>#DIV/0!</v>
      </c>
      <c r="FEZ212" s="367" t="s">
        <v>206</v>
      </c>
      <c r="FFA212" s="367"/>
      <c r="FFB212" s="367"/>
      <c r="FFC212" s="368" t="s">
        <v>168</v>
      </c>
      <c r="FFD212" s="369">
        <v>0.5</v>
      </c>
      <c r="FFE212" s="370" t="e">
        <f>10/FFA210</f>
        <v>#DIV/0!</v>
      </c>
      <c r="FFF212" s="371">
        <v>15.38</v>
      </c>
      <c r="FFG212" s="371" t="e">
        <f>FFD212*FFE212*FFF212</f>
        <v>#DIV/0!</v>
      </c>
      <c r="FFH212" s="367" t="s">
        <v>206</v>
      </c>
      <c r="FFI212" s="367"/>
      <c r="FFJ212" s="367"/>
      <c r="FFK212" s="368" t="s">
        <v>168</v>
      </c>
      <c r="FFL212" s="369">
        <v>0.5</v>
      </c>
      <c r="FFM212" s="370" t="e">
        <f>10/FFI210</f>
        <v>#DIV/0!</v>
      </c>
      <c r="FFN212" s="371">
        <v>15.38</v>
      </c>
      <c r="FFO212" s="371" t="e">
        <f>FFL212*FFM212*FFN212</f>
        <v>#DIV/0!</v>
      </c>
      <c r="FFP212" s="367" t="s">
        <v>206</v>
      </c>
      <c r="FFQ212" s="367"/>
      <c r="FFR212" s="367"/>
      <c r="FFS212" s="368" t="s">
        <v>168</v>
      </c>
      <c r="FFT212" s="369">
        <v>0.5</v>
      </c>
      <c r="FFU212" s="370" t="e">
        <f>10/FFQ210</f>
        <v>#DIV/0!</v>
      </c>
      <c r="FFV212" s="371">
        <v>15.38</v>
      </c>
      <c r="FFW212" s="371" t="e">
        <f>FFT212*FFU212*FFV212</f>
        <v>#DIV/0!</v>
      </c>
      <c r="FFX212" s="367" t="s">
        <v>206</v>
      </c>
      <c r="FFY212" s="367"/>
      <c r="FFZ212" s="367"/>
      <c r="FGA212" s="368" t="s">
        <v>168</v>
      </c>
      <c r="FGB212" s="369">
        <v>0.5</v>
      </c>
      <c r="FGC212" s="370" t="e">
        <f>10/FFY210</f>
        <v>#DIV/0!</v>
      </c>
      <c r="FGD212" s="371">
        <v>15.38</v>
      </c>
      <c r="FGE212" s="371" t="e">
        <f>FGB212*FGC212*FGD212</f>
        <v>#DIV/0!</v>
      </c>
      <c r="FGF212" s="367" t="s">
        <v>206</v>
      </c>
      <c r="FGG212" s="367"/>
      <c r="FGH212" s="367"/>
      <c r="FGI212" s="368" t="s">
        <v>168</v>
      </c>
      <c r="FGJ212" s="369">
        <v>0.5</v>
      </c>
      <c r="FGK212" s="370" t="e">
        <f>10/FGG210</f>
        <v>#DIV/0!</v>
      </c>
      <c r="FGL212" s="371">
        <v>15.38</v>
      </c>
      <c r="FGM212" s="371" t="e">
        <f>FGJ212*FGK212*FGL212</f>
        <v>#DIV/0!</v>
      </c>
      <c r="FGN212" s="367" t="s">
        <v>206</v>
      </c>
      <c r="FGO212" s="367"/>
      <c r="FGP212" s="367"/>
      <c r="FGQ212" s="368" t="s">
        <v>168</v>
      </c>
      <c r="FGR212" s="369">
        <v>0.5</v>
      </c>
      <c r="FGS212" s="370" t="e">
        <f>10/FGO210</f>
        <v>#DIV/0!</v>
      </c>
      <c r="FGT212" s="371">
        <v>15.38</v>
      </c>
      <c r="FGU212" s="371" t="e">
        <f>FGR212*FGS212*FGT212</f>
        <v>#DIV/0!</v>
      </c>
      <c r="FGV212" s="367" t="s">
        <v>206</v>
      </c>
      <c r="FGW212" s="367"/>
      <c r="FGX212" s="367"/>
      <c r="FGY212" s="368" t="s">
        <v>168</v>
      </c>
      <c r="FGZ212" s="369">
        <v>0.5</v>
      </c>
      <c r="FHA212" s="370" t="e">
        <f>10/FGW210</f>
        <v>#DIV/0!</v>
      </c>
      <c r="FHB212" s="371">
        <v>15.38</v>
      </c>
      <c r="FHC212" s="371" t="e">
        <f>FGZ212*FHA212*FHB212</f>
        <v>#DIV/0!</v>
      </c>
      <c r="FHD212" s="367" t="s">
        <v>206</v>
      </c>
      <c r="FHE212" s="367"/>
      <c r="FHF212" s="367"/>
      <c r="FHG212" s="368" t="s">
        <v>168</v>
      </c>
      <c r="FHH212" s="369">
        <v>0.5</v>
      </c>
      <c r="FHI212" s="370" t="e">
        <f>10/FHE210</f>
        <v>#DIV/0!</v>
      </c>
      <c r="FHJ212" s="371">
        <v>15.38</v>
      </c>
      <c r="FHK212" s="371" t="e">
        <f>FHH212*FHI212*FHJ212</f>
        <v>#DIV/0!</v>
      </c>
      <c r="FHL212" s="367" t="s">
        <v>206</v>
      </c>
      <c r="FHM212" s="367"/>
      <c r="FHN212" s="367"/>
      <c r="FHO212" s="368" t="s">
        <v>168</v>
      </c>
      <c r="FHP212" s="369">
        <v>0.5</v>
      </c>
      <c r="FHQ212" s="370" t="e">
        <f>10/FHM210</f>
        <v>#DIV/0!</v>
      </c>
      <c r="FHR212" s="371">
        <v>15.38</v>
      </c>
      <c r="FHS212" s="371" t="e">
        <f>FHP212*FHQ212*FHR212</f>
        <v>#DIV/0!</v>
      </c>
      <c r="FHT212" s="367" t="s">
        <v>206</v>
      </c>
      <c r="FHU212" s="367"/>
      <c r="FHV212" s="367"/>
      <c r="FHW212" s="368" t="s">
        <v>168</v>
      </c>
      <c r="FHX212" s="369">
        <v>0.5</v>
      </c>
      <c r="FHY212" s="370" t="e">
        <f>10/FHU210</f>
        <v>#DIV/0!</v>
      </c>
      <c r="FHZ212" s="371">
        <v>15.38</v>
      </c>
      <c r="FIA212" s="371" t="e">
        <f>FHX212*FHY212*FHZ212</f>
        <v>#DIV/0!</v>
      </c>
      <c r="FIB212" s="367" t="s">
        <v>206</v>
      </c>
      <c r="FIC212" s="367"/>
      <c r="FID212" s="367"/>
      <c r="FIE212" s="368" t="s">
        <v>168</v>
      </c>
      <c r="FIF212" s="369">
        <v>0.5</v>
      </c>
      <c r="FIG212" s="370" t="e">
        <f>10/FIC210</f>
        <v>#DIV/0!</v>
      </c>
      <c r="FIH212" s="371">
        <v>15.38</v>
      </c>
      <c r="FII212" s="371" t="e">
        <f>FIF212*FIG212*FIH212</f>
        <v>#DIV/0!</v>
      </c>
      <c r="FIJ212" s="367" t="s">
        <v>206</v>
      </c>
      <c r="FIK212" s="367"/>
      <c r="FIL212" s="367"/>
      <c r="FIM212" s="368" t="s">
        <v>168</v>
      </c>
      <c r="FIN212" s="369">
        <v>0.5</v>
      </c>
      <c r="FIO212" s="370" t="e">
        <f>10/FIK210</f>
        <v>#DIV/0!</v>
      </c>
      <c r="FIP212" s="371">
        <v>15.38</v>
      </c>
      <c r="FIQ212" s="371" t="e">
        <f>FIN212*FIO212*FIP212</f>
        <v>#DIV/0!</v>
      </c>
      <c r="FIR212" s="367" t="s">
        <v>206</v>
      </c>
      <c r="FIS212" s="367"/>
      <c r="FIT212" s="367"/>
      <c r="FIU212" s="368" t="s">
        <v>168</v>
      </c>
      <c r="FIV212" s="369">
        <v>0.5</v>
      </c>
      <c r="FIW212" s="370" t="e">
        <f>10/FIS210</f>
        <v>#DIV/0!</v>
      </c>
      <c r="FIX212" s="371">
        <v>15.38</v>
      </c>
      <c r="FIY212" s="371" t="e">
        <f>FIV212*FIW212*FIX212</f>
        <v>#DIV/0!</v>
      </c>
      <c r="FIZ212" s="367" t="s">
        <v>206</v>
      </c>
      <c r="FJA212" s="367"/>
      <c r="FJB212" s="367"/>
      <c r="FJC212" s="368" t="s">
        <v>168</v>
      </c>
      <c r="FJD212" s="369">
        <v>0.5</v>
      </c>
      <c r="FJE212" s="370" t="e">
        <f>10/FJA210</f>
        <v>#DIV/0!</v>
      </c>
      <c r="FJF212" s="371">
        <v>15.38</v>
      </c>
      <c r="FJG212" s="371" t="e">
        <f>FJD212*FJE212*FJF212</f>
        <v>#DIV/0!</v>
      </c>
      <c r="FJH212" s="367" t="s">
        <v>206</v>
      </c>
      <c r="FJI212" s="367"/>
      <c r="FJJ212" s="367"/>
      <c r="FJK212" s="368" t="s">
        <v>168</v>
      </c>
      <c r="FJL212" s="369">
        <v>0.5</v>
      </c>
      <c r="FJM212" s="370" t="e">
        <f>10/FJI210</f>
        <v>#DIV/0!</v>
      </c>
      <c r="FJN212" s="371">
        <v>15.38</v>
      </c>
      <c r="FJO212" s="371" t="e">
        <f>FJL212*FJM212*FJN212</f>
        <v>#DIV/0!</v>
      </c>
      <c r="FJP212" s="367" t="s">
        <v>206</v>
      </c>
      <c r="FJQ212" s="367"/>
      <c r="FJR212" s="367"/>
      <c r="FJS212" s="368" t="s">
        <v>168</v>
      </c>
      <c r="FJT212" s="369">
        <v>0.5</v>
      </c>
      <c r="FJU212" s="370" t="e">
        <f>10/FJQ210</f>
        <v>#DIV/0!</v>
      </c>
      <c r="FJV212" s="371">
        <v>15.38</v>
      </c>
      <c r="FJW212" s="371" t="e">
        <f>FJT212*FJU212*FJV212</f>
        <v>#DIV/0!</v>
      </c>
      <c r="FJX212" s="367" t="s">
        <v>206</v>
      </c>
      <c r="FJY212" s="367"/>
      <c r="FJZ212" s="367"/>
      <c r="FKA212" s="368" t="s">
        <v>168</v>
      </c>
      <c r="FKB212" s="369">
        <v>0.5</v>
      </c>
      <c r="FKC212" s="370" t="e">
        <f>10/FJY210</f>
        <v>#DIV/0!</v>
      </c>
      <c r="FKD212" s="371">
        <v>15.38</v>
      </c>
      <c r="FKE212" s="371" t="e">
        <f>FKB212*FKC212*FKD212</f>
        <v>#DIV/0!</v>
      </c>
      <c r="FKF212" s="367" t="s">
        <v>206</v>
      </c>
      <c r="FKG212" s="367"/>
      <c r="FKH212" s="367"/>
      <c r="FKI212" s="368" t="s">
        <v>168</v>
      </c>
      <c r="FKJ212" s="369">
        <v>0.5</v>
      </c>
      <c r="FKK212" s="370" t="e">
        <f>10/FKG210</f>
        <v>#DIV/0!</v>
      </c>
      <c r="FKL212" s="371">
        <v>15.38</v>
      </c>
      <c r="FKM212" s="371" t="e">
        <f>FKJ212*FKK212*FKL212</f>
        <v>#DIV/0!</v>
      </c>
      <c r="FKN212" s="367" t="s">
        <v>206</v>
      </c>
      <c r="FKO212" s="367"/>
      <c r="FKP212" s="367"/>
      <c r="FKQ212" s="368" t="s">
        <v>168</v>
      </c>
      <c r="FKR212" s="369">
        <v>0.5</v>
      </c>
      <c r="FKS212" s="370" t="e">
        <f>10/FKO210</f>
        <v>#DIV/0!</v>
      </c>
      <c r="FKT212" s="371">
        <v>15.38</v>
      </c>
      <c r="FKU212" s="371" t="e">
        <f>FKR212*FKS212*FKT212</f>
        <v>#DIV/0!</v>
      </c>
      <c r="FKV212" s="367" t="s">
        <v>206</v>
      </c>
      <c r="FKW212" s="367"/>
      <c r="FKX212" s="367"/>
      <c r="FKY212" s="368" t="s">
        <v>168</v>
      </c>
      <c r="FKZ212" s="369">
        <v>0.5</v>
      </c>
      <c r="FLA212" s="370" t="e">
        <f>10/FKW210</f>
        <v>#DIV/0!</v>
      </c>
      <c r="FLB212" s="371">
        <v>15.38</v>
      </c>
      <c r="FLC212" s="371" t="e">
        <f>FKZ212*FLA212*FLB212</f>
        <v>#DIV/0!</v>
      </c>
      <c r="FLD212" s="367" t="s">
        <v>206</v>
      </c>
      <c r="FLE212" s="367"/>
      <c r="FLF212" s="367"/>
      <c r="FLG212" s="368" t="s">
        <v>168</v>
      </c>
      <c r="FLH212" s="369">
        <v>0.5</v>
      </c>
      <c r="FLI212" s="370" t="e">
        <f>10/FLE210</f>
        <v>#DIV/0!</v>
      </c>
      <c r="FLJ212" s="371">
        <v>15.38</v>
      </c>
      <c r="FLK212" s="371" t="e">
        <f>FLH212*FLI212*FLJ212</f>
        <v>#DIV/0!</v>
      </c>
      <c r="FLL212" s="367" t="s">
        <v>206</v>
      </c>
      <c r="FLM212" s="367"/>
      <c r="FLN212" s="367"/>
      <c r="FLO212" s="368" t="s">
        <v>168</v>
      </c>
      <c r="FLP212" s="369">
        <v>0.5</v>
      </c>
      <c r="FLQ212" s="370" t="e">
        <f>10/FLM210</f>
        <v>#DIV/0!</v>
      </c>
      <c r="FLR212" s="371">
        <v>15.38</v>
      </c>
      <c r="FLS212" s="371" t="e">
        <f>FLP212*FLQ212*FLR212</f>
        <v>#DIV/0!</v>
      </c>
      <c r="FLT212" s="367" t="s">
        <v>206</v>
      </c>
      <c r="FLU212" s="367"/>
      <c r="FLV212" s="367"/>
      <c r="FLW212" s="368" t="s">
        <v>168</v>
      </c>
      <c r="FLX212" s="369">
        <v>0.5</v>
      </c>
      <c r="FLY212" s="370" t="e">
        <f>10/FLU210</f>
        <v>#DIV/0!</v>
      </c>
      <c r="FLZ212" s="371">
        <v>15.38</v>
      </c>
      <c r="FMA212" s="371" t="e">
        <f>FLX212*FLY212*FLZ212</f>
        <v>#DIV/0!</v>
      </c>
      <c r="FMB212" s="367" t="s">
        <v>206</v>
      </c>
      <c r="FMC212" s="367"/>
      <c r="FMD212" s="367"/>
      <c r="FME212" s="368" t="s">
        <v>168</v>
      </c>
      <c r="FMF212" s="369">
        <v>0.5</v>
      </c>
      <c r="FMG212" s="370" t="e">
        <f>10/FMC210</f>
        <v>#DIV/0!</v>
      </c>
      <c r="FMH212" s="371">
        <v>15.38</v>
      </c>
      <c r="FMI212" s="371" t="e">
        <f>FMF212*FMG212*FMH212</f>
        <v>#DIV/0!</v>
      </c>
      <c r="FMJ212" s="367" t="s">
        <v>206</v>
      </c>
      <c r="FMK212" s="367"/>
      <c r="FML212" s="367"/>
      <c r="FMM212" s="368" t="s">
        <v>168</v>
      </c>
      <c r="FMN212" s="369">
        <v>0.5</v>
      </c>
      <c r="FMO212" s="370" t="e">
        <f>10/FMK210</f>
        <v>#DIV/0!</v>
      </c>
      <c r="FMP212" s="371">
        <v>15.38</v>
      </c>
      <c r="FMQ212" s="371" t="e">
        <f>FMN212*FMO212*FMP212</f>
        <v>#DIV/0!</v>
      </c>
      <c r="FMR212" s="367" t="s">
        <v>206</v>
      </c>
      <c r="FMS212" s="367"/>
      <c r="FMT212" s="367"/>
      <c r="FMU212" s="368" t="s">
        <v>168</v>
      </c>
      <c r="FMV212" s="369">
        <v>0.5</v>
      </c>
      <c r="FMW212" s="370" t="e">
        <f>10/FMS210</f>
        <v>#DIV/0!</v>
      </c>
      <c r="FMX212" s="371">
        <v>15.38</v>
      </c>
      <c r="FMY212" s="371" t="e">
        <f>FMV212*FMW212*FMX212</f>
        <v>#DIV/0!</v>
      </c>
      <c r="FMZ212" s="367" t="s">
        <v>206</v>
      </c>
      <c r="FNA212" s="367"/>
      <c r="FNB212" s="367"/>
      <c r="FNC212" s="368" t="s">
        <v>168</v>
      </c>
      <c r="FND212" s="369">
        <v>0.5</v>
      </c>
      <c r="FNE212" s="370" t="e">
        <f>10/FNA210</f>
        <v>#DIV/0!</v>
      </c>
      <c r="FNF212" s="371">
        <v>15.38</v>
      </c>
      <c r="FNG212" s="371" t="e">
        <f>FND212*FNE212*FNF212</f>
        <v>#DIV/0!</v>
      </c>
      <c r="FNH212" s="367" t="s">
        <v>206</v>
      </c>
      <c r="FNI212" s="367"/>
      <c r="FNJ212" s="367"/>
      <c r="FNK212" s="368" t="s">
        <v>168</v>
      </c>
      <c r="FNL212" s="369">
        <v>0.5</v>
      </c>
      <c r="FNM212" s="370" t="e">
        <f>10/FNI210</f>
        <v>#DIV/0!</v>
      </c>
      <c r="FNN212" s="371">
        <v>15.38</v>
      </c>
      <c r="FNO212" s="371" t="e">
        <f>FNL212*FNM212*FNN212</f>
        <v>#DIV/0!</v>
      </c>
      <c r="FNP212" s="367" t="s">
        <v>206</v>
      </c>
      <c r="FNQ212" s="367"/>
      <c r="FNR212" s="367"/>
      <c r="FNS212" s="368" t="s">
        <v>168</v>
      </c>
      <c r="FNT212" s="369">
        <v>0.5</v>
      </c>
      <c r="FNU212" s="370" t="e">
        <f>10/FNQ210</f>
        <v>#DIV/0!</v>
      </c>
      <c r="FNV212" s="371">
        <v>15.38</v>
      </c>
      <c r="FNW212" s="371" t="e">
        <f>FNT212*FNU212*FNV212</f>
        <v>#DIV/0!</v>
      </c>
      <c r="FNX212" s="367" t="s">
        <v>206</v>
      </c>
      <c r="FNY212" s="367"/>
      <c r="FNZ212" s="367"/>
      <c r="FOA212" s="368" t="s">
        <v>168</v>
      </c>
      <c r="FOB212" s="369">
        <v>0.5</v>
      </c>
      <c r="FOC212" s="370" t="e">
        <f>10/FNY210</f>
        <v>#DIV/0!</v>
      </c>
      <c r="FOD212" s="371">
        <v>15.38</v>
      </c>
      <c r="FOE212" s="371" t="e">
        <f>FOB212*FOC212*FOD212</f>
        <v>#DIV/0!</v>
      </c>
      <c r="FOF212" s="367" t="s">
        <v>206</v>
      </c>
      <c r="FOG212" s="367"/>
      <c r="FOH212" s="367"/>
      <c r="FOI212" s="368" t="s">
        <v>168</v>
      </c>
      <c r="FOJ212" s="369">
        <v>0.5</v>
      </c>
      <c r="FOK212" s="370" t="e">
        <f>10/FOG210</f>
        <v>#DIV/0!</v>
      </c>
      <c r="FOL212" s="371">
        <v>15.38</v>
      </c>
      <c r="FOM212" s="371" t="e">
        <f>FOJ212*FOK212*FOL212</f>
        <v>#DIV/0!</v>
      </c>
      <c r="FON212" s="367" t="s">
        <v>206</v>
      </c>
      <c r="FOO212" s="367"/>
      <c r="FOP212" s="367"/>
      <c r="FOQ212" s="368" t="s">
        <v>168</v>
      </c>
      <c r="FOR212" s="369">
        <v>0.5</v>
      </c>
      <c r="FOS212" s="370" t="e">
        <f>10/FOO210</f>
        <v>#DIV/0!</v>
      </c>
      <c r="FOT212" s="371">
        <v>15.38</v>
      </c>
      <c r="FOU212" s="371" t="e">
        <f>FOR212*FOS212*FOT212</f>
        <v>#DIV/0!</v>
      </c>
      <c r="FOV212" s="367" t="s">
        <v>206</v>
      </c>
      <c r="FOW212" s="367"/>
      <c r="FOX212" s="367"/>
      <c r="FOY212" s="368" t="s">
        <v>168</v>
      </c>
      <c r="FOZ212" s="369">
        <v>0.5</v>
      </c>
      <c r="FPA212" s="370" t="e">
        <f>10/FOW210</f>
        <v>#DIV/0!</v>
      </c>
      <c r="FPB212" s="371">
        <v>15.38</v>
      </c>
      <c r="FPC212" s="371" t="e">
        <f>FOZ212*FPA212*FPB212</f>
        <v>#DIV/0!</v>
      </c>
      <c r="FPD212" s="367" t="s">
        <v>206</v>
      </c>
      <c r="FPE212" s="367"/>
      <c r="FPF212" s="367"/>
      <c r="FPG212" s="368" t="s">
        <v>168</v>
      </c>
      <c r="FPH212" s="369">
        <v>0.5</v>
      </c>
      <c r="FPI212" s="370" t="e">
        <f>10/FPE210</f>
        <v>#DIV/0!</v>
      </c>
      <c r="FPJ212" s="371">
        <v>15.38</v>
      </c>
      <c r="FPK212" s="371" t="e">
        <f>FPH212*FPI212*FPJ212</f>
        <v>#DIV/0!</v>
      </c>
      <c r="FPL212" s="367" t="s">
        <v>206</v>
      </c>
      <c r="FPM212" s="367"/>
      <c r="FPN212" s="367"/>
      <c r="FPO212" s="368" t="s">
        <v>168</v>
      </c>
      <c r="FPP212" s="369">
        <v>0.5</v>
      </c>
      <c r="FPQ212" s="370" t="e">
        <f>10/FPM210</f>
        <v>#DIV/0!</v>
      </c>
      <c r="FPR212" s="371">
        <v>15.38</v>
      </c>
      <c r="FPS212" s="371" t="e">
        <f>FPP212*FPQ212*FPR212</f>
        <v>#DIV/0!</v>
      </c>
      <c r="FPT212" s="367" t="s">
        <v>206</v>
      </c>
      <c r="FPU212" s="367"/>
      <c r="FPV212" s="367"/>
      <c r="FPW212" s="368" t="s">
        <v>168</v>
      </c>
      <c r="FPX212" s="369">
        <v>0.5</v>
      </c>
      <c r="FPY212" s="370" t="e">
        <f>10/FPU210</f>
        <v>#DIV/0!</v>
      </c>
      <c r="FPZ212" s="371">
        <v>15.38</v>
      </c>
      <c r="FQA212" s="371" t="e">
        <f>FPX212*FPY212*FPZ212</f>
        <v>#DIV/0!</v>
      </c>
      <c r="FQB212" s="367" t="s">
        <v>206</v>
      </c>
      <c r="FQC212" s="367"/>
      <c r="FQD212" s="367"/>
      <c r="FQE212" s="368" t="s">
        <v>168</v>
      </c>
      <c r="FQF212" s="369">
        <v>0.5</v>
      </c>
      <c r="FQG212" s="370" t="e">
        <f>10/FQC210</f>
        <v>#DIV/0!</v>
      </c>
      <c r="FQH212" s="371">
        <v>15.38</v>
      </c>
      <c r="FQI212" s="371" t="e">
        <f>FQF212*FQG212*FQH212</f>
        <v>#DIV/0!</v>
      </c>
      <c r="FQJ212" s="367" t="s">
        <v>206</v>
      </c>
      <c r="FQK212" s="367"/>
      <c r="FQL212" s="367"/>
      <c r="FQM212" s="368" t="s">
        <v>168</v>
      </c>
      <c r="FQN212" s="369">
        <v>0.5</v>
      </c>
      <c r="FQO212" s="370" t="e">
        <f>10/FQK210</f>
        <v>#DIV/0!</v>
      </c>
      <c r="FQP212" s="371">
        <v>15.38</v>
      </c>
      <c r="FQQ212" s="371" t="e">
        <f>FQN212*FQO212*FQP212</f>
        <v>#DIV/0!</v>
      </c>
      <c r="FQR212" s="367" t="s">
        <v>206</v>
      </c>
      <c r="FQS212" s="367"/>
      <c r="FQT212" s="367"/>
      <c r="FQU212" s="368" t="s">
        <v>168</v>
      </c>
      <c r="FQV212" s="369">
        <v>0.5</v>
      </c>
      <c r="FQW212" s="370" t="e">
        <f>10/FQS210</f>
        <v>#DIV/0!</v>
      </c>
      <c r="FQX212" s="371">
        <v>15.38</v>
      </c>
      <c r="FQY212" s="371" t="e">
        <f>FQV212*FQW212*FQX212</f>
        <v>#DIV/0!</v>
      </c>
      <c r="FQZ212" s="367" t="s">
        <v>206</v>
      </c>
      <c r="FRA212" s="367"/>
      <c r="FRB212" s="367"/>
      <c r="FRC212" s="368" t="s">
        <v>168</v>
      </c>
      <c r="FRD212" s="369">
        <v>0.5</v>
      </c>
      <c r="FRE212" s="370" t="e">
        <f>10/FRA210</f>
        <v>#DIV/0!</v>
      </c>
      <c r="FRF212" s="371">
        <v>15.38</v>
      </c>
      <c r="FRG212" s="371" t="e">
        <f>FRD212*FRE212*FRF212</f>
        <v>#DIV/0!</v>
      </c>
      <c r="FRH212" s="367" t="s">
        <v>206</v>
      </c>
      <c r="FRI212" s="367"/>
      <c r="FRJ212" s="367"/>
      <c r="FRK212" s="368" t="s">
        <v>168</v>
      </c>
      <c r="FRL212" s="369">
        <v>0.5</v>
      </c>
      <c r="FRM212" s="370" t="e">
        <f>10/FRI210</f>
        <v>#DIV/0!</v>
      </c>
      <c r="FRN212" s="371">
        <v>15.38</v>
      </c>
      <c r="FRO212" s="371" t="e">
        <f>FRL212*FRM212*FRN212</f>
        <v>#DIV/0!</v>
      </c>
      <c r="FRP212" s="367" t="s">
        <v>206</v>
      </c>
      <c r="FRQ212" s="367"/>
      <c r="FRR212" s="367"/>
      <c r="FRS212" s="368" t="s">
        <v>168</v>
      </c>
      <c r="FRT212" s="369">
        <v>0.5</v>
      </c>
      <c r="FRU212" s="370" t="e">
        <f>10/FRQ210</f>
        <v>#DIV/0!</v>
      </c>
      <c r="FRV212" s="371">
        <v>15.38</v>
      </c>
      <c r="FRW212" s="371" t="e">
        <f>FRT212*FRU212*FRV212</f>
        <v>#DIV/0!</v>
      </c>
      <c r="FRX212" s="367" t="s">
        <v>206</v>
      </c>
      <c r="FRY212" s="367"/>
      <c r="FRZ212" s="367"/>
      <c r="FSA212" s="368" t="s">
        <v>168</v>
      </c>
      <c r="FSB212" s="369">
        <v>0.5</v>
      </c>
      <c r="FSC212" s="370" t="e">
        <f>10/FRY210</f>
        <v>#DIV/0!</v>
      </c>
      <c r="FSD212" s="371">
        <v>15.38</v>
      </c>
      <c r="FSE212" s="371" t="e">
        <f>FSB212*FSC212*FSD212</f>
        <v>#DIV/0!</v>
      </c>
      <c r="FSF212" s="367" t="s">
        <v>206</v>
      </c>
      <c r="FSG212" s="367"/>
      <c r="FSH212" s="367"/>
      <c r="FSI212" s="368" t="s">
        <v>168</v>
      </c>
      <c r="FSJ212" s="369">
        <v>0.5</v>
      </c>
      <c r="FSK212" s="370" t="e">
        <f>10/FSG210</f>
        <v>#DIV/0!</v>
      </c>
      <c r="FSL212" s="371">
        <v>15.38</v>
      </c>
      <c r="FSM212" s="371" t="e">
        <f>FSJ212*FSK212*FSL212</f>
        <v>#DIV/0!</v>
      </c>
      <c r="FSN212" s="367" t="s">
        <v>206</v>
      </c>
      <c r="FSO212" s="367"/>
      <c r="FSP212" s="367"/>
      <c r="FSQ212" s="368" t="s">
        <v>168</v>
      </c>
      <c r="FSR212" s="369">
        <v>0.5</v>
      </c>
      <c r="FSS212" s="370" t="e">
        <f>10/FSO210</f>
        <v>#DIV/0!</v>
      </c>
      <c r="FST212" s="371">
        <v>15.38</v>
      </c>
      <c r="FSU212" s="371" t="e">
        <f>FSR212*FSS212*FST212</f>
        <v>#DIV/0!</v>
      </c>
      <c r="FSV212" s="367" t="s">
        <v>206</v>
      </c>
      <c r="FSW212" s="367"/>
      <c r="FSX212" s="367"/>
      <c r="FSY212" s="368" t="s">
        <v>168</v>
      </c>
      <c r="FSZ212" s="369">
        <v>0.5</v>
      </c>
      <c r="FTA212" s="370" t="e">
        <f>10/FSW210</f>
        <v>#DIV/0!</v>
      </c>
      <c r="FTB212" s="371">
        <v>15.38</v>
      </c>
      <c r="FTC212" s="371" t="e">
        <f>FSZ212*FTA212*FTB212</f>
        <v>#DIV/0!</v>
      </c>
      <c r="FTD212" s="367" t="s">
        <v>206</v>
      </c>
      <c r="FTE212" s="367"/>
      <c r="FTF212" s="367"/>
      <c r="FTG212" s="368" t="s">
        <v>168</v>
      </c>
      <c r="FTH212" s="369">
        <v>0.5</v>
      </c>
      <c r="FTI212" s="370" t="e">
        <f>10/FTE210</f>
        <v>#DIV/0!</v>
      </c>
      <c r="FTJ212" s="371">
        <v>15.38</v>
      </c>
      <c r="FTK212" s="371" t="e">
        <f>FTH212*FTI212*FTJ212</f>
        <v>#DIV/0!</v>
      </c>
      <c r="FTL212" s="367" t="s">
        <v>206</v>
      </c>
      <c r="FTM212" s="367"/>
      <c r="FTN212" s="367"/>
      <c r="FTO212" s="368" t="s">
        <v>168</v>
      </c>
      <c r="FTP212" s="369">
        <v>0.5</v>
      </c>
      <c r="FTQ212" s="370" t="e">
        <f>10/FTM210</f>
        <v>#DIV/0!</v>
      </c>
      <c r="FTR212" s="371">
        <v>15.38</v>
      </c>
      <c r="FTS212" s="371" t="e">
        <f>FTP212*FTQ212*FTR212</f>
        <v>#DIV/0!</v>
      </c>
      <c r="FTT212" s="367" t="s">
        <v>206</v>
      </c>
      <c r="FTU212" s="367"/>
      <c r="FTV212" s="367"/>
      <c r="FTW212" s="368" t="s">
        <v>168</v>
      </c>
      <c r="FTX212" s="369">
        <v>0.5</v>
      </c>
      <c r="FTY212" s="370" t="e">
        <f>10/FTU210</f>
        <v>#DIV/0!</v>
      </c>
      <c r="FTZ212" s="371">
        <v>15.38</v>
      </c>
      <c r="FUA212" s="371" t="e">
        <f>FTX212*FTY212*FTZ212</f>
        <v>#DIV/0!</v>
      </c>
      <c r="FUB212" s="367" t="s">
        <v>206</v>
      </c>
      <c r="FUC212" s="367"/>
      <c r="FUD212" s="367"/>
      <c r="FUE212" s="368" t="s">
        <v>168</v>
      </c>
      <c r="FUF212" s="369">
        <v>0.5</v>
      </c>
      <c r="FUG212" s="370" t="e">
        <f>10/FUC210</f>
        <v>#DIV/0!</v>
      </c>
      <c r="FUH212" s="371">
        <v>15.38</v>
      </c>
      <c r="FUI212" s="371" t="e">
        <f>FUF212*FUG212*FUH212</f>
        <v>#DIV/0!</v>
      </c>
      <c r="FUJ212" s="367" t="s">
        <v>206</v>
      </c>
      <c r="FUK212" s="367"/>
      <c r="FUL212" s="367"/>
      <c r="FUM212" s="368" t="s">
        <v>168</v>
      </c>
      <c r="FUN212" s="369">
        <v>0.5</v>
      </c>
      <c r="FUO212" s="370" t="e">
        <f>10/FUK210</f>
        <v>#DIV/0!</v>
      </c>
      <c r="FUP212" s="371">
        <v>15.38</v>
      </c>
      <c r="FUQ212" s="371" t="e">
        <f>FUN212*FUO212*FUP212</f>
        <v>#DIV/0!</v>
      </c>
      <c r="FUR212" s="367" t="s">
        <v>206</v>
      </c>
      <c r="FUS212" s="367"/>
      <c r="FUT212" s="367"/>
      <c r="FUU212" s="368" t="s">
        <v>168</v>
      </c>
      <c r="FUV212" s="369">
        <v>0.5</v>
      </c>
      <c r="FUW212" s="370" t="e">
        <f>10/FUS210</f>
        <v>#DIV/0!</v>
      </c>
      <c r="FUX212" s="371">
        <v>15.38</v>
      </c>
      <c r="FUY212" s="371" t="e">
        <f>FUV212*FUW212*FUX212</f>
        <v>#DIV/0!</v>
      </c>
      <c r="FUZ212" s="367" t="s">
        <v>206</v>
      </c>
      <c r="FVA212" s="367"/>
      <c r="FVB212" s="367"/>
      <c r="FVC212" s="368" t="s">
        <v>168</v>
      </c>
      <c r="FVD212" s="369">
        <v>0.5</v>
      </c>
      <c r="FVE212" s="370" t="e">
        <f>10/FVA210</f>
        <v>#DIV/0!</v>
      </c>
      <c r="FVF212" s="371">
        <v>15.38</v>
      </c>
      <c r="FVG212" s="371" t="e">
        <f>FVD212*FVE212*FVF212</f>
        <v>#DIV/0!</v>
      </c>
      <c r="FVH212" s="367" t="s">
        <v>206</v>
      </c>
      <c r="FVI212" s="367"/>
      <c r="FVJ212" s="367"/>
      <c r="FVK212" s="368" t="s">
        <v>168</v>
      </c>
      <c r="FVL212" s="369">
        <v>0.5</v>
      </c>
      <c r="FVM212" s="370" t="e">
        <f>10/FVI210</f>
        <v>#DIV/0!</v>
      </c>
      <c r="FVN212" s="371">
        <v>15.38</v>
      </c>
      <c r="FVO212" s="371" t="e">
        <f>FVL212*FVM212*FVN212</f>
        <v>#DIV/0!</v>
      </c>
      <c r="FVP212" s="367" t="s">
        <v>206</v>
      </c>
      <c r="FVQ212" s="367"/>
      <c r="FVR212" s="367"/>
      <c r="FVS212" s="368" t="s">
        <v>168</v>
      </c>
      <c r="FVT212" s="369">
        <v>0.5</v>
      </c>
      <c r="FVU212" s="370" t="e">
        <f>10/FVQ210</f>
        <v>#DIV/0!</v>
      </c>
      <c r="FVV212" s="371">
        <v>15.38</v>
      </c>
      <c r="FVW212" s="371" t="e">
        <f>FVT212*FVU212*FVV212</f>
        <v>#DIV/0!</v>
      </c>
      <c r="FVX212" s="367" t="s">
        <v>206</v>
      </c>
      <c r="FVY212" s="367"/>
      <c r="FVZ212" s="367"/>
      <c r="FWA212" s="368" t="s">
        <v>168</v>
      </c>
      <c r="FWB212" s="369">
        <v>0.5</v>
      </c>
      <c r="FWC212" s="370" t="e">
        <f>10/FVY210</f>
        <v>#DIV/0!</v>
      </c>
      <c r="FWD212" s="371">
        <v>15.38</v>
      </c>
      <c r="FWE212" s="371" t="e">
        <f>FWB212*FWC212*FWD212</f>
        <v>#DIV/0!</v>
      </c>
      <c r="FWF212" s="367" t="s">
        <v>206</v>
      </c>
      <c r="FWG212" s="367"/>
      <c r="FWH212" s="367"/>
      <c r="FWI212" s="368" t="s">
        <v>168</v>
      </c>
      <c r="FWJ212" s="369">
        <v>0.5</v>
      </c>
      <c r="FWK212" s="370" t="e">
        <f>10/FWG210</f>
        <v>#DIV/0!</v>
      </c>
      <c r="FWL212" s="371">
        <v>15.38</v>
      </c>
      <c r="FWM212" s="371" t="e">
        <f>FWJ212*FWK212*FWL212</f>
        <v>#DIV/0!</v>
      </c>
      <c r="FWN212" s="367" t="s">
        <v>206</v>
      </c>
      <c r="FWO212" s="367"/>
      <c r="FWP212" s="367"/>
      <c r="FWQ212" s="368" t="s">
        <v>168</v>
      </c>
      <c r="FWR212" s="369">
        <v>0.5</v>
      </c>
      <c r="FWS212" s="370" t="e">
        <f>10/FWO210</f>
        <v>#DIV/0!</v>
      </c>
      <c r="FWT212" s="371">
        <v>15.38</v>
      </c>
      <c r="FWU212" s="371" t="e">
        <f>FWR212*FWS212*FWT212</f>
        <v>#DIV/0!</v>
      </c>
      <c r="FWV212" s="367" t="s">
        <v>206</v>
      </c>
      <c r="FWW212" s="367"/>
      <c r="FWX212" s="367"/>
      <c r="FWY212" s="368" t="s">
        <v>168</v>
      </c>
      <c r="FWZ212" s="369">
        <v>0.5</v>
      </c>
      <c r="FXA212" s="370" t="e">
        <f>10/FWW210</f>
        <v>#DIV/0!</v>
      </c>
      <c r="FXB212" s="371">
        <v>15.38</v>
      </c>
      <c r="FXC212" s="371" t="e">
        <f>FWZ212*FXA212*FXB212</f>
        <v>#DIV/0!</v>
      </c>
      <c r="FXD212" s="367" t="s">
        <v>206</v>
      </c>
      <c r="FXE212" s="367"/>
      <c r="FXF212" s="367"/>
      <c r="FXG212" s="368" t="s">
        <v>168</v>
      </c>
      <c r="FXH212" s="369">
        <v>0.5</v>
      </c>
      <c r="FXI212" s="370" t="e">
        <f>10/FXE210</f>
        <v>#DIV/0!</v>
      </c>
      <c r="FXJ212" s="371">
        <v>15.38</v>
      </c>
      <c r="FXK212" s="371" t="e">
        <f>FXH212*FXI212*FXJ212</f>
        <v>#DIV/0!</v>
      </c>
      <c r="FXL212" s="367" t="s">
        <v>206</v>
      </c>
      <c r="FXM212" s="367"/>
      <c r="FXN212" s="367"/>
      <c r="FXO212" s="368" t="s">
        <v>168</v>
      </c>
      <c r="FXP212" s="369">
        <v>0.5</v>
      </c>
      <c r="FXQ212" s="370" t="e">
        <f>10/FXM210</f>
        <v>#DIV/0!</v>
      </c>
      <c r="FXR212" s="371">
        <v>15.38</v>
      </c>
      <c r="FXS212" s="371" t="e">
        <f>FXP212*FXQ212*FXR212</f>
        <v>#DIV/0!</v>
      </c>
      <c r="FXT212" s="367" t="s">
        <v>206</v>
      </c>
      <c r="FXU212" s="367"/>
      <c r="FXV212" s="367"/>
      <c r="FXW212" s="368" t="s">
        <v>168</v>
      </c>
      <c r="FXX212" s="369">
        <v>0.5</v>
      </c>
      <c r="FXY212" s="370" t="e">
        <f>10/FXU210</f>
        <v>#DIV/0!</v>
      </c>
      <c r="FXZ212" s="371">
        <v>15.38</v>
      </c>
      <c r="FYA212" s="371" t="e">
        <f>FXX212*FXY212*FXZ212</f>
        <v>#DIV/0!</v>
      </c>
      <c r="FYB212" s="367" t="s">
        <v>206</v>
      </c>
      <c r="FYC212" s="367"/>
      <c r="FYD212" s="367"/>
      <c r="FYE212" s="368" t="s">
        <v>168</v>
      </c>
      <c r="FYF212" s="369">
        <v>0.5</v>
      </c>
      <c r="FYG212" s="370" t="e">
        <f>10/FYC210</f>
        <v>#DIV/0!</v>
      </c>
      <c r="FYH212" s="371">
        <v>15.38</v>
      </c>
      <c r="FYI212" s="371" t="e">
        <f>FYF212*FYG212*FYH212</f>
        <v>#DIV/0!</v>
      </c>
      <c r="FYJ212" s="367" t="s">
        <v>206</v>
      </c>
      <c r="FYK212" s="367"/>
      <c r="FYL212" s="367"/>
      <c r="FYM212" s="368" t="s">
        <v>168</v>
      </c>
      <c r="FYN212" s="369">
        <v>0.5</v>
      </c>
      <c r="FYO212" s="370" t="e">
        <f>10/FYK210</f>
        <v>#DIV/0!</v>
      </c>
      <c r="FYP212" s="371">
        <v>15.38</v>
      </c>
      <c r="FYQ212" s="371" t="e">
        <f>FYN212*FYO212*FYP212</f>
        <v>#DIV/0!</v>
      </c>
      <c r="FYR212" s="367" t="s">
        <v>206</v>
      </c>
      <c r="FYS212" s="367"/>
      <c r="FYT212" s="367"/>
      <c r="FYU212" s="368" t="s">
        <v>168</v>
      </c>
      <c r="FYV212" s="369">
        <v>0.5</v>
      </c>
      <c r="FYW212" s="370" t="e">
        <f>10/FYS210</f>
        <v>#DIV/0!</v>
      </c>
      <c r="FYX212" s="371">
        <v>15.38</v>
      </c>
      <c r="FYY212" s="371" t="e">
        <f>FYV212*FYW212*FYX212</f>
        <v>#DIV/0!</v>
      </c>
      <c r="FYZ212" s="367" t="s">
        <v>206</v>
      </c>
      <c r="FZA212" s="367"/>
      <c r="FZB212" s="367"/>
      <c r="FZC212" s="368" t="s">
        <v>168</v>
      </c>
      <c r="FZD212" s="369">
        <v>0.5</v>
      </c>
      <c r="FZE212" s="370" t="e">
        <f>10/FZA210</f>
        <v>#DIV/0!</v>
      </c>
      <c r="FZF212" s="371">
        <v>15.38</v>
      </c>
      <c r="FZG212" s="371" t="e">
        <f>FZD212*FZE212*FZF212</f>
        <v>#DIV/0!</v>
      </c>
      <c r="FZH212" s="367" t="s">
        <v>206</v>
      </c>
      <c r="FZI212" s="367"/>
      <c r="FZJ212" s="367"/>
      <c r="FZK212" s="368" t="s">
        <v>168</v>
      </c>
      <c r="FZL212" s="369">
        <v>0.5</v>
      </c>
      <c r="FZM212" s="370" t="e">
        <f>10/FZI210</f>
        <v>#DIV/0!</v>
      </c>
      <c r="FZN212" s="371">
        <v>15.38</v>
      </c>
      <c r="FZO212" s="371" t="e">
        <f>FZL212*FZM212*FZN212</f>
        <v>#DIV/0!</v>
      </c>
      <c r="FZP212" s="367" t="s">
        <v>206</v>
      </c>
      <c r="FZQ212" s="367"/>
      <c r="FZR212" s="367"/>
      <c r="FZS212" s="368" t="s">
        <v>168</v>
      </c>
      <c r="FZT212" s="369">
        <v>0.5</v>
      </c>
      <c r="FZU212" s="370" t="e">
        <f>10/FZQ210</f>
        <v>#DIV/0!</v>
      </c>
      <c r="FZV212" s="371">
        <v>15.38</v>
      </c>
      <c r="FZW212" s="371" t="e">
        <f>FZT212*FZU212*FZV212</f>
        <v>#DIV/0!</v>
      </c>
      <c r="FZX212" s="367" t="s">
        <v>206</v>
      </c>
      <c r="FZY212" s="367"/>
      <c r="FZZ212" s="367"/>
      <c r="GAA212" s="368" t="s">
        <v>168</v>
      </c>
      <c r="GAB212" s="369">
        <v>0.5</v>
      </c>
      <c r="GAC212" s="370" t="e">
        <f>10/FZY210</f>
        <v>#DIV/0!</v>
      </c>
      <c r="GAD212" s="371">
        <v>15.38</v>
      </c>
      <c r="GAE212" s="371" t="e">
        <f>GAB212*GAC212*GAD212</f>
        <v>#DIV/0!</v>
      </c>
      <c r="GAF212" s="367" t="s">
        <v>206</v>
      </c>
      <c r="GAG212" s="367"/>
      <c r="GAH212" s="367"/>
      <c r="GAI212" s="368" t="s">
        <v>168</v>
      </c>
      <c r="GAJ212" s="369">
        <v>0.5</v>
      </c>
      <c r="GAK212" s="370" t="e">
        <f>10/GAG210</f>
        <v>#DIV/0!</v>
      </c>
      <c r="GAL212" s="371">
        <v>15.38</v>
      </c>
      <c r="GAM212" s="371" t="e">
        <f>GAJ212*GAK212*GAL212</f>
        <v>#DIV/0!</v>
      </c>
      <c r="GAN212" s="367" t="s">
        <v>206</v>
      </c>
      <c r="GAO212" s="367"/>
      <c r="GAP212" s="367"/>
      <c r="GAQ212" s="368" t="s">
        <v>168</v>
      </c>
      <c r="GAR212" s="369">
        <v>0.5</v>
      </c>
      <c r="GAS212" s="370" t="e">
        <f>10/GAO210</f>
        <v>#DIV/0!</v>
      </c>
      <c r="GAT212" s="371">
        <v>15.38</v>
      </c>
      <c r="GAU212" s="371" t="e">
        <f>GAR212*GAS212*GAT212</f>
        <v>#DIV/0!</v>
      </c>
      <c r="GAV212" s="367" t="s">
        <v>206</v>
      </c>
      <c r="GAW212" s="367"/>
      <c r="GAX212" s="367"/>
      <c r="GAY212" s="368" t="s">
        <v>168</v>
      </c>
      <c r="GAZ212" s="369">
        <v>0.5</v>
      </c>
      <c r="GBA212" s="370" t="e">
        <f>10/GAW210</f>
        <v>#DIV/0!</v>
      </c>
      <c r="GBB212" s="371">
        <v>15.38</v>
      </c>
      <c r="GBC212" s="371" t="e">
        <f>GAZ212*GBA212*GBB212</f>
        <v>#DIV/0!</v>
      </c>
      <c r="GBD212" s="367" t="s">
        <v>206</v>
      </c>
      <c r="GBE212" s="367"/>
      <c r="GBF212" s="367"/>
      <c r="GBG212" s="368" t="s">
        <v>168</v>
      </c>
      <c r="GBH212" s="369">
        <v>0.5</v>
      </c>
      <c r="GBI212" s="370" t="e">
        <f>10/GBE210</f>
        <v>#DIV/0!</v>
      </c>
      <c r="GBJ212" s="371">
        <v>15.38</v>
      </c>
      <c r="GBK212" s="371" t="e">
        <f>GBH212*GBI212*GBJ212</f>
        <v>#DIV/0!</v>
      </c>
      <c r="GBL212" s="367" t="s">
        <v>206</v>
      </c>
      <c r="GBM212" s="367"/>
      <c r="GBN212" s="367"/>
      <c r="GBO212" s="368" t="s">
        <v>168</v>
      </c>
      <c r="GBP212" s="369">
        <v>0.5</v>
      </c>
      <c r="GBQ212" s="370" t="e">
        <f>10/GBM210</f>
        <v>#DIV/0!</v>
      </c>
      <c r="GBR212" s="371">
        <v>15.38</v>
      </c>
      <c r="GBS212" s="371" t="e">
        <f>GBP212*GBQ212*GBR212</f>
        <v>#DIV/0!</v>
      </c>
      <c r="GBT212" s="367" t="s">
        <v>206</v>
      </c>
      <c r="GBU212" s="367"/>
      <c r="GBV212" s="367"/>
      <c r="GBW212" s="368" t="s">
        <v>168</v>
      </c>
      <c r="GBX212" s="369">
        <v>0.5</v>
      </c>
      <c r="GBY212" s="370" t="e">
        <f>10/GBU210</f>
        <v>#DIV/0!</v>
      </c>
      <c r="GBZ212" s="371">
        <v>15.38</v>
      </c>
      <c r="GCA212" s="371" t="e">
        <f>GBX212*GBY212*GBZ212</f>
        <v>#DIV/0!</v>
      </c>
      <c r="GCB212" s="367" t="s">
        <v>206</v>
      </c>
      <c r="GCC212" s="367"/>
      <c r="GCD212" s="367"/>
      <c r="GCE212" s="368" t="s">
        <v>168</v>
      </c>
      <c r="GCF212" s="369">
        <v>0.5</v>
      </c>
      <c r="GCG212" s="370" t="e">
        <f>10/GCC210</f>
        <v>#DIV/0!</v>
      </c>
      <c r="GCH212" s="371">
        <v>15.38</v>
      </c>
      <c r="GCI212" s="371" t="e">
        <f>GCF212*GCG212*GCH212</f>
        <v>#DIV/0!</v>
      </c>
      <c r="GCJ212" s="367" t="s">
        <v>206</v>
      </c>
      <c r="GCK212" s="367"/>
      <c r="GCL212" s="367"/>
      <c r="GCM212" s="368" t="s">
        <v>168</v>
      </c>
      <c r="GCN212" s="369">
        <v>0.5</v>
      </c>
      <c r="GCO212" s="370" t="e">
        <f>10/GCK210</f>
        <v>#DIV/0!</v>
      </c>
      <c r="GCP212" s="371">
        <v>15.38</v>
      </c>
      <c r="GCQ212" s="371" t="e">
        <f>GCN212*GCO212*GCP212</f>
        <v>#DIV/0!</v>
      </c>
      <c r="GCR212" s="367" t="s">
        <v>206</v>
      </c>
      <c r="GCS212" s="367"/>
      <c r="GCT212" s="367"/>
      <c r="GCU212" s="368" t="s">
        <v>168</v>
      </c>
      <c r="GCV212" s="369">
        <v>0.5</v>
      </c>
      <c r="GCW212" s="370" t="e">
        <f>10/GCS210</f>
        <v>#DIV/0!</v>
      </c>
      <c r="GCX212" s="371">
        <v>15.38</v>
      </c>
      <c r="GCY212" s="371" t="e">
        <f>GCV212*GCW212*GCX212</f>
        <v>#DIV/0!</v>
      </c>
      <c r="GCZ212" s="367" t="s">
        <v>206</v>
      </c>
      <c r="GDA212" s="367"/>
      <c r="GDB212" s="367"/>
      <c r="GDC212" s="368" t="s">
        <v>168</v>
      </c>
      <c r="GDD212" s="369">
        <v>0.5</v>
      </c>
      <c r="GDE212" s="370" t="e">
        <f>10/GDA210</f>
        <v>#DIV/0!</v>
      </c>
      <c r="GDF212" s="371">
        <v>15.38</v>
      </c>
      <c r="GDG212" s="371" t="e">
        <f>GDD212*GDE212*GDF212</f>
        <v>#DIV/0!</v>
      </c>
      <c r="GDH212" s="367" t="s">
        <v>206</v>
      </c>
      <c r="GDI212" s="367"/>
      <c r="GDJ212" s="367"/>
      <c r="GDK212" s="368" t="s">
        <v>168</v>
      </c>
      <c r="GDL212" s="369">
        <v>0.5</v>
      </c>
      <c r="GDM212" s="370" t="e">
        <f>10/GDI210</f>
        <v>#DIV/0!</v>
      </c>
      <c r="GDN212" s="371">
        <v>15.38</v>
      </c>
      <c r="GDO212" s="371" t="e">
        <f>GDL212*GDM212*GDN212</f>
        <v>#DIV/0!</v>
      </c>
      <c r="GDP212" s="367" t="s">
        <v>206</v>
      </c>
      <c r="GDQ212" s="367"/>
      <c r="GDR212" s="367"/>
      <c r="GDS212" s="368" t="s">
        <v>168</v>
      </c>
      <c r="GDT212" s="369">
        <v>0.5</v>
      </c>
      <c r="GDU212" s="370" t="e">
        <f>10/GDQ210</f>
        <v>#DIV/0!</v>
      </c>
      <c r="GDV212" s="371">
        <v>15.38</v>
      </c>
      <c r="GDW212" s="371" t="e">
        <f>GDT212*GDU212*GDV212</f>
        <v>#DIV/0!</v>
      </c>
      <c r="GDX212" s="367" t="s">
        <v>206</v>
      </c>
      <c r="GDY212" s="367"/>
      <c r="GDZ212" s="367"/>
      <c r="GEA212" s="368" t="s">
        <v>168</v>
      </c>
      <c r="GEB212" s="369">
        <v>0.5</v>
      </c>
      <c r="GEC212" s="370" t="e">
        <f>10/GDY210</f>
        <v>#DIV/0!</v>
      </c>
      <c r="GED212" s="371">
        <v>15.38</v>
      </c>
      <c r="GEE212" s="371" t="e">
        <f>GEB212*GEC212*GED212</f>
        <v>#DIV/0!</v>
      </c>
      <c r="GEF212" s="367" t="s">
        <v>206</v>
      </c>
      <c r="GEG212" s="367"/>
      <c r="GEH212" s="367"/>
      <c r="GEI212" s="368" t="s">
        <v>168</v>
      </c>
      <c r="GEJ212" s="369">
        <v>0.5</v>
      </c>
      <c r="GEK212" s="370" t="e">
        <f>10/GEG210</f>
        <v>#DIV/0!</v>
      </c>
      <c r="GEL212" s="371">
        <v>15.38</v>
      </c>
      <c r="GEM212" s="371" t="e">
        <f>GEJ212*GEK212*GEL212</f>
        <v>#DIV/0!</v>
      </c>
      <c r="GEN212" s="367" t="s">
        <v>206</v>
      </c>
      <c r="GEO212" s="367"/>
      <c r="GEP212" s="367"/>
      <c r="GEQ212" s="368" t="s">
        <v>168</v>
      </c>
      <c r="GER212" s="369">
        <v>0.5</v>
      </c>
      <c r="GES212" s="370" t="e">
        <f>10/GEO210</f>
        <v>#DIV/0!</v>
      </c>
      <c r="GET212" s="371">
        <v>15.38</v>
      </c>
      <c r="GEU212" s="371" t="e">
        <f>GER212*GES212*GET212</f>
        <v>#DIV/0!</v>
      </c>
      <c r="GEV212" s="367" t="s">
        <v>206</v>
      </c>
      <c r="GEW212" s="367"/>
      <c r="GEX212" s="367"/>
      <c r="GEY212" s="368" t="s">
        <v>168</v>
      </c>
      <c r="GEZ212" s="369">
        <v>0.5</v>
      </c>
      <c r="GFA212" s="370" t="e">
        <f>10/GEW210</f>
        <v>#DIV/0!</v>
      </c>
      <c r="GFB212" s="371">
        <v>15.38</v>
      </c>
      <c r="GFC212" s="371" t="e">
        <f>GEZ212*GFA212*GFB212</f>
        <v>#DIV/0!</v>
      </c>
      <c r="GFD212" s="367" t="s">
        <v>206</v>
      </c>
      <c r="GFE212" s="367"/>
      <c r="GFF212" s="367"/>
      <c r="GFG212" s="368" t="s">
        <v>168</v>
      </c>
      <c r="GFH212" s="369">
        <v>0.5</v>
      </c>
      <c r="GFI212" s="370" t="e">
        <f>10/GFE210</f>
        <v>#DIV/0!</v>
      </c>
      <c r="GFJ212" s="371">
        <v>15.38</v>
      </c>
      <c r="GFK212" s="371" t="e">
        <f>GFH212*GFI212*GFJ212</f>
        <v>#DIV/0!</v>
      </c>
      <c r="GFL212" s="367" t="s">
        <v>206</v>
      </c>
      <c r="GFM212" s="367"/>
      <c r="GFN212" s="367"/>
      <c r="GFO212" s="368" t="s">
        <v>168</v>
      </c>
      <c r="GFP212" s="369">
        <v>0.5</v>
      </c>
      <c r="GFQ212" s="370" t="e">
        <f>10/GFM210</f>
        <v>#DIV/0!</v>
      </c>
      <c r="GFR212" s="371">
        <v>15.38</v>
      </c>
      <c r="GFS212" s="371" t="e">
        <f>GFP212*GFQ212*GFR212</f>
        <v>#DIV/0!</v>
      </c>
      <c r="GFT212" s="367" t="s">
        <v>206</v>
      </c>
      <c r="GFU212" s="367"/>
      <c r="GFV212" s="367"/>
      <c r="GFW212" s="368" t="s">
        <v>168</v>
      </c>
      <c r="GFX212" s="369">
        <v>0.5</v>
      </c>
      <c r="GFY212" s="370" t="e">
        <f>10/GFU210</f>
        <v>#DIV/0!</v>
      </c>
      <c r="GFZ212" s="371">
        <v>15.38</v>
      </c>
      <c r="GGA212" s="371" t="e">
        <f>GFX212*GFY212*GFZ212</f>
        <v>#DIV/0!</v>
      </c>
      <c r="GGB212" s="367" t="s">
        <v>206</v>
      </c>
      <c r="GGC212" s="367"/>
      <c r="GGD212" s="367"/>
      <c r="GGE212" s="368" t="s">
        <v>168</v>
      </c>
      <c r="GGF212" s="369">
        <v>0.5</v>
      </c>
      <c r="GGG212" s="370" t="e">
        <f>10/GGC210</f>
        <v>#DIV/0!</v>
      </c>
      <c r="GGH212" s="371">
        <v>15.38</v>
      </c>
      <c r="GGI212" s="371" t="e">
        <f>GGF212*GGG212*GGH212</f>
        <v>#DIV/0!</v>
      </c>
      <c r="GGJ212" s="367" t="s">
        <v>206</v>
      </c>
      <c r="GGK212" s="367"/>
      <c r="GGL212" s="367"/>
      <c r="GGM212" s="368" t="s">
        <v>168</v>
      </c>
      <c r="GGN212" s="369">
        <v>0.5</v>
      </c>
      <c r="GGO212" s="370" t="e">
        <f>10/GGK210</f>
        <v>#DIV/0!</v>
      </c>
      <c r="GGP212" s="371">
        <v>15.38</v>
      </c>
      <c r="GGQ212" s="371" t="e">
        <f>GGN212*GGO212*GGP212</f>
        <v>#DIV/0!</v>
      </c>
      <c r="GGR212" s="367" t="s">
        <v>206</v>
      </c>
      <c r="GGS212" s="367"/>
      <c r="GGT212" s="367"/>
      <c r="GGU212" s="368" t="s">
        <v>168</v>
      </c>
      <c r="GGV212" s="369">
        <v>0.5</v>
      </c>
      <c r="GGW212" s="370" t="e">
        <f>10/GGS210</f>
        <v>#DIV/0!</v>
      </c>
      <c r="GGX212" s="371">
        <v>15.38</v>
      </c>
      <c r="GGY212" s="371" t="e">
        <f>GGV212*GGW212*GGX212</f>
        <v>#DIV/0!</v>
      </c>
      <c r="GGZ212" s="367" t="s">
        <v>206</v>
      </c>
      <c r="GHA212" s="367"/>
      <c r="GHB212" s="367"/>
      <c r="GHC212" s="368" t="s">
        <v>168</v>
      </c>
      <c r="GHD212" s="369">
        <v>0.5</v>
      </c>
      <c r="GHE212" s="370" t="e">
        <f>10/GHA210</f>
        <v>#DIV/0!</v>
      </c>
      <c r="GHF212" s="371">
        <v>15.38</v>
      </c>
      <c r="GHG212" s="371" t="e">
        <f>GHD212*GHE212*GHF212</f>
        <v>#DIV/0!</v>
      </c>
      <c r="GHH212" s="367" t="s">
        <v>206</v>
      </c>
      <c r="GHI212" s="367"/>
      <c r="GHJ212" s="367"/>
      <c r="GHK212" s="368" t="s">
        <v>168</v>
      </c>
      <c r="GHL212" s="369">
        <v>0.5</v>
      </c>
      <c r="GHM212" s="370" t="e">
        <f>10/GHI210</f>
        <v>#DIV/0!</v>
      </c>
      <c r="GHN212" s="371">
        <v>15.38</v>
      </c>
      <c r="GHO212" s="371" t="e">
        <f>GHL212*GHM212*GHN212</f>
        <v>#DIV/0!</v>
      </c>
      <c r="GHP212" s="367" t="s">
        <v>206</v>
      </c>
      <c r="GHQ212" s="367"/>
      <c r="GHR212" s="367"/>
      <c r="GHS212" s="368" t="s">
        <v>168</v>
      </c>
      <c r="GHT212" s="369">
        <v>0.5</v>
      </c>
      <c r="GHU212" s="370" t="e">
        <f>10/GHQ210</f>
        <v>#DIV/0!</v>
      </c>
      <c r="GHV212" s="371">
        <v>15.38</v>
      </c>
      <c r="GHW212" s="371" t="e">
        <f>GHT212*GHU212*GHV212</f>
        <v>#DIV/0!</v>
      </c>
      <c r="GHX212" s="367" t="s">
        <v>206</v>
      </c>
      <c r="GHY212" s="367"/>
      <c r="GHZ212" s="367"/>
      <c r="GIA212" s="368" t="s">
        <v>168</v>
      </c>
      <c r="GIB212" s="369">
        <v>0.5</v>
      </c>
      <c r="GIC212" s="370" t="e">
        <f>10/GHY210</f>
        <v>#DIV/0!</v>
      </c>
      <c r="GID212" s="371">
        <v>15.38</v>
      </c>
      <c r="GIE212" s="371" t="e">
        <f>GIB212*GIC212*GID212</f>
        <v>#DIV/0!</v>
      </c>
      <c r="GIF212" s="367" t="s">
        <v>206</v>
      </c>
      <c r="GIG212" s="367"/>
      <c r="GIH212" s="367"/>
      <c r="GII212" s="368" t="s">
        <v>168</v>
      </c>
      <c r="GIJ212" s="369">
        <v>0.5</v>
      </c>
      <c r="GIK212" s="370" t="e">
        <f>10/GIG210</f>
        <v>#DIV/0!</v>
      </c>
      <c r="GIL212" s="371">
        <v>15.38</v>
      </c>
      <c r="GIM212" s="371" t="e">
        <f>GIJ212*GIK212*GIL212</f>
        <v>#DIV/0!</v>
      </c>
      <c r="GIN212" s="367" t="s">
        <v>206</v>
      </c>
      <c r="GIO212" s="367"/>
      <c r="GIP212" s="367"/>
      <c r="GIQ212" s="368" t="s">
        <v>168</v>
      </c>
      <c r="GIR212" s="369">
        <v>0.5</v>
      </c>
      <c r="GIS212" s="370" t="e">
        <f>10/GIO210</f>
        <v>#DIV/0!</v>
      </c>
      <c r="GIT212" s="371">
        <v>15.38</v>
      </c>
      <c r="GIU212" s="371" t="e">
        <f>GIR212*GIS212*GIT212</f>
        <v>#DIV/0!</v>
      </c>
      <c r="GIV212" s="367" t="s">
        <v>206</v>
      </c>
      <c r="GIW212" s="367"/>
      <c r="GIX212" s="367"/>
      <c r="GIY212" s="368" t="s">
        <v>168</v>
      </c>
      <c r="GIZ212" s="369">
        <v>0.5</v>
      </c>
      <c r="GJA212" s="370" t="e">
        <f>10/GIW210</f>
        <v>#DIV/0!</v>
      </c>
      <c r="GJB212" s="371">
        <v>15.38</v>
      </c>
      <c r="GJC212" s="371" t="e">
        <f>GIZ212*GJA212*GJB212</f>
        <v>#DIV/0!</v>
      </c>
      <c r="GJD212" s="367" t="s">
        <v>206</v>
      </c>
      <c r="GJE212" s="367"/>
      <c r="GJF212" s="367"/>
      <c r="GJG212" s="368" t="s">
        <v>168</v>
      </c>
      <c r="GJH212" s="369">
        <v>0.5</v>
      </c>
      <c r="GJI212" s="370" t="e">
        <f>10/GJE210</f>
        <v>#DIV/0!</v>
      </c>
      <c r="GJJ212" s="371">
        <v>15.38</v>
      </c>
      <c r="GJK212" s="371" t="e">
        <f>GJH212*GJI212*GJJ212</f>
        <v>#DIV/0!</v>
      </c>
      <c r="GJL212" s="367" t="s">
        <v>206</v>
      </c>
      <c r="GJM212" s="367"/>
      <c r="GJN212" s="367"/>
      <c r="GJO212" s="368" t="s">
        <v>168</v>
      </c>
      <c r="GJP212" s="369">
        <v>0.5</v>
      </c>
      <c r="GJQ212" s="370" t="e">
        <f>10/GJM210</f>
        <v>#DIV/0!</v>
      </c>
      <c r="GJR212" s="371">
        <v>15.38</v>
      </c>
      <c r="GJS212" s="371" t="e">
        <f>GJP212*GJQ212*GJR212</f>
        <v>#DIV/0!</v>
      </c>
      <c r="GJT212" s="367" t="s">
        <v>206</v>
      </c>
      <c r="GJU212" s="367"/>
      <c r="GJV212" s="367"/>
      <c r="GJW212" s="368" t="s">
        <v>168</v>
      </c>
      <c r="GJX212" s="369">
        <v>0.5</v>
      </c>
      <c r="GJY212" s="370" t="e">
        <f>10/GJU210</f>
        <v>#DIV/0!</v>
      </c>
      <c r="GJZ212" s="371">
        <v>15.38</v>
      </c>
      <c r="GKA212" s="371" t="e">
        <f>GJX212*GJY212*GJZ212</f>
        <v>#DIV/0!</v>
      </c>
      <c r="GKB212" s="367" t="s">
        <v>206</v>
      </c>
      <c r="GKC212" s="367"/>
      <c r="GKD212" s="367"/>
      <c r="GKE212" s="368" t="s">
        <v>168</v>
      </c>
      <c r="GKF212" s="369">
        <v>0.5</v>
      </c>
      <c r="GKG212" s="370" t="e">
        <f>10/GKC210</f>
        <v>#DIV/0!</v>
      </c>
      <c r="GKH212" s="371">
        <v>15.38</v>
      </c>
      <c r="GKI212" s="371" t="e">
        <f>GKF212*GKG212*GKH212</f>
        <v>#DIV/0!</v>
      </c>
      <c r="GKJ212" s="367" t="s">
        <v>206</v>
      </c>
      <c r="GKK212" s="367"/>
      <c r="GKL212" s="367"/>
      <c r="GKM212" s="368" t="s">
        <v>168</v>
      </c>
      <c r="GKN212" s="369">
        <v>0.5</v>
      </c>
      <c r="GKO212" s="370" t="e">
        <f>10/GKK210</f>
        <v>#DIV/0!</v>
      </c>
      <c r="GKP212" s="371">
        <v>15.38</v>
      </c>
      <c r="GKQ212" s="371" t="e">
        <f>GKN212*GKO212*GKP212</f>
        <v>#DIV/0!</v>
      </c>
      <c r="GKR212" s="367" t="s">
        <v>206</v>
      </c>
      <c r="GKS212" s="367"/>
      <c r="GKT212" s="367"/>
      <c r="GKU212" s="368" t="s">
        <v>168</v>
      </c>
      <c r="GKV212" s="369">
        <v>0.5</v>
      </c>
      <c r="GKW212" s="370" t="e">
        <f>10/GKS210</f>
        <v>#DIV/0!</v>
      </c>
      <c r="GKX212" s="371">
        <v>15.38</v>
      </c>
      <c r="GKY212" s="371" t="e">
        <f>GKV212*GKW212*GKX212</f>
        <v>#DIV/0!</v>
      </c>
      <c r="GKZ212" s="367" t="s">
        <v>206</v>
      </c>
      <c r="GLA212" s="367"/>
      <c r="GLB212" s="367"/>
      <c r="GLC212" s="368" t="s">
        <v>168</v>
      </c>
      <c r="GLD212" s="369">
        <v>0.5</v>
      </c>
      <c r="GLE212" s="370" t="e">
        <f>10/GLA210</f>
        <v>#DIV/0!</v>
      </c>
      <c r="GLF212" s="371">
        <v>15.38</v>
      </c>
      <c r="GLG212" s="371" t="e">
        <f>GLD212*GLE212*GLF212</f>
        <v>#DIV/0!</v>
      </c>
      <c r="GLH212" s="367" t="s">
        <v>206</v>
      </c>
      <c r="GLI212" s="367"/>
      <c r="GLJ212" s="367"/>
      <c r="GLK212" s="368" t="s">
        <v>168</v>
      </c>
      <c r="GLL212" s="369">
        <v>0.5</v>
      </c>
      <c r="GLM212" s="370" t="e">
        <f>10/GLI210</f>
        <v>#DIV/0!</v>
      </c>
      <c r="GLN212" s="371">
        <v>15.38</v>
      </c>
      <c r="GLO212" s="371" t="e">
        <f>GLL212*GLM212*GLN212</f>
        <v>#DIV/0!</v>
      </c>
      <c r="GLP212" s="367" t="s">
        <v>206</v>
      </c>
      <c r="GLQ212" s="367"/>
      <c r="GLR212" s="367"/>
      <c r="GLS212" s="368" t="s">
        <v>168</v>
      </c>
      <c r="GLT212" s="369">
        <v>0.5</v>
      </c>
      <c r="GLU212" s="370" t="e">
        <f>10/GLQ210</f>
        <v>#DIV/0!</v>
      </c>
      <c r="GLV212" s="371">
        <v>15.38</v>
      </c>
      <c r="GLW212" s="371" t="e">
        <f>GLT212*GLU212*GLV212</f>
        <v>#DIV/0!</v>
      </c>
      <c r="GLX212" s="367" t="s">
        <v>206</v>
      </c>
      <c r="GLY212" s="367"/>
      <c r="GLZ212" s="367"/>
      <c r="GMA212" s="368" t="s">
        <v>168</v>
      </c>
      <c r="GMB212" s="369">
        <v>0.5</v>
      </c>
      <c r="GMC212" s="370" t="e">
        <f>10/GLY210</f>
        <v>#DIV/0!</v>
      </c>
      <c r="GMD212" s="371">
        <v>15.38</v>
      </c>
      <c r="GME212" s="371" t="e">
        <f>GMB212*GMC212*GMD212</f>
        <v>#DIV/0!</v>
      </c>
      <c r="GMF212" s="367" t="s">
        <v>206</v>
      </c>
      <c r="GMG212" s="367"/>
      <c r="GMH212" s="367"/>
      <c r="GMI212" s="368" t="s">
        <v>168</v>
      </c>
      <c r="GMJ212" s="369">
        <v>0.5</v>
      </c>
      <c r="GMK212" s="370" t="e">
        <f>10/GMG210</f>
        <v>#DIV/0!</v>
      </c>
      <c r="GML212" s="371">
        <v>15.38</v>
      </c>
      <c r="GMM212" s="371" t="e">
        <f>GMJ212*GMK212*GML212</f>
        <v>#DIV/0!</v>
      </c>
      <c r="GMN212" s="367" t="s">
        <v>206</v>
      </c>
      <c r="GMO212" s="367"/>
      <c r="GMP212" s="367"/>
      <c r="GMQ212" s="368" t="s">
        <v>168</v>
      </c>
      <c r="GMR212" s="369">
        <v>0.5</v>
      </c>
      <c r="GMS212" s="370" t="e">
        <f>10/GMO210</f>
        <v>#DIV/0!</v>
      </c>
      <c r="GMT212" s="371">
        <v>15.38</v>
      </c>
      <c r="GMU212" s="371" t="e">
        <f>GMR212*GMS212*GMT212</f>
        <v>#DIV/0!</v>
      </c>
      <c r="GMV212" s="367" t="s">
        <v>206</v>
      </c>
      <c r="GMW212" s="367"/>
      <c r="GMX212" s="367"/>
      <c r="GMY212" s="368" t="s">
        <v>168</v>
      </c>
      <c r="GMZ212" s="369">
        <v>0.5</v>
      </c>
      <c r="GNA212" s="370" t="e">
        <f>10/GMW210</f>
        <v>#DIV/0!</v>
      </c>
      <c r="GNB212" s="371">
        <v>15.38</v>
      </c>
      <c r="GNC212" s="371" t="e">
        <f>GMZ212*GNA212*GNB212</f>
        <v>#DIV/0!</v>
      </c>
      <c r="GND212" s="367" t="s">
        <v>206</v>
      </c>
      <c r="GNE212" s="367"/>
      <c r="GNF212" s="367"/>
      <c r="GNG212" s="368" t="s">
        <v>168</v>
      </c>
      <c r="GNH212" s="369">
        <v>0.5</v>
      </c>
      <c r="GNI212" s="370" t="e">
        <f>10/GNE210</f>
        <v>#DIV/0!</v>
      </c>
      <c r="GNJ212" s="371">
        <v>15.38</v>
      </c>
      <c r="GNK212" s="371" t="e">
        <f>GNH212*GNI212*GNJ212</f>
        <v>#DIV/0!</v>
      </c>
      <c r="GNL212" s="367" t="s">
        <v>206</v>
      </c>
      <c r="GNM212" s="367"/>
      <c r="GNN212" s="367"/>
      <c r="GNO212" s="368" t="s">
        <v>168</v>
      </c>
      <c r="GNP212" s="369">
        <v>0.5</v>
      </c>
      <c r="GNQ212" s="370" t="e">
        <f>10/GNM210</f>
        <v>#DIV/0!</v>
      </c>
      <c r="GNR212" s="371">
        <v>15.38</v>
      </c>
      <c r="GNS212" s="371" t="e">
        <f>GNP212*GNQ212*GNR212</f>
        <v>#DIV/0!</v>
      </c>
      <c r="GNT212" s="367" t="s">
        <v>206</v>
      </c>
      <c r="GNU212" s="367"/>
      <c r="GNV212" s="367"/>
      <c r="GNW212" s="368" t="s">
        <v>168</v>
      </c>
      <c r="GNX212" s="369">
        <v>0.5</v>
      </c>
      <c r="GNY212" s="370" t="e">
        <f>10/GNU210</f>
        <v>#DIV/0!</v>
      </c>
      <c r="GNZ212" s="371">
        <v>15.38</v>
      </c>
      <c r="GOA212" s="371" t="e">
        <f>GNX212*GNY212*GNZ212</f>
        <v>#DIV/0!</v>
      </c>
      <c r="GOB212" s="367" t="s">
        <v>206</v>
      </c>
      <c r="GOC212" s="367"/>
      <c r="GOD212" s="367"/>
      <c r="GOE212" s="368" t="s">
        <v>168</v>
      </c>
      <c r="GOF212" s="369">
        <v>0.5</v>
      </c>
      <c r="GOG212" s="370" t="e">
        <f>10/GOC210</f>
        <v>#DIV/0!</v>
      </c>
      <c r="GOH212" s="371">
        <v>15.38</v>
      </c>
      <c r="GOI212" s="371" t="e">
        <f>GOF212*GOG212*GOH212</f>
        <v>#DIV/0!</v>
      </c>
      <c r="GOJ212" s="367" t="s">
        <v>206</v>
      </c>
      <c r="GOK212" s="367"/>
      <c r="GOL212" s="367"/>
      <c r="GOM212" s="368" t="s">
        <v>168</v>
      </c>
      <c r="GON212" s="369">
        <v>0.5</v>
      </c>
      <c r="GOO212" s="370" t="e">
        <f>10/GOK210</f>
        <v>#DIV/0!</v>
      </c>
      <c r="GOP212" s="371">
        <v>15.38</v>
      </c>
      <c r="GOQ212" s="371" t="e">
        <f>GON212*GOO212*GOP212</f>
        <v>#DIV/0!</v>
      </c>
      <c r="GOR212" s="367" t="s">
        <v>206</v>
      </c>
      <c r="GOS212" s="367"/>
      <c r="GOT212" s="367"/>
      <c r="GOU212" s="368" t="s">
        <v>168</v>
      </c>
      <c r="GOV212" s="369">
        <v>0.5</v>
      </c>
      <c r="GOW212" s="370" t="e">
        <f>10/GOS210</f>
        <v>#DIV/0!</v>
      </c>
      <c r="GOX212" s="371">
        <v>15.38</v>
      </c>
      <c r="GOY212" s="371" t="e">
        <f>GOV212*GOW212*GOX212</f>
        <v>#DIV/0!</v>
      </c>
      <c r="GOZ212" s="367" t="s">
        <v>206</v>
      </c>
      <c r="GPA212" s="367"/>
      <c r="GPB212" s="367"/>
      <c r="GPC212" s="368" t="s">
        <v>168</v>
      </c>
      <c r="GPD212" s="369">
        <v>0.5</v>
      </c>
      <c r="GPE212" s="370" t="e">
        <f>10/GPA210</f>
        <v>#DIV/0!</v>
      </c>
      <c r="GPF212" s="371">
        <v>15.38</v>
      </c>
      <c r="GPG212" s="371" t="e">
        <f>GPD212*GPE212*GPF212</f>
        <v>#DIV/0!</v>
      </c>
      <c r="GPH212" s="367" t="s">
        <v>206</v>
      </c>
      <c r="GPI212" s="367"/>
      <c r="GPJ212" s="367"/>
      <c r="GPK212" s="368" t="s">
        <v>168</v>
      </c>
      <c r="GPL212" s="369">
        <v>0.5</v>
      </c>
      <c r="GPM212" s="370" t="e">
        <f>10/GPI210</f>
        <v>#DIV/0!</v>
      </c>
      <c r="GPN212" s="371">
        <v>15.38</v>
      </c>
      <c r="GPO212" s="371" t="e">
        <f>GPL212*GPM212*GPN212</f>
        <v>#DIV/0!</v>
      </c>
      <c r="GPP212" s="367" t="s">
        <v>206</v>
      </c>
      <c r="GPQ212" s="367"/>
      <c r="GPR212" s="367"/>
      <c r="GPS212" s="368" t="s">
        <v>168</v>
      </c>
      <c r="GPT212" s="369">
        <v>0.5</v>
      </c>
      <c r="GPU212" s="370" t="e">
        <f>10/GPQ210</f>
        <v>#DIV/0!</v>
      </c>
      <c r="GPV212" s="371">
        <v>15.38</v>
      </c>
      <c r="GPW212" s="371" t="e">
        <f>GPT212*GPU212*GPV212</f>
        <v>#DIV/0!</v>
      </c>
      <c r="GPX212" s="367" t="s">
        <v>206</v>
      </c>
      <c r="GPY212" s="367"/>
      <c r="GPZ212" s="367"/>
      <c r="GQA212" s="368" t="s">
        <v>168</v>
      </c>
      <c r="GQB212" s="369">
        <v>0.5</v>
      </c>
      <c r="GQC212" s="370" t="e">
        <f>10/GPY210</f>
        <v>#DIV/0!</v>
      </c>
      <c r="GQD212" s="371">
        <v>15.38</v>
      </c>
      <c r="GQE212" s="371" t="e">
        <f>GQB212*GQC212*GQD212</f>
        <v>#DIV/0!</v>
      </c>
      <c r="GQF212" s="367" t="s">
        <v>206</v>
      </c>
      <c r="GQG212" s="367"/>
      <c r="GQH212" s="367"/>
      <c r="GQI212" s="368" t="s">
        <v>168</v>
      </c>
      <c r="GQJ212" s="369">
        <v>0.5</v>
      </c>
      <c r="GQK212" s="370" t="e">
        <f>10/GQG210</f>
        <v>#DIV/0!</v>
      </c>
      <c r="GQL212" s="371">
        <v>15.38</v>
      </c>
      <c r="GQM212" s="371" t="e">
        <f>GQJ212*GQK212*GQL212</f>
        <v>#DIV/0!</v>
      </c>
      <c r="GQN212" s="367" t="s">
        <v>206</v>
      </c>
      <c r="GQO212" s="367"/>
      <c r="GQP212" s="367"/>
      <c r="GQQ212" s="368" t="s">
        <v>168</v>
      </c>
      <c r="GQR212" s="369">
        <v>0.5</v>
      </c>
      <c r="GQS212" s="370" t="e">
        <f>10/GQO210</f>
        <v>#DIV/0!</v>
      </c>
      <c r="GQT212" s="371">
        <v>15.38</v>
      </c>
      <c r="GQU212" s="371" t="e">
        <f>GQR212*GQS212*GQT212</f>
        <v>#DIV/0!</v>
      </c>
      <c r="GQV212" s="367" t="s">
        <v>206</v>
      </c>
      <c r="GQW212" s="367"/>
      <c r="GQX212" s="367"/>
      <c r="GQY212" s="368" t="s">
        <v>168</v>
      </c>
      <c r="GQZ212" s="369">
        <v>0.5</v>
      </c>
      <c r="GRA212" s="370" t="e">
        <f>10/GQW210</f>
        <v>#DIV/0!</v>
      </c>
      <c r="GRB212" s="371">
        <v>15.38</v>
      </c>
      <c r="GRC212" s="371" t="e">
        <f>GQZ212*GRA212*GRB212</f>
        <v>#DIV/0!</v>
      </c>
      <c r="GRD212" s="367" t="s">
        <v>206</v>
      </c>
      <c r="GRE212" s="367"/>
      <c r="GRF212" s="367"/>
      <c r="GRG212" s="368" t="s">
        <v>168</v>
      </c>
      <c r="GRH212" s="369">
        <v>0.5</v>
      </c>
      <c r="GRI212" s="370" t="e">
        <f>10/GRE210</f>
        <v>#DIV/0!</v>
      </c>
      <c r="GRJ212" s="371">
        <v>15.38</v>
      </c>
      <c r="GRK212" s="371" t="e">
        <f>GRH212*GRI212*GRJ212</f>
        <v>#DIV/0!</v>
      </c>
      <c r="GRL212" s="367" t="s">
        <v>206</v>
      </c>
      <c r="GRM212" s="367"/>
      <c r="GRN212" s="367"/>
      <c r="GRO212" s="368" t="s">
        <v>168</v>
      </c>
      <c r="GRP212" s="369">
        <v>0.5</v>
      </c>
      <c r="GRQ212" s="370" t="e">
        <f>10/GRM210</f>
        <v>#DIV/0!</v>
      </c>
      <c r="GRR212" s="371">
        <v>15.38</v>
      </c>
      <c r="GRS212" s="371" t="e">
        <f>GRP212*GRQ212*GRR212</f>
        <v>#DIV/0!</v>
      </c>
      <c r="GRT212" s="367" t="s">
        <v>206</v>
      </c>
      <c r="GRU212" s="367"/>
      <c r="GRV212" s="367"/>
      <c r="GRW212" s="368" t="s">
        <v>168</v>
      </c>
      <c r="GRX212" s="369">
        <v>0.5</v>
      </c>
      <c r="GRY212" s="370" t="e">
        <f>10/GRU210</f>
        <v>#DIV/0!</v>
      </c>
      <c r="GRZ212" s="371">
        <v>15.38</v>
      </c>
      <c r="GSA212" s="371" t="e">
        <f>GRX212*GRY212*GRZ212</f>
        <v>#DIV/0!</v>
      </c>
      <c r="GSB212" s="367" t="s">
        <v>206</v>
      </c>
      <c r="GSC212" s="367"/>
      <c r="GSD212" s="367"/>
      <c r="GSE212" s="368" t="s">
        <v>168</v>
      </c>
      <c r="GSF212" s="369">
        <v>0.5</v>
      </c>
      <c r="GSG212" s="370" t="e">
        <f>10/GSC210</f>
        <v>#DIV/0!</v>
      </c>
      <c r="GSH212" s="371">
        <v>15.38</v>
      </c>
      <c r="GSI212" s="371" t="e">
        <f>GSF212*GSG212*GSH212</f>
        <v>#DIV/0!</v>
      </c>
      <c r="GSJ212" s="367" t="s">
        <v>206</v>
      </c>
      <c r="GSK212" s="367"/>
      <c r="GSL212" s="367"/>
      <c r="GSM212" s="368" t="s">
        <v>168</v>
      </c>
      <c r="GSN212" s="369">
        <v>0.5</v>
      </c>
      <c r="GSO212" s="370" t="e">
        <f>10/GSK210</f>
        <v>#DIV/0!</v>
      </c>
      <c r="GSP212" s="371">
        <v>15.38</v>
      </c>
      <c r="GSQ212" s="371" t="e">
        <f>GSN212*GSO212*GSP212</f>
        <v>#DIV/0!</v>
      </c>
      <c r="GSR212" s="367" t="s">
        <v>206</v>
      </c>
      <c r="GSS212" s="367"/>
      <c r="GST212" s="367"/>
      <c r="GSU212" s="368" t="s">
        <v>168</v>
      </c>
      <c r="GSV212" s="369">
        <v>0.5</v>
      </c>
      <c r="GSW212" s="370" t="e">
        <f>10/GSS210</f>
        <v>#DIV/0!</v>
      </c>
      <c r="GSX212" s="371">
        <v>15.38</v>
      </c>
      <c r="GSY212" s="371" t="e">
        <f>GSV212*GSW212*GSX212</f>
        <v>#DIV/0!</v>
      </c>
      <c r="GSZ212" s="367" t="s">
        <v>206</v>
      </c>
      <c r="GTA212" s="367"/>
      <c r="GTB212" s="367"/>
      <c r="GTC212" s="368" t="s">
        <v>168</v>
      </c>
      <c r="GTD212" s="369">
        <v>0.5</v>
      </c>
      <c r="GTE212" s="370" t="e">
        <f>10/GTA210</f>
        <v>#DIV/0!</v>
      </c>
      <c r="GTF212" s="371">
        <v>15.38</v>
      </c>
      <c r="GTG212" s="371" t="e">
        <f>GTD212*GTE212*GTF212</f>
        <v>#DIV/0!</v>
      </c>
      <c r="GTH212" s="367" t="s">
        <v>206</v>
      </c>
      <c r="GTI212" s="367"/>
      <c r="GTJ212" s="367"/>
      <c r="GTK212" s="368" t="s">
        <v>168</v>
      </c>
      <c r="GTL212" s="369">
        <v>0.5</v>
      </c>
      <c r="GTM212" s="370" t="e">
        <f>10/GTI210</f>
        <v>#DIV/0!</v>
      </c>
      <c r="GTN212" s="371">
        <v>15.38</v>
      </c>
      <c r="GTO212" s="371" t="e">
        <f>GTL212*GTM212*GTN212</f>
        <v>#DIV/0!</v>
      </c>
      <c r="GTP212" s="367" t="s">
        <v>206</v>
      </c>
      <c r="GTQ212" s="367"/>
      <c r="GTR212" s="367"/>
      <c r="GTS212" s="368" t="s">
        <v>168</v>
      </c>
      <c r="GTT212" s="369">
        <v>0.5</v>
      </c>
      <c r="GTU212" s="370" t="e">
        <f>10/GTQ210</f>
        <v>#DIV/0!</v>
      </c>
      <c r="GTV212" s="371">
        <v>15.38</v>
      </c>
      <c r="GTW212" s="371" t="e">
        <f>GTT212*GTU212*GTV212</f>
        <v>#DIV/0!</v>
      </c>
      <c r="GTX212" s="367" t="s">
        <v>206</v>
      </c>
      <c r="GTY212" s="367"/>
      <c r="GTZ212" s="367"/>
      <c r="GUA212" s="368" t="s">
        <v>168</v>
      </c>
      <c r="GUB212" s="369">
        <v>0.5</v>
      </c>
      <c r="GUC212" s="370" t="e">
        <f>10/GTY210</f>
        <v>#DIV/0!</v>
      </c>
      <c r="GUD212" s="371">
        <v>15.38</v>
      </c>
      <c r="GUE212" s="371" t="e">
        <f>GUB212*GUC212*GUD212</f>
        <v>#DIV/0!</v>
      </c>
      <c r="GUF212" s="367" t="s">
        <v>206</v>
      </c>
      <c r="GUG212" s="367"/>
      <c r="GUH212" s="367"/>
      <c r="GUI212" s="368" t="s">
        <v>168</v>
      </c>
      <c r="GUJ212" s="369">
        <v>0.5</v>
      </c>
      <c r="GUK212" s="370" t="e">
        <f>10/GUG210</f>
        <v>#DIV/0!</v>
      </c>
      <c r="GUL212" s="371">
        <v>15.38</v>
      </c>
      <c r="GUM212" s="371" t="e">
        <f>GUJ212*GUK212*GUL212</f>
        <v>#DIV/0!</v>
      </c>
      <c r="GUN212" s="367" t="s">
        <v>206</v>
      </c>
      <c r="GUO212" s="367"/>
      <c r="GUP212" s="367"/>
      <c r="GUQ212" s="368" t="s">
        <v>168</v>
      </c>
      <c r="GUR212" s="369">
        <v>0.5</v>
      </c>
      <c r="GUS212" s="370" t="e">
        <f>10/GUO210</f>
        <v>#DIV/0!</v>
      </c>
      <c r="GUT212" s="371">
        <v>15.38</v>
      </c>
      <c r="GUU212" s="371" t="e">
        <f>GUR212*GUS212*GUT212</f>
        <v>#DIV/0!</v>
      </c>
      <c r="GUV212" s="367" t="s">
        <v>206</v>
      </c>
      <c r="GUW212" s="367"/>
      <c r="GUX212" s="367"/>
      <c r="GUY212" s="368" t="s">
        <v>168</v>
      </c>
      <c r="GUZ212" s="369">
        <v>0.5</v>
      </c>
      <c r="GVA212" s="370" t="e">
        <f>10/GUW210</f>
        <v>#DIV/0!</v>
      </c>
      <c r="GVB212" s="371">
        <v>15.38</v>
      </c>
      <c r="GVC212" s="371" t="e">
        <f>GUZ212*GVA212*GVB212</f>
        <v>#DIV/0!</v>
      </c>
      <c r="GVD212" s="367" t="s">
        <v>206</v>
      </c>
      <c r="GVE212" s="367"/>
      <c r="GVF212" s="367"/>
      <c r="GVG212" s="368" t="s">
        <v>168</v>
      </c>
      <c r="GVH212" s="369">
        <v>0.5</v>
      </c>
      <c r="GVI212" s="370" t="e">
        <f>10/GVE210</f>
        <v>#DIV/0!</v>
      </c>
      <c r="GVJ212" s="371">
        <v>15.38</v>
      </c>
      <c r="GVK212" s="371" t="e">
        <f>GVH212*GVI212*GVJ212</f>
        <v>#DIV/0!</v>
      </c>
      <c r="GVL212" s="367" t="s">
        <v>206</v>
      </c>
      <c r="GVM212" s="367"/>
      <c r="GVN212" s="367"/>
      <c r="GVO212" s="368" t="s">
        <v>168</v>
      </c>
      <c r="GVP212" s="369">
        <v>0.5</v>
      </c>
      <c r="GVQ212" s="370" t="e">
        <f>10/GVM210</f>
        <v>#DIV/0!</v>
      </c>
      <c r="GVR212" s="371">
        <v>15.38</v>
      </c>
      <c r="GVS212" s="371" t="e">
        <f>GVP212*GVQ212*GVR212</f>
        <v>#DIV/0!</v>
      </c>
      <c r="GVT212" s="367" t="s">
        <v>206</v>
      </c>
      <c r="GVU212" s="367"/>
      <c r="GVV212" s="367"/>
      <c r="GVW212" s="368" t="s">
        <v>168</v>
      </c>
      <c r="GVX212" s="369">
        <v>0.5</v>
      </c>
      <c r="GVY212" s="370" t="e">
        <f>10/GVU210</f>
        <v>#DIV/0!</v>
      </c>
      <c r="GVZ212" s="371">
        <v>15.38</v>
      </c>
      <c r="GWA212" s="371" t="e">
        <f>GVX212*GVY212*GVZ212</f>
        <v>#DIV/0!</v>
      </c>
      <c r="GWB212" s="367" t="s">
        <v>206</v>
      </c>
      <c r="GWC212" s="367"/>
      <c r="GWD212" s="367"/>
      <c r="GWE212" s="368" t="s">
        <v>168</v>
      </c>
      <c r="GWF212" s="369">
        <v>0.5</v>
      </c>
      <c r="GWG212" s="370" t="e">
        <f>10/GWC210</f>
        <v>#DIV/0!</v>
      </c>
      <c r="GWH212" s="371">
        <v>15.38</v>
      </c>
      <c r="GWI212" s="371" t="e">
        <f>GWF212*GWG212*GWH212</f>
        <v>#DIV/0!</v>
      </c>
      <c r="GWJ212" s="367" t="s">
        <v>206</v>
      </c>
      <c r="GWK212" s="367"/>
      <c r="GWL212" s="367"/>
      <c r="GWM212" s="368" t="s">
        <v>168</v>
      </c>
      <c r="GWN212" s="369">
        <v>0.5</v>
      </c>
      <c r="GWO212" s="370" t="e">
        <f>10/GWK210</f>
        <v>#DIV/0!</v>
      </c>
      <c r="GWP212" s="371">
        <v>15.38</v>
      </c>
      <c r="GWQ212" s="371" t="e">
        <f>GWN212*GWO212*GWP212</f>
        <v>#DIV/0!</v>
      </c>
      <c r="GWR212" s="367" t="s">
        <v>206</v>
      </c>
      <c r="GWS212" s="367"/>
      <c r="GWT212" s="367"/>
      <c r="GWU212" s="368" t="s">
        <v>168</v>
      </c>
      <c r="GWV212" s="369">
        <v>0.5</v>
      </c>
      <c r="GWW212" s="370" t="e">
        <f>10/GWS210</f>
        <v>#DIV/0!</v>
      </c>
      <c r="GWX212" s="371">
        <v>15.38</v>
      </c>
      <c r="GWY212" s="371" t="e">
        <f>GWV212*GWW212*GWX212</f>
        <v>#DIV/0!</v>
      </c>
      <c r="GWZ212" s="367" t="s">
        <v>206</v>
      </c>
      <c r="GXA212" s="367"/>
      <c r="GXB212" s="367"/>
      <c r="GXC212" s="368" t="s">
        <v>168</v>
      </c>
      <c r="GXD212" s="369">
        <v>0.5</v>
      </c>
      <c r="GXE212" s="370" t="e">
        <f>10/GXA210</f>
        <v>#DIV/0!</v>
      </c>
      <c r="GXF212" s="371">
        <v>15.38</v>
      </c>
      <c r="GXG212" s="371" t="e">
        <f>GXD212*GXE212*GXF212</f>
        <v>#DIV/0!</v>
      </c>
      <c r="GXH212" s="367" t="s">
        <v>206</v>
      </c>
      <c r="GXI212" s="367"/>
      <c r="GXJ212" s="367"/>
      <c r="GXK212" s="368" t="s">
        <v>168</v>
      </c>
      <c r="GXL212" s="369">
        <v>0.5</v>
      </c>
      <c r="GXM212" s="370" t="e">
        <f>10/GXI210</f>
        <v>#DIV/0!</v>
      </c>
      <c r="GXN212" s="371">
        <v>15.38</v>
      </c>
      <c r="GXO212" s="371" t="e">
        <f>GXL212*GXM212*GXN212</f>
        <v>#DIV/0!</v>
      </c>
      <c r="GXP212" s="367" t="s">
        <v>206</v>
      </c>
      <c r="GXQ212" s="367"/>
      <c r="GXR212" s="367"/>
      <c r="GXS212" s="368" t="s">
        <v>168</v>
      </c>
      <c r="GXT212" s="369">
        <v>0.5</v>
      </c>
      <c r="GXU212" s="370" t="e">
        <f>10/GXQ210</f>
        <v>#DIV/0!</v>
      </c>
      <c r="GXV212" s="371">
        <v>15.38</v>
      </c>
      <c r="GXW212" s="371" t="e">
        <f>GXT212*GXU212*GXV212</f>
        <v>#DIV/0!</v>
      </c>
      <c r="GXX212" s="367" t="s">
        <v>206</v>
      </c>
      <c r="GXY212" s="367"/>
      <c r="GXZ212" s="367"/>
      <c r="GYA212" s="368" t="s">
        <v>168</v>
      </c>
      <c r="GYB212" s="369">
        <v>0.5</v>
      </c>
      <c r="GYC212" s="370" t="e">
        <f>10/GXY210</f>
        <v>#DIV/0!</v>
      </c>
      <c r="GYD212" s="371">
        <v>15.38</v>
      </c>
      <c r="GYE212" s="371" t="e">
        <f>GYB212*GYC212*GYD212</f>
        <v>#DIV/0!</v>
      </c>
      <c r="GYF212" s="367" t="s">
        <v>206</v>
      </c>
      <c r="GYG212" s="367"/>
      <c r="GYH212" s="367"/>
      <c r="GYI212" s="368" t="s">
        <v>168</v>
      </c>
      <c r="GYJ212" s="369">
        <v>0.5</v>
      </c>
      <c r="GYK212" s="370" t="e">
        <f>10/GYG210</f>
        <v>#DIV/0!</v>
      </c>
      <c r="GYL212" s="371">
        <v>15.38</v>
      </c>
      <c r="GYM212" s="371" t="e">
        <f>GYJ212*GYK212*GYL212</f>
        <v>#DIV/0!</v>
      </c>
      <c r="GYN212" s="367" t="s">
        <v>206</v>
      </c>
      <c r="GYO212" s="367"/>
      <c r="GYP212" s="367"/>
      <c r="GYQ212" s="368" t="s">
        <v>168</v>
      </c>
      <c r="GYR212" s="369">
        <v>0.5</v>
      </c>
      <c r="GYS212" s="370" t="e">
        <f>10/GYO210</f>
        <v>#DIV/0!</v>
      </c>
      <c r="GYT212" s="371">
        <v>15.38</v>
      </c>
      <c r="GYU212" s="371" t="e">
        <f>GYR212*GYS212*GYT212</f>
        <v>#DIV/0!</v>
      </c>
      <c r="GYV212" s="367" t="s">
        <v>206</v>
      </c>
      <c r="GYW212" s="367"/>
      <c r="GYX212" s="367"/>
      <c r="GYY212" s="368" t="s">
        <v>168</v>
      </c>
      <c r="GYZ212" s="369">
        <v>0.5</v>
      </c>
      <c r="GZA212" s="370" t="e">
        <f>10/GYW210</f>
        <v>#DIV/0!</v>
      </c>
      <c r="GZB212" s="371">
        <v>15.38</v>
      </c>
      <c r="GZC212" s="371" t="e">
        <f>GYZ212*GZA212*GZB212</f>
        <v>#DIV/0!</v>
      </c>
      <c r="GZD212" s="367" t="s">
        <v>206</v>
      </c>
      <c r="GZE212" s="367"/>
      <c r="GZF212" s="367"/>
      <c r="GZG212" s="368" t="s">
        <v>168</v>
      </c>
      <c r="GZH212" s="369">
        <v>0.5</v>
      </c>
      <c r="GZI212" s="370" t="e">
        <f>10/GZE210</f>
        <v>#DIV/0!</v>
      </c>
      <c r="GZJ212" s="371">
        <v>15.38</v>
      </c>
      <c r="GZK212" s="371" t="e">
        <f>GZH212*GZI212*GZJ212</f>
        <v>#DIV/0!</v>
      </c>
      <c r="GZL212" s="367" t="s">
        <v>206</v>
      </c>
      <c r="GZM212" s="367"/>
      <c r="GZN212" s="367"/>
      <c r="GZO212" s="368" t="s">
        <v>168</v>
      </c>
      <c r="GZP212" s="369">
        <v>0.5</v>
      </c>
      <c r="GZQ212" s="370" t="e">
        <f>10/GZM210</f>
        <v>#DIV/0!</v>
      </c>
      <c r="GZR212" s="371">
        <v>15.38</v>
      </c>
      <c r="GZS212" s="371" t="e">
        <f>GZP212*GZQ212*GZR212</f>
        <v>#DIV/0!</v>
      </c>
      <c r="GZT212" s="367" t="s">
        <v>206</v>
      </c>
      <c r="GZU212" s="367"/>
      <c r="GZV212" s="367"/>
      <c r="GZW212" s="368" t="s">
        <v>168</v>
      </c>
      <c r="GZX212" s="369">
        <v>0.5</v>
      </c>
      <c r="GZY212" s="370" t="e">
        <f>10/GZU210</f>
        <v>#DIV/0!</v>
      </c>
      <c r="GZZ212" s="371">
        <v>15.38</v>
      </c>
      <c r="HAA212" s="371" t="e">
        <f>GZX212*GZY212*GZZ212</f>
        <v>#DIV/0!</v>
      </c>
      <c r="HAB212" s="367" t="s">
        <v>206</v>
      </c>
      <c r="HAC212" s="367"/>
      <c r="HAD212" s="367"/>
      <c r="HAE212" s="368" t="s">
        <v>168</v>
      </c>
      <c r="HAF212" s="369">
        <v>0.5</v>
      </c>
      <c r="HAG212" s="370" t="e">
        <f>10/HAC210</f>
        <v>#DIV/0!</v>
      </c>
      <c r="HAH212" s="371">
        <v>15.38</v>
      </c>
      <c r="HAI212" s="371" t="e">
        <f>HAF212*HAG212*HAH212</f>
        <v>#DIV/0!</v>
      </c>
      <c r="HAJ212" s="367" t="s">
        <v>206</v>
      </c>
      <c r="HAK212" s="367"/>
      <c r="HAL212" s="367"/>
      <c r="HAM212" s="368" t="s">
        <v>168</v>
      </c>
      <c r="HAN212" s="369">
        <v>0.5</v>
      </c>
      <c r="HAO212" s="370" t="e">
        <f>10/HAK210</f>
        <v>#DIV/0!</v>
      </c>
      <c r="HAP212" s="371">
        <v>15.38</v>
      </c>
      <c r="HAQ212" s="371" t="e">
        <f>HAN212*HAO212*HAP212</f>
        <v>#DIV/0!</v>
      </c>
      <c r="HAR212" s="367" t="s">
        <v>206</v>
      </c>
      <c r="HAS212" s="367"/>
      <c r="HAT212" s="367"/>
      <c r="HAU212" s="368" t="s">
        <v>168</v>
      </c>
      <c r="HAV212" s="369">
        <v>0.5</v>
      </c>
      <c r="HAW212" s="370" t="e">
        <f>10/HAS210</f>
        <v>#DIV/0!</v>
      </c>
      <c r="HAX212" s="371">
        <v>15.38</v>
      </c>
      <c r="HAY212" s="371" t="e">
        <f>HAV212*HAW212*HAX212</f>
        <v>#DIV/0!</v>
      </c>
      <c r="HAZ212" s="367" t="s">
        <v>206</v>
      </c>
      <c r="HBA212" s="367"/>
      <c r="HBB212" s="367"/>
      <c r="HBC212" s="368" t="s">
        <v>168</v>
      </c>
      <c r="HBD212" s="369">
        <v>0.5</v>
      </c>
      <c r="HBE212" s="370" t="e">
        <f>10/HBA210</f>
        <v>#DIV/0!</v>
      </c>
      <c r="HBF212" s="371">
        <v>15.38</v>
      </c>
      <c r="HBG212" s="371" t="e">
        <f>HBD212*HBE212*HBF212</f>
        <v>#DIV/0!</v>
      </c>
      <c r="HBH212" s="367" t="s">
        <v>206</v>
      </c>
      <c r="HBI212" s="367"/>
      <c r="HBJ212" s="367"/>
      <c r="HBK212" s="368" t="s">
        <v>168</v>
      </c>
      <c r="HBL212" s="369">
        <v>0.5</v>
      </c>
      <c r="HBM212" s="370" t="e">
        <f>10/HBI210</f>
        <v>#DIV/0!</v>
      </c>
      <c r="HBN212" s="371">
        <v>15.38</v>
      </c>
      <c r="HBO212" s="371" t="e">
        <f>HBL212*HBM212*HBN212</f>
        <v>#DIV/0!</v>
      </c>
      <c r="HBP212" s="367" t="s">
        <v>206</v>
      </c>
      <c r="HBQ212" s="367"/>
      <c r="HBR212" s="367"/>
      <c r="HBS212" s="368" t="s">
        <v>168</v>
      </c>
      <c r="HBT212" s="369">
        <v>0.5</v>
      </c>
      <c r="HBU212" s="370" t="e">
        <f>10/HBQ210</f>
        <v>#DIV/0!</v>
      </c>
      <c r="HBV212" s="371">
        <v>15.38</v>
      </c>
      <c r="HBW212" s="371" t="e">
        <f>HBT212*HBU212*HBV212</f>
        <v>#DIV/0!</v>
      </c>
      <c r="HBX212" s="367" t="s">
        <v>206</v>
      </c>
      <c r="HBY212" s="367"/>
      <c r="HBZ212" s="367"/>
      <c r="HCA212" s="368" t="s">
        <v>168</v>
      </c>
      <c r="HCB212" s="369">
        <v>0.5</v>
      </c>
      <c r="HCC212" s="370" t="e">
        <f>10/HBY210</f>
        <v>#DIV/0!</v>
      </c>
      <c r="HCD212" s="371">
        <v>15.38</v>
      </c>
      <c r="HCE212" s="371" t="e">
        <f>HCB212*HCC212*HCD212</f>
        <v>#DIV/0!</v>
      </c>
      <c r="HCF212" s="367" t="s">
        <v>206</v>
      </c>
      <c r="HCG212" s="367"/>
      <c r="HCH212" s="367"/>
      <c r="HCI212" s="368" t="s">
        <v>168</v>
      </c>
      <c r="HCJ212" s="369">
        <v>0.5</v>
      </c>
      <c r="HCK212" s="370" t="e">
        <f>10/HCG210</f>
        <v>#DIV/0!</v>
      </c>
      <c r="HCL212" s="371">
        <v>15.38</v>
      </c>
      <c r="HCM212" s="371" t="e">
        <f>HCJ212*HCK212*HCL212</f>
        <v>#DIV/0!</v>
      </c>
      <c r="HCN212" s="367" t="s">
        <v>206</v>
      </c>
      <c r="HCO212" s="367"/>
      <c r="HCP212" s="367"/>
      <c r="HCQ212" s="368" t="s">
        <v>168</v>
      </c>
      <c r="HCR212" s="369">
        <v>0.5</v>
      </c>
      <c r="HCS212" s="370" t="e">
        <f>10/HCO210</f>
        <v>#DIV/0!</v>
      </c>
      <c r="HCT212" s="371">
        <v>15.38</v>
      </c>
      <c r="HCU212" s="371" t="e">
        <f>HCR212*HCS212*HCT212</f>
        <v>#DIV/0!</v>
      </c>
      <c r="HCV212" s="367" t="s">
        <v>206</v>
      </c>
      <c r="HCW212" s="367"/>
      <c r="HCX212" s="367"/>
      <c r="HCY212" s="368" t="s">
        <v>168</v>
      </c>
      <c r="HCZ212" s="369">
        <v>0.5</v>
      </c>
      <c r="HDA212" s="370" t="e">
        <f>10/HCW210</f>
        <v>#DIV/0!</v>
      </c>
      <c r="HDB212" s="371">
        <v>15.38</v>
      </c>
      <c r="HDC212" s="371" t="e">
        <f>HCZ212*HDA212*HDB212</f>
        <v>#DIV/0!</v>
      </c>
      <c r="HDD212" s="367" t="s">
        <v>206</v>
      </c>
      <c r="HDE212" s="367"/>
      <c r="HDF212" s="367"/>
      <c r="HDG212" s="368" t="s">
        <v>168</v>
      </c>
      <c r="HDH212" s="369">
        <v>0.5</v>
      </c>
      <c r="HDI212" s="370" t="e">
        <f>10/HDE210</f>
        <v>#DIV/0!</v>
      </c>
      <c r="HDJ212" s="371">
        <v>15.38</v>
      </c>
      <c r="HDK212" s="371" t="e">
        <f>HDH212*HDI212*HDJ212</f>
        <v>#DIV/0!</v>
      </c>
      <c r="HDL212" s="367" t="s">
        <v>206</v>
      </c>
      <c r="HDM212" s="367"/>
      <c r="HDN212" s="367"/>
      <c r="HDO212" s="368" t="s">
        <v>168</v>
      </c>
      <c r="HDP212" s="369">
        <v>0.5</v>
      </c>
      <c r="HDQ212" s="370" t="e">
        <f>10/HDM210</f>
        <v>#DIV/0!</v>
      </c>
      <c r="HDR212" s="371">
        <v>15.38</v>
      </c>
      <c r="HDS212" s="371" t="e">
        <f>HDP212*HDQ212*HDR212</f>
        <v>#DIV/0!</v>
      </c>
      <c r="HDT212" s="367" t="s">
        <v>206</v>
      </c>
      <c r="HDU212" s="367"/>
      <c r="HDV212" s="367"/>
      <c r="HDW212" s="368" t="s">
        <v>168</v>
      </c>
      <c r="HDX212" s="369">
        <v>0.5</v>
      </c>
      <c r="HDY212" s="370" t="e">
        <f>10/HDU210</f>
        <v>#DIV/0!</v>
      </c>
      <c r="HDZ212" s="371">
        <v>15.38</v>
      </c>
      <c r="HEA212" s="371" t="e">
        <f>HDX212*HDY212*HDZ212</f>
        <v>#DIV/0!</v>
      </c>
      <c r="HEB212" s="367" t="s">
        <v>206</v>
      </c>
      <c r="HEC212" s="367"/>
      <c r="HED212" s="367"/>
      <c r="HEE212" s="368" t="s">
        <v>168</v>
      </c>
      <c r="HEF212" s="369">
        <v>0.5</v>
      </c>
      <c r="HEG212" s="370" t="e">
        <f>10/HEC210</f>
        <v>#DIV/0!</v>
      </c>
      <c r="HEH212" s="371">
        <v>15.38</v>
      </c>
      <c r="HEI212" s="371" t="e">
        <f>HEF212*HEG212*HEH212</f>
        <v>#DIV/0!</v>
      </c>
      <c r="HEJ212" s="367" t="s">
        <v>206</v>
      </c>
      <c r="HEK212" s="367"/>
      <c r="HEL212" s="367"/>
      <c r="HEM212" s="368" t="s">
        <v>168</v>
      </c>
      <c r="HEN212" s="369">
        <v>0.5</v>
      </c>
      <c r="HEO212" s="370" t="e">
        <f>10/HEK210</f>
        <v>#DIV/0!</v>
      </c>
      <c r="HEP212" s="371">
        <v>15.38</v>
      </c>
      <c r="HEQ212" s="371" t="e">
        <f>HEN212*HEO212*HEP212</f>
        <v>#DIV/0!</v>
      </c>
      <c r="HER212" s="367" t="s">
        <v>206</v>
      </c>
      <c r="HES212" s="367"/>
      <c r="HET212" s="367"/>
      <c r="HEU212" s="368" t="s">
        <v>168</v>
      </c>
      <c r="HEV212" s="369">
        <v>0.5</v>
      </c>
      <c r="HEW212" s="370" t="e">
        <f>10/HES210</f>
        <v>#DIV/0!</v>
      </c>
      <c r="HEX212" s="371">
        <v>15.38</v>
      </c>
      <c r="HEY212" s="371" t="e">
        <f>HEV212*HEW212*HEX212</f>
        <v>#DIV/0!</v>
      </c>
      <c r="HEZ212" s="367" t="s">
        <v>206</v>
      </c>
      <c r="HFA212" s="367"/>
      <c r="HFB212" s="367"/>
      <c r="HFC212" s="368" t="s">
        <v>168</v>
      </c>
      <c r="HFD212" s="369">
        <v>0.5</v>
      </c>
      <c r="HFE212" s="370" t="e">
        <f>10/HFA210</f>
        <v>#DIV/0!</v>
      </c>
      <c r="HFF212" s="371">
        <v>15.38</v>
      </c>
      <c r="HFG212" s="371" t="e">
        <f>HFD212*HFE212*HFF212</f>
        <v>#DIV/0!</v>
      </c>
      <c r="HFH212" s="367" t="s">
        <v>206</v>
      </c>
      <c r="HFI212" s="367"/>
      <c r="HFJ212" s="367"/>
      <c r="HFK212" s="368" t="s">
        <v>168</v>
      </c>
      <c r="HFL212" s="369">
        <v>0.5</v>
      </c>
      <c r="HFM212" s="370" t="e">
        <f>10/HFI210</f>
        <v>#DIV/0!</v>
      </c>
      <c r="HFN212" s="371">
        <v>15.38</v>
      </c>
      <c r="HFO212" s="371" t="e">
        <f>HFL212*HFM212*HFN212</f>
        <v>#DIV/0!</v>
      </c>
      <c r="HFP212" s="367" t="s">
        <v>206</v>
      </c>
      <c r="HFQ212" s="367"/>
      <c r="HFR212" s="367"/>
      <c r="HFS212" s="368" t="s">
        <v>168</v>
      </c>
      <c r="HFT212" s="369">
        <v>0.5</v>
      </c>
      <c r="HFU212" s="370" t="e">
        <f>10/HFQ210</f>
        <v>#DIV/0!</v>
      </c>
      <c r="HFV212" s="371">
        <v>15.38</v>
      </c>
      <c r="HFW212" s="371" t="e">
        <f>HFT212*HFU212*HFV212</f>
        <v>#DIV/0!</v>
      </c>
      <c r="HFX212" s="367" t="s">
        <v>206</v>
      </c>
      <c r="HFY212" s="367"/>
      <c r="HFZ212" s="367"/>
      <c r="HGA212" s="368" t="s">
        <v>168</v>
      </c>
      <c r="HGB212" s="369">
        <v>0.5</v>
      </c>
      <c r="HGC212" s="370" t="e">
        <f>10/HFY210</f>
        <v>#DIV/0!</v>
      </c>
      <c r="HGD212" s="371">
        <v>15.38</v>
      </c>
      <c r="HGE212" s="371" t="e">
        <f>HGB212*HGC212*HGD212</f>
        <v>#DIV/0!</v>
      </c>
      <c r="HGF212" s="367" t="s">
        <v>206</v>
      </c>
      <c r="HGG212" s="367"/>
      <c r="HGH212" s="367"/>
      <c r="HGI212" s="368" t="s">
        <v>168</v>
      </c>
      <c r="HGJ212" s="369">
        <v>0.5</v>
      </c>
      <c r="HGK212" s="370" t="e">
        <f>10/HGG210</f>
        <v>#DIV/0!</v>
      </c>
      <c r="HGL212" s="371">
        <v>15.38</v>
      </c>
      <c r="HGM212" s="371" t="e">
        <f>HGJ212*HGK212*HGL212</f>
        <v>#DIV/0!</v>
      </c>
      <c r="HGN212" s="367" t="s">
        <v>206</v>
      </c>
      <c r="HGO212" s="367"/>
      <c r="HGP212" s="367"/>
      <c r="HGQ212" s="368" t="s">
        <v>168</v>
      </c>
      <c r="HGR212" s="369">
        <v>0.5</v>
      </c>
      <c r="HGS212" s="370" t="e">
        <f>10/HGO210</f>
        <v>#DIV/0!</v>
      </c>
      <c r="HGT212" s="371">
        <v>15.38</v>
      </c>
      <c r="HGU212" s="371" t="e">
        <f>HGR212*HGS212*HGT212</f>
        <v>#DIV/0!</v>
      </c>
      <c r="HGV212" s="367" t="s">
        <v>206</v>
      </c>
      <c r="HGW212" s="367"/>
      <c r="HGX212" s="367"/>
      <c r="HGY212" s="368" t="s">
        <v>168</v>
      </c>
      <c r="HGZ212" s="369">
        <v>0.5</v>
      </c>
      <c r="HHA212" s="370" t="e">
        <f>10/HGW210</f>
        <v>#DIV/0!</v>
      </c>
      <c r="HHB212" s="371">
        <v>15.38</v>
      </c>
      <c r="HHC212" s="371" t="e">
        <f>HGZ212*HHA212*HHB212</f>
        <v>#DIV/0!</v>
      </c>
      <c r="HHD212" s="367" t="s">
        <v>206</v>
      </c>
      <c r="HHE212" s="367"/>
      <c r="HHF212" s="367"/>
      <c r="HHG212" s="368" t="s">
        <v>168</v>
      </c>
      <c r="HHH212" s="369">
        <v>0.5</v>
      </c>
      <c r="HHI212" s="370" t="e">
        <f>10/HHE210</f>
        <v>#DIV/0!</v>
      </c>
      <c r="HHJ212" s="371">
        <v>15.38</v>
      </c>
      <c r="HHK212" s="371" t="e">
        <f>HHH212*HHI212*HHJ212</f>
        <v>#DIV/0!</v>
      </c>
      <c r="HHL212" s="367" t="s">
        <v>206</v>
      </c>
      <c r="HHM212" s="367"/>
      <c r="HHN212" s="367"/>
      <c r="HHO212" s="368" t="s">
        <v>168</v>
      </c>
      <c r="HHP212" s="369">
        <v>0.5</v>
      </c>
      <c r="HHQ212" s="370" t="e">
        <f>10/HHM210</f>
        <v>#DIV/0!</v>
      </c>
      <c r="HHR212" s="371">
        <v>15.38</v>
      </c>
      <c r="HHS212" s="371" t="e">
        <f>HHP212*HHQ212*HHR212</f>
        <v>#DIV/0!</v>
      </c>
      <c r="HHT212" s="367" t="s">
        <v>206</v>
      </c>
      <c r="HHU212" s="367"/>
      <c r="HHV212" s="367"/>
      <c r="HHW212" s="368" t="s">
        <v>168</v>
      </c>
      <c r="HHX212" s="369">
        <v>0.5</v>
      </c>
      <c r="HHY212" s="370" t="e">
        <f>10/HHU210</f>
        <v>#DIV/0!</v>
      </c>
      <c r="HHZ212" s="371">
        <v>15.38</v>
      </c>
      <c r="HIA212" s="371" t="e">
        <f>HHX212*HHY212*HHZ212</f>
        <v>#DIV/0!</v>
      </c>
      <c r="HIB212" s="367" t="s">
        <v>206</v>
      </c>
      <c r="HIC212" s="367"/>
      <c r="HID212" s="367"/>
      <c r="HIE212" s="368" t="s">
        <v>168</v>
      </c>
      <c r="HIF212" s="369">
        <v>0.5</v>
      </c>
      <c r="HIG212" s="370" t="e">
        <f>10/HIC210</f>
        <v>#DIV/0!</v>
      </c>
      <c r="HIH212" s="371">
        <v>15.38</v>
      </c>
      <c r="HII212" s="371" t="e">
        <f>HIF212*HIG212*HIH212</f>
        <v>#DIV/0!</v>
      </c>
      <c r="HIJ212" s="367" t="s">
        <v>206</v>
      </c>
      <c r="HIK212" s="367"/>
      <c r="HIL212" s="367"/>
      <c r="HIM212" s="368" t="s">
        <v>168</v>
      </c>
      <c r="HIN212" s="369">
        <v>0.5</v>
      </c>
      <c r="HIO212" s="370" t="e">
        <f>10/HIK210</f>
        <v>#DIV/0!</v>
      </c>
      <c r="HIP212" s="371">
        <v>15.38</v>
      </c>
      <c r="HIQ212" s="371" t="e">
        <f>HIN212*HIO212*HIP212</f>
        <v>#DIV/0!</v>
      </c>
      <c r="HIR212" s="367" t="s">
        <v>206</v>
      </c>
      <c r="HIS212" s="367"/>
      <c r="HIT212" s="367"/>
      <c r="HIU212" s="368" t="s">
        <v>168</v>
      </c>
      <c r="HIV212" s="369">
        <v>0.5</v>
      </c>
      <c r="HIW212" s="370" t="e">
        <f>10/HIS210</f>
        <v>#DIV/0!</v>
      </c>
      <c r="HIX212" s="371">
        <v>15.38</v>
      </c>
      <c r="HIY212" s="371" t="e">
        <f>HIV212*HIW212*HIX212</f>
        <v>#DIV/0!</v>
      </c>
      <c r="HIZ212" s="367" t="s">
        <v>206</v>
      </c>
      <c r="HJA212" s="367"/>
      <c r="HJB212" s="367"/>
      <c r="HJC212" s="368" t="s">
        <v>168</v>
      </c>
      <c r="HJD212" s="369">
        <v>0.5</v>
      </c>
      <c r="HJE212" s="370" t="e">
        <f>10/HJA210</f>
        <v>#DIV/0!</v>
      </c>
      <c r="HJF212" s="371">
        <v>15.38</v>
      </c>
      <c r="HJG212" s="371" t="e">
        <f>HJD212*HJE212*HJF212</f>
        <v>#DIV/0!</v>
      </c>
      <c r="HJH212" s="367" t="s">
        <v>206</v>
      </c>
      <c r="HJI212" s="367"/>
      <c r="HJJ212" s="367"/>
      <c r="HJK212" s="368" t="s">
        <v>168</v>
      </c>
      <c r="HJL212" s="369">
        <v>0.5</v>
      </c>
      <c r="HJM212" s="370" t="e">
        <f>10/HJI210</f>
        <v>#DIV/0!</v>
      </c>
      <c r="HJN212" s="371">
        <v>15.38</v>
      </c>
      <c r="HJO212" s="371" t="e">
        <f>HJL212*HJM212*HJN212</f>
        <v>#DIV/0!</v>
      </c>
      <c r="HJP212" s="367" t="s">
        <v>206</v>
      </c>
      <c r="HJQ212" s="367"/>
      <c r="HJR212" s="367"/>
      <c r="HJS212" s="368" t="s">
        <v>168</v>
      </c>
      <c r="HJT212" s="369">
        <v>0.5</v>
      </c>
      <c r="HJU212" s="370" t="e">
        <f>10/HJQ210</f>
        <v>#DIV/0!</v>
      </c>
      <c r="HJV212" s="371">
        <v>15.38</v>
      </c>
      <c r="HJW212" s="371" t="e">
        <f>HJT212*HJU212*HJV212</f>
        <v>#DIV/0!</v>
      </c>
      <c r="HJX212" s="367" t="s">
        <v>206</v>
      </c>
      <c r="HJY212" s="367"/>
      <c r="HJZ212" s="367"/>
      <c r="HKA212" s="368" t="s">
        <v>168</v>
      </c>
      <c r="HKB212" s="369">
        <v>0.5</v>
      </c>
      <c r="HKC212" s="370" t="e">
        <f>10/HJY210</f>
        <v>#DIV/0!</v>
      </c>
      <c r="HKD212" s="371">
        <v>15.38</v>
      </c>
      <c r="HKE212" s="371" t="e">
        <f>HKB212*HKC212*HKD212</f>
        <v>#DIV/0!</v>
      </c>
      <c r="HKF212" s="367" t="s">
        <v>206</v>
      </c>
      <c r="HKG212" s="367"/>
      <c r="HKH212" s="367"/>
      <c r="HKI212" s="368" t="s">
        <v>168</v>
      </c>
      <c r="HKJ212" s="369">
        <v>0.5</v>
      </c>
      <c r="HKK212" s="370" t="e">
        <f>10/HKG210</f>
        <v>#DIV/0!</v>
      </c>
      <c r="HKL212" s="371">
        <v>15.38</v>
      </c>
      <c r="HKM212" s="371" t="e">
        <f>HKJ212*HKK212*HKL212</f>
        <v>#DIV/0!</v>
      </c>
      <c r="HKN212" s="367" t="s">
        <v>206</v>
      </c>
      <c r="HKO212" s="367"/>
      <c r="HKP212" s="367"/>
      <c r="HKQ212" s="368" t="s">
        <v>168</v>
      </c>
      <c r="HKR212" s="369">
        <v>0.5</v>
      </c>
      <c r="HKS212" s="370" t="e">
        <f>10/HKO210</f>
        <v>#DIV/0!</v>
      </c>
      <c r="HKT212" s="371">
        <v>15.38</v>
      </c>
      <c r="HKU212" s="371" t="e">
        <f>HKR212*HKS212*HKT212</f>
        <v>#DIV/0!</v>
      </c>
      <c r="HKV212" s="367" t="s">
        <v>206</v>
      </c>
      <c r="HKW212" s="367"/>
      <c r="HKX212" s="367"/>
      <c r="HKY212" s="368" t="s">
        <v>168</v>
      </c>
      <c r="HKZ212" s="369">
        <v>0.5</v>
      </c>
      <c r="HLA212" s="370" t="e">
        <f>10/HKW210</f>
        <v>#DIV/0!</v>
      </c>
      <c r="HLB212" s="371">
        <v>15.38</v>
      </c>
      <c r="HLC212" s="371" t="e">
        <f>HKZ212*HLA212*HLB212</f>
        <v>#DIV/0!</v>
      </c>
      <c r="HLD212" s="367" t="s">
        <v>206</v>
      </c>
      <c r="HLE212" s="367"/>
      <c r="HLF212" s="367"/>
      <c r="HLG212" s="368" t="s">
        <v>168</v>
      </c>
      <c r="HLH212" s="369">
        <v>0.5</v>
      </c>
      <c r="HLI212" s="370" t="e">
        <f>10/HLE210</f>
        <v>#DIV/0!</v>
      </c>
      <c r="HLJ212" s="371">
        <v>15.38</v>
      </c>
      <c r="HLK212" s="371" t="e">
        <f>HLH212*HLI212*HLJ212</f>
        <v>#DIV/0!</v>
      </c>
      <c r="HLL212" s="367" t="s">
        <v>206</v>
      </c>
      <c r="HLM212" s="367"/>
      <c r="HLN212" s="367"/>
      <c r="HLO212" s="368" t="s">
        <v>168</v>
      </c>
      <c r="HLP212" s="369">
        <v>0.5</v>
      </c>
      <c r="HLQ212" s="370" t="e">
        <f>10/HLM210</f>
        <v>#DIV/0!</v>
      </c>
      <c r="HLR212" s="371">
        <v>15.38</v>
      </c>
      <c r="HLS212" s="371" t="e">
        <f>HLP212*HLQ212*HLR212</f>
        <v>#DIV/0!</v>
      </c>
      <c r="HLT212" s="367" t="s">
        <v>206</v>
      </c>
      <c r="HLU212" s="367"/>
      <c r="HLV212" s="367"/>
      <c r="HLW212" s="368" t="s">
        <v>168</v>
      </c>
      <c r="HLX212" s="369">
        <v>0.5</v>
      </c>
      <c r="HLY212" s="370" t="e">
        <f>10/HLU210</f>
        <v>#DIV/0!</v>
      </c>
      <c r="HLZ212" s="371">
        <v>15.38</v>
      </c>
      <c r="HMA212" s="371" t="e">
        <f>HLX212*HLY212*HLZ212</f>
        <v>#DIV/0!</v>
      </c>
      <c r="HMB212" s="367" t="s">
        <v>206</v>
      </c>
      <c r="HMC212" s="367"/>
      <c r="HMD212" s="367"/>
      <c r="HME212" s="368" t="s">
        <v>168</v>
      </c>
      <c r="HMF212" s="369">
        <v>0.5</v>
      </c>
      <c r="HMG212" s="370" t="e">
        <f>10/HMC210</f>
        <v>#DIV/0!</v>
      </c>
      <c r="HMH212" s="371">
        <v>15.38</v>
      </c>
      <c r="HMI212" s="371" t="e">
        <f>HMF212*HMG212*HMH212</f>
        <v>#DIV/0!</v>
      </c>
      <c r="HMJ212" s="367" t="s">
        <v>206</v>
      </c>
      <c r="HMK212" s="367"/>
      <c r="HML212" s="367"/>
      <c r="HMM212" s="368" t="s">
        <v>168</v>
      </c>
      <c r="HMN212" s="369">
        <v>0.5</v>
      </c>
      <c r="HMO212" s="370" t="e">
        <f>10/HMK210</f>
        <v>#DIV/0!</v>
      </c>
      <c r="HMP212" s="371">
        <v>15.38</v>
      </c>
      <c r="HMQ212" s="371" t="e">
        <f>HMN212*HMO212*HMP212</f>
        <v>#DIV/0!</v>
      </c>
      <c r="HMR212" s="367" t="s">
        <v>206</v>
      </c>
      <c r="HMS212" s="367"/>
      <c r="HMT212" s="367"/>
      <c r="HMU212" s="368" t="s">
        <v>168</v>
      </c>
      <c r="HMV212" s="369">
        <v>0.5</v>
      </c>
      <c r="HMW212" s="370" t="e">
        <f>10/HMS210</f>
        <v>#DIV/0!</v>
      </c>
      <c r="HMX212" s="371">
        <v>15.38</v>
      </c>
      <c r="HMY212" s="371" t="e">
        <f>HMV212*HMW212*HMX212</f>
        <v>#DIV/0!</v>
      </c>
      <c r="HMZ212" s="367" t="s">
        <v>206</v>
      </c>
      <c r="HNA212" s="367"/>
      <c r="HNB212" s="367"/>
      <c r="HNC212" s="368" t="s">
        <v>168</v>
      </c>
      <c r="HND212" s="369">
        <v>0.5</v>
      </c>
      <c r="HNE212" s="370" t="e">
        <f>10/HNA210</f>
        <v>#DIV/0!</v>
      </c>
      <c r="HNF212" s="371">
        <v>15.38</v>
      </c>
      <c r="HNG212" s="371" t="e">
        <f>HND212*HNE212*HNF212</f>
        <v>#DIV/0!</v>
      </c>
      <c r="HNH212" s="367" t="s">
        <v>206</v>
      </c>
      <c r="HNI212" s="367"/>
      <c r="HNJ212" s="367"/>
      <c r="HNK212" s="368" t="s">
        <v>168</v>
      </c>
      <c r="HNL212" s="369">
        <v>0.5</v>
      </c>
      <c r="HNM212" s="370" t="e">
        <f>10/HNI210</f>
        <v>#DIV/0!</v>
      </c>
      <c r="HNN212" s="371">
        <v>15.38</v>
      </c>
      <c r="HNO212" s="371" t="e">
        <f>HNL212*HNM212*HNN212</f>
        <v>#DIV/0!</v>
      </c>
      <c r="HNP212" s="367" t="s">
        <v>206</v>
      </c>
      <c r="HNQ212" s="367"/>
      <c r="HNR212" s="367"/>
      <c r="HNS212" s="368" t="s">
        <v>168</v>
      </c>
      <c r="HNT212" s="369">
        <v>0.5</v>
      </c>
      <c r="HNU212" s="370" t="e">
        <f>10/HNQ210</f>
        <v>#DIV/0!</v>
      </c>
      <c r="HNV212" s="371">
        <v>15.38</v>
      </c>
      <c r="HNW212" s="371" t="e">
        <f>HNT212*HNU212*HNV212</f>
        <v>#DIV/0!</v>
      </c>
      <c r="HNX212" s="367" t="s">
        <v>206</v>
      </c>
      <c r="HNY212" s="367"/>
      <c r="HNZ212" s="367"/>
      <c r="HOA212" s="368" t="s">
        <v>168</v>
      </c>
      <c r="HOB212" s="369">
        <v>0.5</v>
      </c>
      <c r="HOC212" s="370" t="e">
        <f>10/HNY210</f>
        <v>#DIV/0!</v>
      </c>
      <c r="HOD212" s="371">
        <v>15.38</v>
      </c>
      <c r="HOE212" s="371" t="e">
        <f>HOB212*HOC212*HOD212</f>
        <v>#DIV/0!</v>
      </c>
      <c r="HOF212" s="367" t="s">
        <v>206</v>
      </c>
      <c r="HOG212" s="367"/>
      <c r="HOH212" s="367"/>
      <c r="HOI212" s="368" t="s">
        <v>168</v>
      </c>
      <c r="HOJ212" s="369">
        <v>0.5</v>
      </c>
      <c r="HOK212" s="370" t="e">
        <f>10/HOG210</f>
        <v>#DIV/0!</v>
      </c>
      <c r="HOL212" s="371">
        <v>15.38</v>
      </c>
      <c r="HOM212" s="371" t="e">
        <f>HOJ212*HOK212*HOL212</f>
        <v>#DIV/0!</v>
      </c>
      <c r="HON212" s="367" t="s">
        <v>206</v>
      </c>
      <c r="HOO212" s="367"/>
      <c r="HOP212" s="367"/>
      <c r="HOQ212" s="368" t="s">
        <v>168</v>
      </c>
      <c r="HOR212" s="369">
        <v>0.5</v>
      </c>
      <c r="HOS212" s="370" t="e">
        <f>10/HOO210</f>
        <v>#DIV/0!</v>
      </c>
      <c r="HOT212" s="371">
        <v>15.38</v>
      </c>
      <c r="HOU212" s="371" t="e">
        <f>HOR212*HOS212*HOT212</f>
        <v>#DIV/0!</v>
      </c>
      <c r="HOV212" s="367" t="s">
        <v>206</v>
      </c>
      <c r="HOW212" s="367"/>
      <c r="HOX212" s="367"/>
      <c r="HOY212" s="368" t="s">
        <v>168</v>
      </c>
      <c r="HOZ212" s="369">
        <v>0.5</v>
      </c>
      <c r="HPA212" s="370" t="e">
        <f>10/HOW210</f>
        <v>#DIV/0!</v>
      </c>
      <c r="HPB212" s="371">
        <v>15.38</v>
      </c>
      <c r="HPC212" s="371" t="e">
        <f>HOZ212*HPA212*HPB212</f>
        <v>#DIV/0!</v>
      </c>
      <c r="HPD212" s="367" t="s">
        <v>206</v>
      </c>
      <c r="HPE212" s="367"/>
      <c r="HPF212" s="367"/>
      <c r="HPG212" s="368" t="s">
        <v>168</v>
      </c>
      <c r="HPH212" s="369">
        <v>0.5</v>
      </c>
      <c r="HPI212" s="370" t="e">
        <f>10/HPE210</f>
        <v>#DIV/0!</v>
      </c>
      <c r="HPJ212" s="371">
        <v>15.38</v>
      </c>
      <c r="HPK212" s="371" t="e">
        <f>HPH212*HPI212*HPJ212</f>
        <v>#DIV/0!</v>
      </c>
      <c r="HPL212" s="367" t="s">
        <v>206</v>
      </c>
      <c r="HPM212" s="367"/>
      <c r="HPN212" s="367"/>
      <c r="HPO212" s="368" t="s">
        <v>168</v>
      </c>
      <c r="HPP212" s="369">
        <v>0.5</v>
      </c>
      <c r="HPQ212" s="370" t="e">
        <f>10/HPM210</f>
        <v>#DIV/0!</v>
      </c>
      <c r="HPR212" s="371">
        <v>15.38</v>
      </c>
      <c r="HPS212" s="371" t="e">
        <f>HPP212*HPQ212*HPR212</f>
        <v>#DIV/0!</v>
      </c>
      <c r="HPT212" s="367" t="s">
        <v>206</v>
      </c>
      <c r="HPU212" s="367"/>
      <c r="HPV212" s="367"/>
      <c r="HPW212" s="368" t="s">
        <v>168</v>
      </c>
      <c r="HPX212" s="369">
        <v>0.5</v>
      </c>
      <c r="HPY212" s="370" t="e">
        <f>10/HPU210</f>
        <v>#DIV/0!</v>
      </c>
      <c r="HPZ212" s="371">
        <v>15.38</v>
      </c>
      <c r="HQA212" s="371" t="e">
        <f>HPX212*HPY212*HPZ212</f>
        <v>#DIV/0!</v>
      </c>
      <c r="HQB212" s="367" t="s">
        <v>206</v>
      </c>
      <c r="HQC212" s="367"/>
      <c r="HQD212" s="367"/>
      <c r="HQE212" s="368" t="s">
        <v>168</v>
      </c>
      <c r="HQF212" s="369">
        <v>0.5</v>
      </c>
      <c r="HQG212" s="370" t="e">
        <f>10/HQC210</f>
        <v>#DIV/0!</v>
      </c>
      <c r="HQH212" s="371">
        <v>15.38</v>
      </c>
      <c r="HQI212" s="371" t="e">
        <f>HQF212*HQG212*HQH212</f>
        <v>#DIV/0!</v>
      </c>
      <c r="HQJ212" s="367" t="s">
        <v>206</v>
      </c>
      <c r="HQK212" s="367"/>
      <c r="HQL212" s="367"/>
      <c r="HQM212" s="368" t="s">
        <v>168</v>
      </c>
      <c r="HQN212" s="369">
        <v>0.5</v>
      </c>
      <c r="HQO212" s="370" t="e">
        <f>10/HQK210</f>
        <v>#DIV/0!</v>
      </c>
      <c r="HQP212" s="371">
        <v>15.38</v>
      </c>
      <c r="HQQ212" s="371" t="e">
        <f>HQN212*HQO212*HQP212</f>
        <v>#DIV/0!</v>
      </c>
      <c r="HQR212" s="367" t="s">
        <v>206</v>
      </c>
      <c r="HQS212" s="367"/>
      <c r="HQT212" s="367"/>
      <c r="HQU212" s="368" t="s">
        <v>168</v>
      </c>
      <c r="HQV212" s="369">
        <v>0.5</v>
      </c>
      <c r="HQW212" s="370" t="e">
        <f>10/HQS210</f>
        <v>#DIV/0!</v>
      </c>
      <c r="HQX212" s="371">
        <v>15.38</v>
      </c>
      <c r="HQY212" s="371" t="e">
        <f>HQV212*HQW212*HQX212</f>
        <v>#DIV/0!</v>
      </c>
      <c r="HQZ212" s="367" t="s">
        <v>206</v>
      </c>
      <c r="HRA212" s="367"/>
      <c r="HRB212" s="367"/>
      <c r="HRC212" s="368" t="s">
        <v>168</v>
      </c>
      <c r="HRD212" s="369">
        <v>0.5</v>
      </c>
      <c r="HRE212" s="370" t="e">
        <f>10/HRA210</f>
        <v>#DIV/0!</v>
      </c>
      <c r="HRF212" s="371">
        <v>15.38</v>
      </c>
      <c r="HRG212" s="371" t="e">
        <f>HRD212*HRE212*HRF212</f>
        <v>#DIV/0!</v>
      </c>
      <c r="HRH212" s="367" t="s">
        <v>206</v>
      </c>
      <c r="HRI212" s="367"/>
      <c r="HRJ212" s="367"/>
      <c r="HRK212" s="368" t="s">
        <v>168</v>
      </c>
      <c r="HRL212" s="369">
        <v>0.5</v>
      </c>
      <c r="HRM212" s="370" t="e">
        <f>10/HRI210</f>
        <v>#DIV/0!</v>
      </c>
      <c r="HRN212" s="371">
        <v>15.38</v>
      </c>
      <c r="HRO212" s="371" t="e">
        <f>HRL212*HRM212*HRN212</f>
        <v>#DIV/0!</v>
      </c>
      <c r="HRP212" s="367" t="s">
        <v>206</v>
      </c>
      <c r="HRQ212" s="367"/>
      <c r="HRR212" s="367"/>
      <c r="HRS212" s="368" t="s">
        <v>168</v>
      </c>
      <c r="HRT212" s="369">
        <v>0.5</v>
      </c>
      <c r="HRU212" s="370" t="e">
        <f>10/HRQ210</f>
        <v>#DIV/0!</v>
      </c>
      <c r="HRV212" s="371">
        <v>15.38</v>
      </c>
      <c r="HRW212" s="371" t="e">
        <f>HRT212*HRU212*HRV212</f>
        <v>#DIV/0!</v>
      </c>
      <c r="HRX212" s="367" t="s">
        <v>206</v>
      </c>
      <c r="HRY212" s="367"/>
      <c r="HRZ212" s="367"/>
      <c r="HSA212" s="368" t="s">
        <v>168</v>
      </c>
      <c r="HSB212" s="369">
        <v>0.5</v>
      </c>
      <c r="HSC212" s="370" t="e">
        <f>10/HRY210</f>
        <v>#DIV/0!</v>
      </c>
      <c r="HSD212" s="371">
        <v>15.38</v>
      </c>
      <c r="HSE212" s="371" t="e">
        <f>HSB212*HSC212*HSD212</f>
        <v>#DIV/0!</v>
      </c>
      <c r="HSF212" s="367" t="s">
        <v>206</v>
      </c>
      <c r="HSG212" s="367"/>
      <c r="HSH212" s="367"/>
      <c r="HSI212" s="368" t="s">
        <v>168</v>
      </c>
      <c r="HSJ212" s="369">
        <v>0.5</v>
      </c>
      <c r="HSK212" s="370" t="e">
        <f>10/HSG210</f>
        <v>#DIV/0!</v>
      </c>
      <c r="HSL212" s="371">
        <v>15.38</v>
      </c>
      <c r="HSM212" s="371" t="e">
        <f>HSJ212*HSK212*HSL212</f>
        <v>#DIV/0!</v>
      </c>
      <c r="HSN212" s="367" t="s">
        <v>206</v>
      </c>
      <c r="HSO212" s="367"/>
      <c r="HSP212" s="367"/>
      <c r="HSQ212" s="368" t="s">
        <v>168</v>
      </c>
      <c r="HSR212" s="369">
        <v>0.5</v>
      </c>
      <c r="HSS212" s="370" t="e">
        <f>10/HSO210</f>
        <v>#DIV/0!</v>
      </c>
      <c r="HST212" s="371">
        <v>15.38</v>
      </c>
      <c r="HSU212" s="371" t="e">
        <f>HSR212*HSS212*HST212</f>
        <v>#DIV/0!</v>
      </c>
      <c r="HSV212" s="367" t="s">
        <v>206</v>
      </c>
      <c r="HSW212" s="367"/>
      <c r="HSX212" s="367"/>
      <c r="HSY212" s="368" t="s">
        <v>168</v>
      </c>
      <c r="HSZ212" s="369">
        <v>0.5</v>
      </c>
      <c r="HTA212" s="370" t="e">
        <f>10/HSW210</f>
        <v>#DIV/0!</v>
      </c>
      <c r="HTB212" s="371">
        <v>15.38</v>
      </c>
      <c r="HTC212" s="371" t="e">
        <f>HSZ212*HTA212*HTB212</f>
        <v>#DIV/0!</v>
      </c>
      <c r="HTD212" s="367" t="s">
        <v>206</v>
      </c>
      <c r="HTE212" s="367"/>
      <c r="HTF212" s="367"/>
      <c r="HTG212" s="368" t="s">
        <v>168</v>
      </c>
      <c r="HTH212" s="369">
        <v>0.5</v>
      </c>
      <c r="HTI212" s="370" t="e">
        <f>10/HTE210</f>
        <v>#DIV/0!</v>
      </c>
      <c r="HTJ212" s="371">
        <v>15.38</v>
      </c>
      <c r="HTK212" s="371" t="e">
        <f>HTH212*HTI212*HTJ212</f>
        <v>#DIV/0!</v>
      </c>
      <c r="HTL212" s="367" t="s">
        <v>206</v>
      </c>
      <c r="HTM212" s="367"/>
      <c r="HTN212" s="367"/>
      <c r="HTO212" s="368" t="s">
        <v>168</v>
      </c>
      <c r="HTP212" s="369">
        <v>0.5</v>
      </c>
      <c r="HTQ212" s="370" t="e">
        <f>10/HTM210</f>
        <v>#DIV/0!</v>
      </c>
      <c r="HTR212" s="371">
        <v>15.38</v>
      </c>
      <c r="HTS212" s="371" t="e">
        <f>HTP212*HTQ212*HTR212</f>
        <v>#DIV/0!</v>
      </c>
      <c r="HTT212" s="367" t="s">
        <v>206</v>
      </c>
      <c r="HTU212" s="367"/>
      <c r="HTV212" s="367"/>
      <c r="HTW212" s="368" t="s">
        <v>168</v>
      </c>
      <c r="HTX212" s="369">
        <v>0.5</v>
      </c>
      <c r="HTY212" s="370" t="e">
        <f>10/HTU210</f>
        <v>#DIV/0!</v>
      </c>
      <c r="HTZ212" s="371">
        <v>15.38</v>
      </c>
      <c r="HUA212" s="371" t="e">
        <f>HTX212*HTY212*HTZ212</f>
        <v>#DIV/0!</v>
      </c>
      <c r="HUB212" s="367" t="s">
        <v>206</v>
      </c>
      <c r="HUC212" s="367"/>
      <c r="HUD212" s="367"/>
      <c r="HUE212" s="368" t="s">
        <v>168</v>
      </c>
      <c r="HUF212" s="369">
        <v>0.5</v>
      </c>
      <c r="HUG212" s="370" t="e">
        <f>10/HUC210</f>
        <v>#DIV/0!</v>
      </c>
      <c r="HUH212" s="371">
        <v>15.38</v>
      </c>
      <c r="HUI212" s="371" t="e">
        <f>HUF212*HUG212*HUH212</f>
        <v>#DIV/0!</v>
      </c>
      <c r="HUJ212" s="367" t="s">
        <v>206</v>
      </c>
      <c r="HUK212" s="367"/>
      <c r="HUL212" s="367"/>
      <c r="HUM212" s="368" t="s">
        <v>168</v>
      </c>
      <c r="HUN212" s="369">
        <v>0.5</v>
      </c>
      <c r="HUO212" s="370" t="e">
        <f>10/HUK210</f>
        <v>#DIV/0!</v>
      </c>
      <c r="HUP212" s="371">
        <v>15.38</v>
      </c>
      <c r="HUQ212" s="371" t="e">
        <f>HUN212*HUO212*HUP212</f>
        <v>#DIV/0!</v>
      </c>
      <c r="HUR212" s="367" t="s">
        <v>206</v>
      </c>
      <c r="HUS212" s="367"/>
      <c r="HUT212" s="367"/>
      <c r="HUU212" s="368" t="s">
        <v>168</v>
      </c>
      <c r="HUV212" s="369">
        <v>0.5</v>
      </c>
      <c r="HUW212" s="370" t="e">
        <f>10/HUS210</f>
        <v>#DIV/0!</v>
      </c>
      <c r="HUX212" s="371">
        <v>15.38</v>
      </c>
      <c r="HUY212" s="371" t="e">
        <f>HUV212*HUW212*HUX212</f>
        <v>#DIV/0!</v>
      </c>
      <c r="HUZ212" s="367" t="s">
        <v>206</v>
      </c>
      <c r="HVA212" s="367"/>
      <c r="HVB212" s="367"/>
      <c r="HVC212" s="368" t="s">
        <v>168</v>
      </c>
      <c r="HVD212" s="369">
        <v>0.5</v>
      </c>
      <c r="HVE212" s="370" t="e">
        <f>10/HVA210</f>
        <v>#DIV/0!</v>
      </c>
      <c r="HVF212" s="371">
        <v>15.38</v>
      </c>
      <c r="HVG212" s="371" t="e">
        <f>HVD212*HVE212*HVF212</f>
        <v>#DIV/0!</v>
      </c>
      <c r="HVH212" s="367" t="s">
        <v>206</v>
      </c>
      <c r="HVI212" s="367"/>
      <c r="HVJ212" s="367"/>
      <c r="HVK212" s="368" t="s">
        <v>168</v>
      </c>
      <c r="HVL212" s="369">
        <v>0.5</v>
      </c>
      <c r="HVM212" s="370" t="e">
        <f>10/HVI210</f>
        <v>#DIV/0!</v>
      </c>
      <c r="HVN212" s="371">
        <v>15.38</v>
      </c>
      <c r="HVO212" s="371" t="e">
        <f>HVL212*HVM212*HVN212</f>
        <v>#DIV/0!</v>
      </c>
      <c r="HVP212" s="367" t="s">
        <v>206</v>
      </c>
      <c r="HVQ212" s="367"/>
      <c r="HVR212" s="367"/>
      <c r="HVS212" s="368" t="s">
        <v>168</v>
      </c>
      <c r="HVT212" s="369">
        <v>0.5</v>
      </c>
      <c r="HVU212" s="370" t="e">
        <f>10/HVQ210</f>
        <v>#DIV/0!</v>
      </c>
      <c r="HVV212" s="371">
        <v>15.38</v>
      </c>
      <c r="HVW212" s="371" t="e">
        <f>HVT212*HVU212*HVV212</f>
        <v>#DIV/0!</v>
      </c>
      <c r="HVX212" s="367" t="s">
        <v>206</v>
      </c>
      <c r="HVY212" s="367"/>
      <c r="HVZ212" s="367"/>
      <c r="HWA212" s="368" t="s">
        <v>168</v>
      </c>
      <c r="HWB212" s="369">
        <v>0.5</v>
      </c>
      <c r="HWC212" s="370" t="e">
        <f>10/HVY210</f>
        <v>#DIV/0!</v>
      </c>
      <c r="HWD212" s="371">
        <v>15.38</v>
      </c>
      <c r="HWE212" s="371" t="e">
        <f>HWB212*HWC212*HWD212</f>
        <v>#DIV/0!</v>
      </c>
      <c r="HWF212" s="367" t="s">
        <v>206</v>
      </c>
      <c r="HWG212" s="367"/>
      <c r="HWH212" s="367"/>
      <c r="HWI212" s="368" t="s">
        <v>168</v>
      </c>
      <c r="HWJ212" s="369">
        <v>0.5</v>
      </c>
      <c r="HWK212" s="370" t="e">
        <f>10/HWG210</f>
        <v>#DIV/0!</v>
      </c>
      <c r="HWL212" s="371">
        <v>15.38</v>
      </c>
      <c r="HWM212" s="371" t="e">
        <f>HWJ212*HWK212*HWL212</f>
        <v>#DIV/0!</v>
      </c>
      <c r="HWN212" s="367" t="s">
        <v>206</v>
      </c>
      <c r="HWO212" s="367"/>
      <c r="HWP212" s="367"/>
      <c r="HWQ212" s="368" t="s">
        <v>168</v>
      </c>
      <c r="HWR212" s="369">
        <v>0.5</v>
      </c>
      <c r="HWS212" s="370" t="e">
        <f>10/HWO210</f>
        <v>#DIV/0!</v>
      </c>
      <c r="HWT212" s="371">
        <v>15.38</v>
      </c>
      <c r="HWU212" s="371" t="e">
        <f>HWR212*HWS212*HWT212</f>
        <v>#DIV/0!</v>
      </c>
      <c r="HWV212" s="367" t="s">
        <v>206</v>
      </c>
      <c r="HWW212" s="367"/>
      <c r="HWX212" s="367"/>
      <c r="HWY212" s="368" t="s">
        <v>168</v>
      </c>
      <c r="HWZ212" s="369">
        <v>0.5</v>
      </c>
      <c r="HXA212" s="370" t="e">
        <f>10/HWW210</f>
        <v>#DIV/0!</v>
      </c>
      <c r="HXB212" s="371">
        <v>15.38</v>
      </c>
      <c r="HXC212" s="371" t="e">
        <f>HWZ212*HXA212*HXB212</f>
        <v>#DIV/0!</v>
      </c>
      <c r="HXD212" s="367" t="s">
        <v>206</v>
      </c>
      <c r="HXE212" s="367"/>
      <c r="HXF212" s="367"/>
      <c r="HXG212" s="368" t="s">
        <v>168</v>
      </c>
      <c r="HXH212" s="369">
        <v>0.5</v>
      </c>
      <c r="HXI212" s="370" t="e">
        <f>10/HXE210</f>
        <v>#DIV/0!</v>
      </c>
      <c r="HXJ212" s="371">
        <v>15.38</v>
      </c>
      <c r="HXK212" s="371" t="e">
        <f>HXH212*HXI212*HXJ212</f>
        <v>#DIV/0!</v>
      </c>
      <c r="HXL212" s="367" t="s">
        <v>206</v>
      </c>
      <c r="HXM212" s="367"/>
      <c r="HXN212" s="367"/>
      <c r="HXO212" s="368" t="s">
        <v>168</v>
      </c>
      <c r="HXP212" s="369">
        <v>0.5</v>
      </c>
      <c r="HXQ212" s="370" t="e">
        <f>10/HXM210</f>
        <v>#DIV/0!</v>
      </c>
      <c r="HXR212" s="371">
        <v>15.38</v>
      </c>
      <c r="HXS212" s="371" t="e">
        <f>HXP212*HXQ212*HXR212</f>
        <v>#DIV/0!</v>
      </c>
      <c r="HXT212" s="367" t="s">
        <v>206</v>
      </c>
      <c r="HXU212" s="367"/>
      <c r="HXV212" s="367"/>
      <c r="HXW212" s="368" t="s">
        <v>168</v>
      </c>
      <c r="HXX212" s="369">
        <v>0.5</v>
      </c>
      <c r="HXY212" s="370" t="e">
        <f>10/HXU210</f>
        <v>#DIV/0!</v>
      </c>
      <c r="HXZ212" s="371">
        <v>15.38</v>
      </c>
      <c r="HYA212" s="371" t="e">
        <f>HXX212*HXY212*HXZ212</f>
        <v>#DIV/0!</v>
      </c>
      <c r="HYB212" s="367" t="s">
        <v>206</v>
      </c>
      <c r="HYC212" s="367"/>
      <c r="HYD212" s="367"/>
      <c r="HYE212" s="368" t="s">
        <v>168</v>
      </c>
      <c r="HYF212" s="369">
        <v>0.5</v>
      </c>
      <c r="HYG212" s="370" t="e">
        <f>10/HYC210</f>
        <v>#DIV/0!</v>
      </c>
      <c r="HYH212" s="371">
        <v>15.38</v>
      </c>
      <c r="HYI212" s="371" t="e">
        <f>HYF212*HYG212*HYH212</f>
        <v>#DIV/0!</v>
      </c>
      <c r="HYJ212" s="367" t="s">
        <v>206</v>
      </c>
      <c r="HYK212" s="367"/>
      <c r="HYL212" s="367"/>
      <c r="HYM212" s="368" t="s">
        <v>168</v>
      </c>
      <c r="HYN212" s="369">
        <v>0.5</v>
      </c>
      <c r="HYO212" s="370" t="e">
        <f>10/HYK210</f>
        <v>#DIV/0!</v>
      </c>
      <c r="HYP212" s="371">
        <v>15.38</v>
      </c>
      <c r="HYQ212" s="371" t="e">
        <f>HYN212*HYO212*HYP212</f>
        <v>#DIV/0!</v>
      </c>
      <c r="HYR212" s="367" t="s">
        <v>206</v>
      </c>
      <c r="HYS212" s="367"/>
      <c r="HYT212" s="367"/>
      <c r="HYU212" s="368" t="s">
        <v>168</v>
      </c>
      <c r="HYV212" s="369">
        <v>0.5</v>
      </c>
      <c r="HYW212" s="370" t="e">
        <f>10/HYS210</f>
        <v>#DIV/0!</v>
      </c>
      <c r="HYX212" s="371">
        <v>15.38</v>
      </c>
      <c r="HYY212" s="371" t="e">
        <f>HYV212*HYW212*HYX212</f>
        <v>#DIV/0!</v>
      </c>
      <c r="HYZ212" s="367" t="s">
        <v>206</v>
      </c>
      <c r="HZA212" s="367"/>
      <c r="HZB212" s="367"/>
      <c r="HZC212" s="368" t="s">
        <v>168</v>
      </c>
      <c r="HZD212" s="369">
        <v>0.5</v>
      </c>
      <c r="HZE212" s="370" t="e">
        <f>10/HZA210</f>
        <v>#DIV/0!</v>
      </c>
      <c r="HZF212" s="371">
        <v>15.38</v>
      </c>
      <c r="HZG212" s="371" t="e">
        <f>HZD212*HZE212*HZF212</f>
        <v>#DIV/0!</v>
      </c>
      <c r="HZH212" s="367" t="s">
        <v>206</v>
      </c>
      <c r="HZI212" s="367"/>
      <c r="HZJ212" s="367"/>
      <c r="HZK212" s="368" t="s">
        <v>168</v>
      </c>
      <c r="HZL212" s="369">
        <v>0.5</v>
      </c>
      <c r="HZM212" s="370" t="e">
        <f>10/HZI210</f>
        <v>#DIV/0!</v>
      </c>
      <c r="HZN212" s="371">
        <v>15.38</v>
      </c>
      <c r="HZO212" s="371" t="e">
        <f>HZL212*HZM212*HZN212</f>
        <v>#DIV/0!</v>
      </c>
      <c r="HZP212" s="367" t="s">
        <v>206</v>
      </c>
      <c r="HZQ212" s="367"/>
      <c r="HZR212" s="367"/>
      <c r="HZS212" s="368" t="s">
        <v>168</v>
      </c>
      <c r="HZT212" s="369">
        <v>0.5</v>
      </c>
      <c r="HZU212" s="370" t="e">
        <f>10/HZQ210</f>
        <v>#DIV/0!</v>
      </c>
      <c r="HZV212" s="371">
        <v>15.38</v>
      </c>
      <c r="HZW212" s="371" t="e">
        <f>HZT212*HZU212*HZV212</f>
        <v>#DIV/0!</v>
      </c>
      <c r="HZX212" s="367" t="s">
        <v>206</v>
      </c>
      <c r="HZY212" s="367"/>
      <c r="HZZ212" s="367"/>
      <c r="IAA212" s="368" t="s">
        <v>168</v>
      </c>
      <c r="IAB212" s="369">
        <v>0.5</v>
      </c>
      <c r="IAC212" s="370" t="e">
        <f>10/HZY210</f>
        <v>#DIV/0!</v>
      </c>
      <c r="IAD212" s="371">
        <v>15.38</v>
      </c>
      <c r="IAE212" s="371" t="e">
        <f>IAB212*IAC212*IAD212</f>
        <v>#DIV/0!</v>
      </c>
      <c r="IAF212" s="367" t="s">
        <v>206</v>
      </c>
      <c r="IAG212" s="367"/>
      <c r="IAH212" s="367"/>
      <c r="IAI212" s="368" t="s">
        <v>168</v>
      </c>
      <c r="IAJ212" s="369">
        <v>0.5</v>
      </c>
      <c r="IAK212" s="370" t="e">
        <f>10/IAG210</f>
        <v>#DIV/0!</v>
      </c>
      <c r="IAL212" s="371">
        <v>15.38</v>
      </c>
      <c r="IAM212" s="371" t="e">
        <f>IAJ212*IAK212*IAL212</f>
        <v>#DIV/0!</v>
      </c>
      <c r="IAN212" s="367" t="s">
        <v>206</v>
      </c>
      <c r="IAO212" s="367"/>
      <c r="IAP212" s="367"/>
      <c r="IAQ212" s="368" t="s">
        <v>168</v>
      </c>
      <c r="IAR212" s="369">
        <v>0.5</v>
      </c>
      <c r="IAS212" s="370" t="e">
        <f>10/IAO210</f>
        <v>#DIV/0!</v>
      </c>
      <c r="IAT212" s="371">
        <v>15.38</v>
      </c>
      <c r="IAU212" s="371" t="e">
        <f>IAR212*IAS212*IAT212</f>
        <v>#DIV/0!</v>
      </c>
      <c r="IAV212" s="367" t="s">
        <v>206</v>
      </c>
      <c r="IAW212" s="367"/>
      <c r="IAX212" s="367"/>
      <c r="IAY212" s="368" t="s">
        <v>168</v>
      </c>
      <c r="IAZ212" s="369">
        <v>0.5</v>
      </c>
      <c r="IBA212" s="370" t="e">
        <f>10/IAW210</f>
        <v>#DIV/0!</v>
      </c>
      <c r="IBB212" s="371">
        <v>15.38</v>
      </c>
      <c r="IBC212" s="371" t="e">
        <f>IAZ212*IBA212*IBB212</f>
        <v>#DIV/0!</v>
      </c>
      <c r="IBD212" s="367" t="s">
        <v>206</v>
      </c>
      <c r="IBE212" s="367"/>
      <c r="IBF212" s="367"/>
      <c r="IBG212" s="368" t="s">
        <v>168</v>
      </c>
      <c r="IBH212" s="369">
        <v>0.5</v>
      </c>
      <c r="IBI212" s="370" t="e">
        <f>10/IBE210</f>
        <v>#DIV/0!</v>
      </c>
      <c r="IBJ212" s="371">
        <v>15.38</v>
      </c>
      <c r="IBK212" s="371" t="e">
        <f>IBH212*IBI212*IBJ212</f>
        <v>#DIV/0!</v>
      </c>
      <c r="IBL212" s="367" t="s">
        <v>206</v>
      </c>
      <c r="IBM212" s="367"/>
      <c r="IBN212" s="367"/>
      <c r="IBO212" s="368" t="s">
        <v>168</v>
      </c>
      <c r="IBP212" s="369">
        <v>0.5</v>
      </c>
      <c r="IBQ212" s="370" t="e">
        <f>10/IBM210</f>
        <v>#DIV/0!</v>
      </c>
      <c r="IBR212" s="371">
        <v>15.38</v>
      </c>
      <c r="IBS212" s="371" t="e">
        <f>IBP212*IBQ212*IBR212</f>
        <v>#DIV/0!</v>
      </c>
      <c r="IBT212" s="367" t="s">
        <v>206</v>
      </c>
      <c r="IBU212" s="367"/>
      <c r="IBV212" s="367"/>
      <c r="IBW212" s="368" t="s">
        <v>168</v>
      </c>
      <c r="IBX212" s="369">
        <v>0.5</v>
      </c>
      <c r="IBY212" s="370" t="e">
        <f>10/IBU210</f>
        <v>#DIV/0!</v>
      </c>
      <c r="IBZ212" s="371">
        <v>15.38</v>
      </c>
      <c r="ICA212" s="371" t="e">
        <f>IBX212*IBY212*IBZ212</f>
        <v>#DIV/0!</v>
      </c>
      <c r="ICB212" s="367" t="s">
        <v>206</v>
      </c>
      <c r="ICC212" s="367"/>
      <c r="ICD212" s="367"/>
      <c r="ICE212" s="368" t="s">
        <v>168</v>
      </c>
      <c r="ICF212" s="369">
        <v>0.5</v>
      </c>
      <c r="ICG212" s="370" t="e">
        <f>10/ICC210</f>
        <v>#DIV/0!</v>
      </c>
      <c r="ICH212" s="371">
        <v>15.38</v>
      </c>
      <c r="ICI212" s="371" t="e">
        <f>ICF212*ICG212*ICH212</f>
        <v>#DIV/0!</v>
      </c>
      <c r="ICJ212" s="367" t="s">
        <v>206</v>
      </c>
      <c r="ICK212" s="367"/>
      <c r="ICL212" s="367"/>
      <c r="ICM212" s="368" t="s">
        <v>168</v>
      </c>
      <c r="ICN212" s="369">
        <v>0.5</v>
      </c>
      <c r="ICO212" s="370" t="e">
        <f>10/ICK210</f>
        <v>#DIV/0!</v>
      </c>
      <c r="ICP212" s="371">
        <v>15.38</v>
      </c>
      <c r="ICQ212" s="371" t="e">
        <f>ICN212*ICO212*ICP212</f>
        <v>#DIV/0!</v>
      </c>
      <c r="ICR212" s="367" t="s">
        <v>206</v>
      </c>
      <c r="ICS212" s="367"/>
      <c r="ICT212" s="367"/>
      <c r="ICU212" s="368" t="s">
        <v>168</v>
      </c>
      <c r="ICV212" s="369">
        <v>0.5</v>
      </c>
      <c r="ICW212" s="370" t="e">
        <f>10/ICS210</f>
        <v>#DIV/0!</v>
      </c>
      <c r="ICX212" s="371">
        <v>15.38</v>
      </c>
      <c r="ICY212" s="371" t="e">
        <f>ICV212*ICW212*ICX212</f>
        <v>#DIV/0!</v>
      </c>
      <c r="ICZ212" s="367" t="s">
        <v>206</v>
      </c>
      <c r="IDA212" s="367"/>
      <c r="IDB212" s="367"/>
      <c r="IDC212" s="368" t="s">
        <v>168</v>
      </c>
      <c r="IDD212" s="369">
        <v>0.5</v>
      </c>
      <c r="IDE212" s="370" t="e">
        <f>10/IDA210</f>
        <v>#DIV/0!</v>
      </c>
      <c r="IDF212" s="371">
        <v>15.38</v>
      </c>
      <c r="IDG212" s="371" t="e">
        <f>IDD212*IDE212*IDF212</f>
        <v>#DIV/0!</v>
      </c>
      <c r="IDH212" s="367" t="s">
        <v>206</v>
      </c>
      <c r="IDI212" s="367"/>
      <c r="IDJ212" s="367"/>
      <c r="IDK212" s="368" t="s">
        <v>168</v>
      </c>
      <c r="IDL212" s="369">
        <v>0.5</v>
      </c>
      <c r="IDM212" s="370" t="e">
        <f>10/IDI210</f>
        <v>#DIV/0!</v>
      </c>
      <c r="IDN212" s="371">
        <v>15.38</v>
      </c>
      <c r="IDO212" s="371" t="e">
        <f>IDL212*IDM212*IDN212</f>
        <v>#DIV/0!</v>
      </c>
      <c r="IDP212" s="367" t="s">
        <v>206</v>
      </c>
      <c r="IDQ212" s="367"/>
      <c r="IDR212" s="367"/>
      <c r="IDS212" s="368" t="s">
        <v>168</v>
      </c>
      <c r="IDT212" s="369">
        <v>0.5</v>
      </c>
      <c r="IDU212" s="370" t="e">
        <f>10/IDQ210</f>
        <v>#DIV/0!</v>
      </c>
      <c r="IDV212" s="371">
        <v>15.38</v>
      </c>
      <c r="IDW212" s="371" t="e">
        <f>IDT212*IDU212*IDV212</f>
        <v>#DIV/0!</v>
      </c>
      <c r="IDX212" s="367" t="s">
        <v>206</v>
      </c>
      <c r="IDY212" s="367"/>
      <c r="IDZ212" s="367"/>
      <c r="IEA212" s="368" t="s">
        <v>168</v>
      </c>
      <c r="IEB212" s="369">
        <v>0.5</v>
      </c>
      <c r="IEC212" s="370" t="e">
        <f>10/IDY210</f>
        <v>#DIV/0!</v>
      </c>
      <c r="IED212" s="371">
        <v>15.38</v>
      </c>
      <c r="IEE212" s="371" t="e">
        <f>IEB212*IEC212*IED212</f>
        <v>#DIV/0!</v>
      </c>
      <c r="IEF212" s="367" t="s">
        <v>206</v>
      </c>
      <c r="IEG212" s="367"/>
      <c r="IEH212" s="367"/>
      <c r="IEI212" s="368" t="s">
        <v>168</v>
      </c>
      <c r="IEJ212" s="369">
        <v>0.5</v>
      </c>
      <c r="IEK212" s="370" t="e">
        <f>10/IEG210</f>
        <v>#DIV/0!</v>
      </c>
      <c r="IEL212" s="371">
        <v>15.38</v>
      </c>
      <c r="IEM212" s="371" t="e">
        <f>IEJ212*IEK212*IEL212</f>
        <v>#DIV/0!</v>
      </c>
      <c r="IEN212" s="367" t="s">
        <v>206</v>
      </c>
      <c r="IEO212" s="367"/>
      <c r="IEP212" s="367"/>
      <c r="IEQ212" s="368" t="s">
        <v>168</v>
      </c>
      <c r="IER212" s="369">
        <v>0.5</v>
      </c>
      <c r="IES212" s="370" t="e">
        <f>10/IEO210</f>
        <v>#DIV/0!</v>
      </c>
      <c r="IET212" s="371">
        <v>15.38</v>
      </c>
      <c r="IEU212" s="371" t="e">
        <f>IER212*IES212*IET212</f>
        <v>#DIV/0!</v>
      </c>
      <c r="IEV212" s="367" t="s">
        <v>206</v>
      </c>
      <c r="IEW212" s="367"/>
      <c r="IEX212" s="367"/>
      <c r="IEY212" s="368" t="s">
        <v>168</v>
      </c>
      <c r="IEZ212" s="369">
        <v>0.5</v>
      </c>
      <c r="IFA212" s="370" t="e">
        <f>10/IEW210</f>
        <v>#DIV/0!</v>
      </c>
      <c r="IFB212" s="371">
        <v>15.38</v>
      </c>
      <c r="IFC212" s="371" t="e">
        <f>IEZ212*IFA212*IFB212</f>
        <v>#DIV/0!</v>
      </c>
      <c r="IFD212" s="367" t="s">
        <v>206</v>
      </c>
      <c r="IFE212" s="367"/>
      <c r="IFF212" s="367"/>
      <c r="IFG212" s="368" t="s">
        <v>168</v>
      </c>
      <c r="IFH212" s="369">
        <v>0.5</v>
      </c>
      <c r="IFI212" s="370" t="e">
        <f>10/IFE210</f>
        <v>#DIV/0!</v>
      </c>
      <c r="IFJ212" s="371">
        <v>15.38</v>
      </c>
      <c r="IFK212" s="371" t="e">
        <f>IFH212*IFI212*IFJ212</f>
        <v>#DIV/0!</v>
      </c>
      <c r="IFL212" s="367" t="s">
        <v>206</v>
      </c>
      <c r="IFM212" s="367"/>
      <c r="IFN212" s="367"/>
      <c r="IFO212" s="368" t="s">
        <v>168</v>
      </c>
      <c r="IFP212" s="369">
        <v>0.5</v>
      </c>
      <c r="IFQ212" s="370" t="e">
        <f>10/IFM210</f>
        <v>#DIV/0!</v>
      </c>
      <c r="IFR212" s="371">
        <v>15.38</v>
      </c>
      <c r="IFS212" s="371" t="e">
        <f>IFP212*IFQ212*IFR212</f>
        <v>#DIV/0!</v>
      </c>
      <c r="IFT212" s="367" t="s">
        <v>206</v>
      </c>
      <c r="IFU212" s="367"/>
      <c r="IFV212" s="367"/>
      <c r="IFW212" s="368" t="s">
        <v>168</v>
      </c>
      <c r="IFX212" s="369">
        <v>0.5</v>
      </c>
      <c r="IFY212" s="370" t="e">
        <f>10/IFU210</f>
        <v>#DIV/0!</v>
      </c>
      <c r="IFZ212" s="371">
        <v>15.38</v>
      </c>
      <c r="IGA212" s="371" t="e">
        <f>IFX212*IFY212*IFZ212</f>
        <v>#DIV/0!</v>
      </c>
      <c r="IGB212" s="367" t="s">
        <v>206</v>
      </c>
      <c r="IGC212" s="367"/>
      <c r="IGD212" s="367"/>
      <c r="IGE212" s="368" t="s">
        <v>168</v>
      </c>
      <c r="IGF212" s="369">
        <v>0.5</v>
      </c>
      <c r="IGG212" s="370" t="e">
        <f>10/IGC210</f>
        <v>#DIV/0!</v>
      </c>
      <c r="IGH212" s="371">
        <v>15.38</v>
      </c>
      <c r="IGI212" s="371" t="e">
        <f>IGF212*IGG212*IGH212</f>
        <v>#DIV/0!</v>
      </c>
      <c r="IGJ212" s="367" t="s">
        <v>206</v>
      </c>
      <c r="IGK212" s="367"/>
      <c r="IGL212" s="367"/>
      <c r="IGM212" s="368" t="s">
        <v>168</v>
      </c>
      <c r="IGN212" s="369">
        <v>0.5</v>
      </c>
      <c r="IGO212" s="370" t="e">
        <f>10/IGK210</f>
        <v>#DIV/0!</v>
      </c>
      <c r="IGP212" s="371">
        <v>15.38</v>
      </c>
      <c r="IGQ212" s="371" t="e">
        <f>IGN212*IGO212*IGP212</f>
        <v>#DIV/0!</v>
      </c>
      <c r="IGR212" s="367" t="s">
        <v>206</v>
      </c>
      <c r="IGS212" s="367"/>
      <c r="IGT212" s="367"/>
      <c r="IGU212" s="368" t="s">
        <v>168</v>
      </c>
      <c r="IGV212" s="369">
        <v>0.5</v>
      </c>
      <c r="IGW212" s="370" t="e">
        <f>10/IGS210</f>
        <v>#DIV/0!</v>
      </c>
      <c r="IGX212" s="371">
        <v>15.38</v>
      </c>
      <c r="IGY212" s="371" t="e">
        <f>IGV212*IGW212*IGX212</f>
        <v>#DIV/0!</v>
      </c>
      <c r="IGZ212" s="367" t="s">
        <v>206</v>
      </c>
      <c r="IHA212" s="367"/>
      <c r="IHB212" s="367"/>
      <c r="IHC212" s="368" t="s">
        <v>168</v>
      </c>
      <c r="IHD212" s="369">
        <v>0.5</v>
      </c>
      <c r="IHE212" s="370" t="e">
        <f>10/IHA210</f>
        <v>#DIV/0!</v>
      </c>
      <c r="IHF212" s="371">
        <v>15.38</v>
      </c>
      <c r="IHG212" s="371" t="e">
        <f>IHD212*IHE212*IHF212</f>
        <v>#DIV/0!</v>
      </c>
      <c r="IHH212" s="367" t="s">
        <v>206</v>
      </c>
      <c r="IHI212" s="367"/>
      <c r="IHJ212" s="367"/>
      <c r="IHK212" s="368" t="s">
        <v>168</v>
      </c>
      <c r="IHL212" s="369">
        <v>0.5</v>
      </c>
      <c r="IHM212" s="370" t="e">
        <f>10/IHI210</f>
        <v>#DIV/0!</v>
      </c>
      <c r="IHN212" s="371">
        <v>15.38</v>
      </c>
      <c r="IHO212" s="371" t="e">
        <f>IHL212*IHM212*IHN212</f>
        <v>#DIV/0!</v>
      </c>
      <c r="IHP212" s="367" t="s">
        <v>206</v>
      </c>
      <c r="IHQ212" s="367"/>
      <c r="IHR212" s="367"/>
      <c r="IHS212" s="368" t="s">
        <v>168</v>
      </c>
      <c r="IHT212" s="369">
        <v>0.5</v>
      </c>
      <c r="IHU212" s="370" t="e">
        <f>10/IHQ210</f>
        <v>#DIV/0!</v>
      </c>
      <c r="IHV212" s="371">
        <v>15.38</v>
      </c>
      <c r="IHW212" s="371" t="e">
        <f>IHT212*IHU212*IHV212</f>
        <v>#DIV/0!</v>
      </c>
      <c r="IHX212" s="367" t="s">
        <v>206</v>
      </c>
      <c r="IHY212" s="367"/>
      <c r="IHZ212" s="367"/>
      <c r="IIA212" s="368" t="s">
        <v>168</v>
      </c>
      <c r="IIB212" s="369">
        <v>0.5</v>
      </c>
      <c r="IIC212" s="370" t="e">
        <f>10/IHY210</f>
        <v>#DIV/0!</v>
      </c>
      <c r="IID212" s="371">
        <v>15.38</v>
      </c>
      <c r="IIE212" s="371" t="e">
        <f>IIB212*IIC212*IID212</f>
        <v>#DIV/0!</v>
      </c>
      <c r="IIF212" s="367" t="s">
        <v>206</v>
      </c>
      <c r="IIG212" s="367"/>
      <c r="IIH212" s="367"/>
      <c r="III212" s="368" t="s">
        <v>168</v>
      </c>
      <c r="IIJ212" s="369">
        <v>0.5</v>
      </c>
      <c r="IIK212" s="370" t="e">
        <f>10/IIG210</f>
        <v>#DIV/0!</v>
      </c>
      <c r="IIL212" s="371">
        <v>15.38</v>
      </c>
      <c r="IIM212" s="371" t="e">
        <f>IIJ212*IIK212*IIL212</f>
        <v>#DIV/0!</v>
      </c>
      <c r="IIN212" s="367" t="s">
        <v>206</v>
      </c>
      <c r="IIO212" s="367"/>
      <c r="IIP212" s="367"/>
      <c r="IIQ212" s="368" t="s">
        <v>168</v>
      </c>
      <c r="IIR212" s="369">
        <v>0.5</v>
      </c>
      <c r="IIS212" s="370" t="e">
        <f>10/IIO210</f>
        <v>#DIV/0!</v>
      </c>
      <c r="IIT212" s="371">
        <v>15.38</v>
      </c>
      <c r="IIU212" s="371" t="e">
        <f>IIR212*IIS212*IIT212</f>
        <v>#DIV/0!</v>
      </c>
      <c r="IIV212" s="367" t="s">
        <v>206</v>
      </c>
      <c r="IIW212" s="367"/>
      <c r="IIX212" s="367"/>
      <c r="IIY212" s="368" t="s">
        <v>168</v>
      </c>
      <c r="IIZ212" s="369">
        <v>0.5</v>
      </c>
      <c r="IJA212" s="370" t="e">
        <f>10/IIW210</f>
        <v>#DIV/0!</v>
      </c>
      <c r="IJB212" s="371">
        <v>15.38</v>
      </c>
      <c r="IJC212" s="371" t="e">
        <f>IIZ212*IJA212*IJB212</f>
        <v>#DIV/0!</v>
      </c>
      <c r="IJD212" s="367" t="s">
        <v>206</v>
      </c>
      <c r="IJE212" s="367"/>
      <c r="IJF212" s="367"/>
      <c r="IJG212" s="368" t="s">
        <v>168</v>
      </c>
      <c r="IJH212" s="369">
        <v>0.5</v>
      </c>
      <c r="IJI212" s="370" t="e">
        <f>10/IJE210</f>
        <v>#DIV/0!</v>
      </c>
      <c r="IJJ212" s="371">
        <v>15.38</v>
      </c>
      <c r="IJK212" s="371" t="e">
        <f>IJH212*IJI212*IJJ212</f>
        <v>#DIV/0!</v>
      </c>
      <c r="IJL212" s="367" t="s">
        <v>206</v>
      </c>
      <c r="IJM212" s="367"/>
      <c r="IJN212" s="367"/>
      <c r="IJO212" s="368" t="s">
        <v>168</v>
      </c>
      <c r="IJP212" s="369">
        <v>0.5</v>
      </c>
      <c r="IJQ212" s="370" t="e">
        <f>10/IJM210</f>
        <v>#DIV/0!</v>
      </c>
      <c r="IJR212" s="371">
        <v>15.38</v>
      </c>
      <c r="IJS212" s="371" t="e">
        <f>IJP212*IJQ212*IJR212</f>
        <v>#DIV/0!</v>
      </c>
      <c r="IJT212" s="367" t="s">
        <v>206</v>
      </c>
      <c r="IJU212" s="367"/>
      <c r="IJV212" s="367"/>
      <c r="IJW212" s="368" t="s">
        <v>168</v>
      </c>
      <c r="IJX212" s="369">
        <v>0.5</v>
      </c>
      <c r="IJY212" s="370" t="e">
        <f>10/IJU210</f>
        <v>#DIV/0!</v>
      </c>
      <c r="IJZ212" s="371">
        <v>15.38</v>
      </c>
      <c r="IKA212" s="371" t="e">
        <f>IJX212*IJY212*IJZ212</f>
        <v>#DIV/0!</v>
      </c>
      <c r="IKB212" s="367" t="s">
        <v>206</v>
      </c>
      <c r="IKC212" s="367"/>
      <c r="IKD212" s="367"/>
      <c r="IKE212" s="368" t="s">
        <v>168</v>
      </c>
      <c r="IKF212" s="369">
        <v>0.5</v>
      </c>
      <c r="IKG212" s="370" t="e">
        <f>10/IKC210</f>
        <v>#DIV/0!</v>
      </c>
      <c r="IKH212" s="371">
        <v>15.38</v>
      </c>
      <c r="IKI212" s="371" t="e">
        <f>IKF212*IKG212*IKH212</f>
        <v>#DIV/0!</v>
      </c>
      <c r="IKJ212" s="367" t="s">
        <v>206</v>
      </c>
      <c r="IKK212" s="367"/>
      <c r="IKL212" s="367"/>
      <c r="IKM212" s="368" t="s">
        <v>168</v>
      </c>
      <c r="IKN212" s="369">
        <v>0.5</v>
      </c>
      <c r="IKO212" s="370" t="e">
        <f>10/IKK210</f>
        <v>#DIV/0!</v>
      </c>
      <c r="IKP212" s="371">
        <v>15.38</v>
      </c>
      <c r="IKQ212" s="371" t="e">
        <f>IKN212*IKO212*IKP212</f>
        <v>#DIV/0!</v>
      </c>
      <c r="IKR212" s="367" t="s">
        <v>206</v>
      </c>
      <c r="IKS212" s="367"/>
      <c r="IKT212" s="367"/>
      <c r="IKU212" s="368" t="s">
        <v>168</v>
      </c>
      <c r="IKV212" s="369">
        <v>0.5</v>
      </c>
      <c r="IKW212" s="370" t="e">
        <f>10/IKS210</f>
        <v>#DIV/0!</v>
      </c>
      <c r="IKX212" s="371">
        <v>15.38</v>
      </c>
      <c r="IKY212" s="371" t="e">
        <f>IKV212*IKW212*IKX212</f>
        <v>#DIV/0!</v>
      </c>
      <c r="IKZ212" s="367" t="s">
        <v>206</v>
      </c>
      <c r="ILA212" s="367"/>
      <c r="ILB212" s="367"/>
      <c r="ILC212" s="368" t="s">
        <v>168</v>
      </c>
      <c r="ILD212" s="369">
        <v>0.5</v>
      </c>
      <c r="ILE212" s="370" t="e">
        <f>10/ILA210</f>
        <v>#DIV/0!</v>
      </c>
      <c r="ILF212" s="371">
        <v>15.38</v>
      </c>
      <c r="ILG212" s="371" t="e">
        <f>ILD212*ILE212*ILF212</f>
        <v>#DIV/0!</v>
      </c>
      <c r="ILH212" s="367" t="s">
        <v>206</v>
      </c>
      <c r="ILI212" s="367"/>
      <c r="ILJ212" s="367"/>
      <c r="ILK212" s="368" t="s">
        <v>168</v>
      </c>
      <c r="ILL212" s="369">
        <v>0.5</v>
      </c>
      <c r="ILM212" s="370" t="e">
        <f>10/ILI210</f>
        <v>#DIV/0!</v>
      </c>
      <c r="ILN212" s="371">
        <v>15.38</v>
      </c>
      <c r="ILO212" s="371" t="e">
        <f>ILL212*ILM212*ILN212</f>
        <v>#DIV/0!</v>
      </c>
      <c r="ILP212" s="367" t="s">
        <v>206</v>
      </c>
      <c r="ILQ212" s="367"/>
      <c r="ILR212" s="367"/>
      <c r="ILS212" s="368" t="s">
        <v>168</v>
      </c>
      <c r="ILT212" s="369">
        <v>0.5</v>
      </c>
      <c r="ILU212" s="370" t="e">
        <f>10/ILQ210</f>
        <v>#DIV/0!</v>
      </c>
      <c r="ILV212" s="371">
        <v>15.38</v>
      </c>
      <c r="ILW212" s="371" t="e">
        <f>ILT212*ILU212*ILV212</f>
        <v>#DIV/0!</v>
      </c>
      <c r="ILX212" s="367" t="s">
        <v>206</v>
      </c>
      <c r="ILY212" s="367"/>
      <c r="ILZ212" s="367"/>
      <c r="IMA212" s="368" t="s">
        <v>168</v>
      </c>
      <c r="IMB212" s="369">
        <v>0.5</v>
      </c>
      <c r="IMC212" s="370" t="e">
        <f>10/ILY210</f>
        <v>#DIV/0!</v>
      </c>
      <c r="IMD212" s="371">
        <v>15.38</v>
      </c>
      <c r="IME212" s="371" t="e">
        <f>IMB212*IMC212*IMD212</f>
        <v>#DIV/0!</v>
      </c>
      <c r="IMF212" s="367" t="s">
        <v>206</v>
      </c>
      <c r="IMG212" s="367"/>
      <c r="IMH212" s="367"/>
      <c r="IMI212" s="368" t="s">
        <v>168</v>
      </c>
      <c r="IMJ212" s="369">
        <v>0.5</v>
      </c>
      <c r="IMK212" s="370" t="e">
        <f>10/IMG210</f>
        <v>#DIV/0!</v>
      </c>
      <c r="IML212" s="371">
        <v>15.38</v>
      </c>
      <c r="IMM212" s="371" t="e">
        <f>IMJ212*IMK212*IML212</f>
        <v>#DIV/0!</v>
      </c>
      <c r="IMN212" s="367" t="s">
        <v>206</v>
      </c>
      <c r="IMO212" s="367"/>
      <c r="IMP212" s="367"/>
      <c r="IMQ212" s="368" t="s">
        <v>168</v>
      </c>
      <c r="IMR212" s="369">
        <v>0.5</v>
      </c>
      <c r="IMS212" s="370" t="e">
        <f>10/IMO210</f>
        <v>#DIV/0!</v>
      </c>
      <c r="IMT212" s="371">
        <v>15.38</v>
      </c>
      <c r="IMU212" s="371" t="e">
        <f>IMR212*IMS212*IMT212</f>
        <v>#DIV/0!</v>
      </c>
      <c r="IMV212" s="367" t="s">
        <v>206</v>
      </c>
      <c r="IMW212" s="367"/>
      <c r="IMX212" s="367"/>
      <c r="IMY212" s="368" t="s">
        <v>168</v>
      </c>
      <c r="IMZ212" s="369">
        <v>0.5</v>
      </c>
      <c r="INA212" s="370" t="e">
        <f>10/IMW210</f>
        <v>#DIV/0!</v>
      </c>
      <c r="INB212" s="371">
        <v>15.38</v>
      </c>
      <c r="INC212" s="371" t="e">
        <f>IMZ212*INA212*INB212</f>
        <v>#DIV/0!</v>
      </c>
      <c r="IND212" s="367" t="s">
        <v>206</v>
      </c>
      <c r="INE212" s="367"/>
      <c r="INF212" s="367"/>
      <c r="ING212" s="368" t="s">
        <v>168</v>
      </c>
      <c r="INH212" s="369">
        <v>0.5</v>
      </c>
      <c r="INI212" s="370" t="e">
        <f>10/INE210</f>
        <v>#DIV/0!</v>
      </c>
      <c r="INJ212" s="371">
        <v>15.38</v>
      </c>
      <c r="INK212" s="371" t="e">
        <f>INH212*INI212*INJ212</f>
        <v>#DIV/0!</v>
      </c>
      <c r="INL212" s="367" t="s">
        <v>206</v>
      </c>
      <c r="INM212" s="367"/>
      <c r="INN212" s="367"/>
      <c r="INO212" s="368" t="s">
        <v>168</v>
      </c>
      <c r="INP212" s="369">
        <v>0.5</v>
      </c>
      <c r="INQ212" s="370" t="e">
        <f>10/INM210</f>
        <v>#DIV/0!</v>
      </c>
      <c r="INR212" s="371">
        <v>15.38</v>
      </c>
      <c r="INS212" s="371" t="e">
        <f>INP212*INQ212*INR212</f>
        <v>#DIV/0!</v>
      </c>
      <c r="INT212" s="367" t="s">
        <v>206</v>
      </c>
      <c r="INU212" s="367"/>
      <c r="INV212" s="367"/>
      <c r="INW212" s="368" t="s">
        <v>168</v>
      </c>
      <c r="INX212" s="369">
        <v>0.5</v>
      </c>
      <c r="INY212" s="370" t="e">
        <f>10/INU210</f>
        <v>#DIV/0!</v>
      </c>
      <c r="INZ212" s="371">
        <v>15.38</v>
      </c>
      <c r="IOA212" s="371" t="e">
        <f>INX212*INY212*INZ212</f>
        <v>#DIV/0!</v>
      </c>
      <c r="IOB212" s="367" t="s">
        <v>206</v>
      </c>
      <c r="IOC212" s="367"/>
      <c r="IOD212" s="367"/>
      <c r="IOE212" s="368" t="s">
        <v>168</v>
      </c>
      <c r="IOF212" s="369">
        <v>0.5</v>
      </c>
      <c r="IOG212" s="370" t="e">
        <f>10/IOC210</f>
        <v>#DIV/0!</v>
      </c>
      <c r="IOH212" s="371">
        <v>15.38</v>
      </c>
      <c r="IOI212" s="371" t="e">
        <f>IOF212*IOG212*IOH212</f>
        <v>#DIV/0!</v>
      </c>
      <c r="IOJ212" s="367" t="s">
        <v>206</v>
      </c>
      <c r="IOK212" s="367"/>
      <c r="IOL212" s="367"/>
      <c r="IOM212" s="368" t="s">
        <v>168</v>
      </c>
      <c r="ION212" s="369">
        <v>0.5</v>
      </c>
      <c r="IOO212" s="370" t="e">
        <f>10/IOK210</f>
        <v>#DIV/0!</v>
      </c>
      <c r="IOP212" s="371">
        <v>15.38</v>
      </c>
      <c r="IOQ212" s="371" t="e">
        <f>ION212*IOO212*IOP212</f>
        <v>#DIV/0!</v>
      </c>
      <c r="IOR212" s="367" t="s">
        <v>206</v>
      </c>
      <c r="IOS212" s="367"/>
      <c r="IOT212" s="367"/>
      <c r="IOU212" s="368" t="s">
        <v>168</v>
      </c>
      <c r="IOV212" s="369">
        <v>0.5</v>
      </c>
      <c r="IOW212" s="370" t="e">
        <f>10/IOS210</f>
        <v>#DIV/0!</v>
      </c>
      <c r="IOX212" s="371">
        <v>15.38</v>
      </c>
      <c r="IOY212" s="371" t="e">
        <f>IOV212*IOW212*IOX212</f>
        <v>#DIV/0!</v>
      </c>
      <c r="IOZ212" s="367" t="s">
        <v>206</v>
      </c>
      <c r="IPA212" s="367"/>
      <c r="IPB212" s="367"/>
      <c r="IPC212" s="368" t="s">
        <v>168</v>
      </c>
      <c r="IPD212" s="369">
        <v>0.5</v>
      </c>
      <c r="IPE212" s="370" t="e">
        <f>10/IPA210</f>
        <v>#DIV/0!</v>
      </c>
      <c r="IPF212" s="371">
        <v>15.38</v>
      </c>
      <c r="IPG212" s="371" t="e">
        <f>IPD212*IPE212*IPF212</f>
        <v>#DIV/0!</v>
      </c>
      <c r="IPH212" s="367" t="s">
        <v>206</v>
      </c>
      <c r="IPI212" s="367"/>
      <c r="IPJ212" s="367"/>
      <c r="IPK212" s="368" t="s">
        <v>168</v>
      </c>
      <c r="IPL212" s="369">
        <v>0.5</v>
      </c>
      <c r="IPM212" s="370" t="e">
        <f>10/IPI210</f>
        <v>#DIV/0!</v>
      </c>
      <c r="IPN212" s="371">
        <v>15.38</v>
      </c>
      <c r="IPO212" s="371" t="e">
        <f>IPL212*IPM212*IPN212</f>
        <v>#DIV/0!</v>
      </c>
      <c r="IPP212" s="367" t="s">
        <v>206</v>
      </c>
      <c r="IPQ212" s="367"/>
      <c r="IPR212" s="367"/>
      <c r="IPS212" s="368" t="s">
        <v>168</v>
      </c>
      <c r="IPT212" s="369">
        <v>0.5</v>
      </c>
      <c r="IPU212" s="370" t="e">
        <f>10/IPQ210</f>
        <v>#DIV/0!</v>
      </c>
      <c r="IPV212" s="371">
        <v>15.38</v>
      </c>
      <c r="IPW212" s="371" t="e">
        <f>IPT212*IPU212*IPV212</f>
        <v>#DIV/0!</v>
      </c>
      <c r="IPX212" s="367" t="s">
        <v>206</v>
      </c>
      <c r="IPY212" s="367"/>
      <c r="IPZ212" s="367"/>
      <c r="IQA212" s="368" t="s">
        <v>168</v>
      </c>
      <c r="IQB212" s="369">
        <v>0.5</v>
      </c>
      <c r="IQC212" s="370" t="e">
        <f>10/IPY210</f>
        <v>#DIV/0!</v>
      </c>
      <c r="IQD212" s="371">
        <v>15.38</v>
      </c>
      <c r="IQE212" s="371" t="e">
        <f>IQB212*IQC212*IQD212</f>
        <v>#DIV/0!</v>
      </c>
      <c r="IQF212" s="367" t="s">
        <v>206</v>
      </c>
      <c r="IQG212" s="367"/>
      <c r="IQH212" s="367"/>
      <c r="IQI212" s="368" t="s">
        <v>168</v>
      </c>
      <c r="IQJ212" s="369">
        <v>0.5</v>
      </c>
      <c r="IQK212" s="370" t="e">
        <f>10/IQG210</f>
        <v>#DIV/0!</v>
      </c>
      <c r="IQL212" s="371">
        <v>15.38</v>
      </c>
      <c r="IQM212" s="371" t="e">
        <f>IQJ212*IQK212*IQL212</f>
        <v>#DIV/0!</v>
      </c>
      <c r="IQN212" s="367" t="s">
        <v>206</v>
      </c>
      <c r="IQO212" s="367"/>
      <c r="IQP212" s="367"/>
      <c r="IQQ212" s="368" t="s">
        <v>168</v>
      </c>
      <c r="IQR212" s="369">
        <v>0.5</v>
      </c>
      <c r="IQS212" s="370" t="e">
        <f>10/IQO210</f>
        <v>#DIV/0!</v>
      </c>
      <c r="IQT212" s="371">
        <v>15.38</v>
      </c>
      <c r="IQU212" s="371" t="e">
        <f>IQR212*IQS212*IQT212</f>
        <v>#DIV/0!</v>
      </c>
      <c r="IQV212" s="367" t="s">
        <v>206</v>
      </c>
      <c r="IQW212" s="367"/>
      <c r="IQX212" s="367"/>
      <c r="IQY212" s="368" t="s">
        <v>168</v>
      </c>
      <c r="IQZ212" s="369">
        <v>0.5</v>
      </c>
      <c r="IRA212" s="370" t="e">
        <f>10/IQW210</f>
        <v>#DIV/0!</v>
      </c>
      <c r="IRB212" s="371">
        <v>15.38</v>
      </c>
      <c r="IRC212" s="371" t="e">
        <f>IQZ212*IRA212*IRB212</f>
        <v>#DIV/0!</v>
      </c>
      <c r="IRD212" s="367" t="s">
        <v>206</v>
      </c>
      <c r="IRE212" s="367"/>
      <c r="IRF212" s="367"/>
      <c r="IRG212" s="368" t="s">
        <v>168</v>
      </c>
      <c r="IRH212" s="369">
        <v>0.5</v>
      </c>
      <c r="IRI212" s="370" t="e">
        <f>10/IRE210</f>
        <v>#DIV/0!</v>
      </c>
      <c r="IRJ212" s="371">
        <v>15.38</v>
      </c>
      <c r="IRK212" s="371" t="e">
        <f>IRH212*IRI212*IRJ212</f>
        <v>#DIV/0!</v>
      </c>
      <c r="IRL212" s="367" t="s">
        <v>206</v>
      </c>
      <c r="IRM212" s="367"/>
      <c r="IRN212" s="367"/>
      <c r="IRO212" s="368" t="s">
        <v>168</v>
      </c>
      <c r="IRP212" s="369">
        <v>0.5</v>
      </c>
      <c r="IRQ212" s="370" t="e">
        <f>10/IRM210</f>
        <v>#DIV/0!</v>
      </c>
      <c r="IRR212" s="371">
        <v>15.38</v>
      </c>
      <c r="IRS212" s="371" t="e">
        <f>IRP212*IRQ212*IRR212</f>
        <v>#DIV/0!</v>
      </c>
      <c r="IRT212" s="367" t="s">
        <v>206</v>
      </c>
      <c r="IRU212" s="367"/>
      <c r="IRV212" s="367"/>
      <c r="IRW212" s="368" t="s">
        <v>168</v>
      </c>
      <c r="IRX212" s="369">
        <v>0.5</v>
      </c>
      <c r="IRY212" s="370" t="e">
        <f>10/IRU210</f>
        <v>#DIV/0!</v>
      </c>
      <c r="IRZ212" s="371">
        <v>15.38</v>
      </c>
      <c r="ISA212" s="371" t="e">
        <f>IRX212*IRY212*IRZ212</f>
        <v>#DIV/0!</v>
      </c>
      <c r="ISB212" s="367" t="s">
        <v>206</v>
      </c>
      <c r="ISC212" s="367"/>
      <c r="ISD212" s="367"/>
      <c r="ISE212" s="368" t="s">
        <v>168</v>
      </c>
      <c r="ISF212" s="369">
        <v>0.5</v>
      </c>
      <c r="ISG212" s="370" t="e">
        <f>10/ISC210</f>
        <v>#DIV/0!</v>
      </c>
      <c r="ISH212" s="371">
        <v>15.38</v>
      </c>
      <c r="ISI212" s="371" t="e">
        <f>ISF212*ISG212*ISH212</f>
        <v>#DIV/0!</v>
      </c>
      <c r="ISJ212" s="367" t="s">
        <v>206</v>
      </c>
      <c r="ISK212" s="367"/>
      <c r="ISL212" s="367"/>
      <c r="ISM212" s="368" t="s">
        <v>168</v>
      </c>
      <c r="ISN212" s="369">
        <v>0.5</v>
      </c>
      <c r="ISO212" s="370" t="e">
        <f>10/ISK210</f>
        <v>#DIV/0!</v>
      </c>
      <c r="ISP212" s="371">
        <v>15.38</v>
      </c>
      <c r="ISQ212" s="371" t="e">
        <f>ISN212*ISO212*ISP212</f>
        <v>#DIV/0!</v>
      </c>
      <c r="ISR212" s="367" t="s">
        <v>206</v>
      </c>
      <c r="ISS212" s="367"/>
      <c r="IST212" s="367"/>
      <c r="ISU212" s="368" t="s">
        <v>168</v>
      </c>
      <c r="ISV212" s="369">
        <v>0.5</v>
      </c>
      <c r="ISW212" s="370" t="e">
        <f>10/ISS210</f>
        <v>#DIV/0!</v>
      </c>
      <c r="ISX212" s="371">
        <v>15.38</v>
      </c>
      <c r="ISY212" s="371" t="e">
        <f>ISV212*ISW212*ISX212</f>
        <v>#DIV/0!</v>
      </c>
      <c r="ISZ212" s="367" t="s">
        <v>206</v>
      </c>
      <c r="ITA212" s="367"/>
      <c r="ITB212" s="367"/>
      <c r="ITC212" s="368" t="s">
        <v>168</v>
      </c>
      <c r="ITD212" s="369">
        <v>0.5</v>
      </c>
      <c r="ITE212" s="370" t="e">
        <f>10/ITA210</f>
        <v>#DIV/0!</v>
      </c>
      <c r="ITF212" s="371">
        <v>15.38</v>
      </c>
      <c r="ITG212" s="371" t="e">
        <f>ITD212*ITE212*ITF212</f>
        <v>#DIV/0!</v>
      </c>
      <c r="ITH212" s="367" t="s">
        <v>206</v>
      </c>
      <c r="ITI212" s="367"/>
      <c r="ITJ212" s="367"/>
      <c r="ITK212" s="368" t="s">
        <v>168</v>
      </c>
      <c r="ITL212" s="369">
        <v>0.5</v>
      </c>
      <c r="ITM212" s="370" t="e">
        <f>10/ITI210</f>
        <v>#DIV/0!</v>
      </c>
      <c r="ITN212" s="371">
        <v>15.38</v>
      </c>
      <c r="ITO212" s="371" t="e">
        <f>ITL212*ITM212*ITN212</f>
        <v>#DIV/0!</v>
      </c>
      <c r="ITP212" s="367" t="s">
        <v>206</v>
      </c>
      <c r="ITQ212" s="367"/>
      <c r="ITR212" s="367"/>
      <c r="ITS212" s="368" t="s">
        <v>168</v>
      </c>
      <c r="ITT212" s="369">
        <v>0.5</v>
      </c>
      <c r="ITU212" s="370" t="e">
        <f>10/ITQ210</f>
        <v>#DIV/0!</v>
      </c>
      <c r="ITV212" s="371">
        <v>15.38</v>
      </c>
      <c r="ITW212" s="371" t="e">
        <f>ITT212*ITU212*ITV212</f>
        <v>#DIV/0!</v>
      </c>
      <c r="ITX212" s="367" t="s">
        <v>206</v>
      </c>
      <c r="ITY212" s="367"/>
      <c r="ITZ212" s="367"/>
      <c r="IUA212" s="368" t="s">
        <v>168</v>
      </c>
      <c r="IUB212" s="369">
        <v>0.5</v>
      </c>
      <c r="IUC212" s="370" t="e">
        <f>10/ITY210</f>
        <v>#DIV/0!</v>
      </c>
      <c r="IUD212" s="371">
        <v>15.38</v>
      </c>
      <c r="IUE212" s="371" t="e">
        <f>IUB212*IUC212*IUD212</f>
        <v>#DIV/0!</v>
      </c>
      <c r="IUF212" s="367" t="s">
        <v>206</v>
      </c>
      <c r="IUG212" s="367"/>
      <c r="IUH212" s="367"/>
      <c r="IUI212" s="368" t="s">
        <v>168</v>
      </c>
      <c r="IUJ212" s="369">
        <v>0.5</v>
      </c>
      <c r="IUK212" s="370" t="e">
        <f>10/IUG210</f>
        <v>#DIV/0!</v>
      </c>
      <c r="IUL212" s="371">
        <v>15.38</v>
      </c>
      <c r="IUM212" s="371" t="e">
        <f>IUJ212*IUK212*IUL212</f>
        <v>#DIV/0!</v>
      </c>
      <c r="IUN212" s="367" t="s">
        <v>206</v>
      </c>
      <c r="IUO212" s="367"/>
      <c r="IUP212" s="367"/>
      <c r="IUQ212" s="368" t="s">
        <v>168</v>
      </c>
      <c r="IUR212" s="369">
        <v>0.5</v>
      </c>
      <c r="IUS212" s="370" t="e">
        <f>10/IUO210</f>
        <v>#DIV/0!</v>
      </c>
      <c r="IUT212" s="371">
        <v>15.38</v>
      </c>
      <c r="IUU212" s="371" t="e">
        <f>IUR212*IUS212*IUT212</f>
        <v>#DIV/0!</v>
      </c>
      <c r="IUV212" s="367" t="s">
        <v>206</v>
      </c>
      <c r="IUW212" s="367"/>
      <c r="IUX212" s="367"/>
      <c r="IUY212" s="368" t="s">
        <v>168</v>
      </c>
      <c r="IUZ212" s="369">
        <v>0.5</v>
      </c>
      <c r="IVA212" s="370" t="e">
        <f>10/IUW210</f>
        <v>#DIV/0!</v>
      </c>
      <c r="IVB212" s="371">
        <v>15.38</v>
      </c>
      <c r="IVC212" s="371" t="e">
        <f>IUZ212*IVA212*IVB212</f>
        <v>#DIV/0!</v>
      </c>
      <c r="IVD212" s="367" t="s">
        <v>206</v>
      </c>
      <c r="IVE212" s="367"/>
      <c r="IVF212" s="367"/>
      <c r="IVG212" s="368" t="s">
        <v>168</v>
      </c>
      <c r="IVH212" s="369">
        <v>0.5</v>
      </c>
      <c r="IVI212" s="370" t="e">
        <f>10/IVE210</f>
        <v>#DIV/0!</v>
      </c>
      <c r="IVJ212" s="371">
        <v>15.38</v>
      </c>
      <c r="IVK212" s="371" t="e">
        <f>IVH212*IVI212*IVJ212</f>
        <v>#DIV/0!</v>
      </c>
      <c r="IVL212" s="367" t="s">
        <v>206</v>
      </c>
      <c r="IVM212" s="367"/>
      <c r="IVN212" s="367"/>
      <c r="IVO212" s="368" t="s">
        <v>168</v>
      </c>
      <c r="IVP212" s="369">
        <v>0.5</v>
      </c>
      <c r="IVQ212" s="370" t="e">
        <f>10/IVM210</f>
        <v>#DIV/0!</v>
      </c>
      <c r="IVR212" s="371">
        <v>15.38</v>
      </c>
      <c r="IVS212" s="371" t="e">
        <f>IVP212*IVQ212*IVR212</f>
        <v>#DIV/0!</v>
      </c>
      <c r="IVT212" s="367" t="s">
        <v>206</v>
      </c>
      <c r="IVU212" s="367"/>
      <c r="IVV212" s="367"/>
      <c r="IVW212" s="368" t="s">
        <v>168</v>
      </c>
      <c r="IVX212" s="369">
        <v>0.5</v>
      </c>
      <c r="IVY212" s="370" t="e">
        <f>10/IVU210</f>
        <v>#DIV/0!</v>
      </c>
      <c r="IVZ212" s="371">
        <v>15.38</v>
      </c>
      <c r="IWA212" s="371" t="e">
        <f>IVX212*IVY212*IVZ212</f>
        <v>#DIV/0!</v>
      </c>
      <c r="IWB212" s="367" t="s">
        <v>206</v>
      </c>
      <c r="IWC212" s="367"/>
      <c r="IWD212" s="367"/>
      <c r="IWE212" s="368" t="s">
        <v>168</v>
      </c>
      <c r="IWF212" s="369">
        <v>0.5</v>
      </c>
      <c r="IWG212" s="370" t="e">
        <f>10/IWC210</f>
        <v>#DIV/0!</v>
      </c>
      <c r="IWH212" s="371">
        <v>15.38</v>
      </c>
      <c r="IWI212" s="371" t="e">
        <f>IWF212*IWG212*IWH212</f>
        <v>#DIV/0!</v>
      </c>
      <c r="IWJ212" s="367" t="s">
        <v>206</v>
      </c>
      <c r="IWK212" s="367"/>
      <c r="IWL212" s="367"/>
      <c r="IWM212" s="368" t="s">
        <v>168</v>
      </c>
      <c r="IWN212" s="369">
        <v>0.5</v>
      </c>
      <c r="IWO212" s="370" t="e">
        <f>10/IWK210</f>
        <v>#DIV/0!</v>
      </c>
      <c r="IWP212" s="371">
        <v>15.38</v>
      </c>
      <c r="IWQ212" s="371" t="e">
        <f>IWN212*IWO212*IWP212</f>
        <v>#DIV/0!</v>
      </c>
      <c r="IWR212" s="367" t="s">
        <v>206</v>
      </c>
      <c r="IWS212" s="367"/>
      <c r="IWT212" s="367"/>
      <c r="IWU212" s="368" t="s">
        <v>168</v>
      </c>
      <c r="IWV212" s="369">
        <v>0.5</v>
      </c>
      <c r="IWW212" s="370" t="e">
        <f>10/IWS210</f>
        <v>#DIV/0!</v>
      </c>
      <c r="IWX212" s="371">
        <v>15.38</v>
      </c>
      <c r="IWY212" s="371" t="e">
        <f>IWV212*IWW212*IWX212</f>
        <v>#DIV/0!</v>
      </c>
      <c r="IWZ212" s="367" t="s">
        <v>206</v>
      </c>
      <c r="IXA212" s="367"/>
      <c r="IXB212" s="367"/>
      <c r="IXC212" s="368" t="s">
        <v>168</v>
      </c>
      <c r="IXD212" s="369">
        <v>0.5</v>
      </c>
      <c r="IXE212" s="370" t="e">
        <f>10/IXA210</f>
        <v>#DIV/0!</v>
      </c>
      <c r="IXF212" s="371">
        <v>15.38</v>
      </c>
      <c r="IXG212" s="371" t="e">
        <f>IXD212*IXE212*IXF212</f>
        <v>#DIV/0!</v>
      </c>
      <c r="IXH212" s="367" t="s">
        <v>206</v>
      </c>
      <c r="IXI212" s="367"/>
      <c r="IXJ212" s="367"/>
      <c r="IXK212" s="368" t="s">
        <v>168</v>
      </c>
      <c r="IXL212" s="369">
        <v>0.5</v>
      </c>
      <c r="IXM212" s="370" t="e">
        <f>10/IXI210</f>
        <v>#DIV/0!</v>
      </c>
      <c r="IXN212" s="371">
        <v>15.38</v>
      </c>
      <c r="IXO212" s="371" t="e">
        <f>IXL212*IXM212*IXN212</f>
        <v>#DIV/0!</v>
      </c>
      <c r="IXP212" s="367" t="s">
        <v>206</v>
      </c>
      <c r="IXQ212" s="367"/>
      <c r="IXR212" s="367"/>
      <c r="IXS212" s="368" t="s">
        <v>168</v>
      </c>
      <c r="IXT212" s="369">
        <v>0.5</v>
      </c>
      <c r="IXU212" s="370" t="e">
        <f>10/IXQ210</f>
        <v>#DIV/0!</v>
      </c>
      <c r="IXV212" s="371">
        <v>15.38</v>
      </c>
      <c r="IXW212" s="371" t="e">
        <f>IXT212*IXU212*IXV212</f>
        <v>#DIV/0!</v>
      </c>
      <c r="IXX212" s="367" t="s">
        <v>206</v>
      </c>
      <c r="IXY212" s="367"/>
      <c r="IXZ212" s="367"/>
      <c r="IYA212" s="368" t="s">
        <v>168</v>
      </c>
      <c r="IYB212" s="369">
        <v>0.5</v>
      </c>
      <c r="IYC212" s="370" t="e">
        <f>10/IXY210</f>
        <v>#DIV/0!</v>
      </c>
      <c r="IYD212" s="371">
        <v>15.38</v>
      </c>
      <c r="IYE212" s="371" t="e">
        <f>IYB212*IYC212*IYD212</f>
        <v>#DIV/0!</v>
      </c>
      <c r="IYF212" s="367" t="s">
        <v>206</v>
      </c>
      <c r="IYG212" s="367"/>
      <c r="IYH212" s="367"/>
      <c r="IYI212" s="368" t="s">
        <v>168</v>
      </c>
      <c r="IYJ212" s="369">
        <v>0.5</v>
      </c>
      <c r="IYK212" s="370" t="e">
        <f>10/IYG210</f>
        <v>#DIV/0!</v>
      </c>
      <c r="IYL212" s="371">
        <v>15.38</v>
      </c>
      <c r="IYM212" s="371" t="e">
        <f>IYJ212*IYK212*IYL212</f>
        <v>#DIV/0!</v>
      </c>
      <c r="IYN212" s="367" t="s">
        <v>206</v>
      </c>
      <c r="IYO212" s="367"/>
      <c r="IYP212" s="367"/>
      <c r="IYQ212" s="368" t="s">
        <v>168</v>
      </c>
      <c r="IYR212" s="369">
        <v>0.5</v>
      </c>
      <c r="IYS212" s="370" t="e">
        <f>10/IYO210</f>
        <v>#DIV/0!</v>
      </c>
      <c r="IYT212" s="371">
        <v>15.38</v>
      </c>
      <c r="IYU212" s="371" t="e">
        <f>IYR212*IYS212*IYT212</f>
        <v>#DIV/0!</v>
      </c>
      <c r="IYV212" s="367" t="s">
        <v>206</v>
      </c>
      <c r="IYW212" s="367"/>
      <c r="IYX212" s="367"/>
      <c r="IYY212" s="368" t="s">
        <v>168</v>
      </c>
      <c r="IYZ212" s="369">
        <v>0.5</v>
      </c>
      <c r="IZA212" s="370" t="e">
        <f>10/IYW210</f>
        <v>#DIV/0!</v>
      </c>
      <c r="IZB212" s="371">
        <v>15.38</v>
      </c>
      <c r="IZC212" s="371" t="e">
        <f>IYZ212*IZA212*IZB212</f>
        <v>#DIV/0!</v>
      </c>
      <c r="IZD212" s="367" t="s">
        <v>206</v>
      </c>
      <c r="IZE212" s="367"/>
      <c r="IZF212" s="367"/>
      <c r="IZG212" s="368" t="s">
        <v>168</v>
      </c>
      <c r="IZH212" s="369">
        <v>0.5</v>
      </c>
      <c r="IZI212" s="370" t="e">
        <f>10/IZE210</f>
        <v>#DIV/0!</v>
      </c>
      <c r="IZJ212" s="371">
        <v>15.38</v>
      </c>
      <c r="IZK212" s="371" t="e">
        <f>IZH212*IZI212*IZJ212</f>
        <v>#DIV/0!</v>
      </c>
      <c r="IZL212" s="367" t="s">
        <v>206</v>
      </c>
      <c r="IZM212" s="367"/>
      <c r="IZN212" s="367"/>
      <c r="IZO212" s="368" t="s">
        <v>168</v>
      </c>
      <c r="IZP212" s="369">
        <v>0.5</v>
      </c>
      <c r="IZQ212" s="370" t="e">
        <f>10/IZM210</f>
        <v>#DIV/0!</v>
      </c>
      <c r="IZR212" s="371">
        <v>15.38</v>
      </c>
      <c r="IZS212" s="371" t="e">
        <f>IZP212*IZQ212*IZR212</f>
        <v>#DIV/0!</v>
      </c>
      <c r="IZT212" s="367" t="s">
        <v>206</v>
      </c>
      <c r="IZU212" s="367"/>
      <c r="IZV212" s="367"/>
      <c r="IZW212" s="368" t="s">
        <v>168</v>
      </c>
      <c r="IZX212" s="369">
        <v>0.5</v>
      </c>
      <c r="IZY212" s="370" t="e">
        <f>10/IZU210</f>
        <v>#DIV/0!</v>
      </c>
      <c r="IZZ212" s="371">
        <v>15.38</v>
      </c>
      <c r="JAA212" s="371" t="e">
        <f>IZX212*IZY212*IZZ212</f>
        <v>#DIV/0!</v>
      </c>
      <c r="JAB212" s="367" t="s">
        <v>206</v>
      </c>
      <c r="JAC212" s="367"/>
      <c r="JAD212" s="367"/>
      <c r="JAE212" s="368" t="s">
        <v>168</v>
      </c>
      <c r="JAF212" s="369">
        <v>0.5</v>
      </c>
      <c r="JAG212" s="370" t="e">
        <f>10/JAC210</f>
        <v>#DIV/0!</v>
      </c>
      <c r="JAH212" s="371">
        <v>15.38</v>
      </c>
      <c r="JAI212" s="371" t="e">
        <f>JAF212*JAG212*JAH212</f>
        <v>#DIV/0!</v>
      </c>
      <c r="JAJ212" s="367" t="s">
        <v>206</v>
      </c>
      <c r="JAK212" s="367"/>
      <c r="JAL212" s="367"/>
      <c r="JAM212" s="368" t="s">
        <v>168</v>
      </c>
      <c r="JAN212" s="369">
        <v>0.5</v>
      </c>
      <c r="JAO212" s="370" t="e">
        <f>10/JAK210</f>
        <v>#DIV/0!</v>
      </c>
      <c r="JAP212" s="371">
        <v>15.38</v>
      </c>
      <c r="JAQ212" s="371" t="e">
        <f>JAN212*JAO212*JAP212</f>
        <v>#DIV/0!</v>
      </c>
      <c r="JAR212" s="367" t="s">
        <v>206</v>
      </c>
      <c r="JAS212" s="367"/>
      <c r="JAT212" s="367"/>
      <c r="JAU212" s="368" t="s">
        <v>168</v>
      </c>
      <c r="JAV212" s="369">
        <v>0.5</v>
      </c>
      <c r="JAW212" s="370" t="e">
        <f>10/JAS210</f>
        <v>#DIV/0!</v>
      </c>
      <c r="JAX212" s="371">
        <v>15.38</v>
      </c>
      <c r="JAY212" s="371" t="e">
        <f>JAV212*JAW212*JAX212</f>
        <v>#DIV/0!</v>
      </c>
      <c r="JAZ212" s="367" t="s">
        <v>206</v>
      </c>
      <c r="JBA212" s="367"/>
      <c r="JBB212" s="367"/>
      <c r="JBC212" s="368" t="s">
        <v>168</v>
      </c>
      <c r="JBD212" s="369">
        <v>0.5</v>
      </c>
      <c r="JBE212" s="370" t="e">
        <f>10/JBA210</f>
        <v>#DIV/0!</v>
      </c>
      <c r="JBF212" s="371">
        <v>15.38</v>
      </c>
      <c r="JBG212" s="371" t="e">
        <f>JBD212*JBE212*JBF212</f>
        <v>#DIV/0!</v>
      </c>
      <c r="JBH212" s="367" t="s">
        <v>206</v>
      </c>
      <c r="JBI212" s="367"/>
      <c r="JBJ212" s="367"/>
      <c r="JBK212" s="368" t="s">
        <v>168</v>
      </c>
      <c r="JBL212" s="369">
        <v>0.5</v>
      </c>
      <c r="JBM212" s="370" t="e">
        <f>10/JBI210</f>
        <v>#DIV/0!</v>
      </c>
      <c r="JBN212" s="371">
        <v>15.38</v>
      </c>
      <c r="JBO212" s="371" t="e">
        <f>JBL212*JBM212*JBN212</f>
        <v>#DIV/0!</v>
      </c>
      <c r="JBP212" s="367" t="s">
        <v>206</v>
      </c>
      <c r="JBQ212" s="367"/>
      <c r="JBR212" s="367"/>
      <c r="JBS212" s="368" t="s">
        <v>168</v>
      </c>
      <c r="JBT212" s="369">
        <v>0.5</v>
      </c>
      <c r="JBU212" s="370" t="e">
        <f>10/JBQ210</f>
        <v>#DIV/0!</v>
      </c>
      <c r="JBV212" s="371">
        <v>15.38</v>
      </c>
      <c r="JBW212" s="371" t="e">
        <f>JBT212*JBU212*JBV212</f>
        <v>#DIV/0!</v>
      </c>
      <c r="JBX212" s="367" t="s">
        <v>206</v>
      </c>
      <c r="JBY212" s="367"/>
      <c r="JBZ212" s="367"/>
      <c r="JCA212" s="368" t="s">
        <v>168</v>
      </c>
      <c r="JCB212" s="369">
        <v>0.5</v>
      </c>
      <c r="JCC212" s="370" t="e">
        <f>10/JBY210</f>
        <v>#DIV/0!</v>
      </c>
      <c r="JCD212" s="371">
        <v>15.38</v>
      </c>
      <c r="JCE212" s="371" t="e">
        <f>JCB212*JCC212*JCD212</f>
        <v>#DIV/0!</v>
      </c>
      <c r="JCF212" s="367" t="s">
        <v>206</v>
      </c>
      <c r="JCG212" s="367"/>
      <c r="JCH212" s="367"/>
      <c r="JCI212" s="368" t="s">
        <v>168</v>
      </c>
      <c r="JCJ212" s="369">
        <v>0.5</v>
      </c>
      <c r="JCK212" s="370" t="e">
        <f>10/JCG210</f>
        <v>#DIV/0!</v>
      </c>
      <c r="JCL212" s="371">
        <v>15.38</v>
      </c>
      <c r="JCM212" s="371" t="e">
        <f>JCJ212*JCK212*JCL212</f>
        <v>#DIV/0!</v>
      </c>
      <c r="JCN212" s="367" t="s">
        <v>206</v>
      </c>
      <c r="JCO212" s="367"/>
      <c r="JCP212" s="367"/>
      <c r="JCQ212" s="368" t="s">
        <v>168</v>
      </c>
      <c r="JCR212" s="369">
        <v>0.5</v>
      </c>
      <c r="JCS212" s="370" t="e">
        <f>10/JCO210</f>
        <v>#DIV/0!</v>
      </c>
      <c r="JCT212" s="371">
        <v>15.38</v>
      </c>
      <c r="JCU212" s="371" t="e">
        <f>JCR212*JCS212*JCT212</f>
        <v>#DIV/0!</v>
      </c>
      <c r="JCV212" s="367" t="s">
        <v>206</v>
      </c>
      <c r="JCW212" s="367"/>
      <c r="JCX212" s="367"/>
      <c r="JCY212" s="368" t="s">
        <v>168</v>
      </c>
      <c r="JCZ212" s="369">
        <v>0.5</v>
      </c>
      <c r="JDA212" s="370" t="e">
        <f>10/JCW210</f>
        <v>#DIV/0!</v>
      </c>
      <c r="JDB212" s="371">
        <v>15.38</v>
      </c>
      <c r="JDC212" s="371" t="e">
        <f>JCZ212*JDA212*JDB212</f>
        <v>#DIV/0!</v>
      </c>
      <c r="JDD212" s="367" t="s">
        <v>206</v>
      </c>
      <c r="JDE212" s="367"/>
      <c r="JDF212" s="367"/>
      <c r="JDG212" s="368" t="s">
        <v>168</v>
      </c>
      <c r="JDH212" s="369">
        <v>0.5</v>
      </c>
      <c r="JDI212" s="370" t="e">
        <f>10/JDE210</f>
        <v>#DIV/0!</v>
      </c>
      <c r="JDJ212" s="371">
        <v>15.38</v>
      </c>
      <c r="JDK212" s="371" t="e">
        <f>JDH212*JDI212*JDJ212</f>
        <v>#DIV/0!</v>
      </c>
      <c r="JDL212" s="367" t="s">
        <v>206</v>
      </c>
      <c r="JDM212" s="367"/>
      <c r="JDN212" s="367"/>
      <c r="JDO212" s="368" t="s">
        <v>168</v>
      </c>
      <c r="JDP212" s="369">
        <v>0.5</v>
      </c>
      <c r="JDQ212" s="370" t="e">
        <f>10/JDM210</f>
        <v>#DIV/0!</v>
      </c>
      <c r="JDR212" s="371">
        <v>15.38</v>
      </c>
      <c r="JDS212" s="371" t="e">
        <f>JDP212*JDQ212*JDR212</f>
        <v>#DIV/0!</v>
      </c>
      <c r="JDT212" s="367" t="s">
        <v>206</v>
      </c>
      <c r="JDU212" s="367"/>
      <c r="JDV212" s="367"/>
      <c r="JDW212" s="368" t="s">
        <v>168</v>
      </c>
      <c r="JDX212" s="369">
        <v>0.5</v>
      </c>
      <c r="JDY212" s="370" t="e">
        <f>10/JDU210</f>
        <v>#DIV/0!</v>
      </c>
      <c r="JDZ212" s="371">
        <v>15.38</v>
      </c>
      <c r="JEA212" s="371" t="e">
        <f>JDX212*JDY212*JDZ212</f>
        <v>#DIV/0!</v>
      </c>
      <c r="JEB212" s="367" t="s">
        <v>206</v>
      </c>
      <c r="JEC212" s="367"/>
      <c r="JED212" s="367"/>
      <c r="JEE212" s="368" t="s">
        <v>168</v>
      </c>
      <c r="JEF212" s="369">
        <v>0.5</v>
      </c>
      <c r="JEG212" s="370" t="e">
        <f>10/JEC210</f>
        <v>#DIV/0!</v>
      </c>
      <c r="JEH212" s="371">
        <v>15.38</v>
      </c>
      <c r="JEI212" s="371" t="e">
        <f>JEF212*JEG212*JEH212</f>
        <v>#DIV/0!</v>
      </c>
      <c r="JEJ212" s="367" t="s">
        <v>206</v>
      </c>
      <c r="JEK212" s="367"/>
      <c r="JEL212" s="367"/>
      <c r="JEM212" s="368" t="s">
        <v>168</v>
      </c>
      <c r="JEN212" s="369">
        <v>0.5</v>
      </c>
      <c r="JEO212" s="370" t="e">
        <f>10/JEK210</f>
        <v>#DIV/0!</v>
      </c>
      <c r="JEP212" s="371">
        <v>15.38</v>
      </c>
      <c r="JEQ212" s="371" t="e">
        <f>JEN212*JEO212*JEP212</f>
        <v>#DIV/0!</v>
      </c>
      <c r="JER212" s="367" t="s">
        <v>206</v>
      </c>
      <c r="JES212" s="367"/>
      <c r="JET212" s="367"/>
      <c r="JEU212" s="368" t="s">
        <v>168</v>
      </c>
      <c r="JEV212" s="369">
        <v>0.5</v>
      </c>
      <c r="JEW212" s="370" t="e">
        <f>10/JES210</f>
        <v>#DIV/0!</v>
      </c>
      <c r="JEX212" s="371">
        <v>15.38</v>
      </c>
      <c r="JEY212" s="371" t="e">
        <f>JEV212*JEW212*JEX212</f>
        <v>#DIV/0!</v>
      </c>
      <c r="JEZ212" s="367" t="s">
        <v>206</v>
      </c>
      <c r="JFA212" s="367"/>
      <c r="JFB212" s="367"/>
      <c r="JFC212" s="368" t="s">
        <v>168</v>
      </c>
      <c r="JFD212" s="369">
        <v>0.5</v>
      </c>
      <c r="JFE212" s="370" t="e">
        <f>10/JFA210</f>
        <v>#DIV/0!</v>
      </c>
      <c r="JFF212" s="371">
        <v>15.38</v>
      </c>
      <c r="JFG212" s="371" t="e">
        <f>JFD212*JFE212*JFF212</f>
        <v>#DIV/0!</v>
      </c>
      <c r="JFH212" s="367" t="s">
        <v>206</v>
      </c>
      <c r="JFI212" s="367"/>
      <c r="JFJ212" s="367"/>
      <c r="JFK212" s="368" t="s">
        <v>168</v>
      </c>
      <c r="JFL212" s="369">
        <v>0.5</v>
      </c>
      <c r="JFM212" s="370" t="e">
        <f>10/JFI210</f>
        <v>#DIV/0!</v>
      </c>
      <c r="JFN212" s="371">
        <v>15.38</v>
      </c>
      <c r="JFO212" s="371" t="e">
        <f>JFL212*JFM212*JFN212</f>
        <v>#DIV/0!</v>
      </c>
      <c r="JFP212" s="367" t="s">
        <v>206</v>
      </c>
      <c r="JFQ212" s="367"/>
      <c r="JFR212" s="367"/>
      <c r="JFS212" s="368" t="s">
        <v>168</v>
      </c>
      <c r="JFT212" s="369">
        <v>0.5</v>
      </c>
      <c r="JFU212" s="370" t="e">
        <f>10/JFQ210</f>
        <v>#DIV/0!</v>
      </c>
      <c r="JFV212" s="371">
        <v>15.38</v>
      </c>
      <c r="JFW212" s="371" t="e">
        <f>JFT212*JFU212*JFV212</f>
        <v>#DIV/0!</v>
      </c>
      <c r="JFX212" s="367" t="s">
        <v>206</v>
      </c>
      <c r="JFY212" s="367"/>
      <c r="JFZ212" s="367"/>
      <c r="JGA212" s="368" t="s">
        <v>168</v>
      </c>
      <c r="JGB212" s="369">
        <v>0.5</v>
      </c>
      <c r="JGC212" s="370" t="e">
        <f>10/JFY210</f>
        <v>#DIV/0!</v>
      </c>
      <c r="JGD212" s="371">
        <v>15.38</v>
      </c>
      <c r="JGE212" s="371" t="e">
        <f>JGB212*JGC212*JGD212</f>
        <v>#DIV/0!</v>
      </c>
      <c r="JGF212" s="367" t="s">
        <v>206</v>
      </c>
      <c r="JGG212" s="367"/>
      <c r="JGH212" s="367"/>
      <c r="JGI212" s="368" t="s">
        <v>168</v>
      </c>
      <c r="JGJ212" s="369">
        <v>0.5</v>
      </c>
      <c r="JGK212" s="370" t="e">
        <f>10/JGG210</f>
        <v>#DIV/0!</v>
      </c>
      <c r="JGL212" s="371">
        <v>15.38</v>
      </c>
      <c r="JGM212" s="371" t="e">
        <f>JGJ212*JGK212*JGL212</f>
        <v>#DIV/0!</v>
      </c>
      <c r="JGN212" s="367" t="s">
        <v>206</v>
      </c>
      <c r="JGO212" s="367"/>
      <c r="JGP212" s="367"/>
      <c r="JGQ212" s="368" t="s">
        <v>168</v>
      </c>
      <c r="JGR212" s="369">
        <v>0.5</v>
      </c>
      <c r="JGS212" s="370" t="e">
        <f>10/JGO210</f>
        <v>#DIV/0!</v>
      </c>
      <c r="JGT212" s="371">
        <v>15.38</v>
      </c>
      <c r="JGU212" s="371" t="e">
        <f>JGR212*JGS212*JGT212</f>
        <v>#DIV/0!</v>
      </c>
      <c r="JGV212" s="367" t="s">
        <v>206</v>
      </c>
      <c r="JGW212" s="367"/>
      <c r="JGX212" s="367"/>
      <c r="JGY212" s="368" t="s">
        <v>168</v>
      </c>
      <c r="JGZ212" s="369">
        <v>0.5</v>
      </c>
      <c r="JHA212" s="370" t="e">
        <f>10/JGW210</f>
        <v>#DIV/0!</v>
      </c>
      <c r="JHB212" s="371">
        <v>15.38</v>
      </c>
      <c r="JHC212" s="371" t="e">
        <f>JGZ212*JHA212*JHB212</f>
        <v>#DIV/0!</v>
      </c>
      <c r="JHD212" s="367" t="s">
        <v>206</v>
      </c>
      <c r="JHE212" s="367"/>
      <c r="JHF212" s="367"/>
      <c r="JHG212" s="368" t="s">
        <v>168</v>
      </c>
      <c r="JHH212" s="369">
        <v>0.5</v>
      </c>
      <c r="JHI212" s="370" t="e">
        <f>10/JHE210</f>
        <v>#DIV/0!</v>
      </c>
      <c r="JHJ212" s="371">
        <v>15.38</v>
      </c>
      <c r="JHK212" s="371" t="e">
        <f>JHH212*JHI212*JHJ212</f>
        <v>#DIV/0!</v>
      </c>
      <c r="JHL212" s="367" t="s">
        <v>206</v>
      </c>
      <c r="JHM212" s="367"/>
      <c r="JHN212" s="367"/>
      <c r="JHO212" s="368" t="s">
        <v>168</v>
      </c>
      <c r="JHP212" s="369">
        <v>0.5</v>
      </c>
      <c r="JHQ212" s="370" t="e">
        <f>10/JHM210</f>
        <v>#DIV/0!</v>
      </c>
      <c r="JHR212" s="371">
        <v>15.38</v>
      </c>
      <c r="JHS212" s="371" t="e">
        <f>JHP212*JHQ212*JHR212</f>
        <v>#DIV/0!</v>
      </c>
      <c r="JHT212" s="367" t="s">
        <v>206</v>
      </c>
      <c r="JHU212" s="367"/>
      <c r="JHV212" s="367"/>
      <c r="JHW212" s="368" t="s">
        <v>168</v>
      </c>
      <c r="JHX212" s="369">
        <v>0.5</v>
      </c>
      <c r="JHY212" s="370" t="e">
        <f>10/JHU210</f>
        <v>#DIV/0!</v>
      </c>
      <c r="JHZ212" s="371">
        <v>15.38</v>
      </c>
      <c r="JIA212" s="371" t="e">
        <f>JHX212*JHY212*JHZ212</f>
        <v>#DIV/0!</v>
      </c>
      <c r="JIB212" s="367" t="s">
        <v>206</v>
      </c>
      <c r="JIC212" s="367"/>
      <c r="JID212" s="367"/>
      <c r="JIE212" s="368" t="s">
        <v>168</v>
      </c>
      <c r="JIF212" s="369">
        <v>0.5</v>
      </c>
      <c r="JIG212" s="370" t="e">
        <f>10/JIC210</f>
        <v>#DIV/0!</v>
      </c>
      <c r="JIH212" s="371">
        <v>15.38</v>
      </c>
      <c r="JII212" s="371" t="e">
        <f>JIF212*JIG212*JIH212</f>
        <v>#DIV/0!</v>
      </c>
      <c r="JIJ212" s="367" t="s">
        <v>206</v>
      </c>
      <c r="JIK212" s="367"/>
      <c r="JIL212" s="367"/>
      <c r="JIM212" s="368" t="s">
        <v>168</v>
      </c>
      <c r="JIN212" s="369">
        <v>0.5</v>
      </c>
      <c r="JIO212" s="370" t="e">
        <f>10/JIK210</f>
        <v>#DIV/0!</v>
      </c>
      <c r="JIP212" s="371">
        <v>15.38</v>
      </c>
      <c r="JIQ212" s="371" t="e">
        <f>JIN212*JIO212*JIP212</f>
        <v>#DIV/0!</v>
      </c>
      <c r="JIR212" s="367" t="s">
        <v>206</v>
      </c>
      <c r="JIS212" s="367"/>
      <c r="JIT212" s="367"/>
      <c r="JIU212" s="368" t="s">
        <v>168</v>
      </c>
      <c r="JIV212" s="369">
        <v>0.5</v>
      </c>
      <c r="JIW212" s="370" t="e">
        <f>10/JIS210</f>
        <v>#DIV/0!</v>
      </c>
      <c r="JIX212" s="371">
        <v>15.38</v>
      </c>
      <c r="JIY212" s="371" t="e">
        <f>JIV212*JIW212*JIX212</f>
        <v>#DIV/0!</v>
      </c>
      <c r="JIZ212" s="367" t="s">
        <v>206</v>
      </c>
      <c r="JJA212" s="367"/>
      <c r="JJB212" s="367"/>
      <c r="JJC212" s="368" t="s">
        <v>168</v>
      </c>
      <c r="JJD212" s="369">
        <v>0.5</v>
      </c>
      <c r="JJE212" s="370" t="e">
        <f>10/JJA210</f>
        <v>#DIV/0!</v>
      </c>
      <c r="JJF212" s="371">
        <v>15.38</v>
      </c>
      <c r="JJG212" s="371" t="e">
        <f>JJD212*JJE212*JJF212</f>
        <v>#DIV/0!</v>
      </c>
      <c r="JJH212" s="367" t="s">
        <v>206</v>
      </c>
      <c r="JJI212" s="367"/>
      <c r="JJJ212" s="367"/>
      <c r="JJK212" s="368" t="s">
        <v>168</v>
      </c>
      <c r="JJL212" s="369">
        <v>0.5</v>
      </c>
      <c r="JJM212" s="370" t="e">
        <f>10/JJI210</f>
        <v>#DIV/0!</v>
      </c>
      <c r="JJN212" s="371">
        <v>15.38</v>
      </c>
      <c r="JJO212" s="371" t="e">
        <f>JJL212*JJM212*JJN212</f>
        <v>#DIV/0!</v>
      </c>
      <c r="JJP212" s="367" t="s">
        <v>206</v>
      </c>
      <c r="JJQ212" s="367"/>
      <c r="JJR212" s="367"/>
      <c r="JJS212" s="368" t="s">
        <v>168</v>
      </c>
      <c r="JJT212" s="369">
        <v>0.5</v>
      </c>
      <c r="JJU212" s="370" t="e">
        <f>10/JJQ210</f>
        <v>#DIV/0!</v>
      </c>
      <c r="JJV212" s="371">
        <v>15.38</v>
      </c>
      <c r="JJW212" s="371" t="e">
        <f>JJT212*JJU212*JJV212</f>
        <v>#DIV/0!</v>
      </c>
      <c r="JJX212" s="367" t="s">
        <v>206</v>
      </c>
      <c r="JJY212" s="367"/>
      <c r="JJZ212" s="367"/>
      <c r="JKA212" s="368" t="s">
        <v>168</v>
      </c>
      <c r="JKB212" s="369">
        <v>0.5</v>
      </c>
      <c r="JKC212" s="370" t="e">
        <f>10/JJY210</f>
        <v>#DIV/0!</v>
      </c>
      <c r="JKD212" s="371">
        <v>15.38</v>
      </c>
      <c r="JKE212" s="371" t="e">
        <f>JKB212*JKC212*JKD212</f>
        <v>#DIV/0!</v>
      </c>
      <c r="JKF212" s="367" t="s">
        <v>206</v>
      </c>
      <c r="JKG212" s="367"/>
      <c r="JKH212" s="367"/>
      <c r="JKI212" s="368" t="s">
        <v>168</v>
      </c>
      <c r="JKJ212" s="369">
        <v>0.5</v>
      </c>
      <c r="JKK212" s="370" t="e">
        <f>10/JKG210</f>
        <v>#DIV/0!</v>
      </c>
      <c r="JKL212" s="371">
        <v>15.38</v>
      </c>
      <c r="JKM212" s="371" t="e">
        <f>JKJ212*JKK212*JKL212</f>
        <v>#DIV/0!</v>
      </c>
      <c r="JKN212" s="367" t="s">
        <v>206</v>
      </c>
      <c r="JKO212" s="367"/>
      <c r="JKP212" s="367"/>
      <c r="JKQ212" s="368" t="s">
        <v>168</v>
      </c>
      <c r="JKR212" s="369">
        <v>0.5</v>
      </c>
      <c r="JKS212" s="370" t="e">
        <f>10/JKO210</f>
        <v>#DIV/0!</v>
      </c>
      <c r="JKT212" s="371">
        <v>15.38</v>
      </c>
      <c r="JKU212" s="371" t="e">
        <f>JKR212*JKS212*JKT212</f>
        <v>#DIV/0!</v>
      </c>
      <c r="JKV212" s="367" t="s">
        <v>206</v>
      </c>
      <c r="JKW212" s="367"/>
      <c r="JKX212" s="367"/>
      <c r="JKY212" s="368" t="s">
        <v>168</v>
      </c>
      <c r="JKZ212" s="369">
        <v>0.5</v>
      </c>
      <c r="JLA212" s="370" t="e">
        <f>10/JKW210</f>
        <v>#DIV/0!</v>
      </c>
      <c r="JLB212" s="371">
        <v>15.38</v>
      </c>
      <c r="JLC212" s="371" t="e">
        <f>JKZ212*JLA212*JLB212</f>
        <v>#DIV/0!</v>
      </c>
      <c r="JLD212" s="367" t="s">
        <v>206</v>
      </c>
      <c r="JLE212" s="367"/>
      <c r="JLF212" s="367"/>
      <c r="JLG212" s="368" t="s">
        <v>168</v>
      </c>
      <c r="JLH212" s="369">
        <v>0.5</v>
      </c>
      <c r="JLI212" s="370" t="e">
        <f>10/JLE210</f>
        <v>#DIV/0!</v>
      </c>
      <c r="JLJ212" s="371">
        <v>15.38</v>
      </c>
      <c r="JLK212" s="371" t="e">
        <f>JLH212*JLI212*JLJ212</f>
        <v>#DIV/0!</v>
      </c>
      <c r="JLL212" s="367" t="s">
        <v>206</v>
      </c>
      <c r="JLM212" s="367"/>
      <c r="JLN212" s="367"/>
      <c r="JLO212" s="368" t="s">
        <v>168</v>
      </c>
      <c r="JLP212" s="369">
        <v>0.5</v>
      </c>
      <c r="JLQ212" s="370" t="e">
        <f>10/JLM210</f>
        <v>#DIV/0!</v>
      </c>
      <c r="JLR212" s="371">
        <v>15.38</v>
      </c>
      <c r="JLS212" s="371" t="e">
        <f>JLP212*JLQ212*JLR212</f>
        <v>#DIV/0!</v>
      </c>
      <c r="JLT212" s="367" t="s">
        <v>206</v>
      </c>
      <c r="JLU212" s="367"/>
      <c r="JLV212" s="367"/>
      <c r="JLW212" s="368" t="s">
        <v>168</v>
      </c>
      <c r="JLX212" s="369">
        <v>0.5</v>
      </c>
      <c r="JLY212" s="370" t="e">
        <f>10/JLU210</f>
        <v>#DIV/0!</v>
      </c>
      <c r="JLZ212" s="371">
        <v>15.38</v>
      </c>
      <c r="JMA212" s="371" t="e">
        <f>JLX212*JLY212*JLZ212</f>
        <v>#DIV/0!</v>
      </c>
      <c r="JMB212" s="367" t="s">
        <v>206</v>
      </c>
      <c r="JMC212" s="367"/>
      <c r="JMD212" s="367"/>
      <c r="JME212" s="368" t="s">
        <v>168</v>
      </c>
      <c r="JMF212" s="369">
        <v>0.5</v>
      </c>
      <c r="JMG212" s="370" t="e">
        <f>10/JMC210</f>
        <v>#DIV/0!</v>
      </c>
      <c r="JMH212" s="371">
        <v>15.38</v>
      </c>
      <c r="JMI212" s="371" t="e">
        <f>JMF212*JMG212*JMH212</f>
        <v>#DIV/0!</v>
      </c>
      <c r="JMJ212" s="367" t="s">
        <v>206</v>
      </c>
      <c r="JMK212" s="367"/>
      <c r="JML212" s="367"/>
      <c r="JMM212" s="368" t="s">
        <v>168</v>
      </c>
      <c r="JMN212" s="369">
        <v>0.5</v>
      </c>
      <c r="JMO212" s="370" t="e">
        <f>10/JMK210</f>
        <v>#DIV/0!</v>
      </c>
      <c r="JMP212" s="371">
        <v>15.38</v>
      </c>
      <c r="JMQ212" s="371" t="e">
        <f>JMN212*JMO212*JMP212</f>
        <v>#DIV/0!</v>
      </c>
      <c r="JMR212" s="367" t="s">
        <v>206</v>
      </c>
      <c r="JMS212" s="367"/>
      <c r="JMT212" s="367"/>
      <c r="JMU212" s="368" t="s">
        <v>168</v>
      </c>
      <c r="JMV212" s="369">
        <v>0.5</v>
      </c>
      <c r="JMW212" s="370" t="e">
        <f>10/JMS210</f>
        <v>#DIV/0!</v>
      </c>
      <c r="JMX212" s="371">
        <v>15.38</v>
      </c>
      <c r="JMY212" s="371" t="e">
        <f>JMV212*JMW212*JMX212</f>
        <v>#DIV/0!</v>
      </c>
      <c r="JMZ212" s="367" t="s">
        <v>206</v>
      </c>
      <c r="JNA212" s="367"/>
      <c r="JNB212" s="367"/>
      <c r="JNC212" s="368" t="s">
        <v>168</v>
      </c>
      <c r="JND212" s="369">
        <v>0.5</v>
      </c>
      <c r="JNE212" s="370" t="e">
        <f>10/JNA210</f>
        <v>#DIV/0!</v>
      </c>
      <c r="JNF212" s="371">
        <v>15.38</v>
      </c>
      <c r="JNG212" s="371" t="e">
        <f>JND212*JNE212*JNF212</f>
        <v>#DIV/0!</v>
      </c>
      <c r="JNH212" s="367" t="s">
        <v>206</v>
      </c>
      <c r="JNI212" s="367"/>
      <c r="JNJ212" s="367"/>
      <c r="JNK212" s="368" t="s">
        <v>168</v>
      </c>
      <c r="JNL212" s="369">
        <v>0.5</v>
      </c>
      <c r="JNM212" s="370" t="e">
        <f>10/JNI210</f>
        <v>#DIV/0!</v>
      </c>
      <c r="JNN212" s="371">
        <v>15.38</v>
      </c>
      <c r="JNO212" s="371" t="e">
        <f>JNL212*JNM212*JNN212</f>
        <v>#DIV/0!</v>
      </c>
      <c r="JNP212" s="367" t="s">
        <v>206</v>
      </c>
      <c r="JNQ212" s="367"/>
      <c r="JNR212" s="367"/>
      <c r="JNS212" s="368" t="s">
        <v>168</v>
      </c>
      <c r="JNT212" s="369">
        <v>0.5</v>
      </c>
      <c r="JNU212" s="370" t="e">
        <f>10/JNQ210</f>
        <v>#DIV/0!</v>
      </c>
      <c r="JNV212" s="371">
        <v>15.38</v>
      </c>
      <c r="JNW212" s="371" t="e">
        <f>JNT212*JNU212*JNV212</f>
        <v>#DIV/0!</v>
      </c>
      <c r="JNX212" s="367" t="s">
        <v>206</v>
      </c>
      <c r="JNY212" s="367"/>
      <c r="JNZ212" s="367"/>
      <c r="JOA212" s="368" t="s">
        <v>168</v>
      </c>
      <c r="JOB212" s="369">
        <v>0.5</v>
      </c>
      <c r="JOC212" s="370" t="e">
        <f>10/JNY210</f>
        <v>#DIV/0!</v>
      </c>
      <c r="JOD212" s="371">
        <v>15.38</v>
      </c>
      <c r="JOE212" s="371" t="e">
        <f>JOB212*JOC212*JOD212</f>
        <v>#DIV/0!</v>
      </c>
      <c r="JOF212" s="367" t="s">
        <v>206</v>
      </c>
      <c r="JOG212" s="367"/>
      <c r="JOH212" s="367"/>
      <c r="JOI212" s="368" t="s">
        <v>168</v>
      </c>
      <c r="JOJ212" s="369">
        <v>0.5</v>
      </c>
      <c r="JOK212" s="370" t="e">
        <f>10/JOG210</f>
        <v>#DIV/0!</v>
      </c>
      <c r="JOL212" s="371">
        <v>15.38</v>
      </c>
      <c r="JOM212" s="371" t="e">
        <f>JOJ212*JOK212*JOL212</f>
        <v>#DIV/0!</v>
      </c>
      <c r="JON212" s="367" t="s">
        <v>206</v>
      </c>
      <c r="JOO212" s="367"/>
      <c r="JOP212" s="367"/>
      <c r="JOQ212" s="368" t="s">
        <v>168</v>
      </c>
      <c r="JOR212" s="369">
        <v>0.5</v>
      </c>
      <c r="JOS212" s="370" t="e">
        <f>10/JOO210</f>
        <v>#DIV/0!</v>
      </c>
      <c r="JOT212" s="371">
        <v>15.38</v>
      </c>
      <c r="JOU212" s="371" t="e">
        <f>JOR212*JOS212*JOT212</f>
        <v>#DIV/0!</v>
      </c>
      <c r="JOV212" s="367" t="s">
        <v>206</v>
      </c>
      <c r="JOW212" s="367"/>
      <c r="JOX212" s="367"/>
      <c r="JOY212" s="368" t="s">
        <v>168</v>
      </c>
      <c r="JOZ212" s="369">
        <v>0.5</v>
      </c>
      <c r="JPA212" s="370" t="e">
        <f>10/JOW210</f>
        <v>#DIV/0!</v>
      </c>
      <c r="JPB212" s="371">
        <v>15.38</v>
      </c>
      <c r="JPC212" s="371" t="e">
        <f>JOZ212*JPA212*JPB212</f>
        <v>#DIV/0!</v>
      </c>
      <c r="JPD212" s="367" t="s">
        <v>206</v>
      </c>
      <c r="JPE212" s="367"/>
      <c r="JPF212" s="367"/>
      <c r="JPG212" s="368" t="s">
        <v>168</v>
      </c>
      <c r="JPH212" s="369">
        <v>0.5</v>
      </c>
      <c r="JPI212" s="370" t="e">
        <f>10/JPE210</f>
        <v>#DIV/0!</v>
      </c>
      <c r="JPJ212" s="371">
        <v>15.38</v>
      </c>
      <c r="JPK212" s="371" t="e">
        <f>JPH212*JPI212*JPJ212</f>
        <v>#DIV/0!</v>
      </c>
      <c r="JPL212" s="367" t="s">
        <v>206</v>
      </c>
      <c r="JPM212" s="367"/>
      <c r="JPN212" s="367"/>
      <c r="JPO212" s="368" t="s">
        <v>168</v>
      </c>
      <c r="JPP212" s="369">
        <v>0.5</v>
      </c>
      <c r="JPQ212" s="370" t="e">
        <f>10/JPM210</f>
        <v>#DIV/0!</v>
      </c>
      <c r="JPR212" s="371">
        <v>15.38</v>
      </c>
      <c r="JPS212" s="371" t="e">
        <f>JPP212*JPQ212*JPR212</f>
        <v>#DIV/0!</v>
      </c>
      <c r="JPT212" s="367" t="s">
        <v>206</v>
      </c>
      <c r="JPU212" s="367"/>
      <c r="JPV212" s="367"/>
      <c r="JPW212" s="368" t="s">
        <v>168</v>
      </c>
      <c r="JPX212" s="369">
        <v>0.5</v>
      </c>
      <c r="JPY212" s="370" t="e">
        <f>10/JPU210</f>
        <v>#DIV/0!</v>
      </c>
      <c r="JPZ212" s="371">
        <v>15.38</v>
      </c>
      <c r="JQA212" s="371" t="e">
        <f>JPX212*JPY212*JPZ212</f>
        <v>#DIV/0!</v>
      </c>
      <c r="JQB212" s="367" t="s">
        <v>206</v>
      </c>
      <c r="JQC212" s="367"/>
      <c r="JQD212" s="367"/>
      <c r="JQE212" s="368" t="s">
        <v>168</v>
      </c>
      <c r="JQF212" s="369">
        <v>0.5</v>
      </c>
      <c r="JQG212" s="370" t="e">
        <f>10/JQC210</f>
        <v>#DIV/0!</v>
      </c>
      <c r="JQH212" s="371">
        <v>15.38</v>
      </c>
      <c r="JQI212" s="371" t="e">
        <f>JQF212*JQG212*JQH212</f>
        <v>#DIV/0!</v>
      </c>
      <c r="JQJ212" s="367" t="s">
        <v>206</v>
      </c>
      <c r="JQK212" s="367"/>
      <c r="JQL212" s="367"/>
      <c r="JQM212" s="368" t="s">
        <v>168</v>
      </c>
      <c r="JQN212" s="369">
        <v>0.5</v>
      </c>
      <c r="JQO212" s="370" t="e">
        <f>10/JQK210</f>
        <v>#DIV/0!</v>
      </c>
      <c r="JQP212" s="371">
        <v>15.38</v>
      </c>
      <c r="JQQ212" s="371" t="e">
        <f>JQN212*JQO212*JQP212</f>
        <v>#DIV/0!</v>
      </c>
      <c r="JQR212" s="367" t="s">
        <v>206</v>
      </c>
      <c r="JQS212" s="367"/>
      <c r="JQT212" s="367"/>
      <c r="JQU212" s="368" t="s">
        <v>168</v>
      </c>
      <c r="JQV212" s="369">
        <v>0.5</v>
      </c>
      <c r="JQW212" s="370" t="e">
        <f>10/JQS210</f>
        <v>#DIV/0!</v>
      </c>
      <c r="JQX212" s="371">
        <v>15.38</v>
      </c>
      <c r="JQY212" s="371" t="e">
        <f>JQV212*JQW212*JQX212</f>
        <v>#DIV/0!</v>
      </c>
      <c r="JQZ212" s="367" t="s">
        <v>206</v>
      </c>
      <c r="JRA212" s="367"/>
      <c r="JRB212" s="367"/>
      <c r="JRC212" s="368" t="s">
        <v>168</v>
      </c>
      <c r="JRD212" s="369">
        <v>0.5</v>
      </c>
      <c r="JRE212" s="370" t="e">
        <f>10/JRA210</f>
        <v>#DIV/0!</v>
      </c>
      <c r="JRF212" s="371">
        <v>15.38</v>
      </c>
      <c r="JRG212" s="371" t="e">
        <f>JRD212*JRE212*JRF212</f>
        <v>#DIV/0!</v>
      </c>
      <c r="JRH212" s="367" t="s">
        <v>206</v>
      </c>
      <c r="JRI212" s="367"/>
      <c r="JRJ212" s="367"/>
      <c r="JRK212" s="368" t="s">
        <v>168</v>
      </c>
      <c r="JRL212" s="369">
        <v>0.5</v>
      </c>
      <c r="JRM212" s="370" t="e">
        <f>10/JRI210</f>
        <v>#DIV/0!</v>
      </c>
      <c r="JRN212" s="371">
        <v>15.38</v>
      </c>
      <c r="JRO212" s="371" t="e">
        <f>JRL212*JRM212*JRN212</f>
        <v>#DIV/0!</v>
      </c>
      <c r="JRP212" s="367" t="s">
        <v>206</v>
      </c>
      <c r="JRQ212" s="367"/>
      <c r="JRR212" s="367"/>
      <c r="JRS212" s="368" t="s">
        <v>168</v>
      </c>
      <c r="JRT212" s="369">
        <v>0.5</v>
      </c>
      <c r="JRU212" s="370" t="e">
        <f>10/JRQ210</f>
        <v>#DIV/0!</v>
      </c>
      <c r="JRV212" s="371">
        <v>15.38</v>
      </c>
      <c r="JRW212" s="371" t="e">
        <f>JRT212*JRU212*JRV212</f>
        <v>#DIV/0!</v>
      </c>
      <c r="JRX212" s="367" t="s">
        <v>206</v>
      </c>
      <c r="JRY212" s="367"/>
      <c r="JRZ212" s="367"/>
      <c r="JSA212" s="368" t="s">
        <v>168</v>
      </c>
      <c r="JSB212" s="369">
        <v>0.5</v>
      </c>
      <c r="JSC212" s="370" t="e">
        <f>10/JRY210</f>
        <v>#DIV/0!</v>
      </c>
      <c r="JSD212" s="371">
        <v>15.38</v>
      </c>
      <c r="JSE212" s="371" t="e">
        <f>JSB212*JSC212*JSD212</f>
        <v>#DIV/0!</v>
      </c>
      <c r="JSF212" s="367" t="s">
        <v>206</v>
      </c>
      <c r="JSG212" s="367"/>
      <c r="JSH212" s="367"/>
      <c r="JSI212" s="368" t="s">
        <v>168</v>
      </c>
      <c r="JSJ212" s="369">
        <v>0.5</v>
      </c>
      <c r="JSK212" s="370" t="e">
        <f>10/JSG210</f>
        <v>#DIV/0!</v>
      </c>
      <c r="JSL212" s="371">
        <v>15.38</v>
      </c>
      <c r="JSM212" s="371" t="e">
        <f>JSJ212*JSK212*JSL212</f>
        <v>#DIV/0!</v>
      </c>
      <c r="JSN212" s="367" t="s">
        <v>206</v>
      </c>
      <c r="JSO212" s="367"/>
      <c r="JSP212" s="367"/>
      <c r="JSQ212" s="368" t="s">
        <v>168</v>
      </c>
      <c r="JSR212" s="369">
        <v>0.5</v>
      </c>
      <c r="JSS212" s="370" t="e">
        <f>10/JSO210</f>
        <v>#DIV/0!</v>
      </c>
      <c r="JST212" s="371">
        <v>15.38</v>
      </c>
      <c r="JSU212" s="371" t="e">
        <f>JSR212*JSS212*JST212</f>
        <v>#DIV/0!</v>
      </c>
      <c r="JSV212" s="367" t="s">
        <v>206</v>
      </c>
      <c r="JSW212" s="367"/>
      <c r="JSX212" s="367"/>
      <c r="JSY212" s="368" t="s">
        <v>168</v>
      </c>
      <c r="JSZ212" s="369">
        <v>0.5</v>
      </c>
      <c r="JTA212" s="370" t="e">
        <f>10/JSW210</f>
        <v>#DIV/0!</v>
      </c>
      <c r="JTB212" s="371">
        <v>15.38</v>
      </c>
      <c r="JTC212" s="371" t="e">
        <f>JSZ212*JTA212*JTB212</f>
        <v>#DIV/0!</v>
      </c>
      <c r="JTD212" s="367" t="s">
        <v>206</v>
      </c>
      <c r="JTE212" s="367"/>
      <c r="JTF212" s="367"/>
      <c r="JTG212" s="368" t="s">
        <v>168</v>
      </c>
      <c r="JTH212" s="369">
        <v>0.5</v>
      </c>
      <c r="JTI212" s="370" t="e">
        <f>10/JTE210</f>
        <v>#DIV/0!</v>
      </c>
      <c r="JTJ212" s="371">
        <v>15.38</v>
      </c>
      <c r="JTK212" s="371" t="e">
        <f>JTH212*JTI212*JTJ212</f>
        <v>#DIV/0!</v>
      </c>
      <c r="JTL212" s="367" t="s">
        <v>206</v>
      </c>
      <c r="JTM212" s="367"/>
      <c r="JTN212" s="367"/>
      <c r="JTO212" s="368" t="s">
        <v>168</v>
      </c>
      <c r="JTP212" s="369">
        <v>0.5</v>
      </c>
      <c r="JTQ212" s="370" t="e">
        <f>10/JTM210</f>
        <v>#DIV/0!</v>
      </c>
      <c r="JTR212" s="371">
        <v>15.38</v>
      </c>
      <c r="JTS212" s="371" t="e">
        <f>JTP212*JTQ212*JTR212</f>
        <v>#DIV/0!</v>
      </c>
      <c r="JTT212" s="367" t="s">
        <v>206</v>
      </c>
      <c r="JTU212" s="367"/>
      <c r="JTV212" s="367"/>
      <c r="JTW212" s="368" t="s">
        <v>168</v>
      </c>
      <c r="JTX212" s="369">
        <v>0.5</v>
      </c>
      <c r="JTY212" s="370" t="e">
        <f>10/JTU210</f>
        <v>#DIV/0!</v>
      </c>
      <c r="JTZ212" s="371">
        <v>15.38</v>
      </c>
      <c r="JUA212" s="371" t="e">
        <f>JTX212*JTY212*JTZ212</f>
        <v>#DIV/0!</v>
      </c>
      <c r="JUB212" s="367" t="s">
        <v>206</v>
      </c>
      <c r="JUC212" s="367"/>
      <c r="JUD212" s="367"/>
      <c r="JUE212" s="368" t="s">
        <v>168</v>
      </c>
      <c r="JUF212" s="369">
        <v>0.5</v>
      </c>
      <c r="JUG212" s="370" t="e">
        <f>10/JUC210</f>
        <v>#DIV/0!</v>
      </c>
      <c r="JUH212" s="371">
        <v>15.38</v>
      </c>
      <c r="JUI212" s="371" t="e">
        <f>JUF212*JUG212*JUH212</f>
        <v>#DIV/0!</v>
      </c>
      <c r="JUJ212" s="367" t="s">
        <v>206</v>
      </c>
      <c r="JUK212" s="367"/>
      <c r="JUL212" s="367"/>
      <c r="JUM212" s="368" t="s">
        <v>168</v>
      </c>
      <c r="JUN212" s="369">
        <v>0.5</v>
      </c>
      <c r="JUO212" s="370" t="e">
        <f>10/JUK210</f>
        <v>#DIV/0!</v>
      </c>
      <c r="JUP212" s="371">
        <v>15.38</v>
      </c>
      <c r="JUQ212" s="371" t="e">
        <f>JUN212*JUO212*JUP212</f>
        <v>#DIV/0!</v>
      </c>
      <c r="JUR212" s="367" t="s">
        <v>206</v>
      </c>
      <c r="JUS212" s="367"/>
      <c r="JUT212" s="367"/>
      <c r="JUU212" s="368" t="s">
        <v>168</v>
      </c>
      <c r="JUV212" s="369">
        <v>0.5</v>
      </c>
      <c r="JUW212" s="370" t="e">
        <f>10/JUS210</f>
        <v>#DIV/0!</v>
      </c>
      <c r="JUX212" s="371">
        <v>15.38</v>
      </c>
      <c r="JUY212" s="371" t="e">
        <f>JUV212*JUW212*JUX212</f>
        <v>#DIV/0!</v>
      </c>
      <c r="JUZ212" s="367" t="s">
        <v>206</v>
      </c>
      <c r="JVA212" s="367"/>
      <c r="JVB212" s="367"/>
      <c r="JVC212" s="368" t="s">
        <v>168</v>
      </c>
      <c r="JVD212" s="369">
        <v>0.5</v>
      </c>
      <c r="JVE212" s="370" t="e">
        <f>10/JVA210</f>
        <v>#DIV/0!</v>
      </c>
      <c r="JVF212" s="371">
        <v>15.38</v>
      </c>
      <c r="JVG212" s="371" t="e">
        <f>JVD212*JVE212*JVF212</f>
        <v>#DIV/0!</v>
      </c>
      <c r="JVH212" s="367" t="s">
        <v>206</v>
      </c>
      <c r="JVI212" s="367"/>
      <c r="JVJ212" s="367"/>
      <c r="JVK212" s="368" t="s">
        <v>168</v>
      </c>
      <c r="JVL212" s="369">
        <v>0.5</v>
      </c>
      <c r="JVM212" s="370" t="e">
        <f>10/JVI210</f>
        <v>#DIV/0!</v>
      </c>
      <c r="JVN212" s="371">
        <v>15.38</v>
      </c>
      <c r="JVO212" s="371" t="e">
        <f>JVL212*JVM212*JVN212</f>
        <v>#DIV/0!</v>
      </c>
      <c r="JVP212" s="367" t="s">
        <v>206</v>
      </c>
      <c r="JVQ212" s="367"/>
      <c r="JVR212" s="367"/>
      <c r="JVS212" s="368" t="s">
        <v>168</v>
      </c>
      <c r="JVT212" s="369">
        <v>0.5</v>
      </c>
      <c r="JVU212" s="370" t="e">
        <f>10/JVQ210</f>
        <v>#DIV/0!</v>
      </c>
      <c r="JVV212" s="371">
        <v>15.38</v>
      </c>
      <c r="JVW212" s="371" t="e">
        <f>JVT212*JVU212*JVV212</f>
        <v>#DIV/0!</v>
      </c>
      <c r="JVX212" s="367" t="s">
        <v>206</v>
      </c>
      <c r="JVY212" s="367"/>
      <c r="JVZ212" s="367"/>
      <c r="JWA212" s="368" t="s">
        <v>168</v>
      </c>
      <c r="JWB212" s="369">
        <v>0.5</v>
      </c>
      <c r="JWC212" s="370" t="e">
        <f>10/JVY210</f>
        <v>#DIV/0!</v>
      </c>
      <c r="JWD212" s="371">
        <v>15.38</v>
      </c>
      <c r="JWE212" s="371" t="e">
        <f>JWB212*JWC212*JWD212</f>
        <v>#DIV/0!</v>
      </c>
      <c r="JWF212" s="367" t="s">
        <v>206</v>
      </c>
      <c r="JWG212" s="367"/>
      <c r="JWH212" s="367"/>
      <c r="JWI212" s="368" t="s">
        <v>168</v>
      </c>
      <c r="JWJ212" s="369">
        <v>0.5</v>
      </c>
      <c r="JWK212" s="370" t="e">
        <f>10/JWG210</f>
        <v>#DIV/0!</v>
      </c>
      <c r="JWL212" s="371">
        <v>15.38</v>
      </c>
      <c r="JWM212" s="371" t="e">
        <f>JWJ212*JWK212*JWL212</f>
        <v>#DIV/0!</v>
      </c>
      <c r="JWN212" s="367" t="s">
        <v>206</v>
      </c>
      <c r="JWO212" s="367"/>
      <c r="JWP212" s="367"/>
      <c r="JWQ212" s="368" t="s">
        <v>168</v>
      </c>
      <c r="JWR212" s="369">
        <v>0.5</v>
      </c>
      <c r="JWS212" s="370" t="e">
        <f>10/JWO210</f>
        <v>#DIV/0!</v>
      </c>
      <c r="JWT212" s="371">
        <v>15.38</v>
      </c>
      <c r="JWU212" s="371" t="e">
        <f>JWR212*JWS212*JWT212</f>
        <v>#DIV/0!</v>
      </c>
      <c r="JWV212" s="367" t="s">
        <v>206</v>
      </c>
      <c r="JWW212" s="367"/>
      <c r="JWX212" s="367"/>
      <c r="JWY212" s="368" t="s">
        <v>168</v>
      </c>
      <c r="JWZ212" s="369">
        <v>0.5</v>
      </c>
      <c r="JXA212" s="370" t="e">
        <f>10/JWW210</f>
        <v>#DIV/0!</v>
      </c>
      <c r="JXB212" s="371">
        <v>15.38</v>
      </c>
      <c r="JXC212" s="371" t="e">
        <f>JWZ212*JXA212*JXB212</f>
        <v>#DIV/0!</v>
      </c>
      <c r="JXD212" s="367" t="s">
        <v>206</v>
      </c>
      <c r="JXE212" s="367"/>
      <c r="JXF212" s="367"/>
      <c r="JXG212" s="368" t="s">
        <v>168</v>
      </c>
      <c r="JXH212" s="369">
        <v>0.5</v>
      </c>
      <c r="JXI212" s="370" t="e">
        <f>10/JXE210</f>
        <v>#DIV/0!</v>
      </c>
      <c r="JXJ212" s="371">
        <v>15.38</v>
      </c>
      <c r="JXK212" s="371" t="e">
        <f>JXH212*JXI212*JXJ212</f>
        <v>#DIV/0!</v>
      </c>
      <c r="JXL212" s="367" t="s">
        <v>206</v>
      </c>
      <c r="JXM212" s="367"/>
      <c r="JXN212" s="367"/>
      <c r="JXO212" s="368" t="s">
        <v>168</v>
      </c>
      <c r="JXP212" s="369">
        <v>0.5</v>
      </c>
      <c r="JXQ212" s="370" t="e">
        <f>10/JXM210</f>
        <v>#DIV/0!</v>
      </c>
      <c r="JXR212" s="371">
        <v>15.38</v>
      </c>
      <c r="JXS212" s="371" t="e">
        <f>JXP212*JXQ212*JXR212</f>
        <v>#DIV/0!</v>
      </c>
      <c r="JXT212" s="367" t="s">
        <v>206</v>
      </c>
      <c r="JXU212" s="367"/>
      <c r="JXV212" s="367"/>
      <c r="JXW212" s="368" t="s">
        <v>168</v>
      </c>
      <c r="JXX212" s="369">
        <v>0.5</v>
      </c>
      <c r="JXY212" s="370" t="e">
        <f>10/JXU210</f>
        <v>#DIV/0!</v>
      </c>
      <c r="JXZ212" s="371">
        <v>15.38</v>
      </c>
      <c r="JYA212" s="371" t="e">
        <f>JXX212*JXY212*JXZ212</f>
        <v>#DIV/0!</v>
      </c>
      <c r="JYB212" s="367" t="s">
        <v>206</v>
      </c>
      <c r="JYC212" s="367"/>
      <c r="JYD212" s="367"/>
      <c r="JYE212" s="368" t="s">
        <v>168</v>
      </c>
      <c r="JYF212" s="369">
        <v>0.5</v>
      </c>
      <c r="JYG212" s="370" t="e">
        <f>10/JYC210</f>
        <v>#DIV/0!</v>
      </c>
      <c r="JYH212" s="371">
        <v>15.38</v>
      </c>
      <c r="JYI212" s="371" t="e">
        <f>JYF212*JYG212*JYH212</f>
        <v>#DIV/0!</v>
      </c>
      <c r="JYJ212" s="367" t="s">
        <v>206</v>
      </c>
      <c r="JYK212" s="367"/>
      <c r="JYL212" s="367"/>
      <c r="JYM212" s="368" t="s">
        <v>168</v>
      </c>
      <c r="JYN212" s="369">
        <v>0.5</v>
      </c>
      <c r="JYO212" s="370" t="e">
        <f>10/JYK210</f>
        <v>#DIV/0!</v>
      </c>
      <c r="JYP212" s="371">
        <v>15.38</v>
      </c>
      <c r="JYQ212" s="371" t="e">
        <f>JYN212*JYO212*JYP212</f>
        <v>#DIV/0!</v>
      </c>
      <c r="JYR212" s="367" t="s">
        <v>206</v>
      </c>
      <c r="JYS212" s="367"/>
      <c r="JYT212" s="367"/>
      <c r="JYU212" s="368" t="s">
        <v>168</v>
      </c>
      <c r="JYV212" s="369">
        <v>0.5</v>
      </c>
      <c r="JYW212" s="370" t="e">
        <f>10/JYS210</f>
        <v>#DIV/0!</v>
      </c>
      <c r="JYX212" s="371">
        <v>15.38</v>
      </c>
      <c r="JYY212" s="371" t="e">
        <f>JYV212*JYW212*JYX212</f>
        <v>#DIV/0!</v>
      </c>
      <c r="JYZ212" s="367" t="s">
        <v>206</v>
      </c>
      <c r="JZA212" s="367"/>
      <c r="JZB212" s="367"/>
      <c r="JZC212" s="368" t="s">
        <v>168</v>
      </c>
      <c r="JZD212" s="369">
        <v>0.5</v>
      </c>
      <c r="JZE212" s="370" t="e">
        <f>10/JZA210</f>
        <v>#DIV/0!</v>
      </c>
      <c r="JZF212" s="371">
        <v>15.38</v>
      </c>
      <c r="JZG212" s="371" t="e">
        <f>JZD212*JZE212*JZF212</f>
        <v>#DIV/0!</v>
      </c>
      <c r="JZH212" s="367" t="s">
        <v>206</v>
      </c>
      <c r="JZI212" s="367"/>
      <c r="JZJ212" s="367"/>
      <c r="JZK212" s="368" t="s">
        <v>168</v>
      </c>
      <c r="JZL212" s="369">
        <v>0.5</v>
      </c>
      <c r="JZM212" s="370" t="e">
        <f>10/JZI210</f>
        <v>#DIV/0!</v>
      </c>
      <c r="JZN212" s="371">
        <v>15.38</v>
      </c>
      <c r="JZO212" s="371" t="e">
        <f>JZL212*JZM212*JZN212</f>
        <v>#DIV/0!</v>
      </c>
      <c r="JZP212" s="367" t="s">
        <v>206</v>
      </c>
      <c r="JZQ212" s="367"/>
      <c r="JZR212" s="367"/>
      <c r="JZS212" s="368" t="s">
        <v>168</v>
      </c>
      <c r="JZT212" s="369">
        <v>0.5</v>
      </c>
      <c r="JZU212" s="370" t="e">
        <f>10/JZQ210</f>
        <v>#DIV/0!</v>
      </c>
      <c r="JZV212" s="371">
        <v>15.38</v>
      </c>
      <c r="JZW212" s="371" t="e">
        <f>JZT212*JZU212*JZV212</f>
        <v>#DIV/0!</v>
      </c>
      <c r="JZX212" s="367" t="s">
        <v>206</v>
      </c>
      <c r="JZY212" s="367"/>
      <c r="JZZ212" s="367"/>
      <c r="KAA212" s="368" t="s">
        <v>168</v>
      </c>
      <c r="KAB212" s="369">
        <v>0.5</v>
      </c>
      <c r="KAC212" s="370" t="e">
        <f>10/JZY210</f>
        <v>#DIV/0!</v>
      </c>
      <c r="KAD212" s="371">
        <v>15.38</v>
      </c>
      <c r="KAE212" s="371" t="e">
        <f>KAB212*KAC212*KAD212</f>
        <v>#DIV/0!</v>
      </c>
      <c r="KAF212" s="367" t="s">
        <v>206</v>
      </c>
      <c r="KAG212" s="367"/>
      <c r="KAH212" s="367"/>
      <c r="KAI212" s="368" t="s">
        <v>168</v>
      </c>
      <c r="KAJ212" s="369">
        <v>0.5</v>
      </c>
      <c r="KAK212" s="370" t="e">
        <f>10/KAG210</f>
        <v>#DIV/0!</v>
      </c>
      <c r="KAL212" s="371">
        <v>15.38</v>
      </c>
      <c r="KAM212" s="371" t="e">
        <f>KAJ212*KAK212*KAL212</f>
        <v>#DIV/0!</v>
      </c>
      <c r="KAN212" s="367" t="s">
        <v>206</v>
      </c>
      <c r="KAO212" s="367"/>
      <c r="KAP212" s="367"/>
      <c r="KAQ212" s="368" t="s">
        <v>168</v>
      </c>
      <c r="KAR212" s="369">
        <v>0.5</v>
      </c>
      <c r="KAS212" s="370" t="e">
        <f>10/KAO210</f>
        <v>#DIV/0!</v>
      </c>
      <c r="KAT212" s="371">
        <v>15.38</v>
      </c>
      <c r="KAU212" s="371" t="e">
        <f>KAR212*KAS212*KAT212</f>
        <v>#DIV/0!</v>
      </c>
      <c r="KAV212" s="367" t="s">
        <v>206</v>
      </c>
      <c r="KAW212" s="367"/>
      <c r="KAX212" s="367"/>
      <c r="KAY212" s="368" t="s">
        <v>168</v>
      </c>
      <c r="KAZ212" s="369">
        <v>0.5</v>
      </c>
      <c r="KBA212" s="370" t="e">
        <f>10/KAW210</f>
        <v>#DIV/0!</v>
      </c>
      <c r="KBB212" s="371">
        <v>15.38</v>
      </c>
      <c r="KBC212" s="371" t="e">
        <f>KAZ212*KBA212*KBB212</f>
        <v>#DIV/0!</v>
      </c>
      <c r="KBD212" s="367" t="s">
        <v>206</v>
      </c>
      <c r="KBE212" s="367"/>
      <c r="KBF212" s="367"/>
      <c r="KBG212" s="368" t="s">
        <v>168</v>
      </c>
      <c r="KBH212" s="369">
        <v>0.5</v>
      </c>
      <c r="KBI212" s="370" t="e">
        <f>10/KBE210</f>
        <v>#DIV/0!</v>
      </c>
      <c r="KBJ212" s="371">
        <v>15.38</v>
      </c>
      <c r="KBK212" s="371" t="e">
        <f>KBH212*KBI212*KBJ212</f>
        <v>#DIV/0!</v>
      </c>
      <c r="KBL212" s="367" t="s">
        <v>206</v>
      </c>
      <c r="KBM212" s="367"/>
      <c r="KBN212" s="367"/>
      <c r="KBO212" s="368" t="s">
        <v>168</v>
      </c>
      <c r="KBP212" s="369">
        <v>0.5</v>
      </c>
      <c r="KBQ212" s="370" t="e">
        <f>10/KBM210</f>
        <v>#DIV/0!</v>
      </c>
      <c r="KBR212" s="371">
        <v>15.38</v>
      </c>
      <c r="KBS212" s="371" t="e">
        <f>KBP212*KBQ212*KBR212</f>
        <v>#DIV/0!</v>
      </c>
      <c r="KBT212" s="367" t="s">
        <v>206</v>
      </c>
      <c r="KBU212" s="367"/>
      <c r="KBV212" s="367"/>
      <c r="KBW212" s="368" t="s">
        <v>168</v>
      </c>
      <c r="KBX212" s="369">
        <v>0.5</v>
      </c>
      <c r="KBY212" s="370" t="e">
        <f>10/KBU210</f>
        <v>#DIV/0!</v>
      </c>
      <c r="KBZ212" s="371">
        <v>15.38</v>
      </c>
      <c r="KCA212" s="371" t="e">
        <f>KBX212*KBY212*KBZ212</f>
        <v>#DIV/0!</v>
      </c>
      <c r="KCB212" s="367" t="s">
        <v>206</v>
      </c>
      <c r="KCC212" s="367"/>
      <c r="KCD212" s="367"/>
      <c r="KCE212" s="368" t="s">
        <v>168</v>
      </c>
      <c r="KCF212" s="369">
        <v>0.5</v>
      </c>
      <c r="KCG212" s="370" t="e">
        <f>10/KCC210</f>
        <v>#DIV/0!</v>
      </c>
      <c r="KCH212" s="371">
        <v>15.38</v>
      </c>
      <c r="KCI212" s="371" t="e">
        <f>KCF212*KCG212*KCH212</f>
        <v>#DIV/0!</v>
      </c>
      <c r="KCJ212" s="367" t="s">
        <v>206</v>
      </c>
      <c r="KCK212" s="367"/>
      <c r="KCL212" s="367"/>
      <c r="KCM212" s="368" t="s">
        <v>168</v>
      </c>
      <c r="KCN212" s="369">
        <v>0.5</v>
      </c>
      <c r="KCO212" s="370" t="e">
        <f>10/KCK210</f>
        <v>#DIV/0!</v>
      </c>
      <c r="KCP212" s="371">
        <v>15.38</v>
      </c>
      <c r="KCQ212" s="371" t="e">
        <f>KCN212*KCO212*KCP212</f>
        <v>#DIV/0!</v>
      </c>
      <c r="KCR212" s="367" t="s">
        <v>206</v>
      </c>
      <c r="KCS212" s="367"/>
      <c r="KCT212" s="367"/>
      <c r="KCU212" s="368" t="s">
        <v>168</v>
      </c>
      <c r="KCV212" s="369">
        <v>0.5</v>
      </c>
      <c r="KCW212" s="370" t="e">
        <f>10/KCS210</f>
        <v>#DIV/0!</v>
      </c>
      <c r="KCX212" s="371">
        <v>15.38</v>
      </c>
      <c r="KCY212" s="371" t="e">
        <f>KCV212*KCW212*KCX212</f>
        <v>#DIV/0!</v>
      </c>
      <c r="KCZ212" s="367" t="s">
        <v>206</v>
      </c>
      <c r="KDA212" s="367"/>
      <c r="KDB212" s="367"/>
      <c r="KDC212" s="368" t="s">
        <v>168</v>
      </c>
      <c r="KDD212" s="369">
        <v>0.5</v>
      </c>
      <c r="KDE212" s="370" t="e">
        <f>10/KDA210</f>
        <v>#DIV/0!</v>
      </c>
      <c r="KDF212" s="371">
        <v>15.38</v>
      </c>
      <c r="KDG212" s="371" t="e">
        <f>KDD212*KDE212*KDF212</f>
        <v>#DIV/0!</v>
      </c>
      <c r="KDH212" s="367" t="s">
        <v>206</v>
      </c>
      <c r="KDI212" s="367"/>
      <c r="KDJ212" s="367"/>
      <c r="KDK212" s="368" t="s">
        <v>168</v>
      </c>
      <c r="KDL212" s="369">
        <v>0.5</v>
      </c>
      <c r="KDM212" s="370" t="e">
        <f>10/KDI210</f>
        <v>#DIV/0!</v>
      </c>
      <c r="KDN212" s="371">
        <v>15.38</v>
      </c>
      <c r="KDO212" s="371" t="e">
        <f>KDL212*KDM212*KDN212</f>
        <v>#DIV/0!</v>
      </c>
      <c r="KDP212" s="367" t="s">
        <v>206</v>
      </c>
      <c r="KDQ212" s="367"/>
      <c r="KDR212" s="367"/>
      <c r="KDS212" s="368" t="s">
        <v>168</v>
      </c>
      <c r="KDT212" s="369">
        <v>0.5</v>
      </c>
      <c r="KDU212" s="370" t="e">
        <f>10/KDQ210</f>
        <v>#DIV/0!</v>
      </c>
      <c r="KDV212" s="371">
        <v>15.38</v>
      </c>
      <c r="KDW212" s="371" t="e">
        <f>KDT212*KDU212*KDV212</f>
        <v>#DIV/0!</v>
      </c>
      <c r="KDX212" s="367" t="s">
        <v>206</v>
      </c>
      <c r="KDY212" s="367"/>
      <c r="KDZ212" s="367"/>
      <c r="KEA212" s="368" t="s">
        <v>168</v>
      </c>
      <c r="KEB212" s="369">
        <v>0.5</v>
      </c>
      <c r="KEC212" s="370" t="e">
        <f>10/KDY210</f>
        <v>#DIV/0!</v>
      </c>
      <c r="KED212" s="371">
        <v>15.38</v>
      </c>
      <c r="KEE212" s="371" t="e">
        <f>KEB212*KEC212*KED212</f>
        <v>#DIV/0!</v>
      </c>
      <c r="KEF212" s="367" t="s">
        <v>206</v>
      </c>
      <c r="KEG212" s="367"/>
      <c r="KEH212" s="367"/>
      <c r="KEI212" s="368" t="s">
        <v>168</v>
      </c>
      <c r="KEJ212" s="369">
        <v>0.5</v>
      </c>
      <c r="KEK212" s="370" t="e">
        <f>10/KEG210</f>
        <v>#DIV/0!</v>
      </c>
      <c r="KEL212" s="371">
        <v>15.38</v>
      </c>
      <c r="KEM212" s="371" t="e">
        <f>KEJ212*KEK212*KEL212</f>
        <v>#DIV/0!</v>
      </c>
      <c r="KEN212" s="367" t="s">
        <v>206</v>
      </c>
      <c r="KEO212" s="367"/>
      <c r="KEP212" s="367"/>
      <c r="KEQ212" s="368" t="s">
        <v>168</v>
      </c>
      <c r="KER212" s="369">
        <v>0.5</v>
      </c>
      <c r="KES212" s="370" t="e">
        <f>10/KEO210</f>
        <v>#DIV/0!</v>
      </c>
      <c r="KET212" s="371">
        <v>15.38</v>
      </c>
      <c r="KEU212" s="371" t="e">
        <f>KER212*KES212*KET212</f>
        <v>#DIV/0!</v>
      </c>
      <c r="KEV212" s="367" t="s">
        <v>206</v>
      </c>
      <c r="KEW212" s="367"/>
      <c r="KEX212" s="367"/>
      <c r="KEY212" s="368" t="s">
        <v>168</v>
      </c>
      <c r="KEZ212" s="369">
        <v>0.5</v>
      </c>
      <c r="KFA212" s="370" t="e">
        <f>10/KEW210</f>
        <v>#DIV/0!</v>
      </c>
      <c r="KFB212" s="371">
        <v>15.38</v>
      </c>
      <c r="KFC212" s="371" t="e">
        <f>KEZ212*KFA212*KFB212</f>
        <v>#DIV/0!</v>
      </c>
      <c r="KFD212" s="367" t="s">
        <v>206</v>
      </c>
      <c r="KFE212" s="367"/>
      <c r="KFF212" s="367"/>
      <c r="KFG212" s="368" t="s">
        <v>168</v>
      </c>
      <c r="KFH212" s="369">
        <v>0.5</v>
      </c>
      <c r="KFI212" s="370" t="e">
        <f>10/KFE210</f>
        <v>#DIV/0!</v>
      </c>
      <c r="KFJ212" s="371">
        <v>15.38</v>
      </c>
      <c r="KFK212" s="371" t="e">
        <f>KFH212*KFI212*KFJ212</f>
        <v>#DIV/0!</v>
      </c>
      <c r="KFL212" s="367" t="s">
        <v>206</v>
      </c>
      <c r="KFM212" s="367"/>
      <c r="KFN212" s="367"/>
      <c r="KFO212" s="368" t="s">
        <v>168</v>
      </c>
      <c r="KFP212" s="369">
        <v>0.5</v>
      </c>
      <c r="KFQ212" s="370" t="e">
        <f>10/KFM210</f>
        <v>#DIV/0!</v>
      </c>
      <c r="KFR212" s="371">
        <v>15.38</v>
      </c>
      <c r="KFS212" s="371" t="e">
        <f>KFP212*KFQ212*KFR212</f>
        <v>#DIV/0!</v>
      </c>
      <c r="KFT212" s="367" t="s">
        <v>206</v>
      </c>
      <c r="KFU212" s="367"/>
      <c r="KFV212" s="367"/>
      <c r="KFW212" s="368" t="s">
        <v>168</v>
      </c>
      <c r="KFX212" s="369">
        <v>0.5</v>
      </c>
      <c r="KFY212" s="370" t="e">
        <f>10/KFU210</f>
        <v>#DIV/0!</v>
      </c>
      <c r="KFZ212" s="371">
        <v>15.38</v>
      </c>
      <c r="KGA212" s="371" t="e">
        <f>KFX212*KFY212*KFZ212</f>
        <v>#DIV/0!</v>
      </c>
      <c r="KGB212" s="367" t="s">
        <v>206</v>
      </c>
      <c r="KGC212" s="367"/>
      <c r="KGD212" s="367"/>
      <c r="KGE212" s="368" t="s">
        <v>168</v>
      </c>
      <c r="KGF212" s="369">
        <v>0.5</v>
      </c>
      <c r="KGG212" s="370" t="e">
        <f>10/KGC210</f>
        <v>#DIV/0!</v>
      </c>
      <c r="KGH212" s="371">
        <v>15.38</v>
      </c>
      <c r="KGI212" s="371" t="e">
        <f>KGF212*KGG212*KGH212</f>
        <v>#DIV/0!</v>
      </c>
      <c r="KGJ212" s="367" t="s">
        <v>206</v>
      </c>
      <c r="KGK212" s="367"/>
      <c r="KGL212" s="367"/>
      <c r="KGM212" s="368" t="s">
        <v>168</v>
      </c>
      <c r="KGN212" s="369">
        <v>0.5</v>
      </c>
      <c r="KGO212" s="370" t="e">
        <f>10/KGK210</f>
        <v>#DIV/0!</v>
      </c>
      <c r="KGP212" s="371">
        <v>15.38</v>
      </c>
      <c r="KGQ212" s="371" t="e">
        <f>KGN212*KGO212*KGP212</f>
        <v>#DIV/0!</v>
      </c>
      <c r="KGR212" s="367" t="s">
        <v>206</v>
      </c>
      <c r="KGS212" s="367"/>
      <c r="KGT212" s="367"/>
      <c r="KGU212" s="368" t="s">
        <v>168</v>
      </c>
      <c r="KGV212" s="369">
        <v>0.5</v>
      </c>
      <c r="KGW212" s="370" t="e">
        <f>10/KGS210</f>
        <v>#DIV/0!</v>
      </c>
      <c r="KGX212" s="371">
        <v>15.38</v>
      </c>
      <c r="KGY212" s="371" t="e">
        <f>KGV212*KGW212*KGX212</f>
        <v>#DIV/0!</v>
      </c>
      <c r="KGZ212" s="367" t="s">
        <v>206</v>
      </c>
      <c r="KHA212" s="367"/>
      <c r="KHB212" s="367"/>
      <c r="KHC212" s="368" t="s">
        <v>168</v>
      </c>
      <c r="KHD212" s="369">
        <v>0.5</v>
      </c>
      <c r="KHE212" s="370" t="e">
        <f>10/KHA210</f>
        <v>#DIV/0!</v>
      </c>
      <c r="KHF212" s="371">
        <v>15.38</v>
      </c>
      <c r="KHG212" s="371" t="e">
        <f>KHD212*KHE212*KHF212</f>
        <v>#DIV/0!</v>
      </c>
      <c r="KHH212" s="367" t="s">
        <v>206</v>
      </c>
      <c r="KHI212" s="367"/>
      <c r="KHJ212" s="367"/>
      <c r="KHK212" s="368" t="s">
        <v>168</v>
      </c>
      <c r="KHL212" s="369">
        <v>0.5</v>
      </c>
      <c r="KHM212" s="370" t="e">
        <f>10/KHI210</f>
        <v>#DIV/0!</v>
      </c>
      <c r="KHN212" s="371">
        <v>15.38</v>
      </c>
      <c r="KHO212" s="371" t="e">
        <f>KHL212*KHM212*KHN212</f>
        <v>#DIV/0!</v>
      </c>
      <c r="KHP212" s="367" t="s">
        <v>206</v>
      </c>
      <c r="KHQ212" s="367"/>
      <c r="KHR212" s="367"/>
      <c r="KHS212" s="368" t="s">
        <v>168</v>
      </c>
      <c r="KHT212" s="369">
        <v>0.5</v>
      </c>
      <c r="KHU212" s="370" t="e">
        <f>10/KHQ210</f>
        <v>#DIV/0!</v>
      </c>
      <c r="KHV212" s="371">
        <v>15.38</v>
      </c>
      <c r="KHW212" s="371" t="e">
        <f>KHT212*KHU212*KHV212</f>
        <v>#DIV/0!</v>
      </c>
      <c r="KHX212" s="367" t="s">
        <v>206</v>
      </c>
      <c r="KHY212" s="367"/>
      <c r="KHZ212" s="367"/>
      <c r="KIA212" s="368" t="s">
        <v>168</v>
      </c>
      <c r="KIB212" s="369">
        <v>0.5</v>
      </c>
      <c r="KIC212" s="370" t="e">
        <f>10/KHY210</f>
        <v>#DIV/0!</v>
      </c>
      <c r="KID212" s="371">
        <v>15.38</v>
      </c>
      <c r="KIE212" s="371" t="e">
        <f>KIB212*KIC212*KID212</f>
        <v>#DIV/0!</v>
      </c>
      <c r="KIF212" s="367" t="s">
        <v>206</v>
      </c>
      <c r="KIG212" s="367"/>
      <c r="KIH212" s="367"/>
      <c r="KII212" s="368" t="s">
        <v>168</v>
      </c>
      <c r="KIJ212" s="369">
        <v>0.5</v>
      </c>
      <c r="KIK212" s="370" t="e">
        <f>10/KIG210</f>
        <v>#DIV/0!</v>
      </c>
      <c r="KIL212" s="371">
        <v>15.38</v>
      </c>
      <c r="KIM212" s="371" t="e">
        <f>KIJ212*KIK212*KIL212</f>
        <v>#DIV/0!</v>
      </c>
      <c r="KIN212" s="367" t="s">
        <v>206</v>
      </c>
      <c r="KIO212" s="367"/>
      <c r="KIP212" s="367"/>
      <c r="KIQ212" s="368" t="s">
        <v>168</v>
      </c>
      <c r="KIR212" s="369">
        <v>0.5</v>
      </c>
      <c r="KIS212" s="370" t="e">
        <f>10/KIO210</f>
        <v>#DIV/0!</v>
      </c>
      <c r="KIT212" s="371">
        <v>15.38</v>
      </c>
      <c r="KIU212" s="371" t="e">
        <f>KIR212*KIS212*KIT212</f>
        <v>#DIV/0!</v>
      </c>
      <c r="KIV212" s="367" t="s">
        <v>206</v>
      </c>
      <c r="KIW212" s="367"/>
      <c r="KIX212" s="367"/>
      <c r="KIY212" s="368" t="s">
        <v>168</v>
      </c>
      <c r="KIZ212" s="369">
        <v>0.5</v>
      </c>
      <c r="KJA212" s="370" t="e">
        <f>10/KIW210</f>
        <v>#DIV/0!</v>
      </c>
      <c r="KJB212" s="371">
        <v>15.38</v>
      </c>
      <c r="KJC212" s="371" t="e">
        <f>KIZ212*KJA212*KJB212</f>
        <v>#DIV/0!</v>
      </c>
      <c r="KJD212" s="367" t="s">
        <v>206</v>
      </c>
      <c r="KJE212" s="367"/>
      <c r="KJF212" s="367"/>
      <c r="KJG212" s="368" t="s">
        <v>168</v>
      </c>
      <c r="KJH212" s="369">
        <v>0.5</v>
      </c>
      <c r="KJI212" s="370" t="e">
        <f>10/KJE210</f>
        <v>#DIV/0!</v>
      </c>
      <c r="KJJ212" s="371">
        <v>15.38</v>
      </c>
      <c r="KJK212" s="371" t="e">
        <f>KJH212*KJI212*KJJ212</f>
        <v>#DIV/0!</v>
      </c>
      <c r="KJL212" s="367" t="s">
        <v>206</v>
      </c>
      <c r="KJM212" s="367"/>
      <c r="KJN212" s="367"/>
      <c r="KJO212" s="368" t="s">
        <v>168</v>
      </c>
      <c r="KJP212" s="369">
        <v>0.5</v>
      </c>
      <c r="KJQ212" s="370" t="e">
        <f>10/KJM210</f>
        <v>#DIV/0!</v>
      </c>
      <c r="KJR212" s="371">
        <v>15.38</v>
      </c>
      <c r="KJS212" s="371" t="e">
        <f>KJP212*KJQ212*KJR212</f>
        <v>#DIV/0!</v>
      </c>
      <c r="KJT212" s="367" t="s">
        <v>206</v>
      </c>
      <c r="KJU212" s="367"/>
      <c r="KJV212" s="367"/>
      <c r="KJW212" s="368" t="s">
        <v>168</v>
      </c>
      <c r="KJX212" s="369">
        <v>0.5</v>
      </c>
      <c r="KJY212" s="370" t="e">
        <f>10/KJU210</f>
        <v>#DIV/0!</v>
      </c>
      <c r="KJZ212" s="371">
        <v>15.38</v>
      </c>
      <c r="KKA212" s="371" t="e">
        <f>KJX212*KJY212*KJZ212</f>
        <v>#DIV/0!</v>
      </c>
      <c r="KKB212" s="367" t="s">
        <v>206</v>
      </c>
      <c r="KKC212" s="367"/>
      <c r="KKD212" s="367"/>
      <c r="KKE212" s="368" t="s">
        <v>168</v>
      </c>
      <c r="KKF212" s="369">
        <v>0.5</v>
      </c>
      <c r="KKG212" s="370" t="e">
        <f>10/KKC210</f>
        <v>#DIV/0!</v>
      </c>
      <c r="KKH212" s="371">
        <v>15.38</v>
      </c>
      <c r="KKI212" s="371" t="e">
        <f>KKF212*KKG212*KKH212</f>
        <v>#DIV/0!</v>
      </c>
      <c r="KKJ212" s="367" t="s">
        <v>206</v>
      </c>
      <c r="KKK212" s="367"/>
      <c r="KKL212" s="367"/>
      <c r="KKM212" s="368" t="s">
        <v>168</v>
      </c>
      <c r="KKN212" s="369">
        <v>0.5</v>
      </c>
      <c r="KKO212" s="370" t="e">
        <f>10/KKK210</f>
        <v>#DIV/0!</v>
      </c>
      <c r="KKP212" s="371">
        <v>15.38</v>
      </c>
      <c r="KKQ212" s="371" t="e">
        <f>KKN212*KKO212*KKP212</f>
        <v>#DIV/0!</v>
      </c>
      <c r="KKR212" s="367" t="s">
        <v>206</v>
      </c>
      <c r="KKS212" s="367"/>
      <c r="KKT212" s="367"/>
      <c r="KKU212" s="368" t="s">
        <v>168</v>
      </c>
      <c r="KKV212" s="369">
        <v>0.5</v>
      </c>
      <c r="KKW212" s="370" t="e">
        <f>10/KKS210</f>
        <v>#DIV/0!</v>
      </c>
      <c r="KKX212" s="371">
        <v>15.38</v>
      </c>
      <c r="KKY212" s="371" t="e">
        <f>KKV212*KKW212*KKX212</f>
        <v>#DIV/0!</v>
      </c>
      <c r="KKZ212" s="367" t="s">
        <v>206</v>
      </c>
      <c r="KLA212" s="367"/>
      <c r="KLB212" s="367"/>
      <c r="KLC212" s="368" t="s">
        <v>168</v>
      </c>
      <c r="KLD212" s="369">
        <v>0.5</v>
      </c>
      <c r="KLE212" s="370" t="e">
        <f>10/KLA210</f>
        <v>#DIV/0!</v>
      </c>
      <c r="KLF212" s="371">
        <v>15.38</v>
      </c>
      <c r="KLG212" s="371" t="e">
        <f>KLD212*KLE212*KLF212</f>
        <v>#DIV/0!</v>
      </c>
      <c r="KLH212" s="367" t="s">
        <v>206</v>
      </c>
      <c r="KLI212" s="367"/>
      <c r="KLJ212" s="367"/>
      <c r="KLK212" s="368" t="s">
        <v>168</v>
      </c>
      <c r="KLL212" s="369">
        <v>0.5</v>
      </c>
      <c r="KLM212" s="370" t="e">
        <f>10/KLI210</f>
        <v>#DIV/0!</v>
      </c>
      <c r="KLN212" s="371">
        <v>15.38</v>
      </c>
      <c r="KLO212" s="371" t="e">
        <f>KLL212*KLM212*KLN212</f>
        <v>#DIV/0!</v>
      </c>
      <c r="KLP212" s="367" t="s">
        <v>206</v>
      </c>
      <c r="KLQ212" s="367"/>
      <c r="KLR212" s="367"/>
      <c r="KLS212" s="368" t="s">
        <v>168</v>
      </c>
      <c r="KLT212" s="369">
        <v>0.5</v>
      </c>
      <c r="KLU212" s="370" t="e">
        <f>10/KLQ210</f>
        <v>#DIV/0!</v>
      </c>
      <c r="KLV212" s="371">
        <v>15.38</v>
      </c>
      <c r="KLW212" s="371" t="e">
        <f>KLT212*KLU212*KLV212</f>
        <v>#DIV/0!</v>
      </c>
      <c r="KLX212" s="367" t="s">
        <v>206</v>
      </c>
      <c r="KLY212" s="367"/>
      <c r="KLZ212" s="367"/>
      <c r="KMA212" s="368" t="s">
        <v>168</v>
      </c>
      <c r="KMB212" s="369">
        <v>0.5</v>
      </c>
      <c r="KMC212" s="370" t="e">
        <f>10/KLY210</f>
        <v>#DIV/0!</v>
      </c>
      <c r="KMD212" s="371">
        <v>15.38</v>
      </c>
      <c r="KME212" s="371" t="e">
        <f>KMB212*KMC212*KMD212</f>
        <v>#DIV/0!</v>
      </c>
      <c r="KMF212" s="367" t="s">
        <v>206</v>
      </c>
      <c r="KMG212" s="367"/>
      <c r="KMH212" s="367"/>
      <c r="KMI212" s="368" t="s">
        <v>168</v>
      </c>
      <c r="KMJ212" s="369">
        <v>0.5</v>
      </c>
      <c r="KMK212" s="370" t="e">
        <f>10/KMG210</f>
        <v>#DIV/0!</v>
      </c>
      <c r="KML212" s="371">
        <v>15.38</v>
      </c>
      <c r="KMM212" s="371" t="e">
        <f>KMJ212*KMK212*KML212</f>
        <v>#DIV/0!</v>
      </c>
      <c r="KMN212" s="367" t="s">
        <v>206</v>
      </c>
      <c r="KMO212" s="367"/>
      <c r="KMP212" s="367"/>
      <c r="KMQ212" s="368" t="s">
        <v>168</v>
      </c>
      <c r="KMR212" s="369">
        <v>0.5</v>
      </c>
      <c r="KMS212" s="370" t="e">
        <f>10/KMO210</f>
        <v>#DIV/0!</v>
      </c>
      <c r="KMT212" s="371">
        <v>15.38</v>
      </c>
      <c r="KMU212" s="371" t="e">
        <f>KMR212*KMS212*KMT212</f>
        <v>#DIV/0!</v>
      </c>
      <c r="KMV212" s="367" t="s">
        <v>206</v>
      </c>
      <c r="KMW212" s="367"/>
      <c r="KMX212" s="367"/>
      <c r="KMY212" s="368" t="s">
        <v>168</v>
      </c>
      <c r="KMZ212" s="369">
        <v>0.5</v>
      </c>
      <c r="KNA212" s="370" t="e">
        <f>10/KMW210</f>
        <v>#DIV/0!</v>
      </c>
      <c r="KNB212" s="371">
        <v>15.38</v>
      </c>
      <c r="KNC212" s="371" t="e">
        <f>KMZ212*KNA212*KNB212</f>
        <v>#DIV/0!</v>
      </c>
      <c r="KND212" s="367" t="s">
        <v>206</v>
      </c>
      <c r="KNE212" s="367"/>
      <c r="KNF212" s="367"/>
      <c r="KNG212" s="368" t="s">
        <v>168</v>
      </c>
      <c r="KNH212" s="369">
        <v>0.5</v>
      </c>
      <c r="KNI212" s="370" t="e">
        <f>10/KNE210</f>
        <v>#DIV/0!</v>
      </c>
      <c r="KNJ212" s="371">
        <v>15.38</v>
      </c>
      <c r="KNK212" s="371" t="e">
        <f>KNH212*KNI212*KNJ212</f>
        <v>#DIV/0!</v>
      </c>
      <c r="KNL212" s="367" t="s">
        <v>206</v>
      </c>
      <c r="KNM212" s="367"/>
      <c r="KNN212" s="367"/>
      <c r="KNO212" s="368" t="s">
        <v>168</v>
      </c>
      <c r="KNP212" s="369">
        <v>0.5</v>
      </c>
      <c r="KNQ212" s="370" t="e">
        <f>10/KNM210</f>
        <v>#DIV/0!</v>
      </c>
      <c r="KNR212" s="371">
        <v>15.38</v>
      </c>
      <c r="KNS212" s="371" t="e">
        <f>KNP212*KNQ212*KNR212</f>
        <v>#DIV/0!</v>
      </c>
      <c r="KNT212" s="367" t="s">
        <v>206</v>
      </c>
      <c r="KNU212" s="367"/>
      <c r="KNV212" s="367"/>
      <c r="KNW212" s="368" t="s">
        <v>168</v>
      </c>
      <c r="KNX212" s="369">
        <v>0.5</v>
      </c>
      <c r="KNY212" s="370" t="e">
        <f>10/KNU210</f>
        <v>#DIV/0!</v>
      </c>
      <c r="KNZ212" s="371">
        <v>15.38</v>
      </c>
      <c r="KOA212" s="371" t="e">
        <f>KNX212*KNY212*KNZ212</f>
        <v>#DIV/0!</v>
      </c>
      <c r="KOB212" s="367" t="s">
        <v>206</v>
      </c>
      <c r="KOC212" s="367"/>
      <c r="KOD212" s="367"/>
      <c r="KOE212" s="368" t="s">
        <v>168</v>
      </c>
      <c r="KOF212" s="369">
        <v>0.5</v>
      </c>
      <c r="KOG212" s="370" t="e">
        <f>10/KOC210</f>
        <v>#DIV/0!</v>
      </c>
      <c r="KOH212" s="371">
        <v>15.38</v>
      </c>
      <c r="KOI212" s="371" t="e">
        <f>KOF212*KOG212*KOH212</f>
        <v>#DIV/0!</v>
      </c>
      <c r="KOJ212" s="367" t="s">
        <v>206</v>
      </c>
      <c r="KOK212" s="367"/>
      <c r="KOL212" s="367"/>
      <c r="KOM212" s="368" t="s">
        <v>168</v>
      </c>
      <c r="KON212" s="369">
        <v>0.5</v>
      </c>
      <c r="KOO212" s="370" t="e">
        <f>10/KOK210</f>
        <v>#DIV/0!</v>
      </c>
      <c r="KOP212" s="371">
        <v>15.38</v>
      </c>
      <c r="KOQ212" s="371" t="e">
        <f>KON212*KOO212*KOP212</f>
        <v>#DIV/0!</v>
      </c>
      <c r="KOR212" s="367" t="s">
        <v>206</v>
      </c>
      <c r="KOS212" s="367"/>
      <c r="KOT212" s="367"/>
      <c r="KOU212" s="368" t="s">
        <v>168</v>
      </c>
      <c r="KOV212" s="369">
        <v>0.5</v>
      </c>
      <c r="KOW212" s="370" t="e">
        <f>10/KOS210</f>
        <v>#DIV/0!</v>
      </c>
      <c r="KOX212" s="371">
        <v>15.38</v>
      </c>
      <c r="KOY212" s="371" t="e">
        <f>KOV212*KOW212*KOX212</f>
        <v>#DIV/0!</v>
      </c>
      <c r="KOZ212" s="367" t="s">
        <v>206</v>
      </c>
      <c r="KPA212" s="367"/>
      <c r="KPB212" s="367"/>
      <c r="KPC212" s="368" t="s">
        <v>168</v>
      </c>
      <c r="KPD212" s="369">
        <v>0.5</v>
      </c>
      <c r="KPE212" s="370" t="e">
        <f>10/KPA210</f>
        <v>#DIV/0!</v>
      </c>
      <c r="KPF212" s="371">
        <v>15.38</v>
      </c>
      <c r="KPG212" s="371" t="e">
        <f>KPD212*KPE212*KPF212</f>
        <v>#DIV/0!</v>
      </c>
      <c r="KPH212" s="367" t="s">
        <v>206</v>
      </c>
      <c r="KPI212" s="367"/>
      <c r="KPJ212" s="367"/>
      <c r="KPK212" s="368" t="s">
        <v>168</v>
      </c>
      <c r="KPL212" s="369">
        <v>0.5</v>
      </c>
      <c r="KPM212" s="370" t="e">
        <f>10/KPI210</f>
        <v>#DIV/0!</v>
      </c>
      <c r="KPN212" s="371">
        <v>15.38</v>
      </c>
      <c r="KPO212" s="371" t="e">
        <f>KPL212*KPM212*KPN212</f>
        <v>#DIV/0!</v>
      </c>
      <c r="KPP212" s="367" t="s">
        <v>206</v>
      </c>
      <c r="KPQ212" s="367"/>
      <c r="KPR212" s="367"/>
      <c r="KPS212" s="368" t="s">
        <v>168</v>
      </c>
      <c r="KPT212" s="369">
        <v>0.5</v>
      </c>
      <c r="KPU212" s="370" t="e">
        <f>10/KPQ210</f>
        <v>#DIV/0!</v>
      </c>
      <c r="KPV212" s="371">
        <v>15.38</v>
      </c>
      <c r="KPW212" s="371" t="e">
        <f>KPT212*KPU212*KPV212</f>
        <v>#DIV/0!</v>
      </c>
      <c r="KPX212" s="367" t="s">
        <v>206</v>
      </c>
      <c r="KPY212" s="367"/>
      <c r="KPZ212" s="367"/>
      <c r="KQA212" s="368" t="s">
        <v>168</v>
      </c>
      <c r="KQB212" s="369">
        <v>0.5</v>
      </c>
      <c r="KQC212" s="370" t="e">
        <f>10/KPY210</f>
        <v>#DIV/0!</v>
      </c>
      <c r="KQD212" s="371">
        <v>15.38</v>
      </c>
      <c r="KQE212" s="371" t="e">
        <f>KQB212*KQC212*KQD212</f>
        <v>#DIV/0!</v>
      </c>
      <c r="KQF212" s="367" t="s">
        <v>206</v>
      </c>
      <c r="KQG212" s="367"/>
      <c r="KQH212" s="367"/>
      <c r="KQI212" s="368" t="s">
        <v>168</v>
      </c>
      <c r="KQJ212" s="369">
        <v>0.5</v>
      </c>
      <c r="KQK212" s="370" t="e">
        <f>10/KQG210</f>
        <v>#DIV/0!</v>
      </c>
      <c r="KQL212" s="371">
        <v>15.38</v>
      </c>
      <c r="KQM212" s="371" t="e">
        <f>KQJ212*KQK212*KQL212</f>
        <v>#DIV/0!</v>
      </c>
      <c r="KQN212" s="367" t="s">
        <v>206</v>
      </c>
      <c r="KQO212" s="367"/>
      <c r="KQP212" s="367"/>
      <c r="KQQ212" s="368" t="s">
        <v>168</v>
      </c>
      <c r="KQR212" s="369">
        <v>0.5</v>
      </c>
      <c r="KQS212" s="370" t="e">
        <f>10/KQO210</f>
        <v>#DIV/0!</v>
      </c>
      <c r="KQT212" s="371">
        <v>15.38</v>
      </c>
      <c r="KQU212" s="371" t="e">
        <f>KQR212*KQS212*KQT212</f>
        <v>#DIV/0!</v>
      </c>
      <c r="KQV212" s="367" t="s">
        <v>206</v>
      </c>
      <c r="KQW212" s="367"/>
      <c r="KQX212" s="367"/>
      <c r="KQY212" s="368" t="s">
        <v>168</v>
      </c>
      <c r="KQZ212" s="369">
        <v>0.5</v>
      </c>
      <c r="KRA212" s="370" t="e">
        <f>10/KQW210</f>
        <v>#DIV/0!</v>
      </c>
      <c r="KRB212" s="371">
        <v>15.38</v>
      </c>
      <c r="KRC212" s="371" t="e">
        <f>KQZ212*KRA212*KRB212</f>
        <v>#DIV/0!</v>
      </c>
      <c r="KRD212" s="367" t="s">
        <v>206</v>
      </c>
      <c r="KRE212" s="367"/>
      <c r="KRF212" s="367"/>
      <c r="KRG212" s="368" t="s">
        <v>168</v>
      </c>
      <c r="KRH212" s="369">
        <v>0.5</v>
      </c>
      <c r="KRI212" s="370" t="e">
        <f>10/KRE210</f>
        <v>#DIV/0!</v>
      </c>
      <c r="KRJ212" s="371">
        <v>15.38</v>
      </c>
      <c r="KRK212" s="371" t="e">
        <f>KRH212*KRI212*KRJ212</f>
        <v>#DIV/0!</v>
      </c>
      <c r="KRL212" s="367" t="s">
        <v>206</v>
      </c>
      <c r="KRM212" s="367"/>
      <c r="KRN212" s="367"/>
      <c r="KRO212" s="368" t="s">
        <v>168</v>
      </c>
      <c r="KRP212" s="369">
        <v>0.5</v>
      </c>
      <c r="KRQ212" s="370" t="e">
        <f>10/KRM210</f>
        <v>#DIV/0!</v>
      </c>
      <c r="KRR212" s="371">
        <v>15.38</v>
      </c>
      <c r="KRS212" s="371" t="e">
        <f>KRP212*KRQ212*KRR212</f>
        <v>#DIV/0!</v>
      </c>
      <c r="KRT212" s="367" t="s">
        <v>206</v>
      </c>
      <c r="KRU212" s="367"/>
      <c r="KRV212" s="367"/>
      <c r="KRW212" s="368" t="s">
        <v>168</v>
      </c>
      <c r="KRX212" s="369">
        <v>0.5</v>
      </c>
      <c r="KRY212" s="370" t="e">
        <f>10/KRU210</f>
        <v>#DIV/0!</v>
      </c>
      <c r="KRZ212" s="371">
        <v>15.38</v>
      </c>
      <c r="KSA212" s="371" t="e">
        <f>KRX212*KRY212*KRZ212</f>
        <v>#DIV/0!</v>
      </c>
      <c r="KSB212" s="367" t="s">
        <v>206</v>
      </c>
      <c r="KSC212" s="367"/>
      <c r="KSD212" s="367"/>
      <c r="KSE212" s="368" t="s">
        <v>168</v>
      </c>
      <c r="KSF212" s="369">
        <v>0.5</v>
      </c>
      <c r="KSG212" s="370" t="e">
        <f>10/KSC210</f>
        <v>#DIV/0!</v>
      </c>
      <c r="KSH212" s="371">
        <v>15.38</v>
      </c>
      <c r="KSI212" s="371" t="e">
        <f>KSF212*KSG212*KSH212</f>
        <v>#DIV/0!</v>
      </c>
      <c r="KSJ212" s="367" t="s">
        <v>206</v>
      </c>
      <c r="KSK212" s="367"/>
      <c r="KSL212" s="367"/>
      <c r="KSM212" s="368" t="s">
        <v>168</v>
      </c>
      <c r="KSN212" s="369">
        <v>0.5</v>
      </c>
      <c r="KSO212" s="370" t="e">
        <f>10/KSK210</f>
        <v>#DIV/0!</v>
      </c>
      <c r="KSP212" s="371">
        <v>15.38</v>
      </c>
      <c r="KSQ212" s="371" t="e">
        <f>KSN212*KSO212*KSP212</f>
        <v>#DIV/0!</v>
      </c>
      <c r="KSR212" s="367" t="s">
        <v>206</v>
      </c>
      <c r="KSS212" s="367"/>
      <c r="KST212" s="367"/>
      <c r="KSU212" s="368" t="s">
        <v>168</v>
      </c>
      <c r="KSV212" s="369">
        <v>0.5</v>
      </c>
      <c r="KSW212" s="370" t="e">
        <f>10/KSS210</f>
        <v>#DIV/0!</v>
      </c>
      <c r="KSX212" s="371">
        <v>15.38</v>
      </c>
      <c r="KSY212" s="371" t="e">
        <f>KSV212*KSW212*KSX212</f>
        <v>#DIV/0!</v>
      </c>
      <c r="KSZ212" s="367" t="s">
        <v>206</v>
      </c>
      <c r="KTA212" s="367"/>
      <c r="KTB212" s="367"/>
      <c r="KTC212" s="368" t="s">
        <v>168</v>
      </c>
      <c r="KTD212" s="369">
        <v>0.5</v>
      </c>
      <c r="KTE212" s="370" t="e">
        <f>10/KTA210</f>
        <v>#DIV/0!</v>
      </c>
      <c r="KTF212" s="371">
        <v>15.38</v>
      </c>
      <c r="KTG212" s="371" t="e">
        <f>KTD212*KTE212*KTF212</f>
        <v>#DIV/0!</v>
      </c>
      <c r="KTH212" s="367" t="s">
        <v>206</v>
      </c>
      <c r="KTI212" s="367"/>
      <c r="KTJ212" s="367"/>
      <c r="KTK212" s="368" t="s">
        <v>168</v>
      </c>
      <c r="KTL212" s="369">
        <v>0.5</v>
      </c>
      <c r="KTM212" s="370" t="e">
        <f>10/KTI210</f>
        <v>#DIV/0!</v>
      </c>
      <c r="KTN212" s="371">
        <v>15.38</v>
      </c>
      <c r="KTO212" s="371" t="e">
        <f>KTL212*KTM212*KTN212</f>
        <v>#DIV/0!</v>
      </c>
      <c r="KTP212" s="367" t="s">
        <v>206</v>
      </c>
      <c r="KTQ212" s="367"/>
      <c r="KTR212" s="367"/>
      <c r="KTS212" s="368" t="s">
        <v>168</v>
      </c>
      <c r="KTT212" s="369">
        <v>0.5</v>
      </c>
      <c r="KTU212" s="370" t="e">
        <f>10/KTQ210</f>
        <v>#DIV/0!</v>
      </c>
      <c r="KTV212" s="371">
        <v>15.38</v>
      </c>
      <c r="KTW212" s="371" t="e">
        <f>KTT212*KTU212*KTV212</f>
        <v>#DIV/0!</v>
      </c>
      <c r="KTX212" s="367" t="s">
        <v>206</v>
      </c>
      <c r="KTY212" s="367"/>
      <c r="KTZ212" s="367"/>
      <c r="KUA212" s="368" t="s">
        <v>168</v>
      </c>
      <c r="KUB212" s="369">
        <v>0.5</v>
      </c>
      <c r="KUC212" s="370" t="e">
        <f>10/KTY210</f>
        <v>#DIV/0!</v>
      </c>
      <c r="KUD212" s="371">
        <v>15.38</v>
      </c>
      <c r="KUE212" s="371" t="e">
        <f>KUB212*KUC212*KUD212</f>
        <v>#DIV/0!</v>
      </c>
      <c r="KUF212" s="367" t="s">
        <v>206</v>
      </c>
      <c r="KUG212" s="367"/>
      <c r="KUH212" s="367"/>
      <c r="KUI212" s="368" t="s">
        <v>168</v>
      </c>
      <c r="KUJ212" s="369">
        <v>0.5</v>
      </c>
      <c r="KUK212" s="370" t="e">
        <f>10/KUG210</f>
        <v>#DIV/0!</v>
      </c>
      <c r="KUL212" s="371">
        <v>15.38</v>
      </c>
      <c r="KUM212" s="371" t="e">
        <f>KUJ212*KUK212*KUL212</f>
        <v>#DIV/0!</v>
      </c>
      <c r="KUN212" s="367" t="s">
        <v>206</v>
      </c>
      <c r="KUO212" s="367"/>
      <c r="KUP212" s="367"/>
      <c r="KUQ212" s="368" t="s">
        <v>168</v>
      </c>
      <c r="KUR212" s="369">
        <v>0.5</v>
      </c>
      <c r="KUS212" s="370" t="e">
        <f>10/KUO210</f>
        <v>#DIV/0!</v>
      </c>
      <c r="KUT212" s="371">
        <v>15.38</v>
      </c>
      <c r="KUU212" s="371" t="e">
        <f>KUR212*KUS212*KUT212</f>
        <v>#DIV/0!</v>
      </c>
      <c r="KUV212" s="367" t="s">
        <v>206</v>
      </c>
      <c r="KUW212" s="367"/>
      <c r="KUX212" s="367"/>
      <c r="KUY212" s="368" t="s">
        <v>168</v>
      </c>
      <c r="KUZ212" s="369">
        <v>0.5</v>
      </c>
      <c r="KVA212" s="370" t="e">
        <f>10/KUW210</f>
        <v>#DIV/0!</v>
      </c>
      <c r="KVB212" s="371">
        <v>15.38</v>
      </c>
      <c r="KVC212" s="371" t="e">
        <f>KUZ212*KVA212*KVB212</f>
        <v>#DIV/0!</v>
      </c>
      <c r="KVD212" s="367" t="s">
        <v>206</v>
      </c>
      <c r="KVE212" s="367"/>
      <c r="KVF212" s="367"/>
      <c r="KVG212" s="368" t="s">
        <v>168</v>
      </c>
      <c r="KVH212" s="369">
        <v>0.5</v>
      </c>
      <c r="KVI212" s="370" t="e">
        <f>10/KVE210</f>
        <v>#DIV/0!</v>
      </c>
      <c r="KVJ212" s="371">
        <v>15.38</v>
      </c>
      <c r="KVK212" s="371" t="e">
        <f>KVH212*KVI212*KVJ212</f>
        <v>#DIV/0!</v>
      </c>
      <c r="KVL212" s="367" t="s">
        <v>206</v>
      </c>
      <c r="KVM212" s="367"/>
      <c r="KVN212" s="367"/>
      <c r="KVO212" s="368" t="s">
        <v>168</v>
      </c>
      <c r="KVP212" s="369">
        <v>0.5</v>
      </c>
      <c r="KVQ212" s="370" t="e">
        <f>10/KVM210</f>
        <v>#DIV/0!</v>
      </c>
      <c r="KVR212" s="371">
        <v>15.38</v>
      </c>
      <c r="KVS212" s="371" t="e">
        <f>KVP212*KVQ212*KVR212</f>
        <v>#DIV/0!</v>
      </c>
      <c r="KVT212" s="367" t="s">
        <v>206</v>
      </c>
      <c r="KVU212" s="367"/>
      <c r="KVV212" s="367"/>
      <c r="KVW212" s="368" t="s">
        <v>168</v>
      </c>
      <c r="KVX212" s="369">
        <v>0.5</v>
      </c>
      <c r="KVY212" s="370" t="e">
        <f>10/KVU210</f>
        <v>#DIV/0!</v>
      </c>
      <c r="KVZ212" s="371">
        <v>15.38</v>
      </c>
      <c r="KWA212" s="371" t="e">
        <f>KVX212*KVY212*KVZ212</f>
        <v>#DIV/0!</v>
      </c>
      <c r="KWB212" s="367" t="s">
        <v>206</v>
      </c>
      <c r="KWC212" s="367"/>
      <c r="KWD212" s="367"/>
      <c r="KWE212" s="368" t="s">
        <v>168</v>
      </c>
      <c r="KWF212" s="369">
        <v>0.5</v>
      </c>
      <c r="KWG212" s="370" t="e">
        <f>10/KWC210</f>
        <v>#DIV/0!</v>
      </c>
      <c r="KWH212" s="371">
        <v>15.38</v>
      </c>
      <c r="KWI212" s="371" t="e">
        <f>KWF212*KWG212*KWH212</f>
        <v>#DIV/0!</v>
      </c>
      <c r="KWJ212" s="367" t="s">
        <v>206</v>
      </c>
      <c r="KWK212" s="367"/>
      <c r="KWL212" s="367"/>
      <c r="KWM212" s="368" t="s">
        <v>168</v>
      </c>
      <c r="KWN212" s="369">
        <v>0.5</v>
      </c>
      <c r="KWO212" s="370" t="e">
        <f>10/KWK210</f>
        <v>#DIV/0!</v>
      </c>
      <c r="KWP212" s="371">
        <v>15.38</v>
      </c>
      <c r="KWQ212" s="371" t="e">
        <f>KWN212*KWO212*KWP212</f>
        <v>#DIV/0!</v>
      </c>
      <c r="KWR212" s="367" t="s">
        <v>206</v>
      </c>
      <c r="KWS212" s="367"/>
      <c r="KWT212" s="367"/>
      <c r="KWU212" s="368" t="s">
        <v>168</v>
      </c>
      <c r="KWV212" s="369">
        <v>0.5</v>
      </c>
      <c r="KWW212" s="370" t="e">
        <f>10/KWS210</f>
        <v>#DIV/0!</v>
      </c>
      <c r="KWX212" s="371">
        <v>15.38</v>
      </c>
      <c r="KWY212" s="371" t="e">
        <f>KWV212*KWW212*KWX212</f>
        <v>#DIV/0!</v>
      </c>
      <c r="KWZ212" s="367" t="s">
        <v>206</v>
      </c>
      <c r="KXA212" s="367"/>
      <c r="KXB212" s="367"/>
      <c r="KXC212" s="368" t="s">
        <v>168</v>
      </c>
      <c r="KXD212" s="369">
        <v>0.5</v>
      </c>
      <c r="KXE212" s="370" t="e">
        <f>10/KXA210</f>
        <v>#DIV/0!</v>
      </c>
      <c r="KXF212" s="371">
        <v>15.38</v>
      </c>
      <c r="KXG212" s="371" t="e">
        <f>KXD212*KXE212*KXF212</f>
        <v>#DIV/0!</v>
      </c>
      <c r="KXH212" s="367" t="s">
        <v>206</v>
      </c>
      <c r="KXI212" s="367"/>
      <c r="KXJ212" s="367"/>
      <c r="KXK212" s="368" t="s">
        <v>168</v>
      </c>
      <c r="KXL212" s="369">
        <v>0.5</v>
      </c>
      <c r="KXM212" s="370" t="e">
        <f>10/KXI210</f>
        <v>#DIV/0!</v>
      </c>
      <c r="KXN212" s="371">
        <v>15.38</v>
      </c>
      <c r="KXO212" s="371" t="e">
        <f>KXL212*KXM212*KXN212</f>
        <v>#DIV/0!</v>
      </c>
      <c r="KXP212" s="367" t="s">
        <v>206</v>
      </c>
      <c r="KXQ212" s="367"/>
      <c r="KXR212" s="367"/>
      <c r="KXS212" s="368" t="s">
        <v>168</v>
      </c>
      <c r="KXT212" s="369">
        <v>0.5</v>
      </c>
      <c r="KXU212" s="370" t="e">
        <f>10/KXQ210</f>
        <v>#DIV/0!</v>
      </c>
      <c r="KXV212" s="371">
        <v>15.38</v>
      </c>
      <c r="KXW212" s="371" t="e">
        <f>KXT212*KXU212*KXV212</f>
        <v>#DIV/0!</v>
      </c>
      <c r="KXX212" s="367" t="s">
        <v>206</v>
      </c>
      <c r="KXY212" s="367"/>
      <c r="KXZ212" s="367"/>
      <c r="KYA212" s="368" t="s">
        <v>168</v>
      </c>
      <c r="KYB212" s="369">
        <v>0.5</v>
      </c>
      <c r="KYC212" s="370" t="e">
        <f>10/KXY210</f>
        <v>#DIV/0!</v>
      </c>
      <c r="KYD212" s="371">
        <v>15.38</v>
      </c>
      <c r="KYE212" s="371" t="e">
        <f>KYB212*KYC212*KYD212</f>
        <v>#DIV/0!</v>
      </c>
      <c r="KYF212" s="367" t="s">
        <v>206</v>
      </c>
      <c r="KYG212" s="367"/>
      <c r="KYH212" s="367"/>
      <c r="KYI212" s="368" t="s">
        <v>168</v>
      </c>
      <c r="KYJ212" s="369">
        <v>0.5</v>
      </c>
      <c r="KYK212" s="370" t="e">
        <f>10/KYG210</f>
        <v>#DIV/0!</v>
      </c>
      <c r="KYL212" s="371">
        <v>15.38</v>
      </c>
      <c r="KYM212" s="371" t="e">
        <f>KYJ212*KYK212*KYL212</f>
        <v>#DIV/0!</v>
      </c>
      <c r="KYN212" s="367" t="s">
        <v>206</v>
      </c>
      <c r="KYO212" s="367"/>
      <c r="KYP212" s="367"/>
      <c r="KYQ212" s="368" t="s">
        <v>168</v>
      </c>
      <c r="KYR212" s="369">
        <v>0.5</v>
      </c>
      <c r="KYS212" s="370" t="e">
        <f>10/KYO210</f>
        <v>#DIV/0!</v>
      </c>
      <c r="KYT212" s="371">
        <v>15.38</v>
      </c>
      <c r="KYU212" s="371" t="e">
        <f>KYR212*KYS212*KYT212</f>
        <v>#DIV/0!</v>
      </c>
      <c r="KYV212" s="367" t="s">
        <v>206</v>
      </c>
      <c r="KYW212" s="367"/>
      <c r="KYX212" s="367"/>
      <c r="KYY212" s="368" t="s">
        <v>168</v>
      </c>
      <c r="KYZ212" s="369">
        <v>0.5</v>
      </c>
      <c r="KZA212" s="370" t="e">
        <f>10/KYW210</f>
        <v>#DIV/0!</v>
      </c>
      <c r="KZB212" s="371">
        <v>15.38</v>
      </c>
      <c r="KZC212" s="371" t="e">
        <f>KYZ212*KZA212*KZB212</f>
        <v>#DIV/0!</v>
      </c>
      <c r="KZD212" s="367" t="s">
        <v>206</v>
      </c>
      <c r="KZE212" s="367"/>
      <c r="KZF212" s="367"/>
      <c r="KZG212" s="368" t="s">
        <v>168</v>
      </c>
      <c r="KZH212" s="369">
        <v>0.5</v>
      </c>
      <c r="KZI212" s="370" t="e">
        <f>10/KZE210</f>
        <v>#DIV/0!</v>
      </c>
      <c r="KZJ212" s="371">
        <v>15.38</v>
      </c>
      <c r="KZK212" s="371" t="e">
        <f>KZH212*KZI212*KZJ212</f>
        <v>#DIV/0!</v>
      </c>
      <c r="KZL212" s="367" t="s">
        <v>206</v>
      </c>
      <c r="KZM212" s="367"/>
      <c r="KZN212" s="367"/>
      <c r="KZO212" s="368" t="s">
        <v>168</v>
      </c>
      <c r="KZP212" s="369">
        <v>0.5</v>
      </c>
      <c r="KZQ212" s="370" t="e">
        <f>10/KZM210</f>
        <v>#DIV/0!</v>
      </c>
      <c r="KZR212" s="371">
        <v>15.38</v>
      </c>
      <c r="KZS212" s="371" t="e">
        <f>KZP212*KZQ212*KZR212</f>
        <v>#DIV/0!</v>
      </c>
      <c r="KZT212" s="367" t="s">
        <v>206</v>
      </c>
      <c r="KZU212" s="367"/>
      <c r="KZV212" s="367"/>
      <c r="KZW212" s="368" t="s">
        <v>168</v>
      </c>
      <c r="KZX212" s="369">
        <v>0.5</v>
      </c>
      <c r="KZY212" s="370" t="e">
        <f>10/KZU210</f>
        <v>#DIV/0!</v>
      </c>
      <c r="KZZ212" s="371">
        <v>15.38</v>
      </c>
      <c r="LAA212" s="371" t="e">
        <f>KZX212*KZY212*KZZ212</f>
        <v>#DIV/0!</v>
      </c>
      <c r="LAB212" s="367" t="s">
        <v>206</v>
      </c>
      <c r="LAC212" s="367"/>
      <c r="LAD212" s="367"/>
      <c r="LAE212" s="368" t="s">
        <v>168</v>
      </c>
      <c r="LAF212" s="369">
        <v>0.5</v>
      </c>
      <c r="LAG212" s="370" t="e">
        <f>10/LAC210</f>
        <v>#DIV/0!</v>
      </c>
      <c r="LAH212" s="371">
        <v>15.38</v>
      </c>
      <c r="LAI212" s="371" t="e">
        <f>LAF212*LAG212*LAH212</f>
        <v>#DIV/0!</v>
      </c>
      <c r="LAJ212" s="367" t="s">
        <v>206</v>
      </c>
      <c r="LAK212" s="367"/>
      <c r="LAL212" s="367"/>
      <c r="LAM212" s="368" t="s">
        <v>168</v>
      </c>
      <c r="LAN212" s="369">
        <v>0.5</v>
      </c>
      <c r="LAO212" s="370" t="e">
        <f>10/LAK210</f>
        <v>#DIV/0!</v>
      </c>
      <c r="LAP212" s="371">
        <v>15.38</v>
      </c>
      <c r="LAQ212" s="371" t="e">
        <f>LAN212*LAO212*LAP212</f>
        <v>#DIV/0!</v>
      </c>
      <c r="LAR212" s="367" t="s">
        <v>206</v>
      </c>
      <c r="LAS212" s="367"/>
      <c r="LAT212" s="367"/>
      <c r="LAU212" s="368" t="s">
        <v>168</v>
      </c>
      <c r="LAV212" s="369">
        <v>0.5</v>
      </c>
      <c r="LAW212" s="370" t="e">
        <f>10/LAS210</f>
        <v>#DIV/0!</v>
      </c>
      <c r="LAX212" s="371">
        <v>15.38</v>
      </c>
      <c r="LAY212" s="371" t="e">
        <f>LAV212*LAW212*LAX212</f>
        <v>#DIV/0!</v>
      </c>
      <c r="LAZ212" s="367" t="s">
        <v>206</v>
      </c>
      <c r="LBA212" s="367"/>
      <c r="LBB212" s="367"/>
      <c r="LBC212" s="368" t="s">
        <v>168</v>
      </c>
      <c r="LBD212" s="369">
        <v>0.5</v>
      </c>
      <c r="LBE212" s="370" t="e">
        <f>10/LBA210</f>
        <v>#DIV/0!</v>
      </c>
      <c r="LBF212" s="371">
        <v>15.38</v>
      </c>
      <c r="LBG212" s="371" t="e">
        <f>LBD212*LBE212*LBF212</f>
        <v>#DIV/0!</v>
      </c>
      <c r="LBH212" s="367" t="s">
        <v>206</v>
      </c>
      <c r="LBI212" s="367"/>
      <c r="LBJ212" s="367"/>
      <c r="LBK212" s="368" t="s">
        <v>168</v>
      </c>
      <c r="LBL212" s="369">
        <v>0.5</v>
      </c>
      <c r="LBM212" s="370" t="e">
        <f>10/LBI210</f>
        <v>#DIV/0!</v>
      </c>
      <c r="LBN212" s="371">
        <v>15.38</v>
      </c>
      <c r="LBO212" s="371" t="e">
        <f>LBL212*LBM212*LBN212</f>
        <v>#DIV/0!</v>
      </c>
      <c r="LBP212" s="367" t="s">
        <v>206</v>
      </c>
      <c r="LBQ212" s="367"/>
      <c r="LBR212" s="367"/>
      <c r="LBS212" s="368" t="s">
        <v>168</v>
      </c>
      <c r="LBT212" s="369">
        <v>0.5</v>
      </c>
      <c r="LBU212" s="370" t="e">
        <f>10/LBQ210</f>
        <v>#DIV/0!</v>
      </c>
      <c r="LBV212" s="371">
        <v>15.38</v>
      </c>
      <c r="LBW212" s="371" t="e">
        <f>LBT212*LBU212*LBV212</f>
        <v>#DIV/0!</v>
      </c>
      <c r="LBX212" s="367" t="s">
        <v>206</v>
      </c>
      <c r="LBY212" s="367"/>
      <c r="LBZ212" s="367"/>
      <c r="LCA212" s="368" t="s">
        <v>168</v>
      </c>
      <c r="LCB212" s="369">
        <v>0.5</v>
      </c>
      <c r="LCC212" s="370" t="e">
        <f>10/LBY210</f>
        <v>#DIV/0!</v>
      </c>
      <c r="LCD212" s="371">
        <v>15.38</v>
      </c>
      <c r="LCE212" s="371" t="e">
        <f>LCB212*LCC212*LCD212</f>
        <v>#DIV/0!</v>
      </c>
      <c r="LCF212" s="367" t="s">
        <v>206</v>
      </c>
      <c r="LCG212" s="367"/>
      <c r="LCH212" s="367"/>
      <c r="LCI212" s="368" t="s">
        <v>168</v>
      </c>
      <c r="LCJ212" s="369">
        <v>0.5</v>
      </c>
      <c r="LCK212" s="370" t="e">
        <f>10/LCG210</f>
        <v>#DIV/0!</v>
      </c>
      <c r="LCL212" s="371">
        <v>15.38</v>
      </c>
      <c r="LCM212" s="371" t="e">
        <f>LCJ212*LCK212*LCL212</f>
        <v>#DIV/0!</v>
      </c>
      <c r="LCN212" s="367" t="s">
        <v>206</v>
      </c>
      <c r="LCO212" s="367"/>
      <c r="LCP212" s="367"/>
      <c r="LCQ212" s="368" t="s">
        <v>168</v>
      </c>
      <c r="LCR212" s="369">
        <v>0.5</v>
      </c>
      <c r="LCS212" s="370" t="e">
        <f>10/LCO210</f>
        <v>#DIV/0!</v>
      </c>
      <c r="LCT212" s="371">
        <v>15.38</v>
      </c>
      <c r="LCU212" s="371" t="e">
        <f>LCR212*LCS212*LCT212</f>
        <v>#DIV/0!</v>
      </c>
      <c r="LCV212" s="367" t="s">
        <v>206</v>
      </c>
      <c r="LCW212" s="367"/>
      <c r="LCX212" s="367"/>
      <c r="LCY212" s="368" t="s">
        <v>168</v>
      </c>
      <c r="LCZ212" s="369">
        <v>0.5</v>
      </c>
      <c r="LDA212" s="370" t="e">
        <f>10/LCW210</f>
        <v>#DIV/0!</v>
      </c>
      <c r="LDB212" s="371">
        <v>15.38</v>
      </c>
      <c r="LDC212" s="371" t="e">
        <f>LCZ212*LDA212*LDB212</f>
        <v>#DIV/0!</v>
      </c>
      <c r="LDD212" s="367" t="s">
        <v>206</v>
      </c>
      <c r="LDE212" s="367"/>
      <c r="LDF212" s="367"/>
      <c r="LDG212" s="368" t="s">
        <v>168</v>
      </c>
      <c r="LDH212" s="369">
        <v>0.5</v>
      </c>
      <c r="LDI212" s="370" t="e">
        <f>10/LDE210</f>
        <v>#DIV/0!</v>
      </c>
      <c r="LDJ212" s="371">
        <v>15.38</v>
      </c>
      <c r="LDK212" s="371" t="e">
        <f>LDH212*LDI212*LDJ212</f>
        <v>#DIV/0!</v>
      </c>
      <c r="LDL212" s="367" t="s">
        <v>206</v>
      </c>
      <c r="LDM212" s="367"/>
      <c r="LDN212" s="367"/>
      <c r="LDO212" s="368" t="s">
        <v>168</v>
      </c>
      <c r="LDP212" s="369">
        <v>0.5</v>
      </c>
      <c r="LDQ212" s="370" t="e">
        <f>10/LDM210</f>
        <v>#DIV/0!</v>
      </c>
      <c r="LDR212" s="371">
        <v>15.38</v>
      </c>
      <c r="LDS212" s="371" t="e">
        <f>LDP212*LDQ212*LDR212</f>
        <v>#DIV/0!</v>
      </c>
      <c r="LDT212" s="367" t="s">
        <v>206</v>
      </c>
      <c r="LDU212" s="367"/>
      <c r="LDV212" s="367"/>
      <c r="LDW212" s="368" t="s">
        <v>168</v>
      </c>
      <c r="LDX212" s="369">
        <v>0.5</v>
      </c>
      <c r="LDY212" s="370" t="e">
        <f>10/LDU210</f>
        <v>#DIV/0!</v>
      </c>
      <c r="LDZ212" s="371">
        <v>15.38</v>
      </c>
      <c r="LEA212" s="371" t="e">
        <f>LDX212*LDY212*LDZ212</f>
        <v>#DIV/0!</v>
      </c>
      <c r="LEB212" s="367" t="s">
        <v>206</v>
      </c>
      <c r="LEC212" s="367"/>
      <c r="LED212" s="367"/>
      <c r="LEE212" s="368" t="s">
        <v>168</v>
      </c>
      <c r="LEF212" s="369">
        <v>0.5</v>
      </c>
      <c r="LEG212" s="370" t="e">
        <f>10/LEC210</f>
        <v>#DIV/0!</v>
      </c>
      <c r="LEH212" s="371">
        <v>15.38</v>
      </c>
      <c r="LEI212" s="371" t="e">
        <f>LEF212*LEG212*LEH212</f>
        <v>#DIV/0!</v>
      </c>
      <c r="LEJ212" s="367" t="s">
        <v>206</v>
      </c>
      <c r="LEK212" s="367"/>
      <c r="LEL212" s="367"/>
      <c r="LEM212" s="368" t="s">
        <v>168</v>
      </c>
      <c r="LEN212" s="369">
        <v>0.5</v>
      </c>
      <c r="LEO212" s="370" t="e">
        <f>10/LEK210</f>
        <v>#DIV/0!</v>
      </c>
      <c r="LEP212" s="371">
        <v>15.38</v>
      </c>
      <c r="LEQ212" s="371" t="e">
        <f>LEN212*LEO212*LEP212</f>
        <v>#DIV/0!</v>
      </c>
      <c r="LER212" s="367" t="s">
        <v>206</v>
      </c>
      <c r="LES212" s="367"/>
      <c r="LET212" s="367"/>
      <c r="LEU212" s="368" t="s">
        <v>168</v>
      </c>
      <c r="LEV212" s="369">
        <v>0.5</v>
      </c>
      <c r="LEW212" s="370" t="e">
        <f>10/LES210</f>
        <v>#DIV/0!</v>
      </c>
      <c r="LEX212" s="371">
        <v>15.38</v>
      </c>
      <c r="LEY212" s="371" t="e">
        <f>LEV212*LEW212*LEX212</f>
        <v>#DIV/0!</v>
      </c>
      <c r="LEZ212" s="367" t="s">
        <v>206</v>
      </c>
      <c r="LFA212" s="367"/>
      <c r="LFB212" s="367"/>
      <c r="LFC212" s="368" t="s">
        <v>168</v>
      </c>
      <c r="LFD212" s="369">
        <v>0.5</v>
      </c>
      <c r="LFE212" s="370" t="e">
        <f>10/LFA210</f>
        <v>#DIV/0!</v>
      </c>
      <c r="LFF212" s="371">
        <v>15.38</v>
      </c>
      <c r="LFG212" s="371" t="e">
        <f>LFD212*LFE212*LFF212</f>
        <v>#DIV/0!</v>
      </c>
      <c r="LFH212" s="367" t="s">
        <v>206</v>
      </c>
      <c r="LFI212" s="367"/>
      <c r="LFJ212" s="367"/>
      <c r="LFK212" s="368" t="s">
        <v>168</v>
      </c>
      <c r="LFL212" s="369">
        <v>0.5</v>
      </c>
      <c r="LFM212" s="370" t="e">
        <f>10/LFI210</f>
        <v>#DIV/0!</v>
      </c>
      <c r="LFN212" s="371">
        <v>15.38</v>
      </c>
      <c r="LFO212" s="371" t="e">
        <f>LFL212*LFM212*LFN212</f>
        <v>#DIV/0!</v>
      </c>
      <c r="LFP212" s="367" t="s">
        <v>206</v>
      </c>
      <c r="LFQ212" s="367"/>
      <c r="LFR212" s="367"/>
      <c r="LFS212" s="368" t="s">
        <v>168</v>
      </c>
      <c r="LFT212" s="369">
        <v>0.5</v>
      </c>
      <c r="LFU212" s="370" t="e">
        <f>10/LFQ210</f>
        <v>#DIV/0!</v>
      </c>
      <c r="LFV212" s="371">
        <v>15.38</v>
      </c>
      <c r="LFW212" s="371" t="e">
        <f>LFT212*LFU212*LFV212</f>
        <v>#DIV/0!</v>
      </c>
      <c r="LFX212" s="367" t="s">
        <v>206</v>
      </c>
      <c r="LFY212" s="367"/>
      <c r="LFZ212" s="367"/>
      <c r="LGA212" s="368" t="s">
        <v>168</v>
      </c>
      <c r="LGB212" s="369">
        <v>0.5</v>
      </c>
      <c r="LGC212" s="370" t="e">
        <f>10/LFY210</f>
        <v>#DIV/0!</v>
      </c>
      <c r="LGD212" s="371">
        <v>15.38</v>
      </c>
      <c r="LGE212" s="371" t="e">
        <f>LGB212*LGC212*LGD212</f>
        <v>#DIV/0!</v>
      </c>
      <c r="LGF212" s="367" t="s">
        <v>206</v>
      </c>
      <c r="LGG212" s="367"/>
      <c r="LGH212" s="367"/>
      <c r="LGI212" s="368" t="s">
        <v>168</v>
      </c>
      <c r="LGJ212" s="369">
        <v>0.5</v>
      </c>
      <c r="LGK212" s="370" t="e">
        <f>10/LGG210</f>
        <v>#DIV/0!</v>
      </c>
      <c r="LGL212" s="371">
        <v>15.38</v>
      </c>
      <c r="LGM212" s="371" t="e">
        <f>LGJ212*LGK212*LGL212</f>
        <v>#DIV/0!</v>
      </c>
      <c r="LGN212" s="367" t="s">
        <v>206</v>
      </c>
      <c r="LGO212" s="367"/>
      <c r="LGP212" s="367"/>
      <c r="LGQ212" s="368" t="s">
        <v>168</v>
      </c>
      <c r="LGR212" s="369">
        <v>0.5</v>
      </c>
      <c r="LGS212" s="370" t="e">
        <f>10/LGO210</f>
        <v>#DIV/0!</v>
      </c>
      <c r="LGT212" s="371">
        <v>15.38</v>
      </c>
      <c r="LGU212" s="371" t="e">
        <f>LGR212*LGS212*LGT212</f>
        <v>#DIV/0!</v>
      </c>
      <c r="LGV212" s="367" t="s">
        <v>206</v>
      </c>
      <c r="LGW212" s="367"/>
      <c r="LGX212" s="367"/>
      <c r="LGY212" s="368" t="s">
        <v>168</v>
      </c>
      <c r="LGZ212" s="369">
        <v>0.5</v>
      </c>
      <c r="LHA212" s="370" t="e">
        <f>10/LGW210</f>
        <v>#DIV/0!</v>
      </c>
      <c r="LHB212" s="371">
        <v>15.38</v>
      </c>
      <c r="LHC212" s="371" t="e">
        <f>LGZ212*LHA212*LHB212</f>
        <v>#DIV/0!</v>
      </c>
      <c r="LHD212" s="367" t="s">
        <v>206</v>
      </c>
      <c r="LHE212" s="367"/>
      <c r="LHF212" s="367"/>
      <c r="LHG212" s="368" t="s">
        <v>168</v>
      </c>
      <c r="LHH212" s="369">
        <v>0.5</v>
      </c>
      <c r="LHI212" s="370" t="e">
        <f>10/LHE210</f>
        <v>#DIV/0!</v>
      </c>
      <c r="LHJ212" s="371">
        <v>15.38</v>
      </c>
      <c r="LHK212" s="371" t="e">
        <f>LHH212*LHI212*LHJ212</f>
        <v>#DIV/0!</v>
      </c>
      <c r="LHL212" s="367" t="s">
        <v>206</v>
      </c>
      <c r="LHM212" s="367"/>
      <c r="LHN212" s="367"/>
      <c r="LHO212" s="368" t="s">
        <v>168</v>
      </c>
      <c r="LHP212" s="369">
        <v>0.5</v>
      </c>
      <c r="LHQ212" s="370" t="e">
        <f>10/LHM210</f>
        <v>#DIV/0!</v>
      </c>
      <c r="LHR212" s="371">
        <v>15.38</v>
      </c>
      <c r="LHS212" s="371" t="e">
        <f>LHP212*LHQ212*LHR212</f>
        <v>#DIV/0!</v>
      </c>
      <c r="LHT212" s="367" t="s">
        <v>206</v>
      </c>
      <c r="LHU212" s="367"/>
      <c r="LHV212" s="367"/>
      <c r="LHW212" s="368" t="s">
        <v>168</v>
      </c>
      <c r="LHX212" s="369">
        <v>0.5</v>
      </c>
      <c r="LHY212" s="370" t="e">
        <f>10/LHU210</f>
        <v>#DIV/0!</v>
      </c>
      <c r="LHZ212" s="371">
        <v>15.38</v>
      </c>
      <c r="LIA212" s="371" t="e">
        <f>LHX212*LHY212*LHZ212</f>
        <v>#DIV/0!</v>
      </c>
      <c r="LIB212" s="367" t="s">
        <v>206</v>
      </c>
      <c r="LIC212" s="367"/>
      <c r="LID212" s="367"/>
      <c r="LIE212" s="368" t="s">
        <v>168</v>
      </c>
      <c r="LIF212" s="369">
        <v>0.5</v>
      </c>
      <c r="LIG212" s="370" t="e">
        <f>10/LIC210</f>
        <v>#DIV/0!</v>
      </c>
      <c r="LIH212" s="371">
        <v>15.38</v>
      </c>
      <c r="LII212" s="371" t="e">
        <f>LIF212*LIG212*LIH212</f>
        <v>#DIV/0!</v>
      </c>
      <c r="LIJ212" s="367" t="s">
        <v>206</v>
      </c>
      <c r="LIK212" s="367"/>
      <c r="LIL212" s="367"/>
      <c r="LIM212" s="368" t="s">
        <v>168</v>
      </c>
      <c r="LIN212" s="369">
        <v>0.5</v>
      </c>
      <c r="LIO212" s="370" t="e">
        <f>10/LIK210</f>
        <v>#DIV/0!</v>
      </c>
      <c r="LIP212" s="371">
        <v>15.38</v>
      </c>
      <c r="LIQ212" s="371" t="e">
        <f>LIN212*LIO212*LIP212</f>
        <v>#DIV/0!</v>
      </c>
      <c r="LIR212" s="367" t="s">
        <v>206</v>
      </c>
      <c r="LIS212" s="367"/>
      <c r="LIT212" s="367"/>
      <c r="LIU212" s="368" t="s">
        <v>168</v>
      </c>
      <c r="LIV212" s="369">
        <v>0.5</v>
      </c>
      <c r="LIW212" s="370" t="e">
        <f>10/LIS210</f>
        <v>#DIV/0!</v>
      </c>
      <c r="LIX212" s="371">
        <v>15.38</v>
      </c>
      <c r="LIY212" s="371" t="e">
        <f>LIV212*LIW212*LIX212</f>
        <v>#DIV/0!</v>
      </c>
      <c r="LIZ212" s="367" t="s">
        <v>206</v>
      </c>
      <c r="LJA212" s="367"/>
      <c r="LJB212" s="367"/>
      <c r="LJC212" s="368" t="s">
        <v>168</v>
      </c>
      <c r="LJD212" s="369">
        <v>0.5</v>
      </c>
      <c r="LJE212" s="370" t="e">
        <f>10/LJA210</f>
        <v>#DIV/0!</v>
      </c>
      <c r="LJF212" s="371">
        <v>15.38</v>
      </c>
      <c r="LJG212" s="371" t="e">
        <f>LJD212*LJE212*LJF212</f>
        <v>#DIV/0!</v>
      </c>
      <c r="LJH212" s="367" t="s">
        <v>206</v>
      </c>
      <c r="LJI212" s="367"/>
      <c r="LJJ212" s="367"/>
      <c r="LJK212" s="368" t="s">
        <v>168</v>
      </c>
      <c r="LJL212" s="369">
        <v>0.5</v>
      </c>
      <c r="LJM212" s="370" t="e">
        <f>10/LJI210</f>
        <v>#DIV/0!</v>
      </c>
      <c r="LJN212" s="371">
        <v>15.38</v>
      </c>
      <c r="LJO212" s="371" t="e">
        <f>LJL212*LJM212*LJN212</f>
        <v>#DIV/0!</v>
      </c>
      <c r="LJP212" s="367" t="s">
        <v>206</v>
      </c>
      <c r="LJQ212" s="367"/>
      <c r="LJR212" s="367"/>
      <c r="LJS212" s="368" t="s">
        <v>168</v>
      </c>
      <c r="LJT212" s="369">
        <v>0.5</v>
      </c>
      <c r="LJU212" s="370" t="e">
        <f>10/LJQ210</f>
        <v>#DIV/0!</v>
      </c>
      <c r="LJV212" s="371">
        <v>15.38</v>
      </c>
      <c r="LJW212" s="371" t="e">
        <f>LJT212*LJU212*LJV212</f>
        <v>#DIV/0!</v>
      </c>
      <c r="LJX212" s="367" t="s">
        <v>206</v>
      </c>
      <c r="LJY212" s="367"/>
      <c r="LJZ212" s="367"/>
      <c r="LKA212" s="368" t="s">
        <v>168</v>
      </c>
      <c r="LKB212" s="369">
        <v>0.5</v>
      </c>
      <c r="LKC212" s="370" t="e">
        <f>10/LJY210</f>
        <v>#DIV/0!</v>
      </c>
      <c r="LKD212" s="371">
        <v>15.38</v>
      </c>
      <c r="LKE212" s="371" t="e">
        <f>LKB212*LKC212*LKD212</f>
        <v>#DIV/0!</v>
      </c>
      <c r="LKF212" s="367" t="s">
        <v>206</v>
      </c>
      <c r="LKG212" s="367"/>
      <c r="LKH212" s="367"/>
      <c r="LKI212" s="368" t="s">
        <v>168</v>
      </c>
      <c r="LKJ212" s="369">
        <v>0.5</v>
      </c>
      <c r="LKK212" s="370" t="e">
        <f>10/LKG210</f>
        <v>#DIV/0!</v>
      </c>
      <c r="LKL212" s="371">
        <v>15.38</v>
      </c>
      <c r="LKM212" s="371" t="e">
        <f>LKJ212*LKK212*LKL212</f>
        <v>#DIV/0!</v>
      </c>
      <c r="LKN212" s="367" t="s">
        <v>206</v>
      </c>
      <c r="LKO212" s="367"/>
      <c r="LKP212" s="367"/>
      <c r="LKQ212" s="368" t="s">
        <v>168</v>
      </c>
      <c r="LKR212" s="369">
        <v>0.5</v>
      </c>
      <c r="LKS212" s="370" t="e">
        <f>10/LKO210</f>
        <v>#DIV/0!</v>
      </c>
      <c r="LKT212" s="371">
        <v>15.38</v>
      </c>
      <c r="LKU212" s="371" t="e">
        <f>LKR212*LKS212*LKT212</f>
        <v>#DIV/0!</v>
      </c>
      <c r="LKV212" s="367" t="s">
        <v>206</v>
      </c>
      <c r="LKW212" s="367"/>
      <c r="LKX212" s="367"/>
      <c r="LKY212" s="368" t="s">
        <v>168</v>
      </c>
      <c r="LKZ212" s="369">
        <v>0.5</v>
      </c>
      <c r="LLA212" s="370" t="e">
        <f>10/LKW210</f>
        <v>#DIV/0!</v>
      </c>
      <c r="LLB212" s="371">
        <v>15.38</v>
      </c>
      <c r="LLC212" s="371" t="e">
        <f>LKZ212*LLA212*LLB212</f>
        <v>#DIV/0!</v>
      </c>
      <c r="LLD212" s="367" t="s">
        <v>206</v>
      </c>
      <c r="LLE212" s="367"/>
      <c r="LLF212" s="367"/>
      <c r="LLG212" s="368" t="s">
        <v>168</v>
      </c>
      <c r="LLH212" s="369">
        <v>0.5</v>
      </c>
      <c r="LLI212" s="370" t="e">
        <f>10/LLE210</f>
        <v>#DIV/0!</v>
      </c>
      <c r="LLJ212" s="371">
        <v>15.38</v>
      </c>
      <c r="LLK212" s="371" t="e">
        <f>LLH212*LLI212*LLJ212</f>
        <v>#DIV/0!</v>
      </c>
      <c r="LLL212" s="367" t="s">
        <v>206</v>
      </c>
      <c r="LLM212" s="367"/>
      <c r="LLN212" s="367"/>
      <c r="LLO212" s="368" t="s">
        <v>168</v>
      </c>
      <c r="LLP212" s="369">
        <v>0.5</v>
      </c>
      <c r="LLQ212" s="370" t="e">
        <f>10/LLM210</f>
        <v>#DIV/0!</v>
      </c>
      <c r="LLR212" s="371">
        <v>15.38</v>
      </c>
      <c r="LLS212" s="371" t="e">
        <f>LLP212*LLQ212*LLR212</f>
        <v>#DIV/0!</v>
      </c>
      <c r="LLT212" s="367" t="s">
        <v>206</v>
      </c>
      <c r="LLU212" s="367"/>
      <c r="LLV212" s="367"/>
      <c r="LLW212" s="368" t="s">
        <v>168</v>
      </c>
      <c r="LLX212" s="369">
        <v>0.5</v>
      </c>
      <c r="LLY212" s="370" t="e">
        <f>10/LLU210</f>
        <v>#DIV/0!</v>
      </c>
      <c r="LLZ212" s="371">
        <v>15.38</v>
      </c>
      <c r="LMA212" s="371" t="e">
        <f>LLX212*LLY212*LLZ212</f>
        <v>#DIV/0!</v>
      </c>
      <c r="LMB212" s="367" t="s">
        <v>206</v>
      </c>
      <c r="LMC212" s="367"/>
      <c r="LMD212" s="367"/>
      <c r="LME212" s="368" t="s">
        <v>168</v>
      </c>
      <c r="LMF212" s="369">
        <v>0.5</v>
      </c>
      <c r="LMG212" s="370" t="e">
        <f>10/LMC210</f>
        <v>#DIV/0!</v>
      </c>
      <c r="LMH212" s="371">
        <v>15.38</v>
      </c>
      <c r="LMI212" s="371" t="e">
        <f>LMF212*LMG212*LMH212</f>
        <v>#DIV/0!</v>
      </c>
      <c r="LMJ212" s="367" t="s">
        <v>206</v>
      </c>
      <c r="LMK212" s="367"/>
      <c r="LML212" s="367"/>
      <c r="LMM212" s="368" t="s">
        <v>168</v>
      </c>
      <c r="LMN212" s="369">
        <v>0.5</v>
      </c>
      <c r="LMO212" s="370" t="e">
        <f>10/LMK210</f>
        <v>#DIV/0!</v>
      </c>
      <c r="LMP212" s="371">
        <v>15.38</v>
      </c>
      <c r="LMQ212" s="371" t="e">
        <f>LMN212*LMO212*LMP212</f>
        <v>#DIV/0!</v>
      </c>
      <c r="LMR212" s="367" t="s">
        <v>206</v>
      </c>
      <c r="LMS212" s="367"/>
      <c r="LMT212" s="367"/>
      <c r="LMU212" s="368" t="s">
        <v>168</v>
      </c>
      <c r="LMV212" s="369">
        <v>0.5</v>
      </c>
      <c r="LMW212" s="370" t="e">
        <f>10/LMS210</f>
        <v>#DIV/0!</v>
      </c>
      <c r="LMX212" s="371">
        <v>15.38</v>
      </c>
      <c r="LMY212" s="371" t="e">
        <f>LMV212*LMW212*LMX212</f>
        <v>#DIV/0!</v>
      </c>
      <c r="LMZ212" s="367" t="s">
        <v>206</v>
      </c>
      <c r="LNA212" s="367"/>
      <c r="LNB212" s="367"/>
      <c r="LNC212" s="368" t="s">
        <v>168</v>
      </c>
      <c r="LND212" s="369">
        <v>0.5</v>
      </c>
      <c r="LNE212" s="370" t="e">
        <f>10/LNA210</f>
        <v>#DIV/0!</v>
      </c>
      <c r="LNF212" s="371">
        <v>15.38</v>
      </c>
      <c r="LNG212" s="371" t="e">
        <f>LND212*LNE212*LNF212</f>
        <v>#DIV/0!</v>
      </c>
      <c r="LNH212" s="367" t="s">
        <v>206</v>
      </c>
      <c r="LNI212" s="367"/>
      <c r="LNJ212" s="367"/>
      <c r="LNK212" s="368" t="s">
        <v>168</v>
      </c>
      <c r="LNL212" s="369">
        <v>0.5</v>
      </c>
      <c r="LNM212" s="370" t="e">
        <f>10/LNI210</f>
        <v>#DIV/0!</v>
      </c>
      <c r="LNN212" s="371">
        <v>15.38</v>
      </c>
      <c r="LNO212" s="371" t="e">
        <f>LNL212*LNM212*LNN212</f>
        <v>#DIV/0!</v>
      </c>
      <c r="LNP212" s="367" t="s">
        <v>206</v>
      </c>
      <c r="LNQ212" s="367"/>
      <c r="LNR212" s="367"/>
      <c r="LNS212" s="368" t="s">
        <v>168</v>
      </c>
      <c r="LNT212" s="369">
        <v>0.5</v>
      </c>
      <c r="LNU212" s="370" t="e">
        <f>10/LNQ210</f>
        <v>#DIV/0!</v>
      </c>
      <c r="LNV212" s="371">
        <v>15.38</v>
      </c>
      <c r="LNW212" s="371" t="e">
        <f>LNT212*LNU212*LNV212</f>
        <v>#DIV/0!</v>
      </c>
      <c r="LNX212" s="367" t="s">
        <v>206</v>
      </c>
      <c r="LNY212" s="367"/>
      <c r="LNZ212" s="367"/>
      <c r="LOA212" s="368" t="s">
        <v>168</v>
      </c>
      <c r="LOB212" s="369">
        <v>0.5</v>
      </c>
      <c r="LOC212" s="370" t="e">
        <f>10/LNY210</f>
        <v>#DIV/0!</v>
      </c>
      <c r="LOD212" s="371">
        <v>15.38</v>
      </c>
      <c r="LOE212" s="371" t="e">
        <f>LOB212*LOC212*LOD212</f>
        <v>#DIV/0!</v>
      </c>
      <c r="LOF212" s="367" t="s">
        <v>206</v>
      </c>
      <c r="LOG212" s="367"/>
      <c r="LOH212" s="367"/>
      <c r="LOI212" s="368" t="s">
        <v>168</v>
      </c>
      <c r="LOJ212" s="369">
        <v>0.5</v>
      </c>
      <c r="LOK212" s="370" t="e">
        <f>10/LOG210</f>
        <v>#DIV/0!</v>
      </c>
      <c r="LOL212" s="371">
        <v>15.38</v>
      </c>
      <c r="LOM212" s="371" t="e">
        <f>LOJ212*LOK212*LOL212</f>
        <v>#DIV/0!</v>
      </c>
      <c r="LON212" s="367" t="s">
        <v>206</v>
      </c>
      <c r="LOO212" s="367"/>
      <c r="LOP212" s="367"/>
      <c r="LOQ212" s="368" t="s">
        <v>168</v>
      </c>
      <c r="LOR212" s="369">
        <v>0.5</v>
      </c>
      <c r="LOS212" s="370" t="e">
        <f>10/LOO210</f>
        <v>#DIV/0!</v>
      </c>
      <c r="LOT212" s="371">
        <v>15.38</v>
      </c>
      <c r="LOU212" s="371" t="e">
        <f>LOR212*LOS212*LOT212</f>
        <v>#DIV/0!</v>
      </c>
      <c r="LOV212" s="367" t="s">
        <v>206</v>
      </c>
      <c r="LOW212" s="367"/>
      <c r="LOX212" s="367"/>
      <c r="LOY212" s="368" t="s">
        <v>168</v>
      </c>
      <c r="LOZ212" s="369">
        <v>0.5</v>
      </c>
      <c r="LPA212" s="370" t="e">
        <f>10/LOW210</f>
        <v>#DIV/0!</v>
      </c>
      <c r="LPB212" s="371">
        <v>15.38</v>
      </c>
      <c r="LPC212" s="371" t="e">
        <f>LOZ212*LPA212*LPB212</f>
        <v>#DIV/0!</v>
      </c>
      <c r="LPD212" s="367" t="s">
        <v>206</v>
      </c>
      <c r="LPE212" s="367"/>
      <c r="LPF212" s="367"/>
      <c r="LPG212" s="368" t="s">
        <v>168</v>
      </c>
      <c r="LPH212" s="369">
        <v>0.5</v>
      </c>
      <c r="LPI212" s="370" t="e">
        <f>10/LPE210</f>
        <v>#DIV/0!</v>
      </c>
      <c r="LPJ212" s="371">
        <v>15.38</v>
      </c>
      <c r="LPK212" s="371" t="e">
        <f>LPH212*LPI212*LPJ212</f>
        <v>#DIV/0!</v>
      </c>
      <c r="LPL212" s="367" t="s">
        <v>206</v>
      </c>
      <c r="LPM212" s="367"/>
      <c r="LPN212" s="367"/>
      <c r="LPO212" s="368" t="s">
        <v>168</v>
      </c>
      <c r="LPP212" s="369">
        <v>0.5</v>
      </c>
      <c r="LPQ212" s="370" t="e">
        <f>10/LPM210</f>
        <v>#DIV/0!</v>
      </c>
      <c r="LPR212" s="371">
        <v>15.38</v>
      </c>
      <c r="LPS212" s="371" t="e">
        <f>LPP212*LPQ212*LPR212</f>
        <v>#DIV/0!</v>
      </c>
      <c r="LPT212" s="367" t="s">
        <v>206</v>
      </c>
      <c r="LPU212" s="367"/>
      <c r="LPV212" s="367"/>
      <c r="LPW212" s="368" t="s">
        <v>168</v>
      </c>
      <c r="LPX212" s="369">
        <v>0.5</v>
      </c>
      <c r="LPY212" s="370" t="e">
        <f>10/LPU210</f>
        <v>#DIV/0!</v>
      </c>
      <c r="LPZ212" s="371">
        <v>15.38</v>
      </c>
      <c r="LQA212" s="371" t="e">
        <f>LPX212*LPY212*LPZ212</f>
        <v>#DIV/0!</v>
      </c>
      <c r="LQB212" s="367" t="s">
        <v>206</v>
      </c>
      <c r="LQC212" s="367"/>
      <c r="LQD212" s="367"/>
      <c r="LQE212" s="368" t="s">
        <v>168</v>
      </c>
      <c r="LQF212" s="369">
        <v>0.5</v>
      </c>
      <c r="LQG212" s="370" t="e">
        <f>10/LQC210</f>
        <v>#DIV/0!</v>
      </c>
      <c r="LQH212" s="371">
        <v>15.38</v>
      </c>
      <c r="LQI212" s="371" t="e">
        <f>LQF212*LQG212*LQH212</f>
        <v>#DIV/0!</v>
      </c>
      <c r="LQJ212" s="367" t="s">
        <v>206</v>
      </c>
      <c r="LQK212" s="367"/>
      <c r="LQL212" s="367"/>
      <c r="LQM212" s="368" t="s">
        <v>168</v>
      </c>
      <c r="LQN212" s="369">
        <v>0.5</v>
      </c>
      <c r="LQO212" s="370" t="e">
        <f>10/LQK210</f>
        <v>#DIV/0!</v>
      </c>
      <c r="LQP212" s="371">
        <v>15.38</v>
      </c>
      <c r="LQQ212" s="371" t="e">
        <f>LQN212*LQO212*LQP212</f>
        <v>#DIV/0!</v>
      </c>
      <c r="LQR212" s="367" t="s">
        <v>206</v>
      </c>
      <c r="LQS212" s="367"/>
      <c r="LQT212" s="367"/>
      <c r="LQU212" s="368" t="s">
        <v>168</v>
      </c>
      <c r="LQV212" s="369">
        <v>0.5</v>
      </c>
      <c r="LQW212" s="370" t="e">
        <f>10/LQS210</f>
        <v>#DIV/0!</v>
      </c>
      <c r="LQX212" s="371">
        <v>15.38</v>
      </c>
      <c r="LQY212" s="371" t="e">
        <f>LQV212*LQW212*LQX212</f>
        <v>#DIV/0!</v>
      </c>
      <c r="LQZ212" s="367" t="s">
        <v>206</v>
      </c>
      <c r="LRA212" s="367"/>
      <c r="LRB212" s="367"/>
      <c r="LRC212" s="368" t="s">
        <v>168</v>
      </c>
      <c r="LRD212" s="369">
        <v>0.5</v>
      </c>
      <c r="LRE212" s="370" t="e">
        <f>10/LRA210</f>
        <v>#DIV/0!</v>
      </c>
      <c r="LRF212" s="371">
        <v>15.38</v>
      </c>
      <c r="LRG212" s="371" t="e">
        <f>LRD212*LRE212*LRF212</f>
        <v>#DIV/0!</v>
      </c>
      <c r="LRH212" s="367" t="s">
        <v>206</v>
      </c>
      <c r="LRI212" s="367"/>
      <c r="LRJ212" s="367"/>
      <c r="LRK212" s="368" t="s">
        <v>168</v>
      </c>
      <c r="LRL212" s="369">
        <v>0.5</v>
      </c>
      <c r="LRM212" s="370" t="e">
        <f>10/LRI210</f>
        <v>#DIV/0!</v>
      </c>
      <c r="LRN212" s="371">
        <v>15.38</v>
      </c>
      <c r="LRO212" s="371" t="e">
        <f>LRL212*LRM212*LRN212</f>
        <v>#DIV/0!</v>
      </c>
      <c r="LRP212" s="367" t="s">
        <v>206</v>
      </c>
      <c r="LRQ212" s="367"/>
      <c r="LRR212" s="367"/>
      <c r="LRS212" s="368" t="s">
        <v>168</v>
      </c>
      <c r="LRT212" s="369">
        <v>0.5</v>
      </c>
      <c r="LRU212" s="370" t="e">
        <f>10/LRQ210</f>
        <v>#DIV/0!</v>
      </c>
      <c r="LRV212" s="371">
        <v>15.38</v>
      </c>
      <c r="LRW212" s="371" t="e">
        <f>LRT212*LRU212*LRV212</f>
        <v>#DIV/0!</v>
      </c>
      <c r="LRX212" s="367" t="s">
        <v>206</v>
      </c>
      <c r="LRY212" s="367"/>
      <c r="LRZ212" s="367"/>
      <c r="LSA212" s="368" t="s">
        <v>168</v>
      </c>
      <c r="LSB212" s="369">
        <v>0.5</v>
      </c>
      <c r="LSC212" s="370" t="e">
        <f>10/LRY210</f>
        <v>#DIV/0!</v>
      </c>
      <c r="LSD212" s="371">
        <v>15.38</v>
      </c>
      <c r="LSE212" s="371" t="e">
        <f>LSB212*LSC212*LSD212</f>
        <v>#DIV/0!</v>
      </c>
      <c r="LSF212" s="367" t="s">
        <v>206</v>
      </c>
      <c r="LSG212" s="367"/>
      <c r="LSH212" s="367"/>
      <c r="LSI212" s="368" t="s">
        <v>168</v>
      </c>
      <c r="LSJ212" s="369">
        <v>0.5</v>
      </c>
      <c r="LSK212" s="370" t="e">
        <f>10/LSG210</f>
        <v>#DIV/0!</v>
      </c>
      <c r="LSL212" s="371">
        <v>15.38</v>
      </c>
      <c r="LSM212" s="371" t="e">
        <f>LSJ212*LSK212*LSL212</f>
        <v>#DIV/0!</v>
      </c>
      <c r="LSN212" s="367" t="s">
        <v>206</v>
      </c>
      <c r="LSO212" s="367"/>
      <c r="LSP212" s="367"/>
      <c r="LSQ212" s="368" t="s">
        <v>168</v>
      </c>
      <c r="LSR212" s="369">
        <v>0.5</v>
      </c>
      <c r="LSS212" s="370" t="e">
        <f>10/LSO210</f>
        <v>#DIV/0!</v>
      </c>
      <c r="LST212" s="371">
        <v>15.38</v>
      </c>
      <c r="LSU212" s="371" t="e">
        <f>LSR212*LSS212*LST212</f>
        <v>#DIV/0!</v>
      </c>
      <c r="LSV212" s="367" t="s">
        <v>206</v>
      </c>
      <c r="LSW212" s="367"/>
      <c r="LSX212" s="367"/>
      <c r="LSY212" s="368" t="s">
        <v>168</v>
      </c>
      <c r="LSZ212" s="369">
        <v>0.5</v>
      </c>
      <c r="LTA212" s="370" t="e">
        <f>10/LSW210</f>
        <v>#DIV/0!</v>
      </c>
      <c r="LTB212" s="371">
        <v>15.38</v>
      </c>
      <c r="LTC212" s="371" t="e">
        <f>LSZ212*LTA212*LTB212</f>
        <v>#DIV/0!</v>
      </c>
      <c r="LTD212" s="367" t="s">
        <v>206</v>
      </c>
      <c r="LTE212" s="367"/>
      <c r="LTF212" s="367"/>
      <c r="LTG212" s="368" t="s">
        <v>168</v>
      </c>
      <c r="LTH212" s="369">
        <v>0.5</v>
      </c>
      <c r="LTI212" s="370" t="e">
        <f>10/LTE210</f>
        <v>#DIV/0!</v>
      </c>
      <c r="LTJ212" s="371">
        <v>15.38</v>
      </c>
      <c r="LTK212" s="371" t="e">
        <f>LTH212*LTI212*LTJ212</f>
        <v>#DIV/0!</v>
      </c>
      <c r="LTL212" s="367" t="s">
        <v>206</v>
      </c>
      <c r="LTM212" s="367"/>
      <c r="LTN212" s="367"/>
      <c r="LTO212" s="368" t="s">
        <v>168</v>
      </c>
      <c r="LTP212" s="369">
        <v>0.5</v>
      </c>
      <c r="LTQ212" s="370" t="e">
        <f>10/LTM210</f>
        <v>#DIV/0!</v>
      </c>
      <c r="LTR212" s="371">
        <v>15.38</v>
      </c>
      <c r="LTS212" s="371" t="e">
        <f>LTP212*LTQ212*LTR212</f>
        <v>#DIV/0!</v>
      </c>
      <c r="LTT212" s="367" t="s">
        <v>206</v>
      </c>
      <c r="LTU212" s="367"/>
      <c r="LTV212" s="367"/>
      <c r="LTW212" s="368" t="s">
        <v>168</v>
      </c>
      <c r="LTX212" s="369">
        <v>0.5</v>
      </c>
      <c r="LTY212" s="370" t="e">
        <f>10/LTU210</f>
        <v>#DIV/0!</v>
      </c>
      <c r="LTZ212" s="371">
        <v>15.38</v>
      </c>
      <c r="LUA212" s="371" t="e">
        <f>LTX212*LTY212*LTZ212</f>
        <v>#DIV/0!</v>
      </c>
      <c r="LUB212" s="367" t="s">
        <v>206</v>
      </c>
      <c r="LUC212" s="367"/>
      <c r="LUD212" s="367"/>
      <c r="LUE212" s="368" t="s">
        <v>168</v>
      </c>
      <c r="LUF212" s="369">
        <v>0.5</v>
      </c>
      <c r="LUG212" s="370" t="e">
        <f>10/LUC210</f>
        <v>#DIV/0!</v>
      </c>
      <c r="LUH212" s="371">
        <v>15.38</v>
      </c>
      <c r="LUI212" s="371" t="e">
        <f>LUF212*LUG212*LUH212</f>
        <v>#DIV/0!</v>
      </c>
      <c r="LUJ212" s="367" t="s">
        <v>206</v>
      </c>
      <c r="LUK212" s="367"/>
      <c r="LUL212" s="367"/>
      <c r="LUM212" s="368" t="s">
        <v>168</v>
      </c>
      <c r="LUN212" s="369">
        <v>0.5</v>
      </c>
      <c r="LUO212" s="370" t="e">
        <f>10/LUK210</f>
        <v>#DIV/0!</v>
      </c>
      <c r="LUP212" s="371">
        <v>15.38</v>
      </c>
      <c r="LUQ212" s="371" t="e">
        <f>LUN212*LUO212*LUP212</f>
        <v>#DIV/0!</v>
      </c>
      <c r="LUR212" s="367" t="s">
        <v>206</v>
      </c>
      <c r="LUS212" s="367"/>
      <c r="LUT212" s="367"/>
      <c r="LUU212" s="368" t="s">
        <v>168</v>
      </c>
      <c r="LUV212" s="369">
        <v>0.5</v>
      </c>
      <c r="LUW212" s="370" t="e">
        <f>10/LUS210</f>
        <v>#DIV/0!</v>
      </c>
      <c r="LUX212" s="371">
        <v>15.38</v>
      </c>
      <c r="LUY212" s="371" t="e">
        <f>LUV212*LUW212*LUX212</f>
        <v>#DIV/0!</v>
      </c>
      <c r="LUZ212" s="367" t="s">
        <v>206</v>
      </c>
      <c r="LVA212" s="367"/>
      <c r="LVB212" s="367"/>
      <c r="LVC212" s="368" t="s">
        <v>168</v>
      </c>
      <c r="LVD212" s="369">
        <v>0.5</v>
      </c>
      <c r="LVE212" s="370" t="e">
        <f>10/LVA210</f>
        <v>#DIV/0!</v>
      </c>
      <c r="LVF212" s="371">
        <v>15.38</v>
      </c>
      <c r="LVG212" s="371" t="e">
        <f>LVD212*LVE212*LVF212</f>
        <v>#DIV/0!</v>
      </c>
      <c r="LVH212" s="367" t="s">
        <v>206</v>
      </c>
      <c r="LVI212" s="367"/>
      <c r="LVJ212" s="367"/>
      <c r="LVK212" s="368" t="s">
        <v>168</v>
      </c>
      <c r="LVL212" s="369">
        <v>0.5</v>
      </c>
      <c r="LVM212" s="370" t="e">
        <f>10/LVI210</f>
        <v>#DIV/0!</v>
      </c>
      <c r="LVN212" s="371">
        <v>15.38</v>
      </c>
      <c r="LVO212" s="371" t="e">
        <f>LVL212*LVM212*LVN212</f>
        <v>#DIV/0!</v>
      </c>
      <c r="LVP212" s="367" t="s">
        <v>206</v>
      </c>
      <c r="LVQ212" s="367"/>
      <c r="LVR212" s="367"/>
      <c r="LVS212" s="368" t="s">
        <v>168</v>
      </c>
      <c r="LVT212" s="369">
        <v>0.5</v>
      </c>
      <c r="LVU212" s="370" t="e">
        <f>10/LVQ210</f>
        <v>#DIV/0!</v>
      </c>
      <c r="LVV212" s="371">
        <v>15.38</v>
      </c>
      <c r="LVW212" s="371" t="e">
        <f>LVT212*LVU212*LVV212</f>
        <v>#DIV/0!</v>
      </c>
      <c r="LVX212" s="367" t="s">
        <v>206</v>
      </c>
      <c r="LVY212" s="367"/>
      <c r="LVZ212" s="367"/>
      <c r="LWA212" s="368" t="s">
        <v>168</v>
      </c>
      <c r="LWB212" s="369">
        <v>0.5</v>
      </c>
      <c r="LWC212" s="370" t="e">
        <f>10/LVY210</f>
        <v>#DIV/0!</v>
      </c>
      <c r="LWD212" s="371">
        <v>15.38</v>
      </c>
      <c r="LWE212" s="371" t="e">
        <f>LWB212*LWC212*LWD212</f>
        <v>#DIV/0!</v>
      </c>
      <c r="LWF212" s="367" t="s">
        <v>206</v>
      </c>
      <c r="LWG212" s="367"/>
      <c r="LWH212" s="367"/>
      <c r="LWI212" s="368" t="s">
        <v>168</v>
      </c>
      <c r="LWJ212" s="369">
        <v>0.5</v>
      </c>
      <c r="LWK212" s="370" t="e">
        <f>10/LWG210</f>
        <v>#DIV/0!</v>
      </c>
      <c r="LWL212" s="371">
        <v>15.38</v>
      </c>
      <c r="LWM212" s="371" t="e">
        <f>LWJ212*LWK212*LWL212</f>
        <v>#DIV/0!</v>
      </c>
      <c r="LWN212" s="367" t="s">
        <v>206</v>
      </c>
      <c r="LWO212" s="367"/>
      <c r="LWP212" s="367"/>
      <c r="LWQ212" s="368" t="s">
        <v>168</v>
      </c>
      <c r="LWR212" s="369">
        <v>0.5</v>
      </c>
      <c r="LWS212" s="370" t="e">
        <f>10/LWO210</f>
        <v>#DIV/0!</v>
      </c>
      <c r="LWT212" s="371">
        <v>15.38</v>
      </c>
      <c r="LWU212" s="371" t="e">
        <f>LWR212*LWS212*LWT212</f>
        <v>#DIV/0!</v>
      </c>
      <c r="LWV212" s="367" t="s">
        <v>206</v>
      </c>
      <c r="LWW212" s="367"/>
      <c r="LWX212" s="367"/>
      <c r="LWY212" s="368" t="s">
        <v>168</v>
      </c>
      <c r="LWZ212" s="369">
        <v>0.5</v>
      </c>
      <c r="LXA212" s="370" t="e">
        <f>10/LWW210</f>
        <v>#DIV/0!</v>
      </c>
      <c r="LXB212" s="371">
        <v>15.38</v>
      </c>
      <c r="LXC212" s="371" t="e">
        <f>LWZ212*LXA212*LXB212</f>
        <v>#DIV/0!</v>
      </c>
      <c r="LXD212" s="367" t="s">
        <v>206</v>
      </c>
      <c r="LXE212" s="367"/>
      <c r="LXF212" s="367"/>
      <c r="LXG212" s="368" t="s">
        <v>168</v>
      </c>
      <c r="LXH212" s="369">
        <v>0.5</v>
      </c>
      <c r="LXI212" s="370" t="e">
        <f>10/LXE210</f>
        <v>#DIV/0!</v>
      </c>
      <c r="LXJ212" s="371">
        <v>15.38</v>
      </c>
      <c r="LXK212" s="371" t="e">
        <f>LXH212*LXI212*LXJ212</f>
        <v>#DIV/0!</v>
      </c>
      <c r="LXL212" s="367" t="s">
        <v>206</v>
      </c>
      <c r="LXM212" s="367"/>
      <c r="LXN212" s="367"/>
      <c r="LXO212" s="368" t="s">
        <v>168</v>
      </c>
      <c r="LXP212" s="369">
        <v>0.5</v>
      </c>
      <c r="LXQ212" s="370" t="e">
        <f>10/LXM210</f>
        <v>#DIV/0!</v>
      </c>
      <c r="LXR212" s="371">
        <v>15.38</v>
      </c>
      <c r="LXS212" s="371" t="e">
        <f>LXP212*LXQ212*LXR212</f>
        <v>#DIV/0!</v>
      </c>
      <c r="LXT212" s="367" t="s">
        <v>206</v>
      </c>
      <c r="LXU212" s="367"/>
      <c r="LXV212" s="367"/>
      <c r="LXW212" s="368" t="s">
        <v>168</v>
      </c>
      <c r="LXX212" s="369">
        <v>0.5</v>
      </c>
      <c r="LXY212" s="370" t="e">
        <f>10/LXU210</f>
        <v>#DIV/0!</v>
      </c>
      <c r="LXZ212" s="371">
        <v>15.38</v>
      </c>
      <c r="LYA212" s="371" t="e">
        <f>LXX212*LXY212*LXZ212</f>
        <v>#DIV/0!</v>
      </c>
      <c r="LYB212" s="367" t="s">
        <v>206</v>
      </c>
      <c r="LYC212" s="367"/>
      <c r="LYD212" s="367"/>
      <c r="LYE212" s="368" t="s">
        <v>168</v>
      </c>
      <c r="LYF212" s="369">
        <v>0.5</v>
      </c>
      <c r="LYG212" s="370" t="e">
        <f>10/LYC210</f>
        <v>#DIV/0!</v>
      </c>
      <c r="LYH212" s="371">
        <v>15.38</v>
      </c>
      <c r="LYI212" s="371" t="e">
        <f>LYF212*LYG212*LYH212</f>
        <v>#DIV/0!</v>
      </c>
      <c r="LYJ212" s="367" t="s">
        <v>206</v>
      </c>
      <c r="LYK212" s="367"/>
      <c r="LYL212" s="367"/>
      <c r="LYM212" s="368" t="s">
        <v>168</v>
      </c>
      <c r="LYN212" s="369">
        <v>0.5</v>
      </c>
      <c r="LYO212" s="370" t="e">
        <f>10/LYK210</f>
        <v>#DIV/0!</v>
      </c>
      <c r="LYP212" s="371">
        <v>15.38</v>
      </c>
      <c r="LYQ212" s="371" t="e">
        <f>LYN212*LYO212*LYP212</f>
        <v>#DIV/0!</v>
      </c>
      <c r="LYR212" s="367" t="s">
        <v>206</v>
      </c>
      <c r="LYS212" s="367"/>
      <c r="LYT212" s="367"/>
      <c r="LYU212" s="368" t="s">
        <v>168</v>
      </c>
      <c r="LYV212" s="369">
        <v>0.5</v>
      </c>
      <c r="LYW212" s="370" t="e">
        <f>10/LYS210</f>
        <v>#DIV/0!</v>
      </c>
      <c r="LYX212" s="371">
        <v>15.38</v>
      </c>
      <c r="LYY212" s="371" t="e">
        <f>LYV212*LYW212*LYX212</f>
        <v>#DIV/0!</v>
      </c>
      <c r="LYZ212" s="367" t="s">
        <v>206</v>
      </c>
      <c r="LZA212" s="367"/>
      <c r="LZB212" s="367"/>
      <c r="LZC212" s="368" t="s">
        <v>168</v>
      </c>
      <c r="LZD212" s="369">
        <v>0.5</v>
      </c>
      <c r="LZE212" s="370" t="e">
        <f>10/LZA210</f>
        <v>#DIV/0!</v>
      </c>
      <c r="LZF212" s="371">
        <v>15.38</v>
      </c>
      <c r="LZG212" s="371" t="e">
        <f>LZD212*LZE212*LZF212</f>
        <v>#DIV/0!</v>
      </c>
      <c r="LZH212" s="367" t="s">
        <v>206</v>
      </c>
      <c r="LZI212" s="367"/>
      <c r="LZJ212" s="367"/>
      <c r="LZK212" s="368" t="s">
        <v>168</v>
      </c>
      <c r="LZL212" s="369">
        <v>0.5</v>
      </c>
      <c r="LZM212" s="370" t="e">
        <f>10/LZI210</f>
        <v>#DIV/0!</v>
      </c>
      <c r="LZN212" s="371">
        <v>15.38</v>
      </c>
      <c r="LZO212" s="371" t="e">
        <f>LZL212*LZM212*LZN212</f>
        <v>#DIV/0!</v>
      </c>
      <c r="LZP212" s="367" t="s">
        <v>206</v>
      </c>
      <c r="LZQ212" s="367"/>
      <c r="LZR212" s="367"/>
      <c r="LZS212" s="368" t="s">
        <v>168</v>
      </c>
      <c r="LZT212" s="369">
        <v>0.5</v>
      </c>
      <c r="LZU212" s="370" t="e">
        <f>10/LZQ210</f>
        <v>#DIV/0!</v>
      </c>
      <c r="LZV212" s="371">
        <v>15.38</v>
      </c>
      <c r="LZW212" s="371" t="e">
        <f>LZT212*LZU212*LZV212</f>
        <v>#DIV/0!</v>
      </c>
      <c r="LZX212" s="367" t="s">
        <v>206</v>
      </c>
      <c r="LZY212" s="367"/>
      <c r="LZZ212" s="367"/>
      <c r="MAA212" s="368" t="s">
        <v>168</v>
      </c>
      <c r="MAB212" s="369">
        <v>0.5</v>
      </c>
      <c r="MAC212" s="370" t="e">
        <f>10/LZY210</f>
        <v>#DIV/0!</v>
      </c>
      <c r="MAD212" s="371">
        <v>15.38</v>
      </c>
      <c r="MAE212" s="371" t="e">
        <f>MAB212*MAC212*MAD212</f>
        <v>#DIV/0!</v>
      </c>
      <c r="MAF212" s="367" t="s">
        <v>206</v>
      </c>
      <c r="MAG212" s="367"/>
      <c r="MAH212" s="367"/>
      <c r="MAI212" s="368" t="s">
        <v>168</v>
      </c>
      <c r="MAJ212" s="369">
        <v>0.5</v>
      </c>
      <c r="MAK212" s="370" t="e">
        <f>10/MAG210</f>
        <v>#DIV/0!</v>
      </c>
      <c r="MAL212" s="371">
        <v>15.38</v>
      </c>
      <c r="MAM212" s="371" t="e">
        <f>MAJ212*MAK212*MAL212</f>
        <v>#DIV/0!</v>
      </c>
      <c r="MAN212" s="367" t="s">
        <v>206</v>
      </c>
      <c r="MAO212" s="367"/>
      <c r="MAP212" s="367"/>
      <c r="MAQ212" s="368" t="s">
        <v>168</v>
      </c>
      <c r="MAR212" s="369">
        <v>0.5</v>
      </c>
      <c r="MAS212" s="370" t="e">
        <f>10/MAO210</f>
        <v>#DIV/0!</v>
      </c>
      <c r="MAT212" s="371">
        <v>15.38</v>
      </c>
      <c r="MAU212" s="371" t="e">
        <f>MAR212*MAS212*MAT212</f>
        <v>#DIV/0!</v>
      </c>
      <c r="MAV212" s="367" t="s">
        <v>206</v>
      </c>
      <c r="MAW212" s="367"/>
      <c r="MAX212" s="367"/>
      <c r="MAY212" s="368" t="s">
        <v>168</v>
      </c>
      <c r="MAZ212" s="369">
        <v>0.5</v>
      </c>
      <c r="MBA212" s="370" t="e">
        <f>10/MAW210</f>
        <v>#DIV/0!</v>
      </c>
      <c r="MBB212" s="371">
        <v>15.38</v>
      </c>
      <c r="MBC212" s="371" t="e">
        <f>MAZ212*MBA212*MBB212</f>
        <v>#DIV/0!</v>
      </c>
      <c r="MBD212" s="367" t="s">
        <v>206</v>
      </c>
      <c r="MBE212" s="367"/>
      <c r="MBF212" s="367"/>
      <c r="MBG212" s="368" t="s">
        <v>168</v>
      </c>
      <c r="MBH212" s="369">
        <v>0.5</v>
      </c>
      <c r="MBI212" s="370" t="e">
        <f>10/MBE210</f>
        <v>#DIV/0!</v>
      </c>
      <c r="MBJ212" s="371">
        <v>15.38</v>
      </c>
      <c r="MBK212" s="371" t="e">
        <f>MBH212*MBI212*MBJ212</f>
        <v>#DIV/0!</v>
      </c>
      <c r="MBL212" s="367" t="s">
        <v>206</v>
      </c>
      <c r="MBM212" s="367"/>
      <c r="MBN212" s="367"/>
      <c r="MBO212" s="368" t="s">
        <v>168</v>
      </c>
      <c r="MBP212" s="369">
        <v>0.5</v>
      </c>
      <c r="MBQ212" s="370" t="e">
        <f>10/MBM210</f>
        <v>#DIV/0!</v>
      </c>
      <c r="MBR212" s="371">
        <v>15.38</v>
      </c>
      <c r="MBS212" s="371" t="e">
        <f>MBP212*MBQ212*MBR212</f>
        <v>#DIV/0!</v>
      </c>
      <c r="MBT212" s="367" t="s">
        <v>206</v>
      </c>
      <c r="MBU212" s="367"/>
      <c r="MBV212" s="367"/>
      <c r="MBW212" s="368" t="s">
        <v>168</v>
      </c>
      <c r="MBX212" s="369">
        <v>0.5</v>
      </c>
      <c r="MBY212" s="370" t="e">
        <f>10/MBU210</f>
        <v>#DIV/0!</v>
      </c>
      <c r="MBZ212" s="371">
        <v>15.38</v>
      </c>
      <c r="MCA212" s="371" t="e">
        <f>MBX212*MBY212*MBZ212</f>
        <v>#DIV/0!</v>
      </c>
      <c r="MCB212" s="367" t="s">
        <v>206</v>
      </c>
      <c r="MCC212" s="367"/>
      <c r="MCD212" s="367"/>
      <c r="MCE212" s="368" t="s">
        <v>168</v>
      </c>
      <c r="MCF212" s="369">
        <v>0.5</v>
      </c>
      <c r="MCG212" s="370" t="e">
        <f>10/MCC210</f>
        <v>#DIV/0!</v>
      </c>
      <c r="MCH212" s="371">
        <v>15.38</v>
      </c>
      <c r="MCI212" s="371" t="e">
        <f>MCF212*MCG212*MCH212</f>
        <v>#DIV/0!</v>
      </c>
      <c r="MCJ212" s="367" t="s">
        <v>206</v>
      </c>
      <c r="MCK212" s="367"/>
      <c r="MCL212" s="367"/>
      <c r="MCM212" s="368" t="s">
        <v>168</v>
      </c>
      <c r="MCN212" s="369">
        <v>0.5</v>
      </c>
      <c r="MCO212" s="370" t="e">
        <f>10/MCK210</f>
        <v>#DIV/0!</v>
      </c>
      <c r="MCP212" s="371">
        <v>15.38</v>
      </c>
      <c r="MCQ212" s="371" t="e">
        <f>MCN212*MCO212*MCP212</f>
        <v>#DIV/0!</v>
      </c>
      <c r="MCR212" s="367" t="s">
        <v>206</v>
      </c>
      <c r="MCS212" s="367"/>
      <c r="MCT212" s="367"/>
      <c r="MCU212" s="368" t="s">
        <v>168</v>
      </c>
      <c r="MCV212" s="369">
        <v>0.5</v>
      </c>
      <c r="MCW212" s="370" t="e">
        <f>10/MCS210</f>
        <v>#DIV/0!</v>
      </c>
      <c r="MCX212" s="371">
        <v>15.38</v>
      </c>
      <c r="MCY212" s="371" t="e">
        <f>MCV212*MCW212*MCX212</f>
        <v>#DIV/0!</v>
      </c>
      <c r="MCZ212" s="367" t="s">
        <v>206</v>
      </c>
      <c r="MDA212" s="367"/>
      <c r="MDB212" s="367"/>
      <c r="MDC212" s="368" t="s">
        <v>168</v>
      </c>
      <c r="MDD212" s="369">
        <v>0.5</v>
      </c>
      <c r="MDE212" s="370" t="e">
        <f>10/MDA210</f>
        <v>#DIV/0!</v>
      </c>
      <c r="MDF212" s="371">
        <v>15.38</v>
      </c>
      <c r="MDG212" s="371" t="e">
        <f>MDD212*MDE212*MDF212</f>
        <v>#DIV/0!</v>
      </c>
      <c r="MDH212" s="367" t="s">
        <v>206</v>
      </c>
      <c r="MDI212" s="367"/>
      <c r="MDJ212" s="367"/>
      <c r="MDK212" s="368" t="s">
        <v>168</v>
      </c>
      <c r="MDL212" s="369">
        <v>0.5</v>
      </c>
      <c r="MDM212" s="370" t="e">
        <f>10/MDI210</f>
        <v>#DIV/0!</v>
      </c>
      <c r="MDN212" s="371">
        <v>15.38</v>
      </c>
      <c r="MDO212" s="371" t="e">
        <f>MDL212*MDM212*MDN212</f>
        <v>#DIV/0!</v>
      </c>
      <c r="MDP212" s="367" t="s">
        <v>206</v>
      </c>
      <c r="MDQ212" s="367"/>
      <c r="MDR212" s="367"/>
      <c r="MDS212" s="368" t="s">
        <v>168</v>
      </c>
      <c r="MDT212" s="369">
        <v>0.5</v>
      </c>
      <c r="MDU212" s="370" t="e">
        <f>10/MDQ210</f>
        <v>#DIV/0!</v>
      </c>
      <c r="MDV212" s="371">
        <v>15.38</v>
      </c>
      <c r="MDW212" s="371" t="e">
        <f>MDT212*MDU212*MDV212</f>
        <v>#DIV/0!</v>
      </c>
      <c r="MDX212" s="367" t="s">
        <v>206</v>
      </c>
      <c r="MDY212" s="367"/>
      <c r="MDZ212" s="367"/>
      <c r="MEA212" s="368" t="s">
        <v>168</v>
      </c>
      <c r="MEB212" s="369">
        <v>0.5</v>
      </c>
      <c r="MEC212" s="370" t="e">
        <f>10/MDY210</f>
        <v>#DIV/0!</v>
      </c>
      <c r="MED212" s="371">
        <v>15.38</v>
      </c>
      <c r="MEE212" s="371" t="e">
        <f>MEB212*MEC212*MED212</f>
        <v>#DIV/0!</v>
      </c>
      <c r="MEF212" s="367" t="s">
        <v>206</v>
      </c>
      <c r="MEG212" s="367"/>
      <c r="MEH212" s="367"/>
      <c r="MEI212" s="368" t="s">
        <v>168</v>
      </c>
      <c r="MEJ212" s="369">
        <v>0.5</v>
      </c>
      <c r="MEK212" s="370" t="e">
        <f>10/MEG210</f>
        <v>#DIV/0!</v>
      </c>
      <c r="MEL212" s="371">
        <v>15.38</v>
      </c>
      <c r="MEM212" s="371" t="e">
        <f>MEJ212*MEK212*MEL212</f>
        <v>#DIV/0!</v>
      </c>
      <c r="MEN212" s="367" t="s">
        <v>206</v>
      </c>
      <c r="MEO212" s="367"/>
      <c r="MEP212" s="367"/>
      <c r="MEQ212" s="368" t="s">
        <v>168</v>
      </c>
      <c r="MER212" s="369">
        <v>0.5</v>
      </c>
      <c r="MES212" s="370" t="e">
        <f>10/MEO210</f>
        <v>#DIV/0!</v>
      </c>
      <c r="MET212" s="371">
        <v>15.38</v>
      </c>
      <c r="MEU212" s="371" t="e">
        <f>MER212*MES212*MET212</f>
        <v>#DIV/0!</v>
      </c>
      <c r="MEV212" s="367" t="s">
        <v>206</v>
      </c>
      <c r="MEW212" s="367"/>
      <c r="MEX212" s="367"/>
      <c r="MEY212" s="368" t="s">
        <v>168</v>
      </c>
      <c r="MEZ212" s="369">
        <v>0.5</v>
      </c>
      <c r="MFA212" s="370" t="e">
        <f>10/MEW210</f>
        <v>#DIV/0!</v>
      </c>
      <c r="MFB212" s="371">
        <v>15.38</v>
      </c>
      <c r="MFC212" s="371" t="e">
        <f>MEZ212*MFA212*MFB212</f>
        <v>#DIV/0!</v>
      </c>
      <c r="MFD212" s="367" t="s">
        <v>206</v>
      </c>
      <c r="MFE212" s="367"/>
      <c r="MFF212" s="367"/>
      <c r="MFG212" s="368" t="s">
        <v>168</v>
      </c>
      <c r="MFH212" s="369">
        <v>0.5</v>
      </c>
      <c r="MFI212" s="370" t="e">
        <f>10/MFE210</f>
        <v>#DIV/0!</v>
      </c>
      <c r="MFJ212" s="371">
        <v>15.38</v>
      </c>
      <c r="MFK212" s="371" t="e">
        <f>MFH212*MFI212*MFJ212</f>
        <v>#DIV/0!</v>
      </c>
      <c r="MFL212" s="367" t="s">
        <v>206</v>
      </c>
      <c r="MFM212" s="367"/>
      <c r="MFN212" s="367"/>
      <c r="MFO212" s="368" t="s">
        <v>168</v>
      </c>
      <c r="MFP212" s="369">
        <v>0.5</v>
      </c>
      <c r="MFQ212" s="370" t="e">
        <f>10/MFM210</f>
        <v>#DIV/0!</v>
      </c>
      <c r="MFR212" s="371">
        <v>15.38</v>
      </c>
      <c r="MFS212" s="371" t="e">
        <f>MFP212*MFQ212*MFR212</f>
        <v>#DIV/0!</v>
      </c>
      <c r="MFT212" s="367" t="s">
        <v>206</v>
      </c>
      <c r="MFU212" s="367"/>
      <c r="MFV212" s="367"/>
      <c r="MFW212" s="368" t="s">
        <v>168</v>
      </c>
      <c r="MFX212" s="369">
        <v>0.5</v>
      </c>
      <c r="MFY212" s="370" t="e">
        <f>10/MFU210</f>
        <v>#DIV/0!</v>
      </c>
      <c r="MFZ212" s="371">
        <v>15.38</v>
      </c>
      <c r="MGA212" s="371" t="e">
        <f>MFX212*MFY212*MFZ212</f>
        <v>#DIV/0!</v>
      </c>
      <c r="MGB212" s="367" t="s">
        <v>206</v>
      </c>
      <c r="MGC212" s="367"/>
      <c r="MGD212" s="367"/>
      <c r="MGE212" s="368" t="s">
        <v>168</v>
      </c>
      <c r="MGF212" s="369">
        <v>0.5</v>
      </c>
      <c r="MGG212" s="370" t="e">
        <f>10/MGC210</f>
        <v>#DIV/0!</v>
      </c>
      <c r="MGH212" s="371">
        <v>15.38</v>
      </c>
      <c r="MGI212" s="371" t="e">
        <f>MGF212*MGG212*MGH212</f>
        <v>#DIV/0!</v>
      </c>
      <c r="MGJ212" s="367" t="s">
        <v>206</v>
      </c>
      <c r="MGK212" s="367"/>
      <c r="MGL212" s="367"/>
      <c r="MGM212" s="368" t="s">
        <v>168</v>
      </c>
      <c r="MGN212" s="369">
        <v>0.5</v>
      </c>
      <c r="MGO212" s="370" t="e">
        <f>10/MGK210</f>
        <v>#DIV/0!</v>
      </c>
      <c r="MGP212" s="371">
        <v>15.38</v>
      </c>
      <c r="MGQ212" s="371" t="e">
        <f>MGN212*MGO212*MGP212</f>
        <v>#DIV/0!</v>
      </c>
      <c r="MGR212" s="367" t="s">
        <v>206</v>
      </c>
      <c r="MGS212" s="367"/>
      <c r="MGT212" s="367"/>
      <c r="MGU212" s="368" t="s">
        <v>168</v>
      </c>
      <c r="MGV212" s="369">
        <v>0.5</v>
      </c>
      <c r="MGW212" s="370" t="e">
        <f>10/MGS210</f>
        <v>#DIV/0!</v>
      </c>
      <c r="MGX212" s="371">
        <v>15.38</v>
      </c>
      <c r="MGY212" s="371" t="e">
        <f>MGV212*MGW212*MGX212</f>
        <v>#DIV/0!</v>
      </c>
      <c r="MGZ212" s="367" t="s">
        <v>206</v>
      </c>
      <c r="MHA212" s="367"/>
      <c r="MHB212" s="367"/>
      <c r="MHC212" s="368" t="s">
        <v>168</v>
      </c>
      <c r="MHD212" s="369">
        <v>0.5</v>
      </c>
      <c r="MHE212" s="370" t="e">
        <f>10/MHA210</f>
        <v>#DIV/0!</v>
      </c>
      <c r="MHF212" s="371">
        <v>15.38</v>
      </c>
      <c r="MHG212" s="371" t="e">
        <f>MHD212*MHE212*MHF212</f>
        <v>#DIV/0!</v>
      </c>
      <c r="MHH212" s="367" t="s">
        <v>206</v>
      </c>
      <c r="MHI212" s="367"/>
      <c r="MHJ212" s="367"/>
      <c r="MHK212" s="368" t="s">
        <v>168</v>
      </c>
      <c r="MHL212" s="369">
        <v>0.5</v>
      </c>
      <c r="MHM212" s="370" t="e">
        <f>10/MHI210</f>
        <v>#DIV/0!</v>
      </c>
      <c r="MHN212" s="371">
        <v>15.38</v>
      </c>
      <c r="MHO212" s="371" t="e">
        <f>MHL212*MHM212*MHN212</f>
        <v>#DIV/0!</v>
      </c>
      <c r="MHP212" s="367" t="s">
        <v>206</v>
      </c>
      <c r="MHQ212" s="367"/>
      <c r="MHR212" s="367"/>
      <c r="MHS212" s="368" t="s">
        <v>168</v>
      </c>
      <c r="MHT212" s="369">
        <v>0.5</v>
      </c>
      <c r="MHU212" s="370" t="e">
        <f>10/MHQ210</f>
        <v>#DIV/0!</v>
      </c>
      <c r="MHV212" s="371">
        <v>15.38</v>
      </c>
      <c r="MHW212" s="371" t="e">
        <f>MHT212*MHU212*MHV212</f>
        <v>#DIV/0!</v>
      </c>
      <c r="MHX212" s="367" t="s">
        <v>206</v>
      </c>
      <c r="MHY212" s="367"/>
      <c r="MHZ212" s="367"/>
      <c r="MIA212" s="368" t="s">
        <v>168</v>
      </c>
      <c r="MIB212" s="369">
        <v>0.5</v>
      </c>
      <c r="MIC212" s="370" t="e">
        <f>10/MHY210</f>
        <v>#DIV/0!</v>
      </c>
      <c r="MID212" s="371">
        <v>15.38</v>
      </c>
      <c r="MIE212" s="371" t="e">
        <f>MIB212*MIC212*MID212</f>
        <v>#DIV/0!</v>
      </c>
      <c r="MIF212" s="367" t="s">
        <v>206</v>
      </c>
      <c r="MIG212" s="367"/>
      <c r="MIH212" s="367"/>
      <c r="MII212" s="368" t="s">
        <v>168</v>
      </c>
      <c r="MIJ212" s="369">
        <v>0.5</v>
      </c>
      <c r="MIK212" s="370" t="e">
        <f>10/MIG210</f>
        <v>#DIV/0!</v>
      </c>
      <c r="MIL212" s="371">
        <v>15.38</v>
      </c>
      <c r="MIM212" s="371" t="e">
        <f>MIJ212*MIK212*MIL212</f>
        <v>#DIV/0!</v>
      </c>
      <c r="MIN212" s="367" t="s">
        <v>206</v>
      </c>
      <c r="MIO212" s="367"/>
      <c r="MIP212" s="367"/>
      <c r="MIQ212" s="368" t="s">
        <v>168</v>
      </c>
      <c r="MIR212" s="369">
        <v>0.5</v>
      </c>
      <c r="MIS212" s="370" t="e">
        <f>10/MIO210</f>
        <v>#DIV/0!</v>
      </c>
      <c r="MIT212" s="371">
        <v>15.38</v>
      </c>
      <c r="MIU212" s="371" t="e">
        <f>MIR212*MIS212*MIT212</f>
        <v>#DIV/0!</v>
      </c>
      <c r="MIV212" s="367" t="s">
        <v>206</v>
      </c>
      <c r="MIW212" s="367"/>
      <c r="MIX212" s="367"/>
      <c r="MIY212" s="368" t="s">
        <v>168</v>
      </c>
      <c r="MIZ212" s="369">
        <v>0.5</v>
      </c>
      <c r="MJA212" s="370" t="e">
        <f>10/MIW210</f>
        <v>#DIV/0!</v>
      </c>
      <c r="MJB212" s="371">
        <v>15.38</v>
      </c>
      <c r="MJC212" s="371" t="e">
        <f>MIZ212*MJA212*MJB212</f>
        <v>#DIV/0!</v>
      </c>
      <c r="MJD212" s="367" t="s">
        <v>206</v>
      </c>
      <c r="MJE212" s="367"/>
      <c r="MJF212" s="367"/>
      <c r="MJG212" s="368" t="s">
        <v>168</v>
      </c>
      <c r="MJH212" s="369">
        <v>0.5</v>
      </c>
      <c r="MJI212" s="370" t="e">
        <f>10/MJE210</f>
        <v>#DIV/0!</v>
      </c>
      <c r="MJJ212" s="371">
        <v>15.38</v>
      </c>
      <c r="MJK212" s="371" t="e">
        <f>MJH212*MJI212*MJJ212</f>
        <v>#DIV/0!</v>
      </c>
      <c r="MJL212" s="367" t="s">
        <v>206</v>
      </c>
      <c r="MJM212" s="367"/>
      <c r="MJN212" s="367"/>
      <c r="MJO212" s="368" t="s">
        <v>168</v>
      </c>
      <c r="MJP212" s="369">
        <v>0.5</v>
      </c>
      <c r="MJQ212" s="370" t="e">
        <f>10/MJM210</f>
        <v>#DIV/0!</v>
      </c>
      <c r="MJR212" s="371">
        <v>15.38</v>
      </c>
      <c r="MJS212" s="371" t="e">
        <f>MJP212*MJQ212*MJR212</f>
        <v>#DIV/0!</v>
      </c>
      <c r="MJT212" s="367" t="s">
        <v>206</v>
      </c>
      <c r="MJU212" s="367"/>
      <c r="MJV212" s="367"/>
      <c r="MJW212" s="368" t="s">
        <v>168</v>
      </c>
      <c r="MJX212" s="369">
        <v>0.5</v>
      </c>
      <c r="MJY212" s="370" t="e">
        <f>10/MJU210</f>
        <v>#DIV/0!</v>
      </c>
      <c r="MJZ212" s="371">
        <v>15.38</v>
      </c>
      <c r="MKA212" s="371" t="e">
        <f>MJX212*MJY212*MJZ212</f>
        <v>#DIV/0!</v>
      </c>
      <c r="MKB212" s="367" t="s">
        <v>206</v>
      </c>
      <c r="MKC212" s="367"/>
      <c r="MKD212" s="367"/>
      <c r="MKE212" s="368" t="s">
        <v>168</v>
      </c>
      <c r="MKF212" s="369">
        <v>0.5</v>
      </c>
      <c r="MKG212" s="370" t="e">
        <f>10/MKC210</f>
        <v>#DIV/0!</v>
      </c>
      <c r="MKH212" s="371">
        <v>15.38</v>
      </c>
      <c r="MKI212" s="371" t="e">
        <f>MKF212*MKG212*MKH212</f>
        <v>#DIV/0!</v>
      </c>
      <c r="MKJ212" s="367" t="s">
        <v>206</v>
      </c>
      <c r="MKK212" s="367"/>
      <c r="MKL212" s="367"/>
      <c r="MKM212" s="368" t="s">
        <v>168</v>
      </c>
      <c r="MKN212" s="369">
        <v>0.5</v>
      </c>
      <c r="MKO212" s="370" t="e">
        <f>10/MKK210</f>
        <v>#DIV/0!</v>
      </c>
      <c r="MKP212" s="371">
        <v>15.38</v>
      </c>
      <c r="MKQ212" s="371" t="e">
        <f>MKN212*MKO212*MKP212</f>
        <v>#DIV/0!</v>
      </c>
      <c r="MKR212" s="367" t="s">
        <v>206</v>
      </c>
      <c r="MKS212" s="367"/>
      <c r="MKT212" s="367"/>
      <c r="MKU212" s="368" t="s">
        <v>168</v>
      </c>
      <c r="MKV212" s="369">
        <v>0.5</v>
      </c>
      <c r="MKW212" s="370" t="e">
        <f>10/MKS210</f>
        <v>#DIV/0!</v>
      </c>
      <c r="MKX212" s="371">
        <v>15.38</v>
      </c>
      <c r="MKY212" s="371" t="e">
        <f>MKV212*MKW212*MKX212</f>
        <v>#DIV/0!</v>
      </c>
      <c r="MKZ212" s="367" t="s">
        <v>206</v>
      </c>
      <c r="MLA212" s="367"/>
      <c r="MLB212" s="367"/>
      <c r="MLC212" s="368" t="s">
        <v>168</v>
      </c>
      <c r="MLD212" s="369">
        <v>0.5</v>
      </c>
      <c r="MLE212" s="370" t="e">
        <f>10/MLA210</f>
        <v>#DIV/0!</v>
      </c>
      <c r="MLF212" s="371">
        <v>15.38</v>
      </c>
      <c r="MLG212" s="371" t="e">
        <f>MLD212*MLE212*MLF212</f>
        <v>#DIV/0!</v>
      </c>
      <c r="MLH212" s="367" t="s">
        <v>206</v>
      </c>
      <c r="MLI212" s="367"/>
      <c r="MLJ212" s="367"/>
      <c r="MLK212" s="368" t="s">
        <v>168</v>
      </c>
      <c r="MLL212" s="369">
        <v>0.5</v>
      </c>
      <c r="MLM212" s="370" t="e">
        <f>10/MLI210</f>
        <v>#DIV/0!</v>
      </c>
      <c r="MLN212" s="371">
        <v>15.38</v>
      </c>
      <c r="MLO212" s="371" t="e">
        <f>MLL212*MLM212*MLN212</f>
        <v>#DIV/0!</v>
      </c>
      <c r="MLP212" s="367" t="s">
        <v>206</v>
      </c>
      <c r="MLQ212" s="367"/>
      <c r="MLR212" s="367"/>
      <c r="MLS212" s="368" t="s">
        <v>168</v>
      </c>
      <c r="MLT212" s="369">
        <v>0.5</v>
      </c>
      <c r="MLU212" s="370" t="e">
        <f>10/MLQ210</f>
        <v>#DIV/0!</v>
      </c>
      <c r="MLV212" s="371">
        <v>15.38</v>
      </c>
      <c r="MLW212" s="371" t="e">
        <f>MLT212*MLU212*MLV212</f>
        <v>#DIV/0!</v>
      </c>
      <c r="MLX212" s="367" t="s">
        <v>206</v>
      </c>
      <c r="MLY212" s="367"/>
      <c r="MLZ212" s="367"/>
      <c r="MMA212" s="368" t="s">
        <v>168</v>
      </c>
      <c r="MMB212" s="369">
        <v>0.5</v>
      </c>
      <c r="MMC212" s="370" t="e">
        <f>10/MLY210</f>
        <v>#DIV/0!</v>
      </c>
      <c r="MMD212" s="371">
        <v>15.38</v>
      </c>
      <c r="MME212" s="371" t="e">
        <f>MMB212*MMC212*MMD212</f>
        <v>#DIV/0!</v>
      </c>
      <c r="MMF212" s="367" t="s">
        <v>206</v>
      </c>
      <c r="MMG212" s="367"/>
      <c r="MMH212" s="367"/>
      <c r="MMI212" s="368" t="s">
        <v>168</v>
      </c>
      <c r="MMJ212" s="369">
        <v>0.5</v>
      </c>
      <c r="MMK212" s="370" t="e">
        <f>10/MMG210</f>
        <v>#DIV/0!</v>
      </c>
      <c r="MML212" s="371">
        <v>15.38</v>
      </c>
      <c r="MMM212" s="371" t="e">
        <f>MMJ212*MMK212*MML212</f>
        <v>#DIV/0!</v>
      </c>
      <c r="MMN212" s="367" t="s">
        <v>206</v>
      </c>
      <c r="MMO212" s="367"/>
      <c r="MMP212" s="367"/>
      <c r="MMQ212" s="368" t="s">
        <v>168</v>
      </c>
      <c r="MMR212" s="369">
        <v>0.5</v>
      </c>
      <c r="MMS212" s="370" t="e">
        <f>10/MMO210</f>
        <v>#DIV/0!</v>
      </c>
      <c r="MMT212" s="371">
        <v>15.38</v>
      </c>
      <c r="MMU212" s="371" t="e">
        <f>MMR212*MMS212*MMT212</f>
        <v>#DIV/0!</v>
      </c>
      <c r="MMV212" s="367" t="s">
        <v>206</v>
      </c>
      <c r="MMW212" s="367"/>
      <c r="MMX212" s="367"/>
      <c r="MMY212" s="368" t="s">
        <v>168</v>
      </c>
      <c r="MMZ212" s="369">
        <v>0.5</v>
      </c>
      <c r="MNA212" s="370" t="e">
        <f>10/MMW210</f>
        <v>#DIV/0!</v>
      </c>
      <c r="MNB212" s="371">
        <v>15.38</v>
      </c>
      <c r="MNC212" s="371" t="e">
        <f>MMZ212*MNA212*MNB212</f>
        <v>#DIV/0!</v>
      </c>
      <c r="MND212" s="367" t="s">
        <v>206</v>
      </c>
      <c r="MNE212" s="367"/>
      <c r="MNF212" s="367"/>
      <c r="MNG212" s="368" t="s">
        <v>168</v>
      </c>
      <c r="MNH212" s="369">
        <v>0.5</v>
      </c>
      <c r="MNI212" s="370" t="e">
        <f>10/MNE210</f>
        <v>#DIV/0!</v>
      </c>
      <c r="MNJ212" s="371">
        <v>15.38</v>
      </c>
      <c r="MNK212" s="371" t="e">
        <f>MNH212*MNI212*MNJ212</f>
        <v>#DIV/0!</v>
      </c>
      <c r="MNL212" s="367" t="s">
        <v>206</v>
      </c>
      <c r="MNM212" s="367"/>
      <c r="MNN212" s="367"/>
      <c r="MNO212" s="368" t="s">
        <v>168</v>
      </c>
      <c r="MNP212" s="369">
        <v>0.5</v>
      </c>
      <c r="MNQ212" s="370" t="e">
        <f>10/MNM210</f>
        <v>#DIV/0!</v>
      </c>
      <c r="MNR212" s="371">
        <v>15.38</v>
      </c>
      <c r="MNS212" s="371" t="e">
        <f>MNP212*MNQ212*MNR212</f>
        <v>#DIV/0!</v>
      </c>
      <c r="MNT212" s="367" t="s">
        <v>206</v>
      </c>
      <c r="MNU212" s="367"/>
      <c r="MNV212" s="367"/>
      <c r="MNW212" s="368" t="s">
        <v>168</v>
      </c>
      <c r="MNX212" s="369">
        <v>0.5</v>
      </c>
      <c r="MNY212" s="370" t="e">
        <f>10/MNU210</f>
        <v>#DIV/0!</v>
      </c>
      <c r="MNZ212" s="371">
        <v>15.38</v>
      </c>
      <c r="MOA212" s="371" t="e">
        <f>MNX212*MNY212*MNZ212</f>
        <v>#DIV/0!</v>
      </c>
      <c r="MOB212" s="367" t="s">
        <v>206</v>
      </c>
      <c r="MOC212" s="367"/>
      <c r="MOD212" s="367"/>
      <c r="MOE212" s="368" t="s">
        <v>168</v>
      </c>
      <c r="MOF212" s="369">
        <v>0.5</v>
      </c>
      <c r="MOG212" s="370" t="e">
        <f>10/MOC210</f>
        <v>#DIV/0!</v>
      </c>
      <c r="MOH212" s="371">
        <v>15.38</v>
      </c>
      <c r="MOI212" s="371" t="e">
        <f>MOF212*MOG212*MOH212</f>
        <v>#DIV/0!</v>
      </c>
      <c r="MOJ212" s="367" t="s">
        <v>206</v>
      </c>
      <c r="MOK212" s="367"/>
      <c r="MOL212" s="367"/>
      <c r="MOM212" s="368" t="s">
        <v>168</v>
      </c>
      <c r="MON212" s="369">
        <v>0.5</v>
      </c>
      <c r="MOO212" s="370" t="e">
        <f>10/MOK210</f>
        <v>#DIV/0!</v>
      </c>
      <c r="MOP212" s="371">
        <v>15.38</v>
      </c>
      <c r="MOQ212" s="371" t="e">
        <f>MON212*MOO212*MOP212</f>
        <v>#DIV/0!</v>
      </c>
      <c r="MOR212" s="367" t="s">
        <v>206</v>
      </c>
      <c r="MOS212" s="367"/>
      <c r="MOT212" s="367"/>
      <c r="MOU212" s="368" t="s">
        <v>168</v>
      </c>
      <c r="MOV212" s="369">
        <v>0.5</v>
      </c>
      <c r="MOW212" s="370" t="e">
        <f>10/MOS210</f>
        <v>#DIV/0!</v>
      </c>
      <c r="MOX212" s="371">
        <v>15.38</v>
      </c>
      <c r="MOY212" s="371" t="e">
        <f>MOV212*MOW212*MOX212</f>
        <v>#DIV/0!</v>
      </c>
      <c r="MOZ212" s="367" t="s">
        <v>206</v>
      </c>
      <c r="MPA212" s="367"/>
      <c r="MPB212" s="367"/>
      <c r="MPC212" s="368" t="s">
        <v>168</v>
      </c>
      <c r="MPD212" s="369">
        <v>0.5</v>
      </c>
      <c r="MPE212" s="370" t="e">
        <f>10/MPA210</f>
        <v>#DIV/0!</v>
      </c>
      <c r="MPF212" s="371">
        <v>15.38</v>
      </c>
      <c r="MPG212" s="371" t="e">
        <f>MPD212*MPE212*MPF212</f>
        <v>#DIV/0!</v>
      </c>
      <c r="MPH212" s="367" t="s">
        <v>206</v>
      </c>
      <c r="MPI212" s="367"/>
      <c r="MPJ212" s="367"/>
      <c r="MPK212" s="368" t="s">
        <v>168</v>
      </c>
      <c r="MPL212" s="369">
        <v>0.5</v>
      </c>
      <c r="MPM212" s="370" t="e">
        <f>10/MPI210</f>
        <v>#DIV/0!</v>
      </c>
      <c r="MPN212" s="371">
        <v>15.38</v>
      </c>
      <c r="MPO212" s="371" t="e">
        <f>MPL212*MPM212*MPN212</f>
        <v>#DIV/0!</v>
      </c>
      <c r="MPP212" s="367" t="s">
        <v>206</v>
      </c>
      <c r="MPQ212" s="367"/>
      <c r="MPR212" s="367"/>
      <c r="MPS212" s="368" t="s">
        <v>168</v>
      </c>
      <c r="MPT212" s="369">
        <v>0.5</v>
      </c>
      <c r="MPU212" s="370" t="e">
        <f>10/MPQ210</f>
        <v>#DIV/0!</v>
      </c>
      <c r="MPV212" s="371">
        <v>15.38</v>
      </c>
      <c r="MPW212" s="371" t="e">
        <f>MPT212*MPU212*MPV212</f>
        <v>#DIV/0!</v>
      </c>
      <c r="MPX212" s="367" t="s">
        <v>206</v>
      </c>
      <c r="MPY212" s="367"/>
      <c r="MPZ212" s="367"/>
      <c r="MQA212" s="368" t="s">
        <v>168</v>
      </c>
      <c r="MQB212" s="369">
        <v>0.5</v>
      </c>
      <c r="MQC212" s="370" t="e">
        <f>10/MPY210</f>
        <v>#DIV/0!</v>
      </c>
      <c r="MQD212" s="371">
        <v>15.38</v>
      </c>
      <c r="MQE212" s="371" t="e">
        <f>MQB212*MQC212*MQD212</f>
        <v>#DIV/0!</v>
      </c>
      <c r="MQF212" s="367" t="s">
        <v>206</v>
      </c>
      <c r="MQG212" s="367"/>
      <c r="MQH212" s="367"/>
      <c r="MQI212" s="368" t="s">
        <v>168</v>
      </c>
      <c r="MQJ212" s="369">
        <v>0.5</v>
      </c>
      <c r="MQK212" s="370" t="e">
        <f>10/MQG210</f>
        <v>#DIV/0!</v>
      </c>
      <c r="MQL212" s="371">
        <v>15.38</v>
      </c>
      <c r="MQM212" s="371" t="e">
        <f>MQJ212*MQK212*MQL212</f>
        <v>#DIV/0!</v>
      </c>
      <c r="MQN212" s="367" t="s">
        <v>206</v>
      </c>
      <c r="MQO212" s="367"/>
      <c r="MQP212" s="367"/>
      <c r="MQQ212" s="368" t="s">
        <v>168</v>
      </c>
      <c r="MQR212" s="369">
        <v>0.5</v>
      </c>
      <c r="MQS212" s="370" t="e">
        <f>10/MQO210</f>
        <v>#DIV/0!</v>
      </c>
      <c r="MQT212" s="371">
        <v>15.38</v>
      </c>
      <c r="MQU212" s="371" t="e">
        <f>MQR212*MQS212*MQT212</f>
        <v>#DIV/0!</v>
      </c>
      <c r="MQV212" s="367" t="s">
        <v>206</v>
      </c>
      <c r="MQW212" s="367"/>
      <c r="MQX212" s="367"/>
      <c r="MQY212" s="368" t="s">
        <v>168</v>
      </c>
      <c r="MQZ212" s="369">
        <v>0.5</v>
      </c>
      <c r="MRA212" s="370" t="e">
        <f>10/MQW210</f>
        <v>#DIV/0!</v>
      </c>
      <c r="MRB212" s="371">
        <v>15.38</v>
      </c>
      <c r="MRC212" s="371" t="e">
        <f>MQZ212*MRA212*MRB212</f>
        <v>#DIV/0!</v>
      </c>
      <c r="MRD212" s="367" t="s">
        <v>206</v>
      </c>
      <c r="MRE212" s="367"/>
      <c r="MRF212" s="367"/>
      <c r="MRG212" s="368" t="s">
        <v>168</v>
      </c>
      <c r="MRH212" s="369">
        <v>0.5</v>
      </c>
      <c r="MRI212" s="370" t="e">
        <f>10/MRE210</f>
        <v>#DIV/0!</v>
      </c>
      <c r="MRJ212" s="371">
        <v>15.38</v>
      </c>
      <c r="MRK212" s="371" t="e">
        <f>MRH212*MRI212*MRJ212</f>
        <v>#DIV/0!</v>
      </c>
      <c r="MRL212" s="367" t="s">
        <v>206</v>
      </c>
      <c r="MRM212" s="367"/>
      <c r="MRN212" s="367"/>
      <c r="MRO212" s="368" t="s">
        <v>168</v>
      </c>
      <c r="MRP212" s="369">
        <v>0.5</v>
      </c>
      <c r="MRQ212" s="370" t="e">
        <f>10/MRM210</f>
        <v>#DIV/0!</v>
      </c>
      <c r="MRR212" s="371">
        <v>15.38</v>
      </c>
      <c r="MRS212" s="371" t="e">
        <f>MRP212*MRQ212*MRR212</f>
        <v>#DIV/0!</v>
      </c>
      <c r="MRT212" s="367" t="s">
        <v>206</v>
      </c>
      <c r="MRU212" s="367"/>
      <c r="MRV212" s="367"/>
      <c r="MRW212" s="368" t="s">
        <v>168</v>
      </c>
      <c r="MRX212" s="369">
        <v>0.5</v>
      </c>
      <c r="MRY212" s="370" t="e">
        <f>10/MRU210</f>
        <v>#DIV/0!</v>
      </c>
      <c r="MRZ212" s="371">
        <v>15.38</v>
      </c>
      <c r="MSA212" s="371" t="e">
        <f>MRX212*MRY212*MRZ212</f>
        <v>#DIV/0!</v>
      </c>
      <c r="MSB212" s="367" t="s">
        <v>206</v>
      </c>
      <c r="MSC212" s="367"/>
      <c r="MSD212" s="367"/>
      <c r="MSE212" s="368" t="s">
        <v>168</v>
      </c>
      <c r="MSF212" s="369">
        <v>0.5</v>
      </c>
      <c r="MSG212" s="370" t="e">
        <f>10/MSC210</f>
        <v>#DIV/0!</v>
      </c>
      <c r="MSH212" s="371">
        <v>15.38</v>
      </c>
      <c r="MSI212" s="371" t="e">
        <f>MSF212*MSG212*MSH212</f>
        <v>#DIV/0!</v>
      </c>
      <c r="MSJ212" s="367" t="s">
        <v>206</v>
      </c>
      <c r="MSK212" s="367"/>
      <c r="MSL212" s="367"/>
      <c r="MSM212" s="368" t="s">
        <v>168</v>
      </c>
      <c r="MSN212" s="369">
        <v>0.5</v>
      </c>
      <c r="MSO212" s="370" t="e">
        <f>10/MSK210</f>
        <v>#DIV/0!</v>
      </c>
      <c r="MSP212" s="371">
        <v>15.38</v>
      </c>
      <c r="MSQ212" s="371" t="e">
        <f>MSN212*MSO212*MSP212</f>
        <v>#DIV/0!</v>
      </c>
      <c r="MSR212" s="367" t="s">
        <v>206</v>
      </c>
      <c r="MSS212" s="367"/>
      <c r="MST212" s="367"/>
      <c r="MSU212" s="368" t="s">
        <v>168</v>
      </c>
      <c r="MSV212" s="369">
        <v>0.5</v>
      </c>
      <c r="MSW212" s="370" t="e">
        <f>10/MSS210</f>
        <v>#DIV/0!</v>
      </c>
      <c r="MSX212" s="371">
        <v>15.38</v>
      </c>
      <c r="MSY212" s="371" t="e">
        <f>MSV212*MSW212*MSX212</f>
        <v>#DIV/0!</v>
      </c>
      <c r="MSZ212" s="367" t="s">
        <v>206</v>
      </c>
      <c r="MTA212" s="367"/>
      <c r="MTB212" s="367"/>
      <c r="MTC212" s="368" t="s">
        <v>168</v>
      </c>
      <c r="MTD212" s="369">
        <v>0.5</v>
      </c>
      <c r="MTE212" s="370" t="e">
        <f>10/MTA210</f>
        <v>#DIV/0!</v>
      </c>
      <c r="MTF212" s="371">
        <v>15.38</v>
      </c>
      <c r="MTG212" s="371" t="e">
        <f>MTD212*MTE212*MTF212</f>
        <v>#DIV/0!</v>
      </c>
      <c r="MTH212" s="367" t="s">
        <v>206</v>
      </c>
      <c r="MTI212" s="367"/>
      <c r="MTJ212" s="367"/>
      <c r="MTK212" s="368" t="s">
        <v>168</v>
      </c>
      <c r="MTL212" s="369">
        <v>0.5</v>
      </c>
      <c r="MTM212" s="370" t="e">
        <f>10/MTI210</f>
        <v>#DIV/0!</v>
      </c>
      <c r="MTN212" s="371">
        <v>15.38</v>
      </c>
      <c r="MTO212" s="371" t="e">
        <f>MTL212*MTM212*MTN212</f>
        <v>#DIV/0!</v>
      </c>
      <c r="MTP212" s="367" t="s">
        <v>206</v>
      </c>
      <c r="MTQ212" s="367"/>
      <c r="MTR212" s="367"/>
      <c r="MTS212" s="368" t="s">
        <v>168</v>
      </c>
      <c r="MTT212" s="369">
        <v>0.5</v>
      </c>
      <c r="MTU212" s="370" t="e">
        <f>10/MTQ210</f>
        <v>#DIV/0!</v>
      </c>
      <c r="MTV212" s="371">
        <v>15.38</v>
      </c>
      <c r="MTW212" s="371" t="e">
        <f>MTT212*MTU212*MTV212</f>
        <v>#DIV/0!</v>
      </c>
      <c r="MTX212" s="367" t="s">
        <v>206</v>
      </c>
      <c r="MTY212" s="367"/>
      <c r="MTZ212" s="367"/>
      <c r="MUA212" s="368" t="s">
        <v>168</v>
      </c>
      <c r="MUB212" s="369">
        <v>0.5</v>
      </c>
      <c r="MUC212" s="370" t="e">
        <f>10/MTY210</f>
        <v>#DIV/0!</v>
      </c>
      <c r="MUD212" s="371">
        <v>15.38</v>
      </c>
      <c r="MUE212" s="371" t="e">
        <f>MUB212*MUC212*MUD212</f>
        <v>#DIV/0!</v>
      </c>
      <c r="MUF212" s="367" t="s">
        <v>206</v>
      </c>
      <c r="MUG212" s="367"/>
      <c r="MUH212" s="367"/>
      <c r="MUI212" s="368" t="s">
        <v>168</v>
      </c>
      <c r="MUJ212" s="369">
        <v>0.5</v>
      </c>
      <c r="MUK212" s="370" t="e">
        <f>10/MUG210</f>
        <v>#DIV/0!</v>
      </c>
      <c r="MUL212" s="371">
        <v>15.38</v>
      </c>
      <c r="MUM212" s="371" t="e">
        <f>MUJ212*MUK212*MUL212</f>
        <v>#DIV/0!</v>
      </c>
      <c r="MUN212" s="367" t="s">
        <v>206</v>
      </c>
      <c r="MUO212" s="367"/>
      <c r="MUP212" s="367"/>
      <c r="MUQ212" s="368" t="s">
        <v>168</v>
      </c>
      <c r="MUR212" s="369">
        <v>0.5</v>
      </c>
      <c r="MUS212" s="370" t="e">
        <f>10/MUO210</f>
        <v>#DIV/0!</v>
      </c>
      <c r="MUT212" s="371">
        <v>15.38</v>
      </c>
      <c r="MUU212" s="371" t="e">
        <f>MUR212*MUS212*MUT212</f>
        <v>#DIV/0!</v>
      </c>
      <c r="MUV212" s="367" t="s">
        <v>206</v>
      </c>
      <c r="MUW212" s="367"/>
      <c r="MUX212" s="367"/>
      <c r="MUY212" s="368" t="s">
        <v>168</v>
      </c>
      <c r="MUZ212" s="369">
        <v>0.5</v>
      </c>
      <c r="MVA212" s="370" t="e">
        <f>10/MUW210</f>
        <v>#DIV/0!</v>
      </c>
      <c r="MVB212" s="371">
        <v>15.38</v>
      </c>
      <c r="MVC212" s="371" t="e">
        <f>MUZ212*MVA212*MVB212</f>
        <v>#DIV/0!</v>
      </c>
      <c r="MVD212" s="367" t="s">
        <v>206</v>
      </c>
      <c r="MVE212" s="367"/>
      <c r="MVF212" s="367"/>
      <c r="MVG212" s="368" t="s">
        <v>168</v>
      </c>
      <c r="MVH212" s="369">
        <v>0.5</v>
      </c>
      <c r="MVI212" s="370" t="e">
        <f>10/MVE210</f>
        <v>#DIV/0!</v>
      </c>
      <c r="MVJ212" s="371">
        <v>15.38</v>
      </c>
      <c r="MVK212" s="371" t="e">
        <f>MVH212*MVI212*MVJ212</f>
        <v>#DIV/0!</v>
      </c>
      <c r="MVL212" s="367" t="s">
        <v>206</v>
      </c>
      <c r="MVM212" s="367"/>
      <c r="MVN212" s="367"/>
      <c r="MVO212" s="368" t="s">
        <v>168</v>
      </c>
      <c r="MVP212" s="369">
        <v>0.5</v>
      </c>
      <c r="MVQ212" s="370" t="e">
        <f>10/MVM210</f>
        <v>#DIV/0!</v>
      </c>
      <c r="MVR212" s="371">
        <v>15.38</v>
      </c>
      <c r="MVS212" s="371" t="e">
        <f>MVP212*MVQ212*MVR212</f>
        <v>#DIV/0!</v>
      </c>
      <c r="MVT212" s="367" t="s">
        <v>206</v>
      </c>
      <c r="MVU212" s="367"/>
      <c r="MVV212" s="367"/>
      <c r="MVW212" s="368" t="s">
        <v>168</v>
      </c>
      <c r="MVX212" s="369">
        <v>0.5</v>
      </c>
      <c r="MVY212" s="370" t="e">
        <f>10/MVU210</f>
        <v>#DIV/0!</v>
      </c>
      <c r="MVZ212" s="371">
        <v>15.38</v>
      </c>
      <c r="MWA212" s="371" t="e">
        <f>MVX212*MVY212*MVZ212</f>
        <v>#DIV/0!</v>
      </c>
      <c r="MWB212" s="367" t="s">
        <v>206</v>
      </c>
      <c r="MWC212" s="367"/>
      <c r="MWD212" s="367"/>
      <c r="MWE212" s="368" t="s">
        <v>168</v>
      </c>
      <c r="MWF212" s="369">
        <v>0.5</v>
      </c>
      <c r="MWG212" s="370" t="e">
        <f>10/MWC210</f>
        <v>#DIV/0!</v>
      </c>
      <c r="MWH212" s="371">
        <v>15.38</v>
      </c>
      <c r="MWI212" s="371" t="e">
        <f>MWF212*MWG212*MWH212</f>
        <v>#DIV/0!</v>
      </c>
      <c r="MWJ212" s="367" t="s">
        <v>206</v>
      </c>
      <c r="MWK212" s="367"/>
      <c r="MWL212" s="367"/>
      <c r="MWM212" s="368" t="s">
        <v>168</v>
      </c>
      <c r="MWN212" s="369">
        <v>0.5</v>
      </c>
      <c r="MWO212" s="370" t="e">
        <f>10/MWK210</f>
        <v>#DIV/0!</v>
      </c>
      <c r="MWP212" s="371">
        <v>15.38</v>
      </c>
      <c r="MWQ212" s="371" t="e">
        <f>MWN212*MWO212*MWP212</f>
        <v>#DIV/0!</v>
      </c>
      <c r="MWR212" s="367" t="s">
        <v>206</v>
      </c>
      <c r="MWS212" s="367"/>
      <c r="MWT212" s="367"/>
      <c r="MWU212" s="368" t="s">
        <v>168</v>
      </c>
      <c r="MWV212" s="369">
        <v>0.5</v>
      </c>
      <c r="MWW212" s="370" t="e">
        <f>10/MWS210</f>
        <v>#DIV/0!</v>
      </c>
      <c r="MWX212" s="371">
        <v>15.38</v>
      </c>
      <c r="MWY212" s="371" t="e">
        <f>MWV212*MWW212*MWX212</f>
        <v>#DIV/0!</v>
      </c>
      <c r="MWZ212" s="367" t="s">
        <v>206</v>
      </c>
      <c r="MXA212" s="367"/>
      <c r="MXB212" s="367"/>
      <c r="MXC212" s="368" t="s">
        <v>168</v>
      </c>
      <c r="MXD212" s="369">
        <v>0.5</v>
      </c>
      <c r="MXE212" s="370" t="e">
        <f>10/MXA210</f>
        <v>#DIV/0!</v>
      </c>
      <c r="MXF212" s="371">
        <v>15.38</v>
      </c>
      <c r="MXG212" s="371" t="e">
        <f>MXD212*MXE212*MXF212</f>
        <v>#DIV/0!</v>
      </c>
      <c r="MXH212" s="367" t="s">
        <v>206</v>
      </c>
      <c r="MXI212" s="367"/>
      <c r="MXJ212" s="367"/>
      <c r="MXK212" s="368" t="s">
        <v>168</v>
      </c>
      <c r="MXL212" s="369">
        <v>0.5</v>
      </c>
      <c r="MXM212" s="370" t="e">
        <f>10/MXI210</f>
        <v>#DIV/0!</v>
      </c>
      <c r="MXN212" s="371">
        <v>15.38</v>
      </c>
      <c r="MXO212" s="371" t="e">
        <f>MXL212*MXM212*MXN212</f>
        <v>#DIV/0!</v>
      </c>
      <c r="MXP212" s="367" t="s">
        <v>206</v>
      </c>
      <c r="MXQ212" s="367"/>
      <c r="MXR212" s="367"/>
      <c r="MXS212" s="368" t="s">
        <v>168</v>
      </c>
      <c r="MXT212" s="369">
        <v>0.5</v>
      </c>
      <c r="MXU212" s="370" t="e">
        <f>10/MXQ210</f>
        <v>#DIV/0!</v>
      </c>
      <c r="MXV212" s="371">
        <v>15.38</v>
      </c>
      <c r="MXW212" s="371" t="e">
        <f>MXT212*MXU212*MXV212</f>
        <v>#DIV/0!</v>
      </c>
      <c r="MXX212" s="367" t="s">
        <v>206</v>
      </c>
      <c r="MXY212" s="367"/>
      <c r="MXZ212" s="367"/>
      <c r="MYA212" s="368" t="s">
        <v>168</v>
      </c>
      <c r="MYB212" s="369">
        <v>0.5</v>
      </c>
      <c r="MYC212" s="370" t="e">
        <f>10/MXY210</f>
        <v>#DIV/0!</v>
      </c>
      <c r="MYD212" s="371">
        <v>15.38</v>
      </c>
      <c r="MYE212" s="371" t="e">
        <f>MYB212*MYC212*MYD212</f>
        <v>#DIV/0!</v>
      </c>
      <c r="MYF212" s="367" t="s">
        <v>206</v>
      </c>
      <c r="MYG212" s="367"/>
      <c r="MYH212" s="367"/>
      <c r="MYI212" s="368" t="s">
        <v>168</v>
      </c>
      <c r="MYJ212" s="369">
        <v>0.5</v>
      </c>
      <c r="MYK212" s="370" t="e">
        <f>10/MYG210</f>
        <v>#DIV/0!</v>
      </c>
      <c r="MYL212" s="371">
        <v>15.38</v>
      </c>
      <c r="MYM212" s="371" t="e">
        <f>MYJ212*MYK212*MYL212</f>
        <v>#DIV/0!</v>
      </c>
      <c r="MYN212" s="367" t="s">
        <v>206</v>
      </c>
      <c r="MYO212" s="367"/>
      <c r="MYP212" s="367"/>
      <c r="MYQ212" s="368" t="s">
        <v>168</v>
      </c>
      <c r="MYR212" s="369">
        <v>0.5</v>
      </c>
      <c r="MYS212" s="370" t="e">
        <f>10/MYO210</f>
        <v>#DIV/0!</v>
      </c>
      <c r="MYT212" s="371">
        <v>15.38</v>
      </c>
      <c r="MYU212" s="371" t="e">
        <f>MYR212*MYS212*MYT212</f>
        <v>#DIV/0!</v>
      </c>
      <c r="MYV212" s="367" t="s">
        <v>206</v>
      </c>
      <c r="MYW212" s="367"/>
      <c r="MYX212" s="367"/>
      <c r="MYY212" s="368" t="s">
        <v>168</v>
      </c>
      <c r="MYZ212" s="369">
        <v>0.5</v>
      </c>
      <c r="MZA212" s="370" t="e">
        <f>10/MYW210</f>
        <v>#DIV/0!</v>
      </c>
      <c r="MZB212" s="371">
        <v>15.38</v>
      </c>
      <c r="MZC212" s="371" t="e">
        <f>MYZ212*MZA212*MZB212</f>
        <v>#DIV/0!</v>
      </c>
      <c r="MZD212" s="367" t="s">
        <v>206</v>
      </c>
      <c r="MZE212" s="367"/>
      <c r="MZF212" s="367"/>
      <c r="MZG212" s="368" t="s">
        <v>168</v>
      </c>
      <c r="MZH212" s="369">
        <v>0.5</v>
      </c>
      <c r="MZI212" s="370" t="e">
        <f>10/MZE210</f>
        <v>#DIV/0!</v>
      </c>
      <c r="MZJ212" s="371">
        <v>15.38</v>
      </c>
      <c r="MZK212" s="371" t="e">
        <f>MZH212*MZI212*MZJ212</f>
        <v>#DIV/0!</v>
      </c>
      <c r="MZL212" s="367" t="s">
        <v>206</v>
      </c>
      <c r="MZM212" s="367"/>
      <c r="MZN212" s="367"/>
      <c r="MZO212" s="368" t="s">
        <v>168</v>
      </c>
      <c r="MZP212" s="369">
        <v>0.5</v>
      </c>
      <c r="MZQ212" s="370" t="e">
        <f>10/MZM210</f>
        <v>#DIV/0!</v>
      </c>
      <c r="MZR212" s="371">
        <v>15.38</v>
      </c>
      <c r="MZS212" s="371" t="e">
        <f>MZP212*MZQ212*MZR212</f>
        <v>#DIV/0!</v>
      </c>
      <c r="MZT212" s="367" t="s">
        <v>206</v>
      </c>
      <c r="MZU212" s="367"/>
      <c r="MZV212" s="367"/>
      <c r="MZW212" s="368" t="s">
        <v>168</v>
      </c>
      <c r="MZX212" s="369">
        <v>0.5</v>
      </c>
      <c r="MZY212" s="370" t="e">
        <f>10/MZU210</f>
        <v>#DIV/0!</v>
      </c>
      <c r="MZZ212" s="371">
        <v>15.38</v>
      </c>
      <c r="NAA212" s="371" t="e">
        <f>MZX212*MZY212*MZZ212</f>
        <v>#DIV/0!</v>
      </c>
      <c r="NAB212" s="367" t="s">
        <v>206</v>
      </c>
      <c r="NAC212" s="367"/>
      <c r="NAD212" s="367"/>
      <c r="NAE212" s="368" t="s">
        <v>168</v>
      </c>
      <c r="NAF212" s="369">
        <v>0.5</v>
      </c>
      <c r="NAG212" s="370" t="e">
        <f>10/NAC210</f>
        <v>#DIV/0!</v>
      </c>
      <c r="NAH212" s="371">
        <v>15.38</v>
      </c>
      <c r="NAI212" s="371" t="e">
        <f>NAF212*NAG212*NAH212</f>
        <v>#DIV/0!</v>
      </c>
      <c r="NAJ212" s="367" t="s">
        <v>206</v>
      </c>
      <c r="NAK212" s="367"/>
      <c r="NAL212" s="367"/>
      <c r="NAM212" s="368" t="s">
        <v>168</v>
      </c>
      <c r="NAN212" s="369">
        <v>0.5</v>
      </c>
      <c r="NAO212" s="370" t="e">
        <f>10/NAK210</f>
        <v>#DIV/0!</v>
      </c>
      <c r="NAP212" s="371">
        <v>15.38</v>
      </c>
      <c r="NAQ212" s="371" t="e">
        <f>NAN212*NAO212*NAP212</f>
        <v>#DIV/0!</v>
      </c>
      <c r="NAR212" s="367" t="s">
        <v>206</v>
      </c>
      <c r="NAS212" s="367"/>
      <c r="NAT212" s="367"/>
      <c r="NAU212" s="368" t="s">
        <v>168</v>
      </c>
      <c r="NAV212" s="369">
        <v>0.5</v>
      </c>
      <c r="NAW212" s="370" t="e">
        <f>10/NAS210</f>
        <v>#DIV/0!</v>
      </c>
      <c r="NAX212" s="371">
        <v>15.38</v>
      </c>
      <c r="NAY212" s="371" t="e">
        <f>NAV212*NAW212*NAX212</f>
        <v>#DIV/0!</v>
      </c>
      <c r="NAZ212" s="367" t="s">
        <v>206</v>
      </c>
      <c r="NBA212" s="367"/>
      <c r="NBB212" s="367"/>
      <c r="NBC212" s="368" t="s">
        <v>168</v>
      </c>
      <c r="NBD212" s="369">
        <v>0.5</v>
      </c>
      <c r="NBE212" s="370" t="e">
        <f>10/NBA210</f>
        <v>#DIV/0!</v>
      </c>
      <c r="NBF212" s="371">
        <v>15.38</v>
      </c>
      <c r="NBG212" s="371" t="e">
        <f>NBD212*NBE212*NBF212</f>
        <v>#DIV/0!</v>
      </c>
      <c r="NBH212" s="367" t="s">
        <v>206</v>
      </c>
      <c r="NBI212" s="367"/>
      <c r="NBJ212" s="367"/>
      <c r="NBK212" s="368" t="s">
        <v>168</v>
      </c>
      <c r="NBL212" s="369">
        <v>0.5</v>
      </c>
      <c r="NBM212" s="370" t="e">
        <f>10/NBI210</f>
        <v>#DIV/0!</v>
      </c>
      <c r="NBN212" s="371">
        <v>15.38</v>
      </c>
      <c r="NBO212" s="371" t="e">
        <f>NBL212*NBM212*NBN212</f>
        <v>#DIV/0!</v>
      </c>
      <c r="NBP212" s="367" t="s">
        <v>206</v>
      </c>
      <c r="NBQ212" s="367"/>
      <c r="NBR212" s="367"/>
      <c r="NBS212" s="368" t="s">
        <v>168</v>
      </c>
      <c r="NBT212" s="369">
        <v>0.5</v>
      </c>
      <c r="NBU212" s="370" t="e">
        <f>10/NBQ210</f>
        <v>#DIV/0!</v>
      </c>
      <c r="NBV212" s="371">
        <v>15.38</v>
      </c>
      <c r="NBW212" s="371" t="e">
        <f>NBT212*NBU212*NBV212</f>
        <v>#DIV/0!</v>
      </c>
      <c r="NBX212" s="367" t="s">
        <v>206</v>
      </c>
      <c r="NBY212" s="367"/>
      <c r="NBZ212" s="367"/>
      <c r="NCA212" s="368" t="s">
        <v>168</v>
      </c>
      <c r="NCB212" s="369">
        <v>0.5</v>
      </c>
      <c r="NCC212" s="370" t="e">
        <f>10/NBY210</f>
        <v>#DIV/0!</v>
      </c>
      <c r="NCD212" s="371">
        <v>15.38</v>
      </c>
      <c r="NCE212" s="371" t="e">
        <f>NCB212*NCC212*NCD212</f>
        <v>#DIV/0!</v>
      </c>
      <c r="NCF212" s="367" t="s">
        <v>206</v>
      </c>
      <c r="NCG212" s="367"/>
      <c r="NCH212" s="367"/>
      <c r="NCI212" s="368" t="s">
        <v>168</v>
      </c>
      <c r="NCJ212" s="369">
        <v>0.5</v>
      </c>
      <c r="NCK212" s="370" t="e">
        <f>10/NCG210</f>
        <v>#DIV/0!</v>
      </c>
      <c r="NCL212" s="371">
        <v>15.38</v>
      </c>
      <c r="NCM212" s="371" t="e">
        <f>NCJ212*NCK212*NCL212</f>
        <v>#DIV/0!</v>
      </c>
      <c r="NCN212" s="367" t="s">
        <v>206</v>
      </c>
      <c r="NCO212" s="367"/>
      <c r="NCP212" s="367"/>
      <c r="NCQ212" s="368" t="s">
        <v>168</v>
      </c>
      <c r="NCR212" s="369">
        <v>0.5</v>
      </c>
      <c r="NCS212" s="370" t="e">
        <f>10/NCO210</f>
        <v>#DIV/0!</v>
      </c>
      <c r="NCT212" s="371">
        <v>15.38</v>
      </c>
      <c r="NCU212" s="371" t="e">
        <f>NCR212*NCS212*NCT212</f>
        <v>#DIV/0!</v>
      </c>
      <c r="NCV212" s="367" t="s">
        <v>206</v>
      </c>
      <c r="NCW212" s="367"/>
      <c r="NCX212" s="367"/>
      <c r="NCY212" s="368" t="s">
        <v>168</v>
      </c>
      <c r="NCZ212" s="369">
        <v>0.5</v>
      </c>
      <c r="NDA212" s="370" t="e">
        <f>10/NCW210</f>
        <v>#DIV/0!</v>
      </c>
      <c r="NDB212" s="371">
        <v>15.38</v>
      </c>
      <c r="NDC212" s="371" t="e">
        <f>NCZ212*NDA212*NDB212</f>
        <v>#DIV/0!</v>
      </c>
      <c r="NDD212" s="367" t="s">
        <v>206</v>
      </c>
      <c r="NDE212" s="367"/>
      <c r="NDF212" s="367"/>
      <c r="NDG212" s="368" t="s">
        <v>168</v>
      </c>
      <c r="NDH212" s="369">
        <v>0.5</v>
      </c>
      <c r="NDI212" s="370" t="e">
        <f>10/NDE210</f>
        <v>#DIV/0!</v>
      </c>
      <c r="NDJ212" s="371">
        <v>15.38</v>
      </c>
      <c r="NDK212" s="371" t="e">
        <f>NDH212*NDI212*NDJ212</f>
        <v>#DIV/0!</v>
      </c>
      <c r="NDL212" s="367" t="s">
        <v>206</v>
      </c>
      <c r="NDM212" s="367"/>
      <c r="NDN212" s="367"/>
      <c r="NDO212" s="368" t="s">
        <v>168</v>
      </c>
      <c r="NDP212" s="369">
        <v>0.5</v>
      </c>
      <c r="NDQ212" s="370" t="e">
        <f>10/NDM210</f>
        <v>#DIV/0!</v>
      </c>
      <c r="NDR212" s="371">
        <v>15.38</v>
      </c>
      <c r="NDS212" s="371" t="e">
        <f>NDP212*NDQ212*NDR212</f>
        <v>#DIV/0!</v>
      </c>
      <c r="NDT212" s="367" t="s">
        <v>206</v>
      </c>
      <c r="NDU212" s="367"/>
      <c r="NDV212" s="367"/>
      <c r="NDW212" s="368" t="s">
        <v>168</v>
      </c>
      <c r="NDX212" s="369">
        <v>0.5</v>
      </c>
      <c r="NDY212" s="370" t="e">
        <f>10/NDU210</f>
        <v>#DIV/0!</v>
      </c>
      <c r="NDZ212" s="371">
        <v>15.38</v>
      </c>
      <c r="NEA212" s="371" t="e">
        <f>NDX212*NDY212*NDZ212</f>
        <v>#DIV/0!</v>
      </c>
      <c r="NEB212" s="367" t="s">
        <v>206</v>
      </c>
      <c r="NEC212" s="367"/>
      <c r="NED212" s="367"/>
      <c r="NEE212" s="368" t="s">
        <v>168</v>
      </c>
      <c r="NEF212" s="369">
        <v>0.5</v>
      </c>
      <c r="NEG212" s="370" t="e">
        <f>10/NEC210</f>
        <v>#DIV/0!</v>
      </c>
      <c r="NEH212" s="371">
        <v>15.38</v>
      </c>
      <c r="NEI212" s="371" t="e">
        <f>NEF212*NEG212*NEH212</f>
        <v>#DIV/0!</v>
      </c>
      <c r="NEJ212" s="367" t="s">
        <v>206</v>
      </c>
      <c r="NEK212" s="367"/>
      <c r="NEL212" s="367"/>
      <c r="NEM212" s="368" t="s">
        <v>168</v>
      </c>
      <c r="NEN212" s="369">
        <v>0.5</v>
      </c>
      <c r="NEO212" s="370" t="e">
        <f>10/NEK210</f>
        <v>#DIV/0!</v>
      </c>
      <c r="NEP212" s="371">
        <v>15.38</v>
      </c>
      <c r="NEQ212" s="371" t="e">
        <f>NEN212*NEO212*NEP212</f>
        <v>#DIV/0!</v>
      </c>
      <c r="NER212" s="367" t="s">
        <v>206</v>
      </c>
      <c r="NES212" s="367"/>
      <c r="NET212" s="367"/>
      <c r="NEU212" s="368" t="s">
        <v>168</v>
      </c>
      <c r="NEV212" s="369">
        <v>0.5</v>
      </c>
      <c r="NEW212" s="370" t="e">
        <f>10/NES210</f>
        <v>#DIV/0!</v>
      </c>
      <c r="NEX212" s="371">
        <v>15.38</v>
      </c>
      <c r="NEY212" s="371" t="e">
        <f>NEV212*NEW212*NEX212</f>
        <v>#DIV/0!</v>
      </c>
      <c r="NEZ212" s="367" t="s">
        <v>206</v>
      </c>
      <c r="NFA212" s="367"/>
      <c r="NFB212" s="367"/>
      <c r="NFC212" s="368" t="s">
        <v>168</v>
      </c>
      <c r="NFD212" s="369">
        <v>0.5</v>
      </c>
      <c r="NFE212" s="370" t="e">
        <f>10/NFA210</f>
        <v>#DIV/0!</v>
      </c>
      <c r="NFF212" s="371">
        <v>15.38</v>
      </c>
      <c r="NFG212" s="371" t="e">
        <f>NFD212*NFE212*NFF212</f>
        <v>#DIV/0!</v>
      </c>
      <c r="NFH212" s="367" t="s">
        <v>206</v>
      </c>
      <c r="NFI212" s="367"/>
      <c r="NFJ212" s="367"/>
      <c r="NFK212" s="368" t="s">
        <v>168</v>
      </c>
      <c r="NFL212" s="369">
        <v>0.5</v>
      </c>
      <c r="NFM212" s="370" t="e">
        <f>10/NFI210</f>
        <v>#DIV/0!</v>
      </c>
      <c r="NFN212" s="371">
        <v>15.38</v>
      </c>
      <c r="NFO212" s="371" t="e">
        <f>NFL212*NFM212*NFN212</f>
        <v>#DIV/0!</v>
      </c>
      <c r="NFP212" s="367" t="s">
        <v>206</v>
      </c>
      <c r="NFQ212" s="367"/>
      <c r="NFR212" s="367"/>
      <c r="NFS212" s="368" t="s">
        <v>168</v>
      </c>
      <c r="NFT212" s="369">
        <v>0.5</v>
      </c>
      <c r="NFU212" s="370" t="e">
        <f>10/NFQ210</f>
        <v>#DIV/0!</v>
      </c>
      <c r="NFV212" s="371">
        <v>15.38</v>
      </c>
      <c r="NFW212" s="371" t="e">
        <f>NFT212*NFU212*NFV212</f>
        <v>#DIV/0!</v>
      </c>
      <c r="NFX212" s="367" t="s">
        <v>206</v>
      </c>
      <c r="NFY212" s="367"/>
      <c r="NFZ212" s="367"/>
      <c r="NGA212" s="368" t="s">
        <v>168</v>
      </c>
      <c r="NGB212" s="369">
        <v>0.5</v>
      </c>
      <c r="NGC212" s="370" t="e">
        <f>10/NFY210</f>
        <v>#DIV/0!</v>
      </c>
      <c r="NGD212" s="371">
        <v>15.38</v>
      </c>
      <c r="NGE212" s="371" t="e">
        <f>NGB212*NGC212*NGD212</f>
        <v>#DIV/0!</v>
      </c>
      <c r="NGF212" s="367" t="s">
        <v>206</v>
      </c>
      <c r="NGG212" s="367"/>
      <c r="NGH212" s="367"/>
      <c r="NGI212" s="368" t="s">
        <v>168</v>
      </c>
      <c r="NGJ212" s="369">
        <v>0.5</v>
      </c>
      <c r="NGK212" s="370" t="e">
        <f>10/NGG210</f>
        <v>#DIV/0!</v>
      </c>
      <c r="NGL212" s="371">
        <v>15.38</v>
      </c>
      <c r="NGM212" s="371" t="e">
        <f>NGJ212*NGK212*NGL212</f>
        <v>#DIV/0!</v>
      </c>
      <c r="NGN212" s="367" t="s">
        <v>206</v>
      </c>
      <c r="NGO212" s="367"/>
      <c r="NGP212" s="367"/>
      <c r="NGQ212" s="368" t="s">
        <v>168</v>
      </c>
      <c r="NGR212" s="369">
        <v>0.5</v>
      </c>
      <c r="NGS212" s="370" t="e">
        <f>10/NGO210</f>
        <v>#DIV/0!</v>
      </c>
      <c r="NGT212" s="371">
        <v>15.38</v>
      </c>
      <c r="NGU212" s="371" t="e">
        <f>NGR212*NGS212*NGT212</f>
        <v>#DIV/0!</v>
      </c>
      <c r="NGV212" s="367" t="s">
        <v>206</v>
      </c>
      <c r="NGW212" s="367"/>
      <c r="NGX212" s="367"/>
      <c r="NGY212" s="368" t="s">
        <v>168</v>
      </c>
      <c r="NGZ212" s="369">
        <v>0.5</v>
      </c>
      <c r="NHA212" s="370" t="e">
        <f>10/NGW210</f>
        <v>#DIV/0!</v>
      </c>
      <c r="NHB212" s="371">
        <v>15.38</v>
      </c>
      <c r="NHC212" s="371" t="e">
        <f>NGZ212*NHA212*NHB212</f>
        <v>#DIV/0!</v>
      </c>
      <c r="NHD212" s="367" t="s">
        <v>206</v>
      </c>
      <c r="NHE212" s="367"/>
      <c r="NHF212" s="367"/>
      <c r="NHG212" s="368" t="s">
        <v>168</v>
      </c>
      <c r="NHH212" s="369">
        <v>0.5</v>
      </c>
      <c r="NHI212" s="370" t="e">
        <f>10/NHE210</f>
        <v>#DIV/0!</v>
      </c>
      <c r="NHJ212" s="371">
        <v>15.38</v>
      </c>
      <c r="NHK212" s="371" t="e">
        <f>NHH212*NHI212*NHJ212</f>
        <v>#DIV/0!</v>
      </c>
      <c r="NHL212" s="367" t="s">
        <v>206</v>
      </c>
      <c r="NHM212" s="367"/>
      <c r="NHN212" s="367"/>
      <c r="NHO212" s="368" t="s">
        <v>168</v>
      </c>
      <c r="NHP212" s="369">
        <v>0.5</v>
      </c>
      <c r="NHQ212" s="370" t="e">
        <f>10/NHM210</f>
        <v>#DIV/0!</v>
      </c>
      <c r="NHR212" s="371">
        <v>15.38</v>
      </c>
      <c r="NHS212" s="371" t="e">
        <f>NHP212*NHQ212*NHR212</f>
        <v>#DIV/0!</v>
      </c>
      <c r="NHT212" s="367" t="s">
        <v>206</v>
      </c>
      <c r="NHU212" s="367"/>
      <c r="NHV212" s="367"/>
      <c r="NHW212" s="368" t="s">
        <v>168</v>
      </c>
      <c r="NHX212" s="369">
        <v>0.5</v>
      </c>
      <c r="NHY212" s="370" t="e">
        <f>10/NHU210</f>
        <v>#DIV/0!</v>
      </c>
      <c r="NHZ212" s="371">
        <v>15.38</v>
      </c>
      <c r="NIA212" s="371" t="e">
        <f>NHX212*NHY212*NHZ212</f>
        <v>#DIV/0!</v>
      </c>
      <c r="NIB212" s="367" t="s">
        <v>206</v>
      </c>
      <c r="NIC212" s="367"/>
      <c r="NID212" s="367"/>
      <c r="NIE212" s="368" t="s">
        <v>168</v>
      </c>
      <c r="NIF212" s="369">
        <v>0.5</v>
      </c>
      <c r="NIG212" s="370" t="e">
        <f>10/NIC210</f>
        <v>#DIV/0!</v>
      </c>
      <c r="NIH212" s="371">
        <v>15.38</v>
      </c>
      <c r="NII212" s="371" t="e">
        <f>NIF212*NIG212*NIH212</f>
        <v>#DIV/0!</v>
      </c>
      <c r="NIJ212" s="367" t="s">
        <v>206</v>
      </c>
      <c r="NIK212" s="367"/>
      <c r="NIL212" s="367"/>
      <c r="NIM212" s="368" t="s">
        <v>168</v>
      </c>
      <c r="NIN212" s="369">
        <v>0.5</v>
      </c>
      <c r="NIO212" s="370" t="e">
        <f>10/NIK210</f>
        <v>#DIV/0!</v>
      </c>
      <c r="NIP212" s="371">
        <v>15.38</v>
      </c>
      <c r="NIQ212" s="371" t="e">
        <f>NIN212*NIO212*NIP212</f>
        <v>#DIV/0!</v>
      </c>
      <c r="NIR212" s="367" t="s">
        <v>206</v>
      </c>
      <c r="NIS212" s="367"/>
      <c r="NIT212" s="367"/>
      <c r="NIU212" s="368" t="s">
        <v>168</v>
      </c>
      <c r="NIV212" s="369">
        <v>0.5</v>
      </c>
      <c r="NIW212" s="370" t="e">
        <f>10/NIS210</f>
        <v>#DIV/0!</v>
      </c>
      <c r="NIX212" s="371">
        <v>15.38</v>
      </c>
      <c r="NIY212" s="371" t="e">
        <f>NIV212*NIW212*NIX212</f>
        <v>#DIV/0!</v>
      </c>
      <c r="NIZ212" s="367" t="s">
        <v>206</v>
      </c>
      <c r="NJA212" s="367"/>
      <c r="NJB212" s="367"/>
      <c r="NJC212" s="368" t="s">
        <v>168</v>
      </c>
      <c r="NJD212" s="369">
        <v>0.5</v>
      </c>
      <c r="NJE212" s="370" t="e">
        <f>10/NJA210</f>
        <v>#DIV/0!</v>
      </c>
      <c r="NJF212" s="371">
        <v>15.38</v>
      </c>
      <c r="NJG212" s="371" t="e">
        <f>NJD212*NJE212*NJF212</f>
        <v>#DIV/0!</v>
      </c>
      <c r="NJH212" s="367" t="s">
        <v>206</v>
      </c>
      <c r="NJI212" s="367"/>
      <c r="NJJ212" s="367"/>
      <c r="NJK212" s="368" t="s">
        <v>168</v>
      </c>
      <c r="NJL212" s="369">
        <v>0.5</v>
      </c>
      <c r="NJM212" s="370" t="e">
        <f>10/NJI210</f>
        <v>#DIV/0!</v>
      </c>
      <c r="NJN212" s="371">
        <v>15.38</v>
      </c>
      <c r="NJO212" s="371" t="e">
        <f>NJL212*NJM212*NJN212</f>
        <v>#DIV/0!</v>
      </c>
      <c r="NJP212" s="367" t="s">
        <v>206</v>
      </c>
      <c r="NJQ212" s="367"/>
      <c r="NJR212" s="367"/>
      <c r="NJS212" s="368" t="s">
        <v>168</v>
      </c>
      <c r="NJT212" s="369">
        <v>0.5</v>
      </c>
      <c r="NJU212" s="370" t="e">
        <f>10/NJQ210</f>
        <v>#DIV/0!</v>
      </c>
      <c r="NJV212" s="371">
        <v>15.38</v>
      </c>
      <c r="NJW212" s="371" t="e">
        <f>NJT212*NJU212*NJV212</f>
        <v>#DIV/0!</v>
      </c>
      <c r="NJX212" s="367" t="s">
        <v>206</v>
      </c>
      <c r="NJY212" s="367"/>
      <c r="NJZ212" s="367"/>
      <c r="NKA212" s="368" t="s">
        <v>168</v>
      </c>
      <c r="NKB212" s="369">
        <v>0.5</v>
      </c>
      <c r="NKC212" s="370" t="e">
        <f>10/NJY210</f>
        <v>#DIV/0!</v>
      </c>
      <c r="NKD212" s="371">
        <v>15.38</v>
      </c>
      <c r="NKE212" s="371" t="e">
        <f>NKB212*NKC212*NKD212</f>
        <v>#DIV/0!</v>
      </c>
      <c r="NKF212" s="367" t="s">
        <v>206</v>
      </c>
      <c r="NKG212" s="367"/>
      <c r="NKH212" s="367"/>
      <c r="NKI212" s="368" t="s">
        <v>168</v>
      </c>
      <c r="NKJ212" s="369">
        <v>0.5</v>
      </c>
      <c r="NKK212" s="370" t="e">
        <f>10/NKG210</f>
        <v>#DIV/0!</v>
      </c>
      <c r="NKL212" s="371">
        <v>15.38</v>
      </c>
      <c r="NKM212" s="371" t="e">
        <f>NKJ212*NKK212*NKL212</f>
        <v>#DIV/0!</v>
      </c>
      <c r="NKN212" s="367" t="s">
        <v>206</v>
      </c>
      <c r="NKO212" s="367"/>
      <c r="NKP212" s="367"/>
      <c r="NKQ212" s="368" t="s">
        <v>168</v>
      </c>
      <c r="NKR212" s="369">
        <v>0.5</v>
      </c>
      <c r="NKS212" s="370" t="e">
        <f>10/NKO210</f>
        <v>#DIV/0!</v>
      </c>
      <c r="NKT212" s="371">
        <v>15.38</v>
      </c>
      <c r="NKU212" s="371" t="e">
        <f>NKR212*NKS212*NKT212</f>
        <v>#DIV/0!</v>
      </c>
      <c r="NKV212" s="367" t="s">
        <v>206</v>
      </c>
      <c r="NKW212" s="367"/>
      <c r="NKX212" s="367"/>
      <c r="NKY212" s="368" t="s">
        <v>168</v>
      </c>
      <c r="NKZ212" s="369">
        <v>0.5</v>
      </c>
      <c r="NLA212" s="370" t="e">
        <f>10/NKW210</f>
        <v>#DIV/0!</v>
      </c>
      <c r="NLB212" s="371">
        <v>15.38</v>
      </c>
      <c r="NLC212" s="371" t="e">
        <f>NKZ212*NLA212*NLB212</f>
        <v>#DIV/0!</v>
      </c>
      <c r="NLD212" s="367" t="s">
        <v>206</v>
      </c>
      <c r="NLE212" s="367"/>
      <c r="NLF212" s="367"/>
      <c r="NLG212" s="368" t="s">
        <v>168</v>
      </c>
      <c r="NLH212" s="369">
        <v>0.5</v>
      </c>
      <c r="NLI212" s="370" t="e">
        <f>10/NLE210</f>
        <v>#DIV/0!</v>
      </c>
      <c r="NLJ212" s="371">
        <v>15.38</v>
      </c>
      <c r="NLK212" s="371" t="e">
        <f>NLH212*NLI212*NLJ212</f>
        <v>#DIV/0!</v>
      </c>
      <c r="NLL212" s="367" t="s">
        <v>206</v>
      </c>
      <c r="NLM212" s="367"/>
      <c r="NLN212" s="367"/>
      <c r="NLO212" s="368" t="s">
        <v>168</v>
      </c>
      <c r="NLP212" s="369">
        <v>0.5</v>
      </c>
      <c r="NLQ212" s="370" t="e">
        <f>10/NLM210</f>
        <v>#DIV/0!</v>
      </c>
      <c r="NLR212" s="371">
        <v>15.38</v>
      </c>
      <c r="NLS212" s="371" t="e">
        <f>NLP212*NLQ212*NLR212</f>
        <v>#DIV/0!</v>
      </c>
      <c r="NLT212" s="367" t="s">
        <v>206</v>
      </c>
      <c r="NLU212" s="367"/>
      <c r="NLV212" s="367"/>
      <c r="NLW212" s="368" t="s">
        <v>168</v>
      </c>
      <c r="NLX212" s="369">
        <v>0.5</v>
      </c>
      <c r="NLY212" s="370" t="e">
        <f>10/NLU210</f>
        <v>#DIV/0!</v>
      </c>
      <c r="NLZ212" s="371">
        <v>15.38</v>
      </c>
      <c r="NMA212" s="371" t="e">
        <f>NLX212*NLY212*NLZ212</f>
        <v>#DIV/0!</v>
      </c>
      <c r="NMB212" s="367" t="s">
        <v>206</v>
      </c>
      <c r="NMC212" s="367"/>
      <c r="NMD212" s="367"/>
      <c r="NME212" s="368" t="s">
        <v>168</v>
      </c>
      <c r="NMF212" s="369">
        <v>0.5</v>
      </c>
      <c r="NMG212" s="370" t="e">
        <f>10/NMC210</f>
        <v>#DIV/0!</v>
      </c>
      <c r="NMH212" s="371">
        <v>15.38</v>
      </c>
      <c r="NMI212" s="371" t="e">
        <f>NMF212*NMG212*NMH212</f>
        <v>#DIV/0!</v>
      </c>
      <c r="NMJ212" s="367" t="s">
        <v>206</v>
      </c>
      <c r="NMK212" s="367"/>
      <c r="NML212" s="367"/>
      <c r="NMM212" s="368" t="s">
        <v>168</v>
      </c>
      <c r="NMN212" s="369">
        <v>0.5</v>
      </c>
      <c r="NMO212" s="370" t="e">
        <f>10/NMK210</f>
        <v>#DIV/0!</v>
      </c>
      <c r="NMP212" s="371">
        <v>15.38</v>
      </c>
      <c r="NMQ212" s="371" t="e">
        <f>NMN212*NMO212*NMP212</f>
        <v>#DIV/0!</v>
      </c>
      <c r="NMR212" s="367" t="s">
        <v>206</v>
      </c>
      <c r="NMS212" s="367"/>
      <c r="NMT212" s="367"/>
      <c r="NMU212" s="368" t="s">
        <v>168</v>
      </c>
      <c r="NMV212" s="369">
        <v>0.5</v>
      </c>
      <c r="NMW212" s="370" t="e">
        <f>10/NMS210</f>
        <v>#DIV/0!</v>
      </c>
      <c r="NMX212" s="371">
        <v>15.38</v>
      </c>
      <c r="NMY212" s="371" t="e">
        <f>NMV212*NMW212*NMX212</f>
        <v>#DIV/0!</v>
      </c>
      <c r="NMZ212" s="367" t="s">
        <v>206</v>
      </c>
      <c r="NNA212" s="367"/>
      <c r="NNB212" s="367"/>
      <c r="NNC212" s="368" t="s">
        <v>168</v>
      </c>
      <c r="NND212" s="369">
        <v>0.5</v>
      </c>
      <c r="NNE212" s="370" t="e">
        <f>10/NNA210</f>
        <v>#DIV/0!</v>
      </c>
      <c r="NNF212" s="371">
        <v>15.38</v>
      </c>
      <c r="NNG212" s="371" t="e">
        <f>NND212*NNE212*NNF212</f>
        <v>#DIV/0!</v>
      </c>
      <c r="NNH212" s="367" t="s">
        <v>206</v>
      </c>
      <c r="NNI212" s="367"/>
      <c r="NNJ212" s="367"/>
      <c r="NNK212" s="368" t="s">
        <v>168</v>
      </c>
      <c r="NNL212" s="369">
        <v>0.5</v>
      </c>
      <c r="NNM212" s="370" t="e">
        <f>10/NNI210</f>
        <v>#DIV/0!</v>
      </c>
      <c r="NNN212" s="371">
        <v>15.38</v>
      </c>
      <c r="NNO212" s="371" t="e">
        <f>NNL212*NNM212*NNN212</f>
        <v>#DIV/0!</v>
      </c>
      <c r="NNP212" s="367" t="s">
        <v>206</v>
      </c>
      <c r="NNQ212" s="367"/>
      <c r="NNR212" s="367"/>
      <c r="NNS212" s="368" t="s">
        <v>168</v>
      </c>
      <c r="NNT212" s="369">
        <v>0.5</v>
      </c>
      <c r="NNU212" s="370" t="e">
        <f>10/NNQ210</f>
        <v>#DIV/0!</v>
      </c>
      <c r="NNV212" s="371">
        <v>15.38</v>
      </c>
      <c r="NNW212" s="371" t="e">
        <f>NNT212*NNU212*NNV212</f>
        <v>#DIV/0!</v>
      </c>
      <c r="NNX212" s="367" t="s">
        <v>206</v>
      </c>
      <c r="NNY212" s="367"/>
      <c r="NNZ212" s="367"/>
      <c r="NOA212" s="368" t="s">
        <v>168</v>
      </c>
      <c r="NOB212" s="369">
        <v>0.5</v>
      </c>
      <c r="NOC212" s="370" t="e">
        <f>10/NNY210</f>
        <v>#DIV/0!</v>
      </c>
      <c r="NOD212" s="371">
        <v>15.38</v>
      </c>
      <c r="NOE212" s="371" t="e">
        <f>NOB212*NOC212*NOD212</f>
        <v>#DIV/0!</v>
      </c>
      <c r="NOF212" s="367" t="s">
        <v>206</v>
      </c>
      <c r="NOG212" s="367"/>
      <c r="NOH212" s="367"/>
      <c r="NOI212" s="368" t="s">
        <v>168</v>
      </c>
      <c r="NOJ212" s="369">
        <v>0.5</v>
      </c>
      <c r="NOK212" s="370" t="e">
        <f>10/NOG210</f>
        <v>#DIV/0!</v>
      </c>
      <c r="NOL212" s="371">
        <v>15.38</v>
      </c>
      <c r="NOM212" s="371" t="e">
        <f>NOJ212*NOK212*NOL212</f>
        <v>#DIV/0!</v>
      </c>
      <c r="NON212" s="367" t="s">
        <v>206</v>
      </c>
      <c r="NOO212" s="367"/>
      <c r="NOP212" s="367"/>
      <c r="NOQ212" s="368" t="s">
        <v>168</v>
      </c>
      <c r="NOR212" s="369">
        <v>0.5</v>
      </c>
      <c r="NOS212" s="370" t="e">
        <f>10/NOO210</f>
        <v>#DIV/0!</v>
      </c>
      <c r="NOT212" s="371">
        <v>15.38</v>
      </c>
      <c r="NOU212" s="371" t="e">
        <f>NOR212*NOS212*NOT212</f>
        <v>#DIV/0!</v>
      </c>
      <c r="NOV212" s="367" t="s">
        <v>206</v>
      </c>
      <c r="NOW212" s="367"/>
      <c r="NOX212" s="367"/>
      <c r="NOY212" s="368" t="s">
        <v>168</v>
      </c>
      <c r="NOZ212" s="369">
        <v>0.5</v>
      </c>
      <c r="NPA212" s="370" t="e">
        <f>10/NOW210</f>
        <v>#DIV/0!</v>
      </c>
      <c r="NPB212" s="371">
        <v>15.38</v>
      </c>
      <c r="NPC212" s="371" t="e">
        <f>NOZ212*NPA212*NPB212</f>
        <v>#DIV/0!</v>
      </c>
      <c r="NPD212" s="367" t="s">
        <v>206</v>
      </c>
      <c r="NPE212" s="367"/>
      <c r="NPF212" s="367"/>
      <c r="NPG212" s="368" t="s">
        <v>168</v>
      </c>
      <c r="NPH212" s="369">
        <v>0.5</v>
      </c>
      <c r="NPI212" s="370" t="e">
        <f>10/NPE210</f>
        <v>#DIV/0!</v>
      </c>
      <c r="NPJ212" s="371">
        <v>15.38</v>
      </c>
      <c r="NPK212" s="371" t="e">
        <f>NPH212*NPI212*NPJ212</f>
        <v>#DIV/0!</v>
      </c>
      <c r="NPL212" s="367" t="s">
        <v>206</v>
      </c>
      <c r="NPM212" s="367"/>
      <c r="NPN212" s="367"/>
      <c r="NPO212" s="368" t="s">
        <v>168</v>
      </c>
      <c r="NPP212" s="369">
        <v>0.5</v>
      </c>
      <c r="NPQ212" s="370" t="e">
        <f>10/NPM210</f>
        <v>#DIV/0!</v>
      </c>
      <c r="NPR212" s="371">
        <v>15.38</v>
      </c>
      <c r="NPS212" s="371" t="e">
        <f>NPP212*NPQ212*NPR212</f>
        <v>#DIV/0!</v>
      </c>
      <c r="NPT212" s="367" t="s">
        <v>206</v>
      </c>
      <c r="NPU212" s="367"/>
      <c r="NPV212" s="367"/>
      <c r="NPW212" s="368" t="s">
        <v>168</v>
      </c>
      <c r="NPX212" s="369">
        <v>0.5</v>
      </c>
      <c r="NPY212" s="370" t="e">
        <f>10/NPU210</f>
        <v>#DIV/0!</v>
      </c>
      <c r="NPZ212" s="371">
        <v>15.38</v>
      </c>
      <c r="NQA212" s="371" t="e">
        <f>NPX212*NPY212*NPZ212</f>
        <v>#DIV/0!</v>
      </c>
      <c r="NQB212" s="367" t="s">
        <v>206</v>
      </c>
      <c r="NQC212" s="367"/>
      <c r="NQD212" s="367"/>
      <c r="NQE212" s="368" t="s">
        <v>168</v>
      </c>
      <c r="NQF212" s="369">
        <v>0.5</v>
      </c>
      <c r="NQG212" s="370" t="e">
        <f>10/NQC210</f>
        <v>#DIV/0!</v>
      </c>
      <c r="NQH212" s="371">
        <v>15.38</v>
      </c>
      <c r="NQI212" s="371" t="e">
        <f>NQF212*NQG212*NQH212</f>
        <v>#DIV/0!</v>
      </c>
      <c r="NQJ212" s="367" t="s">
        <v>206</v>
      </c>
      <c r="NQK212" s="367"/>
      <c r="NQL212" s="367"/>
      <c r="NQM212" s="368" t="s">
        <v>168</v>
      </c>
      <c r="NQN212" s="369">
        <v>0.5</v>
      </c>
      <c r="NQO212" s="370" t="e">
        <f>10/NQK210</f>
        <v>#DIV/0!</v>
      </c>
      <c r="NQP212" s="371">
        <v>15.38</v>
      </c>
      <c r="NQQ212" s="371" t="e">
        <f>NQN212*NQO212*NQP212</f>
        <v>#DIV/0!</v>
      </c>
      <c r="NQR212" s="367" t="s">
        <v>206</v>
      </c>
      <c r="NQS212" s="367"/>
      <c r="NQT212" s="367"/>
      <c r="NQU212" s="368" t="s">
        <v>168</v>
      </c>
      <c r="NQV212" s="369">
        <v>0.5</v>
      </c>
      <c r="NQW212" s="370" t="e">
        <f>10/NQS210</f>
        <v>#DIV/0!</v>
      </c>
      <c r="NQX212" s="371">
        <v>15.38</v>
      </c>
      <c r="NQY212" s="371" t="e">
        <f>NQV212*NQW212*NQX212</f>
        <v>#DIV/0!</v>
      </c>
      <c r="NQZ212" s="367" t="s">
        <v>206</v>
      </c>
      <c r="NRA212" s="367"/>
      <c r="NRB212" s="367"/>
      <c r="NRC212" s="368" t="s">
        <v>168</v>
      </c>
      <c r="NRD212" s="369">
        <v>0.5</v>
      </c>
      <c r="NRE212" s="370" t="e">
        <f>10/NRA210</f>
        <v>#DIV/0!</v>
      </c>
      <c r="NRF212" s="371">
        <v>15.38</v>
      </c>
      <c r="NRG212" s="371" t="e">
        <f>NRD212*NRE212*NRF212</f>
        <v>#DIV/0!</v>
      </c>
      <c r="NRH212" s="367" t="s">
        <v>206</v>
      </c>
      <c r="NRI212" s="367"/>
      <c r="NRJ212" s="367"/>
      <c r="NRK212" s="368" t="s">
        <v>168</v>
      </c>
      <c r="NRL212" s="369">
        <v>0.5</v>
      </c>
      <c r="NRM212" s="370" t="e">
        <f>10/NRI210</f>
        <v>#DIV/0!</v>
      </c>
      <c r="NRN212" s="371">
        <v>15.38</v>
      </c>
      <c r="NRO212" s="371" t="e">
        <f>NRL212*NRM212*NRN212</f>
        <v>#DIV/0!</v>
      </c>
      <c r="NRP212" s="367" t="s">
        <v>206</v>
      </c>
      <c r="NRQ212" s="367"/>
      <c r="NRR212" s="367"/>
      <c r="NRS212" s="368" t="s">
        <v>168</v>
      </c>
      <c r="NRT212" s="369">
        <v>0.5</v>
      </c>
      <c r="NRU212" s="370" t="e">
        <f>10/NRQ210</f>
        <v>#DIV/0!</v>
      </c>
      <c r="NRV212" s="371">
        <v>15.38</v>
      </c>
      <c r="NRW212" s="371" t="e">
        <f>NRT212*NRU212*NRV212</f>
        <v>#DIV/0!</v>
      </c>
      <c r="NRX212" s="367" t="s">
        <v>206</v>
      </c>
      <c r="NRY212" s="367"/>
      <c r="NRZ212" s="367"/>
      <c r="NSA212" s="368" t="s">
        <v>168</v>
      </c>
      <c r="NSB212" s="369">
        <v>0.5</v>
      </c>
      <c r="NSC212" s="370" t="e">
        <f>10/NRY210</f>
        <v>#DIV/0!</v>
      </c>
      <c r="NSD212" s="371">
        <v>15.38</v>
      </c>
      <c r="NSE212" s="371" t="e">
        <f>NSB212*NSC212*NSD212</f>
        <v>#DIV/0!</v>
      </c>
      <c r="NSF212" s="367" t="s">
        <v>206</v>
      </c>
      <c r="NSG212" s="367"/>
      <c r="NSH212" s="367"/>
      <c r="NSI212" s="368" t="s">
        <v>168</v>
      </c>
      <c r="NSJ212" s="369">
        <v>0.5</v>
      </c>
      <c r="NSK212" s="370" t="e">
        <f>10/NSG210</f>
        <v>#DIV/0!</v>
      </c>
      <c r="NSL212" s="371">
        <v>15.38</v>
      </c>
      <c r="NSM212" s="371" t="e">
        <f>NSJ212*NSK212*NSL212</f>
        <v>#DIV/0!</v>
      </c>
      <c r="NSN212" s="367" t="s">
        <v>206</v>
      </c>
      <c r="NSO212" s="367"/>
      <c r="NSP212" s="367"/>
      <c r="NSQ212" s="368" t="s">
        <v>168</v>
      </c>
      <c r="NSR212" s="369">
        <v>0.5</v>
      </c>
      <c r="NSS212" s="370" t="e">
        <f>10/NSO210</f>
        <v>#DIV/0!</v>
      </c>
      <c r="NST212" s="371">
        <v>15.38</v>
      </c>
      <c r="NSU212" s="371" t="e">
        <f>NSR212*NSS212*NST212</f>
        <v>#DIV/0!</v>
      </c>
      <c r="NSV212" s="367" t="s">
        <v>206</v>
      </c>
      <c r="NSW212" s="367"/>
      <c r="NSX212" s="367"/>
      <c r="NSY212" s="368" t="s">
        <v>168</v>
      </c>
      <c r="NSZ212" s="369">
        <v>0.5</v>
      </c>
      <c r="NTA212" s="370" t="e">
        <f>10/NSW210</f>
        <v>#DIV/0!</v>
      </c>
      <c r="NTB212" s="371">
        <v>15.38</v>
      </c>
      <c r="NTC212" s="371" t="e">
        <f>NSZ212*NTA212*NTB212</f>
        <v>#DIV/0!</v>
      </c>
      <c r="NTD212" s="367" t="s">
        <v>206</v>
      </c>
      <c r="NTE212" s="367"/>
      <c r="NTF212" s="367"/>
      <c r="NTG212" s="368" t="s">
        <v>168</v>
      </c>
      <c r="NTH212" s="369">
        <v>0.5</v>
      </c>
      <c r="NTI212" s="370" t="e">
        <f>10/NTE210</f>
        <v>#DIV/0!</v>
      </c>
      <c r="NTJ212" s="371">
        <v>15.38</v>
      </c>
      <c r="NTK212" s="371" t="e">
        <f>NTH212*NTI212*NTJ212</f>
        <v>#DIV/0!</v>
      </c>
      <c r="NTL212" s="367" t="s">
        <v>206</v>
      </c>
      <c r="NTM212" s="367"/>
      <c r="NTN212" s="367"/>
      <c r="NTO212" s="368" t="s">
        <v>168</v>
      </c>
      <c r="NTP212" s="369">
        <v>0.5</v>
      </c>
      <c r="NTQ212" s="370" t="e">
        <f>10/NTM210</f>
        <v>#DIV/0!</v>
      </c>
      <c r="NTR212" s="371">
        <v>15.38</v>
      </c>
      <c r="NTS212" s="371" t="e">
        <f>NTP212*NTQ212*NTR212</f>
        <v>#DIV/0!</v>
      </c>
      <c r="NTT212" s="367" t="s">
        <v>206</v>
      </c>
      <c r="NTU212" s="367"/>
      <c r="NTV212" s="367"/>
      <c r="NTW212" s="368" t="s">
        <v>168</v>
      </c>
      <c r="NTX212" s="369">
        <v>0.5</v>
      </c>
      <c r="NTY212" s="370" t="e">
        <f>10/NTU210</f>
        <v>#DIV/0!</v>
      </c>
      <c r="NTZ212" s="371">
        <v>15.38</v>
      </c>
      <c r="NUA212" s="371" t="e">
        <f>NTX212*NTY212*NTZ212</f>
        <v>#DIV/0!</v>
      </c>
      <c r="NUB212" s="367" t="s">
        <v>206</v>
      </c>
      <c r="NUC212" s="367"/>
      <c r="NUD212" s="367"/>
      <c r="NUE212" s="368" t="s">
        <v>168</v>
      </c>
      <c r="NUF212" s="369">
        <v>0.5</v>
      </c>
      <c r="NUG212" s="370" t="e">
        <f>10/NUC210</f>
        <v>#DIV/0!</v>
      </c>
      <c r="NUH212" s="371">
        <v>15.38</v>
      </c>
      <c r="NUI212" s="371" t="e">
        <f>NUF212*NUG212*NUH212</f>
        <v>#DIV/0!</v>
      </c>
      <c r="NUJ212" s="367" t="s">
        <v>206</v>
      </c>
      <c r="NUK212" s="367"/>
      <c r="NUL212" s="367"/>
      <c r="NUM212" s="368" t="s">
        <v>168</v>
      </c>
      <c r="NUN212" s="369">
        <v>0.5</v>
      </c>
      <c r="NUO212" s="370" t="e">
        <f>10/NUK210</f>
        <v>#DIV/0!</v>
      </c>
      <c r="NUP212" s="371">
        <v>15.38</v>
      </c>
      <c r="NUQ212" s="371" t="e">
        <f>NUN212*NUO212*NUP212</f>
        <v>#DIV/0!</v>
      </c>
      <c r="NUR212" s="367" t="s">
        <v>206</v>
      </c>
      <c r="NUS212" s="367"/>
      <c r="NUT212" s="367"/>
      <c r="NUU212" s="368" t="s">
        <v>168</v>
      </c>
      <c r="NUV212" s="369">
        <v>0.5</v>
      </c>
      <c r="NUW212" s="370" t="e">
        <f>10/NUS210</f>
        <v>#DIV/0!</v>
      </c>
      <c r="NUX212" s="371">
        <v>15.38</v>
      </c>
      <c r="NUY212" s="371" t="e">
        <f>NUV212*NUW212*NUX212</f>
        <v>#DIV/0!</v>
      </c>
      <c r="NUZ212" s="367" t="s">
        <v>206</v>
      </c>
      <c r="NVA212" s="367"/>
      <c r="NVB212" s="367"/>
      <c r="NVC212" s="368" t="s">
        <v>168</v>
      </c>
      <c r="NVD212" s="369">
        <v>0.5</v>
      </c>
      <c r="NVE212" s="370" t="e">
        <f>10/NVA210</f>
        <v>#DIV/0!</v>
      </c>
      <c r="NVF212" s="371">
        <v>15.38</v>
      </c>
      <c r="NVG212" s="371" t="e">
        <f>NVD212*NVE212*NVF212</f>
        <v>#DIV/0!</v>
      </c>
      <c r="NVH212" s="367" t="s">
        <v>206</v>
      </c>
      <c r="NVI212" s="367"/>
      <c r="NVJ212" s="367"/>
      <c r="NVK212" s="368" t="s">
        <v>168</v>
      </c>
      <c r="NVL212" s="369">
        <v>0.5</v>
      </c>
      <c r="NVM212" s="370" t="e">
        <f>10/NVI210</f>
        <v>#DIV/0!</v>
      </c>
      <c r="NVN212" s="371">
        <v>15.38</v>
      </c>
      <c r="NVO212" s="371" t="e">
        <f>NVL212*NVM212*NVN212</f>
        <v>#DIV/0!</v>
      </c>
      <c r="NVP212" s="367" t="s">
        <v>206</v>
      </c>
      <c r="NVQ212" s="367"/>
      <c r="NVR212" s="367"/>
      <c r="NVS212" s="368" t="s">
        <v>168</v>
      </c>
      <c r="NVT212" s="369">
        <v>0.5</v>
      </c>
      <c r="NVU212" s="370" t="e">
        <f>10/NVQ210</f>
        <v>#DIV/0!</v>
      </c>
      <c r="NVV212" s="371">
        <v>15.38</v>
      </c>
      <c r="NVW212" s="371" t="e">
        <f>NVT212*NVU212*NVV212</f>
        <v>#DIV/0!</v>
      </c>
      <c r="NVX212" s="367" t="s">
        <v>206</v>
      </c>
      <c r="NVY212" s="367"/>
      <c r="NVZ212" s="367"/>
      <c r="NWA212" s="368" t="s">
        <v>168</v>
      </c>
      <c r="NWB212" s="369">
        <v>0.5</v>
      </c>
      <c r="NWC212" s="370" t="e">
        <f>10/NVY210</f>
        <v>#DIV/0!</v>
      </c>
      <c r="NWD212" s="371">
        <v>15.38</v>
      </c>
      <c r="NWE212" s="371" t="e">
        <f>NWB212*NWC212*NWD212</f>
        <v>#DIV/0!</v>
      </c>
      <c r="NWF212" s="367" t="s">
        <v>206</v>
      </c>
      <c r="NWG212" s="367"/>
      <c r="NWH212" s="367"/>
      <c r="NWI212" s="368" t="s">
        <v>168</v>
      </c>
      <c r="NWJ212" s="369">
        <v>0.5</v>
      </c>
      <c r="NWK212" s="370" t="e">
        <f>10/NWG210</f>
        <v>#DIV/0!</v>
      </c>
      <c r="NWL212" s="371">
        <v>15.38</v>
      </c>
      <c r="NWM212" s="371" t="e">
        <f>NWJ212*NWK212*NWL212</f>
        <v>#DIV/0!</v>
      </c>
      <c r="NWN212" s="367" t="s">
        <v>206</v>
      </c>
      <c r="NWO212" s="367"/>
      <c r="NWP212" s="367"/>
      <c r="NWQ212" s="368" t="s">
        <v>168</v>
      </c>
      <c r="NWR212" s="369">
        <v>0.5</v>
      </c>
      <c r="NWS212" s="370" t="e">
        <f>10/NWO210</f>
        <v>#DIV/0!</v>
      </c>
      <c r="NWT212" s="371">
        <v>15.38</v>
      </c>
      <c r="NWU212" s="371" t="e">
        <f>NWR212*NWS212*NWT212</f>
        <v>#DIV/0!</v>
      </c>
      <c r="NWV212" s="367" t="s">
        <v>206</v>
      </c>
      <c r="NWW212" s="367"/>
      <c r="NWX212" s="367"/>
      <c r="NWY212" s="368" t="s">
        <v>168</v>
      </c>
      <c r="NWZ212" s="369">
        <v>0.5</v>
      </c>
      <c r="NXA212" s="370" t="e">
        <f>10/NWW210</f>
        <v>#DIV/0!</v>
      </c>
      <c r="NXB212" s="371">
        <v>15.38</v>
      </c>
      <c r="NXC212" s="371" t="e">
        <f>NWZ212*NXA212*NXB212</f>
        <v>#DIV/0!</v>
      </c>
      <c r="NXD212" s="367" t="s">
        <v>206</v>
      </c>
      <c r="NXE212" s="367"/>
      <c r="NXF212" s="367"/>
      <c r="NXG212" s="368" t="s">
        <v>168</v>
      </c>
      <c r="NXH212" s="369">
        <v>0.5</v>
      </c>
      <c r="NXI212" s="370" t="e">
        <f>10/NXE210</f>
        <v>#DIV/0!</v>
      </c>
      <c r="NXJ212" s="371">
        <v>15.38</v>
      </c>
      <c r="NXK212" s="371" t="e">
        <f>NXH212*NXI212*NXJ212</f>
        <v>#DIV/0!</v>
      </c>
      <c r="NXL212" s="367" t="s">
        <v>206</v>
      </c>
      <c r="NXM212" s="367"/>
      <c r="NXN212" s="367"/>
      <c r="NXO212" s="368" t="s">
        <v>168</v>
      </c>
      <c r="NXP212" s="369">
        <v>0.5</v>
      </c>
      <c r="NXQ212" s="370" t="e">
        <f>10/NXM210</f>
        <v>#DIV/0!</v>
      </c>
      <c r="NXR212" s="371">
        <v>15.38</v>
      </c>
      <c r="NXS212" s="371" t="e">
        <f>NXP212*NXQ212*NXR212</f>
        <v>#DIV/0!</v>
      </c>
      <c r="NXT212" s="367" t="s">
        <v>206</v>
      </c>
      <c r="NXU212" s="367"/>
      <c r="NXV212" s="367"/>
      <c r="NXW212" s="368" t="s">
        <v>168</v>
      </c>
      <c r="NXX212" s="369">
        <v>0.5</v>
      </c>
      <c r="NXY212" s="370" t="e">
        <f>10/NXU210</f>
        <v>#DIV/0!</v>
      </c>
      <c r="NXZ212" s="371">
        <v>15.38</v>
      </c>
      <c r="NYA212" s="371" t="e">
        <f>NXX212*NXY212*NXZ212</f>
        <v>#DIV/0!</v>
      </c>
      <c r="NYB212" s="367" t="s">
        <v>206</v>
      </c>
      <c r="NYC212" s="367"/>
      <c r="NYD212" s="367"/>
      <c r="NYE212" s="368" t="s">
        <v>168</v>
      </c>
      <c r="NYF212" s="369">
        <v>0.5</v>
      </c>
      <c r="NYG212" s="370" t="e">
        <f>10/NYC210</f>
        <v>#DIV/0!</v>
      </c>
      <c r="NYH212" s="371">
        <v>15.38</v>
      </c>
      <c r="NYI212" s="371" t="e">
        <f>NYF212*NYG212*NYH212</f>
        <v>#DIV/0!</v>
      </c>
      <c r="NYJ212" s="367" t="s">
        <v>206</v>
      </c>
      <c r="NYK212" s="367"/>
      <c r="NYL212" s="367"/>
      <c r="NYM212" s="368" t="s">
        <v>168</v>
      </c>
      <c r="NYN212" s="369">
        <v>0.5</v>
      </c>
      <c r="NYO212" s="370" t="e">
        <f>10/NYK210</f>
        <v>#DIV/0!</v>
      </c>
      <c r="NYP212" s="371">
        <v>15.38</v>
      </c>
      <c r="NYQ212" s="371" t="e">
        <f>NYN212*NYO212*NYP212</f>
        <v>#DIV/0!</v>
      </c>
      <c r="NYR212" s="367" t="s">
        <v>206</v>
      </c>
      <c r="NYS212" s="367"/>
      <c r="NYT212" s="367"/>
      <c r="NYU212" s="368" t="s">
        <v>168</v>
      </c>
      <c r="NYV212" s="369">
        <v>0.5</v>
      </c>
      <c r="NYW212" s="370" t="e">
        <f>10/NYS210</f>
        <v>#DIV/0!</v>
      </c>
      <c r="NYX212" s="371">
        <v>15.38</v>
      </c>
      <c r="NYY212" s="371" t="e">
        <f>NYV212*NYW212*NYX212</f>
        <v>#DIV/0!</v>
      </c>
      <c r="NYZ212" s="367" t="s">
        <v>206</v>
      </c>
      <c r="NZA212" s="367"/>
      <c r="NZB212" s="367"/>
      <c r="NZC212" s="368" t="s">
        <v>168</v>
      </c>
      <c r="NZD212" s="369">
        <v>0.5</v>
      </c>
      <c r="NZE212" s="370" t="e">
        <f>10/NZA210</f>
        <v>#DIV/0!</v>
      </c>
      <c r="NZF212" s="371">
        <v>15.38</v>
      </c>
      <c r="NZG212" s="371" t="e">
        <f>NZD212*NZE212*NZF212</f>
        <v>#DIV/0!</v>
      </c>
      <c r="NZH212" s="367" t="s">
        <v>206</v>
      </c>
      <c r="NZI212" s="367"/>
      <c r="NZJ212" s="367"/>
      <c r="NZK212" s="368" t="s">
        <v>168</v>
      </c>
      <c r="NZL212" s="369">
        <v>0.5</v>
      </c>
      <c r="NZM212" s="370" t="e">
        <f>10/NZI210</f>
        <v>#DIV/0!</v>
      </c>
      <c r="NZN212" s="371">
        <v>15.38</v>
      </c>
      <c r="NZO212" s="371" t="e">
        <f>NZL212*NZM212*NZN212</f>
        <v>#DIV/0!</v>
      </c>
      <c r="NZP212" s="367" t="s">
        <v>206</v>
      </c>
      <c r="NZQ212" s="367"/>
      <c r="NZR212" s="367"/>
      <c r="NZS212" s="368" t="s">
        <v>168</v>
      </c>
      <c r="NZT212" s="369">
        <v>0.5</v>
      </c>
      <c r="NZU212" s="370" t="e">
        <f>10/NZQ210</f>
        <v>#DIV/0!</v>
      </c>
      <c r="NZV212" s="371">
        <v>15.38</v>
      </c>
      <c r="NZW212" s="371" t="e">
        <f>NZT212*NZU212*NZV212</f>
        <v>#DIV/0!</v>
      </c>
      <c r="NZX212" s="367" t="s">
        <v>206</v>
      </c>
      <c r="NZY212" s="367"/>
      <c r="NZZ212" s="367"/>
      <c r="OAA212" s="368" t="s">
        <v>168</v>
      </c>
      <c r="OAB212" s="369">
        <v>0.5</v>
      </c>
      <c r="OAC212" s="370" t="e">
        <f>10/NZY210</f>
        <v>#DIV/0!</v>
      </c>
      <c r="OAD212" s="371">
        <v>15.38</v>
      </c>
      <c r="OAE212" s="371" t="e">
        <f>OAB212*OAC212*OAD212</f>
        <v>#DIV/0!</v>
      </c>
      <c r="OAF212" s="367" t="s">
        <v>206</v>
      </c>
      <c r="OAG212" s="367"/>
      <c r="OAH212" s="367"/>
      <c r="OAI212" s="368" t="s">
        <v>168</v>
      </c>
      <c r="OAJ212" s="369">
        <v>0.5</v>
      </c>
      <c r="OAK212" s="370" t="e">
        <f>10/OAG210</f>
        <v>#DIV/0!</v>
      </c>
      <c r="OAL212" s="371">
        <v>15.38</v>
      </c>
      <c r="OAM212" s="371" t="e">
        <f>OAJ212*OAK212*OAL212</f>
        <v>#DIV/0!</v>
      </c>
      <c r="OAN212" s="367" t="s">
        <v>206</v>
      </c>
      <c r="OAO212" s="367"/>
      <c r="OAP212" s="367"/>
      <c r="OAQ212" s="368" t="s">
        <v>168</v>
      </c>
      <c r="OAR212" s="369">
        <v>0.5</v>
      </c>
      <c r="OAS212" s="370" t="e">
        <f>10/OAO210</f>
        <v>#DIV/0!</v>
      </c>
      <c r="OAT212" s="371">
        <v>15.38</v>
      </c>
      <c r="OAU212" s="371" t="e">
        <f>OAR212*OAS212*OAT212</f>
        <v>#DIV/0!</v>
      </c>
      <c r="OAV212" s="367" t="s">
        <v>206</v>
      </c>
      <c r="OAW212" s="367"/>
      <c r="OAX212" s="367"/>
      <c r="OAY212" s="368" t="s">
        <v>168</v>
      </c>
      <c r="OAZ212" s="369">
        <v>0.5</v>
      </c>
      <c r="OBA212" s="370" t="e">
        <f>10/OAW210</f>
        <v>#DIV/0!</v>
      </c>
      <c r="OBB212" s="371">
        <v>15.38</v>
      </c>
      <c r="OBC212" s="371" t="e">
        <f>OAZ212*OBA212*OBB212</f>
        <v>#DIV/0!</v>
      </c>
      <c r="OBD212" s="367" t="s">
        <v>206</v>
      </c>
      <c r="OBE212" s="367"/>
      <c r="OBF212" s="367"/>
      <c r="OBG212" s="368" t="s">
        <v>168</v>
      </c>
      <c r="OBH212" s="369">
        <v>0.5</v>
      </c>
      <c r="OBI212" s="370" t="e">
        <f>10/OBE210</f>
        <v>#DIV/0!</v>
      </c>
      <c r="OBJ212" s="371">
        <v>15.38</v>
      </c>
      <c r="OBK212" s="371" t="e">
        <f>OBH212*OBI212*OBJ212</f>
        <v>#DIV/0!</v>
      </c>
      <c r="OBL212" s="367" t="s">
        <v>206</v>
      </c>
      <c r="OBM212" s="367"/>
      <c r="OBN212" s="367"/>
      <c r="OBO212" s="368" t="s">
        <v>168</v>
      </c>
      <c r="OBP212" s="369">
        <v>0.5</v>
      </c>
      <c r="OBQ212" s="370" t="e">
        <f>10/OBM210</f>
        <v>#DIV/0!</v>
      </c>
      <c r="OBR212" s="371">
        <v>15.38</v>
      </c>
      <c r="OBS212" s="371" t="e">
        <f>OBP212*OBQ212*OBR212</f>
        <v>#DIV/0!</v>
      </c>
      <c r="OBT212" s="367" t="s">
        <v>206</v>
      </c>
      <c r="OBU212" s="367"/>
      <c r="OBV212" s="367"/>
      <c r="OBW212" s="368" t="s">
        <v>168</v>
      </c>
      <c r="OBX212" s="369">
        <v>0.5</v>
      </c>
      <c r="OBY212" s="370" t="e">
        <f>10/OBU210</f>
        <v>#DIV/0!</v>
      </c>
      <c r="OBZ212" s="371">
        <v>15.38</v>
      </c>
      <c r="OCA212" s="371" t="e">
        <f>OBX212*OBY212*OBZ212</f>
        <v>#DIV/0!</v>
      </c>
      <c r="OCB212" s="367" t="s">
        <v>206</v>
      </c>
      <c r="OCC212" s="367"/>
      <c r="OCD212" s="367"/>
      <c r="OCE212" s="368" t="s">
        <v>168</v>
      </c>
      <c r="OCF212" s="369">
        <v>0.5</v>
      </c>
      <c r="OCG212" s="370" t="e">
        <f>10/OCC210</f>
        <v>#DIV/0!</v>
      </c>
      <c r="OCH212" s="371">
        <v>15.38</v>
      </c>
      <c r="OCI212" s="371" t="e">
        <f>OCF212*OCG212*OCH212</f>
        <v>#DIV/0!</v>
      </c>
      <c r="OCJ212" s="367" t="s">
        <v>206</v>
      </c>
      <c r="OCK212" s="367"/>
      <c r="OCL212" s="367"/>
      <c r="OCM212" s="368" t="s">
        <v>168</v>
      </c>
      <c r="OCN212" s="369">
        <v>0.5</v>
      </c>
      <c r="OCO212" s="370" t="e">
        <f>10/OCK210</f>
        <v>#DIV/0!</v>
      </c>
      <c r="OCP212" s="371">
        <v>15.38</v>
      </c>
      <c r="OCQ212" s="371" t="e">
        <f>OCN212*OCO212*OCP212</f>
        <v>#DIV/0!</v>
      </c>
      <c r="OCR212" s="367" t="s">
        <v>206</v>
      </c>
      <c r="OCS212" s="367"/>
      <c r="OCT212" s="367"/>
      <c r="OCU212" s="368" t="s">
        <v>168</v>
      </c>
      <c r="OCV212" s="369">
        <v>0.5</v>
      </c>
      <c r="OCW212" s="370" t="e">
        <f>10/OCS210</f>
        <v>#DIV/0!</v>
      </c>
      <c r="OCX212" s="371">
        <v>15.38</v>
      </c>
      <c r="OCY212" s="371" t="e">
        <f>OCV212*OCW212*OCX212</f>
        <v>#DIV/0!</v>
      </c>
      <c r="OCZ212" s="367" t="s">
        <v>206</v>
      </c>
      <c r="ODA212" s="367"/>
      <c r="ODB212" s="367"/>
      <c r="ODC212" s="368" t="s">
        <v>168</v>
      </c>
      <c r="ODD212" s="369">
        <v>0.5</v>
      </c>
      <c r="ODE212" s="370" t="e">
        <f>10/ODA210</f>
        <v>#DIV/0!</v>
      </c>
      <c r="ODF212" s="371">
        <v>15.38</v>
      </c>
      <c r="ODG212" s="371" t="e">
        <f>ODD212*ODE212*ODF212</f>
        <v>#DIV/0!</v>
      </c>
      <c r="ODH212" s="367" t="s">
        <v>206</v>
      </c>
      <c r="ODI212" s="367"/>
      <c r="ODJ212" s="367"/>
      <c r="ODK212" s="368" t="s">
        <v>168</v>
      </c>
      <c r="ODL212" s="369">
        <v>0.5</v>
      </c>
      <c r="ODM212" s="370" t="e">
        <f>10/ODI210</f>
        <v>#DIV/0!</v>
      </c>
      <c r="ODN212" s="371">
        <v>15.38</v>
      </c>
      <c r="ODO212" s="371" t="e">
        <f>ODL212*ODM212*ODN212</f>
        <v>#DIV/0!</v>
      </c>
      <c r="ODP212" s="367" t="s">
        <v>206</v>
      </c>
      <c r="ODQ212" s="367"/>
      <c r="ODR212" s="367"/>
      <c r="ODS212" s="368" t="s">
        <v>168</v>
      </c>
      <c r="ODT212" s="369">
        <v>0.5</v>
      </c>
      <c r="ODU212" s="370" t="e">
        <f>10/ODQ210</f>
        <v>#DIV/0!</v>
      </c>
      <c r="ODV212" s="371">
        <v>15.38</v>
      </c>
      <c r="ODW212" s="371" t="e">
        <f>ODT212*ODU212*ODV212</f>
        <v>#DIV/0!</v>
      </c>
      <c r="ODX212" s="367" t="s">
        <v>206</v>
      </c>
      <c r="ODY212" s="367"/>
      <c r="ODZ212" s="367"/>
      <c r="OEA212" s="368" t="s">
        <v>168</v>
      </c>
      <c r="OEB212" s="369">
        <v>0.5</v>
      </c>
      <c r="OEC212" s="370" t="e">
        <f>10/ODY210</f>
        <v>#DIV/0!</v>
      </c>
      <c r="OED212" s="371">
        <v>15.38</v>
      </c>
      <c r="OEE212" s="371" t="e">
        <f>OEB212*OEC212*OED212</f>
        <v>#DIV/0!</v>
      </c>
      <c r="OEF212" s="367" t="s">
        <v>206</v>
      </c>
      <c r="OEG212" s="367"/>
      <c r="OEH212" s="367"/>
      <c r="OEI212" s="368" t="s">
        <v>168</v>
      </c>
      <c r="OEJ212" s="369">
        <v>0.5</v>
      </c>
      <c r="OEK212" s="370" t="e">
        <f>10/OEG210</f>
        <v>#DIV/0!</v>
      </c>
      <c r="OEL212" s="371">
        <v>15.38</v>
      </c>
      <c r="OEM212" s="371" t="e">
        <f>OEJ212*OEK212*OEL212</f>
        <v>#DIV/0!</v>
      </c>
      <c r="OEN212" s="367" t="s">
        <v>206</v>
      </c>
      <c r="OEO212" s="367"/>
      <c r="OEP212" s="367"/>
      <c r="OEQ212" s="368" t="s">
        <v>168</v>
      </c>
      <c r="OER212" s="369">
        <v>0.5</v>
      </c>
      <c r="OES212" s="370" t="e">
        <f>10/OEO210</f>
        <v>#DIV/0!</v>
      </c>
      <c r="OET212" s="371">
        <v>15.38</v>
      </c>
      <c r="OEU212" s="371" t="e">
        <f>OER212*OES212*OET212</f>
        <v>#DIV/0!</v>
      </c>
      <c r="OEV212" s="367" t="s">
        <v>206</v>
      </c>
      <c r="OEW212" s="367"/>
      <c r="OEX212" s="367"/>
      <c r="OEY212" s="368" t="s">
        <v>168</v>
      </c>
      <c r="OEZ212" s="369">
        <v>0.5</v>
      </c>
      <c r="OFA212" s="370" t="e">
        <f>10/OEW210</f>
        <v>#DIV/0!</v>
      </c>
      <c r="OFB212" s="371">
        <v>15.38</v>
      </c>
      <c r="OFC212" s="371" t="e">
        <f>OEZ212*OFA212*OFB212</f>
        <v>#DIV/0!</v>
      </c>
      <c r="OFD212" s="367" t="s">
        <v>206</v>
      </c>
      <c r="OFE212" s="367"/>
      <c r="OFF212" s="367"/>
      <c r="OFG212" s="368" t="s">
        <v>168</v>
      </c>
      <c r="OFH212" s="369">
        <v>0.5</v>
      </c>
      <c r="OFI212" s="370" t="e">
        <f>10/OFE210</f>
        <v>#DIV/0!</v>
      </c>
      <c r="OFJ212" s="371">
        <v>15.38</v>
      </c>
      <c r="OFK212" s="371" t="e">
        <f>OFH212*OFI212*OFJ212</f>
        <v>#DIV/0!</v>
      </c>
      <c r="OFL212" s="367" t="s">
        <v>206</v>
      </c>
      <c r="OFM212" s="367"/>
      <c r="OFN212" s="367"/>
      <c r="OFO212" s="368" t="s">
        <v>168</v>
      </c>
      <c r="OFP212" s="369">
        <v>0.5</v>
      </c>
      <c r="OFQ212" s="370" t="e">
        <f>10/OFM210</f>
        <v>#DIV/0!</v>
      </c>
      <c r="OFR212" s="371">
        <v>15.38</v>
      </c>
      <c r="OFS212" s="371" t="e">
        <f>OFP212*OFQ212*OFR212</f>
        <v>#DIV/0!</v>
      </c>
      <c r="OFT212" s="367" t="s">
        <v>206</v>
      </c>
      <c r="OFU212" s="367"/>
      <c r="OFV212" s="367"/>
      <c r="OFW212" s="368" t="s">
        <v>168</v>
      </c>
      <c r="OFX212" s="369">
        <v>0.5</v>
      </c>
      <c r="OFY212" s="370" t="e">
        <f>10/OFU210</f>
        <v>#DIV/0!</v>
      </c>
      <c r="OFZ212" s="371">
        <v>15.38</v>
      </c>
      <c r="OGA212" s="371" t="e">
        <f>OFX212*OFY212*OFZ212</f>
        <v>#DIV/0!</v>
      </c>
      <c r="OGB212" s="367" t="s">
        <v>206</v>
      </c>
      <c r="OGC212" s="367"/>
      <c r="OGD212" s="367"/>
      <c r="OGE212" s="368" t="s">
        <v>168</v>
      </c>
      <c r="OGF212" s="369">
        <v>0.5</v>
      </c>
      <c r="OGG212" s="370" t="e">
        <f>10/OGC210</f>
        <v>#DIV/0!</v>
      </c>
      <c r="OGH212" s="371">
        <v>15.38</v>
      </c>
      <c r="OGI212" s="371" t="e">
        <f>OGF212*OGG212*OGH212</f>
        <v>#DIV/0!</v>
      </c>
      <c r="OGJ212" s="367" t="s">
        <v>206</v>
      </c>
      <c r="OGK212" s="367"/>
      <c r="OGL212" s="367"/>
      <c r="OGM212" s="368" t="s">
        <v>168</v>
      </c>
      <c r="OGN212" s="369">
        <v>0.5</v>
      </c>
      <c r="OGO212" s="370" t="e">
        <f>10/OGK210</f>
        <v>#DIV/0!</v>
      </c>
      <c r="OGP212" s="371">
        <v>15.38</v>
      </c>
      <c r="OGQ212" s="371" t="e">
        <f>OGN212*OGO212*OGP212</f>
        <v>#DIV/0!</v>
      </c>
      <c r="OGR212" s="367" t="s">
        <v>206</v>
      </c>
      <c r="OGS212" s="367"/>
      <c r="OGT212" s="367"/>
      <c r="OGU212" s="368" t="s">
        <v>168</v>
      </c>
      <c r="OGV212" s="369">
        <v>0.5</v>
      </c>
      <c r="OGW212" s="370" t="e">
        <f>10/OGS210</f>
        <v>#DIV/0!</v>
      </c>
      <c r="OGX212" s="371">
        <v>15.38</v>
      </c>
      <c r="OGY212" s="371" t="e">
        <f>OGV212*OGW212*OGX212</f>
        <v>#DIV/0!</v>
      </c>
      <c r="OGZ212" s="367" t="s">
        <v>206</v>
      </c>
      <c r="OHA212" s="367"/>
      <c r="OHB212" s="367"/>
      <c r="OHC212" s="368" t="s">
        <v>168</v>
      </c>
      <c r="OHD212" s="369">
        <v>0.5</v>
      </c>
      <c r="OHE212" s="370" t="e">
        <f>10/OHA210</f>
        <v>#DIV/0!</v>
      </c>
      <c r="OHF212" s="371">
        <v>15.38</v>
      </c>
      <c r="OHG212" s="371" t="e">
        <f>OHD212*OHE212*OHF212</f>
        <v>#DIV/0!</v>
      </c>
      <c r="OHH212" s="367" t="s">
        <v>206</v>
      </c>
      <c r="OHI212" s="367"/>
      <c r="OHJ212" s="367"/>
      <c r="OHK212" s="368" t="s">
        <v>168</v>
      </c>
      <c r="OHL212" s="369">
        <v>0.5</v>
      </c>
      <c r="OHM212" s="370" t="e">
        <f>10/OHI210</f>
        <v>#DIV/0!</v>
      </c>
      <c r="OHN212" s="371">
        <v>15.38</v>
      </c>
      <c r="OHO212" s="371" t="e">
        <f>OHL212*OHM212*OHN212</f>
        <v>#DIV/0!</v>
      </c>
      <c r="OHP212" s="367" t="s">
        <v>206</v>
      </c>
      <c r="OHQ212" s="367"/>
      <c r="OHR212" s="367"/>
      <c r="OHS212" s="368" t="s">
        <v>168</v>
      </c>
      <c r="OHT212" s="369">
        <v>0.5</v>
      </c>
      <c r="OHU212" s="370" t="e">
        <f>10/OHQ210</f>
        <v>#DIV/0!</v>
      </c>
      <c r="OHV212" s="371">
        <v>15.38</v>
      </c>
      <c r="OHW212" s="371" t="e">
        <f>OHT212*OHU212*OHV212</f>
        <v>#DIV/0!</v>
      </c>
      <c r="OHX212" s="367" t="s">
        <v>206</v>
      </c>
      <c r="OHY212" s="367"/>
      <c r="OHZ212" s="367"/>
      <c r="OIA212" s="368" t="s">
        <v>168</v>
      </c>
      <c r="OIB212" s="369">
        <v>0.5</v>
      </c>
      <c r="OIC212" s="370" t="e">
        <f>10/OHY210</f>
        <v>#DIV/0!</v>
      </c>
      <c r="OID212" s="371">
        <v>15.38</v>
      </c>
      <c r="OIE212" s="371" t="e">
        <f>OIB212*OIC212*OID212</f>
        <v>#DIV/0!</v>
      </c>
      <c r="OIF212" s="367" t="s">
        <v>206</v>
      </c>
      <c r="OIG212" s="367"/>
      <c r="OIH212" s="367"/>
      <c r="OII212" s="368" t="s">
        <v>168</v>
      </c>
      <c r="OIJ212" s="369">
        <v>0.5</v>
      </c>
      <c r="OIK212" s="370" t="e">
        <f>10/OIG210</f>
        <v>#DIV/0!</v>
      </c>
      <c r="OIL212" s="371">
        <v>15.38</v>
      </c>
      <c r="OIM212" s="371" t="e">
        <f>OIJ212*OIK212*OIL212</f>
        <v>#DIV/0!</v>
      </c>
      <c r="OIN212" s="367" t="s">
        <v>206</v>
      </c>
      <c r="OIO212" s="367"/>
      <c r="OIP212" s="367"/>
      <c r="OIQ212" s="368" t="s">
        <v>168</v>
      </c>
      <c r="OIR212" s="369">
        <v>0.5</v>
      </c>
      <c r="OIS212" s="370" t="e">
        <f>10/OIO210</f>
        <v>#DIV/0!</v>
      </c>
      <c r="OIT212" s="371">
        <v>15.38</v>
      </c>
      <c r="OIU212" s="371" t="e">
        <f>OIR212*OIS212*OIT212</f>
        <v>#DIV/0!</v>
      </c>
      <c r="OIV212" s="367" t="s">
        <v>206</v>
      </c>
      <c r="OIW212" s="367"/>
      <c r="OIX212" s="367"/>
      <c r="OIY212" s="368" t="s">
        <v>168</v>
      </c>
      <c r="OIZ212" s="369">
        <v>0.5</v>
      </c>
      <c r="OJA212" s="370" t="e">
        <f>10/OIW210</f>
        <v>#DIV/0!</v>
      </c>
      <c r="OJB212" s="371">
        <v>15.38</v>
      </c>
      <c r="OJC212" s="371" t="e">
        <f>OIZ212*OJA212*OJB212</f>
        <v>#DIV/0!</v>
      </c>
      <c r="OJD212" s="367" t="s">
        <v>206</v>
      </c>
      <c r="OJE212" s="367"/>
      <c r="OJF212" s="367"/>
      <c r="OJG212" s="368" t="s">
        <v>168</v>
      </c>
      <c r="OJH212" s="369">
        <v>0.5</v>
      </c>
      <c r="OJI212" s="370" t="e">
        <f>10/OJE210</f>
        <v>#DIV/0!</v>
      </c>
      <c r="OJJ212" s="371">
        <v>15.38</v>
      </c>
      <c r="OJK212" s="371" t="e">
        <f>OJH212*OJI212*OJJ212</f>
        <v>#DIV/0!</v>
      </c>
      <c r="OJL212" s="367" t="s">
        <v>206</v>
      </c>
      <c r="OJM212" s="367"/>
      <c r="OJN212" s="367"/>
      <c r="OJO212" s="368" t="s">
        <v>168</v>
      </c>
      <c r="OJP212" s="369">
        <v>0.5</v>
      </c>
      <c r="OJQ212" s="370" t="e">
        <f>10/OJM210</f>
        <v>#DIV/0!</v>
      </c>
      <c r="OJR212" s="371">
        <v>15.38</v>
      </c>
      <c r="OJS212" s="371" t="e">
        <f>OJP212*OJQ212*OJR212</f>
        <v>#DIV/0!</v>
      </c>
      <c r="OJT212" s="367" t="s">
        <v>206</v>
      </c>
      <c r="OJU212" s="367"/>
      <c r="OJV212" s="367"/>
      <c r="OJW212" s="368" t="s">
        <v>168</v>
      </c>
      <c r="OJX212" s="369">
        <v>0.5</v>
      </c>
      <c r="OJY212" s="370" t="e">
        <f>10/OJU210</f>
        <v>#DIV/0!</v>
      </c>
      <c r="OJZ212" s="371">
        <v>15.38</v>
      </c>
      <c r="OKA212" s="371" t="e">
        <f>OJX212*OJY212*OJZ212</f>
        <v>#DIV/0!</v>
      </c>
      <c r="OKB212" s="367" t="s">
        <v>206</v>
      </c>
      <c r="OKC212" s="367"/>
      <c r="OKD212" s="367"/>
      <c r="OKE212" s="368" t="s">
        <v>168</v>
      </c>
      <c r="OKF212" s="369">
        <v>0.5</v>
      </c>
      <c r="OKG212" s="370" t="e">
        <f>10/OKC210</f>
        <v>#DIV/0!</v>
      </c>
      <c r="OKH212" s="371">
        <v>15.38</v>
      </c>
      <c r="OKI212" s="371" t="e">
        <f>OKF212*OKG212*OKH212</f>
        <v>#DIV/0!</v>
      </c>
      <c r="OKJ212" s="367" t="s">
        <v>206</v>
      </c>
      <c r="OKK212" s="367"/>
      <c r="OKL212" s="367"/>
      <c r="OKM212" s="368" t="s">
        <v>168</v>
      </c>
      <c r="OKN212" s="369">
        <v>0.5</v>
      </c>
      <c r="OKO212" s="370" t="e">
        <f>10/OKK210</f>
        <v>#DIV/0!</v>
      </c>
      <c r="OKP212" s="371">
        <v>15.38</v>
      </c>
      <c r="OKQ212" s="371" t="e">
        <f>OKN212*OKO212*OKP212</f>
        <v>#DIV/0!</v>
      </c>
      <c r="OKR212" s="367" t="s">
        <v>206</v>
      </c>
      <c r="OKS212" s="367"/>
      <c r="OKT212" s="367"/>
      <c r="OKU212" s="368" t="s">
        <v>168</v>
      </c>
      <c r="OKV212" s="369">
        <v>0.5</v>
      </c>
      <c r="OKW212" s="370" t="e">
        <f>10/OKS210</f>
        <v>#DIV/0!</v>
      </c>
      <c r="OKX212" s="371">
        <v>15.38</v>
      </c>
      <c r="OKY212" s="371" t="e">
        <f>OKV212*OKW212*OKX212</f>
        <v>#DIV/0!</v>
      </c>
      <c r="OKZ212" s="367" t="s">
        <v>206</v>
      </c>
      <c r="OLA212" s="367"/>
      <c r="OLB212" s="367"/>
      <c r="OLC212" s="368" t="s">
        <v>168</v>
      </c>
      <c r="OLD212" s="369">
        <v>0.5</v>
      </c>
      <c r="OLE212" s="370" t="e">
        <f>10/OLA210</f>
        <v>#DIV/0!</v>
      </c>
      <c r="OLF212" s="371">
        <v>15.38</v>
      </c>
      <c r="OLG212" s="371" t="e">
        <f>OLD212*OLE212*OLF212</f>
        <v>#DIV/0!</v>
      </c>
      <c r="OLH212" s="367" t="s">
        <v>206</v>
      </c>
      <c r="OLI212" s="367"/>
      <c r="OLJ212" s="367"/>
      <c r="OLK212" s="368" t="s">
        <v>168</v>
      </c>
      <c r="OLL212" s="369">
        <v>0.5</v>
      </c>
      <c r="OLM212" s="370" t="e">
        <f>10/OLI210</f>
        <v>#DIV/0!</v>
      </c>
      <c r="OLN212" s="371">
        <v>15.38</v>
      </c>
      <c r="OLO212" s="371" t="e">
        <f>OLL212*OLM212*OLN212</f>
        <v>#DIV/0!</v>
      </c>
      <c r="OLP212" s="367" t="s">
        <v>206</v>
      </c>
      <c r="OLQ212" s="367"/>
      <c r="OLR212" s="367"/>
      <c r="OLS212" s="368" t="s">
        <v>168</v>
      </c>
      <c r="OLT212" s="369">
        <v>0.5</v>
      </c>
      <c r="OLU212" s="370" t="e">
        <f>10/OLQ210</f>
        <v>#DIV/0!</v>
      </c>
      <c r="OLV212" s="371">
        <v>15.38</v>
      </c>
      <c r="OLW212" s="371" t="e">
        <f>OLT212*OLU212*OLV212</f>
        <v>#DIV/0!</v>
      </c>
      <c r="OLX212" s="367" t="s">
        <v>206</v>
      </c>
      <c r="OLY212" s="367"/>
      <c r="OLZ212" s="367"/>
      <c r="OMA212" s="368" t="s">
        <v>168</v>
      </c>
      <c r="OMB212" s="369">
        <v>0.5</v>
      </c>
      <c r="OMC212" s="370" t="e">
        <f>10/OLY210</f>
        <v>#DIV/0!</v>
      </c>
      <c r="OMD212" s="371">
        <v>15.38</v>
      </c>
      <c r="OME212" s="371" t="e">
        <f>OMB212*OMC212*OMD212</f>
        <v>#DIV/0!</v>
      </c>
      <c r="OMF212" s="367" t="s">
        <v>206</v>
      </c>
      <c r="OMG212" s="367"/>
      <c r="OMH212" s="367"/>
      <c r="OMI212" s="368" t="s">
        <v>168</v>
      </c>
      <c r="OMJ212" s="369">
        <v>0.5</v>
      </c>
      <c r="OMK212" s="370" t="e">
        <f>10/OMG210</f>
        <v>#DIV/0!</v>
      </c>
      <c r="OML212" s="371">
        <v>15.38</v>
      </c>
      <c r="OMM212" s="371" t="e">
        <f>OMJ212*OMK212*OML212</f>
        <v>#DIV/0!</v>
      </c>
      <c r="OMN212" s="367" t="s">
        <v>206</v>
      </c>
      <c r="OMO212" s="367"/>
      <c r="OMP212" s="367"/>
      <c r="OMQ212" s="368" t="s">
        <v>168</v>
      </c>
      <c r="OMR212" s="369">
        <v>0.5</v>
      </c>
      <c r="OMS212" s="370" t="e">
        <f>10/OMO210</f>
        <v>#DIV/0!</v>
      </c>
      <c r="OMT212" s="371">
        <v>15.38</v>
      </c>
      <c r="OMU212" s="371" t="e">
        <f>OMR212*OMS212*OMT212</f>
        <v>#DIV/0!</v>
      </c>
      <c r="OMV212" s="367" t="s">
        <v>206</v>
      </c>
      <c r="OMW212" s="367"/>
      <c r="OMX212" s="367"/>
      <c r="OMY212" s="368" t="s">
        <v>168</v>
      </c>
      <c r="OMZ212" s="369">
        <v>0.5</v>
      </c>
      <c r="ONA212" s="370" t="e">
        <f>10/OMW210</f>
        <v>#DIV/0!</v>
      </c>
      <c r="ONB212" s="371">
        <v>15.38</v>
      </c>
      <c r="ONC212" s="371" t="e">
        <f>OMZ212*ONA212*ONB212</f>
        <v>#DIV/0!</v>
      </c>
      <c r="OND212" s="367" t="s">
        <v>206</v>
      </c>
      <c r="ONE212" s="367"/>
      <c r="ONF212" s="367"/>
      <c r="ONG212" s="368" t="s">
        <v>168</v>
      </c>
      <c r="ONH212" s="369">
        <v>0.5</v>
      </c>
      <c r="ONI212" s="370" t="e">
        <f>10/ONE210</f>
        <v>#DIV/0!</v>
      </c>
      <c r="ONJ212" s="371">
        <v>15.38</v>
      </c>
      <c r="ONK212" s="371" t="e">
        <f>ONH212*ONI212*ONJ212</f>
        <v>#DIV/0!</v>
      </c>
      <c r="ONL212" s="367" t="s">
        <v>206</v>
      </c>
      <c r="ONM212" s="367"/>
      <c r="ONN212" s="367"/>
      <c r="ONO212" s="368" t="s">
        <v>168</v>
      </c>
      <c r="ONP212" s="369">
        <v>0.5</v>
      </c>
      <c r="ONQ212" s="370" t="e">
        <f>10/ONM210</f>
        <v>#DIV/0!</v>
      </c>
      <c r="ONR212" s="371">
        <v>15.38</v>
      </c>
      <c r="ONS212" s="371" t="e">
        <f>ONP212*ONQ212*ONR212</f>
        <v>#DIV/0!</v>
      </c>
      <c r="ONT212" s="367" t="s">
        <v>206</v>
      </c>
      <c r="ONU212" s="367"/>
      <c r="ONV212" s="367"/>
      <c r="ONW212" s="368" t="s">
        <v>168</v>
      </c>
      <c r="ONX212" s="369">
        <v>0.5</v>
      </c>
      <c r="ONY212" s="370" t="e">
        <f>10/ONU210</f>
        <v>#DIV/0!</v>
      </c>
      <c r="ONZ212" s="371">
        <v>15.38</v>
      </c>
      <c r="OOA212" s="371" t="e">
        <f>ONX212*ONY212*ONZ212</f>
        <v>#DIV/0!</v>
      </c>
      <c r="OOB212" s="367" t="s">
        <v>206</v>
      </c>
      <c r="OOC212" s="367"/>
      <c r="OOD212" s="367"/>
      <c r="OOE212" s="368" t="s">
        <v>168</v>
      </c>
      <c r="OOF212" s="369">
        <v>0.5</v>
      </c>
      <c r="OOG212" s="370" t="e">
        <f>10/OOC210</f>
        <v>#DIV/0!</v>
      </c>
      <c r="OOH212" s="371">
        <v>15.38</v>
      </c>
      <c r="OOI212" s="371" t="e">
        <f>OOF212*OOG212*OOH212</f>
        <v>#DIV/0!</v>
      </c>
      <c r="OOJ212" s="367" t="s">
        <v>206</v>
      </c>
      <c r="OOK212" s="367"/>
      <c r="OOL212" s="367"/>
      <c r="OOM212" s="368" t="s">
        <v>168</v>
      </c>
      <c r="OON212" s="369">
        <v>0.5</v>
      </c>
      <c r="OOO212" s="370" t="e">
        <f>10/OOK210</f>
        <v>#DIV/0!</v>
      </c>
      <c r="OOP212" s="371">
        <v>15.38</v>
      </c>
      <c r="OOQ212" s="371" t="e">
        <f>OON212*OOO212*OOP212</f>
        <v>#DIV/0!</v>
      </c>
      <c r="OOR212" s="367" t="s">
        <v>206</v>
      </c>
      <c r="OOS212" s="367"/>
      <c r="OOT212" s="367"/>
      <c r="OOU212" s="368" t="s">
        <v>168</v>
      </c>
      <c r="OOV212" s="369">
        <v>0.5</v>
      </c>
      <c r="OOW212" s="370" t="e">
        <f>10/OOS210</f>
        <v>#DIV/0!</v>
      </c>
      <c r="OOX212" s="371">
        <v>15.38</v>
      </c>
      <c r="OOY212" s="371" t="e">
        <f>OOV212*OOW212*OOX212</f>
        <v>#DIV/0!</v>
      </c>
      <c r="OOZ212" s="367" t="s">
        <v>206</v>
      </c>
      <c r="OPA212" s="367"/>
      <c r="OPB212" s="367"/>
      <c r="OPC212" s="368" t="s">
        <v>168</v>
      </c>
      <c r="OPD212" s="369">
        <v>0.5</v>
      </c>
      <c r="OPE212" s="370" t="e">
        <f>10/OPA210</f>
        <v>#DIV/0!</v>
      </c>
      <c r="OPF212" s="371">
        <v>15.38</v>
      </c>
      <c r="OPG212" s="371" t="e">
        <f>OPD212*OPE212*OPF212</f>
        <v>#DIV/0!</v>
      </c>
      <c r="OPH212" s="367" t="s">
        <v>206</v>
      </c>
      <c r="OPI212" s="367"/>
      <c r="OPJ212" s="367"/>
      <c r="OPK212" s="368" t="s">
        <v>168</v>
      </c>
      <c r="OPL212" s="369">
        <v>0.5</v>
      </c>
      <c r="OPM212" s="370" t="e">
        <f>10/OPI210</f>
        <v>#DIV/0!</v>
      </c>
      <c r="OPN212" s="371">
        <v>15.38</v>
      </c>
      <c r="OPO212" s="371" t="e">
        <f>OPL212*OPM212*OPN212</f>
        <v>#DIV/0!</v>
      </c>
      <c r="OPP212" s="367" t="s">
        <v>206</v>
      </c>
      <c r="OPQ212" s="367"/>
      <c r="OPR212" s="367"/>
      <c r="OPS212" s="368" t="s">
        <v>168</v>
      </c>
      <c r="OPT212" s="369">
        <v>0.5</v>
      </c>
      <c r="OPU212" s="370" t="e">
        <f>10/OPQ210</f>
        <v>#DIV/0!</v>
      </c>
      <c r="OPV212" s="371">
        <v>15.38</v>
      </c>
      <c r="OPW212" s="371" t="e">
        <f>OPT212*OPU212*OPV212</f>
        <v>#DIV/0!</v>
      </c>
      <c r="OPX212" s="367" t="s">
        <v>206</v>
      </c>
      <c r="OPY212" s="367"/>
      <c r="OPZ212" s="367"/>
      <c r="OQA212" s="368" t="s">
        <v>168</v>
      </c>
      <c r="OQB212" s="369">
        <v>0.5</v>
      </c>
      <c r="OQC212" s="370" t="e">
        <f>10/OPY210</f>
        <v>#DIV/0!</v>
      </c>
      <c r="OQD212" s="371">
        <v>15.38</v>
      </c>
      <c r="OQE212" s="371" t="e">
        <f>OQB212*OQC212*OQD212</f>
        <v>#DIV/0!</v>
      </c>
      <c r="OQF212" s="367" t="s">
        <v>206</v>
      </c>
      <c r="OQG212" s="367"/>
      <c r="OQH212" s="367"/>
      <c r="OQI212" s="368" t="s">
        <v>168</v>
      </c>
      <c r="OQJ212" s="369">
        <v>0.5</v>
      </c>
      <c r="OQK212" s="370" t="e">
        <f>10/OQG210</f>
        <v>#DIV/0!</v>
      </c>
      <c r="OQL212" s="371">
        <v>15.38</v>
      </c>
      <c r="OQM212" s="371" t="e">
        <f>OQJ212*OQK212*OQL212</f>
        <v>#DIV/0!</v>
      </c>
      <c r="OQN212" s="367" t="s">
        <v>206</v>
      </c>
      <c r="OQO212" s="367"/>
      <c r="OQP212" s="367"/>
      <c r="OQQ212" s="368" t="s">
        <v>168</v>
      </c>
      <c r="OQR212" s="369">
        <v>0.5</v>
      </c>
      <c r="OQS212" s="370" t="e">
        <f>10/OQO210</f>
        <v>#DIV/0!</v>
      </c>
      <c r="OQT212" s="371">
        <v>15.38</v>
      </c>
      <c r="OQU212" s="371" t="e">
        <f>OQR212*OQS212*OQT212</f>
        <v>#DIV/0!</v>
      </c>
      <c r="OQV212" s="367" t="s">
        <v>206</v>
      </c>
      <c r="OQW212" s="367"/>
      <c r="OQX212" s="367"/>
      <c r="OQY212" s="368" t="s">
        <v>168</v>
      </c>
      <c r="OQZ212" s="369">
        <v>0.5</v>
      </c>
      <c r="ORA212" s="370" t="e">
        <f>10/OQW210</f>
        <v>#DIV/0!</v>
      </c>
      <c r="ORB212" s="371">
        <v>15.38</v>
      </c>
      <c r="ORC212" s="371" t="e">
        <f>OQZ212*ORA212*ORB212</f>
        <v>#DIV/0!</v>
      </c>
      <c r="ORD212" s="367" t="s">
        <v>206</v>
      </c>
      <c r="ORE212" s="367"/>
      <c r="ORF212" s="367"/>
      <c r="ORG212" s="368" t="s">
        <v>168</v>
      </c>
      <c r="ORH212" s="369">
        <v>0.5</v>
      </c>
      <c r="ORI212" s="370" t="e">
        <f>10/ORE210</f>
        <v>#DIV/0!</v>
      </c>
      <c r="ORJ212" s="371">
        <v>15.38</v>
      </c>
      <c r="ORK212" s="371" t="e">
        <f>ORH212*ORI212*ORJ212</f>
        <v>#DIV/0!</v>
      </c>
      <c r="ORL212" s="367" t="s">
        <v>206</v>
      </c>
      <c r="ORM212" s="367"/>
      <c r="ORN212" s="367"/>
      <c r="ORO212" s="368" t="s">
        <v>168</v>
      </c>
      <c r="ORP212" s="369">
        <v>0.5</v>
      </c>
      <c r="ORQ212" s="370" t="e">
        <f>10/ORM210</f>
        <v>#DIV/0!</v>
      </c>
      <c r="ORR212" s="371">
        <v>15.38</v>
      </c>
      <c r="ORS212" s="371" t="e">
        <f>ORP212*ORQ212*ORR212</f>
        <v>#DIV/0!</v>
      </c>
      <c r="ORT212" s="367" t="s">
        <v>206</v>
      </c>
      <c r="ORU212" s="367"/>
      <c r="ORV212" s="367"/>
      <c r="ORW212" s="368" t="s">
        <v>168</v>
      </c>
      <c r="ORX212" s="369">
        <v>0.5</v>
      </c>
      <c r="ORY212" s="370" t="e">
        <f>10/ORU210</f>
        <v>#DIV/0!</v>
      </c>
      <c r="ORZ212" s="371">
        <v>15.38</v>
      </c>
      <c r="OSA212" s="371" t="e">
        <f>ORX212*ORY212*ORZ212</f>
        <v>#DIV/0!</v>
      </c>
      <c r="OSB212" s="367" t="s">
        <v>206</v>
      </c>
      <c r="OSC212" s="367"/>
      <c r="OSD212" s="367"/>
      <c r="OSE212" s="368" t="s">
        <v>168</v>
      </c>
      <c r="OSF212" s="369">
        <v>0.5</v>
      </c>
      <c r="OSG212" s="370" t="e">
        <f>10/OSC210</f>
        <v>#DIV/0!</v>
      </c>
      <c r="OSH212" s="371">
        <v>15.38</v>
      </c>
      <c r="OSI212" s="371" t="e">
        <f>OSF212*OSG212*OSH212</f>
        <v>#DIV/0!</v>
      </c>
      <c r="OSJ212" s="367" t="s">
        <v>206</v>
      </c>
      <c r="OSK212" s="367"/>
      <c r="OSL212" s="367"/>
      <c r="OSM212" s="368" t="s">
        <v>168</v>
      </c>
      <c r="OSN212" s="369">
        <v>0.5</v>
      </c>
      <c r="OSO212" s="370" t="e">
        <f>10/OSK210</f>
        <v>#DIV/0!</v>
      </c>
      <c r="OSP212" s="371">
        <v>15.38</v>
      </c>
      <c r="OSQ212" s="371" t="e">
        <f>OSN212*OSO212*OSP212</f>
        <v>#DIV/0!</v>
      </c>
      <c r="OSR212" s="367" t="s">
        <v>206</v>
      </c>
      <c r="OSS212" s="367"/>
      <c r="OST212" s="367"/>
      <c r="OSU212" s="368" t="s">
        <v>168</v>
      </c>
      <c r="OSV212" s="369">
        <v>0.5</v>
      </c>
      <c r="OSW212" s="370" t="e">
        <f>10/OSS210</f>
        <v>#DIV/0!</v>
      </c>
      <c r="OSX212" s="371">
        <v>15.38</v>
      </c>
      <c r="OSY212" s="371" t="e">
        <f>OSV212*OSW212*OSX212</f>
        <v>#DIV/0!</v>
      </c>
      <c r="OSZ212" s="367" t="s">
        <v>206</v>
      </c>
      <c r="OTA212" s="367"/>
      <c r="OTB212" s="367"/>
      <c r="OTC212" s="368" t="s">
        <v>168</v>
      </c>
      <c r="OTD212" s="369">
        <v>0.5</v>
      </c>
      <c r="OTE212" s="370" t="e">
        <f>10/OTA210</f>
        <v>#DIV/0!</v>
      </c>
      <c r="OTF212" s="371">
        <v>15.38</v>
      </c>
      <c r="OTG212" s="371" t="e">
        <f>OTD212*OTE212*OTF212</f>
        <v>#DIV/0!</v>
      </c>
      <c r="OTH212" s="367" t="s">
        <v>206</v>
      </c>
      <c r="OTI212" s="367"/>
      <c r="OTJ212" s="367"/>
      <c r="OTK212" s="368" t="s">
        <v>168</v>
      </c>
      <c r="OTL212" s="369">
        <v>0.5</v>
      </c>
      <c r="OTM212" s="370" t="e">
        <f>10/OTI210</f>
        <v>#DIV/0!</v>
      </c>
      <c r="OTN212" s="371">
        <v>15.38</v>
      </c>
      <c r="OTO212" s="371" t="e">
        <f>OTL212*OTM212*OTN212</f>
        <v>#DIV/0!</v>
      </c>
      <c r="OTP212" s="367" t="s">
        <v>206</v>
      </c>
      <c r="OTQ212" s="367"/>
      <c r="OTR212" s="367"/>
      <c r="OTS212" s="368" t="s">
        <v>168</v>
      </c>
      <c r="OTT212" s="369">
        <v>0.5</v>
      </c>
      <c r="OTU212" s="370" t="e">
        <f>10/OTQ210</f>
        <v>#DIV/0!</v>
      </c>
      <c r="OTV212" s="371">
        <v>15.38</v>
      </c>
      <c r="OTW212" s="371" t="e">
        <f>OTT212*OTU212*OTV212</f>
        <v>#DIV/0!</v>
      </c>
      <c r="OTX212" s="367" t="s">
        <v>206</v>
      </c>
      <c r="OTY212" s="367"/>
      <c r="OTZ212" s="367"/>
      <c r="OUA212" s="368" t="s">
        <v>168</v>
      </c>
      <c r="OUB212" s="369">
        <v>0.5</v>
      </c>
      <c r="OUC212" s="370" t="e">
        <f>10/OTY210</f>
        <v>#DIV/0!</v>
      </c>
      <c r="OUD212" s="371">
        <v>15.38</v>
      </c>
      <c r="OUE212" s="371" t="e">
        <f>OUB212*OUC212*OUD212</f>
        <v>#DIV/0!</v>
      </c>
      <c r="OUF212" s="367" t="s">
        <v>206</v>
      </c>
      <c r="OUG212" s="367"/>
      <c r="OUH212" s="367"/>
      <c r="OUI212" s="368" t="s">
        <v>168</v>
      </c>
      <c r="OUJ212" s="369">
        <v>0.5</v>
      </c>
      <c r="OUK212" s="370" t="e">
        <f>10/OUG210</f>
        <v>#DIV/0!</v>
      </c>
      <c r="OUL212" s="371">
        <v>15.38</v>
      </c>
      <c r="OUM212" s="371" t="e">
        <f>OUJ212*OUK212*OUL212</f>
        <v>#DIV/0!</v>
      </c>
      <c r="OUN212" s="367" t="s">
        <v>206</v>
      </c>
      <c r="OUO212" s="367"/>
      <c r="OUP212" s="367"/>
      <c r="OUQ212" s="368" t="s">
        <v>168</v>
      </c>
      <c r="OUR212" s="369">
        <v>0.5</v>
      </c>
      <c r="OUS212" s="370" t="e">
        <f>10/OUO210</f>
        <v>#DIV/0!</v>
      </c>
      <c r="OUT212" s="371">
        <v>15.38</v>
      </c>
      <c r="OUU212" s="371" t="e">
        <f>OUR212*OUS212*OUT212</f>
        <v>#DIV/0!</v>
      </c>
      <c r="OUV212" s="367" t="s">
        <v>206</v>
      </c>
      <c r="OUW212" s="367"/>
      <c r="OUX212" s="367"/>
      <c r="OUY212" s="368" t="s">
        <v>168</v>
      </c>
      <c r="OUZ212" s="369">
        <v>0.5</v>
      </c>
      <c r="OVA212" s="370" t="e">
        <f>10/OUW210</f>
        <v>#DIV/0!</v>
      </c>
      <c r="OVB212" s="371">
        <v>15.38</v>
      </c>
      <c r="OVC212" s="371" t="e">
        <f>OUZ212*OVA212*OVB212</f>
        <v>#DIV/0!</v>
      </c>
      <c r="OVD212" s="367" t="s">
        <v>206</v>
      </c>
      <c r="OVE212" s="367"/>
      <c r="OVF212" s="367"/>
      <c r="OVG212" s="368" t="s">
        <v>168</v>
      </c>
      <c r="OVH212" s="369">
        <v>0.5</v>
      </c>
      <c r="OVI212" s="370" t="e">
        <f>10/OVE210</f>
        <v>#DIV/0!</v>
      </c>
      <c r="OVJ212" s="371">
        <v>15.38</v>
      </c>
      <c r="OVK212" s="371" t="e">
        <f>OVH212*OVI212*OVJ212</f>
        <v>#DIV/0!</v>
      </c>
      <c r="OVL212" s="367" t="s">
        <v>206</v>
      </c>
      <c r="OVM212" s="367"/>
      <c r="OVN212" s="367"/>
      <c r="OVO212" s="368" t="s">
        <v>168</v>
      </c>
      <c r="OVP212" s="369">
        <v>0.5</v>
      </c>
      <c r="OVQ212" s="370" t="e">
        <f>10/OVM210</f>
        <v>#DIV/0!</v>
      </c>
      <c r="OVR212" s="371">
        <v>15.38</v>
      </c>
      <c r="OVS212" s="371" t="e">
        <f>OVP212*OVQ212*OVR212</f>
        <v>#DIV/0!</v>
      </c>
      <c r="OVT212" s="367" t="s">
        <v>206</v>
      </c>
      <c r="OVU212" s="367"/>
      <c r="OVV212" s="367"/>
      <c r="OVW212" s="368" t="s">
        <v>168</v>
      </c>
      <c r="OVX212" s="369">
        <v>0.5</v>
      </c>
      <c r="OVY212" s="370" t="e">
        <f>10/OVU210</f>
        <v>#DIV/0!</v>
      </c>
      <c r="OVZ212" s="371">
        <v>15.38</v>
      </c>
      <c r="OWA212" s="371" t="e">
        <f>OVX212*OVY212*OVZ212</f>
        <v>#DIV/0!</v>
      </c>
      <c r="OWB212" s="367" t="s">
        <v>206</v>
      </c>
      <c r="OWC212" s="367"/>
      <c r="OWD212" s="367"/>
      <c r="OWE212" s="368" t="s">
        <v>168</v>
      </c>
      <c r="OWF212" s="369">
        <v>0.5</v>
      </c>
      <c r="OWG212" s="370" t="e">
        <f>10/OWC210</f>
        <v>#DIV/0!</v>
      </c>
      <c r="OWH212" s="371">
        <v>15.38</v>
      </c>
      <c r="OWI212" s="371" t="e">
        <f>OWF212*OWG212*OWH212</f>
        <v>#DIV/0!</v>
      </c>
      <c r="OWJ212" s="367" t="s">
        <v>206</v>
      </c>
      <c r="OWK212" s="367"/>
      <c r="OWL212" s="367"/>
      <c r="OWM212" s="368" t="s">
        <v>168</v>
      </c>
      <c r="OWN212" s="369">
        <v>0.5</v>
      </c>
      <c r="OWO212" s="370" t="e">
        <f>10/OWK210</f>
        <v>#DIV/0!</v>
      </c>
      <c r="OWP212" s="371">
        <v>15.38</v>
      </c>
      <c r="OWQ212" s="371" t="e">
        <f>OWN212*OWO212*OWP212</f>
        <v>#DIV/0!</v>
      </c>
      <c r="OWR212" s="367" t="s">
        <v>206</v>
      </c>
      <c r="OWS212" s="367"/>
      <c r="OWT212" s="367"/>
      <c r="OWU212" s="368" t="s">
        <v>168</v>
      </c>
      <c r="OWV212" s="369">
        <v>0.5</v>
      </c>
      <c r="OWW212" s="370" t="e">
        <f>10/OWS210</f>
        <v>#DIV/0!</v>
      </c>
      <c r="OWX212" s="371">
        <v>15.38</v>
      </c>
      <c r="OWY212" s="371" t="e">
        <f>OWV212*OWW212*OWX212</f>
        <v>#DIV/0!</v>
      </c>
      <c r="OWZ212" s="367" t="s">
        <v>206</v>
      </c>
      <c r="OXA212" s="367"/>
      <c r="OXB212" s="367"/>
      <c r="OXC212" s="368" t="s">
        <v>168</v>
      </c>
      <c r="OXD212" s="369">
        <v>0.5</v>
      </c>
      <c r="OXE212" s="370" t="e">
        <f>10/OXA210</f>
        <v>#DIV/0!</v>
      </c>
      <c r="OXF212" s="371">
        <v>15.38</v>
      </c>
      <c r="OXG212" s="371" t="e">
        <f>OXD212*OXE212*OXF212</f>
        <v>#DIV/0!</v>
      </c>
      <c r="OXH212" s="367" t="s">
        <v>206</v>
      </c>
      <c r="OXI212" s="367"/>
      <c r="OXJ212" s="367"/>
      <c r="OXK212" s="368" t="s">
        <v>168</v>
      </c>
      <c r="OXL212" s="369">
        <v>0.5</v>
      </c>
      <c r="OXM212" s="370" t="e">
        <f>10/OXI210</f>
        <v>#DIV/0!</v>
      </c>
      <c r="OXN212" s="371">
        <v>15.38</v>
      </c>
      <c r="OXO212" s="371" t="e">
        <f>OXL212*OXM212*OXN212</f>
        <v>#DIV/0!</v>
      </c>
      <c r="OXP212" s="367" t="s">
        <v>206</v>
      </c>
      <c r="OXQ212" s="367"/>
      <c r="OXR212" s="367"/>
      <c r="OXS212" s="368" t="s">
        <v>168</v>
      </c>
      <c r="OXT212" s="369">
        <v>0.5</v>
      </c>
      <c r="OXU212" s="370" t="e">
        <f>10/OXQ210</f>
        <v>#DIV/0!</v>
      </c>
      <c r="OXV212" s="371">
        <v>15.38</v>
      </c>
      <c r="OXW212" s="371" t="e">
        <f>OXT212*OXU212*OXV212</f>
        <v>#DIV/0!</v>
      </c>
      <c r="OXX212" s="367" t="s">
        <v>206</v>
      </c>
      <c r="OXY212" s="367"/>
      <c r="OXZ212" s="367"/>
      <c r="OYA212" s="368" t="s">
        <v>168</v>
      </c>
      <c r="OYB212" s="369">
        <v>0.5</v>
      </c>
      <c r="OYC212" s="370" t="e">
        <f>10/OXY210</f>
        <v>#DIV/0!</v>
      </c>
      <c r="OYD212" s="371">
        <v>15.38</v>
      </c>
      <c r="OYE212" s="371" t="e">
        <f>OYB212*OYC212*OYD212</f>
        <v>#DIV/0!</v>
      </c>
      <c r="OYF212" s="367" t="s">
        <v>206</v>
      </c>
      <c r="OYG212" s="367"/>
      <c r="OYH212" s="367"/>
      <c r="OYI212" s="368" t="s">
        <v>168</v>
      </c>
      <c r="OYJ212" s="369">
        <v>0.5</v>
      </c>
      <c r="OYK212" s="370" t="e">
        <f>10/OYG210</f>
        <v>#DIV/0!</v>
      </c>
      <c r="OYL212" s="371">
        <v>15.38</v>
      </c>
      <c r="OYM212" s="371" t="e">
        <f>OYJ212*OYK212*OYL212</f>
        <v>#DIV/0!</v>
      </c>
      <c r="OYN212" s="367" t="s">
        <v>206</v>
      </c>
      <c r="OYO212" s="367"/>
      <c r="OYP212" s="367"/>
      <c r="OYQ212" s="368" t="s">
        <v>168</v>
      </c>
      <c r="OYR212" s="369">
        <v>0.5</v>
      </c>
      <c r="OYS212" s="370" t="e">
        <f>10/OYO210</f>
        <v>#DIV/0!</v>
      </c>
      <c r="OYT212" s="371">
        <v>15.38</v>
      </c>
      <c r="OYU212" s="371" t="e">
        <f>OYR212*OYS212*OYT212</f>
        <v>#DIV/0!</v>
      </c>
      <c r="OYV212" s="367" t="s">
        <v>206</v>
      </c>
      <c r="OYW212" s="367"/>
      <c r="OYX212" s="367"/>
      <c r="OYY212" s="368" t="s">
        <v>168</v>
      </c>
      <c r="OYZ212" s="369">
        <v>0.5</v>
      </c>
      <c r="OZA212" s="370" t="e">
        <f>10/OYW210</f>
        <v>#DIV/0!</v>
      </c>
      <c r="OZB212" s="371">
        <v>15.38</v>
      </c>
      <c r="OZC212" s="371" t="e">
        <f>OYZ212*OZA212*OZB212</f>
        <v>#DIV/0!</v>
      </c>
      <c r="OZD212" s="367" t="s">
        <v>206</v>
      </c>
      <c r="OZE212" s="367"/>
      <c r="OZF212" s="367"/>
      <c r="OZG212" s="368" t="s">
        <v>168</v>
      </c>
      <c r="OZH212" s="369">
        <v>0.5</v>
      </c>
      <c r="OZI212" s="370" t="e">
        <f>10/OZE210</f>
        <v>#DIV/0!</v>
      </c>
      <c r="OZJ212" s="371">
        <v>15.38</v>
      </c>
      <c r="OZK212" s="371" t="e">
        <f>OZH212*OZI212*OZJ212</f>
        <v>#DIV/0!</v>
      </c>
      <c r="OZL212" s="367" t="s">
        <v>206</v>
      </c>
      <c r="OZM212" s="367"/>
      <c r="OZN212" s="367"/>
      <c r="OZO212" s="368" t="s">
        <v>168</v>
      </c>
      <c r="OZP212" s="369">
        <v>0.5</v>
      </c>
      <c r="OZQ212" s="370" t="e">
        <f>10/OZM210</f>
        <v>#DIV/0!</v>
      </c>
      <c r="OZR212" s="371">
        <v>15.38</v>
      </c>
      <c r="OZS212" s="371" t="e">
        <f>OZP212*OZQ212*OZR212</f>
        <v>#DIV/0!</v>
      </c>
      <c r="OZT212" s="367" t="s">
        <v>206</v>
      </c>
      <c r="OZU212" s="367"/>
      <c r="OZV212" s="367"/>
      <c r="OZW212" s="368" t="s">
        <v>168</v>
      </c>
      <c r="OZX212" s="369">
        <v>0.5</v>
      </c>
      <c r="OZY212" s="370" t="e">
        <f>10/OZU210</f>
        <v>#DIV/0!</v>
      </c>
      <c r="OZZ212" s="371">
        <v>15.38</v>
      </c>
      <c r="PAA212" s="371" t="e">
        <f>OZX212*OZY212*OZZ212</f>
        <v>#DIV/0!</v>
      </c>
      <c r="PAB212" s="367" t="s">
        <v>206</v>
      </c>
      <c r="PAC212" s="367"/>
      <c r="PAD212" s="367"/>
      <c r="PAE212" s="368" t="s">
        <v>168</v>
      </c>
      <c r="PAF212" s="369">
        <v>0.5</v>
      </c>
      <c r="PAG212" s="370" t="e">
        <f>10/PAC210</f>
        <v>#DIV/0!</v>
      </c>
      <c r="PAH212" s="371">
        <v>15.38</v>
      </c>
      <c r="PAI212" s="371" t="e">
        <f>PAF212*PAG212*PAH212</f>
        <v>#DIV/0!</v>
      </c>
      <c r="PAJ212" s="367" t="s">
        <v>206</v>
      </c>
      <c r="PAK212" s="367"/>
      <c r="PAL212" s="367"/>
      <c r="PAM212" s="368" t="s">
        <v>168</v>
      </c>
      <c r="PAN212" s="369">
        <v>0.5</v>
      </c>
      <c r="PAO212" s="370" t="e">
        <f>10/PAK210</f>
        <v>#DIV/0!</v>
      </c>
      <c r="PAP212" s="371">
        <v>15.38</v>
      </c>
      <c r="PAQ212" s="371" t="e">
        <f>PAN212*PAO212*PAP212</f>
        <v>#DIV/0!</v>
      </c>
      <c r="PAR212" s="367" t="s">
        <v>206</v>
      </c>
      <c r="PAS212" s="367"/>
      <c r="PAT212" s="367"/>
      <c r="PAU212" s="368" t="s">
        <v>168</v>
      </c>
      <c r="PAV212" s="369">
        <v>0.5</v>
      </c>
      <c r="PAW212" s="370" t="e">
        <f>10/PAS210</f>
        <v>#DIV/0!</v>
      </c>
      <c r="PAX212" s="371">
        <v>15.38</v>
      </c>
      <c r="PAY212" s="371" t="e">
        <f>PAV212*PAW212*PAX212</f>
        <v>#DIV/0!</v>
      </c>
      <c r="PAZ212" s="367" t="s">
        <v>206</v>
      </c>
      <c r="PBA212" s="367"/>
      <c r="PBB212" s="367"/>
      <c r="PBC212" s="368" t="s">
        <v>168</v>
      </c>
      <c r="PBD212" s="369">
        <v>0.5</v>
      </c>
      <c r="PBE212" s="370" t="e">
        <f>10/PBA210</f>
        <v>#DIV/0!</v>
      </c>
      <c r="PBF212" s="371">
        <v>15.38</v>
      </c>
      <c r="PBG212" s="371" t="e">
        <f>PBD212*PBE212*PBF212</f>
        <v>#DIV/0!</v>
      </c>
      <c r="PBH212" s="367" t="s">
        <v>206</v>
      </c>
      <c r="PBI212" s="367"/>
      <c r="PBJ212" s="367"/>
      <c r="PBK212" s="368" t="s">
        <v>168</v>
      </c>
      <c r="PBL212" s="369">
        <v>0.5</v>
      </c>
      <c r="PBM212" s="370" t="e">
        <f>10/PBI210</f>
        <v>#DIV/0!</v>
      </c>
      <c r="PBN212" s="371">
        <v>15.38</v>
      </c>
      <c r="PBO212" s="371" t="e">
        <f>PBL212*PBM212*PBN212</f>
        <v>#DIV/0!</v>
      </c>
      <c r="PBP212" s="367" t="s">
        <v>206</v>
      </c>
      <c r="PBQ212" s="367"/>
      <c r="PBR212" s="367"/>
      <c r="PBS212" s="368" t="s">
        <v>168</v>
      </c>
      <c r="PBT212" s="369">
        <v>0.5</v>
      </c>
      <c r="PBU212" s="370" t="e">
        <f>10/PBQ210</f>
        <v>#DIV/0!</v>
      </c>
      <c r="PBV212" s="371">
        <v>15.38</v>
      </c>
      <c r="PBW212" s="371" t="e">
        <f>PBT212*PBU212*PBV212</f>
        <v>#DIV/0!</v>
      </c>
      <c r="PBX212" s="367" t="s">
        <v>206</v>
      </c>
      <c r="PBY212" s="367"/>
      <c r="PBZ212" s="367"/>
      <c r="PCA212" s="368" t="s">
        <v>168</v>
      </c>
      <c r="PCB212" s="369">
        <v>0.5</v>
      </c>
      <c r="PCC212" s="370" t="e">
        <f>10/PBY210</f>
        <v>#DIV/0!</v>
      </c>
      <c r="PCD212" s="371">
        <v>15.38</v>
      </c>
      <c r="PCE212" s="371" t="e">
        <f>PCB212*PCC212*PCD212</f>
        <v>#DIV/0!</v>
      </c>
      <c r="PCF212" s="367" t="s">
        <v>206</v>
      </c>
      <c r="PCG212" s="367"/>
      <c r="PCH212" s="367"/>
      <c r="PCI212" s="368" t="s">
        <v>168</v>
      </c>
      <c r="PCJ212" s="369">
        <v>0.5</v>
      </c>
      <c r="PCK212" s="370" t="e">
        <f>10/PCG210</f>
        <v>#DIV/0!</v>
      </c>
      <c r="PCL212" s="371">
        <v>15.38</v>
      </c>
      <c r="PCM212" s="371" t="e">
        <f>PCJ212*PCK212*PCL212</f>
        <v>#DIV/0!</v>
      </c>
      <c r="PCN212" s="367" t="s">
        <v>206</v>
      </c>
      <c r="PCO212" s="367"/>
      <c r="PCP212" s="367"/>
      <c r="PCQ212" s="368" t="s">
        <v>168</v>
      </c>
      <c r="PCR212" s="369">
        <v>0.5</v>
      </c>
      <c r="PCS212" s="370" t="e">
        <f>10/PCO210</f>
        <v>#DIV/0!</v>
      </c>
      <c r="PCT212" s="371">
        <v>15.38</v>
      </c>
      <c r="PCU212" s="371" t="e">
        <f>PCR212*PCS212*PCT212</f>
        <v>#DIV/0!</v>
      </c>
      <c r="PCV212" s="367" t="s">
        <v>206</v>
      </c>
      <c r="PCW212" s="367"/>
      <c r="PCX212" s="367"/>
      <c r="PCY212" s="368" t="s">
        <v>168</v>
      </c>
      <c r="PCZ212" s="369">
        <v>0.5</v>
      </c>
      <c r="PDA212" s="370" t="e">
        <f>10/PCW210</f>
        <v>#DIV/0!</v>
      </c>
      <c r="PDB212" s="371">
        <v>15.38</v>
      </c>
      <c r="PDC212" s="371" t="e">
        <f>PCZ212*PDA212*PDB212</f>
        <v>#DIV/0!</v>
      </c>
      <c r="PDD212" s="367" t="s">
        <v>206</v>
      </c>
      <c r="PDE212" s="367"/>
      <c r="PDF212" s="367"/>
      <c r="PDG212" s="368" t="s">
        <v>168</v>
      </c>
      <c r="PDH212" s="369">
        <v>0.5</v>
      </c>
      <c r="PDI212" s="370" t="e">
        <f>10/PDE210</f>
        <v>#DIV/0!</v>
      </c>
      <c r="PDJ212" s="371">
        <v>15.38</v>
      </c>
      <c r="PDK212" s="371" t="e">
        <f>PDH212*PDI212*PDJ212</f>
        <v>#DIV/0!</v>
      </c>
      <c r="PDL212" s="367" t="s">
        <v>206</v>
      </c>
      <c r="PDM212" s="367"/>
      <c r="PDN212" s="367"/>
      <c r="PDO212" s="368" t="s">
        <v>168</v>
      </c>
      <c r="PDP212" s="369">
        <v>0.5</v>
      </c>
      <c r="PDQ212" s="370" t="e">
        <f>10/PDM210</f>
        <v>#DIV/0!</v>
      </c>
      <c r="PDR212" s="371">
        <v>15.38</v>
      </c>
      <c r="PDS212" s="371" t="e">
        <f>PDP212*PDQ212*PDR212</f>
        <v>#DIV/0!</v>
      </c>
      <c r="PDT212" s="367" t="s">
        <v>206</v>
      </c>
      <c r="PDU212" s="367"/>
      <c r="PDV212" s="367"/>
      <c r="PDW212" s="368" t="s">
        <v>168</v>
      </c>
      <c r="PDX212" s="369">
        <v>0.5</v>
      </c>
      <c r="PDY212" s="370" t="e">
        <f>10/PDU210</f>
        <v>#DIV/0!</v>
      </c>
      <c r="PDZ212" s="371">
        <v>15.38</v>
      </c>
      <c r="PEA212" s="371" t="e">
        <f>PDX212*PDY212*PDZ212</f>
        <v>#DIV/0!</v>
      </c>
      <c r="PEB212" s="367" t="s">
        <v>206</v>
      </c>
      <c r="PEC212" s="367"/>
      <c r="PED212" s="367"/>
      <c r="PEE212" s="368" t="s">
        <v>168</v>
      </c>
      <c r="PEF212" s="369">
        <v>0.5</v>
      </c>
      <c r="PEG212" s="370" t="e">
        <f>10/PEC210</f>
        <v>#DIV/0!</v>
      </c>
      <c r="PEH212" s="371">
        <v>15.38</v>
      </c>
      <c r="PEI212" s="371" t="e">
        <f>PEF212*PEG212*PEH212</f>
        <v>#DIV/0!</v>
      </c>
      <c r="PEJ212" s="367" t="s">
        <v>206</v>
      </c>
      <c r="PEK212" s="367"/>
      <c r="PEL212" s="367"/>
      <c r="PEM212" s="368" t="s">
        <v>168</v>
      </c>
      <c r="PEN212" s="369">
        <v>0.5</v>
      </c>
      <c r="PEO212" s="370" t="e">
        <f>10/PEK210</f>
        <v>#DIV/0!</v>
      </c>
      <c r="PEP212" s="371">
        <v>15.38</v>
      </c>
      <c r="PEQ212" s="371" t="e">
        <f>PEN212*PEO212*PEP212</f>
        <v>#DIV/0!</v>
      </c>
      <c r="PER212" s="367" t="s">
        <v>206</v>
      </c>
      <c r="PES212" s="367"/>
      <c r="PET212" s="367"/>
      <c r="PEU212" s="368" t="s">
        <v>168</v>
      </c>
      <c r="PEV212" s="369">
        <v>0.5</v>
      </c>
      <c r="PEW212" s="370" t="e">
        <f>10/PES210</f>
        <v>#DIV/0!</v>
      </c>
      <c r="PEX212" s="371">
        <v>15.38</v>
      </c>
      <c r="PEY212" s="371" t="e">
        <f>PEV212*PEW212*PEX212</f>
        <v>#DIV/0!</v>
      </c>
      <c r="PEZ212" s="367" t="s">
        <v>206</v>
      </c>
      <c r="PFA212" s="367"/>
      <c r="PFB212" s="367"/>
      <c r="PFC212" s="368" t="s">
        <v>168</v>
      </c>
      <c r="PFD212" s="369">
        <v>0.5</v>
      </c>
      <c r="PFE212" s="370" t="e">
        <f>10/PFA210</f>
        <v>#DIV/0!</v>
      </c>
      <c r="PFF212" s="371">
        <v>15.38</v>
      </c>
      <c r="PFG212" s="371" t="e">
        <f>PFD212*PFE212*PFF212</f>
        <v>#DIV/0!</v>
      </c>
      <c r="PFH212" s="367" t="s">
        <v>206</v>
      </c>
      <c r="PFI212" s="367"/>
      <c r="PFJ212" s="367"/>
      <c r="PFK212" s="368" t="s">
        <v>168</v>
      </c>
      <c r="PFL212" s="369">
        <v>0.5</v>
      </c>
      <c r="PFM212" s="370" t="e">
        <f>10/PFI210</f>
        <v>#DIV/0!</v>
      </c>
      <c r="PFN212" s="371">
        <v>15.38</v>
      </c>
      <c r="PFO212" s="371" t="e">
        <f>PFL212*PFM212*PFN212</f>
        <v>#DIV/0!</v>
      </c>
      <c r="PFP212" s="367" t="s">
        <v>206</v>
      </c>
      <c r="PFQ212" s="367"/>
      <c r="PFR212" s="367"/>
      <c r="PFS212" s="368" t="s">
        <v>168</v>
      </c>
      <c r="PFT212" s="369">
        <v>0.5</v>
      </c>
      <c r="PFU212" s="370" t="e">
        <f>10/PFQ210</f>
        <v>#DIV/0!</v>
      </c>
      <c r="PFV212" s="371">
        <v>15.38</v>
      </c>
      <c r="PFW212" s="371" t="e">
        <f>PFT212*PFU212*PFV212</f>
        <v>#DIV/0!</v>
      </c>
      <c r="PFX212" s="367" t="s">
        <v>206</v>
      </c>
      <c r="PFY212" s="367"/>
      <c r="PFZ212" s="367"/>
      <c r="PGA212" s="368" t="s">
        <v>168</v>
      </c>
      <c r="PGB212" s="369">
        <v>0.5</v>
      </c>
      <c r="PGC212" s="370" t="e">
        <f>10/PFY210</f>
        <v>#DIV/0!</v>
      </c>
      <c r="PGD212" s="371">
        <v>15.38</v>
      </c>
      <c r="PGE212" s="371" t="e">
        <f>PGB212*PGC212*PGD212</f>
        <v>#DIV/0!</v>
      </c>
      <c r="PGF212" s="367" t="s">
        <v>206</v>
      </c>
      <c r="PGG212" s="367"/>
      <c r="PGH212" s="367"/>
      <c r="PGI212" s="368" t="s">
        <v>168</v>
      </c>
      <c r="PGJ212" s="369">
        <v>0.5</v>
      </c>
      <c r="PGK212" s="370" t="e">
        <f>10/PGG210</f>
        <v>#DIV/0!</v>
      </c>
      <c r="PGL212" s="371">
        <v>15.38</v>
      </c>
      <c r="PGM212" s="371" t="e">
        <f>PGJ212*PGK212*PGL212</f>
        <v>#DIV/0!</v>
      </c>
      <c r="PGN212" s="367" t="s">
        <v>206</v>
      </c>
      <c r="PGO212" s="367"/>
      <c r="PGP212" s="367"/>
      <c r="PGQ212" s="368" t="s">
        <v>168</v>
      </c>
      <c r="PGR212" s="369">
        <v>0.5</v>
      </c>
      <c r="PGS212" s="370" t="e">
        <f>10/PGO210</f>
        <v>#DIV/0!</v>
      </c>
      <c r="PGT212" s="371">
        <v>15.38</v>
      </c>
      <c r="PGU212" s="371" t="e">
        <f>PGR212*PGS212*PGT212</f>
        <v>#DIV/0!</v>
      </c>
      <c r="PGV212" s="367" t="s">
        <v>206</v>
      </c>
      <c r="PGW212" s="367"/>
      <c r="PGX212" s="367"/>
      <c r="PGY212" s="368" t="s">
        <v>168</v>
      </c>
      <c r="PGZ212" s="369">
        <v>0.5</v>
      </c>
      <c r="PHA212" s="370" t="e">
        <f>10/PGW210</f>
        <v>#DIV/0!</v>
      </c>
      <c r="PHB212" s="371">
        <v>15.38</v>
      </c>
      <c r="PHC212" s="371" t="e">
        <f>PGZ212*PHA212*PHB212</f>
        <v>#DIV/0!</v>
      </c>
      <c r="PHD212" s="367" t="s">
        <v>206</v>
      </c>
      <c r="PHE212" s="367"/>
      <c r="PHF212" s="367"/>
      <c r="PHG212" s="368" t="s">
        <v>168</v>
      </c>
      <c r="PHH212" s="369">
        <v>0.5</v>
      </c>
      <c r="PHI212" s="370" t="e">
        <f>10/PHE210</f>
        <v>#DIV/0!</v>
      </c>
      <c r="PHJ212" s="371">
        <v>15.38</v>
      </c>
      <c r="PHK212" s="371" t="e">
        <f>PHH212*PHI212*PHJ212</f>
        <v>#DIV/0!</v>
      </c>
      <c r="PHL212" s="367" t="s">
        <v>206</v>
      </c>
      <c r="PHM212" s="367"/>
      <c r="PHN212" s="367"/>
      <c r="PHO212" s="368" t="s">
        <v>168</v>
      </c>
      <c r="PHP212" s="369">
        <v>0.5</v>
      </c>
      <c r="PHQ212" s="370" t="e">
        <f>10/PHM210</f>
        <v>#DIV/0!</v>
      </c>
      <c r="PHR212" s="371">
        <v>15.38</v>
      </c>
      <c r="PHS212" s="371" t="e">
        <f>PHP212*PHQ212*PHR212</f>
        <v>#DIV/0!</v>
      </c>
      <c r="PHT212" s="367" t="s">
        <v>206</v>
      </c>
      <c r="PHU212" s="367"/>
      <c r="PHV212" s="367"/>
      <c r="PHW212" s="368" t="s">
        <v>168</v>
      </c>
      <c r="PHX212" s="369">
        <v>0.5</v>
      </c>
      <c r="PHY212" s="370" t="e">
        <f>10/PHU210</f>
        <v>#DIV/0!</v>
      </c>
      <c r="PHZ212" s="371">
        <v>15.38</v>
      </c>
      <c r="PIA212" s="371" t="e">
        <f>PHX212*PHY212*PHZ212</f>
        <v>#DIV/0!</v>
      </c>
      <c r="PIB212" s="367" t="s">
        <v>206</v>
      </c>
      <c r="PIC212" s="367"/>
      <c r="PID212" s="367"/>
      <c r="PIE212" s="368" t="s">
        <v>168</v>
      </c>
      <c r="PIF212" s="369">
        <v>0.5</v>
      </c>
      <c r="PIG212" s="370" t="e">
        <f>10/PIC210</f>
        <v>#DIV/0!</v>
      </c>
      <c r="PIH212" s="371">
        <v>15.38</v>
      </c>
      <c r="PII212" s="371" t="e">
        <f>PIF212*PIG212*PIH212</f>
        <v>#DIV/0!</v>
      </c>
      <c r="PIJ212" s="367" t="s">
        <v>206</v>
      </c>
      <c r="PIK212" s="367"/>
      <c r="PIL212" s="367"/>
      <c r="PIM212" s="368" t="s">
        <v>168</v>
      </c>
      <c r="PIN212" s="369">
        <v>0.5</v>
      </c>
      <c r="PIO212" s="370" t="e">
        <f>10/PIK210</f>
        <v>#DIV/0!</v>
      </c>
      <c r="PIP212" s="371">
        <v>15.38</v>
      </c>
      <c r="PIQ212" s="371" t="e">
        <f>PIN212*PIO212*PIP212</f>
        <v>#DIV/0!</v>
      </c>
      <c r="PIR212" s="367" t="s">
        <v>206</v>
      </c>
      <c r="PIS212" s="367"/>
      <c r="PIT212" s="367"/>
      <c r="PIU212" s="368" t="s">
        <v>168</v>
      </c>
      <c r="PIV212" s="369">
        <v>0.5</v>
      </c>
      <c r="PIW212" s="370" t="e">
        <f>10/PIS210</f>
        <v>#DIV/0!</v>
      </c>
      <c r="PIX212" s="371">
        <v>15.38</v>
      </c>
      <c r="PIY212" s="371" t="e">
        <f>PIV212*PIW212*PIX212</f>
        <v>#DIV/0!</v>
      </c>
      <c r="PIZ212" s="367" t="s">
        <v>206</v>
      </c>
      <c r="PJA212" s="367"/>
      <c r="PJB212" s="367"/>
      <c r="PJC212" s="368" t="s">
        <v>168</v>
      </c>
      <c r="PJD212" s="369">
        <v>0.5</v>
      </c>
      <c r="PJE212" s="370" t="e">
        <f>10/PJA210</f>
        <v>#DIV/0!</v>
      </c>
      <c r="PJF212" s="371">
        <v>15.38</v>
      </c>
      <c r="PJG212" s="371" t="e">
        <f>PJD212*PJE212*PJF212</f>
        <v>#DIV/0!</v>
      </c>
      <c r="PJH212" s="367" t="s">
        <v>206</v>
      </c>
      <c r="PJI212" s="367"/>
      <c r="PJJ212" s="367"/>
      <c r="PJK212" s="368" t="s">
        <v>168</v>
      </c>
      <c r="PJL212" s="369">
        <v>0.5</v>
      </c>
      <c r="PJM212" s="370" t="e">
        <f>10/PJI210</f>
        <v>#DIV/0!</v>
      </c>
      <c r="PJN212" s="371">
        <v>15.38</v>
      </c>
      <c r="PJO212" s="371" t="e">
        <f>PJL212*PJM212*PJN212</f>
        <v>#DIV/0!</v>
      </c>
      <c r="PJP212" s="367" t="s">
        <v>206</v>
      </c>
      <c r="PJQ212" s="367"/>
      <c r="PJR212" s="367"/>
      <c r="PJS212" s="368" t="s">
        <v>168</v>
      </c>
      <c r="PJT212" s="369">
        <v>0.5</v>
      </c>
      <c r="PJU212" s="370" t="e">
        <f>10/PJQ210</f>
        <v>#DIV/0!</v>
      </c>
      <c r="PJV212" s="371">
        <v>15.38</v>
      </c>
      <c r="PJW212" s="371" t="e">
        <f>PJT212*PJU212*PJV212</f>
        <v>#DIV/0!</v>
      </c>
      <c r="PJX212" s="367" t="s">
        <v>206</v>
      </c>
      <c r="PJY212" s="367"/>
      <c r="PJZ212" s="367"/>
      <c r="PKA212" s="368" t="s">
        <v>168</v>
      </c>
      <c r="PKB212" s="369">
        <v>0.5</v>
      </c>
      <c r="PKC212" s="370" t="e">
        <f>10/PJY210</f>
        <v>#DIV/0!</v>
      </c>
      <c r="PKD212" s="371">
        <v>15.38</v>
      </c>
      <c r="PKE212" s="371" t="e">
        <f>PKB212*PKC212*PKD212</f>
        <v>#DIV/0!</v>
      </c>
      <c r="PKF212" s="367" t="s">
        <v>206</v>
      </c>
      <c r="PKG212" s="367"/>
      <c r="PKH212" s="367"/>
      <c r="PKI212" s="368" t="s">
        <v>168</v>
      </c>
      <c r="PKJ212" s="369">
        <v>0.5</v>
      </c>
      <c r="PKK212" s="370" t="e">
        <f>10/PKG210</f>
        <v>#DIV/0!</v>
      </c>
      <c r="PKL212" s="371">
        <v>15.38</v>
      </c>
      <c r="PKM212" s="371" t="e">
        <f>PKJ212*PKK212*PKL212</f>
        <v>#DIV/0!</v>
      </c>
      <c r="PKN212" s="367" t="s">
        <v>206</v>
      </c>
      <c r="PKO212" s="367"/>
      <c r="PKP212" s="367"/>
      <c r="PKQ212" s="368" t="s">
        <v>168</v>
      </c>
      <c r="PKR212" s="369">
        <v>0.5</v>
      </c>
      <c r="PKS212" s="370" t="e">
        <f>10/PKO210</f>
        <v>#DIV/0!</v>
      </c>
      <c r="PKT212" s="371">
        <v>15.38</v>
      </c>
      <c r="PKU212" s="371" t="e">
        <f>PKR212*PKS212*PKT212</f>
        <v>#DIV/0!</v>
      </c>
      <c r="PKV212" s="367" t="s">
        <v>206</v>
      </c>
      <c r="PKW212" s="367"/>
      <c r="PKX212" s="367"/>
      <c r="PKY212" s="368" t="s">
        <v>168</v>
      </c>
      <c r="PKZ212" s="369">
        <v>0.5</v>
      </c>
      <c r="PLA212" s="370" t="e">
        <f>10/PKW210</f>
        <v>#DIV/0!</v>
      </c>
      <c r="PLB212" s="371">
        <v>15.38</v>
      </c>
      <c r="PLC212" s="371" t="e">
        <f>PKZ212*PLA212*PLB212</f>
        <v>#DIV/0!</v>
      </c>
      <c r="PLD212" s="367" t="s">
        <v>206</v>
      </c>
      <c r="PLE212" s="367"/>
      <c r="PLF212" s="367"/>
      <c r="PLG212" s="368" t="s">
        <v>168</v>
      </c>
      <c r="PLH212" s="369">
        <v>0.5</v>
      </c>
      <c r="PLI212" s="370" t="e">
        <f>10/PLE210</f>
        <v>#DIV/0!</v>
      </c>
      <c r="PLJ212" s="371">
        <v>15.38</v>
      </c>
      <c r="PLK212" s="371" t="e">
        <f>PLH212*PLI212*PLJ212</f>
        <v>#DIV/0!</v>
      </c>
      <c r="PLL212" s="367" t="s">
        <v>206</v>
      </c>
      <c r="PLM212" s="367"/>
      <c r="PLN212" s="367"/>
      <c r="PLO212" s="368" t="s">
        <v>168</v>
      </c>
      <c r="PLP212" s="369">
        <v>0.5</v>
      </c>
      <c r="PLQ212" s="370" t="e">
        <f>10/PLM210</f>
        <v>#DIV/0!</v>
      </c>
      <c r="PLR212" s="371">
        <v>15.38</v>
      </c>
      <c r="PLS212" s="371" t="e">
        <f>PLP212*PLQ212*PLR212</f>
        <v>#DIV/0!</v>
      </c>
      <c r="PLT212" s="367" t="s">
        <v>206</v>
      </c>
      <c r="PLU212" s="367"/>
      <c r="PLV212" s="367"/>
      <c r="PLW212" s="368" t="s">
        <v>168</v>
      </c>
      <c r="PLX212" s="369">
        <v>0.5</v>
      </c>
      <c r="PLY212" s="370" t="e">
        <f>10/PLU210</f>
        <v>#DIV/0!</v>
      </c>
      <c r="PLZ212" s="371">
        <v>15.38</v>
      </c>
      <c r="PMA212" s="371" t="e">
        <f>PLX212*PLY212*PLZ212</f>
        <v>#DIV/0!</v>
      </c>
      <c r="PMB212" s="367" t="s">
        <v>206</v>
      </c>
      <c r="PMC212" s="367"/>
      <c r="PMD212" s="367"/>
      <c r="PME212" s="368" t="s">
        <v>168</v>
      </c>
      <c r="PMF212" s="369">
        <v>0.5</v>
      </c>
      <c r="PMG212" s="370" t="e">
        <f>10/PMC210</f>
        <v>#DIV/0!</v>
      </c>
      <c r="PMH212" s="371">
        <v>15.38</v>
      </c>
      <c r="PMI212" s="371" t="e">
        <f>PMF212*PMG212*PMH212</f>
        <v>#DIV/0!</v>
      </c>
      <c r="PMJ212" s="367" t="s">
        <v>206</v>
      </c>
      <c r="PMK212" s="367"/>
      <c r="PML212" s="367"/>
      <c r="PMM212" s="368" t="s">
        <v>168</v>
      </c>
      <c r="PMN212" s="369">
        <v>0.5</v>
      </c>
      <c r="PMO212" s="370" t="e">
        <f>10/PMK210</f>
        <v>#DIV/0!</v>
      </c>
      <c r="PMP212" s="371">
        <v>15.38</v>
      </c>
      <c r="PMQ212" s="371" t="e">
        <f>PMN212*PMO212*PMP212</f>
        <v>#DIV/0!</v>
      </c>
      <c r="PMR212" s="367" t="s">
        <v>206</v>
      </c>
      <c r="PMS212" s="367"/>
      <c r="PMT212" s="367"/>
      <c r="PMU212" s="368" t="s">
        <v>168</v>
      </c>
      <c r="PMV212" s="369">
        <v>0.5</v>
      </c>
      <c r="PMW212" s="370" t="e">
        <f>10/PMS210</f>
        <v>#DIV/0!</v>
      </c>
      <c r="PMX212" s="371">
        <v>15.38</v>
      </c>
      <c r="PMY212" s="371" t="e">
        <f>PMV212*PMW212*PMX212</f>
        <v>#DIV/0!</v>
      </c>
      <c r="PMZ212" s="367" t="s">
        <v>206</v>
      </c>
      <c r="PNA212" s="367"/>
      <c r="PNB212" s="367"/>
      <c r="PNC212" s="368" t="s">
        <v>168</v>
      </c>
      <c r="PND212" s="369">
        <v>0.5</v>
      </c>
      <c r="PNE212" s="370" t="e">
        <f>10/PNA210</f>
        <v>#DIV/0!</v>
      </c>
      <c r="PNF212" s="371">
        <v>15.38</v>
      </c>
      <c r="PNG212" s="371" t="e">
        <f>PND212*PNE212*PNF212</f>
        <v>#DIV/0!</v>
      </c>
      <c r="PNH212" s="367" t="s">
        <v>206</v>
      </c>
      <c r="PNI212" s="367"/>
      <c r="PNJ212" s="367"/>
      <c r="PNK212" s="368" t="s">
        <v>168</v>
      </c>
      <c r="PNL212" s="369">
        <v>0.5</v>
      </c>
      <c r="PNM212" s="370" t="e">
        <f>10/PNI210</f>
        <v>#DIV/0!</v>
      </c>
      <c r="PNN212" s="371">
        <v>15.38</v>
      </c>
      <c r="PNO212" s="371" t="e">
        <f>PNL212*PNM212*PNN212</f>
        <v>#DIV/0!</v>
      </c>
      <c r="PNP212" s="367" t="s">
        <v>206</v>
      </c>
      <c r="PNQ212" s="367"/>
      <c r="PNR212" s="367"/>
      <c r="PNS212" s="368" t="s">
        <v>168</v>
      </c>
      <c r="PNT212" s="369">
        <v>0.5</v>
      </c>
      <c r="PNU212" s="370" t="e">
        <f>10/PNQ210</f>
        <v>#DIV/0!</v>
      </c>
      <c r="PNV212" s="371">
        <v>15.38</v>
      </c>
      <c r="PNW212" s="371" t="e">
        <f>PNT212*PNU212*PNV212</f>
        <v>#DIV/0!</v>
      </c>
      <c r="PNX212" s="367" t="s">
        <v>206</v>
      </c>
      <c r="PNY212" s="367"/>
      <c r="PNZ212" s="367"/>
      <c r="POA212" s="368" t="s">
        <v>168</v>
      </c>
      <c r="POB212" s="369">
        <v>0.5</v>
      </c>
      <c r="POC212" s="370" t="e">
        <f>10/PNY210</f>
        <v>#DIV/0!</v>
      </c>
      <c r="POD212" s="371">
        <v>15.38</v>
      </c>
      <c r="POE212" s="371" t="e">
        <f>POB212*POC212*POD212</f>
        <v>#DIV/0!</v>
      </c>
      <c r="POF212" s="367" t="s">
        <v>206</v>
      </c>
      <c r="POG212" s="367"/>
      <c r="POH212" s="367"/>
      <c r="POI212" s="368" t="s">
        <v>168</v>
      </c>
      <c r="POJ212" s="369">
        <v>0.5</v>
      </c>
      <c r="POK212" s="370" t="e">
        <f>10/POG210</f>
        <v>#DIV/0!</v>
      </c>
      <c r="POL212" s="371">
        <v>15.38</v>
      </c>
      <c r="POM212" s="371" t="e">
        <f>POJ212*POK212*POL212</f>
        <v>#DIV/0!</v>
      </c>
      <c r="PON212" s="367" t="s">
        <v>206</v>
      </c>
      <c r="POO212" s="367"/>
      <c r="POP212" s="367"/>
      <c r="POQ212" s="368" t="s">
        <v>168</v>
      </c>
      <c r="POR212" s="369">
        <v>0.5</v>
      </c>
      <c r="POS212" s="370" t="e">
        <f>10/POO210</f>
        <v>#DIV/0!</v>
      </c>
      <c r="POT212" s="371">
        <v>15.38</v>
      </c>
      <c r="POU212" s="371" t="e">
        <f>POR212*POS212*POT212</f>
        <v>#DIV/0!</v>
      </c>
      <c r="POV212" s="367" t="s">
        <v>206</v>
      </c>
      <c r="POW212" s="367"/>
      <c r="POX212" s="367"/>
      <c r="POY212" s="368" t="s">
        <v>168</v>
      </c>
      <c r="POZ212" s="369">
        <v>0.5</v>
      </c>
      <c r="PPA212" s="370" t="e">
        <f>10/POW210</f>
        <v>#DIV/0!</v>
      </c>
      <c r="PPB212" s="371">
        <v>15.38</v>
      </c>
      <c r="PPC212" s="371" t="e">
        <f>POZ212*PPA212*PPB212</f>
        <v>#DIV/0!</v>
      </c>
      <c r="PPD212" s="367" t="s">
        <v>206</v>
      </c>
      <c r="PPE212" s="367"/>
      <c r="PPF212" s="367"/>
      <c r="PPG212" s="368" t="s">
        <v>168</v>
      </c>
      <c r="PPH212" s="369">
        <v>0.5</v>
      </c>
      <c r="PPI212" s="370" t="e">
        <f>10/PPE210</f>
        <v>#DIV/0!</v>
      </c>
      <c r="PPJ212" s="371">
        <v>15.38</v>
      </c>
      <c r="PPK212" s="371" t="e">
        <f>PPH212*PPI212*PPJ212</f>
        <v>#DIV/0!</v>
      </c>
      <c r="PPL212" s="367" t="s">
        <v>206</v>
      </c>
      <c r="PPM212" s="367"/>
      <c r="PPN212" s="367"/>
      <c r="PPO212" s="368" t="s">
        <v>168</v>
      </c>
      <c r="PPP212" s="369">
        <v>0.5</v>
      </c>
      <c r="PPQ212" s="370" t="e">
        <f>10/PPM210</f>
        <v>#DIV/0!</v>
      </c>
      <c r="PPR212" s="371">
        <v>15.38</v>
      </c>
      <c r="PPS212" s="371" t="e">
        <f>PPP212*PPQ212*PPR212</f>
        <v>#DIV/0!</v>
      </c>
      <c r="PPT212" s="367" t="s">
        <v>206</v>
      </c>
      <c r="PPU212" s="367"/>
      <c r="PPV212" s="367"/>
      <c r="PPW212" s="368" t="s">
        <v>168</v>
      </c>
      <c r="PPX212" s="369">
        <v>0.5</v>
      </c>
      <c r="PPY212" s="370" t="e">
        <f>10/PPU210</f>
        <v>#DIV/0!</v>
      </c>
      <c r="PPZ212" s="371">
        <v>15.38</v>
      </c>
      <c r="PQA212" s="371" t="e">
        <f>PPX212*PPY212*PPZ212</f>
        <v>#DIV/0!</v>
      </c>
      <c r="PQB212" s="367" t="s">
        <v>206</v>
      </c>
      <c r="PQC212" s="367"/>
      <c r="PQD212" s="367"/>
      <c r="PQE212" s="368" t="s">
        <v>168</v>
      </c>
      <c r="PQF212" s="369">
        <v>0.5</v>
      </c>
      <c r="PQG212" s="370" t="e">
        <f>10/PQC210</f>
        <v>#DIV/0!</v>
      </c>
      <c r="PQH212" s="371">
        <v>15.38</v>
      </c>
      <c r="PQI212" s="371" t="e">
        <f>PQF212*PQG212*PQH212</f>
        <v>#DIV/0!</v>
      </c>
      <c r="PQJ212" s="367" t="s">
        <v>206</v>
      </c>
      <c r="PQK212" s="367"/>
      <c r="PQL212" s="367"/>
      <c r="PQM212" s="368" t="s">
        <v>168</v>
      </c>
      <c r="PQN212" s="369">
        <v>0.5</v>
      </c>
      <c r="PQO212" s="370" t="e">
        <f>10/PQK210</f>
        <v>#DIV/0!</v>
      </c>
      <c r="PQP212" s="371">
        <v>15.38</v>
      </c>
      <c r="PQQ212" s="371" t="e">
        <f>PQN212*PQO212*PQP212</f>
        <v>#DIV/0!</v>
      </c>
      <c r="PQR212" s="367" t="s">
        <v>206</v>
      </c>
      <c r="PQS212" s="367"/>
      <c r="PQT212" s="367"/>
      <c r="PQU212" s="368" t="s">
        <v>168</v>
      </c>
      <c r="PQV212" s="369">
        <v>0.5</v>
      </c>
      <c r="PQW212" s="370" t="e">
        <f>10/PQS210</f>
        <v>#DIV/0!</v>
      </c>
      <c r="PQX212" s="371">
        <v>15.38</v>
      </c>
      <c r="PQY212" s="371" t="e">
        <f>PQV212*PQW212*PQX212</f>
        <v>#DIV/0!</v>
      </c>
      <c r="PQZ212" s="367" t="s">
        <v>206</v>
      </c>
      <c r="PRA212" s="367"/>
      <c r="PRB212" s="367"/>
      <c r="PRC212" s="368" t="s">
        <v>168</v>
      </c>
      <c r="PRD212" s="369">
        <v>0.5</v>
      </c>
      <c r="PRE212" s="370" t="e">
        <f>10/PRA210</f>
        <v>#DIV/0!</v>
      </c>
      <c r="PRF212" s="371">
        <v>15.38</v>
      </c>
      <c r="PRG212" s="371" t="e">
        <f>PRD212*PRE212*PRF212</f>
        <v>#DIV/0!</v>
      </c>
      <c r="PRH212" s="367" t="s">
        <v>206</v>
      </c>
      <c r="PRI212" s="367"/>
      <c r="PRJ212" s="367"/>
      <c r="PRK212" s="368" t="s">
        <v>168</v>
      </c>
      <c r="PRL212" s="369">
        <v>0.5</v>
      </c>
      <c r="PRM212" s="370" t="e">
        <f>10/PRI210</f>
        <v>#DIV/0!</v>
      </c>
      <c r="PRN212" s="371">
        <v>15.38</v>
      </c>
      <c r="PRO212" s="371" t="e">
        <f>PRL212*PRM212*PRN212</f>
        <v>#DIV/0!</v>
      </c>
      <c r="PRP212" s="367" t="s">
        <v>206</v>
      </c>
      <c r="PRQ212" s="367"/>
      <c r="PRR212" s="367"/>
      <c r="PRS212" s="368" t="s">
        <v>168</v>
      </c>
      <c r="PRT212" s="369">
        <v>0.5</v>
      </c>
      <c r="PRU212" s="370" t="e">
        <f>10/PRQ210</f>
        <v>#DIV/0!</v>
      </c>
      <c r="PRV212" s="371">
        <v>15.38</v>
      </c>
      <c r="PRW212" s="371" t="e">
        <f>PRT212*PRU212*PRV212</f>
        <v>#DIV/0!</v>
      </c>
      <c r="PRX212" s="367" t="s">
        <v>206</v>
      </c>
      <c r="PRY212" s="367"/>
      <c r="PRZ212" s="367"/>
      <c r="PSA212" s="368" t="s">
        <v>168</v>
      </c>
      <c r="PSB212" s="369">
        <v>0.5</v>
      </c>
      <c r="PSC212" s="370" t="e">
        <f>10/PRY210</f>
        <v>#DIV/0!</v>
      </c>
      <c r="PSD212" s="371">
        <v>15.38</v>
      </c>
      <c r="PSE212" s="371" t="e">
        <f>PSB212*PSC212*PSD212</f>
        <v>#DIV/0!</v>
      </c>
      <c r="PSF212" s="367" t="s">
        <v>206</v>
      </c>
      <c r="PSG212" s="367"/>
      <c r="PSH212" s="367"/>
      <c r="PSI212" s="368" t="s">
        <v>168</v>
      </c>
      <c r="PSJ212" s="369">
        <v>0.5</v>
      </c>
      <c r="PSK212" s="370" t="e">
        <f>10/PSG210</f>
        <v>#DIV/0!</v>
      </c>
      <c r="PSL212" s="371">
        <v>15.38</v>
      </c>
      <c r="PSM212" s="371" t="e">
        <f>PSJ212*PSK212*PSL212</f>
        <v>#DIV/0!</v>
      </c>
      <c r="PSN212" s="367" t="s">
        <v>206</v>
      </c>
      <c r="PSO212" s="367"/>
      <c r="PSP212" s="367"/>
      <c r="PSQ212" s="368" t="s">
        <v>168</v>
      </c>
      <c r="PSR212" s="369">
        <v>0.5</v>
      </c>
      <c r="PSS212" s="370" t="e">
        <f>10/PSO210</f>
        <v>#DIV/0!</v>
      </c>
      <c r="PST212" s="371">
        <v>15.38</v>
      </c>
      <c r="PSU212" s="371" t="e">
        <f>PSR212*PSS212*PST212</f>
        <v>#DIV/0!</v>
      </c>
      <c r="PSV212" s="367" t="s">
        <v>206</v>
      </c>
      <c r="PSW212" s="367"/>
      <c r="PSX212" s="367"/>
      <c r="PSY212" s="368" t="s">
        <v>168</v>
      </c>
      <c r="PSZ212" s="369">
        <v>0.5</v>
      </c>
      <c r="PTA212" s="370" t="e">
        <f>10/PSW210</f>
        <v>#DIV/0!</v>
      </c>
      <c r="PTB212" s="371">
        <v>15.38</v>
      </c>
      <c r="PTC212" s="371" t="e">
        <f>PSZ212*PTA212*PTB212</f>
        <v>#DIV/0!</v>
      </c>
      <c r="PTD212" s="367" t="s">
        <v>206</v>
      </c>
      <c r="PTE212" s="367"/>
      <c r="PTF212" s="367"/>
      <c r="PTG212" s="368" t="s">
        <v>168</v>
      </c>
      <c r="PTH212" s="369">
        <v>0.5</v>
      </c>
      <c r="PTI212" s="370" t="e">
        <f>10/PTE210</f>
        <v>#DIV/0!</v>
      </c>
      <c r="PTJ212" s="371">
        <v>15.38</v>
      </c>
      <c r="PTK212" s="371" t="e">
        <f>PTH212*PTI212*PTJ212</f>
        <v>#DIV/0!</v>
      </c>
      <c r="PTL212" s="367" t="s">
        <v>206</v>
      </c>
      <c r="PTM212" s="367"/>
      <c r="PTN212" s="367"/>
      <c r="PTO212" s="368" t="s">
        <v>168</v>
      </c>
      <c r="PTP212" s="369">
        <v>0.5</v>
      </c>
      <c r="PTQ212" s="370" t="e">
        <f>10/PTM210</f>
        <v>#DIV/0!</v>
      </c>
      <c r="PTR212" s="371">
        <v>15.38</v>
      </c>
      <c r="PTS212" s="371" t="e">
        <f>PTP212*PTQ212*PTR212</f>
        <v>#DIV/0!</v>
      </c>
      <c r="PTT212" s="367" t="s">
        <v>206</v>
      </c>
      <c r="PTU212" s="367"/>
      <c r="PTV212" s="367"/>
      <c r="PTW212" s="368" t="s">
        <v>168</v>
      </c>
      <c r="PTX212" s="369">
        <v>0.5</v>
      </c>
      <c r="PTY212" s="370" t="e">
        <f>10/PTU210</f>
        <v>#DIV/0!</v>
      </c>
      <c r="PTZ212" s="371">
        <v>15.38</v>
      </c>
      <c r="PUA212" s="371" t="e">
        <f>PTX212*PTY212*PTZ212</f>
        <v>#DIV/0!</v>
      </c>
      <c r="PUB212" s="367" t="s">
        <v>206</v>
      </c>
      <c r="PUC212" s="367"/>
      <c r="PUD212" s="367"/>
      <c r="PUE212" s="368" t="s">
        <v>168</v>
      </c>
      <c r="PUF212" s="369">
        <v>0.5</v>
      </c>
      <c r="PUG212" s="370" t="e">
        <f>10/PUC210</f>
        <v>#DIV/0!</v>
      </c>
      <c r="PUH212" s="371">
        <v>15.38</v>
      </c>
      <c r="PUI212" s="371" t="e">
        <f>PUF212*PUG212*PUH212</f>
        <v>#DIV/0!</v>
      </c>
      <c r="PUJ212" s="367" t="s">
        <v>206</v>
      </c>
      <c r="PUK212" s="367"/>
      <c r="PUL212" s="367"/>
      <c r="PUM212" s="368" t="s">
        <v>168</v>
      </c>
      <c r="PUN212" s="369">
        <v>0.5</v>
      </c>
      <c r="PUO212" s="370" t="e">
        <f>10/PUK210</f>
        <v>#DIV/0!</v>
      </c>
      <c r="PUP212" s="371">
        <v>15.38</v>
      </c>
      <c r="PUQ212" s="371" t="e">
        <f>PUN212*PUO212*PUP212</f>
        <v>#DIV/0!</v>
      </c>
      <c r="PUR212" s="367" t="s">
        <v>206</v>
      </c>
      <c r="PUS212" s="367"/>
      <c r="PUT212" s="367"/>
      <c r="PUU212" s="368" t="s">
        <v>168</v>
      </c>
      <c r="PUV212" s="369">
        <v>0.5</v>
      </c>
      <c r="PUW212" s="370" t="e">
        <f>10/PUS210</f>
        <v>#DIV/0!</v>
      </c>
      <c r="PUX212" s="371">
        <v>15.38</v>
      </c>
      <c r="PUY212" s="371" t="e">
        <f>PUV212*PUW212*PUX212</f>
        <v>#DIV/0!</v>
      </c>
      <c r="PUZ212" s="367" t="s">
        <v>206</v>
      </c>
      <c r="PVA212" s="367"/>
      <c r="PVB212" s="367"/>
      <c r="PVC212" s="368" t="s">
        <v>168</v>
      </c>
      <c r="PVD212" s="369">
        <v>0.5</v>
      </c>
      <c r="PVE212" s="370" t="e">
        <f>10/PVA210</f>
        <v>#DIV/0!</v>
      </c>
      <c r="PVF212" s="371">
        <v>15.38</v>
      </c>
      <c r="PVG212" s="371" t="e">
        <f>PVD212*PVE212*PVF212</f>
        <v>#DIV/0!</v>
      </c>
      <c r="PVH212" s="367" t="s">
        <v>206</v>
      </c>
      <c r="PVI212" s="367"/>
      <c r="PVJ212" s="367"/>
      <c r="PVK212" s="368" t="s">
        <v>168</v>
      </c>
      <c r="PVL212" s="369">
        <v>0.5</v>
      </c>
      <c r="PVM212" s="370" t="e">
        <f>10/PVI210</f>
        <v>#DIV/0!</v>
      </c>
      <c r="PVN212" s="371">
        <v>15.38</v>
      </c>
      <c r="PVO212" s="371" t="e">
        <f>PVL212*PVM212*PVN212</f>
        <v>#DIV/0!</v>
      </c>
      <c r="PVP212" s="367" t="s">
        <v>206</v>
      </c>
      <c r="PVQ212" s="367"/>
      <c r="PVR212" s="367"/>
      <c r="PVS212" s="368" t="s">
        <v>168</v>
      </c>
      <c r="PVT212" s="369">
        <v>0.5</v>
      </c>
      <c r="PVU212" s="370" t="e">
        <f>10/PVQ210</f>
        <v>#DIV/0!</v>
      </c>
      <c r="PVV212" s="371">
        <v>15.38</v>
      </c>
      <c r="PVW212" s="371" t="e">
        <f>PVT212*PVU212*PVV212</f>
        <v>#DIV/0!</v>
      </c>
      <c r="PVX212" s="367" t="s">
        <v>206</v>
      </c>
      <c r="PVY212" s="367"/>
      <c r="PVZ212" s="367"/>
      <c r="PWA212" s="368" t="s">
        <v>168</v>
      </c>
      <c r="PWB212" s="369">
        <v>0.5</v>
      </c>
      <c r="PWC212" s="370" t="e">
        <f>10/PVY210</f>
        <v>#DIV/0!</v>
      </c>
      <c r="PWD212" s="371">
        <v>15.38</v>
      </c>
      <c r="PWE212" s="371" t="e">
        <f>PWB212*PWC212*PWD212</f>
        <v>#DIV/0!</v>
      </c>
      <c r="PWF212" s="367" t="s">
        <v>206</v>
      </c>
      <c r="PWG212" s="367"/>
      <c r="PWH212" s="367"/>
      <c r="PWI212" s="368" t="s">
        <v>168</v>
      </c>
      <c r="PWJ212" s="369">
        <v>0.5</v>
      </c>
      <c r="PWK212" s="370" t="e">
        <f>10/PWG210</f>
        <v>#DIV/0!</v>
      </c>
      <c r="PWL212" s="371">
        <v>15.38</v>
      </c>
      <c r="PWM212" s="371" t="e">
        <f>PWJ212*PWK212*PWL212</f>
        <v>#DIV/0!</v>
      </c>
      <c r="PWN212" s="367" t="s">
        <v>206</v>
      </c>
      <c r="PWO212" s="367"/>
      <c r="PWP212" s="367"/>
      <c r="PWQ212" s="368" t="s">
        <v>168</v>
      </c>
      <c r="PWR212" s="369">
        <v>0.5</v>
      </c>
      <c r="PWS212" s="370" t="e">
        <f>10/PWO210</f>
        <v>#DIV/0!</v>
      </c>
      <c r="PWT212" s="371">
        <v>15.38</v>
      </c>
      <c r="PWU212" s="371" t="e">
        <f>PWR212*PWS212*PWT212</f>
        <v>#DIV/0!</v>
      </c>
      <c r="PWV212" s="367" t="s">
        <v>206</v>
      </c>
      <c r="PWW212" s="367"/>
      <c r="PWX212" s="367"/>
      <c r="PWY212" s="368" t="s">
        <v>168</v>
      </c>
      <c r="PWZ212" s="369">
        <v>0.5</v>
      </c>
      <c r="PXA212" s="370" t="e">
        <f>10/PWW210</f>
        <v>#DIV/0!</v>
      </c>
      <c r="PXB212" s="371">
        <v>15.38</v>
      </c>
      <c r="PXC212" s="371" t="e">
        <f>PWZ212*PXA212*PXB212</f>
        <v>#DIV/0!</v>
      </c>
      <c r="PXD212" s="367" t="s">
        <v>206</v>
      </c>
      <c r="PXE212" s="367"/>
      <c r="PXF212" s="367"/>
      <c r="PXG212" s="368" t="s">
        <v>168</v>
      </c>
      <c r="PXH212" s="369">
        <v>0.5</v>
      </c>
      <c r="PXI212" s="370" t="e">
        <f>10/PXE210</f>
        <v>#DIV/0!</v>
      </c>
      <c r="PXJ212" s="371">
        <v>15.38</v>
      </c>
      <c r="PXK212" s="371" t="e">
        <f>PXH212*PXI212*PXJ212</f>
        <v>#DIV/0!</v>
      </c>
      <c r="PXL212" s="367" t="s">
        <v>206</v>
      </c>
      <c r="PXM212" s="367"/>
      <c r="PXN212" s="367"/>
      <c r="PXO212" s="368" t="s">
        <v>168</v>
      </c>
      <c r="PXP212" s="369">
        <v>0.5</v>
      </c>
      <c r="PXQ212" s="370" t="e">
        <f>10/PXM210</f>
        <v>#DIV/0!</v>
      </c>
      <c r="PXR212" s="371">
        <v>15.38</v>
      </c>
      <c r="PXS212" s="371" t="e">
        <f>PXP212*PXQ212*PXR212</f>
        <v>#DIV/0!</v>
      </c>
      <c r="PXT212" s="367" t="s">
        <v>206</v>
      </c>
      <c r="PXU212" s="367"/>
      <c r="PXV212" s="367"/>
      <c r="PXW212" s="368" t="s">
        <v>168</v>
      </c>
      <c r="PXX212" s="369">
        <v>0.5</v>
      </c>
      <c r="PXY212" s="370" t="e">
        <f>10/PXU210</f>
        <v>#DIV/0!</v>
      </c>
      <c r="PXZ212" s="371">
        <v>15.38</v>
      </c>
      <c r="PYA212" s="371" t="e">
        <f>PXX212*PXY212*PXZ212</f>
        <v>#DIV/0!</v>
      </c>
      <c r="PYB212" s="367" t="s">
        <v>206</v>
      </c>
      <c r="PYC212" s="367"/>
      <c r="PYD212" s="367"/>
      <c r="PYE212" s="368" t="s">
        <v>168</v>
      </c>
      <c r="PYF212" s="369">
        <v>0.5</v>
      </c>
      <c r="PYG212" s="370" t="e">
        <f>10/PYC210</f>
        <v>#DIV/0!</v>
      </c>
      <c r="PYH212" s="371">
        <v>15.38</v>
      </c>
      <c r="PYI212" s="371" t="e">
        <f>PYF212*PYG212*PYH212</f>
        <v>#DIV/0!</v>
      </c>
      <c r="PYJ212" s="367" t="s">
        <v>206</v>
      </c>
      <c r="PYK212" s="367"/>
      <c r="PYL212" s="367"/>
      <c r="PYM212" s="368" t="s">
        <v>168</v>
      </c>
      <c r="PYN212" s="369">
        <v>0.5</v>
      </c>
      <c r="PYO212" s="370" t="e">
        <f>10/PYK210</f>
        <v>#DIV/0!</v>
      </c>
      <c r="PYP212" s="371">
        <v>15.38</v>
      </c>
      <c r="PYQ212" s="371" t="e">
        <f>PYN212*PYO212*PYP212</f>
        <v>#DIV/0!</v>
      </c>
      <c r="PYR212" s="367" t="s">
        <v>206</v>
      </c>
      <c r="PYS212" s="367"/>
      <c r="PYT212" s="367"/>
      <c r="PYU212" s="368" t="s">
        <v>168</v>
      </c>
      <c r="PYV212" s="369">
        <v>0.5</v>
      </c>
      <c r="PYW212" s="370" t="e">
        <f>10/PYS210</f>
        <v>#DIV/0!</v>
      </c>
      <c r="PYX212" s="371">
        <v>15.38</v>
      </c>
      <c r="PYY212" s="371" t="e">
        <f>PYV212*PYW212*PYX212</f>
        <v>#DIV/0!</v>
      </c>
      <c r="PYZ212" s="367" t="s">
        <v>206</v>
      </c>
      <c r="PZA212" s="367"/>
      <c r="PZB212" s="367"/>
      <c r="PZC212" s="368" t="s">
        <v>168</v>
      </c>
      <c r="PZD212" s="369">
        <v>0.5</v>
      </c>
      <c r="PZE212" s="370" t="e">
        <f>10/PZA210</f>
        <v>#DIV/0!</v>
      </c>
      <c r="PZF212" s="371">
        <v>15.38</v>
      </c>
      <c r="PZG212" s="371" t="e">
        <f>PZD212*PZE212*PZF212</f>
        <v>#DIV/0!</v>
      </c>
      <c r="PZH212" s="367" t="s">
        <v>206</v>
      </c>
      <c r="PZI212" s="367"/>
      <c r="PZJ212" s="367"/>
      <c r="PZK212" s="368" t="s">
        <v>168</v>
      </c>
      <c r="PZL212" s="369">
        <v>0.5</v>
      </c>
      <c r="PZM212" s="370" t="e">
        <f>10/PZI210</f>
        <v>#DIV/0!</v>
      </c>
      <c r="PZN212" s="371">
        <v>15.38</v>
      </c>
      <c r="PZO212" s="371" t="e">
        <f>PZL212*PZM212*PZN212</f>
        <v>#DIV/0!</v>
      </c>
      <c r="PZP212" s="367" t="s">
        <v>206</v>
      </c>
      <c r="PZQ212" s="367"/>
      <c r="PZR212" s="367"/>
      <c r="PZS212" s="368" t="s">
        <v>168</v>
      </c>
      <c r="PZT212" s="369">
        <v>0.5</v>
      </c>
      <c r="PZU212" s="370" t="e">
        <f>10/PZQ210</f>
        <v>#DIV/0!</v>
      </c>
      <c r="PZV212" s="371">
        <v>15.38</v>
      </c>
      <c r="PZW212" s="371" t="e">
        <f>PZT212*PZU212*PZV212</f>
        <v>#DIV/0!</v>
      </c>
      <c r="PZX212" s="367" t="s">
        <v>206</v>
      </c>
      <c r="PZY212" s="367"/>
      <c r="PZZ212" s="367"/>
      <c r="QAA212" s="368" t="s">
        <v>168</v>
      </c>
      <c r="QAB212" s="369">
        <v>0.5</v>
      </c>
      <c r="QAC212" s="370" t="e">
        <f>10/PZY210</f>
        <v>#DIV/0!</v>
      </c>
      <c r="QAD212" s="371">
        <v>15.38</v>
      </c>
      <c r="QAE212" s="371" t="e">
        <f>QAB212*QAC212*QAD212</f>
        <v>#DIV/0!</v>
      </c>
      <c r="QAF212" s="367" t="s">
        <v>206</v>
      </c>
      <c r="QAG212" s="367"/>
      <c r="QAH212" s="367"/>
      <c r="QAI212" s="368" t="s">
        <v>168</v>
      </c>
      <c r="QAJ212" s="369">
        <v>0.5</v>
      </c>
      <c r="QAK212" s="370" t="e">
        <f>10/QAG210</f>
        <v>#DIV/0!</v>
      </c>
      <c r="QAL212" s="371">
        <v>15.38</v>
      </c>
      <c r="QAM212" s="371" t="e">
        <f>QAJ212*QAK212*QAL212</f>
        <v>#DIV/0!</v>
      </c>
      <c r="QAN212" s="367" t="s">
        <v>206</v>
      </c>
      <c r="QAO212" s="367"/>
      <c r="QAP212" s="367"/>
      <c r="QAQ212" s="368" t="s">
        <v>168</v>
      </c>
      <c r="QAR212" s="369">
        <v>0.5</v>
      </c>
      <c r="QAS212" s="370" t="e">
        <f>10/QAO210</f>
        <v>#DIV/0!</v>
      </c>
      <c r="QAT212" s="371">
        <v>15.38</v>
      </c>
      <c r="QAU212" s="371" t="e">
        <f>QAR212*QAS212*QAT212</f>
        <v>#DIV/0!</v>
      </c>
      <c r="QAV212" s="367" t="s">
        <v>206</v>
      </c>
      <c r="QAW212" s="367"/>
      <c r="QAX212" s="367"/>
      <c r="QAY212" s="368" t="s">
        <v>168</v>
      </c>
      <c r="QAZ212" s="369">
        <v>0.5</v>
      </c>
      <c r="QBA212" s="370" t="e">
        <f>10/QAW210</f>
        <v>#DIV/0!</v>
      </c>
      <c r="QBB212" s="371">
        <v>15.38</v>
      </c>
      <c r="QBC212" s="371" t="e">
        <f>QAZ212*QBA212*QBB212</f>
        <v>#DIV/0!</v>
      </c>
      <c r="QBD212" s="367" t="s">
        <v>206</v>
      </c>
      <c r="QBE212" s="367"/>
      <c r="QBF212" s="367"/>
      <c r="QBG212" s="368" t="s">
        <v>168</v>
      </c>
      <c r="QBH212" s="369">
        <v>0.5</v>
      </c>
      <c r="QBI212" s="370" t="e">
        <f>10/QBE210</f>
        <v>#DIV/0!</v>
      </c>
      <c r="QBJ212" s="371">
        <v>15.38</v>
      </c>
      <c r="QBK212" s="371" t="e">
        <f>QBH212*QBI212*QBJ212</f>
        <v>#DIV/0!</v>
      </c>
      <c r="QBL212" s="367" t="s">
        <v>206</v>
      </c>
      <c r="QBM212" s="367"/>
      <c r="QBN212" s="367"/>
      <c r="QBO212" s="368" t="s">
        <v>168</v>
      </c>
      <c r="QBP212" s="369">
        <v>0.5</v>
      </c>
      <c r="QBQ212" s="370" t="e">
        <f>10/QBM210</f>
        <v>#DIV/0!</v>
      </c>
      <c r="QBR212" s="371">
        <v>15.38</v>
      </c>
      <c r="QBS212" s="371" t="e">
        <f>QBP212*QBQ212*QBR212</f>
        <v>#DIV/0!</v>
      </c>
      <c r="QBT212" s="367" t="s">
        <v>206</v>
      </c>
      <c r="QBU212" s="367"/>
      <c r="QBV212" s="367"/>
      <c r="QBW212" s="368" t="s">
        <v>168</v>
      </c>
      <c r="QBX212" s="369">
        <v>0.5</v>
      </c>
      <c r="QBY212" s="370" t="e">
        <f>10/QBU210</f>
        <v>#DIV/0!</v>
      </c>
      <c r="QBZ212" s="371">
        <v>15.38</v>
      </c>
      <c r="QCA212" s="371" t="e">
        <f>QBX212*QBY212*QBZ212</f>
        <v>#DIV/0!</v>
      </c>
      <c r="QCB212" s="367" t="s">
        <v>206</v>
      </c>
      <c r="QCC212" s="367"/>
      <c r="QCD212" s="367"/>
      <c r="QCE212" s="368" t="s">
        <v>168</v>
      </c>
      <c r="QCF212" s="369">
        <v>0.5</v>
      </c>
      <c r="QCG212" s="370" t="e">
        <f>10/QCC210</f>
        <v>#DIV/0!</v>
      </c>
      <c r="QCH212" s="371">
        <v>15.38</v>
      </c>
      <c r="QCI212" s="371" t="e">
        <f>QCF212*QCG212*QCH212</f>
        <v>#DIV/0!</v>
      </c>
      <c r="QCJ212" s="367" t="s">
        <v>206</v>
      </c>
      <c r="QCK212" s="367"/>
      <c r="QCL212" s="367"/>
      <c r="QCM212" s="368" t="s">
        <v>168</v>
      </c>
      <c r="QCN212" s="369">
        <v>0.5</v>
      </c>
      <c r="QCO212" s="370" t="e">
        <f>10/QCK210</f>
        <v>#DIV/0!</v>
      </c>
      <c r="QCP212" s="371">
        <v>15.38</v>
      </c>
      <c r="QCQ212" s="371" t="e">
        <f>QCN212*QCO212*QCP212</f>
        <v>#DIV/0!</v>
      </c>
      <c r="QCR212" s="367" t="s">
        <v>206</v>
      </c>
      <c r="QCS212" s="367"/>
      <c r="QCT212" s="367"/>
      <c r="QCU212" s="368" t="s">
        <v>168</v>
      </c>
      <c r="QCV212" s="369">
        <v>0.5</v>
      </c>
      <c r="QCW212" s="370" t="e">
        <f>10/QCS210</f>
        <v>#DIV/0!</v>
      </c>
      <c r="QCX212" s="371">
        <v>15.38</v>
      </c>
      <c r="QCY212" s="371" t="e">
        <f>QCV212*QCW212*QCX212</f>
        <v>#DIV/0!</v>
      </c>
      <c r="QCZ212" s="367" t="s">
        <v>206</v>
      </c>
      <c r="QDA212" s="367"/>
      <c r="QDB212" s="367"/>
      <c r="QDC212" s="368" t="s">
        <v>168</v>
      </c>
      <c r="QDD212" s="369">
        <v>0.5</v>
      </c>
      <c r="QDE212" s="370" t="e">
        <f>10/QDA210</f>
        <v>#DIV/0!</v>
      </c>
      <c r="QDF212" s="371">
        <v>15.38</v>
      </c>
      <c r="QDG212" s="371" t="e">
        <f>QDD212*QDE212*QDF212</f>
        <v>#DIV/0!</v>
      </c>
      <c r="QDH212" s="367" t="s">
        <v>206</v>
      </c>
      <c r="QDI212" s="367"/>
      <c r="QDJ212" s="367"/>
      <c r="QDK212" s="368" t="s">
        <v>168</v>
      </c>
      <c r="QDL212" s="369">
        <v>0.5</v>
      </c>
      <c r="QDM212" s="370" t="e">
        <f>10/QDI210</f>
        <v>#DIV/0!</v>
      </c>
      <c r="QDN212" s="371">
        <v>15.38</v>
      </c>
      <c r="QDO212" s="371" t="e">
        <f>QDL212*QDM212*QDN212</f>
        <v>#DIV/0!</v>
      </c>
      <c r="QDP212" s="367" t="s">
        <v>206</v>
      </c>
      <c r="QDQ212" s="367"/>
      <c r="QDR212" s="367"/>
      <c r="QDS212" s="368" t="s">
        <v>168</v>
      </c>
      <c r="QDT212" s="369">
        <v>0.5</v>
      </c>
      <c r="QDU212" s="370" t="e">
        <f>10/QDQ210</f>
        <v>#DIV/0!</v>
      </c>
      <c r="QDV212" s="371">
        <v>15.38</v>
      </c>
      <c r="QDW212" s="371" t="e">
        <f>QDT212*QDU212*QDV212</f>
        <v>#DIV/0!</v>
      </c>
      <c r="QDX212" s="367" t="s">
        <v>206</v>
      </c>
      <c r="QDY212" s="367"/>
      <c r="QDZ212" s="367"/>
      <c r="QEA212" s="368" t="s">
        <v>168</v>
      </c>
      <c r="QEB212" s="369">
        <v>0.5</v>
      </c>
      <c r="QEC212" s="370" t="e">
        <f>10/QDY210</f>
        <v>#DIV/0!</v>
      </c>
      <c r="QED212" s="371">
        <v>15.38</v>
      </c>
      <c r="QEE212" s="371" t="e">
        <f>QEB212*QEC212*QED212</f>
        <v>#DIV/0!</v>
      </c>
      <c r="QEF212" s="367" t="s">
        <v>206</v>
      </c>
      <c r="QEG212" s="367"/>
      <c r="QEH212" s="367"/>
      <c r="QEI212" s="368" t="s">
        <v>168</v>
      </c>
      <c r="QEJ212" s="369">
        <v>0.5</v>
      </c>
      <c r="QEK212" s="370" t="e">
        <f>10/QEG210</f>
        <v>#DIV/0!</v>
      </c>
      <c r="QEL212" s="371">
        <v>15.38</v>
      </c>
      <c r="QEM212" s="371" t="e">
        <f>QEJ212*QEK212*QEL212</f>
        <v>#DIV/0!</v>
      </c>
      <c r="QEN212" s="367" t="s">
        <v>206</v>
      </c>
      <c r="QEO212" s="367"/>
      <c r="QEP212" s="367"/>
      <c r="QEQ212" s="368" t="s">
        <v>168</v>
      </c>
      <c r="QER212" s="369">
        <v>0.5</v>
      </c>
      <c r="QES212" s="370" t="e">
        <f>10/QEO210</f>
        <v>#DIV/0!</v>
      </c>
      <c r="QET212" s="371">
        <v>15.38</v>
      </c>
      <c r="QEU212" s="371" t="e">
        <f>QER212*QES212*QET212</f>
        <v>#DIV/0!</v>
      </c>
      <c r="QEV212" s="367" t="s">
        <v>206</v>
      </c>
      <c r="QEW212" s="367"/>
      <c r="QEX212" s="367"/>
      <c r="QEY212" s="368" t="s">
        <v>168</v>
      </c>
      <c r="QEZ212" s="369">
        <v>0.5</v>
      </c>
      <c r="QFA212" s="370" t="e">
        <f>10/QEW210</f>
        <v>#DIV/0!</v>
      </c>
      <c r="QFB212" s="371">
        <v>15.38</v>
      </c>
      <c r="QFC212" s="371" t="e">
        <f>QEZ212*QFA212*QFB212</f>
        <v>#DIV/0!</v>
      </c>
      <c r="QFD212" s="367" t="s">
        <v>206</v>
      </c>
      <c r="QFE212" s="367"/>
      <c r="QFF212" s="367"/>
      <c r="QFG212" s="368" t="s">
        <v>168</v>
      </c>
      <c r="QFH212" s="369">
        <v>0.5</v>
      </c>
      <c r="QFI212" s="370" t="e">
        <f>10/QFE210</f>
        <v>#DIV/0!</v>
      </c>
      <c r="QFJ212" s="371">
        <v>15.38</v>
      </c>
      <c r="QFK212" s="371" t="e">
        <f>QFH212*QFI212*QFJ212</f>
        <v>#DIV/0!</v>
      </c>
      <c r="QFL212" s="367" t="s">
        <v>206</v>
      </c>
      <c r="QFM212" s="367"/>
      <c r="QFN212" s="367"/>
      <c r="QFO212" s="368" t="s">
        <v>168</v>
      </c>
      <c r="QFP212" s="369">
        <v>0.5</v>
      </c>
      <c r="QFQ212" s="370" t="e">
        <f>10/QFM210</f>
        <v>#DIV/0!</v>
      </c>
      <c r="QFR212" s="371">
        <v>15.38</v>
      </c>
      <c r="QFS212" s="371" t="e">
        <f>QFP212*QFQ212*QFR212</f>
        <v>#DIV/0!</v>
      </c>
      <c r="QFT212" s="367" t="s">
        <v>206</v>
      </c>
      <c r="QFU212" s="367"/>
      <c r="QFV212" s="367"/>
      <c r="QFW212" s="368" t="s">
        <v>168</v>
      </c>
      <c r="QFX212" s="369">
        <v>0.5</v>
      </c>
      <c r="QFY212" s="370" t="e">
        <f>10/QFU210</f>
        <v>#DIV/0!</v>
      </c>
      <c r="QFZ212" s="371">
        <v>15.38</v>
      </c>
      <c r="QGA212" s="371" t="e">
        <f>QFX212*QFY212*QFZ212</f>
        <v>#DIV/0!</v>
      </c>
      <c r="QGB212" s="367" t="s">
        <v>206</v>
      </c>
      <c r="QGC212" s="367"/>
      <c r="QGD212" s="367"/>
      <c r="QGE212" s="368" t="s">
        <v>168</v>
      </c>
      <c r="QGF212" s="369">
        <v>0.5</v>
      </c>
      <c r="QGG212" s="370" t="e">
        <f>10/QGC210</f>
        <v>#DIV/0!</v>
      </c>
      <c r="QGH212" s="371">
        <v>15.38</v>
      </c>
      <c r="QGI212" s="371" t="e">
        <f>QGF212*QGG212*QGH212</f>
        <v>#DIV/0!</v>
      </c>
      <c r="QGJ212" s="367" t="s">
        <v>206</v>
      </c>
      <c r="QGK212" s="367"/>
      <c r="QGL212" s="367"/>
      <c r="QGM212" s="368" t="s">
        <v>168</v>
      </c>
      <c r="QGN212" s="369">
        <v>0.5</v>
      </c>
      <c r="QGO212" s="370" t="e">
        <f>10/QGK210</f>
        <v>#DIV/0!</v>
      </c>
      <c r="QGP212" s="371">
        <v>15.38</v>
      </c>
      <c r="QGQ212" s="371" t="e">
        <f>QGN212*QGO212*QGP212</f>
        <v>#DIV/0!</v>
      </c>
      <c r="QGR212" s="367" t="s">
        <v>206</v>
      </c>
      <c r="QGS212" s="367"/>
      <c r="QGT212" s="367"/>
      <c r="QGU212" s="368" t="s">
        <v>168</v>
      </c>
      <c r="QGV212" s="369">
        <v>0.5</v>
      </c>
      <c r="QGW212" s="370" t="e">
        <f>10/QGS210</f>
        <v>#DIV/0!</v>
      </c>
      <c r="QGX212" s="371">
        <v>15.38</v>
      </c>
      <c r="QGY212" s="371" t="e">
        <f>QGV212*QGW212*QGX212</f>
        <v>#DIV/0!</v>
      </c>
      <c r="QGZ212" s="367" t="s">
        <v>206</v>
      </c>
      <c r="QHA212" s="367"/>
      <c r="QHB212" s="367"/>
      <c r="QHC212" s="368" t="s">
        <v>168</v>
      </c>
      <c r="QHD212" s="369">
        <v>0.5</v>
      </c>
      <c r="QHE212" s="370" t="e">
        <f>10/QHA210</f>
        <v>#DIV/0!</v>
      </c>
      <c r="QHF212" s="371">
        <v>15.38</v>
      </c>
      <c r="QHG212" s="371" t="e">
        <f>QHD212*QHE212*QHF212</f>
        <v>#DIV/0!</v>
      </c>
      <c r="QHH212" s="367" t="s">
        <v>206</v>
      </c>
      <c r="QHI212" s="367"/>
      <c r="QHJ212" s="367"/>
      <c r="QHK212" s="368" t="s">
        <v>168</v>
      </c>
      <c r="QHL212" s="369">
        <v>0.5</v>
      </c>
      <c r="QHM212" s="370" t="e">
        <f>10/QHI210</f>
        <v>#DIV/0!</v>
      </c>
      <c r="QHN212" s="371">
        <v>15.38</v>
      </c>
      <c r="QHO212" s="371" t="e">
        <f>QHL212*QHM212*QHN212</f>
        <v>#DIV/0!</v>
      </c>
      <c r="QHP212" s="367" t="s">
        <v>206</v>
      </c>
      <c r="QHQ212" s="367"/>
      <c r="QHR212" s="367"/>
      <c r="QHS212" s="368" t="s">
        <v>168</v>
      </c>
      <c r="QHT212" s="369">
        <v>0.5</v>
      </c>
      <c r="QHU212" s="370" t="e">
        <f>10/QHQ210</f>
        <v>#DIV/0!</v>
      </c>
      <c r="QHV212" s="371">
        <v>15.38</v>
      </c>
      <c r="QHW212" s="371" t="e">
        <f>QHT212*QHU212*QHV212</f>
        <v>#DIV/0!</v>
      </c>
      <c r="QHX212" s="367" t="s">
        <v>206</v>
      </c>
      <c r="QHY212" s="367"/>
      <c r="QHZ212" s="367"/>
      <c r="QIA212" s="368" t="s">
        <v>168</v>
      </c>
      <c r="QIB212" s="369">
        <v>0.5</v>
      </c>
      <c r="QIC212" s="370" t="e">
        <f>10/QHY210</f>
        <v>#DIV/0!</v>
      </c>
      <c r="QID212" s="371">
        <v>15.38</v>
      </c>
      <c r="QIE212" s="371" t="e">
        <f>QIB212*QIC212*QID212</f>
        <v>#DIV/0!</v>
      </c>
      <c r="QIF212" s="367" t="s">
        <v>206</v>
      </c>
      <c r="QIG212" s="367"/>
      <c r="QIH212" s="367"/>
      <c r="QII212" s="368" t="s">
        <v>168</v>
      </c>
      <c r="QIJ212" s="369">
        <v>0.5</v>
      </c>
      <c r="QIK212" s="370" t="e">
        <f>10/QIG210</f>
        <v>#DIV/0!</v>
      </c>
      <c r="QIL212" s="371">
        <v>15.38</v>
      </c>
      <c r="QIM212" s="371" t="e">
        <f>QIJ212*QIK212*QIL212</f>
        <v>#DIV/0!</v>
      </c>
      <c r="QIN212" s="367" t="s">
        <v>206</v>
      </c>
      <c r="QIO212" s="367"/>
      <c r="QIP212" s="367"/>
      <c r="QIQ212" s="368" t="s">
        <v>168</v>
      </c>
      <c r="QIR212" s="369">
        <v>0.5</v>
      </c>
      <c r="QIS212" s="370" t="e">
        <f>10/QIO210</f>
        <v>#DIV/0!</v>
      </c>
      <c r="QIT212" s="371">
        <v>15.38</v>
      </c>
      <c r="QIU212" s="371" t="e">
        <f>QIR212*QIS212*QIT212</f>
        <v>#DIV/0!</v>
      </c>
      <c r="QIV212" s="367" t="s">
        <v>206</v>
      </c>
      <c r="QIW212" s="367"/>
      <c r="QIX212" s="367"/>
      <c r="QIY212" s="368" t="s">
        <v>168</v>
      </c>
      <c r="QIZ212" s="369">
        <v>0.5</v>
      </c>
      <c r="QJA212" s="370" t="e">
        <f>10/QIW210</f>
        <v>#DIV/0!</v>
      </c>
      <c r="QJB212" s="371">
        <v>15.38</v>
      </c>
      <c r="QJC212" s="371" t="e">
        <f>QIZ212*QJA212*QJB212</f>
        <v>#DIV/0!</v>
      </c>
      <c r="QJD212" s="367" t="s">
        <v>206</v>
      </c>
      <c r="QJE212" s="367"/>
      <c r="QJF212" s="367"/>
      <c r="QJG212" s="368" t="s">
        <v>168</v>
      </c>
      <c r="QJH212" s="369">
        <v>0.5</v>
      </c>
      <c r="QJI212" s="370" t="e">
        <f>10/QJE210</f>
        <v>#DIV/0!</v>
      </c>
      <c r="QJJ212" s="371">
        <v>15.38</v>
      </c>
      <c r="QJK212" s="371" t="e">
        <f>QJH212*QJI212*QJJ212</f>
        <v>#DIV/0!</v>
      </c>
      <c r="QJL212" s="367" t="s">
        <v>206</v>
      </c>
      <c r="QJM212" s="367"/>
      <c r="QJN212" s="367"/>
      <c r="QJO212" s="368" t="s">
        <v>168</v>
      </c>
      <c r="QJP212" s="369">
        <v>0.5</v>
      </c>
      <c r="QJQ212" s="370" t="e">
        <f>10/QJM210</f>
        <v>#DIV/0!</v>
      </c>
      <c r="QJR212" s="371">
        <v>15.38</v>
      </c>
      <c r="QJS212" s="371" t="e">
        <f>QJP212*QJQ212*QJR212</f>
        <v>#DIV/0!</v>
      </c>
      <c r="QJT212" s="367" t="s">
        <v>206</v>
      </c>
      <c r="QJU212" s="367"/>
      <c r="QJV212" s="367"/>
      <c r="QJW212" s="368" t="s">
        <v>168</v>
      </c>
      <c r="QJX212" s="369">
        <v>0.5</v>
      </c>
      <c r="QJY212" s="370" t="e">
        <f>10/QJU210</f>
        <v>#DIV/0!</v>
      </c>
      <c r="QJZ212" s="371">
        <v>15.38</v>
      </c>
      <c r="QKA212" s="371" t="e">
        <f>QJX212*QJY212*QJZ212</f>
        <v>#DIV/0!</v>
      </c>
      <c r="QKB212" s="367" t="s">
        <v>206</v>
      </c>
      <c r="QKC212" s="367"/>
      <c r="QKD212" s="367"/>
      <c r="QKE212" s="368" t="s">
        <v>168</v>
      </c>
      <c r="QKF212" s="369">
        <v>0.5</v>
      </c>
      <c r="QKG212" s="370" t="e">
        <f>10/QKC210</f>
        <v>#DIV/0!</v>
      </c>
      <c r="QKH212" s="371">
        <v>15.38</v>
      </c>
      <c r="QKI212" s="371" t="e">
        <f>QKF212*QKG212*QKH212</f>
        <v>#DIV/0!</v>
      </c>
      <c r="QKJ212" s="367" t="s">
        <v>206</v>
      </c>
      <c r="QKK212" s="367"/>
      <c r="QKL212" s="367"/>
      <c r="QKM212" s="368" t="s">
        <v>168</v>
      </c>
      <c r="QKN212" s="369">
        <v>0.5</v>
      </c>
      <c r="QKO212" s="370" t="e">
        <f>10/QKK210</f>
        <v>#DIV/0!</v>
      </c>
      <c r="QKP212" s="371">
        <v>15.38</v>
      </c>
      <c r="QKQ212" s="371" t="e">
        <f>QKN212*QKO212*QKP212</f>
        <v>#DIV/0!</v>
      </c>
      <c r="QKR212" s="367" t="s">
        <v>206</v>
      </c>
      <c r="QKS212" s="367"/>
      <c r="QKT212" s="367"/>
      <c r="QKU212" s="368" t="s">
        <v>168</v>
      </c>
      <c r="QKV212" s="369">
        <v>0.5</v>
      </c>
      <c r="QKW212" s="370" t="e">
        <f>10/QKS210</f>
        <v>#DIV/0!</v>
      </c>
      <c r="QKX212" s="371">
        <v>15.38</v>
      </c>
      <c r="QKY212" s="371" t="e">
        <f>QKV212*QKW212*QKX212</f>
        <v>#DIV/0!</v>
      </c>
      <c r="QKZ212" s="367" t="s">
        <v>206</v>
      </c>
      <c r="QLA212" s="367"/>
      <c r="QLB212" s="367"/>
      <c r="QLC212" s="368" t="s">
        <v>168</v>
      </c>
      <c r="QLD212" s="369">
        <v>0.5</v>
      </c>
      <c r="QLE212" s="370" t="e">
        <f>10/QLA210</f>
        <v>#DIV/0!</v>
      </c>
      <c r="QLF212" s="371">
        <v>15.38</v>
      </c>
      <c r="QLG212" s="371" t="e">
        <f>QLD212*QLE212*QLF212</f>
        <v>#DIV/0!</v>
      </c>
      <c r="QLH212" s="367" t="s">
        <v>206</v>
      </c>
      <c r="QLI212" s="367"/>
      <c r="QLJ212" s="367"/>
      <c r="QLK212" s="368" t="s">
        <v>168</v>
      </c>
      <c r="QLL212" s="369">
        <v>0.5</v>
      </c>
      <c r="QLM212" s="370" t="e">
        <f>10/QLI210</f>
        <v>#DIV/0!</v>
      </c>
      <c r="QLN212" s="371">
        <v>15.38</v>
      </c>
      <c r="QLO212" s="371" t="e">
        <f>QLL212*QLM212*QLN212</f>
        <v>#DIV/0!</v>
      </c>
      <c r="QLP212" s="367" t="s">
        <v>206</v>
      </c>
      <c r="QLQ212" s="367"/>
      <c r="QLR212" s="367"/>
      <c r="QLS212" s="368" t="s">
        <v>168</v>
      </c>
      <c r="QLT212" s="369">
        <v>0.5</v>
      </c>
      <c r="QLU212" s="370" t="e">
        <f>10/QLQ210</f>
        <v>#DIV/0!</v>
      </c>
      <c r="QLV212" s="371">
        <v>15.38</v>
      </c>
      <c r="QLW212" s="371" t="e">
        <f>QLT212*QLU212*QLV212</f>
        <v>#DIV/0!</v>
      </c>
      <c r="QLX212" s="367" t="s">
        <v>206</v>
      </c>
      <c r="QLY212" s="367"/>
      <c r="QLZ212" s="367"/>
      <c r="QMA212" s="368" t="s">
        <v>168</v>
      </c>
      <c r="QMB212" s="369">
        <v>0.5</v>
      </c>
      <c r="QMC212" s="370" t="e">
        <f>10/QLY210</f>
        <v>#DIV/0!</v>
      </c>
      <c r="QMD212" s="371">
        <v>15.38</v>
      </c>
      <c r="QME212" s="371" t="e">
        <f>QMB212*QMC212*QMD212</f>
        <v>#DIV/0!</v>
      </c>
      <c r="QMF212" s="367" t="s">
        <v>206</v>
      </c>
      <c r="QMG212" s="367"/>
      <c r="QMH212" s="367"/>
      <c r="QMI212" s="368" t="s">
        <v>168</v>
      </c>
      <c r="QMJ212" s="369">
        <v>0.5</v>
      </c>
      <c r="QMK212" s="370" t="e">
        <f>10/QMG210</f>
        <v>#DIV/0!</v>
      </c>
      <c r="QML212" s="371">
        <v>15.38</v>
      </c>
      <c r="QMM212" s="371" t="e">
        <f>QMJ212*QMK212*QML212</f>
        <v>#DIV/0!</v>
      </c>
      <c r="QMN212" s="367" t="s">
        <v>206</v>
      </c>
      <c r="QMO212" s="367"/>
      <c r="QMP212" s="367"/>
      <c r="QMQ212" s="368" t="s">
        <v>168</v>
      </c>
      <c r="QMR212" s="369">
        <v>0.5</v>
      </c>
      <c r="QMS212" s="370" t="e">
        <f>10/QMO210</f>
        <v>#DIV/0!</v>
      </c>
      <c r="QMT212" s="371">
        <v>15.38</v>
      </c>
      <c r="QMU212" s="371" t="e">
        <f>QMR212*QMS212*QMT212</f>
        <v>#DIV/0!</v>
      </c>
      <c r="QMV212" s="367" t="s">
        <v>206</v>
      </c>
      <c r="QMW212" s="367"/>
      <c r="QMX212" s="367"/>
      <c r="QMY212" s="368" t="s">
        <v>168</v>
      </c>
      <c r="QMZ212" s="369">
        <v>0.5</v>
      </c>
      <c r="QNA212" s="370" t="e">
        <f>10/QMW210</f>
        <v>#DIV/0!</v>
      </c>
      <c r="QNB212" s="371">
        <v>15.38</v>
      </c>
      <c r="QNC212" s="371" t="e">
        <f>QMZ212*QNA212*QNB212</f>
        <v>#DIV/0!</v>
      </c>
      <c r="QND212" s="367" t="s">
        <v>206</v>
      </c>
      <c r="QNE212" s="367"/>
      <c r="QNF212" s="367"/>
      <c r="QNG212" s="368" t="s">
        <v>168</v>
      </c>
      <c r="QNH212" s="369">
        <v>0.5</v>
      </c>
      <c r="QNI212" s="370" t="e">
        <f>10/QNE210</f>
        <v>#DIV/0!</v>
      </c>
      <c r="QNJ212" s="371">
        <v>15.38</v>
      </c>
      <c r="QNK212" s="371" t="e">
        <f>QNH212*QNI212*QNJ212</f>
        <v>#DIV/0!</v>
      </c>
      <c r="QNL212" s="367" t="s">
        <v>206</v>
      </c>
      <c r="QNM212" s="367"/>
      <c r="QNN212" s="367"/>
      <c r="QNO212" s="368" t="s">
        <v>168</v>
      </c>
      <c r="QNP212" s="369">
        <v>0.5</v>
      </c>
      <c r="QNQ212" s="370" t="e">
        <f>10/QNM210</f>
        <v>#DIV/0!</v>
      </c>
      <c r="QNR212" s="371">
        <v>15.38</v>
      </c>
      <c r="QNS212" s="371" t="e">
        <f>QNP212*QNQ212*QNR212</f>
        <v>#DIV/0!</v>
      </c>
      <c r="QNT212" s="367" t="s">
        <v>206</v>
      </c>
      <c r="QNU212" s="367"/>
      <c r="QNV212" s="367"/>
      <c r="QNW212" s="368" t="s">
        <v>168</v>
      </c>
      <c r="QNX212" s="369">
        <v>0.5</v>
      </c>
      <c r="QNY212" s="370" t="e">
        <f>10/QNU210</f>
        <v>#DIV/0!</v>
      </c>
      <c r="QNZ212" s="371">
        <v>15.38</v>
      </c>
      <c r="QOA212" s="371" t="e">
        <f>QNX212*QNY212*QNZ212</f>
        <v>#DIV/0!</v>
      </c>
      <c r="QOB212" s="367" t="s">
        <v>206</v>
      </c>
      <c r="QOC212" s="367"/>
      <c r="QOD212" s="367"/>
      <c r="QOE212" s="368" t="s">
        <v>168</v>
      </c>
      <c r="QOF212" s="369">
        <v>0.5</v>
      </c>
      <c r="QOG212" s="370" t="e">
        <f>10/QOC210</f>
        <v>#DIV/0!</v>
      </c>
      <c r="QOH212" s="371">
        <v>15.38</v>
      </c>
      <c r="QOI212" s="371" t="e">
        <f>QOF212*QOG212*QOH212</f>
        <v>#DIV/0!</v>
      </c>
      <c r="QOJ212" s="367" t="s">
        <v>206</v>
      </c>
      <c r="QOK212" s="367"/>
      <c r="QOL212" s="367"/>
      <c r="QOM212" s="368" t="s">
        <v>168</v>
      </c>
      <c r="QON212" s="369">
        <v>0.5</v>
      </c>
      <c r="QOO212" s="370" t="e">
        <f>10/QOK210</f>
        <v>#DIV/0!</v>
      </c>
      <c r="QOP212" s="371">
        <v>15.38</v>
      </c>
      <c r="QOQ212" s="371" t="e">
        <f>QON212*QOO212*QOP212</f>
        <v>#DIV/0!</v>
      </c>
      <c r="QOR212" s="367" t="s">
        <v>206</v>
      </c>
      <c r="QOS212" s="367"/>
      <c r="QOT212" s="367"/>
      <c r="QOU212" s="368" t="s">
        <v>168</v>
      </c>
      <c r="QOV212" s="369">
        <v>0.5</v>
      </c>
      <c r="QOW212" s="370" t="e">
        <f>10/QOS210</f>
        <v>#DIV/0!</v>
      </c>
      <c r="QOX212" s="371">
        <v>15.38</v>
      </c>
      <c r="QOY212" s="371" t="e">
        <f>QOV212*QOW212*QOX212</f>
        <v>#DIV/0!</v>
      </c>
      <c r="QOZ212" s="367" t="s">
        <v>206</v>
      </c>
      <c r="QPA212" s="367"/>
      <c r="QPB212" s="367"/>
      <c r="QPC212" s="368" t="s">
        <v>168</v>
      </c>
      <c r="QPD212" s="369">
        <v>0.5</v>
      </c>
      <c r="QPE212" s="370" t="e">
        <f>10/QPA210</f>
        <v>#DIV/0!</v>
      </c>
      <c r="QPF212" s="371">
        <v>15.38</v>
      </c>
      <c r="QPG212" s="371" t="e">
        <f>QPD212*QPE212*QPF212</f>
        <v>#DIV/0!</v>
      </c>
      <c r="QPH212" s="367" t="s">
        <v>206</v>
      </c>
      <c r="QPI212" s="367"/>
      <c r="QPJ212" s="367"/>
      <c r="QPK212" s="368" t="s">
        <v>168</v>
      </c>
      <c r="QPL212" s="369">
        <v>0.5</v>
      </c>
      <c r="QPM212" s="370" t="e">
        <f>10/QPI210</f>
        <v>#DIV/0!</v>
      </c>
      <c r="QPN212" s="371">
        <v>15.38</v>
      </c>
      <c r="QPO212" s="371" t="e">
        <f>QPL212*QPM212*QPN212</f>
        <v>#DIV/0!</v>
      </c>
      <c r="QPP212" s="367" t="s">
        <v>206</v>
      </c>
      <c r="QPQ212" s="367"/>
      <c r="QPR212" s="367"/>
      <c r="QPS212" s="368" t="s">
        <v>168</v>
      </c>
      <c r="QPT212" s="369">
        <v>0.5</v>
      </c>
      <c r="QPU212" s="370" t="e">
        <f>10/QPQ210</f>
        <v>#DIV/0!</v>
      </c>
      <c r="QPV212" s="371">
        <v>15.38</v>
      </c>
      <c r="QPW212" s="371" t="e">
        <f>QPT212*QPU212*QPV212</f>
        <v>#DIV/0!</v>
      </c>
      <c r="QPX212" s="367" t="s">
        <v>206</v>
      </c>
      <c r="QPY212" s="367"/>
      <c r="QPZ212" s="367"/>
      <c r="QQA212" s="368" t="s">
        <v>168</v>
      </c>
      <c r="QQB212" s="369">
        <v>0.5</v>
      </c>
      <c r="QQC212" s="370" t="e">
        <f>10/QPY210</f>
        <v>#DIV/0!</v>
      </c>
      <c r="QQD212" s="371">
        <v>15.38</v>
      </c>
      <c r="QQE212" s="371" t="e">
        <f>QQB212*QQC212*QQD212</f>
        <v>#DIV/0!</v>
      </c>
      <c r="QQF212" s="367" t="s">
        <v>206</v>
      </c>
      <c r="QQG212" s="367"/>
      <c r="QQH212" s="367"/>
      <c r="QQI212" s="368" t="s">
        <v>168</v>
      </c>
      <c r="QQJ212" s="369">
        <v>0.5</v>
      </c>
      <c r="QQK212" s="370" t="e">
        <f>10/QQG210</f>
        <v>#DIV/0!</v>
      </c>
      <c r="QQL212" s="371">
        <v>15.38</v>
      </c>
      <c r="QQM212" s="371" t="e">
        <f>QQJ212*QQK212*QQL212</f>
        <v>#DIV/0!</v>
      </c>
      <c r="QQN212" s="367" t="s">
        <v>206</v>
      </c>
      <c r="QQO212" s="367"/>
      <c r="QQP212" s="367"/>
      <c r="QQQ212" s="368" t="s">
        <v>168</v>
      </c>
      <c r="QQR212" s="369">
        <v>0.5</v>
      </c>
      <c r="QQS212" s="370" t="e">
        <f>10/QQO210</f>
        <v>#DIV/0!</v>
      </c>
      <c r="QQT212" s="371">
        <v>15.38</v>
      </c>
      <c r="QQU212" s="371" t="e">
        <f>QQR212*QQS212*QQT212</f>
        <v>#DIV/0!</v>
      </c>
      <c r="QQV212" s="367" t="s">
        <v>206</v>
      </c>
      <c r="QQW212" s="367"/>
      <c r="QQX212" s="367"/>
      <c r="QQY212" s="368" t="s">
        <v>168</v>
      </c>
      <c r="QQZ212" s="369">
        <v>0.5</v>
      </c>
      <c r="QRA212" s="370" t="e">
        <f>10/QQW210</f>
        <v>#DIV/0!</v>
      </c>
      <c r="QRB212" s="371">
        <v>15.38</v>
      </c>
      <c r="QRC212" s="371" t="e">
        <f>QQZ212*QRA212*QRB212</f>
        <v>#DIV/0!</v>
      </c>
      <c r="QRD212" s="367" t="s">
        <v>206</v>
      </c>
      <c r="QRE212" s="367"/>
      <c r="QRF212" s="367"/>
      <c r="QRG212" s="368" t="s">
        <v>168</v>
      </c>
      <c r="QRH212" s="369">
        <v>0.5</v>
      </c>
      <c r="QRI212" s="370" t="e">
        <f>10/QRE210</f>
        <v>#DIV/0!</v>
      </c>
      <c r="QRJ212" s="371">
        <v>15.38</v>
      </c>
      <c r="QRK212" s="371" t="e">
        <f>QRH212*QRI212*QRJ212</f>
        <v>#DIV/0!</v>
      </c>
      <c r="QRL212" s="367" t="s">
        <v>206</v>
      </c>
      <c r="QRM212" s="367"/>
      <c r="QRN212" s="367"/>
      <c r="QRO212" s="368" t="s">
        <v>168</v>
      </c>
      <c r="QRP212" s="369">
        <v>0.5</v>
      </c>
      <c r="QRQ212" s="370" t="e">
        <f>10/QRM210</f>
        <v>#DIV/0!</v>
      </c>
      <c r="QRR212" s="371">
        <v>15.38</v>
      </c>
      <c r="QRS212" s="371" t="e">
        <f>QRP212*QRQ212*QRR212</f>
        <v>#DIV/0!</v>
      </c>
      <c r="QRT212" s="367" t="s">
        <v>206</v>
      </c>
      <c r="QRU212" s="367"/>
      <c r="QRV212" s="367"/>
      <c r="QRW212" s="368" t="s">
        <v>168</v>
      </c>
      <c r="QRX212" s="369">
        <v>0.5</v>
      </c>
      <c r="QRY212" s="370" t="e">
        <f>10/QRU210</f>
        <v>#DIV/0!</v>
      </c>
      <c r="QRZ212" s="371">
        <v>15.38</v>
      </c>
      <c r="QSA212" s="371" t="e">
        <f>QRX212*QRY212*QRZ212</f>
        <v>#DIV/0!</v>
      </c>
      <c r="QSB212" s="367" t="s">
        <v>206</v>
      </c>
      <c r="QSC212" s="367"/>
      <c r="QSD212" s="367"/>
      <c r="QSE212" s="368" t="s">
        <v>168</v>
      </c>
      <c r="QSF212" s="369">
        <v>0.5</v>
      </c>
      <c r="QSG212" s="370" t="e">
        <f>10/QSC210</f>
        <v>#DIV/0!</v>
      </c>
      <c r="QSH212" s="371">
        <v>15.38</v>
      </c>
      <c r="QSI212" s="371" t="e">
        <f>QSF212*QSG212*QSH212</f>
        <v>#DIV/0!</v>
      </c>
      <c r="QSJ212" s="367" t="s">
        <v>206</v>
      </c>
      <c r="QSK212" s="367"/>
      <c r="QSL212" s="367"/>
      <c r="QSM212" s="368" t="s">
        <v>168</v>
      </c>
      <c r="QSN212" s="369">
        <v>0.5</v>
      </c>
      <c r="QSO212" s="370" t="e">
        <f>10/QSK210</f>
        <v>#DIV/0!</v>
      </c>
      <c r="QSP212" s="371">
        <v>15.38</v>
      </c>
      <c r="QSQ212" s="371" t="e">
        <f>QSN212*QSO212*QSP212</f>
        <v>#DIV/0!</v>
      </c>
      <c r="QSR212" s="367" t="s">
        <v>206</v>
      </c>
      <c r="QSS212" s="367"/>
      <c r="QST212" s="367"/>
      <c r="QSU212" s="368" t="s">
        <v>168</v>
      </c>
      <c r="QSV212" s="369">
        <v>0.5</v>
      </c>
      <c r="QSW212" s="370" t="e">
        <f>10/QSS210</f>
        <v>#DIV/0!</v>
      </c>
      <c r="QSX212" s="371">
        <v>15.38</v>
      </c>
      <c r="QSY212" s="371" t="e">
        <f>QSV212*QSW212*QSX212</f>
        <v>#DIV/0!</v>
      </c>
      <c r="QSZ212" s="367" t="s">
        <v>206</v>
      </c>
      <c r="QTA212" s="367"/>
      <c r="QTB212" s="367"/>
      <c r="QTC212" s="368" t="s">
        <v>168</v>
      </c>
      <c r="QTD212" s="369">
        <v>0.5</v>
      </c>
      <c r="QTE212" s="370" t="e">
        <f>10/QTA210</f>
        <v>#DIV/0!</v>
      </c>
      <c r="QTF212" s="371">
        <v>15.38</v>
      </c>
      <c r="QTG212" s="371" t="e">
        <f>QTD212*QTE212*QTF212</f>
        <v>#DIV/0!</v>
      </c>
      <c r="QTH212" s="367" t="s">
        <v>206</v>
      </c>
      <c r="QTI212" s="367"/>
      <c r="QTJ212" s="367"/>
      <c r="QTK212" s="368" t="s">
        <v>168</v>
      </c>
      <c r="QTL212" s="369">
        <v>0.5</v>
      </c>
      <c r="QTM212" s="370" t="e">
        <f>10/QTI210</f>
        <v>#DIV/0!</v>
      </c>
      <c r="QTN212" s="371">
        <v>15.38</v>
      </c>
      <c r="QTO212" s="371" t="e">
        <f>QTL212*QTM212*QTN212</f>
        <v>#DIV/0!</v>
      </c>
      <c r="QTP212" s="367" t="s">
        <v>206</v>
      </c>
      <c r="QTQ212" s="367"/>
      <c r="QTR212" s="367"/>
      <c r="QTS212" s="368" t="s">
        <v>168</v>
      </c>
      <c r="QTT212" s="369">
        <v>0.5</v>
      </c>
      <c r="QTU212" s="370" t="e">
        <f>10/QTQ210</f>
        <v>#DIV/0!</v>
      </c>
      <c r="QTV212" s="371">
        <v>15.38</v>
      </c>
      <c r="QTW212" s="371" t="e">
        <f>QTT212*QTU212*QTV212</f>
        <v>#DIV/0!</v>
      </c>
      <c r="QTX212" s="367" t="s">
        <v>206</v>
      </c>
      <c r="QTY212" s="367"/>
      <c r="QTZ212" s="367"/>
      <c r="QUA212" s="368" t="s">
        <v>168</v>
      </c>
      <c r="QUB212" s="369">
        <v>0.5</v>
      </c>
      <c r="QUC212" s="370" t="e">
        <f>10/QTY210</f>
        <v>#DIV/0!</v>
      </c>
      <c r="QUD212" s="371">
        <v>15.38</v>
      </c>
      <c r="QUE212" s="371" t="e">
        <f>QUB212*QUC212*QUD212</f>
        <v>#DIV/0!</v>
      </c>
      <c r="QUF212" s="367" t="s">
        <v>206</v>
      </c>
      <c r="QUG212" s="367"/>
      <c r="QUH212" s="367"/>
      <c r="QUI212" s="368" t="s">
        <v>168</v>
      </c>
      <c r="QUJ212" s="369">
        <v>0.5</v>
      </c>
      <c r="QUK212" s="370" t="e">
        <f>10/QUG210</f>
        <v>#DIV/0!</v>
      </c>
      <c r="QUL212" s="371">
        <v>15.38</v>
      </c>
      <c r="QUM212" s="371" t="e">
        <f>QUJ212*QUK212*QUL212</f>
        <v>#DIV/0!</v>
      </c>
      <c r="QUN212" s="367" t="s">
        <v>206</v>
      </c>
      <c r="QUO212" s="367"/>
      <c r="QUP212" s="367"/>
      <c r="QUQ212" s="368" t="s">
        <v>168</v>
      </c>
      <c r="QUR212" s="369">
        <v>0.5</v>
      </c>
      <c r="QUS212" s="370" t="e">
        <f>10/QUO210</f>
        <v>#DIV/0!</v>
      </c>
      <c r="QUT212" s="371">
        <v>15.38</v>
      </c>
      <c r="QUU212" s="371" t="e">
        <f>QUR212*QUS212*QUT212</f>
        <v>#DIV/0!</v>
      </c>
      <c r="QUV212" s="367" t="s">
        <v>206</v>
      </c>
      <c r="QUW212" s="367"/>
      <c r="QUX212" s="367"/>
      <c r="QUY212" s="368" t="s">
        <v>168</v>
      </c>
      <c r="QUZ212" s="369">
        <v>0.5</v>
      </c>
      <c r="QVA212" s="370" t="e">
        <f>10/QUW210</f>
        <v>#DIV/0!</v>
      </c>
      <c r="QVB212" s="371">
        <v>15.38</v>
      </c>
      <c r="QVC212" s="371" t="e">
        <f>QUZ212*QVA212*QVB212</f>
        <v>#DIV/0!</v>
      </c>
      <c r="QVD212" s="367" t="s">
        <v>206</v>
      </c>
      <c r="QVE212" s="367"/>
      <c r="QVF212" s="367"/>
      <c r="QVG212" s="368" t="s">
        <v>168</v>
      </c>
      <c r="QVH212" s="369">
        <v>0.5</v>
      </c>
      <c r="QVI212" s="370" t="e">
        <f>10/QVE210</f>
        <v>#DIV/0!</v>
      </c>
      <c r="QVJ212" s="371">
        <v>15.38</v>
      </c>
      <c r="QVK212" s="371" t="e">
        <f>QVH212*QVI212*QVJ212</f>
        <v>#DIV/0!</v>
      </c>
      <c r="QVL212" s="367" t="s">
        <v>206</v>
      </c>
      <c r="QVM212" s="367"/>
      <c r="QVN212" s="367"/>
      <c r="QVO212" s="368" t="s">
        <v>168</v>
      </c>
      <c r="QVP212" s="369">
        <v>0.5</v>
      </c>
      <c r="QVQ212" s="370" t="e">
        <f>10/QVM210</f>
        <v>#DIV/0!</v>
      </c>
      <c r="QVR212" s="371">
        <v>15.38</v>
      </c>
      <c r="QVS212" s="371" t="e">
        <f>QVP212*QVQ212*QVR212</f>
        <v>#DIV/0!</v>
      </c>
      <c r="QVT212" s="367" t="s">
        <v>206</v>
      </c>
      <c r="QVU212" s="367"/>
      <c r="QVV212" s="367"/>
      <c r="QVW212" s="368" t="s">
        <v>168</v>
      </c>
      <c r="QVX212" s="369">
        <v>0.5</v>
      </c>
      <c r="QVY212" s="370" t="e">
        <f>10/QVU210</f>
        <v>#DIV/0!</v>
      </c>
      <c r="QVZ212" s="371">
        <v>15.38</v>
      </c>
      <c r="QWA212" s="371" t="e">
        <f>QVX212*QVY212*QVZ212</f>
        <v>#DIV/0!</v>
      </c>
      <c r="QWB212" s="367" t="s">
        <v>206</v>
      </c>
      <c r="QWC212" s="367"/>
      <c r="QWD212" s="367"/>
      <c r="QWE212" s="368" t="s">
        <v>168</v>
      </c>
      <c r="QWF212" s="369">
        <v>0.5</v>
      </c>
      <c r="QWG212" s="370" t="e">
        <f>10/QWC210</f>
        <v>#DIV/0!</v>
      </c>
      <c r="QWH212" s="371">
        <v>15.38</v>
      </c>
      <c r="QWI212" s="371" t="e">
        <f>QWF212*QWG212*QWH212</f>
        <v>#DIV/0!</v>
      </c>
      <c r="QWJ212" s="367" t="s">
        <v>206</v>
      </c>
      <c r="QWK212" s="367"/>
      <c r="QWL212" s="367"/>
      <c r="QWM212" s="368" t="s">
        <v>168</v>
      </c>
      <c r="QWN212" s="369">
        <v>0.5</v>
      </c>
      <c r="QWO212" s="370" t="e">
        <f>10/QWK210</f>
        <v>#DIV/0!</v>
      </c>
      <c r="QWP212" s="371">
        <v>15.38</v>
      </c>
      <c r="QWQ212" s="371" t="e">
        <f>QWN212*QWO212*QWP212</f>
        <v>#DIV/0!</v>
      </c>
      <c r="QWR212" s="367" t="s">
        <v>206</v>
      </c>
      <c r="QWS212" s="367"/>
      <c r="QWT212" s="367"/>
      <c r="QWU212" s="368" t="s">
        <v>168</v>
      </c>
      <c r="QWV212" s="369">
        <v>0.5</v>
      </c>
      <c r="QWW212" s="370" t="e">
        <f>10/QWS210</f>
        <v>#DIV/0!</v>
      </c>
      <c r="QWX212" s="371">
        <v>15.38</v>
      </c>
      <c r="QWY212" s="371" t="e">
        <f>QWV212*QWW212*QWX212</f>
        <v>#DIV/0!</v>
      </c>
      <c r="QWZ212" s="367" t="s">
        <v>206</v>
      </c>
      <c r="QXA212" s="367"/>
      <c r="QXB212" s="367"/>
      <c r="QXC212" s="368" t="s">
        <v>168</v>
      </c>
      <c r="QXD212" s="369">
        <v>0.5</v>
      </c>
      <c r="QXE212" s="370" t="e">
        <f>10/QXA210</f>
        <v>#DIV/0!</v>
      </c>
      <c r="QXF212" s="371">
        <v>15.38</v>
      </c>
      <c r="QXG212" s="371" t="e">
        <f>QXD212*QXE212*QXF212</f>
        <v>#DIV/0!</v>
      </c>
      <c r="QXH212" s="367" t="s">
        <v>206</v>
      </c>
      <c r="QXI212" s="367"/>
      <c r="QXJ212" s="367"/>
      <c r="QXK212" s="368" t="s">
        <v>168</v>
      </c>
      <c r="QXL212" s="369">
        <v>0.5</v>
      </c>
      <c r="QXM212" s="370" t="e">
        <f>10/QXI210</f>
        <v>#DIV/0!</v>
      </c>
      <c r="QXN212" s="371">
        <v>15.38</v>
      </c>
      <c r="QXO212" s="371" t="e">
        <f>QXL212*QXM212*QXN212</f>
        <v>#DIV/0!</v>
      </c>
      <c r="QXP212" s="367" t="s">
        <v>206</v>
      </c>
      <c r="QXQ212" s="367"/>
      <c r="QXR212" s="367"/>
      <c r="QXS212" s="368" t="s">
        <v>168</v>
      </c>
      <c r="QXT212" s="369">
        <v>0.5</v>
      </c>
      <c r="QXU212" s="370" t="e">
        <f>10/QXQ210</f>
        <v>#DIV/0!</v>
      </c>
      <c r="QXV212" s="371">
        <v>15.38</v>
      </c>
      <c r="QXW212" s="371" t="e">
        <f>QXT212*QXU212*QXV212</f>
        <v>#DIV/0!</v>
      </c>
      <c r="QXX212" s="367" t="s">
        <v>206</v>
      </c>
      <c r="QXY212" s="367"/>
      <c r="QXZ212" s="367"/>
      <c r="QYA212" s="368" t="s">
        <v>168</v>
      </c>
      <c r="QYB212" s="369">
        <v>0.5</v>
      </c>
      <c r="QYC212" s="370" t="e">
        <f>10/QXY210</f>
        <v>#DIV/0!</v>
      </c>
      <c r="QYD212" s="371">
        <v>15.38</v>
      </c>
      <c r="QYE212" s="371" t="e">
        <f>QYB212*QYC212*QYD212</f>
        <v>#DIV/0!</v>
      </c>
      <c r="QYF212" s="367" t="s">
        <v>206</v>
      </c>
      <c r="QYG212" s="367"/>
      <c r="QYH212" s="367"/>
      <c r="QYI212" s="368" t="s">
        <v>168</v>
      </c>
      <c r="QYJ212" s="369">
        <v>0.5</v>
      </c>
      <c r="QYK212" s="370" t="e">
        <f>10/QYG210</f>
        <v>#DIV/0!</v>
      </c>
      <c r="QYL212" s="371">
        <v>15.38</v>
      </c>
      <c r="QYM212" s="371" t="e">
        <f>QYJ212*QYK212*QYL212</f>
        <v>#DIV/0!</v>
      </c>
      <c r="QYN212" s="367" t="s">
        <v>206</v>
      </c>
      <c r="QYO212" s="367"/>
      <c r="QYP212" s="367"/>
      <c r="QYQ212" s="368" t="s">
        <v>168</v>
      </c>
      <c r="QYR212" s="369">
        <v>0.5</v>
      </c>
      <c r="QYS212" s="370" t="e">
        <f>10/QYO210</f>
        <v>#DIV/0!</v>
      </c>
      <c r="QYT212" s="371">
        <v>15.38</v>
      </c>
      <c r="QYU212" s="371" t="e">
        <f>QYR212*QYS212*QYT212</f>
        <v>#DIV/0!</v>
      </c>
      <c r="QYV212" s="367" t="s">
        <v>206</v>
      </c>
      <c r="QYW212" s="367"/>
      <c r="QYX212" s="367"/>
      <c r="QYY212" s="368" t="s">
        <v>168</v>
      </c>
      <c r="QYZ212" s="369">
        <v>0.5</v>
      </c>
      <c r="QZA212" s="370" t="e">
        <f>10/QYW210</f>
        <v>#DIV/0!</v>
      </c>
      <c r="QZB212" s="371">
        <v>15.38</v>
      </c>
      <c r="QZC212" s="371" t="e">
        <f>QYZ212*QZA212*QZB212</f>
        <v>#DIV/0!</v>
      </c>
      <c r="QZD212" s="367" t="s">
        <v>206</v>
      </c>
      <c r="QZE212" s="367"/>
      <c r="QZF212" s="367"/>
      <c r="QZG212" s="368" t="s">
        <v>168</v>
      </c>
      <c r="QZH212" s="369">
        <v>0.5</v>
      </c>
      <c r="QZI212" s="370" t="e">
        <f>10/QZE210</f>
        <v>#DIV/0!</v>
      </c>
      <c r="QZJ212" s="371">
        <v>15.38</v>
      </c>
      <c r="QZK212" s="371" t="e">
        <f>QZH212*QZI212*QZJ212</f>
        <v>#DIV/0!</v>
      </c>
      <c r="QZL212" s="367" t="s">
        <v>206</v>
      </c>
      <c r="QZM212" s="367"/>
      <c r="QZN212" s="367"/>
      <c r="QZO212" s="368" t="s">
        <v>168</v>
      </c>
      <c r="QZP212" s="369">
        <v>0.5</v>
      </c>
      <c r="QZQ212" s="370" t="e">
        <f>10/QZM210</f>
        <v>#DIV/0!</v>
      </c>
      <c r="QZR212" s="371">
        <v>15.38</v>
      </c>
      <c r="QZS212" s="371" t="e">
        <f>QZP212*QZQ212*QZR212</f>
        <v>#DIV/0!</v>
      </c>
      <c r="QZT212" s="367" t="s">
        <v>206</v>
      </c>
      <c r="QZU212" s="367"/>
      <c r="QZV212" s="367"/>
      <c r="QZW212" s="368" t="s">
        <v>168</v>
      </c>
      <c r="QZX212" s="369">
        <v>0.5</v>
      </c>
      <c r="QZY212" s="370" t="e">
        <f>10/QZU210</f>
        <v>#DIV/0!</v>
      </c>
      <c r="QZZ212" s="371">
        <v>15.38</v>
      </c>
      <c r="RAA212" s="371" t="e">
        <f>QZX212*QZY212*QZZ212</f>
        <v>#DIV/0!</v>
      </c>
      <c r="RAB212" s="367" t="s">
        <v>206</v>
      </c>
      <c r="RAC212" s="367"/>
      <c r="RAD212" s="367"/>
      <c r="RAE212" s="368" t="s">
        <v>168</v>
      </c>
      <c r="RAF212" s="369">
        <v>0.5</v>
      </c>
      <c r="RAG212" s="370" t="e">
        <f>10/RAC210</f>
        <v>#DIV/0!</v>
      </c>
      <c r="RAH212" s="371">
        <v>15.38</v>
      </c>
      <c r="RAI212" s="371" t="e">
        <f>RAF212*RAG212*RAH212</f>
        <v>#DIV/0!</v>
      </c>
      <c r="RAJ212" s="367" t="s">
        <v>206</v>
      </c>
      <c r="RAK212" s="367"/>
      <c r="RAL212" s="367"/>
      <c r="RAM212" s="368" t="s">
        <v>168</v>
      </c>
      <c r="RAN212" s="369">
        <v>0.5</v>
      </c>
      <c r="RAO212" s="370" t="e">
        <f>10/RAK210</f>
        <v>#DIV/0!</v>
      </c>
      <c r="RAP212" s="371">
        <v>15.38</v>
      </c>
      <c r="RAQ212" s="371" t="e">
        <f>RAN212*RAO212*RAP212</f>
        <v>#DIV/0!</v>
      </c>
      <c r="RAR212" s="367" t="s">
        <v>206</v>
      </c>
      <c r="RAS212" s="367"/>
      <c r="RAT212" s="367"/>
      <c r="RAU212" s="368" t="s">
        <v>168</v>
      </c>
      <c r="RAV212" s="369">
        <v>0.5</v>
      </c>
      <c r="RAW212" s="370" t="e">
        <f>10/RAS210</f>
        <v>#DIV/0!</v>
      </c>
      <c r="RAX212" s="371">
        <v>15.38</v>
      </c>
      <c r="RAY212" s="371" t="e">
        <f>RAV212*RAW212*RAX212</f>
        <v>#DIV/0!</v>
      </c>
      <c r="RAZ212" s="367" t="s">
        <v>206</v>
      </c>
      <c r="RBA212" s="367"/>
      <c r="RBB212" s="367"/>
      <c r="RBC212" s="368" t="s">
        <v>168</v>
      </c>
      <c r="RBD212" s="369">
        <v>0.5</v>
      </c>
      <c r="RBE212" s="370" t="e">
        <f>10/RBA210</f>
        <v>#DIV/0!</v>
      </c>
      <c r="RBF212" s="371">
        <v>15.38</v>
      </c>
      <c r="RBG212" s="371" t="e">
        <f>RBD212*RBE212*RBF212</f>
        <v>#DIV/0!</v>
      </c>
      <c r="RBH212" s="367" t="s">
        <v>206</v>
      </c>
      <c r="RBI212" s="367"/>
      <c r="RBJ212" s="367"/>
      <c r="RBK212" s="368" t="s">
        <v>168</v>
      </c>
      <c r="RBL212" s="369">
        <v>0.5</v>
      </c>
      <c r="RBM212" s="370" t="e">
        <f>10/RBI210</f>
        <v>#DIV/0!</v>
      </c>
      <c r="RBN212" s="371">
        <v>15.38</v>
      </c>
      <c r="RBO212" s="371" t="e">
        <f>RBL212*RBM212*RBN212</f>
        <v>#DIV/0!</v>
      </c>
      <c r="RBP212" s="367" t="s">
        <v>206</v>
      </c>
      <c r="RBQ212" s="367"/>
      <c r="RBR212" s="367"/>
      <c r="RBS212" s="368" t="s">
        <v>168</v>
      </c>
      <c r="RBT212" s="369">
        <v>0.5</v>
      </c>
      <c r="RBU212" s="370" t="e">
        <f>10/RBQ210</f>
        <v>#DIV/0!</v>
      </c>
      <c r="RBV212" s="371">
        <v>15.38</v>
      </c>
      <c r="RBW212" s="371" t="e">
        <f>RBT212*RBU212*RBV212</f>
        <v>#DIV/0!</v>
      </c>
      <c r="RBX212" s="367" t="s">
        <v>206</v>
      </c>
      <c r="RBY212" s="367"/>
      <c r="RBZ212" s="367"/>
      <c r="RCA212" s="368" t="s">
        <v>168</v>
      </c>
      <c r="RCB212" s="369">
        <v>0.5</v>
      </c>
      <c r="RCC212" s="370" t="e">
        <f>10/RBY210</f>
        <v>#DIV/0!</v>
      </c>
      <c r="RCD212" s="371">
        <v>15.38</v>
      </c>
      <c r="RCE212" s="371" t="e">
        <f>RCB212*RCC212*RCD212</f>
        <v>#DIV/0!</v>
      </c>
      <c r="RCF212" s="367" t="s">
        <v>206</v>
      </c>
      <c r="RCG212" s="367"/>
      <c r="RCH212" s="367"/>
      <c r="RCI212" s="368" t="s">
        <v>168</v>
      </c>
      <c r="RCJ212" s="369">
        <v>0.5</v>
      </c>
      <c r="RCK212" s="370" t="e">
        <f>10/RCG210</f>
        <v>#DIV/0!</v>
      </c>
      <c r="RCL212" s="371">
        <v>15.38</v>
      </c>
      <c r="RCM212" s="371" t="e">
        <f>RCJ212*RCK212*RCL212</f>
        <v>#DIV/0!</v>
      </c>
      <c r="RCN212" s="367" t="s">
        <v>206</v>
      </c>
      <c r="RCO212" s="367"/>
      <c r="RCP212" s="367"/>
      <c r="RCQ212" s="368" t="s">
        <v>168</v>
      </c>
      <c r="RCR212" s="369">
        <v>0.5</v>
      </c>
      <c r="RCS212" s="370" t="e">
        <f>10/RCO210</f>
        <v>#DIV/0!</v>
      </c>
      <c r="RCT212" s="371">
        <v>15.38</v>
      </c>
      <c r="RCU212" s="371" t="e">
        <f>RCR212*RCS212*RCT212</f>
        <v>#DIV/0!</v>
      </c>
      <c r="RCV212" s="367" t="s">
        <v>206</v>
      </c>
      <c r="RCW212" s="367"/>
      <c r="RCX212" s="367"/>
      <c r="RCY212" s="368" t="s">
        <v>168</v>
      </c>
      <c r="RCZ212" s="369">
        <v>0.5</v>
      </c>
      <c r="RDA212" s="370" t="e">
        <f>10/RCW210</f>
        <v>#DIV/0!</v>
      </c>
      <c r="RDB212" s="371">
        <v>15.38</v>
      </c>
      <c r="RDC212" s="371" t="e">
        <f>RCZ212*RDA212*RDB212</f>
        <v>#DIV/0!</v>
      </c>
      <c r="RDD212" s="367" t="s">
        <v>206</v>
      </c>
      <c r="RDE212" s="367"/>
      <c r="RDF212" s="367"/>
      <c r="RDG212" s="368" t="s">
        <v>168</v>
      </c>
      <c r="RDH212" s="369">
        <v>0.5</v>
      </c>
      <c r="RDI212" s="370" t="e">
        <f>10/RDE210</f>
        <v>#DIV/0!</v>
      </c>
      <c r="RDJ212" s="371">
        <v>15.38</v>
      </c>
      <c r="RDK212" s="371" t="e">
        <f>RDH212*RDI212*RDJ212</f>
        <v>#DIV/0!</v>
      </c>
      <c r="RDL212" s="367" t="s">
        <v>206</v>
      </c>
      <c r="RDM212" s="367"/>
      <c r="RDN212" s="367"/>
      <c r="RDO212" s="368" t="s">
        <v>168</v>
      </c>
      <c r="RDP212" s="369">
        <v>0.5</v>
      </c>
      <c r="RDQ212" s="370" t="e">
        <f>10/RDM210</f>
        <v>#DIV/0!</v>
      </c>
      <c r="RDR212" s="371">
        <v>15.38</v>
      </c>
      <c r="RDS212" s="371" t="e">
        <f>RDP212*RDQ212*RDR212</f>
        <v>#DIV/0!</v>
      </c>
      <c r="RDT212" s="367" t="s">
        <v>206</v>
      </c>
      <c r="RDU212" s="367"/>
      <c r="RDV212" s="367"/>
      <c r="RDW212" s="368" t="s">
        <v>168</v>
      </c>
      <c r="RDX212" s="369">
        <v>0.5</v>
      </c>
      <c r="RDY212" s="370" t="e">
        <f>10/RDU210</f>
        <v>#DIV/0!</v>
      </c>
      <c r="RDZ212" s="371">
        <v>15.38</v>
      </c>
      <c r="REA212" s="371" t="e">
        <f>RDX212*RDY212*RDZ212</f>
        <v>#DIV/0!</v>
      </c>
      <c r="REB212" s="367" t="s">
        <v>206</v>
      </c>
      <c r="REC212" s="367"/>
      <c r="RED212" s="367"/>
      <c r="REE212" s="368" t="s">
        <v>168</v>
      </c>
      <c r="REF212" s="369">
        <v>0.5</v>
      </c>
      <c r="REG212" s="370" t="e">
        <f>10/REC210</f>
        <v>#DIV/0!</v>
      </c>
      <c r="REH212" s="371">
        <v>15.38</v>
      </c>
      <c r="REI212" s="371" t="e">
        <f>REF212*REG212*REH212</f>
        <v>#DIV/0!</v>
      </c>
      <c r="REJ212" s="367" t="s">
        <v>206</v>
      </c>
      <c r="REK212" s="367"/>
      <c r="REL212" s="367"/>
      <c r="REM212" s="368" t="s">
        <v>168</v>
      </c>
      <c r="REN212" s="369">
        <v>0.5</v>
      </c>
      <c r="REO212" s="370" t="e">
        <f>10/REK210</f>
        <v>#DIV/0!</v>
      </c>
      <c r="REP212" s="371">
        <v>15.38</v>
      </c>
      <c r="REQ212" s="371" t="e">
        <f>REN212*REO212*REP212</f>
        <v>#DIV/0!</v>
      </c>
      <c r="RER212" s="367" t="s">
        <v>206</v>
      </c>
      <c r="RES212" s="367"/>
      <c r="RET212" s="367"/>
      <c r="REU212" s="368" t="s">
        <v>168</v>
      </c>
      <c r="REV212" s="369">
        <v>0.5</v>
      </c>
      <c r="REW212" s="370" t="e">
        <f>10/RES210</f>
        <v>#DIV/0!</v>
      </c>
      <c r="REX212" s="371">
        <v>15.38</v>
      </c>
      <c r="REY212" s="371" t="e">
        <f>REV212*REW212*REX212</f>
        <v>#DIV/0!</v>
      </c>
      <c r="REZ212" s="367" t="s">
        <v>206</v>
      </c>
      <c r="RFA212" s="367"/>
      <c r="RFB212" s="367"/>
      <c r="RFC212" s="368" t="s">
        <v>168</v>
      </c>
      <c r="RFD212" s="369">
        <v>0.5</v>
      </c>
      <c r="RFE212" s="370" t="e">
        <f>10/RFA210</f>
        <v>#DIV/0!</v>
      </c>
      <c r="RFF212" s="371">
        <v>15.38</v>
      </c>
      <c r="RFG212" s="371" t="e">
        <f>RFD212*RFE212*RFF212</f>
        <v>#DIV/0!</v>
      </c>
      <c r="RFH212" s="367" t="s">
        <v>206</v>
      </c>
      <c r="RFI212" s="367"/>
      <c r="RFJ212" s="367"/>
      <c r="RFK212" s="368" t="s">
        <v>168</v>
      </c>
      <c r="RFL212" s="369">
        <v>0.5</v>
      </c>
      <c r="RFM212" s="370" t="e">
        <f>10/RFI210</f>
        <v>#DIV/0!</v>
      </c>
      <c r="RFN212" s="371">
        <v>15.38</v>
      </c>
      <c r="RFO212" s="371" t="e">
        <f>RFL212*RFM212*RFN212</f>
        <v>#DIV/0!</v>
      </c>
      <c r="RFP212" s="367" t="s">
        <v>206</v>
      </c>
      <c r="RFQ212" s="367"/>
      <c r="RFR212" s="367"/>
      <c r="RFS212" s="368" t="s">
        <v>168</v>
      </c>
      <c r="RFT212" s="369">
        <v>0.5</v>
      </c>
      <c r="RFU212" s="370" t="e">
        <f>10/RFQ210</f>
        <v>#DIV/0!</v>
      </c>
      <c r="RFV212" s="371">
        <v>15.38</v>
      </c>
      <c r="RFW212" s="371" t="e">
        <f>RFT212*RFU212*RFV212</f>
        <v>#DIV/0!</v>
      </c>
      <c r="RFX212" s="367" t="s">
        <v>206</v>
      </c>
      <c r="RFY212" s="367"/>
      <c r="RFZ212" s="367"/>
      <c r="RGA212" s="368" t="s">
        <v>168</v>
      </c>
      <c r="RGB212" s="369">
        <v>0.5</v>
      </c>
      <c r="RGC212" s="370" t="e">
        <f>10/RFY210</f>
        <v>#DIV/0!</v>
      </c>
      <c r="RGD212" s="371">
        <v>15.38</v>
      </c>
      <c r="RGE212" s="371" t="e">
        <f>RGB212*RGC212*RGD212</f>
        <v>#DIV/0!</v>
      </c>
      <c r="RGF212" s="367" t="s">
        <v>206</v>
      </c>
      <c r="RGG212" s="367"/>
      <c r="RGH212" s="367"/>
      <c r="RGI212" s="368" t="s">
        <v>168</v>
      </c>
      <c r="RGJ212" s="369">
        <v>0.5</v>
      </c>
      <c r="RGK212" s="370" t="e">
        <f>10/RGG210</f>
        <v>#DIV/0!</v>
      </c>
      <c r="RGL212" s="371">
        <v>15.38</v>
      </c>
      <c r="RGM212" s="371" t="e">
        <f>RGJ212*RGK212*RGL212</f>
        <v>#DIV/0!</v>
      </c>
      <c r="RGN212" s="367" t="s">
        <v>206</v>
      </c>
      <c r="RGO212" s="367"/>
      <c r="RGP212" s="367"/>
      <c r="RGQ212" s="368" t="s">
        <v>168</v>
      </c>
      <c r="RGR212" s="369">
        <v>0.5</v>
      </c>
      <c r="RGS212" s="370" t="e">
        <f>10/RGO210</f>
        <v>#DIV/0!</v>
      </c>
      <c r="RGT212" s="371">
        <v>15.38</v>
      </c>
      <c r="RGU212" s="371" t="e">
        <f>RGR212*RGS212*RGT212</f>
        <v>#DIV/0!</v>
      </c>
      <c r="RGV212" s="367" t="s">
        <v>206</v>
      </c>
      <c r="RGW212" s="367"/>
      <c r="RGX212" s="367"/>
      <c r="RGY212" s="368" t="s">
        <v>168</v>
      </c>
      <c r="RGZ212" s="369">
        <v>0.5</v>
      </c>
      <c r="RHA212" s="370" t="e">
        <f>10/RGW210</f>
        <v>#DIV/0!</v>
      </c>
      <c r="RHB212" s="371">
        <v>15.38</v>
      </c>
      <c r="RHC212" s="371" t="e">
        <f>RGZ212*RHA212*RHB212</f>
        <v>#DIV/0!</v>
      </c>
      <c r="RHD212" s="367" t="s">
        <v>206</v>
      </c>
      <c r="RHE212" s="367"/>
      <c r="RHF212" s="367"/>
      <c r="RHG212" s="368" t="s">
        <v>168</v>
      </c>
      <c r="RHH212" s="369">
        <v>0.5</v>
      </c>
      <c r="RHI212" s="370" t="e">
        <f>10/RHE210</f>
        <v>#DIV/0!</v>
      </c>
      <c r="RHJ212" s="371">
        <v>15.38</v>
      </c>
      <c r="RHK212" s="371" t="e">
        <f>RHH212*RHI212*RHJ212</f>
        <v>#DIV/0!</v>
      </c>
      <c r="RHL212" s="367" t="s">
        <v>206</v>
      </c>
      <c r="RHM212" s="367"/>
      <c r="RHN212" s="367"/>
      <c r="RHO212" s="368" t="s">
        <v>168</v>
      </c>
      <c r="RHP212" s="369">
        <v>0.5</v>
      </c>
      <c r="RHQ212" s="370" t="e">
        <f>10/RHM210</f>
        <v>#DIV/0!</v>
      </c>
      <c r="RHR212" s="371">
        <v>15.38</v>
      </c>
      <c r="RHS212" s="371" t="e">
        <f>RHP212*RHQ212*RHR212</f>
        <v>#DIV/0!</v>
      </c>
      <c r="RHT212" s="367" t="s">
        <v>206</v>
      </c>
      <c r="RHU212" s="367"/>
      <c r="RHV212" s="367"/>
      <c r="RHW212" s="368" t="s">
        <v>168</v>
      </c>
      <c r="RHX212" s="369">
        <v>0.5</v>
      </c>
      <c r="RHY212" s="370" t="e">
        <f>10/RHU210</f>
        <v>#DIV/0!</v>
      </c>
      <c r="RHZ212" s="371">
        <v>15.38</v>
      </c>
      <c r="RIA212" s="371" t="e">
        <f>RHX212*RHY212*RHZ212</f>
        <v>#DIV/0!</v>
      </c>
      <c r="RIB212" s="367" t="s">
        <v>206</v>
      </c>
      <c r="RIC212" s="367"/>
      <c r="RID212" s="367"/>
      <c r="RIE212" s="368" t="s">
        <v>168</v>
      </c>
      <c r="RIF212" s="369">
        <v>0.5</v>
      </c>
      <c r="RIG212" s="370" t="e">
        <f>10/RIC210</f>
        <v>#DIV/0!</v>
      </c>
      <c r="RIH212" s="371">
        <v>15.38</v>
      </c>
      <c r="RII212" s="371" t="e">
        <f>RIF212*RIG212*RIH212</f>
        <v>#DIV/0!</v>
      </c>
      <c r="RIJ212" s="367" t="s">
        <v>206</v>
      </c>
      <c r="RIK212" s="367"/>
      <c r="RIL212" s="367"/>
      <c r="RIM212" s="368" t="s">
        <v>168</v>
      </c>
      <c r="RIN212" s="369">
        <v>0.5</v>
      </c>
      <c r="RIO212" s="370" t="e">
        <f>10/RIK210</f>
        <v>#DIV/0!</v>
      </c>
      <c r="RIP212" s="371">
        <v>15.38</v>
      </c>
      <c r="RIQ212" s="371" t="e">
        <f>RIN212*RIO212*RIP212</f>
        <v>#DIV/0!</v>
      </c>
      <c r="RIR212" s="367" t="s">
        <v>206</v>
      </c>
      <c r="RIS212" s="367"/>
      <c r="RIT212" s="367"/>
      <c r="RIU212" s="368" t="s">
        <v>168</v>
      </c>
      <c r="RIV212" s="369">
        <v>0.5</v>
      </c>
      <c r="RIW212" s="370" t="e">
        <f>10/RIS210</f>
        <v>#DIV/0!</v>
      </c>
      <c r="RIX212" s="371">
        <v>15.38</v>
      </c>
      <c r="RIY212" s="371" t="e">
        <f>RIV212*RIW212*RIX212</f>
        <v>#DIV/0!</v>
      </c>
      <c r="RIZ212" s="367" t="s">
        <v>206</v>
      </c>
      <c r="RJA212" s="367"/>
      <c r="RJB212" s="367"/>
      <c r="RJC212" s="368" t="s">
        <v>168</v>
      </c>
      <c r="RJD212" s="369">
        <v>0.5</v>
      </c>
      <c r="RJE212" s="370" t="e">
        <f>10/RJA210</f>
        <v>#DIV/0!</v>
      </c>
      <c r="RJF212" s="371">
        <v>15.38</v>
      </c>
      <c r="RJG212" s="371" t="e">
        <f>RJD212*RJE212*RJF212</f>
        <v>#DIV/0!</v>
      </c>
      <c r="RJH212" s="367" t="s">
        <v>206</v>
      </c>
      <c r="RJI212" s="367"/>
      <c r="RJJ212" s="367"/>
      <c r="RJK212" s="368" t="s">
        <v>168</v>
      </c>
      <c r="RJL212" s="369">
        <v>0.5</v>
      </c>
      <c r="RJM212" s="370" t="e">
        <f>10/RJI210</f>
        <v>#DIV/0!</v>
      </c>
      <c r="RJN212" s="371">
        <v>15.38</v>
      </c>
      <c r="RJO212" s="371" t="e">
        <f>RJL212*RJM212*RJN212</f>
        <v>#DIV/0!</v>
      </c>
      <c r="RJP212" s="367" t="s">
        <v>206</v>
      </c>
      <c r="RJQ212" s="367"/>
      <c r="RJR212" s="367"/>
      <c r="RJS212" s="368" t="s">
        <v>168</v>
      </c>
      <c r="RJT212" s="369">
        <v>0.5</v>
      </c>
      <c r="RJU212" s="370" t="e">
        <f>10/RJQ210</f>
        <v>#DIV/0!</v>
      </c>
      <c r="RJV212" s="371">
        <v>15.38</v>
      </c>
      <c r="RJW212" s="371" t="e">
        <f>RJT212*RJU212*RJV212</f>
        <v>#DIV/0!</v>
      </c>
      <c r="RJX212" s="367" t="s">
        <v>206</v>
      </c>
      <c r="RJY212" s="367"/>
      <c r="RJZ212" s="367"/>
      <c r="RKA212" s="368" t="s">
        <v>168</v>
      </c>
      <c r="RKB212" s="369">
        <v>0.5</v>
      </c>
      <c r="RKC212" s="370" t="e">
        <f>10/RJY210</f>
        <v>#DIV/0!</v>
      </c>
      <c r="RKD212" s="371">
        <v>15.38</v>
      </c>
      <c r="RKE212" s="371" t="e">
        <f>RKB212*RKC212*RKD212</f>
        <v>#DIV/0!</v>
      </c>
      <c r="RKF212" s="367" t="s">
        <v>206</v>
      </c>
      <c r="RKG212" s="367"/>
      <c r="RKH212" s="367"/>
      <c r="RKI212" s="368" t="s">
        <v>168</v>
      </c>
      <c r="RKJ212" s="369">
        <v>0.5</v>
      </c>
      <c r="RKK212" s="370" t="e">
        <f>10/RKG210</f>
        <v>#DIV/0!</v>
      </c>
      <c r="RKL212" s="371">
        <v>15.38</v>
      </c>
      <c r="RKM212" s="371" t="e">
        <f>RKJ212*RKK212*RKL212</f>
        <v>#DIV/0!</v>
      </c>
      <c r="RKN212" s="367" t="s">
        <v>206</v>
      </c>
      <c r="RKO212" s="367"/>
      <c r="RKP212" s="367"/>
      <c r="RKQ212" s="368" t="s">
        <v>168</v>
      </c>
      <c r="RKR212" s="369">
        <v>0.5</v>
      </c>
      <c r="RKS212" s="370" t="e">
        <f>10/RKO210</f>
        <v>#DIV/0!</v>
      </c>
      <c r="RKT212" s="371">
        <v>15.38</v>
      </c>
      <c r="RKU212" s="371" t="e">
        <f>RKR212*RKS212*RKT212</f>
        <v>#DIV/0!</v>
      </c>
      <c r="RKV212" s="367" t="s">
        <v>206</v>
      </c>
      <c r="RKW212" s="367"/>
      <c r="RKX212" s="367"/>
      <c r="RKY212" s="368" t="s">
        <v>168</v>
      </c>
      <c r="RKZ212" s="369">
        <v>0.5</v>
      </c>
      <c r="RLA212" s="370" t="e">
        <f>10/RKW210</f>
        <v>#DIV/0!</v>
      </c>
      <c r="RLB212" s="371">
        <v>15.38</v>
      </c>
      <c r="RLC212" s="371" t="e">
        <f>RKZ212*RLA212*RLB212</f>
        <v>#DIV/0!</v>
      </c>
      <c r="RLD212" s="367" t="s">
        <v>206</v>
      </c>
      <c r="RLE212" s="367"/>
      <c r="RLF212" s="367"/>
      <c r="RLG212" s="368" t="s">
        <v>168</v>
      </c>
      <c r="RLH212" s="369">
        <v>0.5</v>
      </c>
      <c r="RLI212" s="370" t="e">
        <f>10/RLE210</f>
        <v>#DIV/0!</v>
      </c>
      <c r="RLJ212" s="371">
        <v>15.38</v>
      </c>
      <c r="RLK212" s="371" t="e">
        <f>RLH212*RLI212*RLJ212</f>
        <v>#DIV/0!</v>
      </c>
      <c r="RLL212" s="367" t="s">
        <v>206</v>
      </c>
      <c r="RLM212" s="367"/>
      <c r="RLN212" s="367"/>
      <c r="RLO212" s="368" t="s">
        <v>168</v>
      </c>
      <c r="RLP212" s="369">
        <v>0.5</v>
      </c>
      <c r="RLQ212" s="370" t="e">
        <f>10/RLM210</f>
        <v>#DIV/0!</v>
      </c>
      <c r="RLR212" s="371">
        <v>15.38</v>
      </c>
      <c r="RLS212" s="371" t="e">
        <f>RLP212*RLQ212*RLR212</f>
        <v>#DIV/0!</v>
      </c>
      <c r="RLT212" s="367" t="s">
        <v>206</v>
      </c>
      <c r="RLU212" s="367"/>
      <c r="RLV212" s="367"/>
      <c r="RLW212" s="368" t="s">
        <v>168</v>
      </c>
      <c r="RLX212" s="369">
        <v>0.5</v>
      </c>
      <c r="RLY212" s="370" t="e">
        <f>10/RLU210</f>
        <v>#DIV/0!</v>
      </c>
      <c r="RLZ212" s="371">
        <v>15.38</v>
      </c>
      <c r="RMA212" s="371" t="e">
        <f>RLX212*RLY212*RLZ212</f>
        <v>#DIV/0!</v>
      </c>
      <c r="RMB212" s="367" t="s">
        <v>206</v>
      </c>
      <c r="RMC212" s="367"/>
      <c r="RMD212" s="367"/>
      <c r="RME212" s="368" t="s">
        <v>168</v>
      </c>
      <c r="RMF212" s="369">
        <v>0.5</v>
      </c>
      <c r="RMG212" s="370" t="e">
        <f>10/RMC210</f>
        <v>#DIV/0!</v>
      </c>
      <c r="RMH212" s="371">
        <v>15.38</v>
      </c>
      <c r="RMI212" s="371" t="e">
        <f>RMF212*RMG212*RMH212</f>
        <v>#DIV/0!</v>
      </c>
      <c r="RMJ212" s="367" t="s">
        <v>206</v>
      </c>
      <c r="RMK212" s="367"/>
      <c r="RML212" s="367"/>
      <c r="RMM212" s="368" t="s">
        <v>168</v>
      </c>
      <c r="RMN212" s="369">
        <v>0.5</v>
      </c>
      <c r="RMO212" s="370" t="e">
        <f>10/RMK210</f>
        <v>#DIV/0!</v>
      </c>
      <c r="RMP212" s="371">
        <v>15.38</v>
      </c>
      <c r="RMQ212" s="371" t="e">
        <f>RMN212*RMO212*RMP212</f>
        <v>#DIV/0!</v>
      </c>
      <c r="RMR212" s="367" t="s">
        <v>206</v>
      </c>
      <c r="RMS212" s="367"/>
      <c r="RMT212" s="367"/>
      <c r="RMU212" s="368" t="s">
        <v>168</v>
      </c>
      <c r="RMV212" s="369">
        <v>0.5</v>
      </c>
      <c r="RMW212" s="370" t="e">
        <f>10/RMS210</f>
        <v>#DIV/0!</v>
      </c>
      <c r="RMX212" s="371">
        <v>15.38</v>
      </c>
      <c r="RMY212" s="371" t="e">
        <f>RMV212*RMW212*RMX212</f>
        <v>#DIV/0!</v>
      </c>
      <c r="RMZ212" s="367" t="s">
        <v>206</v>
      </c>
      <c r="RNA212" s="367"/>
      <c r="RNB212" s="367"/>
      <c r="RNC212" s="368" t="s">
        <v>168</v>
      </c>
      <c r="RND212" s="369">
        <v>0.5</v>
      </c>
      <c r="RNE212" s="370" t="e">
        <f>10/RNA210</f>
        <v>#DIV/0!</v>
      </c>
      <c r="RNF212" s="371">
        <v>15.38</v>
      </c>
      <c r="RNG212" s="371" t="e">
        <f>RND212*RNE212*RNF212</f>
        <v>#DIV/0!</v>
      </c>
      <c r="RNH212" s="367" t="s">
        <v>206</v>
      </c>
      <c r="RNI212" s="367"/>
      <c r="RNJ212" s="367"/>
      <c r="RNK212" s="368" t="s">
        <v>168</v>
      </c>
      <c r="RNL212" s="369">
        <v>0.5</v>
      </c>
      <c r="RNM212" s="370" t="e">
        <f>10/RNI210</f>
        <v>#DIV/0!</v>
      </c>
      <c r="RNN212" s="371">
        <v>15.38</v>
      </c>
      <c r="RNO212" s="371" t="e">
        <f>RNL212*RNM212*RNN212</f>
        <v>#DIV/0!</v>
      </c>
      <c r="RNP212" s="367" t="s">
        <v>206</v>
      </c>
      <c r="RNQ212" s="367"/>
      <c r="RNR212" s="367"/>
      <c r="RNS212" s="368" t="s">
        <v>168</v>
      </c>
      <c r="RNT212" s="369">
        <v>0.5</v>
      </c>
      <c r="RNU212" s="370" t="e">
        <f>10/RNQ210</f>
        <v>#DIV/0!</v>
      </c>
      <c r="RNV212" s="371">
        <v>15.38</v>
      </c>
      <c r="RNW212" s="371" t="e">
        <f>RNT212*RNU212*RNV212</f>
        <v>#DIV/0!</v>
      </c>
      <c r="RNX212" s="367" t="s">
        <v>206</v>
      </c>
      <c r="RNY212" s="367"/>
      <c r="RNZ212" s="367"/>
      <c r="ROA212" s="368" t="s">
        <v>168</v>
      </c>
      <c r="ROB212" s="369">
        <v>0.5</v>
      </c>
      <c r="ROC212" s="370" t="e">
        <f>10/RNY210</f>
        <v>#DIV/0!</v>
      </c>
      <c r="ROD212" s="371">
        <v>15.38</v>
      </c>
      <c r="ROE212" s="371" t="e">
        <f>ROB212*ROC212*ROD212</f>
        <v>#DIV/0!</v>
      </c>
      <c r="ROF212" s="367" t="s">
        <v>206</v>
      </c>
      <c r="ROG212" s="367"/>
      <c r="ROH212" s="367"/>
      <c r="ROI212" s="368" t="s">
        <v>168</v>
      </c>
      <c r="ROJ212" s="369">
        <v>0.5</v>
      </c>
      <c r="ROK212" s="370" t="e">
        <f>10/ROG210</f>
        <v>#DIV/0!</v>
      </c>
      <c r="ROL212" s="371">
        <v>15.38</v>
      </c>
      <c r="ROM212" s="371" t="e">
        <f>ROJ212*ROK212*ROL212</f>
        <v>#DIV/0!</v>
      </c>
      <c r="RON212" s="367" t="s">
        <v>206</v>
      </c>
      <c r="ROO212" s="367"/>
      <c r="ROP212" s="367"/>
      <c r="ROQ212" s="368" t="s">
        <v>168</v>
      </c>
      <c r="ROR212" s="369">
        <v>0.5</v>
      </c>
      <c r="ROS212" s="370" t="e">
        <f>10/ROO210</f>
        <v>#DIV/0!</v>
      </c>
      <c r="ROT212" s="371">
        <v>15.38</v>
      </c>
      <c r="ROU212" s="371" t="e">
        <f>ROR212*ROS212*ROT212</f>
        <v>#DIV/0!</v>
      </c>
      <c r="ROV212" s="367" t="s">
        <v>206</v>
      </c>
      <c r="ROW212" s="367"/>
      <c r="ROX212" s="367"/>
      <c r="ROY212" s="368" t="s">
        <v>168</v>
      </c>
      <c r="ROZ212" s="369">
        <v>0.5</v>
      </c>
      <c r="RPA212" s="370" t="e">
        <f>10/ROW210</f>
        <v>#DIV/0!</v>
      </c>
      <c r="RPB212" s="371">
        <v>15.38</v>
      </c>
      <c r="RPC212" s="371" t="e">
        <f>ROZ212*RPA212*RPB212</f>
        <v>#DIV/0!</v>
      </c>
      <c r="RPD212" s="367" t="s">
        <v>206</v>
      </c>
      <c r="RPE212" s="367"/>
      <c r="RPF212" s="367"/>
      <c r="RPG212" s="368" t="s">
        <v>168</v>
      </c>
      <c r="RPH212" s="369">
        <v>0.5</v>
      </c>
      <c r="RPI212" s="370" t="e">
        <f>10/RPE210</f>
        <v>#DIV/0!</v>
      </c>
      <c r="RPJ212" s="371">
        <v>15.38</v>
      </c>
      <c r="RPK212" s="371" t="e">
        <f>RPH212*RPI212*RPJ212</f>
        <v>#DIV/0!</v>
      </c>
      <c r="RPL212" s="367" t="s">
        <v>206</v>
      </c>
      <c r="RPM212" s="367"/>
      <c r="RPN212" s="367"/>
      <c r="RPO212" s="368" t="s">
        <v>168</v>
      </c>
      <c r="RPP212" s="369">
        <v>0.5</v>
      </c>
      <c r="RPQ212" s="370" t="e">
        <f>10/RPM210</f>
        <v>#DIV/0!</v>
      </c>
      <c r="RPR212" s="371">
        <v>15.38</v>
      </c>
      <c r="RPS212" s="371" t="e">
        <f>RPP212*RPQ212*RPR212</f>
        <v>#DIV/0!</v>
      </c>
      <c r="RPT212" s="367" t="s">
        <v>206</v>
      </c>
      <c r="RPU212" s="367"/>
      <c r="RPV212" s="367"/>
      <c r="RPW212" s="368" t="s">
        <v>168</v>
      </c>
      <c r="RPX212" s="369">
        <v>0.5</v>
      </c>
      <c r="RPY212" s="370" t="e">
        <f>10/RPU210</f>
        <v>#DIV/0!</v>
      </c>
      <c r="RPZ212" s="371">
        <v>15.38</v>
      </c>
      <c r="RQA212" s="371" t="e">
        <f>RPX212*RPY212*RPZ212</f>
        <v>#DIV/0!</v>
      </c>
      <c r="RQB212" s="367" t="s">
        <v>206</v>
      </c>
      <c r="RQC212" s="367"/>
      <c r="RQD212" s="367"/>
      <c r="RQE212" s="368" t="s">
        <v>168</v>
      </c>
      <c r="RQF212" s="369">
        <v>0.5</v>
      </c>
      <c r="RQG212" s="370" t="e">
        <f>10/RQC210</f>
        <v>#DIV/0!</v>
      </c>
      <c r="RQH212" s="371">
        <v>15.38</v>
      </c>
      <c r="RQI212" s="371" t="e">
        <f>RQF212*RQG212*RQH212</f>
        <v>#DIV/0!</v>
      </c>
      <c r="RQJ212" s="367" t="s">
        <v>206</v>
      </c>
      <c r="RQK212" s="367"/>
      <c r="RQL212" s="367"/>
      <c r="RQM212" s="368" t="s">
        <v>168</v>
      </c>
      <c r="RQN212" s="369">
        <v>0.5</v>
      </c>
      <c r="RQO212" s="370" t="e">
        <f>10/RQK210</f>
        <v>#DIV/0!</v>
      </c>
      <c r="RQP212" s="371">
        <v>15.38</v>
      </c>
      <c r="RQQ212" s="371" t="e">
        <f>RQN212*RQO212*RQP212</f>
        <v>#DIV/0!</v>
      </c>
      <c r="RQR212" s="367" t="s">
        <v>206</v>
      </c>
      <c r="RQS212" s="367"/>
      <c r="RQT212" s="367"/>
      <c r="RQU212" s="368" t="s">
        <v>168</v>
      </c>
      <c r="RQV212" s="369">
        <v>0.5</v>
      </c>
      <c r="RQW212" s="370" t="e">
        <f>10/RQS210</f>
        <v>#DIV/0!</v>
      </c>
      <c r="RQX212" s="371">
        <v>15.38</v>
      </c>
      <c r="RQY212" s="371" t="e">
        <f>RQV212*RQW212*RQX212</f>
        <v>#DIV/0!</v>
      </c>
      <c r="RQZ212" s="367" t="s">
        <v>206</v>
      </c>
      <c r="RRA212" s="367"/>
      <c r="RRB212" s="367"/>
      <c r="RRC212" s="368" t="s">
        <v>168</v>
      </c>
      <c r="RRD212" s="369">
        <v>0.5</v>
      </c>
      <c r="RRE212" s="370" t="e">
        <f>10/RRA210</f>
        <v>#DIV/0!</v>
      </c>
      <c r="RRF212" s="371">
        <v>15.38</v>
      </c>
      <c r="RRG212" s="371" t="e">
        <f>RRD212*RRE212*RRF212</f>
        <v>#DIV/0!</v>
      </c>
      <c r="RRH212" s="367" t="s">
        <v>206</v>
      </c>
      <c r="RRI212" s="367"/>
      <c r="RRJ212" s="367"/>
      <c r="RRK212" s="368" t="s">
        <v>168</v>
      </c>
      <c r="RRL212" s="369">
        <v>0.5</v>
      </c>
      <c r="RRM212" s="370" t="e">
        <f>10/RRI210</f>
        <v>#DIV/0!</v>
      </c>
      <c r="RRN212" s="371">
        <v>15.38</v>
      </c>
      <c r="RRO212" s="371" t="e">
        <f>RRL212*RRM212*RRN212</f>
        <v>#DIV/0!</v>
      </c>
      <c r="RRP212" s="367" t="s">
        <v>206</v>
      </c>
      <c r="RRQ212" s="367"/>
      <c r="RRR212" s="367"/>
      <c r="RRS212" s="368" t="s">
        <v>168</v>
      </c>
      <c r="RRT212" s="369">
        <v>0.5</v>
      </c>
      <c r="RRU212" s="370" t="e">
        <f>10/RRQ210</f>
        <v>#DIV/0!</v>
      </c>
      <c r="RRV212" s="371">
        <v>15.38</v>
      </c>
      <c r="RRW212" s="371" t="e">
        <f>RRT212*RRU212*RRV212</f>
        <v>#DIV/0!</v>
      </c>
      <c r="RRX212" s="367" t="s">
        <v>206</v>
      </c>
      <c r="RRY212" s="367"/>
      <c r="RRZ212" s="367"/>
      <c r="RSA212" s="368" t="s">
        <v>168</v>
      </c>
      <c r="RSB212" s="369">
        <v>0.5</v>
      </c>
      <c r="RSC212" s="370" t="e">
        <f>10/RRY210</f>
        <v>#DIV/0!</v>
      </c>
      <c r="RSD212" s="371">
        <v>15.38</v>
      </c>
      <c r="RSE212" s="371" t="e">
        <f>RSB212*RSC212*RSD212</f>
        <v>#DIV/0!</v>
      </c>
      <c r="RSF212" s="367" t="s">
        <v>206</v>
      </c>
      <c r="RSG212" s="367"/>
      <c r="RSH212" s="367"/>
      <c r="RSI212" s="368" t="s">
        <v>168</v>
      </c>
      <c r="RSJ212" s="369">
        <v>0.5</v>
      </c>
      <c r="RSK212" s="370" t="e">
        <f>10/RSG210</f>
        <v>#DIV/0!</v>
      </c>
      <c r="RSL212" s="371">
        <v>15.38</v>
      </c>
      <c r="RSM212" s="371" t="e">
        <f>RSJ212*RSK212*RSL212</f>
        <v>#DIV/0!</v>
      </c>
      <c r="RSN212" s="367" t="s">
        <v>206</v>
      </c>
      <c r="RSO212" s="367"/>
      <c r="RSP212" s="367"/>
      <c r="RSQ212" s="368" t="s">
        <v>168</v>
      </c>
      <c r="RSR212" s="369">
        <v>0.5</v>
      </c>
      <c r="RSS212" s="370" t="e">
        <f>10/RSO210</f>
        <v>#DIV/0!</v>
      </c>
      <c r="RST212" s="371">
        <v>15.38</v>
      </c>
      <c r="RSU212" s="371" t="e">
        <f>RSR212*RSS212*RST212</f>
        <v>#DIV/0!</v>
      </c>
      <c r="RSV212" s="367" t="s">
        <v>206</v>
      </c>
      <c r="RSW212" s="367"/>
      <c r="RSX212" s="367"/>
      <c r="RSY212" s="368" t="s">
        <v>168</v>
      </c>
      <c r="RSZ212" s="369">
        <v>0.5</v>
      </c>
      <c r="RTA212" s="370" t="e">
        <f>10/RSW210</f>
        <v>#DIV/0!</v>
      </c>
      <c r="RTB212" s="371">
        <v>15.38</v>
      </c>
      <c r="RTC212" s="371" t="e">
        <f>RSZ212*RTA212*RTB212</f>
        <v>#DIV/0!</v>
      </c>
      <c r="RTD212" s="367" t="s">
        <v>206</v>
      </c>
      <c r="RTE212" s="367"/>
      <c r="RTF212" s="367"/>
      <c r="RTG212" s="368" t="s">
        <v>168</v>
      </c>
      <c r="RTH212" s="369">
        <v>0.5</v>
      </c>
      <c r="RTI212" s="370" t="e">
        <f>10/RTE210</f>
        <v>#DIV/0!</v>
      </c>
      <c r="RTJ212" s="371">
        <v>15.38</v>
      </c>
      <c r="RTK212" s="371" t="e">
        <f>RTH212*RTI212*RTJ212</f>
        <v>#DIV/0!</v>
      </c>
      <c r="RTL212" s="367" t="s">
        <v>206</v>
      </c>
      <c r="RTM212" s="367"/>
      <c r="RTN212" s="367"/>
      <c r="RTO212" s="368" t="s">
        <v>168</v>
      </c>
      <c r="RTP212" s="369">
        <v>0.5</v>
      </c>
      <c r="RTQ212" s="370" t="e">
        <f>10/RTM210</f>
        <v>#DIV/0!</v>
      </c>
      <c r="RTR212" s="371">
        <v>15.38</v>
      </c>
      <c r="RTS212" s="371" t="e">
        <f>RTP212*RTQ212*RTR212</f>
        <v>#DIV/0!</v>
      </c>
      <c r="RTT212" s="367" t="s">
        <v>206</v>
      </c>
      <c r="RTU212" s="367"/>
      <c r="RTV212" s="367"/>
      <c r="RTW212" s="368" t="s">
        <v>168</v>
      </c>
      <c r="RTX212" s="369">
        <v>0.5</v>
      </c>
      <c r="RTY212" s="370" t="e">
        <f>10/RTU210</f>
        <v>#DIV/0!</v>
      </c>
      <c r="RTZ212" s="371">
        <v>15.38</v>
      </c>
      <c r="RUA212" s="371" t="e">
        <f>RTX212*RTY212*RTZ212</f>
        <v>#DIV/0!</v>
      </c>
      <c r="RUB212" s="367" t="s">
        <v>206</v>
      </c>
      <c r="RUC212" s="367"/>
      <c r="RUD212" s="367"/>
      <c r="RUE212" s="368" t="s">
        <v>168</v>
      </c>
      <c r="RUF212" s="369">
        <v>0.5</v>
      </c>
      <c r="RUG212" s="370" t="e">
        <f>10/RUC210</f>
        <v>#DIV/0!</v>
      </c>
      <c r="RUH212" s="371">
        <v>15.38</v>
      </c>
      <c r="RUI212" s="371" t="e">
        <f>RUF212*RUG212*RUH212</f>
        <v>#DIV/0!</v>
      </c>
      <c r="RUJ212" s="367" t="s">
        <v>206</v>
      </c>
      <c r="RUK212" s="367"/>
      <c r="RUL212" s="367"/>
      <c r="RUM212" s="368" t="s">
        <v>168</v>
      </c>
      <c r="RUN212" s="369">
        <v>0.5</v>
      </c>
      <c r="RUO212" s="370" t="e">
        <f>10/RUK210</f>
        <v>#DIV/0!</v>
      </c>
      <c r="RUP212" s="371">
        <v>15.38</v>
      </c>
      <c r="RUQ212" s="371" t="e">
        <f>RUN212*RUO212*RUP212</f>
        <v>#DIV/0!</v>
      </c>
      <c r="RUR212" s="367" t="s">
        <v>206</v>
      </c>
      <c r="RUS212" s="367"/>
      <c r="RUT212" s="367"/>
      <c r="RUU212" s="368" t="s">
        <v>168</v>
      </c>
      <c r="RUV212" s="369">
        <v>0.5</v>
      </c>
      <c r="RUW212" s="370" t="e">
        <f>10/RUS210</f>
        <v>#DIV/0!</v>
      </c>
      <c r="RUX212" s="371">
        <v>15.38</v>
      </c>
      <c r="RUY212" s="371" t="e">
        <f>RUV212*RUW212*RUX212</f>
        <v>#DIV/0!</v>
      </c>
      <c r="RUZ212" s="367" t="s">
        <v>206</v>
      </c>
      <c r="RVA212" s="367"/>
      <c r="RVB212" s="367"/>
      <c r="RVC212" s="368" t="s">
        <v>168</v>
      </c>
      <c r="RVD212" s="369">
        <v>0.5</v>
      </c>
      <c r="RVE212" s="370" t="e">
        <f>10/RVA210</f>
        <v>#DIV/0!</v>
      </c>
      <c r="RVF212" s="371">
        <v>15.38</v>
      </c>
      <c r="RVG212" s="371" t="e">
        <f>RVD212*RVE212*RVF212</f>
        <v>#DIV/0!</v>
      </c>
      <c r="RVH212" s="367" t="s">
        <v>206</v>
      </c>
      <c r="RVI212" s="367"/>
      <c r="RVJ212" s="367"/>
      <c r="RVK212" s="368" t="s">
        <v>168</v>
      </c>
      <c r="RVL212" s="369">
        <v>0.5</v>
      </c>
      <c r="RVM212" s="370" t="e">
        <f>10/RVI210</f>
        <v>#DIV/0!</v>
      </c>
      <c r="RVN212" s="371">
        <v>15.38</v>
      </c>
      <c r="RVO212" s="371" t="e">
        <f>RVL212*RVM212*RVN212</f>
        <v>#DIV/0!</v>
      </c>
      <c r="RVP212" s="367" t="s">
        <v>206</v>
      </c>
      <c r="RVQ212" s="367"/>
      <c r="RVR212" s="367"/>
      <c r="RVS212" s="368" t="s">
        <v>168</v>
      </c>
      <c r="RVT212" s="369">
        <v>0.5</v>
      </c>
      <c r="RVU212" s="370" t="e">
        <f>10/RVQ210</f>
        <v>#DIV/0!</v>
      </c>
      <c r="RVV212" s="371">
        <v>15.38</v>
      </c>
      <c r="RVW212" s="371" t="e">
        <f>RVT212*RVU212*RVV212</f>
        <v>#DIV/0!</v>
      </c>
      <c r="RVX212" s="367" t="s">
        <v>206</v>
      </c>
      <c r="RVY212" s="367"/>
      <c r="RVZ212" s="367"/>
      <c r="RWA212" s="368" t="s">
        <v>168</v>
      </c>
      <c r="RWB212" s="369">
        <v>0.5</v>
      </c>
      <c r="RWC212" s="370" t="e">
        <f>10/RVY210</f>
        <v>#DIV/0!</v>
      </c>
      <c r="RWD212" s="371">
        <v>15.38</v>
      </c>
      <c r="RWE212" s="371" t="e">
        <f>RWB212*RWC212*RWD212</f>
        <v>#DIV/0!</v>
      </c>
      <c r="RWF212" s="367" t="s">
        <v>206</v>
      </c>
      <c r="RWG212" s="367"/>
      <c r="RWH212" s="367"/>
      <c r="RWI212" s="368" t="s">
        <v>168</v>
      </c>
      <c r="RWJ212" s="369">
        <v>0.5</v>
      </c>
      <c r="RWK212" s="370" t="e">
        <f>10/RWG210</f>
        <v>#DIV/0!</v>
      </c>
      <c r="RWL212" s="371">
        <v>15.38</v>
      </c>
      <c r="RWM212" s="371" t="e">
        <f>RWJ212*RWK212*RWL212</f>
        <v>#DIV/0!</v>
      </c>
      <c r="RWN212" s="367" t="s">
        <v>206</v>
      </c>
      <c r="RWO212" s="367"/>
      <c r="RWP212" s="367"/>
      <c r="RWQ212" s="368" t="s">
        <v>168</v>
      </c>
      <c r="RWR212" s="369">
        <v>0.5</v>
      </c>
      <c r="RWS212" s="370" t="e">
        <f>10/RWO210</f>
        <v>#DIV/0!</v>
      </c>
      <c r="RWT212" s="371">
        <v>15.38</v>
      </c>
      <c r="RWU212" s="371" t="e">
        <f>RWR212*RWS212*RWT212</f>
        <v>#DIV/0!</v>
      </c>
      <c r="RWV212" s="367" t="s">
        <v>206</v>
      </c>
      <c r="RWW212" s="367"/>
      <c r="RWX212" s="367"/>
      <c r="RWY212" s="368" t="s">
        <v>168</v>
      </c>
      <c r="RWZ212" s="369">
        <v>0.5</v>
      </c>
      <c r="RXA212" s="370" t="e">
        <f>10/RWW210</f>
        <v>#DIV/0!</v>
      </c>
      <c r="RXB212" s="371">
        <v>15.38</v>
      </c>
      <c r="RXC212" s="371" t="e">
        <f>RWZ212*RXA212*RXB212</f>
        <v>#DIV/0!</v>
      </c>
      <c r="RXD212" s="367" t="s">
        <v>206</v>
      </c>
      <c r="RXE212" s="367"/>
      <c r="RXF212" s="367"/>
      <c r="RXG212" s="368" t="s">
        <v>168</v>
      </c>
      <c r="RXH212" s="369">
        <v>0.5</v>
      </c>
      <c r="RXI212" s="370" t="e">
        <f>10/RXE210</f>
        <v>#DIV/0!</v>
      </c>
      <c r="RXJ212" s="371">
        <v>15.38</v>
      </c>
      <c r="RXK212" s="371" t="e">
        <f>RXH212*RXI212*RXJ212</f>
        <v>#DIV/0!</v>
      </c>
      <c r="RXL212" s="367" t="s">
        <v>206</v>
      </c>
      <c r="RXM212" s="367"/>
      <c r="RXN212" s="367"/>
      <c r="RXO212" s="368" t="s">
        <v>168</v>
      </c>
      <c r="RXP212" s="369">
        <v>0.5</v>
      </c>
      <c r="RXQ212" s="370" t="e">
        <f>10/RXM210</f>
        <v>#DIV/0!</v>
      </c>
      <c r="RXR212" s="371">
        <v>15.38</v>
      </c>
      <c r="RXS212" s="371" t="e">
        <f>RXP212*RXQ212*RXR212</f>
        <v>#DIV/0!</v>
      </c>
      <c r="RXT212" s="367" t="s">
        <v>206</v>
      </c>
      <c r="RXU212" s="367"/>
      <c r="RXV212" s="367"/>
      <c r="RXW212" s="368" t="s">
        <v>168</v>
      </c>
      <c r="RXX212" s="369">
        <v>0.5</v>
      </c>
      <c r="RXY212" s="370" t="e">
        <f>10/RXU210</f>
        <v>#DIV/0!</v>
      </c>
      <c r="RXZ212" s="371">
        <v>15.38</v>
      </c>
      <c r="RYA212" s="371" t="e">
        <f>RXX212*RXY212*RXZ212</f>
        <v>#DIV/0!</v>
      </c>
      <c r="RYB212" s="367" t="s">
        <v>206</v>
      </c>
      <c r="RYC212" s="367"/>
      <c r="RYD212" s="367"/>
      <c r="RYE212" s="368" t="s">
        <v>168</v>
      </c>
      <c r="RYF212" s="369">
        <v>0.5</v>
      </c>
      <c r="RYG212" s="370" t="e">
        <f>10/RYC210</f>
        <v>#DIV/0!</v>
      </c>
      <c r="RYH212" s="371">
        <v>15.38</v>
      </c>
      <c r="RYI212" s="371" t="e">
        <f>RYF212*RYG212*RYH212</f>
        <v>#DIV/0!</v>
      </c>
      <c r="RYJ212" s="367" t="s">
        <v>206</v>
      </c>
      <c r="RYK212" s="367"/>
      <c r="RYL212" s="367"/>
      <c r="RYM212" s="368" t="s">
        <v>168</v>
      </c>
      <c r="RYN212" s="369">
        <v>0.5</v>
      </c>
      <c r="RYO212" s="370" t="e">
        <f>10/RYK210</f>
        <v>#DIV/0!</v>
      </c>
      <c r="RYP212" s="371">
        <v>15.38</v>
      </c>
      <c r="RYQ212" s="371" t="e">
        <f>RYN212*RYO212*RYP212</f>
        <v>#DIV/0!</v>
      </c>
      <c r="RYR212" s="367" t="s">
        <v>206</v>
      </c>
      <c r="RYS212" s="367"/>
      <c r="RYT212" s="367"/>
      <c r="RYU212" s="368" t="s">
        <v>168</v>
      </c>
      <c r="RYV212" s="369">
        <v>0.5</v>
      </c>
      <c r="RYW212" s="370" t="e">
        <f>10/RYS210</f>
        <v>#DIV/0!</v>
      </c>
      <c r="RYX212" s="371">
        <v>15.38</v>
      </c>
      <c r="RYY212" s="371" t="e">
        <f>RYV212*RYW212*RYX212</f>
        <v>#DIV/0!</v>
      </c>
      <c r="RYZ212" s="367" t="s">
        <v>206</v>
      </c>
      <c r="RZA212" s="367"/>
      <c r="RZB212" s="367"/>
      <c r="RZC212" s="368" t="s">
        <v>168</v>
      </c>
      <c r="RZD212" s="369">
        <v>0.5</v>
      </c>
      <c r="RZE212" s="370" t="e">
        <f>10/RZA210</f>
        <v>#DIV/0!</v>
      </c>
      <c r="RZF212" s="371">
        <v>15.38</v>
      </c>
      <c r="RZG212" s="371" t="e">
        <f>RZD212*RZE212*RZF212</f>
        <v>#DIV/0!</v>
      </c>
      <c r="RZH212" s="367" t="s">
        <v>206</v>
      </c>
      <c r="RZI212" s="367"/>
      <c r="RZJ212" s="367"/>
      <c r="RZK212" s="368" t="s">
        <v>168</v>
      </c>
      <c r="RZL212" s="369">
        <v>0.5</v>
      </c>
      <c r="RZM212" s="370" t="e">
        <f>10/RZI210</f>
        <v>#DIV/0!</v>
      </c>
      <c r="RZN212" s="371">
        <v>15.38</v>
      </c>
      <c r="RZO212" s="371" t="e">
        <f>RZL212*RZM212*RZN212</f>
        <v>#DIV/0!</v>
      </c>
      <c r="RZP212" s="367" t="s">
        <v>206</v>
      </c>
      <c r="RZQ212" s="367"/>
      <c r="RZR212" s="367"/>
      <c r="RZS212" s="368" t="s">
        <v>168</v>
      </c>
      <c r="RZT212" s="369">
        <v>0.5</v>
      </c>
      <c r="RZU212" s="370" t="e">
        <f>10/RZQ210</f>
        <v>#DIV/0!</v>
      </c>
      <c r="RZV212" s="371">
        <v>15.38</v>
      </c>
      <c r="RZW212" s="371" t="e">
        <f>RZT212*RZU212*RZV212</f>
        <v>#DIV/0!</v>
      </c>
      <c r="RZX212" s="367" t="s">
        <v>206</v>
      </c>
      <c r="RZY212" s="367"/>
      <c r="RZZ212" s="367"/>
      <c r="SAA212" s="368" t="s">
        <v>168</v>
      </c>
      <c r="SAB212" s="369">
        <v>0.5</v>
      </c>
      <c r="SAC212" s="370" t="e">
        <f>10/RZY210</f>
        <v>#DIV/0!</v>
      </c>
      <c r="SAD212" s="371">
        <v>15.38</v>
      </c>
      <c r="SAE212" s="371" t="e">
        <f>SAB212*SAC212*SAD212</f>
        <v>#DIV/0!</v>
      </c>
      <c r="SAF212" s="367" t="s">
        <v>206</v>
      </c>
      <c r="SAG212" s="367"/>
      <c r="SAH212" s="367"/>
      <c r="SAI212" s="368" t="s">
        <v>168</v>
      </c>
      <c r="SAJ212" s="369">
        <v>0.5</v>
      </c>
      <c r="SAK212" s="370" t="e">
        <f>10/SAG210</f>
        <v>#DIV/0!</v>
      </c>
      <c r="SAL212" s="371">
        <v>15.38</v>
      </c>
      <c r="SAM212" s="371" t="e">
        <f>SAJ212*SAK212*SAL212</f>
        <v>#DIV/0!</v>
      </c>
      <c r="SAN212" s="367" t="s">
        <v>206</v>
      </c>
      <c r="SAO212" s="367"/>
      <c r="SAP212" s="367"/>
      <c r="SAQ212" s="368" t="s">
        <v>168</v>
      </c>
      <c r="SAR212" s="369">
        <v>0.5</v>
      </c>
      <c r="SAS212" s="370" t="e">
        <f>10/SAO210</f>
        <v>#DIV/0!</v>
      </c>
      <c r="SAT212" s="371">
        <v>15.38</v>
      </c>
      <c r="SAU212" s="371" t="e">
        <f>SAR212*SAS212*SAT212</f>
        <v>#DIV/0!</v>
      </c>
      <c r="SAV212" s="367" t="s">
        <v>206</v>
      </c>
      <c r="SAW212" s="367"/>
      <c r="SAX212" s="367"/>
      <c r="SAY212" s="368" t="s">
        <v>168</v>
      </c>
      <c r="SAZ212" s="369">
        <v>0.5</v>
      </c>
      <c r="SBA212" s="370" t="e">
        <f>10/SAW210</f>
        <v>#DIV/0!</v>
      </c>
      <c r="SBB212" s="371">
        <v>15.38</v>
      </c>
      <c r="SBC212" s="371" t="e">
        <f>SAZ212*SBA212*SBB212</f>
        <v>#DIV/0!</v>
      </c>
      <c r="SBD212" s="367" t="s">
        <v>206</v>
      </c>
      <c r="SBE212" s="367"/>
      <c r="SBF212" s="367"/>
      <c r="SBG212" s="368" t="s">
        <v>168</v>
      </c>
      <c r="SBH212" s="369">
        <v>0.5</v>
      </c>
      <c r="SBI212" s="370" t="e">
        <f>10/SBE210</f>
        <v>#DIV/0!</v>
      </c>
      <c r="SBJ212" s="371">
        <v>15.38</v>
      </c>
      <c r="SBK212" s="371" t="e">
        <f>SBH212*SBI212*SBJ212</f>
        <v>#DIV/0!</v>
      </c>
      <c r="SBL212" s="367" t="s">
        <v>206</v>
      </c>
      <c r="SBM212" s="367"/>
      <c r="SBN212" s="367"/>
      <c r="SBO212" s="368" t="s">
        <v>168</v>
      </c>
      <c r="SBP212" s="369">
        <v>0.5</v>
      </c>
      <c r="SBQ212" s="370" t="e">
        <f>10/SBM210</f>
        <v>#DIV/0!</v>
      </c>
      <c r="SBR212" s="371">
        <v>15.38</v>
      </c>
      <c r="SBS212" s="371" t="e">
        <f>SBP212*SBQ212*SBR212</f>
        <v>#DIV/0!</v>
      </c>
      <c r="SBT212" s="367" t="s">
        <v>206</v>
      </c>
      <c r="SBU212" s="367"/>
      <c r="SBV212" s="367"/>
      <c r="SBW212" s="368" t="s">
        <v>168</v>
      </c>
      <c r="SBX212" s="369">
        <v>0.5</v>
      </c>
      <c r="SBY212" s="370" t="e">
        <f>10/SBU210</f>
        <v>#DIV/0!</v>
      </c>
      <c r="SBZ212" s="371">
        <v>15.38</v>
      </c>
      <c r="SCA212" s="371" t="e">
        <f>SBX212*SBY212*SBZ212</f>
        <v>#DIV/0!</v>
      </c>
      <c r="SCB212" s="367" t="s">
        <v>206</v>
      </c>
      <c r="SCC212" s="367"/>
      <c r="SCD212" s="367"/>
      <c r="SCE212" s="368" t="s">
        <v>168</v>
      </c>
      <c r="SCF212" s="369">
        <v>0.5</v>
      </c>
      <c r="SCG212" s="370" t="e">
        <f>10/SCC210</f>
        <v>#DIV/0!</v>
      </c>
      <c r="SCH212" s="371">
        <v>15.38</v>
      </c>
      <c r="SCI212" s="371" t="e">
        <f>SCF212*SCG212*SCH212</f>
        <v>#DIV/0!</v>
      </c>
      <c r="SCJ212" s="367" t="s">
        <v>206</v>
      </c>
      <c r="SCK212" s="367"/>
      <c r="SCL212" s="367"/>
      <c r="SCM212" s="368" t="s">
        <v>168</v>
      </c>
      <c r="SCN212" s="369">
        <v>0.5</v>
      </c>
      <c r="SCO212" s="370" t="e">
        <f>10/SCK210</f>
        <v>#DIV/0!</v>
      </c>
      <c r="SCP212" s="371">
        <v>15.38</v>
      </c>
      <c r="SCQ212" s="371" t="e">
        <f>SCN212*SCO212*SCP212</f>
        <v>#DIV/0!</v>
      </c>
      <c r="SCR212" s="367" t="s">
        <v>206</v>
      </c>
      <c r="SCS212" s="367"/>
      <c r="SCT212" s="367"/>
      <c r="SCU212" s="368" t="s">
        <v>168</v>
      </c>
      <c r="SCV212" s="369">
        <v>0.5</v>
      </c>
      <c r="SCW212" s="370" t="e">
        <f>10/SCS210</f>
        <v>#DIV/0!</v>
      </c>
      <c r="SCX212" s="371">
        <v>15.38</v>
      </c>
      <c r="SCY212" s="371" t="e">
        <f>SCV212*SCW212*SCX212</f>
        <v>#DIV/0!</v>
      </c>
      <c r="SCZ212" s="367" t="s">
        <v>206</v>
      </c>
      <c r="SDA212" s="367"/>
      <c r="SDB212" s="367"/>
      <c r="SDC212" s="368" t="s">
        <v>168</v>
      </c>
      <c r="SDD212" s="369">
        <v>0.5</v>
      </c>
      <c r="SDE212" s="370" t="e">
        <f>10/SDA210</f>
        <v>#DIV/0!</v>
      </c>
      <c r="SDF212" s="371">
        <v>15.38</v>
      </c>
      <c r="SDG212" s="371" t="e">
        <f>SDD212*SDE212*SDF212</f>
        <v>#DIV/0!</v>
      </c>
      <c r="SDH212" s="367" t="s">
        <v>206</v>
      </c>
      <c r="SDI212" s="367"/>
      <c r="SDJ212" s="367"/>
      <c r="SDK212" s="368" t="s">
        <v>168</v>
      </c>
      <c r="SDL212" s="369">
        <v>0.5</v>
      </c>
      <c r="SDM212" s="370" t="e">
        <f>10/SDI210</f>
        <v>#DIV/0!</v>
      </c>
      <c r="SDN212" s="371">
        <v>15.38</v>
      </c>
      <c r="SDO212" s="371" t="e">
        <f>SDL212*SDM212*SDN212</f>
        <v>#DIV/0!</v>
      </c>
      <c r="SDP212" s="367" t="s">
        <v>206</v>
      </c>
      <c r="SDQ212" s="367"/>
      <c r="SDR212" s="367"/>
      <c r="SDS212" s="368" t="s">
        <v>168</v>
      </c>
      <c r="SDT212" s="369">
        <v>0.5</v>
      </c>
      <c r="SDU212" s="370" t="e">
        <f>10/SDQ210</f>
        <v>#DIV/0!</v>
      </c>
      <c r="SDV212" s="371">
        <v>15.38</v>
      </c>
      <c r="SDW212" s="371" t="e">
        <f>SDT212*SDU212*SDV212</f>
        <v>#DIV/0!</v>
      </c>
      <c r="SDX212" s="367" t="s">
        <v>206</v>
      </c>
      <c r="SDY212" s="367"/>
      <c r="SDZ212" s="367"/>
      <c r="SEA212" s="368" t="s">
        <v>168</v>
      </c>
      <c r="SEB212" s="369">
        <v>0.5</v>
      </c>
      <c r="SEC212" s="370" t="e">
        <f>10/SDY210</f>
        <v>#DIV/0!</v>
      </c>
      <c r="SED212" s="371">
        <v>15.38</v>
      </c>
      <c r="SEE212" s="371" t="e">
        <f>SEB212*SEC212*SED212</f>
        <v>#DIV/0!</v>
      </c>
      <c r="SEF212" s="367" t="s">
        <v>206</v>
      </c>
      <c r="SEG212" s="367"/>
      <c r="SEH212" s="367"/>
      <c r="SEI212" s="368" t="s">
        <v>168</v>
      </c>
      <c r="SEJ212" s="369">
        <v>0.5</v>
      </c>
      <c r="SEK212" s="370" t="e">
        <f>10/SEG210</f>
        <v>#DIV/0!</v>
      </c>
      <c r="SEL212" s="371">
        <v>15.38</v>
      </c>
      <c r="SEM212" s="371" t="e">
        <f>SEJ212*SEK212*SEL212</f>
        <v>#DIV/0!</v>
      </c>
      <c r="SEN212" s="367" t="s">
        <v>206</v>
      </c>
      <c r="SEO212" s="367"/>
      <c r="SEP212" s="367"/>
      <c r="SEQ212" s="368" t="s">
        <v>168</v>
      </c>
      <c r="SER212" s="369">
        <v>0.5</v>
      </c>
      <c r="SES212" s="370" t="e">
        <f>10/SEO210</f>
        <v>#DIV/0!</v>
      </c>
      <c r="SET212" s="371">
        <v>15.38</v>
      </c>
      <c r="SEU212" s="371" t="e">
        <f>SER212*SES212*SET212</f>
        <v>#DIV/0!</v>
      </c>
      <c r="SEV212" s="367" t="s">
        <v>206</v>
      </c>
      <c r="SEW212" s="367"/>
      <c r="SEX212" s="367"/>
      <c r="SEY212" s="368" t="s">
        <v>168</v>
      </c>
      <c r="SEZ212" s="369">
        <v>0.5</v>
      </c>
      <c r="SFA212" s="370" t="e">
        <f>10/SEW210</f>
        <v>#DIV/0!</v>
      </c>
      <c r="SFB212" s="371">
        <v>15.38</v>
      </c>
      <c r="SFC212" s="371" t="e">
        <f>SEZ212*SFA212*SFB212</f>
        <v>#DIV/0!</v>
      </c>
      <c r="SFD212" s="367" t="s">
        <v>206</v>
      </c>
      <c r="SFE212" s="367"/>
      <c r="SFF212" s="367"/>
      <c r="SFG212" s="368" t="s">
        <v>168</v>
      </c>
      <c r="SFH212" s="369">
        <v>0.5</v>
      </c>
      <c r="SFI212" s="370" t="e">
        <f>10/SFE210</f>
        <v>#DIV/0!</v>
      </c>
      <c r="SFJ212" s="371">
        <v>15.38</v>
      </c>
      <c r="SFK212" s="371" t="e">
        <f>SFH212*SFI212*SFJ212</f>
        <v>#DIV/0!</v>
      </c>
      <c r="SFL212" s="367" t="s">
        <v>206</v>
      </c>
      <c r="SFM212" s="367"/>
      <c r="SFN212" s="367"/>
      <c r="SFO212" s="368" t="s">
        <v>168</v>
      </c>
      <c r="SFP212" s="369">
        <v>0.5</v>
      </c>
      <c r="SFQ212" s="370" t="e">
        <f>10/SFM210</f>
        <v>#DIV/0!</v>
      </c>
      <c r="SFR212" s="371">
        <v>15.38</v>
      </c>
      <c r="SFS212" s="371" t="e">
        <f>SFP212*SFQ212*SFR212</f>
        <v>#DIV/0!</v>
      </c>
      <c r="SFT212" s="367" t="s">
        <v>206</v>
      </c>
      <c r="SFU212" s="367"/>
      <c r="SFV212" s="367"/>
      <c r="SFW212" s="368" t="s">
        <v>168</v>
      </c>
      <c r="SFX212" s="369">
        <v>0.5</v>
      </c>
      <c r="SFY212" s="370" t="e">
        <f>10/SFU210</f>
        <v>#DIV/0!</v>
      </c>
      <c r="SFZ212" s="371">
        <v>15.38</v>
      </c>
      <c r="SGA212" s="371" t="e">
        <f>SFX212*SFY212*SFZ212</f>
        <v>#DIV/0!</v>
      </c>
      <c r="SGB212" s="367" t="s">
        <v>206</v>
      </c>
      <c r="SGC212" s="367"/>
      <c r="SGD212" s="367"/>
      <c r="SGE212" s="368" t="s">
        <v>168</v>
      </c>
      <c r="SGF212" s="369">
        <v>0.5</v>
      </c>
      <c r="SGG212" s="370" t="e">
        <f>10/SGC210</f>
        <v>#DIV/0!</v>
      </c>
      <c r="SGH212" s="371">
        <v>15.38</v>
      </c>
      <c r="SGI212" s="371" t="e">
        <f>SGF212*SGG212*SGH212</f>
        <v>#DIV/0!</v>
      </c>
      <c r="SGJ212" s="367" t="s">
        <v>206</v>
      </c>
      <c r="SGK212" s="367"/>
      <c r="SGL212" s="367"/>
      <c r="SGM212" s="368" t="s">
        <v>168</v>
      </c>
      <c r="SGN212" s="369">
        <v>0.5</v>
      </c>
      <c r="SGO212" s="370" t="e">
        <f>10/SGK210</f>
        <v>#DIV/0!</v>
      </c>
      <c r="SGP212" s="371">
        <v>15.38</v>
      </c>
      <c r="SGQ212" s="371" t="e">
        <f>SGN212*SGO212*SGP212</f>
        <v>#DIV/0!</v>
      </c>
      <c r="SGR212" s="367" t="s">
        <v>206</v>
      </c>
      <c r="SGS212" s="367"/>
      <c r="SGT212" s="367"/>
      <c r="SGU212" s="368" t="s">
        <v>168</v>
      </c>
      <c r="SGV212" s="369">
        <v>0.5</v>
      </c>
      <c r="SGW212" s="370" t="e">
        <f>10/SGS210</f>
        <v>#DIV/0!</v>
      </c>
      <c r="SGX212" s="371">
        <v>15.38</v>
      </c>
      <c r="SGY212" s="371" t="e">
        <f>SGV212*SGW212*SGX212</f>
        <v>#DIV/0!</v>
      </c>
      <c r="SGZ212" s="367" t="s">
        <v>206</v>
      </c>
      <c r="SHA212" s="367"/>
      <c r="SHB212" s="367"/>
      <c r="SHC212" s="368" t="s">
        <v>168</v>
      </c>
      <c r="SHD212" s="369">
        <v>0.5</v>
      </c>
      <c r="SHE212" s="370" t="e">
        <f>10/SHA210</f>
        <v>#DIV/0!</v>
      </c>
      <c r="SHF212" s="371">
        <v>15.38</v>
      </c>
      <c r="SHG212" s="371" t="e">
        <f>SHD212*SHE212*SHF212</f>
        <v>#DIV/0!</v>
      </c>
      <c r="SHH212" s="367" t="s">
        <v>206</v>
      </c>
      <c r="SHI212" s="367"/>
      <c r="SHJ212" s="367"/>
      <c r="SHK212" s="368" t="s">
        <v>168</v>
      </c>
      <c r="SHL212" s="369">
        <v>0.5</v>
      </c>
      <c r="SHM212" s="370" t="e">
        <f>10/SHI210</f>
        <v>#DIV/0!</v>
      </c>
      <c r="SHN212" s="371">
        <v>15.38</v>
      </c>
      <c r="SHO212" s="371" t="e">
        <f>SHL212*SHM212*SHN212</f>
        <v>#DIV/0!</v>
      </c>
      <c r="SHP212" s="367" t="s">
        <v>206</v>
      </c>
      <c r="SHQ212" s="367"/>
      <c r="SHR212" s="367"/>
      <c r="SHS212" s="368" t="s">
        <v>168</v>
      </c>
      <c r="SHT212" s="369">
        <v>0.5</v>
      </c>
      <c r="SHU212" s="370" t="e">
        <f>10/SHQ210</f>
        <v>#DIV/0!</v>
      </c>
      <c r="SHV212" s="371">
        <v>15.38</v>
      </c>
      <c r="SHW212" s="371" t="e">
        <f>SHT212*SHU212*SHV212</f>
        <v>#DIV/0!</v>
      </c>
      <c r="SHX212" s="367" t="s">
        <v>206</v>
      </c>
      <c r="SHY212" s="367"/>
      <c r="SHZ212" s="367"/>
      <c r="SIA212" s="368" t="s">
        <v>168</v>
      </c>
      <c r="SIB212" s="369">
        <v>0.5</v>
      </c>
      <c r="SIC212" s="370" t="e">
        <f>10/SHY210</f>
        <v>#DIV/0!</v>
      </c>
      <c r="SID212" s="371">
        <v>15.38</v>
      </c>
      <c r="SIE212" s="371" t="e">
        <f>SIB212*SIC212*SID212</f>
        <v>#DIV/0!</v>
      </c>
      <c r="SIF212" s="367" t="s">
        <v>206</v>
      </c>
      <c r="SIG212" s="367"/>
      <c r="SIH212" s="367"/>
      <c r="SII212" s="368" t="s">
        <v>168</v>
      </c>
      <c r="SIJ212" s="369">
        <v>0.5</v>
      </c>
      <c r="SIK212" s="370" t="e">
        <f>10/SIG210</f>
        <v>#DIV/0!</v>
      </c>
      <c r="SIL212" s="371">
        <v>15.38</v>
      </c>
      <c r="SIM212" s="371" t="e">
        <f>SIJ212*SIK212*SIL212</f>
        <v>#DIV/0!</v>
      </c>
      <c r="SIN212" s="367" t="s">
        <v>206</v>
      </c>
      <c r="SIO212" s="367"/>
      <c r="SIP212" s="367"/>
      <c r="SIQ212" s="368" t="s">
        <v>168</v>
      </c>
      <c r="SIR212" s="369">
        <v>0.5</v>
      </c>
      <c r="SIS212" s="370" t="e">
        <f>10/SIO210</f>
        <v>#DIV/0!</v>
      </c>
      <c r="SIT212" s="371">
        <v>15.38</v>
      </c>
      <c r="SIU212" s="371" t="e">
        <f>SIR212*SIS212*SIT212</f>
        <v>#DIV/0!</v>
      </c>
      <c r="SIV212" s="367" t="s">
        <v>206</v>
      </c>
      <c r="SIW212" s="367"/>
      <c r="SIX212" s="367"/>
      <c r="SIY212" s="368" t="s">
        <v>168</v>
      </c>
      <c r="SIZ212" s="369">
        <v>0.5</v>
      </c>
      <c r="SJA212" s="370" t="e">
        <f>10/SIW210</f>
        <v>#DIV/0!</v>
      </c>
      <c r="SJB212" s="371">
        <v>15.38</v>
      </c>
      <c r="SJC212" s="371" t="e">
        <f>SIZ212*SJA212*SJB212</f>
        <v>#DIV/0!</v>
      </c>
      <c r="SJD212" s="367" t="s">
        <v>206</v>
      </c>
      <c r="SJE212" s="367"/>
      <c r="SJF212" s="367"/>
      <c r="SJG212" s="368" t="s">
        <v>168</v>
      </c>
      <c r="SJH212" s="369">
        <v>0.5</v>
      </c>
      <c r="SJI212" s="370" t="e">
        <f>10/SJE210</f>
        <v>#DIV/0!</v>
      </c>
      <c r="SJJ212" s="371">
        <v>15.38</v>
      </c>
      <c r="SJK212" s="371" t="e">
        <f>SJH212*SJI212*SJJ212</f>
        <v>#DIV/0!</v>
      </c>
      <c r="SJL212" s="367" t="s">
        <v>206</v>
      </c>
      <c r="SJM212" s="367"/>
      <c r="SJN212" s="367"/>
      <c r="SJO212" s="368" t="s">
        <v>168</v>
      </c>
      <c r="SJP212" s="369">
        <v>0.5</v>
      </c>
      <c r="SJQ212" s="370" t="e">
        <f>10/SJM210</f>
        <v>#DIV/0!</v>
      </c>
      <c r="SJR212" s="371">
        <v>15.38</v>
      </c>
      <c r="SJS212" s="371" t="e">
        <f>SJP212*SJQ212*SJR212</f>
        <v>#DIV/0!</v>
      </c>
      <c r="SJT212" s="367" t="s">
        <v>206</v>
      </c>
      <c r="SJU212" s="367"/>
      <c r="SJV212" s="367"/>
      <c r="SJW212" s="368" t="s">
        <v>168</v>
      </c>
      <c r="SJX212" s="369">
        <v>0.5</v>
      </c>
      <c r="SJY212" s="370" t="e">
        <f>10/SJU210</f>
        <v>#DIV/0!</v>
      </c>
      <c r="SJZ212" s="371">
        <v>15.38</v>
      </c>
      <c r="SKA212" s="371" t="e">
        <f>SJX212*SJY212*SJZ212</f>
        <v>#DIV/0!</v>
      </c>
      <c r="SKB212" s="367" t="s">
        <v>206</v>
      </c>
      <c r="SKC212" s="367"/>
      <c r="SKD212" s="367"/>
      <c r="SKE212" s="368" t="s">
        <v>168</v>
      </c>
      <c r="SKF212" s="369">
        <v>0.5</v>
      </c>
      <c r="SKG212" s="370" t="e">
        <f>10/SKC210</f>
        <v>#DIV/0!</v>
      </c>
      <c r="SKH212" s="371">
        <v>15.38</v>
      </c>
      <c r="SKI212" s="371" t="e">
        <f>SKF212*SKG212*SKH212</f>
        <v>#DIV/0!</v>
      </c>
      <c r="SKJ212" s="367" t="s">
        <v>206</v>
      </c>
      <c r="SKK212" s="367"/>
      <c r="SKL212" s="367"/>
      <c r="SKM212" s="368" t="s">
        <v>168</v>
      </c>
      <c r="SKN212" s="369">
        <v>0.5</v>
      </c>
      <c r="SKO212" s="370" t="e">
        <f>10/SKK210</f>
        <v>#DIV/0!</v>
      </c>
      <c r="SKP212" s="371">
        <v>15.38</v>
      </c>
      <c r="SKQ212" s="371" t="e">
        <f>SKN212*SKO212*SKP212</f>
        <v>#DIV/0!</v>
      </c>
      <c r="SKR212" s="367" t="s">
        <v>206</v>
      </c>
      <c r="SKS212" s="367"/>
      <c r="SKT212" s="367"/>
      <c r="SKU212" s="368" t="s">
        <v>168</v>
      </c>
      <c r="SKV212" s="369">
        <v>0.5</v>
      </c>
      <c r="SKW212" s="370" t="e">
        <f>10/SKS210</f>
        <v>#DIV/0!</v>
      </c>
      <c r="SKX212" s="371">
        <v>15.38</v>
      </c>
      <c r="SKY212" s="371" t="e">
        <f>SKV212*SKW212*SKX212</f>
        <v>#DIV/0!</v>
      </c>
      <c r="SKZ212" s="367" t="s">
        <v>206</v>
      </c>
      <c r="SLA212" s="367"/>
      <c r="SLB212" s="367"/>
      <c r="SLC212" s="368" t="s">
        <v>168</v>
      </c>
      <c r="SLD212" s="369">
        <v>0.5</v>
      </c>
      <c r="SLE212" s="370" t="e">
        <f>10/SLA210</f>
        <v>#DIV/0!</v>
      </c>
      <c r="SLF212" s="371">
        <v>15.38</v>
      </c>
      <c r="SLG212" s="371" t="e">
        <f>SLD212*SLE212*SLF212</f>
        <v>#DIV/0!</v>
      </c>
      <c r="SLH212" s="367" t="s">
        <v>206</v>
      </c>
      <c r="SLI212" s="367"/>
      <c r="SLJ212" s="367"/>
      <c r="SLK212" s="368" t="s">
        <v>168</v>
      </c>
      <c r="SLL212" s="369">
        <v>0.5</v>
      </c>
      <c r="SLM212" s="370" t="e">
        <f>10/SLI210</f>
        <v>#DIV/0!</v>
      </c>
      <c r="SLN212" s="371">
        <v>15.38</v>
      </c>
      <c r="SLO212" s="371" t="e">
        <f>SLL212*SLM212*SLN212</f>
        <v>#DIV/0!</v>
      </c>
      <c r="SLP212" s="367" t="s">
        <v>206</v>
      </c>
      <c r="SLQ212" s="367"/>
      <c r="SLR212" s="367"/>
      <c r="SLS212" s="368" t="s">
        <v>168</v>
      </c>
      <c r="SLT212" s="369">
        <v>0.5</v>
      </c>
      <c r="SLU212" s="370" t="e">
        <f>10/SLQ210</f>
        <v>#DIV/0!</v>
      </c>
      <c r="SLV212" s="371">
        <v>15.38</v>
      </c>
      <c r="SLW212" s="371" t="e">
        <f>SLT212*SLU212*SLV212</f>
        <v>#DIV/0!</v>
      </c>
      <c r="SLX212" s="367" t="s">
        <v>206</v>
      </c>
      <c r="SLY212" s="367"/>
      <c r="SLZ212" s="367"/>
      <c r="SMA212" s="368" t="s">
        <v>168</v>
      </c>
      <c r="SMB212" s="369">
        <v>0.5</v>
      </c>
      <c r="SMC212" s="370" t="e">
        <f>10/SLY210</f>
        <v>#DIV/0!</v>
      </c>
      <c r="SMD212" s="371">
        <v>15.38</v>
      </c>
      <c r="SME212" s="371" t="e">
        <f>SMB212*SMC212*SMD212</f>
        <v>#DIV/0!</v>
      </c>
      <c r="SMF212" s="367" t="s">
        <v>206</v>
      </c>
      <c r="SMG212" s="367"/>
      <c r="SMH212" s="367"/>
      <c r="SMI212" s="368" t="s">
        <v>168</v>
      </c>
      <c r="SMJ212" s="369">
        <v>0.5</v>
      </c>
      <c r="SMK212" s="370" t="e">
        <f>10/SMG210</f>
        <v>#DIV/0!</v>
      </c>
      <c r="SML212" s="371">
        <v>15.38</v>
      </c>
      <c r="SMM212" s="371" t="e">
        <f>SMJ212*SMK212*SML212</f>
        <v>#DIV/0!</v>
      </c>
      <c r="SMN212" s="367" t="s">
        <v>206</v>
      </c>
      <c r="SMO212" s="367"/>
      <c r="SMP212" s="367"/>
      <c r="SMQ212" s="368" t="s">
        <v>168</v>
      </c>
      <c r="SMR212" s="369">
        <v>0.5</v>
      </c>
      <c r="SMS212" s="370" t="e">
        <f>10/SMO210</f>
        <v>#DIV/0!</v>
      </c>
      <c r="SMT212" s="371">
        <v>15.38</v>
      </c>
      <c r="SMU212" s="371" t="e">
        <f>SMR212*SMS212*SMT212</f>
        <v>#DIV/0!</v>
      </c>
      <c r="SMV212" s="367" t="s">
        <v>206</v>
      </c>
      <c r="SMW212" s="367"/>
      <c r="SMX212" s="367"/>
      <c r="SMY212" s="368" t="s">
        <v>168</v>
      </c>
      <c r="SMZ212" s="369">
        <v>0.5</v>
      </c>
      <c r="SNA212" s="370" t="e">
        <f>10/SMW210</f>
        <v>#DIV/0!</v>
      </c>
      <c r="SNB212" s="371">
        <v>15.38</v>
      </c>
      <c r="SNC212" s="371" t="e">
        <f>SMZ212*SNA212*SNB212</f>
        <v>#DIV/0!</v>
      </c>
      <c r="SND212" s="367" t="s">
        <v>206</v>
      </c>
      <c r="SNE212" s="367"/>
      <c r="SNF212" s="367"/>
      <c r="SNG212" s="368" t="s">
        <v>168</v>
      </c>
      <c r="SNH212" s="369">
        <v>0.5</v>
      </c>
      <c r="SNI212" s="370" t="e">
        <f>10/SNE210</f>
        <v>#DIV/0!</v>
      </c>
      <c r="SNJ212" s="371">
        <v>15.38</v>
      </c>
      <c r="SNK212" s="371" t="e">
        <f>SNH212*SNI212*SNJ212</f>
        <v>#DIV/0!</v>
      </c>
      <c r="SNL212" s="367" t="s">
        <v>206</v>
      </c>
      <c r="SNM212" s="367"/>
      <c r="SNN212" s="367"/>
      <c r="SNO212" s="368" t="s">
        <v>168</v>
      </c>
      <c r="SNP212" s="369">
        <v>0.5</v>
      </c>
      <c r="SNQ212" s="370" t="e">
        <f>10/SNM210</f>
        <v>#DIV/0!</v>
      </c>
      <c r="SNR212" s="371">
        <v>15.38</v>
      </c>
      <c r="SNS212" s="371" t="e">
        <f>SNP212*SNQ212*SNR212</f>
        <v>#DIV/0!</v>
      </c>
      <c r="SNT212" s="367" t="s">
        <v>206</v>
      </c>
      <c r="SNU212" s="367"/>
      <c r="SNV212" s="367"/>
      <c r="SNW212" s="368" t="s">
        <v>168</v>
      </c>
      <c r="SNX212" s="369">
        <v>0.5</v>
      </c>
      <c r="SNY212" s="370" t="e">
        <f>10/SNU210</f>
        <v>#DIV/0!</v>
      </c>
      <c r="SNZ212" s="371">
        <v>15.38</v>
      </c>
      <c r="SOA212" s="371" t="e">
        <f>SNX212*SNY212*SNZ212</f>
        <v>#DIV/0!</v>
      </c>
      <c r="SOB212" s="367" t="s">
        <v>206</v>
      </c>
      <c r="SOC212" s="367"/>
      <c r="SOD212" s="367"/>
      <c r="SOE212" s="368" t="s">
        <v>168</v>
      </c>
      <c r="SOF212" s="369">
        <v>0.5</v>
      </c>
      <c r="SOG212" s="370" t="e">
        <f>10/SOC210</f>
        <v>#DIV/0!</v>
      </c>
      <c r="SOH212" s="371">
        <v>15.38</v>
      </c>
      <c r="SOI212" s="371" t="e">
        <f>SOF212*SOG212*SOH212</f>
        <v>#DIV/0!</v>
      </c>
      <c r="SOJ212" s="367" t="s">
        <v>206</v>
      </c>
      <c r="SOK212" s="367"/>
      <c r="SOL212" s="367"/>
      <c r="SOM212" s="368" t="s">
        <v>168</v>
      </c>
      <c r="SON212" s="369">
        <v>0.5</v>
      </c>
      <c r="SOO212" s="370" t="e">
        <f>10/SOK210</f>
        <v>#DIV/0!</v>
      </c>
      <c r="SOP212" s="371">
        <v>15.38</v>
      </c>
      <c r="SOQ212" s="371" t="e">
        <f>SON212*SOO212*SOP212</f>
        <v>#DIV/0!</v>
      </c>
      <c r="SOR212" s="367" t="s">
        <v>206</v>
      </c>
      <c r="SOS212" s="367"/>
      <c r="SOT212" s="367"/>
      <c r="SOU212" s="368" t="s">
        <v>168</v>
      </c>
      <c r="SOV212" s="369">
        <v>0.5</v>
      </c>
      <c r="SOW212" s="370" t="e">
        <f>10/SOS210</f>
        <v>#DIV/0!</v>
      </c>
      <c r="SOX212" s="371">
        <v>15.38</v>
      </c>
      <c r="SOY212" s="371" t="e">
        <f>SOV212*SOW212*SOX212</f>
        <v>#DIV/0!</v>
      </c>
      <c r="SOZ212" s="367" t="s">
        <v>206</v>
      </c>
      <c r="SPA212" s="367"/>
      <c r="SPB212" s="367"/>
      <c r="SPC212" s="368" t="s">
        <v>168</v>
      </c>
      <c r="SPD212" s="369">
        <v>0.5</v>
      </c>
      <c r="SPE212" s="370" t="e">
        <f>10/SPA210</f>
        <v>#DIV/0!</v>
      </c>
      <c r="SPF212" s="371">
        <v>15.38</v>
      </c>
      <c r="SPG212" s="371" t="e">
        <f>SPD212*SPE212*SPF212</f>
        <v>#DIV/0!</v>
      </c>
      <c r="SPH212" s="367" t="s">
        <v>206</v>
      </c>
      <c r="SPI212" s="367"/>
      <c r="SPJ212" s="367"/>
      <c r="SPK212" s="368" t="s">
        <v>168</v>
      </c>
      <c r="SPL212" s="369">
        <v>0.5</v>
      </c>
      <c r="SPM212" s="370" t="e">
        <f>10/SPI210</f>
        <v>#DIV/0!</v>
      </c>
      <c r="SPN212" s="371">
        <v>15.38</v>
      </c>
      <c r="SPO212" s="371" t="e">
        <f>SPL212*SPM212*SPN212</f>
        <v>#DIV/0!</v>
      </c>
      <c r="SPP212" s="367" t="s">
        <v>206</v>
      </c>
      <c r="SPQ212" s="367"/>
      <c r="SPR212" s="367"/>
      <c r="SPS212" s="368" t="s">
        <v>168</v>
      </c>
      <c r="SPT212" s="369">
        <v>0.5</v>
      </c>
      <c r="SPU212" s="370" t="e">
        <f>10/SPQ210</f>
        <v>#DIV/0!</v>
      </c>
      <c r="SPV212" s="371">
        <v>15.38</v>
      </c>
      <c r="SPW212" s="371" t="e">
        <f>SPT212*SPU212*SPV212</f>
        <v>#DIV/0!</v>
      </c>
      <c r="SPX212" s="367" t="s">
        <v>206</v>
      </c>
      <c r="SPY212" s="367"/>
      <c r="SPZ212" s="367"/>
      <c r="SQA212" s="368" t="s">
        <v>168</v>
      </c>
      <c r="SQB212" s="369">
        <v>0.5</v>
      </c>
      <c r="SQC212" s="370" t="e">
        <f>10/SPY210</f>
        <v>#DIV/0!</v>
      </c>
      <c r="SQD212" s="371">
        <v>15.38</v>
      </c>
      <c r="SQE212" s="371" t="e">
        <f>SQB212*SQC212*SQD212</f>
        <v>#DIV/0!</v>
      </c>
      <c r="SQF212" s="367" t="s">
        <v>206</v>
      </c>
      <c r="SQG212" s="367"/>
      <c r="SQH212" s="367"/>
      <c r="SQI212" s="368" t="s">
        <v>168</v>
      </c>
      <c r="SQJ212" s="369">
        <v>0.5</v>
      </c>
      <c r="SQK212" s="370" t="e">
        <f>10/SQG210</f>
        <v>#DIV/0!</v>
      </c>
      <c r="SQL212" s="371">
        <v>15.38</v>
      </c>
      <c r="SQM212" s="371" t="e">
        <f>SQJ212*SQK212*SQL212</f>
        <v>#DIV/0!</v>
      </c>
      <c r="SQN212" s="367" t="s">
        <v>206</v>
      </c>
      <c r="SQO212" s="367"/>
      <c r="SQP212" s="367"/>
      <c r="SQQ212" s="368" t="s">
        <v>168</v>
      </c>
      <c r="SQR212" s="369">
        <v>0.5</v>
      </c>
      <c r="SQS212" s="370" t="e">
        <f>10/SQO210</f>
        <v>#DIV/0!</v>
      </c>
      <c r="SQT212" s="371">
        <v>15.38</v>
      </c>
      <c r="SQU212" s="371" t="e">
        <f>SQR212*SQS212*SQT212</f>
        <v>#DIV/0!</v>
      </c>
      <c r="SQV212" s="367" t="s">
        <v>206</v>
      </c>
      <c r="SQW212" s="367"/>
      <c r="SQX212" s="367"/>
      <c r="SQY212" s="368" t="s">
        <v>168</v>
      </c>
      <c r="SQZ212" s="369">
        <v>0.5</v>
      </c>
      <c r="SRA212" s="370" t="e">
        <f>10/SQW210</f>
        <v>#DIV/0!</v>
      </c>
      <c r="SRB212" s="371">
        <v>15.38</v>
      </c>
      <c r="SRC212" s="371" t="e">
        <f>SQZ212*SRA212*SRB212</f>
        <v>#DIV/0!</v>
      </c>
      <c r="SRD212" s="367" t="s">
        <v>206</v>
      </c>
      <c r="SRE212" s="367"/>
      <c r="SRF212" s="367"/>
      <c r="SRG212" s="368" t="s">
        <v>168</v>
      </c>
      <c r="SRH212" s="369">
        <v>0.5</v>
      </c>
      <c r="SRI212" s="370" t="e">
        <f>10/SRE210</f>
        <v>#DIV/0!</v>
      </c>
      <c r="SRJ212" s="371">
        <v>15.38</v>
      </c>
      <c r="SRK212" s="371" t="e">
        <f>SRH212*SRI212*SRJ212</f>
        <v>#DIV/0!</v>
      </c>
      <c r="SRL212" s="367" t="s">
        <v>206</v>
      </c>
      <c r="SRM212" s="367"/>
      <c r="SRN212" s="367"/>
      <c r="SRO212" s="368" t="s">
        <v>168</v>
      </c>
      <c r="SRP212" s="369">
        <v>0.5</v>
      </c>
      <c r="SRQ212" s="370" t="e">
        <f>10/SRM210</f>
        <v>#DIV/0!</v>
      </c>
      <c r="SRR212" s="371">
        <v>15.38</v>
      </c>
      <c r="SRS212" s="371" t="e">
        <f>SRP212*SRQ212*SRR212</f>
        <v>#DIV/0!</v>
      </c>
      <c r="SRT212" s="367" t="s">
        <v>206</v>
      </c>
      <c r="SRU212" s="367"/>
      <c r="SRV212" s="367"/>
      <c r="SRW212" s="368" t="s">
        <v>168</v>
      </c>
      <c r="SRX212" s="369">
        <v>0.5</v>
      </c>
      <c r="SRY212" s="370" t="e">
        <f>10/SRU210</f>
        <v>#DIV/0!</v>
      </c>
      <c r="SRZ212" s="371">
        <v>15.38</v>
      </c>
      <c r="SSA212" s="371" t="e">
        <f>SRX212*SRY212*SRZ212</f>
        <v>#DIV/0!</v>
      </c>
      <c r="SSB212" s="367" t="s">
        <v>206</v>
      </c>
      <c r="SSC212" s="367"/>
      <c r="SSD212" s="367"/>
      <c r="SSE212" s="368" t="s">
        <v>168</v>
      </c>
      <c r="SSF212" s="369">
        <v>0.5</v>
      </c>
      <c r="SSG212" s="370" t="e">
        <f>10/SSC210</f>
        <v>#DIV/0!</v>
      </c>
      <c r="SSH212" s="371">
        <v>15.38</v>
      </c>
      <c r="SSI212" s="371" t="e">
        <f>SSF212*SSG212*SSH212</f>
        <v>#DIV/0!</v>
      </c>
      <c r="SSJ212" s="367" t="s">
        <v>206</v>
      </c>
      <c r="SSK212" s="367"/>
      <c r="SSL212" s="367"/>
      <c r="SSM212" s="368" t="s">
        <v>168</v>
      </c>
      <c r="SSN212" s="369">
        <v>0.5</v>
      </c>
      <c r="SSO212" s="370" t="e">
        <f>10/SSK210</f>
        <v>#DIV/0!</v>
      </c>
      <c r="SSP212" s="371">
        <v>15.38</v>
      </c>
      <c r="SSQ212" s="371" t="e">
        <f>SSN212*SSO212*SSP212</f>
        <v>#DIV/0!</v>
      </c>
      <c r="SSR212" s="367" t="s">
        <v>206</v>
      </c>
      <c r="SSS212" s="367"/>
      <c r="SST212" s="367"/>
      <c r="SSU212" s="368" t="s">
        <v>168</v>
      </c>
      <c r="SSV212" s="369">
        <v>0.5</v>
      </c>
      <c r="SSW212" s="370" t="e">
        <f>10/SSS210</f>
        <v>#DIV/0!</v>
      </c>
      <c r="SSX212" s="371">
        <v>15.38</v>
      </c>
      <c r="SSY212" s="371" t="e">
        <f>SSV212*SSW212*SSX212</f>
        <v>#DIV/0!</v>
      </c>
      <c r="SSZ212" s="367" t="s">
        <v>206</v>
      </c>
      <c r="STA212" s="367"/>
      <c r="STB212" s="367"/>
      <c r="STC212" s="368" t="s">
        <v>168</v>
      </c>
      <c r="STD212" s="369">
        <v>0.5</v>
      </c>
      <c r="STE212" s="370" t="e">
        <f>10/STA210</f>
        <v>#DIV/0!</v>
      </c>
      <c r="STF212" s="371">
        <v>15.38</v>
      </c>
      <c r="STG212" s="371" t="e">
        <f>STD212*STE212*STF212</f>
        <v>#DIV/0!</v>
      </c>
      <c r="STH212" s="367" t="s">
        <v>206</v>
      </c>
      <c r="STI212" s="367"/>
      <c r="STJ212" s="367"/>
      <c r="STK212" s="368" t="s">
        <v>168</v>
      </c>
      <c r="STL212" s="369">
        <v>0.5</v>
      </c>
      <c r="STM212" s="370" t="e">
        <f>10/STI210</f>
        <v>#DIV/0!</v>
      </c>
      <c r="STN212" s="371">
        <v>15.38</v>
      </c>
      <c r="STO212" s="371" t="e">
        <f>STL212*STM212*STN212</f>
        <v>#DIV/0!</v>
      </c>
      <c r="STP212" s="367" t="s">
        <v>206</v>
      </c>
      <c r="STQ212" s="367"/>
      <c r="STR212" s="367"/>
      <c r="STS212" s="368" t="s">
        <v>168</v>
      </c>
      <c r="STT212" s="369">
        <v>0.5</v>
      </c>
      <c r="STU212" s="370" t="e">
        <f>10/STQ210</f>
        <v>#DIV/0!</v>
      </c>
      <c r="STV212" s="371">
        <v>15.38</v>
      </c>
      <c r="STW212" s="371" t="e">
        <f>STT212*STU212*STV212</f>
        <v>#DIV/0!</v>
      </c>
      <c r="STX212" s="367" t="s">
        <v>206</v>
      </c>
      <c r="STY212" s="367"/>
      <c r="STZ212" s="367"/>
      <c r="SUA212" s="368" t="s">
        <v>168</v>
      </c>
      <c r="SUB212" s="369">
        <v>0.5</v>
      </c>
      <c r="SUC212" s="370" t="e">
        <f>10/STY210</f>
        <v>#DIV/0!</v>
      </c>
      <c r="SUD212" s="371">
        <v>15.38</v>
      </c>
      <c r="SUE212" s="371" t="e">
        <f>SUB212*SUC212*SUD212</f>
        <v>#DIV/0!</v>
      </c>
      <c r="SUF212" s="367" t="s">
        <v>206</v>
      </c>
      <c r="SUG212" s="367"/>
      <c r="SUH212" s="367"/>
      <c r="SUI212" s="368" t="s">
        <v>168</v>
      </c>
      <c r="SUJ212" s="369">
        <v>0.5</v>
      </c>
      <c r="SUK212" s="370" t="e">
        <f>10/SUG210</f>
        <v>#DIV/0!</v>
      </c>
      <c r="SUL212" s="371">
        <v>15.38</v>
      </c>
      <c r="SUM212" s="371" t="e">
        <f>SUJ212*SUK212*SUL212</f>
        <v>#DIV/0!</v>
      </c>
      <c r="SUN212" s="367" t="s">
        <v>206</v>
      </c>
      <c r="SUO212" s="367"/>
      <c r="SUP212" s="367"/>
      <c r="SUQ212" s="368" t="s">
        <v>168</v>
      </c>
      <c r="SUR212" s="369">
        <v>0.5</v>
      </c>
      <c r="SUS212" s="370" t="e">
        <f>10/SUO210</f>
        <v>#DIV/0!</v>
      </c>
      <c r="SUT212" s="371">
        <v>15.38</v>
      </c>
      <c r="SUU212" s="371" t="e">
        <f>SUR212*SUS212*SUT212</f>
        <v>#DIV/0!</v>
      </c>
      <c r="SUV212" s="367" t="s">
        <v>206</v>
      </c>
      <c r="SUW212" s="367"/>
      <c r="SUX212" s="367"/>
      <c r="SUY212" s="368" t="s">
        <v>168</v>
      </c>
      <c r="SUZ212" s="369">
        <v>0.5</v>
      </c>
      <c r="SVA212" s="370" t="e">
        <f>10/SUW210</f>
        <v>#DIV/0!</v>
      </c>
      <c r="SVB212" s="371">
        <v>15.38</v>
      </c>
      <c r="SVC212" s="371" t="e">
        <f>SUZ212*SVA212*SVB212</f>
        <v>#DIV/0!</v>
      </c>
      <c r="SVD212" s="367" t="s">
        <v>206</v>
      </c>
      <c r="SVE212" s="367"/>
      <c r="SVF212" s="367"/>
      <c r="SVG212" s="368" t="s">
        <v>168</v>
      </c>
      <c r="SVH212" s="369">
        <v>0.5</v>
      </c>
      <c r="SVI212" s="370" t="e">
        <f>10/SVE210</f>
        <v>#DIV/0!</v>
      </c>
      <c r="SVJ212" s="371">
        <v>15.38</v>
      </c>
      <c r="SVK212" s="371" t="e">
        <f>SVH212*SVI212*SVJ212</f>
        <v>#DIV/0!</v>
      </c>
      <c r="SVL212" s="367" t="s">
        <v>206</v>
      </c>
      <c r="SVM212" s="367"/>
      <c r="SVN212" s="367"/>
      <c r="SVO212" s="368" t="s">
        <v>168</v>
      </c>
      <c r="SVP212" s="369">
        <v>0.5</v>
      </c>
      <c r="SVQ212" s="370" t="e">
        <f>10/SVM210</f>
        <v>#DIV/0!</v>
      </c>
      <c r="SVR212" s="371">
        <v>15.38</v>
      </c>
      <c r="SVS212" s="371" t="e">
        <f>SVP212*SVQ212*SVR212</f>
        <v>#DIV/0!</v>
      </c>
      <c r="SVT212" s="367" t="s">
        <v>206</v>
      </c>
      <c r="SVU212" s="367"/>
      <c r="SVV212" s="367"/>
      <c r="SVW212" s="368" t="s">
        <v>168</v>
      </c>
      <c r="SVX212" s="369">
        <v>0.5</v>
      </c>
      <c r="SVY212" s="370" t="e">
        <f>10/SVU210</f>
        <v>#DIV/0!</v>
      </c>
      <c r="SVZ212" s="371">
        <v>15.38</v>
      </c>
      <c r="SWA212" s="371" t="e">
        <f>SVX212*SVY212*SVZ212</f>
        <v>#DIV/0!</v>
      </c>
      <c r="SWB212" s="367" t="s">
        <v>206</v>
      </c>
      <c r="SWC212" s="367"/>
      <c r="SWD212" s="367"/>
      <c r="SWE212" s="368" t="s">
        <v>168</v>
      </c>
      <c r="SWF212" s="369">
        <v>0.5</v>
      </c>
      <c r="SWG212" s="370" t="e">
        <f>10/SWC210</f>
        <v>#DIV/0!</v>
      </c>
      <c r="SWH212" s="371">
        <v>15.38</v>
      </c>
      <c r="SWI212" s="371" t="e">
        <f>SWF212*SWG212*SWH212</f>
        <v>#DIV/0!</v>
      </c>
      <c r="SWJ212" s="367" t="s">
        <v>206</v>
      </c>
      <c r="SWK212" s="367"/>
      <c r="SWL212" s="367"/>
      <c r="SWM212" s="368" t="s">
        <v>168</v>
      </c>
      <c r="SWN212" s="369">
        <v>0.5</v>
      </c>
      <c r="SWO212" s="370" t="e">
        <f>10/SWK210</f>
        <v>#DIV/0!</v>
      </c>
      <c r="SWP212" s="371">
        <v>15.38</v>
      </c>
      <c r="SWQ212" s="371" t="e">
        <f>SWN212*SWO212*SWP212</f>
        <v>#DIV/0!</v>
      </c>
      <c r="SWR212" s="367" t="s">
        <v>206</v>
      </c>
      <c r="SWS212" s="367"/>
      <c r="SWT212" s="367"/>
      <c r="SWU212" s="368" t="s">
        <v>168</v>
      </c>
      <c r="SWV212" s="369">
        <v>0.5</v>
      </c>
      <c r="SWW212" s="370" t="e">
        <f>10/SWS210</f>
        <v>#DIV/0!</v>
      </c>
      <c r="SWX212" s="371">
        <v>15.38</v>
      </c>
      <c r="SWY212" s="371" t="e">
        <f>SWV212*SWW212*SWX212</f>
        <v>#DIV/0!</v>
      </c>
      <c r="SWZ212" s="367" t="s">
        <v>206</v>
      </c>
      <c r="SXA212" s="367"/>
      <c r="SXB212" s="367"/>
      <c r="SXC212" s="368" t="s">
        <v>168</v>
      </c>
      <c r="SXD212" s="369">
        <v>0.5</v>
      </c>
      <c r="SXE212" s="370" t="e">
        <f>10/SXA210</f>
        <v>#DIV/0!</v>
      </c>
      <c r="SXF212" s="371">
        <v>15.38</v>
      </c>
      <c r="SXG212" s="371" t="e">
        <f>SXD212*SXE212*SXF212</f>
        <v>#DIV/0!</v>
      </c>
      <c r="SXH212" s="367" t="s">
        <v>206</v>
      </c>
      <c r="SXI212" s="367"/>
      <c r="SXJ212" s="367"/>
      <c r="SXK212" s="368" t="s">
        <v>168</v>
      </c>
      <c r="SXL212" s="369">
        <v>0.5</v>
      </c>
      <c r="SXM212" s="370" t="e">
        <f>10/SXI210</f>
        <v>#DIV/0!</v>
      </c>
      <c r="SXN212" s="371">
        <v>15.38</v>
      </c>
      <c r="SXO212" s="371" t="e">
        <f>SXL212*SXM212*SXN212</f>
        <v>#DIV/0!</v>
      </c>
      <c r="SXP212" s="367" t="s">
        <v>206</v>
      </c>
      <c r="SXQ212" s="367"/>
      <c r="SXR212" s="367"/>
      <c r="SXS212" s="368" t="s">
        <v>168</v>
      </c>
      <c r="SXT212" s="369">
        <v>0.5</v>
      </c>
      <c r="SXU212" s="370" t="e">
        <f>10/SXQ210</f>
        <v>#DIV/0!</v>
      </c>
      <c r="SXV212" s="371">
        <v>15.38</v>
      </c>
      <c r="SXW212" s="371" t="e">
        <f>SXT212*SXU212*SXV212</f>
        <v>#DIV/0!</v>
      </c>
      <c r="SXX212" s="367" t="s">
        <v>206</v>
      </c>
      <c r="SXY212" s="367"/>
      <c r="SXZ212" s="367"/>
      <c r="SYA212" s="368" t="s">
        <v>168</v>
      </c>
      <c r="SYB212" s="369">
        <v>0.5</v>
      </c>
      <c r="SYC212" s="370" t="e">
        <f>10/SXY210</f>
        <v>#DIV/0!</v>
      </c>
      <c r="SYD212" s="371">
        <v>15.38</v>
      </c>
      <c r="SYE212" s="371" t="e">
        <f>SYB212*SYC212*SYD212</f>
        <v>#DIV/0!</v>
      </c>
      <c r="SYF212" s="367" t="s">
        <v>206</v>
      </c>
      <c r="SYG212" s="367"/>
      <c r="SYH212" s="367"/>
      <c r="SYI212" s="368" t="s">
        <v>168</v>
      </c>
      <c r="SYJ212" s="369">
        <v>0.5</v>
      </c>
      <c r="SYK212" s="370" t="e">
        <f>10/SYG210</f>
        <v>#DIV/0!</v>
      </c>
      <c r="SYL212" s="371">
        <v>15.38</v>
      </c>
      <c r="SYM212" s="371" t="e">
        <f>SYJ212*SYK212*SYL212</f>
        <v>#DIV/0!</v>
      </c>
      <c r="SYN212" s="367" t="s">
        <v>206</v>
      </c>
      <c r="SYO212" s="367"/>
      <c r="SYP212" s="367"/>
      <c r="SYQ212" s="368" t="s">
        <v>168</v>
      </c>
      <c r="SYR212" s="369">
        <v>0.5</v>
      </c>
      <c r="SYS212" s="370" t="e">
        <f>10/SYO210</f>
        <v>#DIV/0!</v>
      </c>
      <c r="SYT212" s="371">
        <v>15.38</v>
      </c>
      <c r="SYU212" s="371" t="e">
        <f>SYR212*SYS212*SYT212</f>
        <v>#DIV/0!</v>
      </c>
      <c r="SYV212" s="367" t="s">
        <v>206</v>
      </c>
      <c r="SYW212" s="367"/>
      <c r="SYX212" s="367"/>
      <c r="SYY212" s="368" t="s">
        <v>168</v>
      </c>
      <c r="SYZ212" s="369">
        <v>0.5</v>
      </c>
      <c r="SZA212" s="370" t="e">
        <f>10/SYW210</f>
        <v>#DIV/0!</v>
      </c>
      <c r="SZB212" s="371">
        <v>15.38</v>
      </c>
      <c r="SZC212" s="371" t="e">
        <f>SYZ212*SZA212*SZB212</f>
        <v>#DIV/0!</v>
      </c>
      <c r="SZD212" s="367" t="s">
        <v>206</v>
      </c>
      <c r="SZE212" s="367"/>
      <c r="SZF212" s="367"/>
      <c r="SZG212" s="368" t="s">
        <v>168</v>
      </c>
      <c r="SZH212" s="369">
        <v>0.5</v>
      </c>
      <c r="SZI212" s="370" t="e">
        <f>10/SZE210</f>
        <v>#DIV/0!</v>
      </c>
      <c r="SZJ212" s="371">
        <v>15.38</v>
      </c>
      <c r="SZK212" s="371" t="e">
        <f>SZH212*SZI212*SZJ212</f>
        <v>#DIV/0!</v>
      </c>
      <c r="SZL212" s="367" t="s">
        <v>206</v>
      </c>
      <c r="SZM212" s="367"/>
      <c r="SZN212" s="367"/>
      <c r="SZO212" s="368" t="s">
        <v>168</v>
      </c>
      <c r="SZP212" s="369">
        <v>0.5</v>
      </c>
      <c r="SZQ212" s="370" t="e">
        <f>10/SZM210</f>
        <v>#DIV/0!</v>
      </c>
      <c r="SZR212" s="371">
        <v>15.38</v>
      </c>
      <c r="SZS212" s="371" t="e">
        <f>SZP212*SZQ212*SZR212</f>
        <v>#DIV/0!</v>
      </c>
      <c r="SZT212" s="367" t="s">
        <v>206</v>
      </c>
      <c r="SZU212" s="367"/>
      <c r="SZV212" s="367"/>
      <c r="SZW212" s="368" t="s">
        <v>168</v>
      </c>
      <c r="SZX212" s="369">
        <v>0.5</v>
      </c>
      <c r="SZY212" s="370" t="e">
        <f>10/SZU210</f>
        <v>#DIV/0!</v>
      </c>
      <c r="SZZ212" s="371">
        <v>15.38</v>
      </c>
      <c r="TAA212" s="371" t="e">
        <f>SZX212*SZY212*SZZ212</f>
        <v>#DIV/0!</v>
      </c>
      <c r="TAB212" s="367" t="s">
        <v>206</v>
      </c>
      <c r="TAC212" s="367"/>
      <c r="TAD212" s="367"/>
      <c r="TAE212" s="368" t="s">
        <v>168</v>
      </c>
      <c r="TAF212" s="369">
        <v>0.5</v>
      </c>
      <c r="TAG212" s="370" t="e">
        <f>10/TAC210</f>
        <v>#DIV/0!</v>
      </c>
      <c r="TAH212" s="371">
        <v>15.38</v>
      </c>
      <c r="TAI212" s="371" t="e">
        <f>TAF212*TAG212*TAH212</f>
        <v>#DIV/0!</v>
      </c>
      <c r="TAJ212" s="367" t="s">
        <v>206</v>
      </c>
      <c r="TAK212" s="367"/>
      <c r="TAL212" s="367"/>
      <c r="TAM212" s="368" t="s">
        <v>168</v>
      </c>
      <c r="TAN212" s="369">
        <v>0.5</v>
      </c>
      <c r="TAO212" s="370" t="e">
        <f>10/TAK210</f>
        <v>#DIV/0!</v>
      </c>
      <c r="TAP212" s="371">
        <v>15.38</v>
      </c>
      <c r="TAQ212" s="371" t="e">
        <f>TAN212*TAO212*TAP212</f>
        <v>#DIV/0!</v>
      </c>
      <c r="TAR212" s="367" t="s">
        <v>206</v>
      </c>
      <c r="TAS212" s="367"/>
      <c r="TAT212" s="367"/>
      <c r="TAU212" s="368" t="s">
        <v>168</v>
      </c>
      <c r="TAV212" s="369">
        <v>0.5</v>
      </c>
      <c r="TAW212" s="370" t="e">
        <f>10/TAS210</f>
        <v>#DIV/0!</v>
      </c>
      <c r="TAX212" s="371">
        <v>15.38</v>
      </c>
      <c r="TAY212" s="371" t="e">
        <f>TAV212*TAW212*TAX212</f>
        <v>#DIV/0!</v>
      </c>
      <c r="TAZ212" s="367" t="s">
        <v>206</v>
      </c>
      <c r="TBA212" s="367"/>
      <c r="TBB212" s="367"/>
      <c r="TBC212" s="368" t="s">
        <v>168</v>
      </c>
      <c r="TBD212" s="369">
        <v>0.5</v>
      </c>
      <c r="TBE212" s="370" t="e">
        <f>10/TBA210</f>
        <v>#DIV/0!</v>
      </c>
      <c r="TBF212" s="371">
        <v>15.38</v>
      </c>
      <c r="TBG212" s="371" t="e">
        <f>TBD212*TBE212*TBF212</f>
        <v>#DIV/0!</v>
      </c>
      <c r="TBH212" s="367" t="s">
        <v>206</v>
      </c>
      <c r="TBI212" s="367"/>
      <c r="TBJ212" s="367"/>
      <c r="TBK212" s="368" t="s">
        <v>168</v>
      </c>
      <c r="TBL212" s="369">
        <v>0.5</v>
      </c>
      <c r="TBM212" s="370" t="e">
        <f>10/TBI210</f>
        <v>#DIV/0!</v>
      </c>
      <c r="TBN212" s="371">
        <v>15.38</v>
      </c>
      <c r="TBO212" s="371" t="e">
        <f>TBL212*TBM212*TBN212</f>
        <v>#DIV/0!</v>
      </c>
      <c r="TBP212" s="367" t="s">
        <v>206</v>
      </c>
      <c r="TBQ212" s="367"/>
      <c r="TBR212" s="367"/>
      <c r="TBS212" s="368" t="s">
        <v>168</v>
      </c>
      <c r="TBT212" s="369">
        <v>0.5</v>
      </c>
      <c r="TBU212" s="370" t="e">
        <f>10/TBQ210</f>
        <v>#DIV/0!</v>
      </c>
      <c r="TBV212" s="371">
        <v>15.38</v>
      </c>
      <c r="TBW212" s="371" t="e">
        <f>TBT212*TBU212*TBV212</f>
        <v>#DIV/0!</v>
      </c>
      <c r="TBX212" s="367" t="s">
        <v>206</v>
      </c>
      <c r="TBY212" s="367"/>
      <c r="TBZ212" s="367"/>
      <c r="TCA212" s="368" t="s">
        <v>168</v>
      </c>
      <c r="TCB212" s="369">
        <v>0.5</v>
      </c>
      <c r="TCC212" s="370" t="e">
        <f>10/TBY210</f>
        <v>#DIV/0!</v>
      </c>
      <c r="TCD212" s="371">
        <v>15.38</v>
      </c>
      <c r="TCE212" s="371" t="e">
        <f>TCB212*TCC212*TCD212</f>
        <v>#DIV/0!</v>
      </c>
      <c r="TCF212" s="367" t="s">
        <v>206</v>
      </c>
      <c r="TCG212" s="367"/>
      <c r="TCH212" s="367"/>
      <c r="TCI212" s="368" t="s">
        <v>168</v>
      </c>
      <c r="TCJ212" s="369">
        <v>0.5</v>
      </c>
      <c r="TCK212" s="370" t="e">
        <f>10/TCG210</f>
        <v>#DIV/0!</v>
      </c>
      <c r="TCL212" s="371">
        <v>15.38</v>
      </c>
      <c r="TCM212" s="371" t="e">
        <f>TCJ212*TCK212*TCL212</f>
        <v>#DIV/0!</v>
      </c>
      <c r="TCN212" s="367" t="s">
        <v>206</v>
      </c>
      <c r="TCO212" s="367"/>
      <c r="TCP212" s="367"/>
      <c r="TCQ212" s="368" t="s">
        <v>168</v>
      </c>
      <c r="TCR212" s="369">
        <v>0.5</v>
      </c>
      <c r="TCS212" s="370" t="e">
        <f>10/TCO210</f>
        <v>#DIV/0!</v>
      </c>
      <c r="TCT212" s="371">
        <v>15.38</v>
      </c>
      <c r="TCU212" s="371" t="e">
        <f>TCR212*TCS212*TCT212</f>
        <v>#DIV/0!</v>
      </c>
      <c r="TCV212" s="367" t="s">
        <v>206</v>
      </c>
      <c r="TCW212" s="367"/>
      <c r="TCX212" s="367"/>
      <c r="TCY212" s="368" t="s">
        <v>168</v>
      </c>
      <c r="TCZ212" s="369">
        <v>0.5</v>
      </c>
      <c r="TDA212" s="370" t="e">
        <f>10/TCW210</f>
        <v>#DIV/0!</v>
      </c>
      <c r="TDB212" s="371">
        <v>15.38</v>
      </c>
      <c r="TDC212" s="371" t="e">
        <f>TCZ212*TDA212*TDB212</f>
        <v>#DIV/0!</v>
      </c>
      <c r="TDD212" s="367" t="s">
        <v>206</v>
      </c>
      <c r="TDE212" s="367"/>
      <c r="TDF212" s="367"/>
      <c r="TDG212" s="368" t="s">
        <v>168</v>
      </c>
      <c r="TDH212" s="369">
        <v>0.5</v>
      </c>
      <c r="TDI212" s="370" t="e">
        <f>10/TDE210</f>
        <v>#DIV/0!</v>
      </c>
      <c r="TDJ212" s="371">
        <v>15.38</v>
      </c>
      <c r="TDK212" s="371" t="e">
        <f>TDH212*TDI212*TDJ212</f>
        <v>#DIV/0!</v>
      </c>
      <c r="TDL212" s="367" t="s">
        <v>206</v>
      </c>
      <c r="TDM212" s="367"/>
      <c r="TDN212" s="367"/>
      <c r="TDO212" s="368" t="s">
        <v>168</v>
      </c>
      <c r="TDP212" s="369">
        <v>0.5</v>
      </c>
      <c r="TDQ212" s="370" t="e">
        <f>10/TDM210</f>
        <v>#DIV/0!</v>
      </c>
      <c r="TDR212" s="371">
        <v>15.38</v>
      </c>
      <c r="TDS212" s="371" t="e">
        <f>TDP212*TDQ212*TDR212</f>
        <v>#DIV/0!</v>
      </c>
      <c r="TDT212" s="367" t="s">
        <v>206</v>
      </c>
      <c r="TDU212" s="367"/>
      <c r="TDV212" s="367"/>
      <c r="TDW212" s="368" t="s">
        <v>168</v>
      </c>
      <c r="TDX212" s="369">
        <v>0.5</v>
      </c>
      <c r="TDY212" s="370" t="e">
        <f>10/TDU210</f>
        <v>#DIV/0!</v>
      </c>
      <c r="TDZ212" s="371">
        <v>15.38</v>
      </c>
      <c r="TEA212" s="371" t="e">
        <f>TDX212*TDY212*TDZ212</f>
        <v>#DIV/0!</v>
      </c>
      <c r="TEB212" s="367" t="s">
        <v>206</v>
      </c>
      <c r="TEC212" s="367"/>
      <c r="TED212" s="367"/>
      <c r="TEE212" s="368" t="s">
        <v>168</v>
      </c>
      <c r="TEF212" s="369">
        <v>0.5</v>
      </c>
      <c r="TEG212" s="370" t="e">
        <f>10/TEC210</f>
        <v>#DIV/0!</v>
      </c>
      <c r="TEH212" s="371">
        <v>15.38</v>
      </c>
      <c r="TEI212" s="371" t="e">
        <f>TEF212*TEG212*TEH212</f>
        <v>#DIV/0!</v>
      </c>
      <c r="TEJ212" s="367" t="s">
        <v>206</v>
      </c>
      <c r="TEK212" s="367"/>
      <c r="TEL212" s="367"/>
      <c r="TEM212" s="368" t="s">
        <v>168</v>
      </c>
      <c r="TEN212" s="369">
        <v>0.5</v>
      </c>
      <c r="TEO212" s="370" t="e">
        <f>10/TEK210</f>
        <v>#DIV/0!</v>
      </c>
      <c r="TEP212" s="371">
        <v>15.38</v>
      </c>
      <c r="TEQ212" s="371" t="e">
        <f>TEN212*TEO212*TEP212</f>
        <v>#DIV/0!</v>
      </c>
      <c r="TER212" s="367" t="s">
        <v>206</v>
      </c>
      <c r="TES212" s="367"/>
      <c r="TET212" s="367"/>
      <c r="TEU212" s="368" t="s">
        <v>168</v>
      </c>
      <c r="TEV212" s="369">
        <v>0.5</v>
      </c>
      <c r="TEW212" s="370" t="e">
        <f>10/TES210</f>
        <v>#DIV/0!</v>
      </c>
      <c r="TEX212" s="371">
        <v>15.38</v>
      </c>
      <c r="TEY212" s="371" t="e">
        <f>TEV212*TEW212*TEX212</f>
        <v>#DIV/0!</v>
      </c>
      <c r="TEZ212" s="367" t="s">
        <v>206</v>
      </c>
      <c r="TFA212" s="367"/>
      <c r="TFB212" s="367"/>
      <c r="TFC212" s="368" t="s">
        <v>168</v>
      </c>
      <c r="TFD212" s="369">
        <v>0.5</v>
      </c>
      <c r="TFE212" s="370" t="e">
        <f>10/TFA210</f>
        <v>#DIV/0!</v>
      </c>
      <c r="TFF212" s="371">
        <v>15.38</v>
      </c>
      <c r="TFG212" s="371" t="e">
        <f>TFD212*TFE212*TFF212</f>
        <v>#DIV/0!</v>
      </c>
      <c r="TFH212" s="367" t="s">
        <v>206</v>
      </c>
      <c r="TFI212" s="367"/>
      <c r="TFJ212" s="367"/>
      <c r="TFK212" s="368" t="s">
        <v>168</v>
      </c>
      <c r="TFL212" s="369">
        <v>0.5</v>
      </c>
      <c r="TFM212" s="370" t="e">
        <f>10/TFI210</f>
        <v>#DIV/0!</v>
      </c>
      <c r="TFN212" s="371">
        <v>15.38</v>
      </c>
      <c r="TFO212" s="371" t="e">
        <f>TFL212*TFM212*TFN212</f>
        <v>#DIV/0!</v>
      </c>
      <c r="TFP212" s="367" t="s">
        <v>206</v>
      </c>
      <c r="TFQ212" s="367"/>
      <c r="TFR212" s="367"/>
      <c r="TFS212" s="368" t="s">
        <v>168</v>
      </c>
      <c r="TFT212" s="369">
        <v>0.5</v>
      </c>
      <c r="TFU212" s="370" t="e">
        <f>10/TFQ210</f>
        <v>#DIV/0!</v>
      </c>
      <c r="TFV212" s="371">
        <v>15.38</v>
      </c>
      <c r="TFW212" s="371" t="e">
        <f>TFT212*TFU212*TFV212</f>
        <v>#DIV/0!</v>
      </c>
      <c r="TFX212" s="367" t="s">
        <v>206</v>
      </c>
      <c r="TFY212" s="367"/>
      <c r="TFZ212" s="367"/>
      <c r="TGA212" s="368" t="s">
        <v>168</v>
      </c>
      <c r="TGB212" s="369">
        <v>0.5</v>
      </c>
      <c r="TGC212" s="370" t="e">
        <f>10/TFY210</f>
        <v>#DIV/0!</v>
      </c>
      <c r="TGD212" s="371">
        <v>15.38</v>
      </c>
      <c r="TGE212" s="371" t="e">
        <f>TGB212*TGC212*TGD212</f>
        <v>#DIV/0!</v>
      </c>
      <c r="TGF212" s="367" t="s">
        <v>206</v>
      </c>
      <c r="TGG212" s="367"/>
      <c r="TGH212" s="367"/>
      <c r="TGI212" s="368" t="s">
        <v>168</v>
      </c>
      <c r="TGJ212" s="369">
        <v>0.5</v>
      </c>
      <c r="TGK212" s="370" t="e">
        <f>10/TGG210</f>
        <v>#DIV/0!</v>
      </c>
      <c r="TGL212" s="371">
        <v>15.38</v>
      </c>
      <c r="TGM212" s="371" t="e">
        <f>TGJ212*TGK212*TGL212</f>
        <v>#DIV/0!</v>
      </c>
      <c r="TGN212" s="367" t="s">
        <v>206</v>
      </c>
      <c r="TGO212" s="367"/>
      <c r="TGP212" s="367"/>
      <c r="TGQ212" s="368" t="s">
        <v>168</v>
      </c>
      <c r="TGR212" s="369">
        <v>0.5</v>
      </c>
      <c r="TGS212" s="370" t="e">
        <f>10/TGO210</f>
        <v>#DIV/0!</v>
      </c>
      <c r="TGT212" s="371">
        <v>15.38</v>
      </c>
      <c r="TGU212" s="371" t="e">
        <f>TGR212*TGS212*TGT212</f>
        <v>#DIV/0!</v>
      </c>
      <c r="TGV212" s="367" t="s">
        <v>206</v>
      </c>
      <c r="TGW212" s="367"/>
      <c r="TGX212" s="367"/>
      <c r="TGY212" s="368" t="s">
        <v>168</v>
      </c>
      <c r="TGZ212" s="369">
        <v>0.5</v>
      </c>
      <c r="THA212" s="370" t="e">
        <f>10/TGW210</f>
        <v>#DIV/0!</v>
      </c>
      <c r="THB212" s="371">
        <v>15.38</v>
      </c>
      <c r="THC212" s="371" t="e">
        <f>TGZ212*THA212*THB212</f>
        <v>#DIV/0!</v>
      </c>
      <c r="THD212" s="367" t="s">
        <v>206</v>
      </c>
      <c r="THE212" s="367"/>
      <c r="THF212" s="367"/>
      <c r="THG212" s="368" t="s">
        <v>168</v>
      </c>
      <c r="THH212" s="369">
        <v>0.5</v>
      </c>
      <c r="THI212" s="370" t="e">
        <f>10/THE210</f>
        <v>#DIV/0!</v>
      </c>
      <c r="THJ212" s="371">
        <v>15.38</v>
      </c>
      <c r="THK212" s="371" t="e">
        <f>THH212*THI212*THJ212</f>
        <v>#DIV/0!</v>
      </c>
      <c r="THL212" s="367" t="s">
        <v>206</v>
      </c>
      <c r="THM212" s="367"/>
      <c r="THN212" s="367"/>
      <c r="THO212" s="368" t="s">
        <v>168</v>
      </c>
      <c r="THP212" s="369">
        <v>0.5</v>
      </c>
      <c r="THQ212" s="370" t="e">
        <f>10/THM210</f>
        <v>#DIV/0!</v>
      </c>
      <c r="THR212" s="371">
        <v>15.38</v>
      </c>
      <c r="THS212" s="371" t="e">
        <f>THP212*THQ212*THR212</f>
        <v>#DIV/0!</v>
      </c>
      <c r="THT212" s="367" t="s">
        <v>206</v>
      </c>
      <c r="THU212" s="367"/>
      <c r="THV212" s="367"/>
      <c r="THW212" s="368" t="s">
        <v>168</v>
      </c>
      <c r="THX212" s="369">
        <v>0.5</v>
      </c>
      <c r="THY212" s="370" t="e">
        <f>10/THU210</f>
        <v>#DIV/0!</v>
      </c>
      <c r="THZ212" s="371">
        <v>15.38</v>
      </c>
      <c r="TIA212" s="371" t="e">
        <f>THX212*THY212*THZ212</f>
        <v>#DIV/0!</v>
      </c>
      <c r="TIB212" s="367" t="s">
        <v>206</v>
      </c>
      <c r="TIC212" s="367"/>
      <c r="TID212" s="367"/>
      <c r="TIE212" s="368" t="s">
        <v>168</v>
      </c>
      <c r="TIF212" s="369">
        <v>0.5</v>
      </c>
      <c r="TIG212" s="370" t="e">
        <f>10/TIC210</f>
        <v>#DIV/0!</v>
      </c>
      <c r="TIH212" s="371">
        <v>15.38</v>
      </c>
      <c r="TII212" s="371" t="e">
        <f>TIF212*TIG212*TIH212</f>
        <v>#DIV/0!</v>
      </c>
      <c r="TIJ212" s="367" t="s">
        <v>206</v>
      </c>
      <c r="TIK212" s="367"/>
      <c r="TIL212" s="367"/>
      <c r="TIM212" s="368" t="s">
        <v>168</v>
      </c>
      <c r="TIN212" s="369">
        <v>0.5</v>
      </c>
      <c r="TIO212" s="370" t="e">
        <f>10/TIK210</f>
        <v>#DIV/0!</v>
      </c>
      <c r="TIP212" s="371">
        <v>15.38</v>
      </c>
      <c r="TIQ212" s="371" t="e">
        <f>TIN212*TIO212*TIP212</f>
        <v>#DIV/0!</v>
      </c>
      <c r="TIR212" s="367" t="s">
        <v>206</v>
      </c>
      <c r="TIS212" s="367"/>
      <c r="TIT212" s="367"/>
      <c r="TIU212" s="368" t="s">
        <v>168</v>
      </c>
      <c r="TIV212" s="369">
        <v>0.5</v>
      </c>
      <c r="TIW212" s="370" t="e">
        <f>10/TIS210</f>
        <v>#DIV/0!</v>
      </c>
      <c r="TIX212" s="371">
        <v>15.38</v>
      </c>
      <c r="TIY212" s="371" t="e">
        <f>TIV212*TIW212*TIX212</f>
        <v>#DIV/0!</v>
      </c>
      <c r="TIZ212" s="367" t="s">
        <v>206</v>
      </c>
      <c r="TJA212" s="367"/>
      <c r="TJB212" s="367"/>
      <c r="TJC212" s="368" t="s">
        <v>168</v>
      </c>
      <c r="TJD212" s="369">
        <v>0.5</v>
      </c>
      <c r="TJE212" s="370" t="e">
        <f>10/TJA210</f>
        <v>#DIV/0!</v>
      </c>
      <c r="TJF212" s="371">
        <v>15.38</v>
      </c>
      <c r="TJG212" s="371" t="e">
        <f>TJD212*TJE212*TJF212</f>
        <v>#DIV/0!</v>
      </c>
      <c r="TJH212" s="367" t="s">
        <v>206</v>
      </c>
      <c r="TJI212" s="367"/>
      <c r="TJJ212" s="367"/>
      <c r="TJK212" s="368" t="s">
        <v>168</v>
      </c>
      <c r="TJL212" s="369">
        <v>0.5</v>
      </c>
      <c r="TJM212" s="370" t="e">
        <f>10/TJI210</f>
        <v>#DIV/0!</v>
      </c>
      <c r="TJN212" s="371">
        <v>15.38</v>
      </c>
      <c r="TJO212" s="371" t="e">
        <f>TJL212*TJM212*TJN212</f>
        <v>#DIV/0!</v>
      </c>
      <c r="TJP212" s="367" t="s">
        <v>206</v>
      </c>
      <c r="TJQ212" s="367"/>
      <c r="TJR212" s="367"/>
      <c r="TJS212" s="368" t="s">
        <v>168</v>
      </c>
      <c r="TJT212" s="369">
        <v>0.5</v>
      </c>
      <c r="TJU212" s="370" t="e">
        <f>10/TJQ210</f>
        <v>#DIV/0!</v>
      </c>
      <c r="TJV212" s="371">
        <v>15.38</v>
      </c>
      <c r="TJW212" s="371" t="e">
        <f>TJT212*TJU212*TJV212</f>
        <v>#DIV/0!</v>
      </c>
      <c r="TJX212" s="367" t="s">
        <v>206</v>
      </c>
      <c r="TJY212" s="367"/>
      <c r="TJZ212" s="367"/>
      <c r="TKA212" s="368" t="s">
        <v>168</v>
      </c>
      <c r="TKB212" s="369">
        <v>0.5</v>
      </c>
      <c r="TKC212" s="370" t="e">
        <f>10/TJY210</f>
        <v>#DIV/0!</v>
      </c>
      <c r="TKD212" s="371">
        <v>15.38</v>
      </c>
      <c r="TKE212" s="371" t="e">
        <f>TKB212*TKC212*TKD212</f>
        <v>#DIV/0!</v>
      </c>
      <c r="TKF212" s="367" t="s">
        <v>206</v>
      </c>
      <c r="TKG212" s="367"/>
      <c r="TKH212" s="367"/>
      <c r="TKI212" s="368" t="s">
        <v>168</v>
      </c>
      <c r="TKJ212" s="369">
        <v>0.5</v>
      </c>
      <c r="TKK212" s="370" t="e">
        <f>10/TKG210</f>
        <v>#DIV/0!</v>
      </c>
      <c r="TKL212" s="371">
        <v>15.38</v>
      </c>
      <c r="TKM212" s="371" t="e">
        <f>TKJ212*TKK212*TKL212</f>
        <v>#DIV/0!</v>
      </c>
      <c r="TKN212" s="367" t="s">
        <v>206</v>
      </c>
      <c r="TKO212" s="367"/>
      <c r="TKP212" s="367"/>
      <c r="TKQ212" s="368" t="s">
        <v>168</v>
      </c>
      <c r="TKR212" s="369">
        <v>0.5</v>
      </c>
      <c r="TKS212" s="370" t="e">
        <f>10/TKO210</f>
        <v>#DIV/0!</v>
      </c>
      <c r="TKT212" s="371">
        <v>15.38</v>
      </c>
      <c r="TKU212" s="371" t="e">
        <f>TKR212*TKS212*TKT212</f>
        <v>#DIV/0!</v>
      </c>
      <c r="TKV212" s="367" t="s">
        <v>206</v>
      </c>
      <c r="TKW212" s="367"/>
      <c r="TKX212" s="367"/>
      <c r="TKY212" s="368" t="s">
        <v>168</v>
      </c>
      <c r="TKZ212" s="369">
        <v>0.5</v>
      </c>
      <c r="TLA212" s="370" t="e">
        <f>10/TKW210</f>
        <v>#DIV/0!</v>
      </c>
      <c r="TLB212" s="371">
        <v>15.38</v>
      </c>
      <c r="TLC212" s="371" t="e">
        <f>TKZ212*TLA212*TLB212</f>
        <v>#DIV/0!</v>
      </c>
      <c r="TLD212" s="367" t="s">
        <v>206</v>
      </c>
      <c r="TLE212" s="367"/>
      <c r="TLF212" s="367"/>
      <c r="TLG212" s="368" t="s">
        <v>168</v>
      </c>
      <c r="TLH212" s="369">
        <v>0.5</v>
      </c>
      <c r="TLI212" s="370" t="e">
        <f>10/TLE210</f>
        <v>#DIV/0!</v>
      </c>
      <c r="TLJ212" s="371">
        <v>15.38</v>
      </c>
      <c r="TLK212" s="371" t="e">
        <f>TLH212*TLI212*TLJ212</f>
        <v>#DIV/0!</v>
      </c>
      <c r="TLL212" s="367" t="s">
        <v>206</v>
      </c>
      <c r="TLM212" s="367"/>
      <c r="TLN212" s="367"/>
      <c r="TLO212" s="368" t="s">
        <v>168</v>
      </c>
      <c r="TLP212" s="369">
        <v>0.5</v>
      </c>
      <c r="TLQ212" s="370" t="e">
        <f>10/TLM210</f>
        <v>#DIV/0!</v>
      </c>
      <c r="TLR212" s="371">
        <v>15.38</v>
      </c>
      <c r="TLS212" s="371" t="e">
        <f>TLP212*TLQ212*TLR212</f>
        <v>#DIV/0!</v>
      </c>
      <c r="TLT212" s="367" t="s">
        <v>206</v>
      </c>
      <c r="TLU212" s="367"/>
      <c r="TLV212" s="367"/>
      <c r="TLW212" s="368" t="s">
        <v>168</v>
      </c>
      <c r="TLX212" s="369">
        <v>0.5</v>
      </c>
      <c r="TLY212" s="370" t="e">
        <f>10/TLU210</f>
        <v>#DIV/0!</v>
      </c>
      <c r="TLZ212" s="371">
        <v>15.38</v>
      </c>
      <c r="TMA212" s="371" t="e">
        <f>TLX212*TLY212*TLZ212</f>
        <v>#DIV/0!</v>
      </c>
      <c r="TMB212" s="367" t="s">
        <v>206</v>
      </c>
      <c r="TMC212" s="367"/>
      <c r="TMD212" s="367"/>
      <c r="TME212" s="368" t="s">
        <v>168</v>
      </c>
      <c r="TMF212" s="369">
        <v>0.5</v>
      </c>
      <c r="TMG212" s="370" t="e">
        <f>10/TMC210</f>
        <v>#DIV/0!</v>
      </c>
      <c r="TMH212" s="371">
        <v>15.38</v>
      </c>
      <c r="TMI212" s="371" t="e">
        <f>TMF212*TMG212*TMH212</f>
        <v>#DIV/0!</v>
      </c>
      <c r="TMJ212" s="367" t="s">
        <v>206</v>
      </c>
      <c r="TMK212" s="367"/>
      <c r="TML212" s="367"/>
      <c r="TMM212" s="368" t="s">
        <v>168</v>
      </c>
      <c r="TMN212" s="369">
        <v>0.5</v>
      </c>
      <c r="TMO212" s="370" t="e">
        <f>10/TMK210</f>
        <v>#DIV/0!</v>
      </c>
      <c r="TMP212" s="371">
        <v>15.38</v>
      </c>
      <c r="TMQ212" s="371" t="e">
        <f>TMN212*TMO212*TMP212</f>
        <v>#DIV/0!</v>
      </c>
      <c r="TMR212" s="367" t="s">
        <v>206</v>
      </c>
      <c r="TMS212" s="367"/>
      <c r="TMT212" s="367"/>
      <c r="TMU212" s="368" t="s">
        <v>168</v>
      </c>
      <c r="TMV212" s="369">
        <v>0.5</v>
      </c>
      <c r="TMW212" s="370" t="e">
        <f>10/TMS210</f>
        <v>#DIV/0!</v>
      </c>
      <c r="TMX212" s="371">
        <v>15.38</v>
      </c>
      <c r="TMY212" s="371" t="e">
        <f>TMV212*TMW212*TMX212</f>
        <v>#DIV/0!</v>
      </c>
      <c r="TMZ212" s="367" t="s">
        <v>206</v>
      </c>
      <c r="TNA212" s="367"/>
      <c r="TNB212" s="367"/>
      <c r="TNC212" s="368" t="s">
        <v>168</v>
      </c>
      <c r="TND212" s="369">
        <v>0.5</v>
      </c>
      <c r="TNE212" s="370" t="e">
        <f>10/TNA210</f>
        <v>#DIV/0!</v>
      </c>
      <c r="TNF212" s="371">
        <v>15.38</v>
      </c>
      <c r="TNG212" s="371" t="e">
        <f>TND212*TNE212*TNF212</f>
        <v>#DIV/0!</v>
      </c>
      <c r="TNH212" s="367" t="s">
        <v>206</v>
      </c>
      <c r="TNI212" s="367"/>
      <c r="TNJ212" s="367"/>
      <c r="TNK212" s="368" t="s">
        <v>168</v>
      </c>
      <c r="TNL212" s="369">
        <v>0.5</v>
      </c>
      <c r="TNM212" s="370" t="e">
        <f>10/TNI210</f>
        <v>#DIV/0!</v>
      </c>
      <c r="TNN212" s="371">
        <v>15.38</v>
      </c>
      <c r="TNO212" s="371" t="e">
        <f>TNL212*TNM212*TNN212</f>
        <v>#DIV/0!</v>
      </c>
      <c r="TNP212" s="367" t="s">
        <v>206</v>
      </c>
      <c r="TNQ212" s="367"/>
      <c r="TNR212" s="367"/>
      <c r="TNS212" s="368" t="s">
        <v>168</v>
      </c>
      <c r="TNT212" s="369">
        <v>0.5</v>
      </c>
      <c r="TNU212" s="370" t="e">
        <f>10/TNQ210</f>
        <v>#DIV/0!</v>
      </c>
      <c r="TNV212" s="371">
        <v>15.38</v>
      </c>
      <c r="TNW212" s="371" t="e">
        <f>TNT212*TNU212*TNV212</f>
        <v>#DIV/0!</v>
      </c>
      <c r="TNX212" s="367" t="s">
        <v>206</v>
      </c>
      <c r="TNY212" s="367"/>
      <c r="TNZ212" s="367"/>
      <c r="TOA212" s="368" t="s">
        <v>168</v>
      </c>
      <c r="TOB212" s="369">
        <v>0.5</v>
      </c>
      <c r="TOC212" s="370" t="e">
        <f>10/TNY210</f>
        <v>#DIV/0!</v>
      </c>
      <c r="TOD212" s="371">
        <v>15.38</v>
      </c>
      <c r="TOE212" s="371" t="e">
        <f>TOB212*TOC212*TOD212</f>
        <v>#DIV/0!</v>
      </c>
      <c r="TOF212" s="367" t="s">
        <v>206</v>
      </c>
      <c r="TOG212" s="367"/>
      <c r="TOH212" s="367"/>
      <c r="TOI212" s="368" t="s">
        <v>168</v>
      </c>
      <c r="TOJ212" s="369">
        <v>0.5</v>
      </c>
      <c r="TOK212" s="370" t="e">
        <f>10/TOG210</f>
        <v>#DIV/0!</v>
      </c>
      <c r="TOL212" s="371">
        <v>15.38</v>
      </c>
      <c r="TOM212" s="371" t="e">
        <f>TOJ212*TOK212*TOL212</f>
        <v>#DIV/0!</v>
      </c>
      <c r="TON212" s="367" t="s">
        <v>206</v>
      </c>
      <c r="TOO212" s="367"/>
      <c r="TOP212" s="367"/>
      <c r="TOQ212" s="368" t="s">
        <v>168</v>
      </c>
      <c r="TOR212" s="369">
        <v>0.5</v>
      </c>
      <c r="TOS212" s="370" t="e">
        <f>10/TOO210</f>
        <v>#DIV/0!</v>
      </c>
      <c r="TOT212" s="371">
        <v>15.38</v>
      </c>
      <c r="TOU212" s="371" t="e">
        <f>TOR212*TOS212*TOT212</f>
        <v>#DIV/0!</v>
      </c>
      <c r="TOV212" s="367" t="s">
        <v>206</v>
      </c>
      <c r="TOW212" s="367"/>
      <c r="TOX212" s="367"/>
      <c r="TOY212" s="368" t="s">
        <v>168</v>
      </c>
      <c r="TOZ212" s="369">
        <v>0.5</v>
      </c>
      <c r="TPA212" s="370" t="e">
        <f>10/TOW210</f>
        <v>#DIV/0!</v>
      </c>
      <c r="TPB212" s="371">
        <v>15.38</v>
      </c>
      <c r="TPC212" s="371" t="e">
        <f>TOZ212*TPA212*TPB212</f>
        <v>#DIV/0!</v>
      </c>
      <c r="TPD212" s="367" t="s">
        <v>206</v>
      </c>
      <c r="TPE212" s="367"/>
      <c r="TPF212" s="367"/>
      <c r="TPG212" s="368" t="s">
        <v>168</v>
      </c>
      <c r="TPH212" s="369">
        <v>0.5</v>
      </c>
      <c r="TPI212" s="370" t="e">
        <f>10/TPE210</f>
        <v>#DIV/0!</v>
      </c>
      <c r="TPJ212" s="371">
        <v>15.38</v>
      </c>
      <c r="TPK212" s="371" t="e">
        <f>TPH212*TPI212*TPJ212</f>
        <v>#DIV/0!</v>
      </c>
      <c r="TPL212" s="367" t="s">
        <v>206</v>
      </c>
      <c r="TPM212" s="367"/>
      <c r="TPN212" s="367"/>
      <c r="TPO212" s="368" t="s">
        <v>168</v>
      </c>
      <c r="TPP212" s="369">
        <v>0.5</v>
      </c>
      <c r="TPQ212" s="370" t="e">
        <f>10/TPM210</f>
        <v>#DIV/0!</v>
      </c>
      <c r="TPR212" s="371">
        <v>15.38</v>
      </c>
      <c r="TPS212" s="371" t="e">
        <f>TPP212*TPQ212*TPR212</f>
        <v>#DIV/0!</v>
      </c>
      <c r="TPT212" s="367" t="s">
        <v>206</v>
      </c>
      <c r="TPU212" s="367"/>
      <c r="TPV212" s="367"/>
      <c r="TPW212" s="368" t="s">
        <v>168</v>
      </c>
      <c r="TPX212" s="369">
        <v>0.5</v>
      </c>
      <c r="TPY212" s="370" t="e">
        <f>10/TPU210</f>
        <v>#DIV/0!</v>
      </c>
      <c r="TPZ212" s="371">
        <v>15.38</v>
      </c>
      <c r="TQA212" s="371" t="e">
        <f>TPX212*TPY212*TPZ212</f>
        <v>#DIV/0!</v>
      </c>
      <c r="TQB212" s="367" t="s">
        <v>206</v>
      </c>
      <c r="TQC212" s="367"/>
      <c r="TQD212" s="367"/>
      <c r="TQE212" s="368" t="s">
        <v>168</v>
      </c>
      <c r="TQF212" s="369">
        <v>0.5</v>
      </c>
      <c r="TQG212" s="370" t="e">
        <f>10/TQC210</f>
        <v>#DIV/0!</v>
      </c>
      <c r="TQH212" s="371">
        <v>15.38</v>
      </c>
      <c r="TQI212" s="371" t="e">
        <f>TQF212*TQG212*TQH212</f>
        <v>#DIV/0!</v>
      </c>
      <c r="TQJ212" s="367" t="s">
        <v>206</v>
      </c>
      <c r="TQK212" s="367"/>
      <c r="TQL212" s="367"/>
      <c r="TQM212" s="368" t="s">
        <v>168</v>
      </c>
      <c r="TQN212" s="369">
        <v>0.5</v>
      </c>
      <c r="TQO212" s="370" t="e">
        <f>10/TQK210</f>
        <v>#DIV/0!</v>
      </c>
      <c r="TQP212" s="371">
        <v>15.38</v>
      </c>
      <c r="TQQ212" s="371" t="e">
        <f>TQN212*TQO212*TQP212</f>
        <v>#DIV/0!</v>
      </c>
      <c r="TQR212" s="367" t="s">
        <v>206</v>
      </c>
      <c r="TQS212" s="367"/>
      <c r="TQT212" s="367"/>
      <c r="TQU212" s="368" t="s">
        <v>168</v>
      </c>
      <c r="TQV212" s="369">
        <v>0.5</v>
      </c>
      <c r="TQW212" s="370" t="e">
        <f>10/TQS210</f>
        <v>#DIV/0!</v>
      </c>
      <c r="TQX212" s="371">
        <v>15.38</v>
      </c>
      <c r="TQY212" s="371" t="e">
        <f>TQV212*TQW212*TQX212</f>
        <v>#DIV/0!</v>
      </c>
      <c r="TQZ212" s="367" t="s">
        <v>206</v>
      </c>
      <c r="TRA212" s="367"/>
      <c r="TRB212" s="367"/>
      <c r="TRC212" s="368" t="s">
        <v>168</v>
      </c>
      <c r="TRD212" s="369">
        <v>0.5</v>
      </c>
      <c r="TRE212" s="370" t="e">
        <f>10/TRA210</f>
        <v>#DIV/0!</v>
      </c>
      <c r="TRF212" s="371">
        <v>15.38</v>
      </c>
      <c r="TRG212" s="371" t="e">
        <f>TRD212*TRE212*TRF212</f>
        <v>#DIV/0!</v>
      </c>
      <c r="TRH212" s="367" t="s">
        <v>206</v>
      </c>
      <c r="TRI212" s="367"/>
      <c r="TRJ212" s="367"/>
      <c r="TRK212" s="368" t="s">
        <v>168</v>
      </c>
      <c r="TRL212" s="369">
        <v>0.5</v>
      </c>
      <c r="TRM212" s="370" t="e">
        <f>10/TRI210</f>
        <v>#DIV/0!</v>
      </c>
      <c r="TRN212" s="371">
        <v>15.38</v>
      </c>
      <c r="TRO212" s="371" t="e">
        <f>TRL212*TRM212*TRN212</f>
        <v>#DIV/0!</v>
      </c>
      <c r="TRP212" s="367" t="s">
        <v>206</v>
      </c>
      <c r="TRQ212" s="367"/>
      <c r="TRR212" s="367"/>
      <c r="TRS212" s="368" t="s">
        <v>168</v>
      </c>
      <c r="TRT212" s="369">
        <v>0.5</v>
      </c>
      <c r="TRU212" s="370" t="e">
        <f>10/TRQ210</f>
        <v>#DIV/0!</v>
      </c>
      <c r="TRV212" s="371">
        <v>15.38</v>
      </c>
      <c r="TRW212" s="371" t="e">
        <f>TRT212*TRU212*TRV212</f>
        <v>#DIV/0!</v>
      </c>
      <c r="TRX212" s="367" t="s">
        <v>206</v>
      </c>
      <c r="TRY212" s="367"/>
      <c r="TRZ212" s="367"/>
      <c r="TSA212" s="368" t="s">
        <v>168</v>
      </c>
      <c r="TSB212" s="369">
        <v>0.5</v>
      </c>
      <c r="TSC212" s="370" t="e">
        <f>10/TRY210</f>
        <v>#DIV/0!</v>
      </c>
      <c r="TSD212" s="371">
        <v>15.38</v>
      </c>
      <c r="TSE212" s="371" t="e">
        <f>TSB212*TSC212*TSD212</f>
        <v>#DIV/0!</v>
      </c>
      <c r="TSF212" s="367" t="s">
        <v>206</v>
      </c>
      <c r="TSG212" s="367"/>
      <c r="TSH212" s="367"/>
      <c r="TSI212" s="368" t="s">
        <v>168</v>
      </c>
      <c r="TSJ212" s="369">
        <v>0.5</v>
      </c>
      <c r="TSK212" s="370" t="e">
        <f>10/TSG210</f>
        <v>#DIV/0!</v>
      </c>
      <c r="TSL212" s="371">
        <v>15.38</v>
      </c>
      <c r="TSM212" s="371" t="e">
        <f>TSJ212*TSK212*TSL212</f>
        <v>#DIV/0!</v>
      </c>
      <c r="TSN212" s="367" t="s">
        <v>206</v>
      </c>
      <c r="TSO212" s="367"/>
      <c r="TSP212" s="367"/>
      <c r="TSQ212" s="368" t="s">
        <v>168</v>
      </c>
      <c r="TSR212" s="369">
        <v>0.5</v>
      </c>
      <c r="TSS212" s="370" t="e">
        <f>10/TSO210</f>
        <v>#DIV/0!</v>
      </c>
      <c r="TST212" s="371">
        <v>15.38</v>
      </c>
      <c r="TSU212" s="371" t="e">
        <f>TSR212*TSS212*TST212</f>
        <v>#DIV/0!</v>
      </c>
      <c r="TSV212" s="367" t="s">
        <v>206</v>
      </c>
      <c r="TSW212" s="367"/>
      <c r="TSX212" s="367"/>
      <c r="TSY212" s="368" t="s">
        <v>168</v>
      </c>
      <c r="TSZ212" s="369">
        <v>0.5</v>
      </c>
      <c r="TTA212" s="370" t="e">
        <f>10/TSW210</f>
        <v>#DIV/0!</v>
      </c>
      <c r="TTB212" s="371">
        <v>15.38</v>
      </c>
      <c r="TTC212" s="371" t="e">
        <f>TSZ212*TTA212*TTB212</f>
        <v>#DIV/0!</v>
      </c>
      <c r="TTD212" s="367" t="s">
        <v>206</v>
      </c>
      <c r="TTE212" s="367"/>
      <c r="TTF212" s="367"/>
      <c r="TTG212" s="368" t="s">
        <v>168</v>
      </c>
      <c r="TTH212" s="369">
        <v>0.5</v>
      </c>
      <c r="TTI212" s="370" t="e">
        <f>10/TTE210</f>
        <v>#DIV/0!</v>
      </c>
      <c r="TTJ212" s="371">
        <v>15.38</v>
      </c>
      <c r="TTK212" s="371" t="e">
        <f>TTH212*TTI212*TTJ212</f>
        <v>#DIV/0!</v>
      </c>
      <c r="TTL212" s="367" t="s">
        <v>206</v>
      </c>
      <c r="TTM212" s="367"/>
      <c r="TTN212" s="367"/>
      <c r="TTO212" s="368" t="s">
        <v>168</v>
      </c>
      <c r="TTP212" s="369">
        <v>0.5</v>
      </c>
      <c r="TTQ212" s="370" t="e">
        <f>10/TTM210</f>
        <v>#DIV/0!</v>
      </c>
      <c r="TTR212" s="371">
        <v>15.38</v>
      </c>
      <c r="TTS212" s="371" t="e">
        <f>TTP212*TTQ212*TTR212</f>
        <v>#DIV/0!</v>
      </c>
      <c r="TTT212" s="367" t="s">
        <v>206</v>
      </c>
      <c r="TTU212" s="367"/>
      <c r="TTV212" s="367"/>
      <c r="TTW212" s="368" t="s">
        <v>168</v>
      </c>
      <c r="TTX212" s="369">
        <v>0.5</v>
      </c>
      <c r="TTY212" s="370" t="e">
        <f>10/TTU210</f>
        <v>#DIV/0!</v>
      </c>
      <c r="TTZ212" s="371">
        <v>15.38</v>
      </c>
      <c r="TUA212" s="371" t="e">
        <f>TTX212*TTY212*TTZ212</f>
        <v>#DIV/0!</v>
      </c>
      <c r="TUB212" s="367" t="s">
        <v>206</v>
      </c>
      <c r="TUC212" s="367"/>
      <c r="TUD212" s="367"/>
      <c r="TUE212" s="368" t="s">
        <v>168</v>
      </c>
      <c r="TUF212" s="369">
        <v>0.5</v>
      </c>
      <c r="TUG212" s="370" t="e">
        <f>10/TUC210</f>
        <v>#DIV/0!</v>
      </c>
      <c r="TUH212" s="371">
        <v>15.38</v>
      </c>
      <c r="TUI212" s="371" t="e">
        <f>TUF212*TUG212*TUH212</f>
        <v>#DIV/0!</v>
      </c>
      <c r="TUJ212" s="367" t="s">
        <v>206</v>
      </c>
      <c r="TUK212" s="367"/>
      <c r="TUL212" s="367"/>
      <c r="TUM212" s="368" t="s">
        <v>168</v>
      </c>
      <c r="TUN212" s="369">
        <v>0.5</v>
      </c>
      <c r="TUO212" s="370" t="e">
        <f>10/TUK210</f>
        <v>#DIV/0!</v>
      </c>
      <c r="TUP212" s="371">
        <v>15.38</v>
      </c>
      <c r="TUQ212" s="371" t="e">
        <f>TUN212*TUO212*TUP212</f>
        <v>#DIV/0!</v>
      </c>
      <c r="TUR212" s="367" t="s">
        <v>206</v>
      </c>
      <c r="TUS212" s="367"/>
      <c r="TUT212" s="367"/>
      <c r="TUU212" s="368" t="s">
        <v>168</v>
      </c>
      <c r="TUV212" s="369">
        <v>0.5</v>
      </c>
      <c r="TUW212" s="370" t="e">
        <f>10/TUS210</f>
        <v>#DIV/0!</v>
      </c>
      <c r="TUX212" s="371">
        <v>15.38</v>
      </c>
      <c r="TUY212" s="371" t="e">
        <f>TUV212*TUW212*TUX212</f>
        <v>#DIV/0!</v>
      </c>
      <c r="TUZ212" s="367" t="s">
        <v>206</v>
      </c>
      <c r="TVA212" s="367"/>
      <c r="TVB212" s="367"/>
      <c r="TVC212" s="368" t="s">
        <v>168</v>
      </c>
      <c r="TVD212" s="369">
        <v>0.5</v>
      </c>
      <c r="TVE212" s="370" t="e">
        <f>10/TVA210</f>
        <v>#DIV/0!</v>
      </c>
      <c r="TVF212" s="371">
        <v>15.38</v>
      </c>
      <c r="TVG212" s="371" t="e">
        <f>TVD212*TVE212*TVF212</f>
        <v>#DIV/0!</v>
      </c>
      <c r="TVH212" s="367" t="s">
        <v>206</v>
      </c>
      <c r="TVI212" s="367"/>
      <c r="TVJ212" s="367"/>
      <c r="TVK212" s="368" t="s">
        <v>168</v>
      </c>
      <c r="TVL212" s="369">
        <v>0.5</v>
      </c>
      <c r="TVM212" s="370" t="e">
        <f>10/TVI210</f>
        <v>#DIV/0!</v>
      </c>
      <c r="TVN212" s="371">
        <v>15.38</v>
      </c>
      <c r="TVO212" s="371" t="e">
        <f>TVL212*TVM212*TVN212</f>
        <v>#DIV/0!</v>
      </c>
      <c r="TVP212" s="367" t="s">
        <v>206</v>
      </c>
      <c r="TVQ212" s="367"/>
      <c r="TVR212" s="367"/>
      <c r="TVS212" s="368" t="s">
        <v>168</v>
      </c>
      <c r="TVT212" s="369">
        <v>0.5</v>
      </c>
      <c r="TVU212" s="370" t="e">
        <f>10/TVQ210</f>
        <v>#DIV/0!</v>
      </c>
      <c r="TVV212" s="371">
        <v>15.38</v>
      </c>
      <c r="TVW212" s="371" t="e">
        <f>TVT212*TVU212*TVV212</f>
        <v>#DIV/0!</v>
      </c>
      <c r="TVX212" s="367" t="s">
        <v>206</v>
      </c>
      <c r="TVY212" s="367"/>
      <c r="TVZ212" s="367"/>
      <c r="TWA212" s="368" t="s">
        <v>168</v>
      </c>
      <c r="TWB212" s="369">
        <v>0.5</v>
      </c>
      <c r="TWC212" s="370" t="e">
        <f>10/TVY210</f>
        <v>#DIV/0!</v>
      </c>
      <c r="TWD212" s="371">
        <v>15.38</v>
      </c>
      <c r="TWE212" s="371" t="e">
        <f>TWB212*TWC212*TWD212</f>
        <v>#DIV/0!</v>
      </c>
      <c r="TWF212" s="367" t="s">
        <v>206</v>
      </c>
      <c r="TWG212" s="367"/>
      <c r="TWH212" s="367"/>
      <c r="TWI212" s="368" t="s">
        <v>168</v>
      </c>
      <c r="TWJ212" s="369">
        <v>0.5</v>
      </c>
      <c r="TWK212" s="370" t="e">
        <f>10/TWG210</f>
        <v>#DIV/0!</v>
      </c>
      <c r="TWL212" s="371">
        <v>15.38</v>
      </c>
      <c r="TWM212" s="371" t="e">
        <f>TWJ212*TWK212*TWL212</f>
        <v>#DIV/0!</v>
      </c>
      <c r="TWN212" s="367" t="s">
        <v>206</v>
      </c>
      <c r="TWO212" s="367"/>
      <c r="TWP212" s="367"/>
      <c r="TWQ212" s="368" t="s">
        <v>168</v>
      </c>
      <c r="TWR212" s="369">
        <v>0.5</v>
      </c>
      <c r="TWS212" s="370" t="e">
        <f>10/TWO210</f>
        <v>#DIV/0!</v>
      </c>
      <c r="TWT212" s="371">
        <v>15.38</v>
      </c>
      <c r="TWU212" s="371" t="e">
        <f>TWR212*TWS212*TWT212</f>
        <v>#DIV/0!</v>
      </c>
      <c r="TWV212" s="367" t="s">
        <v>206</v>
      </c>
      <c r="TWW212" s="367"/>
      <c r="TWX212" s="367"/>
      <c r="TWY212" s="368" t="s">
        <v>168</v>
      </c>
      <c r="TWZ212" s="369">
        <v>0.5</v>
      </c>
      <c r="TXA212" s="370" t="e">
        <f>10/TWW210</f>
        <v>#DIV/0!</v>
      </c>
      <c r="TXB212" s="371">
        <v>15.38</v>
      </c>
      <c r="TXC212" s="371" t="e">
        <f>TWZ212*TXA212*TXB212</f>
        <v>#DIV/0!</v>
      </c>
      <c r="TXD212" s="367" t="s">
        <v>206</v>
      </c>
      <c r="TXE212" s="367"/>
      <c r="TXF212" s="367"/>
      <c r="TXG212" s="368" t="s">
        <v>168</v>
      </c>
      <c r="TXH212" s="369">
        <v>0.5</v>
      </c>
      <c r="TXI212" s="370" t="e">
        <f>10/TXE210</f>
        <v>#DIV/0!</v>
      </c>
      <c r="TXJ212" s="371">
        <v>15.38</v>
      </c>
      <c r="TXK212" s="371" t="e">
        <f>TXH212*TXI212*TXJ212</f>
        <v>#DIV/0!</v>
      </c>
      <c r="TXL212" s="367" t="s">
        <v>206</v>
      </c>
      <c r="TXM212" s="367"/>
      <c r="TXN212" s="367"/>
      <c r="TXO212" s="368" t="s">
        <v>168</v>
      </c>
      <c r="TXP212" s="369">
        <v>0.5</v>
      </c>
      <c r="TXQ212" s="370" t="e">
        <f>10/TXM210</f>
        <v>#DIV/0!</v>
      </c>
      <c r="TXR212" s="371">
        <v>15.38</v>
      </c>
      <c r="TXS212" s="371" t="e">
        <f>TXP212*TXQ212*TXR212</f>
        <v>#DIV/0!</v>
      </c>
      <c r="TXT212" s="367" t="s">
        <v>206</v>
      </c>
      <c r="TXU212" s="367"/>
      <c r="TXV212" s="367"/>
      <c r="TXW212" s="368" t="s">
        <v>168</v>
      </c>
      <c r="TXX212" s="369">
        <v>0.5</v>
      </c>
      <c r="TXY212" s="370" t="e">
        <f>10/TXU210</f>
        <v>#DIV/0!</v>
      </c>
      <c r="TXZ212" s="371">
        <v>15.38</v>
      </c>
      <c r="TYA212" s="371" t="e">
        <f>TXX212*TXY212*TXZ212</f>
        <v>#DIV/0!</v>
      </c>
      <c r="TYB212" s="367" t="s">
        <v>206</v>
      </c>
      <c r="TYC212" s="367"/>
      <c r="TYD212" s="367"/>
      <c r="TYE212" s="368" t="s">
        <v>168</v>
      </c>
      <c r="TYF212" s="369">
        <v>0.5</v>
      </c>
      <c r="TYG212" s="370" t="e">
        <f>10/TYC210</f>
        <v>#DIV/0!</v>
      </c>
      <c r="TYH212" s="371">
        <v>15.38</v>
      </c>
      <c r="TYI212" s="371" t="e">
        <f>TYF212*TYG212*TYH212</f>
        <v>#DIV/0!</v>
      </c>
      <c r="TYJ212" s="367" t="s">
        <v>206</v>
      </c>
      <c r="TYK212" s="367"/>
      <c r="TYL212" s="367"/>
      <c r="TYM212" s="368" t="s">
        <v>168</v>
      </c>
      <c r="TYN212" s="369">
        <v>0.5</v>
      </c>
      <c r="TYO212" s="370" t="e">
        <f>10/TYK210</f>
        <v>#DIV/0!</v>
      </c>
      <c r="TYP212" s="371">
        <v>15.38</v>
      </c>
      <c r="TYQ212" s="371" t="e">
        <f>TYN212*TYO212*TYP212</f>
        <v>#DIV/0!</v>
      </c>
      <c r="TYR212" s="367" t="s">
        <v>206</v>
      </c>
      <c r="TYS212" s="367"/>
      <c r="TYT212" s="367"/>
      <c r="TYU212" s="368" t="s">
        <v>168</v>
      </c>
      <c r="TYV212" s="369">
        <v>0.5</v>
      </c>
      <c r="TYW212" s="370" t="e">
        <f>10/TYS210</f>
        <v>#DIV/0!</v>
      </c>
      <c r="TYX212" s="371">
        <v>15.38</v>
      </c>
      <c r="TYY212" s="371" t="e">
        <f>TYV212*TYW212*TYX212</f>
        <v>#DIV/0!</v>
      </c>
      <c r="TYZ212" s="367" t="s">
        <v>206</v>
      </c>
      <c r="TZA212" s="367"/>
      <c r="TZB212" s="367"/>
      <c r="TZC212" s="368" t="s">
        <v>168</v>
      </c>
      <c r="TZD212" s="369">
        <v>0.5</v>
      </c>
      <c r="TZE212" s="370" t="e">
        <f>10/TZA210</f>
        <v>#DIV/0!</v>
      </c>
      <c r="TZF212" s="371">
        <v>15.38</v>
      </c>
      <c r="TZG212" s="371" t="e">
        <f>TZD212*TZE212*TZF212</f>
        <v>#DIV/0!</v>
      </c>
      <c r="TZH212" s="367" t="s">
        <v>206</v>
      </c>
      <c r="TZI212" s="367"/>
      <c r="TZJ212" s="367"/>
      <c r="TZK212" s="368" t="s">
        <v>168</v>
      </c>
      <c r="TZL212" s="369">
        <v>0.5</v>
      </c>
      <c r="TZM212" s="370" t="e">
        <f>10/TZI210</f>
        <v>#DIV/0!</v>
      </c>
      <c r="TZN212" s="371">
        <v>15.38</v>
      </c>
      <c r="TZO212" s="371" t="e">
        <f>TZL212*TZM212*TZN212</f>
        <v>#DIV/0!</v>
      </c>
      <c r="TZP212" s="367" t="s">
        <v>206</v>
      </c>
      <c r="TZQ212" s="367"/>
      <c r="TZR212" s="367"/>
      <c r="TZS212" s="368" t="s">
        <v>168</v>
      </c>
      <c r="TZT212" s="369">
        <v>0.5</v>
      </c>
      <c r="TZU212" s="370" t="e">
        <f>10/TZQ210</f>
        <v>#DIV/0!</v>
      </c>
      <c r="TZV212" s="371">
        <v>15.38</v>
      </c>
      <c r="TZW212" s="371" t="e">
        <f>TZT212*TZU212*TZV212</f>
        <v>#DIV/0!</v>
      </c>
      <c r="TZX212" s="367" t="s">
        <v>206</v>
      </c>
      <c r="TZY212" s="367"/>
      <c r="TZZ212" s="367"/>
      <c r="UAA212" s="368" t="s">
        <v>168</v>
      </c>
      <c r="UAB212" s="369">
        <v>0.5</v>
      </c>
      <c r="UAC212" s="370" t="e">
        <f>10/TZY210</f>
        <v>#DIV/0!</v>
      </c>
      <c r="UAD212" s="371">
        <v>15.38</v>
      </c>
      <c r="UAE212" s="371" t="e">
        <f>UAB212*UAC212*UAD212</f>
        <v>#DIV/0!</v>
      </c>
      <c r="UAF212" s="367" t="s">
        <v>206</v>
      </c>
      <c r="UAG212" s="367"/>
      <c r="UAH212" s="367"/>
      <c r="UAI212" s="368" t="s">
        <v>168</v>
      </c>
      <c r="UAJ212" s="369">
        <v>0.5</v>
      </c>
      <c r="UAK212" s="370" t="e">
        <f>10/UAG210</f>
        <v>#DIV/0!</v>
      </c>
      <c r="UAL212" s="371">
        <v>15.38</v>
      </c>
      <c r="UAM212" s="371" t="e">
        <f>UAJ212*UAK212*UAL212</f>
        <v>#DIV/0!</v>
      </c>
      <c r="UAN212" s="367" t="s">
        <v>206</v>
      </c>
      <c r="UAO212" s="367"/>
      <c r="UAP212" s="367"/>
      <c r="UAQ212" s="368" t="s">
        <v>168</v>
      </c>
      <c r="UAR212" s="369">
        <v>0.5</v>
      </c>
      <c r="UAS212" s="370" t="e">
        <f>10/UAO210</f>
        <v>#DIV/0!</v>
      </c>
      <c r="UAT212" s="371">
        <v>15.38</v>
      </c>
      <c r="UAU212" s="371" t="e">
        <f>UAR212*UAS212*UAT212</f>
        <v>#DIV/0!</v>
      </c>
      <c r="UAV212" s="367" t="s">
        <v>206</v>
      </c>
      <c r="UAW212" s="367"/>
      <c r="UAX212" s="367"/>
      <c r="UAY212" s="368" t="s">
        <v>168</v>
      </c>
      <c r="UAZ212" s="369">
        <v>0.5</v>
      </c>
      <c r="UBA212" s="370" t="e">
        <f>10/UAW210</f>
        <v>#DIV/0!</v>
      </c>
      <c r="UBB212" s="371">
        <v>15.38</v>
      </c>
      <c r="UBC212" s="371" t="e">
        <f>UAZ212*UBA212*UBB212</f>
        <v>#DIV/0!</v>
      </c>
      <c r="UBD212" s="367" t="s">
        <v>206</v>
      </c>
      <c r="UBE212" s="367"/>
      <c r="UBF212" s="367"/>
      <c r="UBG212" s="368" t="s">
        <v>168</v>
      </c>
      <c r="UBH212" s="369">
        <v>0.5</v>
      </c>
      <c r="UBI212" s="370" t="e">
        <f>10/UBE210</f>
        <v>#DIV/0!</v>
      </c>
      <c r="UBJ212" s="371">
        <v>15.38</v>
      </c>
      <c r="UBK212" s="371" t="e">
        <f>UBH212*UBI212*UBJ212</f>
        <v>#DIV/0!</v>
      </c>
      <c r="UBL212" s="367" t="s">
        <v>206</v>
      </c>
      <c r="UBM212" s="367"/>
      <c r="UBN212" s="367"/>
      <c r="UBO212" s="368" t="s">
        <v>168</v>
      </c>
      <c r="UBP212" s="369">
        <v>0.5</v>
      </c>
      <c r="UBQ212" s="370" t="e">
        <f>10/UBM210</f>
        <v>#DIV/0!</v>
      </c>
      <c r="UBR212" s="371">
        <v>15.38</v>
      </c>
      <c r="UBS212" s="371" t="e">
        <f>UBP212*UBQ212*UBR212</f>
        <v>#DIV/0!</v>
      </c>
      <c r="UBT212" s="367" t="s">
        <v>206</v>
      </c>
      <c r="UBU212" s="367"/>
      <c r="UBV212" s="367"/>
      <c r="UBW212" s="368" t="s">
        <v>168</v>
      </c>
      <c r="UBX212" s="369">
        <v>0.5</v>
      </c>
      <c r="UBY212" s="370" t="e">
        <f>10/UBU210</f>
        <v>#DIV/0!</v>
      </c>
      <c r="UBZ212" s="371">
        <v>15.38</v>
      </c>
      <c r="UCA212" s="371" t="e">
        <f>UBX212*UBY212*UBZ212</f>
        <v>#DIV/0!</v>
      </c>
      <c r="UCB212" s="367" t="s">
        <v>206</v>
      </c>
      <c r="UCC212" s="367"/>
      <c r="UCD212" s="367"/>
      <c r="UCE212" s="368" t="s">
        <v>168</v>
      </c>
      <c r="UCF212" s="369">
        <v>0.5</v>
      </c>
      <c r="UCG212" s="370" t="e">
        <f>10/UCC210</f>
        <v>#DIV/0!</v>
      </c>
      <c r="UCH212" s="371">
        <v>15.38</v>
      </c>
      <c r="UCI212" s="371" t="e">
        <f>UCF212*UCG212*UCH212</f>
        <v>#DIV/0!</v>
      </c>
      <c r="UCJ212" s="367" t="s">
        <v>206</v>
      </c>
      <c r="UCK212" s="367"/>
      <c r="UCL212" s="367"/>
      <c r="UCM212" s="368" t="s">
        <v>168</v>
      </c>
      <c r="UCN212" s="369">
        <v>0.5</v>
      </c>
      <c r="UCO212" s="370" t="e">
        <f>10/UCK210</f>
        <v>#DIV/0!</v>
      </c>
      <c r="UCP212" s="371">
        <v>15.38</v>
      </c>
      <c r="UCQ212" s="371" t="e">
        <f>UCN212*UCO212*UCP212</f>
        <v>#DIV/0!</v>
      </c>
      <c r="UCR212" s="367" t="s">
        <v>206</v>
      </c>
      <c r="UCS212" s="367"/>
      <c r="UCT212" s="367"/>
      <c r="UCU212" s="368" t="s">
        <v>168</v>
      </c>
      <c r="UCV212" s="369">
        <v>0.5</v>
      </c>
      <c r="UCW212" s="370" t="e">
        <f>10/UCS210</f>
        <v>#DIV/0!</v>
      </c>
      <c r="UCX212" s="371">
        <v>15.38</v>
      </c>
      <c r="UCY212" s="371" t="e">
        <f>UCV212*UCW212*UCX212</f>
        <v>#DIV/0!</v>
      </c>
      <c r="UCZ212" s="367" t="s">
        <v>206</v>
      </c>
      <c r="UDA212" s="367"/>
      <c r="UDB212" s="367"/>
      <c r="UDC212" s="368" t="s">
        <v>168</v>
      </c>
      <c r="UDD212" s="369">
        <v>0.5</v>
      </c>
      <c r="UDE212" s="370" t="e">
        <f>10/UDA210</f>
        <v>#DIV/0!</v>
      </c>
      <c r="UDF212" s="371">
        <v>15.38</v>
      </c>
      <c r="UDG212" s="371" t="e">
        <f>UDD212*UDE212*UDF212</f>
        <v>#DIV/0!</v>
      </c>
      <c r="UDH212" s="367" t="s">
        <v>206</v>
      </c>
      <c r="UDI212" s="367"/>
      <c r="UDJ212" s="367"/>
      <c r="UDK212" s="368" t="s">
        <v>168</v>
      </c>
      <c r="UDL212" s="369">
        <v>0.5</v>
      </c>
      <c r="UDM212" s="370" t="e">
        <f>10/UDI210</f>
        <v>#DIV/0!</v>
      </c>
      <c r="UDN212" s="371">
        <v>15.38</v>
      </c>
      <c r="UDO212" s="371" t="e">
        <f>UDL212*UDM212*UDN212</f>
        <v>#DIV/0!</v>
      </c>
      <c r="UDP212" s="367" t="s">
        <v>206</v>
      </c>
      <c r="UDQ212" s="367"/>
      <c r="UDR212" s="367"/>
      <c r="UDS212" s="368" t="s">
        <v>168</v>
      </c>
      <c r="UDT212" s="369">
        <v>0.5</v>
      </c>
      <c r="UDU212" s="370" t="e">
        <f>10/UDQ210</f>
        <v>#DIV/0!</v>
      </c>
      <c r="UDV212" s="371">
        <v>15.38</v>
      </c>
      <c r="UDW212" s="371" t="e">
        <f>UDT212*UDU212*UDV212</f>
        <v>#DIV/0!</v>
      </c>
      <c r="UDX212" s="367" t="s">
        <v>206</v>
      </c>
      <c r="UDY212" s="367"/>
      <c r="UDZ212" s="367"/>
      <c r="UEA212" s="368" t="s">
        <v>168</v>
      </c>
      <c r="UEB212" s="369">
        <v>0.5</v>
      </c>
      <c r="UEC212" s="370" t="e">
        <f>10/UDY210</f>
        <v>#DIV/0!</v>
      </c>
      <c r="UED212" s="371">
        <v>15.38</v>
      </c>
      <c r="UEE212" s="371" t="e">
        <f>UEB212*UEC212*UED212</f>
        <v>#DIV/0!</v>
      </c>
      <c r="UEF212" s="367" t="s">
        <v>206</v>
      </c>
      <c r="UEG212" s="367"/>
      <c r="UEH212" s="367"/>
      <c r="UEI212" s="368" t="s">
        <v>168</v>
      </c>
      <c r="UEJ212" s="369">
        <v>0.5</v>
      </c>
      <c r="UEK212" s="370" t="e">
        <f>10/UEG210</f>
        <v>#DIV/0!</v>
      </c>
      <c r="UEL212" s="371">
        <v>15.38</v>
      </c>
      <c r="UEM212" s="371" t="e">
        <f>UEJ212*UEK212*UEL212</f>
        <v>#DIV/0!</v>
      </c>
      <c r="UEN212" s="367" t="s">
        <v>206</v>
      </c>
      <c r="UEO212" s="367"/>
      <c r="UEP212" s="367"/>
      <c r="UEQ212" s="368" t="s">
        <v>168</v>
      </c>
      <c r="UER212" s="369">
        <v>0.5</v>
      </c>
      <c r="UES212" s="370" t="e">
        <f>10/UEO210</f>
        <v>#DIV/0!</v>
      </c>
      <c r="UET212" s="371">
        <v>15.38</v>
      </c>
      <c r="UEU212" s="371" t="e">
        <f>UER212*UES212*UET212</f>
        <v>#DIV/0!</v>
      </c>
      <c r="UEV212" s="367" t="s">
        <v>206</v>
      </c>
      <c r="UEW212" s="367"/>
      <c r="UEX212" s="367"/>
      <c r="UEY212" s="368" t="s">
        <v>168</v>
      </c>
      <c r="UEZ212" s="369">
        <v>0.5</v>
      </c>
      <c r="UFA212" s="370" t="e">
        <f>10/UEW210</f>
        <v>#DIV/0!</v>
      </c>
      <c r="UFB212" s="371">
        <v>15.38</v>
      </c>
      <c r="UFC212" s="371" t="e">
        <f>UEZ212*UFA212*UFB212</f>
        <v>#DIV/0!</v>
      </c>
      <c r="UFD212" s="367" t="s">
        <v>206</v>
      </c>
      <c r="UFE212" s="367"/>
      <c r="UFF212" s="367"/>
      <c r="UFG212" s="368" t="s">
        <v>168</v>
      </c>
      <c r="UFH212" s="369">
        <v>0.5</v>
      </c>
      <c r="UFI212" s="370" t="e">
        <f>10/UFE210</f>
        <v>#DIV/0!</v>
      </c>
      <c r="UFJ212" s="371">
        <v>15.38</v>
      </c>
      <c r="UFK212" s="371" t="e">
        <f>UFH212*UFI212*UFJ212</f>
        <v>#DIV/0!</v>
      </c>
      <c r="UFL212" s="367" t="s">
        <v>206</v>
      </c>
      <c r="UFM212" s="367"/>
      <c r="UFN212" s="367"/>
      <c r="UFO212" s="368" t="s">
        <v>168</v>
      </c>
      <c r="UFP212" s="369">
        <v>0.5</v>
      </c>
      <c r="UFQ212" s="370" t="e">
        <f>10/UFM210</f>
        <v>#DIV/0!</v>
      </c>
      <c r="UFR212" s="371">
        <v>15.38</v>
      </c>
      <c r="UFS212" s="371" t="e">
        <f>UFP212*UFQ212*UFR212</f>
        <v>#DIV/0!</v>
      </c>
      <c r="UFT212" s="367" t="s">
        <v>206</v>
      </c>
      <c r="UFU212" s="367"/>
      <c r="UFV212" s="367"/>
      <c r="UFW212" s="368" t="s">
        <v>168</v>
      </c>
      <c r="UFX212" s="369">
        <v>0.5</v>
      </c>
      <c r="UFY212" s="370" t="e">
        <f>10/UFU210</f>
        <v>#DIV/0!</v>
      </c>
      <c r="UFZ212" s="371">
        <v>15.38</v>
      </c>
      <c r="UGA212" s="371" t="e">
        <f>UFX212*UFY212*UFZ212</f>
        <v>#DIV/0!</v>
      </c>
      <c r="UGB212" s="367" t="s">
        <v>206</v>
      </c>
      <c r="UGC212" s="367"/>
      <c r="UGD212" s="367"/>
      <c r="UGE212" s="368" t="s">
        <v>168</v>
      </c>
      <c r="UGF212" s="369">
        <v>0.5</v>
      </c>
      <c r="UGG212" s="370" t="e">
        <f>10/UGC210</f>
        <v>#DIV/0!</v>
      </c>
      <c r="UGH212" s="371">
        <v>15.38</v>
      </c>
      <c r="UGI212" s="371" t="e">
        <f>UGF212*UGG212*UGH212</f>
        <v>#DIV/0!</v>
      </c>
      <c r="UGJ212" s="367" t="s">
        <v>206</v>
      </c>
      <c r="UGK212" s="367"/>
      <c r="UGL212" s="367"/>
      <c r="UGM212" s="368" t="s">
        <v>168</v>
      </c>
      <c r="UGN212" s="369">
        <v>0.5</v>
      </c>
      <c r="UGO212" s="370" t="e">
        <f>10/UGK210</f>
        <v>#DIV/0!</v>
      </c>
      <c r="UGP212" s="371">
        <v>15.38</v>
      </c>
      <c r="UGQ212" s="371" t="e">
        <f>UGN212*UGO212*UGP212</f>
        <v>#DIV/0!</v>
      </c>
      <c r="UGR212" s="367" t="s">
        <v>206</v>
      </c>
      <c r="UGS212" s="367"/>
      <c r="UGT212" s="367"/>
      <c r="UGU212" s="368" t="s">
        <v>168</v>
      </c>
      <c r="UGV212" s="369">
        <v>0.5</v>
      </c>
      <c r="UGW212" s="370" t="e">
        <f>10/UGS210</f>
        <v>#DIV/0!</v>
      </c>
      <c r="UGX212" s="371">
        <v>15.38</v>
      </c>
      <c r="UGY212" s="371" t="e">
        <f>UGV212*UGW212*UGX212</f>
        <v>#DIV/0!</v>
      </c>
      <c r="UGZ212" s="367" t="s">
        <v>206</v>
      </c>
      <c r="UHA212" s="367"/>
      <c r="UHB212" s="367"/>
      <c r="UHC212" s="368" t="s">
        <v>168</v>
      </c>
      <c r="UHD212" s="369">
        <v>0.5</v>
      </c>
      <c r="UHE212" s="370" t="e">
        <f>10/UHA210</f>
        <v>#DIV/0!</v>
      </c>
      <c r="UHF212" s="371">
        <v>15.38</v>
      </c>
      <c r="UHG212" s="371" t="e">
        <f>UHD212*UHE212*UHF212</f>
        <v>#DIV/0!</v>
      </c>
      <c r="UHH212" s="367" t="s">
        <v>206</v>
      </c>
      <c r="UHI212" s="367"/>
      <c r="UHJ212" s="367"/>
      <c r="UHK212" s="368" t="s">
        <v>168</v>
      </c>
      <c r="UHL212" s="369">
        <v>0.5</v>
      </c>
      <c r="UHM212" s="370" t="e">
        <f>10/UHI210</f>
        <v>#DIV/0!</v>
      </c>
      <c r="UHN212" s="371">
        <v>15.38</v>
      </c>
      <c r="UHO212" s="371" t="e">
        <f>UHL212*UHM212*UHN212</f>
        <v>#DIV/0!</v>
      </c>
      <c r="UHP212" s="367" t="s">
        <v>206</v>
      </c>
      <c r="UHQ212" s="367"/>
      <c r="UHR212" s="367"/>
      <c r="UHS212" s="368" t="s">
        <v>168</v>
      </c>
      <c r="UHT212" s="369">
        <v>0.5</v>
      </c>
      <c r="UHU212" s="370" t="e">
        <f>10/UHQ210</f>
        <v>#DIV/0!</v>
      </c>
      <c r="UHV212" s="371">
        <v>15.38</v>
      </c>
      <c r="UHW212" s="371" t="e">
        <f>UHT212*UHU212*UHV212</f>
        <v>#DIV/0!</v>
      </c>
      <c r="UHX212" s="367" t="s">
        <v>206</v>
      </c>
      <c r="UHY212" s="367"/>
      <c r="UHZ212" s="367"/>
      <c r="UIA212" s="368" t="s">
        <v>168</v>
      </c>
      <c r="UIB212" s="369">
        <v>0.5</v>
      </c>
      <c r="UIC212" s="370" t="e">
        <f>10/UHY210</f>
        <v>#DIV/0!</v>
      </c>
      <c r="UID212" s="371">
        <v>15.38</v>
      </c>
      <c r="UIE212" s="371" t="e">
        <f>UIB212*UIC212*UID212</f>
        <v>#DIV/0!</v>
      </c>
      <c r="UIF212" s="367" t="s">
        <v>206</v>
      </c>
      <c r="UIG212" s="367"/>
      <c r="UIH212" s="367"/>
      <c r="UII212" s="368" t="s">
        <v>168</v>
      </c>
      <c r="UIJ212" s="369">
        <v>0.5</v>
      </c>
      <c r="UIK212" s="370" t="e">
        <f>10/UIG210</f>
        <v>#DIV/0!</v>
      </c>
      <c r="UIL212" s="371">
        <v>15.38</v>
      </c>
      <c r="UIM212" s="371" t="e">
        <f>UIJ212*UIK212*UIL212</f>
        <v>#DIV/0!</v>
      </c>
      <c r="UIN212" s="367" t="s">
        <v>206</v>
      </c>
      <c r="UIO212" s="367"/>
      <c r="UIP212" s="367"/>
      <c r="UIQ212" s="368" t="s">
        <v>168</v>
      </c>
      <c r="UIR212" s="369">
        <v>0.5</v>
      </c>
      <c r="UIS212" s="370" t="e">
        <f>10/UIO210</f>
        <v>#DIV/0!</v>
      </c>
      <c r="UIT212" s="371">
        <v>15.38</v>
      </c>
      <c r="UIU212" s="371" t="e">
        <f>UIR212*UIS212*UIT212</f>
        <v>#DIV/0!</v>
      </c>
      <c r="UIV212" s="367" t="s">
        <v>206</v>
      </c>
      <c r="UIW212" s="367"/>
      <c r="UIX212" s="367"/>
      <c r="UIY212" s="368" t="s">
        <v>168</v>
      </c>
      <c r="UIZ212" s="369">
        <v>0.5</v>
      </c>
      <c r="UJA212" s="370" t="e">
        <f>10/UIW210</f>
        <v>#DIV/0!</v>
      </c>
      <c r="UJB212" s="371">
        <v>15.38</v>
      </c>
      <c r="UJC212" s="371" t="e">
        <f>UIZ212*UJA212*UJB212</f>
        <v>#DIV/0!</v>
      </c>
      <c r="UJD212" s="367" t="s">
        <v>206</v>
      </c>
      <c r="UJE212" s="367"/>
      <c r="UJF212" s="367"/>
      <c r="UJG212" s="368" t="s">
        <v>168</v>
      </c>
      <c r="UJH212" s="369">
        <v>0.5</v>
      </c>
      <c r="UJI212" s="370" t="e">
        <f>10/UJE210</f>
        <v>#DIV/0!</v>
      </c>
      <c r="UJJ212" s="371">
        <v>15.38</v>
      </c>
      <c r="UJK212" s="371" t="e">
        <f>UJH212*UJI212*UJJ212</f>
        <v>#DIV/0!</v>
      </c>
      <c r="UJL212" s="367" t="s">
        <v>206</v>
      </c>
      <c r="UJM212" s="367"/>
      <c r="UJN212" s="367"/>
      <c r="UJO212" s="368" t="s">
        <v>168</v>
      </c>
      <c r="UJP212" s="369">
        <v>0.5</v>
      </c>
      <c r="UJQ212" s="370" t="e">
        <f>10/UJM210</f>
        <v>#DIV/0!</v>
      </c>
      <c r="UJR212" s="371">
        <v>15.38</v>
      </c>
      <c r="UJS212" s="371" t="e">
        <f>UJP212*UJQ212*UJR212</f>
        <v>#DIV/0!</v>
      </c>
      <c r="UJT212" s="367" t="s">
        <v>206</v>
      </c>
      <c r="UJU212" s="367"/>
      <c r="UJV212" s="367"/>
      <c r="UJW212" s="368" t="s">
        <v>168</v>
      </c>
      <c r="UJX212" s="369">
        <v>0.5</v>
      </c>
      <c r="UJY212" s="370" t="e">
        <f>10/UJU210</f>
        <v>#DIV/0!</v>
      </c>
      <c r="UJZ212" s="371">
        <v>15.38</v>
      </c>
      <c r="UKA212" s="371" t="e">
        <f>UJX212*UJY212*UJZ212</f>
        <v>#DIV/0!</v>
      </c>
      <c r="UKB212" s="367" t="s">
        <v>206</v>
      </c>
      <c r="UKC212" s="367"/>
      <c r="UKD212" s="367"/>
      <c r="UKE212" s="368" t="s">
        <v>168</v>
      </c>
      <c r="UKF212" s="369">
        <v>0.5</v>
      </c>
      <c r="UKG212" s="370" t="e">
        <f>10/UKC210</f>
        <v>#DIV/0!</v>
      </c>
      <c r="UKH212" s="371">
        <v>15.38</v>
      </c>
      <c r="UKI212" s="371" t="e">
        <f>UKF212*UKG212*UKH212</f>
        <v>#DIV/0!</v>
      </c>
      <c r="UKJ212" s="367" t="s">
        <v>206</v>
      </c>
      <c r="UKK212" s="367"/>
      <c r="UKL212" s="367"/>
      <c r="UKM212" s="368" t="s">
        <v>168</v>
      </c>
      <c r="UKN212" s="369">
        <v>0.5</v>
      </c>
      <c r="UKO212" s="370" t="e">
        <f>10/UKK210</f>
        <v>#DIV/0!</v>
      </c>
      <c r="UKP212" s="371">
        <v>15.38</v>
      </c>
      <c r="UKQ212" s="371" t="e">
        <f>UKN212*UKO212*UKP212</f>
        <v>#DIV/0!</v>
      </c>
      <c r="UKR212" s="367" t="s">
        <v>206</v>
      </c>
      <c r="UKS212" s="367"/>
      <c r="UKT212" s="367"/>
      <c r="UKU212" s="368" t="s">
        <v>168</v>
      </c>
      <c r="UKV212" s="369">
        <v>0.5</v>
      </c>
      <c r="UKW212" s="370" t="e">
        <f>10/UKS210</f>
        <v>#DIV/0!</v>
      </c>
      <c r="UKX212" s="371">
        <v>15.38</v>
      </c>
      <c r="UKY212" s="371" t="e">
        <f>UKV212*UKW212*UKX212</f>
        <v>#DIV/0!</v>
      </c>
      <c r="UKZ212" s="367" t="s">
        <v>206</v>
      </c>
      <c r="ULA212" s="367"/>
      <c r="ULB212" s="367"/>
      <c r="ULC212" s="368" t="s">
        <v>168</v>
      </c>
      <c r="ULD212" s="369">
        <v>0.5</v>
      </c>
      <c r="ULE212" s="370" t="e">
        <f>10/ULA210</f>
        <v>#DIV/0!</v>
      </c>
      <c r="ULF212" s="371">
        <v>15.38</v>
      </c>
      <c r="ULG212" s="371" t="e">
        <f>ULD212*ULE212*ULF212</f>
        <v>#DIV/0!</v>
      </c>
      <c r="ULH212" s="367" t="s">
        <v>206</v>
      </c>
      <c r="ULI212" s="367"/>
      <c r="ULJ212" s="367"/>
      <c r="ULK212" s="368" t="s">
        <v>168</v>
      </c>
      <c r="ULL212" s="369">
        <v>0.5</v>
      </c>
      <c r="ULM212" s="370" t="e">
        <f>10/ULI210</f>
        <v>#DIV/0!</v>
      </c>
      <c r="ULN212" s="371">
        <v>15.38</v>
      </c>
      <c r="ULO212" s="371" t="e">
        <f>ULL212*ULM212*ULN212</f>
        <v>#DIV/0!</v>
      </c>
      <c r="ULP212" s="367" t="s">
        <v>206</v>
      </c>
      <c r="ULQ212" s="367"/>
      <c r="ULR212" s="367"/>
      <c r="ULS212" s="368" t="s">
        <v>168</v>
      </c>
      <c r="ULT212" s="369">
        <v>0.5</v>
      </c>
      <c r="ULU212" s="370" t="e">
        <f>10/ULQ210</f>
        <v>#DIV/0!</v>
      </c>
      <c r="ULV212" s="371">
        <v>15.38</v>
      </c>
      <c r="ULW212" s="371" t="e">
        <f>ULT212*ULU212*ULV212</f>
        <v>#DIV/0!</v>
      </c>
      <c r="ULX212" s="367" t="s">
        <v>206</v>
      </c>
      <c r="ULY212" s="367"/>
      <c r="ULZ212" s="367"/>
      <c r="UMA212" s="368" t="s">
        <v>168</v>
      </c>
      <c r="UMB212" s="369">
        <v>0.5</v>
      </c>
      <c r="UMC212" s="370" t="e">
        <f>10/ULY210</f>
        <v>#DIV/0!</v>
      </c>
      <c r="UMD212" s="371">
        <v>15.38</v>
      </c>
      <c r="UME212" s="371" t="e">
        <f>UMB212*UMC212*UMD212</f>
        <v>#DIV/0!</v>
      </c>
      <c r="UMF212" s="367" t="s">
        <v>206</v>
      </c>
      <c r="UMG212" s="367"/>
      <c r="UMH212" s="367"/>
      <c r="UMI212" s="368" t="s">
        <v>168</v>
      </c>
      <c r="UMJ212" s="369">
        <v>0.5</v>
      </c>
      <c r="UMK212" s="370" t="e">
        <f>10/UMG210</f>
        <v>#DIV/0!</v>
      </c>
      <c r="UML212" s="371">
        <v>15.38</v>
      </c>
      <c r="UMM212" s="371" t="e">
        <f>UMJ212*UMK212*UML212</f>
        <v>#DIV/0!</v>
      </c>
      <c r="UMN212" s="367" t="s">
        <v>206</v>
      </c>
      <c r="UMO212" s="367"/>
      <c r="UMP212" s="367"/>
      <c r="UMQ212" s="368" t="s">
        <v>168</v>
      </c>
      <c r="UMR212" s="369">
        <v>0.5</v>
      </c>
      <c r="UMS212" s="370" t="e">
        <f>10/UMO210</f>
        <v>#DIV/0!</v>
      </c>
      <c r="UMT212" s="371">
        <v>15.38</v>
      </c>
      <c r="UMU212" s="371" t="e">
        <f>UMR212*UMS212*UMT212</f>
        <v>#DIV/0!</v>
      </c>
      <c r="UMV212" s="367" t="s">
        <v>206</v>
      </c>
      <c r="UMW212" s="367"/>
      <c r="UMX212" s="367"/>
      <c r="UMY212" s="368" t="s">
        <v>168</v>
      </c>
      <c r="UMZ212" s="369">
        <v>0.5</v>
      </c>
      <c r="UNA212" s="370" t="e">
        <f>10/UMW210</f>
        <v>#DIV/0!</v>
      </c>
      <c r="UNB212" s="371">
        <v>15.38</v>
      </c>
      <c r="UNC212" s="371" t="e">
        <f>UMZ212*UNA212*UNB212</f>
        <v>#DIV/0!</v>
      </c>
      <c r="UND212" s="367" t="s">
        <v>206</v>
      </c>
      <c r="UNE212" s="367"/>
      <c r="UNF212" s="367"/>
      <c r="UNG212" s="368" t="s">
        <v>168</v>
      </c>
      <c r="UNH212" s="369">
        <v>0.5</v>
      </c>
      <c r="UNI212" s="370" t="e">
        <f>10/UNE210</f>
        <v>#DIV/0!</v>
      </c>
      <c r="UNJ212" s="371">
        <v>15.38</v>
      </c>
      <c r="UNK212" s="371" t="e">
        <f>UNH212*UNI212*UNJ212</f>
        <v>#DIV/0!</v>
      </c>
      <c r="UNL212" s="367" t="s">
        <v>206</v>
      </c>
      <c r="UNM212" s="367"/>
      <c r="UNN212" s="367"/>
      <c r="UNO212" s="368" t="s">
        <v>168</v>
      </c>
      <c r="UNP212" s="369">
        <v>0.5</v>
      </c>
      <c r="UNQ212" s="370" t="e">
        <f>10/UNM210</f>
        <v>#DIV/0!</v>
      </c>
      <c r="UNR212" s="371">
        <v>15.38</v>
      </c>
      <c r="UNS212" s="371" t="e">
        <f>UNP212*UNQ212*UNR212</f>
        <v>#DIV/0!</v>
      </c>
      <c r="UNT212" s="367" t="s">
        <v>206</v>
      </c>
      <c r="UNU212" s="367"/>
      <c r="UNV212" s="367"/>
      <c r="UNW212" s="368" t="s">
        <v>168</v>
      </c>
      <c r="UNX212" s="369">
        <v>0.5</v>
      </c>
      <c r="UNY212" s="370" t="e">
        <f>10/UNU210</f>
        <v>#DIV/0!</v>
      </c>
      <c r="UNZ212" s="371">
        <v>15.38</v>
      </c>
      <c r="UOA212" s="371" t="e">
        <f>UNX212*UNY212*UNZ212</f>
        <v>#DIV/0!</v>
      </c>
      <c r="UOB212" s="367" t="s">
        <v>206</v>
      </c>
      <c r="UOC212" s="367"/>
      <c r="UOD212" s="367"/>
      <c r="UOE212" s="368" t="s">
        <v>168</v>
      </c>
      <c r="UOF212" s="369">
        <v>0.5</v>
      </c>
      <c r="UOG212" s="370" t="e">
        <f>10/UOC210</f>
        <v>#DIV/0!</v>
      </c>
      <c r="UOH212" s="371">
        <v>15.38</v>
      </c>
      <c r="UOI212" s="371" t="e">
        <f>UOF212*UOG212*UOH212</f>
        <v>#DIV/0!</v>
      </c>
      <c r="UOJ212" s="367" t="s">
        <v>206</v>
      </c>
      <c r="UOK212" s="367"/>
      <c r="UOL212" s="367"/>
      <c r="UOM212" s="368" t="s">
        <v>168</v>
      </c>
      <c r="UON212" s="369">
        <v>0.5</v>
      </c>
      <c r="UOO212" s="370" t="e">
        <f>10/UOK210</f>
        <v>#DIV/0!</v>
      </c>
      <c r="UOP212" s="371">
        <v>15.38</v>
      </c>
      <c r="UOQ212" s="371" t="e">
        <f>UON212*UOO212*UOP212</f>
        <v>#DIV/0!</v>
      </c>
      <c r="UOR212" s="367" t="s">
        <v>206</v>
      </c>
      <c r="UOS212" s="367"/>
      <c r="UOT212" s="367"/>
      <c r="UOU212" s="368" t="s">
        <v>168</v>
      </c>
      <c r="UOV212" s="369">
        <v>0.5</v>
      </c>
      <c r="UOW212" s="370" t="e">
        <f>10/UOS210</f>
        <v>#DIV/0!</v>
      </c>
      <c r="UOX212" s="371">
        <v>15.38</v>
      </c>
      <c r="UOY212" s="371" t="e">
        <f>UOV212*UOW212*UOX212</f>
        <v>#DIV/0!</v>
      </c>
      <c r="UOZ212" s="367" t="s">
        <v>206</v>
      </c>
      <c r="UPA212" s="367"/>
      <c r="UPB212" s="367"/>
      <c r="UPC212" s="368" t="s">
        <v>168</v>
      </c>
      <c r="UPD212" s="369">
        <v>0.5</v>
      </c>
      <c r="UPE212" s="370" t="e">
        <f>10/UPA210</f>
        <v>#DIV/0!</v>
      </c>
      <c r="UPF212" s="371">
        <v>15.38</v>
      </c>
      <c r="UPG212" s="371" t="e">
        <f>UPD212*UPE212*UPF212</f>
        <v>#DIV/0!</v>
      </c>
      <c r="UPH212" s="367" t="s">
        <v>206</v>
      </c>
      <c r="UPI212" s="367"/>
      <c r="UPJ212" s="367"/>
      <c r="UPK212" s="368" t="s">
        <v>168</v>
      </c>
      <c r="UPL212" s="369">
        <v>0.5</v>
      </c>
      <c r="UPM212" s="370" t="e">
        <f>10/UPI210</f>
        <v>#DIV/0!</v>
      </c>
      <c r="UPN212" s="371">
        <v>15.38</v>
      </c>
      <c r="UPO212" s="371" t="e">
        <f>UPL212*UPM212*UPN212</f>
        <v>#DIV/0!</v>
      </c>
      <c r="UPP212" s="367" t="s">
        <v>206</v>
      </c>
      <c r="UPQ212" s="367"/>
      <c r="UPR212" s="367"/>
      <c r="UPS212" s="368" t="s">
        <v>168</v>
      </c>
      <c r="UPT212" s="369">
        <v>0.5</v>
      </c>
      <c r="UPU212" s="370" t="e">
        <f>10/UPQ210</f>
        <v>#DIV/0!</v>
      </c>
      <c r="UPV212" s="371">
        <v>15.38</v>
      </c>
      <c r="UPW212" s="371" t="e">
        <f>UPT212*UPU212*UPV212</f>
        <v>#DIV/0!</v>
      </c>
      <c r="UPX212" s="367" t="s">
        <v>206</v>
      </c>
      <c r="UPY212" s="367"/>
      <c r="UPZ212" s="367"/>
      <c r="UQA212" s="368" t="s">
        <v>168</v>
      </c>
      <c r="UQB212" s="369">
        <v>0.5</v>
      </c>
      <c r="UQC212" s="370" t="e">
        <f>10/UPY210</f>
        <v>#DIV/0!</v>
      </c>
      <c r="UQD212" s="371">
        <v>15.38</v>
      </c>
      <c r="UQE212" s="371" t="e">
        <f>UQB212*UQC212*UQD212</f>
        <v>#DIV/0!</v>
      </c>
      <c r="UQF212" s="367" t="s">
        <v>206</v>
      </c>
      <c r="UQG212" s="367"/>
      <c r="UQH212" s="367"/>
      <c r="UQI212" s="368" t="s">
        <v>168</v>
      </c>
      <c r="UQJ212" s="369">
        <v>0.5</v>
      </c>
      <c r="UQK212" s="370" t="e">
        <f>10/UQG210</f>
        <v>#DIV/0!</v>
      </c>
      <c r="UQL212" s="371">
        <v>15.38</v>
      </c>
      <c r="UQM212" s="371" t="e">
        <f>UQJ212*UQK212*UQL212</f>
        <v>#DIV/0!</v>
      </c>
      <c r="UQN212" s="367" t="s">
        <v>206</v>
      </c>
      <c r="UQO212" s="367"/>
      <c r="UQP212" s="367"/>
      <c r="UQQ212" s="368" t="s">
        <v>168</v>
      </c>
      <c r="UQR212" s="369">
        <v>0.5</v>
      </c>
      <c r="UQS212" s="370" t="e">
        <f>10/UQO210</f>
        <v>#DIV/0!</v>
      </c>
      <c r="UQT212" s="371">
        <v>15.38</v>
      </c>
      <c r="UQU212" s="371" t="e">
        <f>UQR212*UQS212*UQT212</f>
        <v>#DIV/0!</v>
      </c>
      <c r="UQV212" s="367" t="s">
        <v>206</v>
      </c>
      <c r="UQW212" s="367"/>
      <c r="UQX212" s="367"/>
      <c r="UQY212" s="368" t="s">
        <v>168</v>
      </c>
      <c r="UQZ212" s="369">
        <v>0.5</v>
      </c>
      <c r="URA212" s="370" t="e">
        <f>10/UQW210</f>
        <v>#DIV/0!</v>
      </c>
      <c r="URB212" s="371">
        <v>15.38</v>
      </c>
      <c r="URC212" s="371" t="e">
        <f>UQZ212*URA212*URB212</f>
        <v>#DIV/0!</v>
      </c>
      <c r="URD212" s="367" t="s">
        <v>206</v>
      </c>
      <c r="URE212" s="367"/>
      <c r="URF212" s="367"/>
      <c r="URG212" s="368" t="s">
        <v>168</v>
      </c>
      <c r="URH212" s="369">
        <v>0.5</v>
      </c>
      <c r="URI212" s="370" t="e">
        <f>10/URE210</f>
        <v>#DIV/0!</v>
      </c>
      <c r="URJ212" s="371">
        <v>15.38</v>
      </c>
      <c r="URK212" s="371" t="e">
        <f>URH212*URI212*URJ212</f>
        <v>#DIV/0!</v>
      </c>
      <c r="URL212" s="367" t="s">
        <v>206</v>
      </c>
      <c r="URM212" s="367"/>
      <c r="URN212" s="367"/>
      <c r="URO212" s="368" t="s">
        <v>168</v>
      </c>
      <c r="URP212" s="369">
        <v>0.5</v>
      </c>
      <c r="URQ212" s="370" t="e">
        <f>10/URM210</f>
        <v>#DIV/0!</v>
      </c>
      <c r="URR212" s="371">
        <v>15.38</v>
      </c>
      <c r="URS212" s="371" t="e">
        <f>URP212*URQ212*URR212</f>
        <v>#DIV/0!</v>
      </c>
      <c r="URT212" s="367" t="s">
        <v>206</v>
      </c>
      <c r="URU212" s="367"/>
      <c r="URV212" s="367"/>
      <c r="URW212" s="368" t="s">
        <v>168</v>
      </c>
      <c r="URX212" s="369">
        <v>0.5</v>
      </c>
      <c r="URY212" s="370" t="e">
        <f>10/URU210</f>
        <v>#DIV/0!</v>
      </c>
      <c r="URZ212" s="371">
        <v>15.38</v>
      </c>
      <c r="USA212" s="371" t="e">
        <f>URX212*URY212*URZ212</f>
        <v>#DIV/0!</v>
      </c>
      <c r="USB212" s="367" t="s">
        <v>206</v>
      </c>
      <c r="USC212" s="367"/>
      <c r="USD212" s="367"/>
      <c r="USE212" s="368" t="s">
        <v>168</v>
      </c>
      <c r="USF212" s="369">
        <v>0.5</v>
      </c>
      <c r="USG212" s="370" t="e">
        <f>10/USC210</f>
        <v>#DIV/0!</v>
      </c>
      <c r="USH212" s="371">
        <v>15.38</v>
      </c>
      <c r="USI212" s="371" t="e">
        <f>USF212*USG212*USH212</f>
        <v>#DIV/0!</v>
      </c>
      <c r="USJ212" s="367" t="s">
        <v>206</v>
      </c>
      <c r="USK212" s="367"/>
      <c r="USL212" s="367"/>
      <c r="USM212" s="368" t="s">
        <v>168</v>
      </c>
      <c r="USN212" s="369">
        <v>0.5</v>
      </c>
      <c r="USO212" s="370" t="e">
        <f>10/USK210</f>
        <v>#DIV/0!</v>
      </c>
      <c r="USP212" s="371">
        <v>15.38</v>
      </c>
      <c r="USQ212" s="371" t="e">
        <f>USN212*USO212*USP212</f>
        <v>#DIV/0!</v>
      </c>
      <c r="USR212" s="367" t="s">
        <v>206</v>
      </c>
      <c r="USS212" s="367"/>
      <c r="UST212" s="367"/>
      <c r="USU212" s="368" t="s">
        <v>168</v>
      </c>
      <c r="USV212" s="369">
        <v>0.5</v>
      </c>
      <c r="USW212" s="370" t="e">
        <f>10/USS210</f>
        <v>#DIV/0!</v>
      </c>
      <c r="USX212" s="371">
        <v>15.38</v>
      </c>
      <c r="USY212" s="371" t="e">
        <f>USV212*USW212*USX212</f>
        <v>#DIV/0!</v>
      </c>
      <c r="USZ212" s="367" t="s">
        <v>206</v>
      </c>
      <c r="UTA212" s="367"/>
      <c r="UTB212" s="367"/>
      <c r="UTC212" s="368" t="s">
        <v>168</v>
      </c>
      <c r="UTD212" s="369">
        <v>0.5</v>
      </c>
      <c r="UTE212" s="370" t="e">
        <f>10/UTA210</f>
        <v>#DIV/0!</v>
      </c>
      <c r="UTF212" s="371">
        <v>15.38</v>
      </c>
      <c r="UTG212" s="371" t="e">
        <f>UTD212*UTE212*UTF212</f>
        <v>#DIV/0!</v>
      </c>
      <c r="UTH212" s="367" t="s">
        <v>206</v>
      </c>
      <c r="UTI212" s="367"/>
      <c r="UTJ212" s="367"/>
      <c r="UTK212" s="368" t="s">
        <v>168</v>
      </c>
      <c r="UTL212" s="369">
        <v>0.5</v>
      </c>
      <c r="UTM212" s="370" t="e">
        <f>10/UTI210</f>
        <v>#DIV/0!</v>
      </c>
      <c r="UTN212" s="371">
        <v>15.38</v>
      </c>
      <c r="UTO212" s="371" t="e">
        <f>UTL212*UTM212*UTN212</f>
        <v>#DIV/0!</v>
      </c>
      <c r="UTP212" s="367" t="s">
        <v>206</v>
      </c>
      <c r="UTQ212" s="367"/>
      <c r="UTR212" s="367"/>
      <c r="UTS212" s="368" t="s">
        <v>168</v>
      </c>
      <c r="UTT212" s="369">
        <v>0.5</v>
      </c>
      <c r="UTU212" s="370" t="e">
        <f>10/UTQ210</f>
        <v>#DIV/0!</v>
      </c>
      <c r="UTV212" s="371">
        <v>15.38</v>
      </c>
      <c r="UTW212" s="371" t="e">
        <f>UTT212*UTU212*UTV212</f>
        <v>#DIV/0!</v>
      </c>
      <c r="UTX212" s="367" t="s">
        <v>206</v>
      </c>
      <c r="UTY212" s="367"/>
      <c r="UTZ212" s="367"/>
      <c r="UUA212" s="368" t="s">
        <v>168</v>
      </c>
      <c r="UUB212" s="369">
        <v>0.5</v>
      </c>
      <c r="UUC212" s="370" t="e">
        <f>10/UTY210</f>
        <v>#DIV/0!</v>
      </c>
      <c r="UUD212" s="371">
        <v>15.38</v>
      </c>
      <c r="UUE212" s="371" t="e">
        <f>UUB212*UUC212*UUD212</f>
        <v>#DIV/0!</v>
      </c>
      <c r="UUF212" s="367" t="s">
        <v>206</v>
      </c>
      <c r="UUG212" s="367"/>
      <c r="UUH212" s="367"/>
      <c r="UUI212" s="368" t="s">
        <v>168</v>
      </c>
      <c r="UUJ212" s="369">
        <v>0.5</v>
      </c>
      <c r="UUK212" s="370" t="e">
        <f>10/UUG210</f>
        <v>#DIV/0!</v>
      </c>
      <c r="UUL212" s="371">
        <v>15.38</v>
      </c>
      <c r="UUM212" s="371" t="e">
        <f>UUJ212*UUK212*UUL212</f>
        <v>#DIV/0!</v>
      </c>
      <c r="UUN212" s="367" t="s">
        <v>206</v>
      </c>
      <c r="UUO212" s="367"/>
      <c r="UUP212" s="367"/>
      <c r="UUQ212" s="368" t="s">
        <v>168</v>
      </c>
      <c r="UUR212" s="369">
        <v>0.5</v>
      </c>
      <c r="UUS212" s="370" t="e">
        <f>10/UUO210</f>
        <v>#DIV/0!</v>
      </c>
      <c r="UUT212" s="371">
        <v>15.38</v>
      </c>
      <c r="UUU212" s="371" t="e">
        <f>UUR212*UUS212*UUT212</f>
        <v>#DIV/0!</v>
      </c>
      <c r="UUV212" s="367" t="s">
        <v>206</v>
      </c>
      <c r="UUW212" s="367"/>
      <c r="UUX212" s="367"/>
      <c r="UUY212" s="368" t="s">
        <v>168</v>
      </c>
      <c r="UUZ212" s="369">
        <v>0.5</v>
      </c>
      <c r="UVA212" s="370" t="e">
        <f>10/UUW210</f>
        <v>#DIV/0!</v>
      </c>
      <c r="UVB212" s="371">
        <v>15.38</v>
      </c>
      <c r="UVC212" s="371" t="e">
        <f>UUZ212*UVA212*UVB212</f>
        <v>#DIV/0!</v>
      </c>
      <c r="UVD212" s="367" t="s">
        <v>206</v>
      </c>
      <c r="UVE212" s="367"/>
      <c r="UVF212" s="367"/>
      <c r="UVG212" s="368" t="s">
        <v>168</v>
      </c>
      <c r="UVH212" s="369">
        <v>0.5</v>
      </c>
      <c r="UVI212" s="370" t="e">
        <f>10/UVE210</f>
        <v>#DIV/0!</v>
      </c>
      <c r="UVJ212" s="371">
        <v>15.38</v>
      </c>
      <c r="UVK212" s="371" t="e">
        <f>UVH212*UVI212*UVJ212</f>
        <v>#DIV/0!</v>
      </c>
      <c r="UVL212" s="367" t="s">
        <v>206</v>
      </c>
      <c r="UVM212" s="367"/>
      <c r="UVN212" s="367"/>
      <c r="UVO212" s="368" t="s">
        <v>168</v>
      </c>
      <c r="UVP212" s="369">
        <v>0.5</v>
      </c>
      <c r="UVQ212" s="370" t="e">
        <f>10/UVM210</f>
        <v>#DIV/0!</v>
      </c>
      <c r="UVR212" s="371">
        <v>15.38</v>
      </c>
      <c r="UVS212" s="371" t="e">
        <f>UVP212*UVQ212*UVR212</f>
        <v>#DIV/0!</v>
      </c>
      <c r="UVT212" s="367" t="s">
        <v>206</v>
      </c>
      <c r="UVU212" s="367"/>
      <c r="UVV212" s="367"/>
      <c r="UVW212" s="368" t="s">
        <v>168</v>
      </c>
      <c r="UVX212" s="369">
        <v>0.5</v>
      </c>
      <c r="UVY212" s="370" t="e">
        <f>10/UVU210</f>
        <v>#DIV/0!</v>
      </c>
      <c r="UVZ212" s="371">
        <v>15.38</v>
      </c>
      <c r="UWA212" s="371" t="e">
        <f>UVX212*UVY212*UVZ212</f>
        <v>#DIV/0!</v>
      </c>
      <c r="UWB212" s="367" t="s">
        <v>206</v>
      </c>
      <c r="UWC212" s="367"/>
      <c r="UWD212" s="367"/>
      <c r="UWE212" s="368" t="s">
        <v>168</v>
      </c>
      <c r="UWF212" s="369">
        <v>0.5</v>
      </c>
      <c r="UWG212" s="370" t="e">
        <f>10/UWC210</f>
        <v>#DIV/0!</v>
      </c>
      <c r="UWH212" s="371">
        <v>15.38</v>
      </c>
      <c r="UWI212" s="371" t="e">
        <f>UWF212*UWG212*UWH212</f>
        <v>#DIV/0!</v>
      </c>
      <c r="UWJ212" s="367" t="s">
        <v>206</v>
      </c>
      <c r="UWK212" s="367"/>
      <c r="UWL212" s="367"/>
      <c r="UWM212" s="368" t="s">
        <v>168</v>
      </c>
      <c r="UWN212" s="369">
        <v>0.5</v>
      </c>
      <c r="UWO212" s="370" t="e">
        <f>10/UWK210</f>
        <v>#DIV/0!</v>
      </c>
      <c r="UWP212" s="371">
        <v>15.38</v>
      </c>
      <c r="UWQ212" s="371" t="e">
        <f>UWN212*UWO212*UWP212</f>
        <v>#DIV/0!</v>
      </c>
      <c r="UWR212" s="367" t="s">
        <v>206</v>
      </c>
      <c r="UWS212" s="367"/>
      <c r="UWT212" s="367"/>
      <c r="UWU212" s="368" t="s">
        <v>168</v>
      </c>
      <c r="UWV212" s="369">
        <v>0.5</v>
      </c>
      <c r="UWW212" s="370" t="e">
        <f>10/UWS210</f>
        <v>#DIV/0!</v>
      </c>
      <c r="UWX212" s="371">
        <v>15.38</v>
      </c>
      <c r="UWY212" s="371" t="e">
        <f>UWV212*UWW212*UWX212</f>
        <v>#DIV/0!</v>
      </c>
      <c r="UWZ212" s="367" t="s">
        <v>206</v>
      </c>
      <c r="UXA212" s="367"/>
      <c r="UXB212" s="367"/>
      <c r="UXC212" s="368" t="s">
        <v>168</v>
      </c>
      <c r="UXD212" s="369">
        <v>0.5</v>
      </c>
      <c r="UXE212" s="370" t="e">
        <f>10/UXA210</f>
        <v>#DIV/0!</v>
      </c>
      <c r="UXF212" s="371">
        <v>15.38</v>
      </c>
      <c r="UXG212" s="371" t="e">
        <f>UXD212*UXE212*UXF212</f>
        <v>#DIV/0!</v>
      </c>
      <c r="UXH212" s="367" t="s">
        <v>206</v>
      </c>
      <c r="UXI212" s="367"/>
      <c r="UXJ212" s="367"/>
      <c r="UXK212" s="368" t="s">
        <v>168</v>
      </c>
      <c r="UXL212" s="369">
        <v>0.5</v>
      </c>
      <c r="UXM212" s="370" t="e">
        <f>10/UXI210</f>
        <v>#DIV/0!</v>
      </c>
      <c r="UXN212" s="371">
        <v>15.38</v>
      </c>
      <c r="UXO212" s="371" t="e">
        <f>UXL212*UXM212*UXN212</f>
        <v>#DIV/0!</v>
      </c>
      <c r="UXP212" s="367" t="s">
        <v>206</v>
      </c>
      <c r="UXQ212" s="367"/>
      <c r="UXR212" s="367"/>
      <c r="UXS212" s="368" t="s">
        <v>168</v>
      </c>
      <c r="UXT212" s="369">
        <v>0.5</v>
      </c>
      <c r="UXU212" s="370" t="e">
        <f>10/UXQ210</f>
        <v>#DIV/0!</v>
      </c>
      <c r="UXV212" s="371">
        <v>15.38</v>
      </c>
      <c r="UXW212" s="371" t="e">
        <f>UXT212*UXU212*UXV212</f>
        <v>#DIV/0!</v>
      </c>
      <c r="UXX212" s="367" t="s">
        <v>206</v>
      </c>
      <c r="UXY212" s="367"/>
      <c r="UXZ212" s="367"/>
      <c r="UYA212" s="368" t="s">
        <v>168</v>
      </c>
      <c r="UYB212" s="369">
        <v>0.5</v>
      </c>
      <c r="UYC212" s="370" t="e">
        <f>10/UXY210</f>
        <v>#DIV/0!</v>
      </c>
      <c r="UYD212" s="371">
        <v>15.38</v>
      </c>
      <c r="UYE212" s="371" t="e">
        <f>UYB212*UYC212*UYD212</f>
        <v>#DIV/0!</v>
      </c>
      <c r="UYF212" s="367" t="s">
        <v>206</v>
      </c>
      <c r="UYG212" s="367"/>
      <c r="UYH212" s="367"/>
      <c r="UYI212" s="368" t="s">
        <v>168</v>
      </c>
      <c r="UYJ212" s="369">
        <v>0.5</v>
      </c>
      <c r="UYK212" s="370" t="e">
        <f>10/UYG210</f>
        <v>#DIV/0!</v>
      </c>
      <c r="UYL212" s="371">
        <v>15.38</v>
      </c>
      <c r="UYM212" s="371" t="e">
        <f>UYJ212*UYK212*UYL212</f>
        <v>#DIV/0!</v>
      </c>
      <c r="UYN212" s="367" t="s">
        <v>206</v>
      </c>
      <c r="UYO212" s="367"/>
      <c r="UYP212" s="367"/>
      <c r="UYQ212" s="368" t="s">
        <v>168</v>
      </c>
      <c r="UYR212" s="369">
        <v>0.5</v>
      </c>
      <c r="UYS212" s="370" t="e">
        <f>10/UYO210</f>
        <v>#DIV/0!</v>
      </c>
      <c r="UYT212" s="371">
        <v>15.38</v>
      </c>
      <c r="UYU212" s="371" t="e">
        <f>UYR212*UYS212*UYT212</f>
        <v>#DIV/0!</v>
      </c>
      <c r="UYV212" s="367" t="s">
        <v>206</v>
      </c>
      <c r="UYW212" s="367"/>
      <c r="UYX212" s="367"/>
      <c r="UYY212" s="368" t="s">
        <v>168</v>
      </c>
      <c r="UYZ212" s="369">
        <v>0.5</v>
      </c>
      <c r="UZA212" s="370" t="e">
        <f>10/UYW210</f>
        <v>#DIV/0!</v>
      </c>
      <c r="UZB212" s="371">
        <v>15.38</v>
      </c>
      <c r="UZC212" s="371" t="e">
        <f>UYZ212*UZA212*UZB212</f>
        <v>#DIV/0!</v>
      </c>
      <c r="UZD212" s="367" t="s">
        <v>206</v>
      </c>
      <c r="UZE212" s="367"/>
      <c r="UZF212" s="367"/>
      <c r="UZG212" s="368" t="s">
        <v>168</v>
      </c>
      <c r="UZH212" s="369">
        <v>0.5</v>
      </c>
      <c r="UZI212" s="370" t="e">
        <f>10/UZE210</f>
        <v>#DIV/0!</v>
      </c>
      <c r="UZJ212" s="371">
        <v>15.38</v>
      </c>
      <c r="UZK212" s="371" t="e">
        <f>UZH212*UZI212*UZJ212</f>
        <v>#DIV/0!</v>
      </c>
      <c r="UZL212" s="367" t="s">
        <v>206</v>
      </c>
      <c r="UZM212" s="367"/>
      <c r="UZN212" s="367"/>
      <c r="UZO212" s="368" t="s">
        <v>168</v>
      </c>
      <c r="UZP212" s="369">
        <v>0.5</v>
      </c>
      <c r="UZQ212" s="370" t="e">
        <f>10/UZM210</f>
        <v>#DIV/0!</v>
      </c>
      <c r="UZR212" s="371">
        <v>15.38</v>
      </c>
      <c r="UZS212" s="371" t="e">
        <f>UZP212*UZQ212*UZR212</f>
        <v>#DIV/0!</v>
      </c>
      <c r="UZT212" s="367" t="s">
        <v>206</v>
      </c>
      <c r="UZU212" s="367"/>
      <c r="UZV212" s="367"/>
      <c r="UZW212" s="368" t="s">
        <v>168</v>
      </c>
      <c r="UZX212" s="369">
        <v>0.5</v>
      </c>
      <c r="UZY212" s="370" t="e">
        <f>10/UZU210</f>
        <v>#DIV/0!</v>
      </c>
      <c r="UZZ212" s="371">
        <v>15.38</v>
      </c>
      <c r="VAA212" s="371" t="e">
        <f>UZX212*UZY212*UZZ212</f>
        <v>#DIV/0!</v>
      </c>
      <c r="VAB212" s="367" t="s">
        <v>206</v>
      </c>
      <c r="VAC212" s="367"/>
      <c r="VAD212" s="367"/>
      <c r="VAE212" s="368" t="s">
        <v>168</v>
      </c>
      <c r="VAF212" s="369">
        <v>0.5</v>
      </c>
      <c r="VAG212" s="370" t="e">
        <f>10/VAC210</f>
        <v>#DIV/0!</v>
      </c>
      <c r="VAH212" s="371">
        <v>15.38</v>
      </c>
      <c r="VAI212" s="371" t="e">
        <f>VAF212*VAG212*VAH212</f>
        <v>#DIV/0!</v>
      </c>
      <c r="VAJ212" s="367" t="s">
        <v>206</v>
      </c>
      <c r="VAK212" s="367"/>
      <c r="VAL212" s="367"/>
      <c r="VAM212" s="368" t="s">
        <v>168</v>
      </c>
      <c r="VAN212" s="369">
        <v>0.5</v>
      </c>
      <c r="VAO212" s="370" t="e">
        <f>10/VAK210</f>
        <v>#DIV/0!</v>
      </c>
      <c r="VAP212" s="371">
        <v>15.38</v>
      </c>
      <c r="VAQ212" s="371" t="e">
        <f>VAN212*VAO212*VAP212</f>
        <v>#DIV/0!</v>
      </c>
      <c r="VAR212" s="367" t="s">
        <v>206</v>
      </c>
      <c r="VAS212" s="367"/>
      <c r="VAT212" s="367"/>
      <c r="VAU212" s="368" t="s">
        <v>168</v>
      </c>
      <c r="VAV212" s="369">
        <v>0.5</v>
      </c>
      <c r="VAW212" s="370" t="e">
        <f>10/VAS210</f>
        <v>#DIV/0!</v>
      </c>
      <c r="VAX212" s="371">
        <v>15.38</v>
      </c>
      <c r="VAY212" s="371" t="e">
        <f>VAV212*VAW212*VAX212</f>
        <v>#DIV/0!</v>
      </c>
      <c r="VAZ212" s="367" t="s">
        <v>206</v>
      </c>
      <c r="VBA212" s="367"/>
      <c r="VBB212" s="367"/>
      <c r="VBC212" s="368" t="s">
        <v>168</v>
      </c>
      <c r="VBD212" s="369">
        <v>0.5</v>
      </c>
      <c r="VBE212" s="370" t="e">
        <f>10/VBA210</f>
        <v>#DIV/0!</v>
      </c>
      <c r="VBF212" s="371">
        <v>15.38</v>
      </c>
      <c r="VBG212" s="371" t="e">
        <f>VBD212*VBE212*VBF212</f>
        <v>#DIV/0!</v>
      </c>
      <c r="VBH212" s="367" t="s">
        <v>206</v>
      </c>
      <c r="VBI212" s="367"/>
      <c r="VBJ212" s="367"/>
      <c r="VBK212" s="368" t="s">
        <v>168</v>
      </c>
      <c r="VBL212" s="369">
        <v>0.5</v>
      </c>
      <c r="VBM212" s="370" t="e">
        <f>10/VBI210</f>
        <v>#DIV/0!</v>
      </c>
      <c r="VBN212" s="371">
        <v>15.38</v>
      </c>
      <c r="VBO212" s="371" t="e">
        <f>VBL212*VBM212*VBN212</f>
        <v>#DIV/0!</v>
      </c>
      <c r="VBP212" s="367" t="s">
        <v>206</v>
      </c>
      <c r="VBQ212" s="367"/>
      <c r="VBR212" s="367"/>
      <c r="VBS212" s="368" t="s">
        <v>168</v>
      </c>
      <c r="VBT212" s="369">
        <v>0.5</v>
      </c>
      <c r="VBU212" s="370" t="e">
        <f>10/VBQ210</f>
        <v>#DIV/0!</v>
      </c>
      <c r="VBV212" s="371">
        <v>15.38</v>
      </c>
      <c r="VBW212" s="371" t="e">
        <f>VBT212*VBU212*VBV212</f>
        <v>#DIV/0!</v>
      </c>
      <c r="VBX212" s="367" t="s">
        <v>206</v>
      </c>
      <c r="VBY212" s="367"/>
      <c r="VBZ212" s="367"/>
      <c r="VCA212" s="368" t="s">
        <v>168</v>
      </c>
      <c r="VCB212" s="369">
        <v>0.5</v>
      </c>
      <c r="VCC212" s="370" t="e">
        <f>10/VBY210</f>
        <v>#DIV/0!</v>
      </c>
      <c r="VCD212" s="371">
        <v>15.38</v>
      </c>
      <c r="VCE212" s="371" t="e">
        <f>VCB212*VCC212*VCD212</f>
        <v>#DIV/0!</v>
      </c>
      <c r="VCF212" s="367" t="s">
        <v>206</v>
      </c>
      <c r="VCG212" s="367"/>
      <c r="VCH212" s="367"/>
      <c r="VCI212" s="368" t="s">
        <v>168</v>
      </c>
      <c r="VCJ212" s="369">
        <v>0.5</v>
      </c>
      <c r="VCK212" s="370" t="e">
        <f>10/VCG210</f>
        <v>#DIV/0!</v>
      </c>
      <c r="VCL212" s="371">
        <v>15.38</v>
      </c>
      <c r="VCM212" s="371" t="e">
        <f>VCJ212*VCK212*VCL212</f>
        <v>#DIV/0!</v>
      </c>
      <c r="VCN212" s="367" t="s">
        <v>206</v>
      </c>
      <c r="VCO212" s="367"/>
      <c r="VCP212" s="367"/>
      <c r="VCQ212" s="368" t="s">
        <v>168</v>
      </c>
      <c r="VCR212" s="369">
        <v>0.5</v>
      </c>
      <c r="VCS212" s="370" t="e">
        <f>10/VCO210</f>
        <v>#DIV/0!</v>
      </c>
      <c r="VCT212" s="371">
        <v>15.38</v>
      </c>
      <c r="VCU212" s="371" t="e">
        <f>VCR212*VCS212*VCT212</f>
        <v>#DIV/0!</v>
      </c>
      <c r="VCV212" s="367" t="s">
        <v>206</v>
      </c>
      <c r="VCW212" s="367"/>
      <c r="VCX212" s="367"/>
      <c r="VCY212" s="368" t="s">
        <v>168</v>
      </c>
      <c r="VCZ212" s="369">
        <v>0.5</v>
      </c>
      <c r="VDA212" s="370" t="e">
        <f>10/VCW210</f>
        <v>#DIV/0!</v>
      </c>
      <c r="VDB212" s="371">
        <v>15.38</v>
      </c>
      <c r="VDC212" s="371" t="e">
        <f>VCZ212*VDA212*VDB212</f>
        <v>#DIV/0!</v>
      </c>
      <c r="VDD212" s="367" t="s">
        <v>206</v>
      </c>
      <c r="VDE212" s="367"/>
      <c r="VDF212" s="367"/>
      <c r="VDG212" s="368" t="s">
        <v>168</v>
      </c>
      <c r="VDH212" s="369">
        <v>0.5</v>
      </c>
      <c r="VDI212" s="370" t="e">
        <f>10/VDE210</f>
        <v>#DIV/0!</v>
      </c>
      <c r="VDJ212" s="371">
        <v>15.38</v>
      </c>
      <c r="VDK212" s="371" t="e">
        <f>VDH212*VDI212*VDJ212</f>
        <v>#DIV/0!</v>
      </c>
      <c r="VDL212" s="367" t="s">
        <v>206</v>
      </c>
      <c r="VDM212" s="367"/>
      <c r="VDN212" s="367"/>
      <c r="VDO212" s="368" t="s">
        <v>168</v>
      </c>
      <c r="VDP212" s="369">
        <v>0.5</v>
      </c>
      <c r="VDQ212" s="370" t="e">
        <f>10/VDM210</f>
        <v>#DIV/0!</v>
      </c>
      <c r="VDR212" s="371">
        <v>15.38</v>
      </c>
      <c r="VDS212" s="371" t="e">
        <f>VDP212*VDQ212*VDR212</f>
        <v>#DIV/0!</v>
      </c>
      <c r="VDT212" s="367" t="s">
        <v>206</v>
      </c>
      <c r="VDU212" s="367"/>
      <c r="VDV212" s="367"/>
      <c r="VDW212" s="368" t="s">
        <v>168</v>
      </c>
      <c r="VDX212" s="369">
        <v>0.5</v>
      </c>
      <c r="VDY212" s="370" t="e">
        <f>10/VDU210</f>
        <v>#DIV/0!</v>
      </c>
      <c r="VDZ212" s="371">
        <v>15.38</v>
      </c>
      <c r="VEA212" s="371" t="e">
        <f>VDX212*VDY212*VDZ212</f>
        <v>#DIV/0!</v>
      </c>
      <c r="VEB212" s="367" t="s">
        <v>206</v>
      </c>
      <c r="VEC212" s="367"/>
      <c r="VED212" s="367"/>
      <c r="VEE212" s="368" t="s">
        <v>168</v>
      </c>
      <c r="VEF212" s="369">
        <v>0.5</v>
      </c>
      <c r="VEG212" s="370" t="e">
        <f>10/VEC210</f>
        <v>#DIV/0!</v>
      </c>
      <c r="VEH212" s="371">
        <v>15.38</v>
      </c>
      <c r="VEI212" s="371" t="e">
        <f>VEF212*VEG212*VEH212</f>
        <v>#DIV/0!</v>
      </c>
      <c r="VEJ212" s="367" t="s">
        <v>206</v>
      </c>
      <c r="VEK212" s="367"/>
      <c r="VEL212" s="367"/>
      <c r="VEM212" s="368" t="s">
        <v>168</v>
      </c>
      <c r="VEN212" s="369">
        <v>0.5</v>
      </c>
      <c r="VEO212" s="370" t="e">
        <f>10/VEK210</f>
        <v>#DIV/0!</v>
      </c>
      <c r="VEP212" s="371">
        <v>15.38</v>
      </c>
      <c r="VEQ212" s="371" t="e">
        <f>VEN212*VEO212*VEP212</f>
        <v>#DIV/0!</v>
      </c>
      <c r="VER212" s="367" t="s">
        <v>206</v>
      </c>
      <c r="VES212" s="367"/>
      <c r="VET212" s="367"/>
      <c r="VEU212" s="368" t="s">
        <v>168</v>
      </c>
      <c r="VEV212" s="369">
        <v>0.5</v>
      </c>
      <c r="VEW212" s="370" t="e">
        <f>10/VES210</f>
        <v>#DIV/0!</v>
      </c>
      <c r="VEX212" s="371">
        <v>15.38</v>
      </c>
      <c r="VEY212" s="371" t="e">
        <f>VEV212*VEW212*VEX212</f>
        <v>#DIV/0!</v>
      </c>
      <c r="VEZ212" s="367" t="s">
        <v>206</v>
      </c>
      <c r="VFA212" s="367"/>
      <c r="VFB212" s="367"/>
      <c r="VFC212" s="368" t="s">
        <v>168</v>
      </c>
      <c r="VFD212" s="369">
        <v>0.5</v>
      </c>
      <c r="VFE212" s="370" t="e">
        <f>10/VFA210</f>
        <v>#DIV/0!</v>
      </c>
      <c r="VFF212" s="371">
        <v>15.38</v>
      </c>
      <c r="VFG212" s="371" t="e">
        <f>VFD212*VFE212*VFF212</f>
        <v>#DIV/0!</v>
      </c>
      <c r="VFH212" s="367" t="s">
        <v>206</v>
      </c>
      <c r="VFI212" s="367"/>
      <c r="VFJ212" s="367"/>
      <c r="VFK212" s="368" t="s">
        <v>168</v>
      </c>
      <c r="VFL212" s="369">
        <v>0.5</v>
      </c>
      <c r="VFM212" s="370" t="e">
        <f>10/VFI210</f>
        <v>#DIV/0!</v>
      </c>
      <c r="VFN212" s="371">
        <v>15.38</v>
      </c>
      <c r="VFO212" s="371" t="e">
        <f>VFL212*VFM212*VFN212</f>
        <v>#DIV/0!</v>
      </c>
      <c r="VFP212" s="367" t="s">
        <v>206</v>
      </c>
      <c r="VFQ212" s="367"/>
      <c r="VFR212" s="367"/>
      <c r="VFS212" s="368" t="s">
        <v>168</v>
      </c>
      <c r="VFT212" s="369">
        <v>0.5</v>
      </c>
      <c r="VFU212" s="370" t="e">
        <f>10/VFQ210</f>
        <v>#DIV/0!</v>
      </c>
      <c r="VFV212" s="371">
        <v>15.38</v>
      </c>
      <c r="VFW212" s="371" t="e">
        <f>VFT212*VFU212*VFV212</f>
        <v>#DIV/0!</v>
      </c>
      <c r="VFX212" s="367" t="s">
        <v>206</v>
      </c>
      <c r="VFY212" s="367"/>
      <c r="VFZ212" s="367"/>
      <c r="VGA212" s="368" t="s">
        <v>168</v>
      </c>
      <c r="VGB212" s="369">
        <v>0.5</v>
      </c>
      <c r="VGC212" s="370" t="e">
        <f>10/VFY210</f>
        <v>#DIV/0!</v>
      </c>
      <c r="VGD212" s="371">
        <v>15.38</v>
      </c>
      <c r="VGE212" s="371" t="e">
        <f>VGB212*VGC212*VGD212</f>
        <v>#DIV/0!</v>
      </c>
      <c r="VGF212" s="367" t="s">
        <v>206</v>
      </c>
      <c r="VGG212" s="367"/>
      <c r="VGH212" s="367"/>
      <c r="VGI212" s="368" t="s">
        <v>168</v>
      </c>
      <c r="VGJ212" s="369">
        <v>0.5</v>
      </c>
      <c r="VGK212" s="370" t="e">
        <f>10/VGG210</f>
        <v>#DIV/0!</v>
      </c>
      <c r="VGL212" s="371">
        <v>15.38</v>
      </c>
      <c r="VGM212" s="371" t="e">
        <f>VGJ212*VGK212*VGL212</f>
        <v>#DIV/0!</v>
      </c>
      <c r="VGN212" s="367" t="s">
        <v>206</v>
      </c>
      <c r="VGO212" s="367"/>
      <c r="VGP212" s="367"/>
      <c r="VGQ212" s="368" t="s">
        <v>168</v>
      </c>
      <c r="VGR212" s="369">
        <v>0.5</v>
      </c>
      <c r="VGS212" s="370" t="e">
        <f>10/VGO210</f>
        <v>#DIV/0!</v>
      </c>
      <c r="VGT212" s="371">
        <v>15.38</v>
      </c>
      <c r="VGU212" s="371" t="e">
        <f>VGR212*VGS212*VGT212</f>
        <v>#DIV/0!</v>
      </c>
      <c r="VGV212" s="367" t="s">
        <v>206</v>
      </c>
      <c r="VGW212" s="367"/>
      <c r="VGX212" s="367"/>
      <c r="VGY212" s="368" t="s">
        <v>168</v>
      </c>
      <c r="VGZ212" s="369">
        <v>0.5</v>
      </c>
      <c r="VHA212" s="370" t="e">
        <f>10/VGW210</f>
        <v>#DIV/0!</v>
      </c>
      <c r="VHB212" s="371">
        <v>15.38</v>
      </c>
      <c r="VHC212" s="371" t="e">
        <f>VGZ212*VHA212*VHB212</f>
        <v>#DIV/0!</v>
      </c>
      <c r="VHD212" s="367" t="s">
        <v>206</v>
      </c>
      <c r="VHE212" s="367"/>
      <c r="VHF212" s="367"/>
      <c r="VHG212" s="368" t="s">
        <v>168</v>
      </c>
      <c r="VHH212" s="369">
        <v>0.5</v>
      </c>
      <c r="VHI212" s="370" t="e">
        <f>10/VHE210</f>
        <v>#DIV/0!</v>
      </c>
      <c r="VHJ212" s="371">
        <v>15.38</v>
      </c>
      <c r="VHK212" s="371" t="e">
        <f>VHH212*VHI212*VHJ212</f>
        <v>#DIV/0!</v>
      </c>
      <c r="VHL212" s="367" t="s">
        <v>206</v>
      </c>
      <c r="VHM212" s="367"/>
      <c r="VHN212" s="367"/>
      <c r="VHO212" s="368" t="s">
        <v>168</v>
      </c>
      <c r="VHP212" s="369">
        <v>0.5</v>
      </c>
      <c r="VHQ212" s="370" t="e">
        <f>10/VHM210</f>
        <v>#DIV/0!</v>
      </c>
      <c r="VHR212" s="371">
        <v>15.38</v>
      </c>
      <c r="VHS212" s="371" t="e">
        <f>VHP212*VHQ212*VHR212</f>
        <v>#DIV/0!</v>
      </c>
      <c r="VHT212" s="367" t="s">
        <v>206</v>
      </c>
      <c r="VHU212" s="367"/>
      <c r="VHV212" s="367"/>
      <c r="VHW212" s="368" t="s">
        <v>168</v>
      </c>
      <c r="VHX212" s="369">
        <v>0.5</v>
      </c>
      <c r="VHY212" s="370" t="e">
        <f>10/VHU210</f>
        <v>#DIV/0!</v>
      </c>
      <c r="VHZ212" s="371">
        <v>15.38</v>
      </c>
      <c r="VIA212" s="371" t="e">
        <f>VHX212*VHY212*VHZ212</f>
        <v>#DIV/0!</v>
      </c>
      <c r="VIB212" s="367" t="s">
        <v>206</v>
      </c>
      <c r="VIC212" s="367"/>
      <c r="VID212" s="367"/>
      <c r="VIE212" s="368" t="s">
        <v>168</v>
      </c>
      <c r="VIF212" s="369">
        <v>0.5</v>
      </c>
      <c r="VIG212" s="370" t="e">
        <f>10/VIC210</f>
        <v>#DIV/0!</v>
      </c>
      <c r="VIH212" s="371">
        <v>15.38</v>
      </c>
      <c r="VII212" s="371" t="e">
        <f>VIF212*VIG212*VIH212</f>
        <v>#DIV/0!</v>
      </c>
      <c r="VIJ212" s="367" t="s">
        <v>206</v>
      </c>
      <c r="VIK212" s="367"/>
      <c r="VIL212" s="367"/>
      <c r="VIM212" s="368" t="s">
        <v>168</v>
      </c>
      <c r="VIN212" s="369">
        <v>0.5</v>
      </c>
      <c r="VIO212" s="370" t="e">
        <f>10/VIK210</f>
        <v>#DIV/0!</v>
      </c>
      <c r="VIP212" s="371">
        <v>15.38</v>
      </c>
      <c r="VIQ212" s="371" t="e">
        <f>VIN212*VIO212*VIP212</f>
        <v>#DIV/0!</v>
      </c>
      <c r="VIR212" s="367" t="s">
        <v>206</v>
      </c>
      <c r="VIS212" s="367"/>
      <c r="VIT212" s="367"/>
      <c r="VIU212" s="368" t="s">
        <v>168</v>
      </c>
      <c r="VIV212" s="369">
        <v>0.5</v>
      </c>
      <c r="VIW212" s="370" t="e">
        <f>10/VIS210</f>
        <v>#DIV/0!</v>
      </c>
      <c r="VIX212" s="371">
        <v>15.38</v>
      </c>
      <c r="VIY212" s="371" t="e">
        <f>VIV212*VIW212*VIX212</f>
        <v>#DIV/0!</v>
      </c>
      <c r="VIZ212" s="367" t="s">
        <v>206</v>
      </c>
      <c r="VJA212" s="367"/>
      <c r="VJB212" s="367"/>
      <c r="VJC212" s="368" t="s">
        <v>168</v>
      </c>
      <c r="VJD212" s="369">
        <v>0.5</v>
      </c>
      <c r="VJE212" s="370" t="e">
        <f>10/VJA210</f>
        <v>#DIV/0!</v>
      </c>
      <c r="VJF212" s="371">
        <v>15.38</v>
      </c>
      <c r="VJG212" s="371" t="e">
        <f>VJD212*VJE212*VJF212</f>
        <v>#DIV/0!</v>
      </c>
      <c r="VJH212" s="367" t="s">
        <v>206</v>
      </c>
      <c r="VJI212" s="367"/>
      <c r="VJJ212" s="367"/>
      <c r="VJK212" s="368" t="s">
        <v>168</v>
      </c>
      <c r="VJL212" s="369">
        <v>0.5</v>
      </c>
      <c r="VJM212" s="370" t="e">
        <f>10/VJI210</f>
        <v>#DIV/0!</v>
      </c>
      <c r="VJN212" s="371">
        <v>15.38</v>
      </c>
      <c r="VJO212" s="371" t="e">
        <f>VJL212*VJM212*VJN212</f>
        <v>#DIV/0!</v>
      </c>
      <c r="VJP212" s="367" t="s">
        <v>206</v>
      </c>
      <c r="VJQ212" s="367"/>
      <c r="VJR212" s="367"/>
      <c r="VJS212" s="368" t="s">
        <v>168</v>
      </c>
      <c r="VJT212" s="369">
        <v>0.5</v>
      </c>
      <c r="VJU212" s="370" t="e">
        <f>10/VJQ210</f>
        <v>#DIV/0!</v>
      </c>
      <c r="VJV212" s="371">
        <v>15.38</v>
      </c>
      <c r="VJW212" s="371" t="e">
        <f>VJT212*VJU212*VJV212</f>
        <v>#DIV/0!</v>
      </c>
      <c r="VJX212" s="367" t="s">
        <v>206</v>
      </c>
      <c r="VJY212" s="367"/>
      <c r="VJZ212" s="367"/>
      <c r="VKA212" s="368" t="s">
        <v>168</v>
      </c>
      <c r="VKB212" s="369">
        <v>0.5</v>
      </c>
      <c r="VKC212" s="370" t="e">
        <f>10/VJY210</f>
        <v>#DIV/0!</v>
      </c>
      <c r="VKD212" s="371">
        <v>15.38</v>
      </c>
      <c r="VKE212" s="371" t="e">
        <f>VKB212*VKC212*VKD212</f>
        <v>#DIV/0!</v>
      </c>
      <c r="VKF212" s="367" t="s">
        <v>206</v>
      </c>
      <c r="VKG212" s="367"/>
      <c r="VKH212" s="367"/>
      <c r="VKI212" s="368" t="s">
        <v>168</v>
      </c>
      <c r="VKJ212" s="369">
        <v>0.5</v>
      </c>
      <c r="VKK212" s="370" t="e">
        <f>10/VKG210</f>
        <v>#DIV/0!</v>
      </c>
      <c r="VKL212" s="371">
        <v>15.38</v>
      </c>
      <c r="VKM212" s="371" t="e">
        <f>VKJ212*VKK212*VKL212</f>
        <v>#DIV/0!</v>
      </c>
      <c r="VKN212" s="367" t="s">
        <v>206</v>
      </c>
      <c r="VKO212" s="367"/>
      <c r="VKP212" s="367"/>
      <c r="VKQ212" s="368" t="s">
        <v>168</v>
      </c>
      <c r="VKR212" s="369">
        <v>0.5</v>
      </c>
      <c r="VKS212" s="370" t="e">
        <f>10/VKO210</f>
        <v>#DIV/0!</v>
      </c>
      <c r="VKT212" s="371">
        <v>15.38</v>
      </c>
      <c r="VKU212" s="371" t="e">
        <f>VKR212*VKS212*VKT212</f>
        <v>#DIV/0!</v>
      </c>
      <c r="VKV212" s="367" t="s">
        <v>206</v>
      </c>
      <c r="VKW212" s="367"/>
      <c r="VKX212" s="367"/>
      <c r="VKY212" s="368" t="s">
        <v>168</v>
      </c>
      <c r="VKZ212" s="369">
        <v>0.5</v>
      </c>
      <c r="VLA212" s="370" t="e">
        <f>10/VKW210</f>
        <v>#DIV/0!</v>
      </c>
      <c r="VLB212" s="371">
        <v>15.38</v>
      </c>
      <c r="VLC212" s="371" t="e">
        <f>VKZ212*VLA212*VLB212</f>
        <v>#DIV/0!</v>
      </c>
      <c r="VLD212" s="367" t="s">
        <v>206</v>
      </c>
      <c r="VLE212" s="367"/>
      <c r="VLF212" s="367"/>
      <c r="VLG212" s="368" t="s">
        <v>168</v>
      </c>
      <c r="VLH212" s="369">
        <v>0.5</v>
      </c>
      <c r="VLI212" s="370" t="e">
        <f>10/VLE210</f>
        <v>#DIV/0!</v>
      </c>
      <c r="VLJ212" s="371">
        <v>15.38</v>
      </c>
      <c r="VLK212" s="371" t="e">
        <f>VLH212*VLI212*VLJ212</f>
        <v>#DIV/0!</v>
      </c>
      <c r="VLL212" s="367" t="s">
        <v>206</v>
      </c>
      <c r="VLM212" s="367"/>
      <c r="VLN212" s="367"/>
      <c r="VLO212" s="368" t="s">
        <v>168</v>
      </c>
      <c r="VLP212" s="369">
        <v>0.5</v>
      </c>
      <c r="VLQ212" s="370" t="e">
        <f>10/VLM210</f>
        <v>#DIV/0!</v>
      </c>
      <c r="VLR212" s="371">
        <v>15.38</v>
      </c>
      <c r="VLS212" s="371" t="e">
        <f>VLP212*VLQ212*VLR212</f>
        <v>#DIV/0!</v>
      </c>
      <c r="VLT212" s="367" t="s">
        <v>206</v>
      </c>
      <c r="VLU212" s="367"/>
      <c r="VLV212" s="367"/>
      <c r="VLW212" s="368" t="s">
        <v>168</v>
      </c>
      <c r="VLX212" s="369">
        <v>0.5</v>
      </c>
      <c r="VLY212" s="370" t="e">
        <f>10/VLU210</f>
        <v>#DIV/0!</v>
      </c>
      <c r="VLZ212" s="371">
        <v>15.38</v>
      </c>
      <c r="VMA212" s="371" t="e">
        <f>VLX212*VLY212*VLZ212</f>
        <v>#DIV/0!</v>
      </c>
      <c r="VMB212" s="367" t="s">
        <v>206</v>
      </c>
      <c r="VMC212" s="367"/>
      <c r="VMD212" s="367"/>
      <c r="VME212" s="368" t="s">
        <v>168</v>
      </c>
      <c r="VMF212" s="369">
        <v>0.5</v>
      </c>
      <c r="VMG212" s="370" t="e">
        <f>10/VMC210</f>
        <v>#DIV/0!</v>
      </c>
      <c r="VMH212" s="371">
        <v>15.38</v>
      </c>
      <c r="VMI212" s="371" t="e">
        <f>VMF212*VMG212*VMH212</f>
        <v>#DIV/0!</v>
      </c>
      <c r="VMJ212" s="367" t="s">
        <v>206</v>
      </c>
      <c r="VMK212" s="367"/>
      <c r="VML212" s="367"/>
      <c r="VMM212" s="368" t="s">
        <v>168</v>
      </c>
      <c r="VMN212" s="369">
        <v>0.5</v>
      </c>
      <c r="VMO212" s="370" t="e">
        <f>10/VMK210</f>
        <v>#DIV/0!</v>
      </c>
      <c r="VMP212" s="371">
        <v>15.38</v>
      </c>
      <c r="VMQ212" s="371" t="e">
        <f>VMN212*VMO212*VMP212</f>
        <v>#DIV/0!</v>
      </c>
      <c r="VMR212" s="367" t="s">
        <v>206</v>
      </c>
      <c r="VMS212" s="367"/>
      <c r="VMT212" s="367"/>
      <c r="VMU212" s="368" t="s">
        <v>168</v>
      </c>
      <c r="VMV212" s="369">
        <v>0.5</v>
      </c>
      <c r="VMW212" s="370" t="e">
        <f>10/VMS210</f>
        <v>#DIV/0!</v>
      </c>
      <c r="VMX212" s="371">
        <v>15.38</v>
      </c>
      <c r="VMY212" s="371" t="e">
        <f>VMV212*VMW212*VMX212</f>
        <v>#DIV/0!</v>
      </c>
      <c r="VMZ212" s="367" t="s">
        <v>206</v>
      </c>
      <c r="VNA212" s="367"/>
      <c r="VNB212" s="367"/>
      <c r="VNC212" s="368" t="s">
        <v>168</v>
      </c>
      <c r="VND212" s="369">
        <v>0.5</v>
      </c>
      <c r="VNE212" s="370" t="e">
        <f>10/VNA210</f>
        <v>#DIV/0!</v>
      </c>
      <c r="VNF212" s="371">
        <v>15.38</v>
      </c>
      <c r="VNG212" s="371" t="e">
        <f>VND212*VNE212*VNF212</f>
        <v>#DIV/0!</v>
      </c>
      <c r="VNH212" s="367" t="s">
        <v>206</v>
      </c>
      <c r="VNI212" s="367"/>
      <c r="VNJ212" s="367"/>
      <c r="VNK212" s="368" t="s">
        <v>168</v>
      </c>
      <c r="VNL212" s="369">
        <v>0.5</v>
      </c>
      <c r="VNM212" s="370" t="e">
        <f>10/VNI210</f>
        <v>#DIV/0!</v>
      </c>
      <c r="VNN212" s="371">
        <v>15.38</v>
      </c>
      <c r="VNO212" s="371" t="e">
        <f>VNL212*VNM212*VNN212</f>
        <v>#DIV/0!</v>
      </c>
      <c r="VNP212" s="367" t="s">
        <v>206</v>
      </c>
      <c r="VNQ212" s="367"/>
      <c r="VNR212" s="367"/>
      <c r="VNS212" s="368" t="s">
        <v>168</v>
      </c>
      <c r="VNT212" s="369">
        <v>0.5</v>
      </c>
      <c r="VNU212" s="370" t="e">
        <f>10/VNQ210</f>
        <v>#DIV/0!</v>
      </c>
      <c r="VNV212" s="371">
        <v>15.38</v>
      </c>
      <c r="VNW212" s="371" t="e">
        <f>VNT212*VNU212*VNV212</f>
        <v>#DIV/0!</v>
      </c>
      <c r="VNX212" s="367" t="s">
        <v>206</v>
      </c>
      <c r="VNY212" s="367"/>
      <c r="VNZ212" s="367"/>
      <c r="VOA212" s="368" t="s">
        <v>168</v>
      </c>
      <c r="VOB212" s="369">
        <v>0.5</v>
      </c>
      <c r="VOC212" s="370" t="e">
        <f>10/VNY210</f>
        <v>#DIV/0!</v>
      </c>
      <c r="VOD212" s="371">
        <v>15.38</v>
      </c>
      <c r="VOE212" s="371" t="e">
        <f>VOB212*VOC212*VOD212</f>
        <v>#DIV/0!</v>
      </c>
      <c r="VOF212" s="367" t="s">
        <v>206</v>
      </c>
      <c r="VOG212" s="367"/>
      <c r="VOH212" s="367"/>
      <c r="VOI212" s="368" t="s">
        <v>168</v>
      </c>
      <c r="VOJ212" s="369">
        <v>0.5</v>
      </c>
      <c r="VOK212" s="370" t="e">
        <f>10/VOG210</f>
        <v>#DIV/0!</v>
      </c>
      <c r="VOL212" s="371">
        <v>15.38</v>
      </c>
      <c r="VOM212" s="371" t="e">
        <f>VOJ212*VOK212*VOL212</f>
        <v>#DIV/0!</v>
      </c>
      <c r="VON212" s="367" t="s">
        <v>206</v>
      </c>
      <c r="VOO212" s="367"/>
      <c r="VOP212" s="367"/>
      <c r="VOQ212" s="368" t="s">
        <v>168</v>
      </c>
      <c r="VOR212" s="369">
        <v>0.5</v>
      </c>
      <c r="VOS212" s="370" t="e">
        <f>10/VOO210</f>
        <v>#DIV/0!</v>
      </c>
      <c r="VOT212" s="371">
        <v>15.38</v>
      </c>
      <c r="VOU212" s="371" t="e">
        <f>VOR212*VOS212*VOT212</f>
        <v>#DIV/0!</v>
      </c>
      <c r="VOV212" s="367" t="s">
        <v>206</v>
      </c>
      <c r="VOW212" s="367"/>
      <c r="VOX212" s="367"/>
      <c r="VOY212" s="368" t="s">
        <v>168</v>
      </c>
      <c r="VOZ212" s="369">
        <v>0.5</v>
      </c>
      <c r="VPA212" s="370" t="e">
        <f>10/VOW210</f>
        <v>#DIV/0!</v>
      </c>
      <c r="VPB212" s="371">
        <v>15.38</v>
      </c>
      <c r="VPC212" s="371" t="e">
        <f>VOZ212*VPA212*VPB212</f>
        <v>#DIV/0!</v>
      </c>
      <c r="VPD212" s="367" t="s">
        <v>206</v>
      </c>
      <c r="VPE212" s="367"/>
      <c r="VPF212" s="367"/>
      <c r="VPG212" s="368" t="s">
        <v>168</v>
      </c>
      <c r="VPH212" s="369">
        <v>0.5</v>
      </c>
      <c r="VPI212" s="370" t="e">
        <f>10/VPE210</f>
        <v>#DIV/0!</v>
      </c>
      <c r="VPJ212" s="371">
        <v>15.38</v>
      </c>
      <c r="VPK212" s="371" t="e">
        <f>VPH212*VPI212*VPJ212</f>
        <v>#DIV/0!</v>
      </c>
      <c r="VPL212" s="367" t="s">
        <v>206</v>
      </c>
      <c r="VPM212" s="367"/>
      <c r="VPN212" s="367"/>
      <c r="VPO212" s="368" t="s">
        <v>168</v>
      </c>
      <c r="VPP212" s="369">
        <v>0.5</v>
      </c>
      <c r="VPQ212" s="370" t="e">
        <f>10/VPM210</f>
        <v>#DIV/0!</v>
      </c>
      <c r="VPR212" s="371">
        <v>15.38</v>
      </c>
      <c r="VPS212" s="371" t="e">
        <f>VPP212*VPQ212*VPR212</f>
        <v>#DIV/0!</v>
      </c>
      <c r="VPT212" s="367" t="s">
        <v>206</v>
      </c>
      <c r="VPU212" s="367"/>
      <c r="VPV212" s="367"/>
      <c r="VPW212" s="368" t="s">
        <v>168</v>
      </c>
      <c r="VPX212" s="369">
        <v>0.5</v>
      </c>
      <c r="VPY212" s="370" t="e">
        <f>10/VPU210</f>
        <v>#DIV/0!</v>
      </c>
      <c r="VPZ212" s="371">
        <v>15.38</v>
      </c>
      <c r="VQA212" s="371" t="e">
        <f>VPX212*VPY212*VPZ212</f>
        <v>#DIV/0!</v>
      </c>
      <c r="VQB212" s="367" t="s">
        <v>206</v>
      </c>
      <c r="VQC212" s="367"/>
      <c r="VQD212" s="367"/>
      <c r="VQE212" s="368" t="s">
        <v>168</v>
      </c>
      <c r="VQF212" s="369">
        <v>0.5</v>
      </c>
      <c r="VQG212" s="370" t="e">
        <f>10/VQC210</f>
        <v>#DIV/0!</v>
      </c>
      <c r="VQH212" s="371">
        <v>15.38</v>
      </c>
      <c r="VQI212" s="371" t="e">
        <f>VQF212*VQG212*VQH212</f>
        <v>#DIV/0!</v>
      </c>
      <c r="VQJ212" s="367" t="s">
        <v>206</v>
      </c>
      <c r="VQK212" s="367"/>
      <c r="VQL212" s="367"/>
      <c r="VQM212" s="368" t="s">
        <v>168</v>
      </c>
      <c r="VQN212" s="369">
        <v>0.5</v>
      </c>
      <c r="VQO212" s="370" t="e">
        <f>10/VQK210</f>
        <v>#DIV/0!</v>
      </c>
      <c r="VQP212" s="371">
        <v>15.38</v>
      </c>
      <c r="VQQ212" s="371" t="e">
        <f>VQN212*VQO212*VQP212</f>
        <v>#DIV/0!</v>
      </c>
      <c r="VQR212" s="367" t="s">
        <v>206</v>
      </c>
      <c r="VQS212" s="367"/>
      <c r="VQT212" s="367"/>
      <c r="VQU212" s="368" t="s">
        <v>168</v>
      </c>
      <c r="VQV212" s="369">
        <v>0.5</v>
      </c>
      <c r="VQW212" s="370" t="e">
        <f>10/VQS210</f>
        <v>#DIV/0!</v>
      </c>
      <c r="VQX212" s="371">
        <v>15.38</v>
      </c>
      <c r="VQY212" s="371" t="e">
        <f>VQV212*VQW212*VQX212</f>
        <v>#DIV/0!</v>
      </c>
      <c r="VQZ212" s="367" t="s">
        <v>206</v>
      </c>
      <c r="VRA212" s="367"/>
      <c r="VRB212" s="367"/>
      <c r="VRC212" s="368" t="s">
        <v>168</v>
      </c>
      <c r="VRD212" s="369">
        <v>0.5</v>
      </c>
      <c r="VRE212" s="370" t="e">
        <f>10/VRA210</f>
        <v>#DIV/0!</v>
      </c>
      <c r="VRF212" s="371">
        <v>15.38</v>
      </c>
      <c r="VRG212" s="371" t="e">
        <f>VRD212*VRE212*VRF212</f>
        <v>#DIV/0!</v>
      </c>
      <c r="VRH212" s="367" t="s">
        <v>206</v>
      </c>
      <c r="VRI212" s="367"/>
      <c r="VRJ212" s="367"/>
      <c r="VRK212" s="368" t="s">
        <v>168</v>
      </c>
      <c r="VRL212" s="369">
        <v>0.5</v>
      </c>
      <c r="VRM212" s="370" t="e">
        <f>10/VRI210</f>
        <v>#DIV/0!</v>
      </c>
      <c r="VRN212" s="371">
        <v>15.38</v>
      </c>
      <c r="VRO212" s="371" t="e">
        <f>VRL212*VRM212*VRN212</f>
        <v>#DIV/0!</v>
      </c>
      <c r="VRP212" s="367" t="s">
        <v>206</v>
      </c>
      <c r="VRQ212" s="367"/>
      <c r="VRR212" s="367"/>
      <c r="VRS212" s="368" t="s">
        <v>168</v>
      </c>
      <c r="VRT212" s="369">
        <v>0.5</v>
      </c>
      <c r="VRU212" s="370" t="e">
        <f>10/VRQ210</f>
        <v>#DIV/0!</v>
      </c>
      <c r="VRV212" s="371">
        <v>15.38</v>
      </c>
      <c r="VRW212" s="371" t="e">
        <f>VRT212*VRU212*VRV212</f>
        <v>#DIV/0!</v>
      </c>
      <c r="VRX212" s="367" t="s">
        <v>206</v>
      </c>
      <c r="VRY212" s="367"/>
      <c r="VRZ212" s="367"/>
      <c r="VSA212" s="368" t="s">
        <v>168</v>
      </c>
      <c r="VSB212" s="369">
        <v>0.5</v>
      </c>
      <c r="VSC212" s="370" t="e">
        <f>10/VRY210</f>
        <v>#DIV/0!</v>
      </c>
      <c r="VSD212" s="371">
        <v>15.38</v>
      </c>
      <c r="VSE212" s="371" t="e">
        <f>VSB212*VSC212*VSD212</f>
        <v>#DIV/0!</v>
      </c>
      <c r="VSF212" s="367" t="s">
        <v>206</v>
      </c>
      <c r="VSG212" s="367"/>
      <c r="VSH212" s="367"/>
      <c r="VSI212" s="368" t="s">
        <v>168</v>
      </c>
      <c r="VSJ212" s="369">
        <v>0.5</v>
      </c>
      <c r="VSK212" s="370" t="e">
        <f>10/VSG210</f>
        <v>#DIV/0!</v>
      </c>
      <c r="VSL212" s="371">
        <v>15.38</v>
      </c>
      <c r="VSM212" s="371" t="e">
        <f>VSJ212*VSK212*VSL212</f>
        <v>#DIV/0!</v>
      </c>
      <c r="VSN212" s="367" t="s">
        <v>206</v>
      </c>
      <c r="VSO212" s="367"/>
      <c r="VSP212" s="367"/>
      <c r="VSQ212" s="368" t="s">
        <v>168</v>
      </c>
      <c r="VSR212" s="369">
        <v>0.5</v>
      </c>
      <c r="VSS212" s="370" t="e">
        <f>10/VSO210</f>
        <v>#DIV/0!</v>
      </c>
      <c r="VST212" s="371">
        <v>15.38</v>
      </c>
      <c r="VSU212" s="371" t="e">
        <f>VSR212*VSS212*VST212</f>
        <v>#DIV/0!</v>
      </c>
      <c r="VSV212" s="367" t="s">
        <v>206</v>
      </c>
      <c r="VSW212" s="367"/>
      <c r="VSX212" s="367"/>
      <c r="VSY212" s="368" t="s">
        <v>168</v>
      </c>
      <c r="VSZ212" s="369">
        <v>0.5</v>
      </c>
      <c r="VTA212" s="370" t="e">
        <f>10/VSW210</f>
        <v>#DIV/0!</v>
      </c>
      <c r="VTB212" s="371">
        <v>15.38</v>
      </c>
      <c r="VTC212" s="371" t="e">
        <f>VSZ212*VTA212*VTB212</f>
        <v>#DIV/0!</v>
      </c>
      <c r="VTD212" s="367" t="s">
        <v>206</v>
      </c>
      <c r="VTE212" s="367"/>
      <c r="VTF212" s="367"/>
      <c r="VTG212" s="368" t="s">
        <v>168</v>
      </c>
      <c r="VTH212" s="369">
        <v>0.5</v>
      </c>
      <c r="VTI212" s="370" t="e">
        <f>10/VTE210</f>
        <v>#DIV/0!</v>
      </c>
      <c r="VTJ212" s="371">
        <v>15.38</v>
      </c>
      <c r="VTK212" s="371" t="e">
        <f>VTH212*VTI212*VTJ212</f>
        <v>#DIV/0!</v>
      </c>
      <c r="VTL212" s="367" t="s">
        <v>206</v>
      </c>
      <c r="VTM212" s="367"/>
      <c r="VTN212" s="367"/>
      <c r="VTO212" s="368" t="s">
        <v>168</v>
      </c>
      <c r="VTP212" s="369">
        <v>0.5</v>
      </c>
      <c r="VTQ212" s="370" t="e">
        <f>10/VTM210</f>
        <v>#DIV/0!</v>
      </c>
      <c r="VTR212" s="371">
        <v>15.38</v>
      </c>
      <c r="VTS212" s="371" t="e">
        <f>VTP212*VTQ212*VTR212</f>
        <v>#DIV/0!</v>
      </c>
      <c r="VTT212" s="367" t="s">
        <v>206</v>
      </c>
      <c r="VTU212" s="367"/>
      <c r="VTV212" s="367"/>
      <c r="VTW212" s="368" t="s">
        <v>168</v>
      </c>
      <c r="VTX212" s="369">
        <v>0.5</v>
      </c>
      <c r="VTY212" s="370" t="e">
        <f>10/VTU210</f>
        <v>#DIV/0!</v>
      </c>
      <c r="VTZ212" s="371">
        <v>15.38</v>
      </c>
      <c r="VUA212" s="371" t="e">
        <f>VTX212*VTY212*VTZ212</f>
        <v>#DIV/0!</v>
      </c>
      <c r="VUB212" s="367" t="s">
        <v>206</v>
      </c>
      <c r="VUC212" s="367"/>
      <c r="VUD212" s="367"/>
      <c r="VUE212" s="368" t="s">
        <v>168</v>
      </c>
      <c r="VUF212" s="369">
        <v>0.5</v>
      </c>
      <c r="VUG212" s="370" t="e">
        <f>10/VUC210</f>
        <v>#DIV/0!</v>
      </c>
      <c r="VUH212" s="371">
        <v>15.38</v>
      </c>
      <c r="VUI212" s="371" t="e">
        <f>VUF212*VUG212*VUH212</f>
        <v>#DIV/0!</v>
      </c>
      <c r="VUJ212" s="367" t="s">
        <v>206</v>
      </c>
      <c r="VUK212" s="367"/>
      <c r="VUL212" s="367"/>
      <c r="VUM212" s="368" t="s">
        <v>168</v>
      </c>
      <c r="VUN212" s="369">
        <v>0.5</v>
      </c>
      <c r="VUO212" s="370" t="e">
        <f>10/VUK210</f>
        <v>#DIV/0!</v>
      </c>
      <c r="VUP212" s="371">
        <v>15.38</v>
      </c>
      <c r="VUQ212" s="371" t="e">
        <f>VUN212*VUO212*VUP212</f>
        <v>#DIV/0!</v>
      </c>
      <c r="VUR212" s="367" t="s">
        <v>206</v>
      </c>
      <c r="VUS212" s="367"/>
      <c r="VUT212" s="367"/>
      <c r="VUU212" s="368" t="s">
        <v>168</v>
      </c>
      <c r="VUV212" s="369">
        <v>0.5</v>
      </c>
      <c r="VUW212" s="370" t="e">
        <f>10/VUS210</f>
        <v>#DIV/0!</v>
      </c>
      <c r="VUX212" s="371">
        <v>15.38</v>
      </c>
      <c r="VUY212" s="371" t="e">
        <f>VUV212*VUW212*VUX212</f>
        <v>#DIV/0!</v>
      </c>
      <c r="VUZ212" s="367" t="s">
        <v>206</v>
      </c>
      <c r="VVA212" s="367"/>
      <c r="VVB212" s="367"/>
      <c r="VVC212" s="368" t="s">
        <v>168</v>
      </c>
      <c r="VVD212" s="369">
        <v>0.5</v>
      </c>
      <c r="VVE212" s="370" t="e">
        <f>10/VVA210</f>
        <v>#DIV/0!</v>
      </c>
      <c r="VVF212" s="371">
        <v>15.38</v>
      </c>
      <c r="VVG212" s="371" t="e">
        <f>VVD212*VVE212*VVF212</f>
        <v>#DIV/0!</v>
      </c>
      <c r="VVH212" s="367" t="s">
        <v>206</v>
      </c>
      <c r="VVI212" s="367"/>
      <c r="VVJ212" s="367"/>
      <c r="VVK212" s="368" t="s">
        <v>168</v>
      </c>
      <c r="VVL212" s="369">
        <v>0.5</v>
      </c>
      <c r="VVM212" s="370" t="e">
        <f>10/VVI210</f>
        <v>#DIV/0!</v>
      </c>
      <c r="VVN212" s="371">
        <v>15.38</v>
      </c>
      <c r="VVO212" s="371" t="e">
        <f>VVL212*VVM212*VVN212</f>
        <v>#DIV/0!</v>
      </c>
      <c r="VVP212" s="367" t="s">
        <v>206</v>
      </c>
      <c r="VVQ212" s="367"/>
      <c r="VVR212" s="367"/>
      <c r="VVS212" s="368" t="s">
        <v>168</v>
      </c>
      <c r="VVT212" s="369">
        <v>0.5</v>
      </c>
      <c r="VVU212" s="370" t="e">
        <f>10/VVQ210</f>
        <v>#DIV/0!</v>
      </c>
      <c r="VVV212" s="371">
        <v>15.38</v>
      </c>
      <c r="VVW212" s="371" t="e">
        <f>VVT212*VVU212*VVV212</f>
        <v>#DIV/0!</v>
      </c>
      <c r="VVX212" s="367" t="s">
        <v>206</v>
      </c>
      <c r="VVY212" s="367"/>
      <c r="VVZ212" s="367"/>
      <c r="VWA212" s="368" t="s">
        <v>168</v>
      </c>
      <c r="VWB212" s="369">
        <v>0.5</v>
      </c>
      <c r="VWC212" s="370" t="e">
        <f>10/VVY210</f>
        <v>#DIV/0!</v>
      </c>
      <c r="VWD212" s="371">
        <v>15.38</v>
      </c>
      <c r="VWE212" s="371" t="e">
        <f>VWB212*VWC212*VWD212</f>
        <v>#DIV/0!</v>
      </c>
      <c r="VWF212" s="367" t="s">
        <v>206</v>
      </c>
      <c r="VWG212" s="367"/>
      <c r="VWH212" s="367"/>
      <c r="VWI212" s="368" t="s">
        <v>168</v>
      </c>
      <c r="VWJ212" s="369">
        <v>0.5</v>
      </c>
      <c r="VWK212" s="370" t="e">
        <f>10/VWG210</f>
        <v>#DIV/0!</v>
      </c>
      <c r="VWL212" s="371">
        <v>15.38</v>
      </c>
      <c r="VWM212" s="371" t="e">
        <f>VWJ212*VWK212*VWL212</f>
        <v>#DIV/0!</v>
      </c>
      <c r="VWN212" s="367" t="s">
        <v>206</v>
      </c>
      <c r="VWO212" s="367"/>
      <c r="VWP212" s="367"/>
      <c r="VWQ212" s="368" t="s">
        <v>168</v>
      </c>
      <c r="VWR212" s="369">
        <v>0.5</v>
      </c>
      <c r="VWS212" s="370" t="e">
        <f>10/VWO210</f>
        <v>#DIV/0!</v>
      </c>
      <c r="VWT212" s="371">
        <v>15.38</v>
      </c>
      <c r="VWU212" s="371" t="e">
        <f>VWR212*VWS212*VWT212</f>
        <v>#DIV/0!</v>
      </c>
      <c r="VWV212" s="367" t="s">
        <v>206</v>
      </c>
      <c r="VWW212" s="367"/>
      <c r="VWX212" s="367"/>
      <c r="VWY212" s="368" t="s">
        <v>168</v>
      </c>
      <c r="VWZ212" s="369">
        <v>0.5</v>
      </c>
      <c r="VXA212" s="370" t="e">
        <f>10/VWW210</f>
        <v>#DIV/0!</v>
      </c>
      <c r="VXB212" s="371">
        <v>15.38</v>
      </c>
      <c r="VXC212" s="371" t="e">
        <f>VWZ212*VXA212*VXB212</f>
        <v>#DIV/0!</v>
      </c>
      <c r="VXD212" s="367" t="s">
        <v>206</v>
      </c>
      <c r="VXE212" s="367"/>
      <c r="VXF212" s="367"/>
      <c r="VXG212" s="368" t="s">
        <v>168</v>
      </c>
      <c r="VXH212" s="369">
        <v>0.5</v>
      </c>
      <c r="VXI212" s="370" t="e">
        <f>10/VXE210</f>
        <v>#DIV/0!</v>
      </c>
      <c r="VXJ212" s="371">
        <v>15.38</v>
      </c>
      <c r="VXK212" s="371" t="e">
        <f>VXH212*VXI212*VXJ212</f>
        <v>#DIV/0!</v>
      </c>
      <c r="VXL212" s="367" t="s">
        <v>206</v>
      </c>
      <c r="VXM212" s="367"/>
      <c r="VXN212" s="367"/>
      <c r="VXO212" s="368" t="s">
        <v>168</v>
      </c>
      <c r="VXP212" s="369">
        <v>0.5</v>
      </c>
      <c r="VXQ212" s="370" t="e">
        <f>10/VXM210</f>
        <v>#DIV/0!</v>
      </c>
      <c r="VXR212" s="371">
        <v>15.38</v>
      </c>
      <c r="VXS212" s="371" t="e">
        <f>VXP212*VXQ212*VXR212</f>
        <v>#DIV/0!</v>
      </c>
      <c r="VXT212" s="367" t="s">
        <v>206</v>
      </c>
      <c r="VXU212" s="367"/>
      <c r="VXV212" s="367"/>
      <c r="VXW212" s="368" t="s">
        <v>168</v>
      </c>
      <c r="VXX212" s="369">
        <v>0.5</v>
      </c>
      <c r="VXY212" s="370" t="e">
        <f>10/VXU210</f>
        <v>#DIV/0!</v>
      </c>
      <c r="VXZ212" s="371">
        <v>15.38</v>
      </c>
      <c r="VYA212" s="371" t="e">
        <f>VXX212*VXY212*VXZ212</f>
        <v>#DIV/0!</v>
      </c>
      <c r="VYB212" s="367" t="s">
        <v>206</v>
      </c>
      <c r="VYC212" s="367"/>
      <c r="VYD212" s="367"/>
      <c r="VYE212" s="368" t="s">
        <v>168</v>
      </c>
      <c r="VYF212" s="369">
        <v>0.5</v>
      </c>
      <c r="VYG212" s="370" t="e">
        <f>10/VYC210</f>
        <v>#DIV/0!</v>
      </c>
      <c r="VYH212" s="371">
        <v>15.38</v>
      </c>
      <c r="VYI212" s="371" t="e">
        <f>VYF212*VYG212*VYH212</f>
        <v>#DIV/0!</v>
      </c>
      <c r="VYJ212" s="367" t="s">
        <v>206</v>
      </c>
      <c r="VYK212" s="367"/>
      <c r="VYL212" s="367"/>
      <c r="VYM212" s="368" t="s">
        <v>168</v>
      </c>
      <c r="VYN212" s="369">
        <v>0.5</v>
      </c>
      <c r="VYO212" s="370" t="e">
        <f>10/VYK210</f>
        <v>#DIV/0!</v>
      </c>
      <c r="VYP212" s="371">
        <v>15.38</v>
      </c>
      <c r="VYQ212" s="371" t="e">
        <f>VYN212*VYO212*VYP212</f>
        <v>#DIV/0!</v>
      </c>
      <c r="VYR212" s="367" t="s">
        <v>206</v>
      </c>
      <c r="VYS212" s="367"/>
      <c r="VYT212" s="367"/>
      <c r="VYU212" s="368" t="s">
        <v>168</v>
      </c>
      <c r="VYV212" s="369">
        <v>0.5</v>
      </c>
      <c r="VYW212" s="370" t="e">
        <f>10/VYS210</f>
        <v>#DIV/0!</v>
      </c>
      <c r="VYX212" s="371">
        <v>15.38</v>
      </c>
      <c r="VYY212" s="371" t="e">
        <f>VYV212*VYW212*VYX212</f>
        <v>#DIV/0!</v>
      </c>
      <c r="VYZ212" s="367" t="s">
        <v>206</v>
      </c>
      <c r="VZA212" s="367"/>
      <c r="VZB212" s="367"/>
      <c r="VZC212" s="368" t="s">
        <v>168</v>
      </c>
      <c r="VZD212" s="369">
        <v>0.5</v>
      </c>
      <c r="VZE212" s="370" t="e">
        <f>10/VZA210</f>
        <v>#DIV/0!</v>
      </c>
      <c r="VZF212" s="371">
        <v>15.38</v>
      </c>
      <c r="VZG212" s="371" t="e">
        <f>VZD212*VZE212*VZF212</f>
        <v>#DIV/0!</v>
      </c>
      <c r="VZH212" s="367" t="s">
        <v>206</v>
      </c>
      <c r="VZI212" s="367"/>
      <c r="VZJ212" s="367"/>
      <c r="VZK212" s="368" t="s">
        <v>168</v>
      </c>
      <c r="VZL212" s="369">
        <v>0.5</v>
      </c>
      <c r="VZM212" s="370" t="e">
        <f>10/VZI210</f>
        <v>#DIV/0!</v>
      </c>
      <c r="VZN212" s="371">
        <v>15.38</v>
      </c>
      <c r="VZO212" s="371" t="e">
        <f>VZL212*VZM212*VZN212</f>
        <v>#DIV/0!</v>
      </c>
      <c r="VZP212" s="367" t="s">
        <v>206</v>
      </c>
      <c r="VZQ212" s="367"/>
      <c r="VZR212" s="367"/>
      <c r="VZS212" s="368" t="s">
        <v>168</v>
      </c>
      <c r="VZT212" s="369">
        <v>0.5</v>
      </c>
      <c r="VZU212" s="370" t="e">
        <f>10/VZQ210</f>
        <v>#DIV/0!</v>
      </c>
      <c r="VZV212" s="371">
        <v>15.38</v>
      </c>
      <c r="VZW212" s="371" t="e">
        <f>VZT212*VZU212*VZV212</f>
        <v>#DIV/0!</v>
      </c>
      <c r="VZX212" s="367" t="s">
        <v>206</v>
      </c>
      <c r="VZY212" s="367"/>
      <c r="VZZ212" s="367"/>
      <c r="WAA212" s="368" t="s">
        <v>168</v>
      </c>
      <c r="WAB212" s="369">
        <v>0.5</v>
      </c>
      <c r="WAC212" s="370" t="e">
        <f>10/VZY210</f>
        <v>#DIV/0!</v>
      </c>
      <c r="WAD212" s="371">
        <v>15.38</v>
      </c>
      <c r="WAE212" s="371" t="e">
        <f>WAB212*WAC212*WAD212</f>
        <v>#DIV/0!</v>
      </c>
      <c r="WAF212" s="367" t="s">
        <v>206</v>
      </c>
      <c r="WAG212" s="367"/>
      <c r="WAH212" s="367"/>
      <c r="WAI212" s="368" t="s">
        <v>168</v>
      </c>
      <c r="WAJ212" s="369">
        <v>0.5</v>
      </c>
      <c r="WAK212" s="370" t="e">
        <f>10/WAG210</f>
        <v>#DIV/0!</v>
      </c>
      <c r="WAL212" s="371">
        <v>15.38</v>
      </c>
      <c r="WAM212" s="371" t="e">
        <f>WAJ212*WAK212*WAL212</f>
        <v>#DIV/0!</v>
      </c>
      <c r="WAN212" s="367" t="s">
        <v>206</v>
      </c>
      <c r="WAO212" s="367"/>
      <c r="WAP212" s="367"/>
      <c r="WAQ212" s="368" t="s">
        <v>168</v>
      </c>
      <c r="WAR212" s="369">
        <v>0.5</v>
      </c>
      <c r="WAS212" s="370" t="e">
        <f>10/WAO210</f>
        <v>#DIV/0!</v>
      </c>
      <c r="WAT212" s="371">
        <v>15.38</v>
      </c>
      <c r="WAU212" s="371" t="e">
        <f>WAR212*WAS212*WAT212</f>
        <v>#DIV/0!</v>
      </c>
      <c r="WAV212" s="367" t="s">
        <v>206</v>
      </c>
      <c r="WAW212" s="367"/>
      <c r="WAX212" s="367"/>
      <c r="WAY212" s="368" t="s">
        <v>168</v>
      </c>
      <c r="WAZ212" s="369">
        <v>0.5</v>
      </c>
      <c r="WBA212" s="370" t="e">
        <f>10/WAW210</f>
        <v>#DIV/0!</v>
      </c>
      <c r="WBB212" s="371">
        <v>15.38</v>
      </c>
      <c r="WBC212" s="371" t="e">
        <f>WAZ212*WBA212*WBB212</f>
        <v>#DIV/0!</v>
      </c>
      <c r="WBD212" s="367" t="s">
        <v>206</v>
      </c>
      <c r="WBE212" s="367"/>
      <c r="WBF212" s="367"/>
      <c r="WBG212" s="368" t="s">
        <v>168</v>
      </c>
      <c r="WBH212" s="369">
        <v>0.5</v>
      </c>
      <c r="WBI212" s="370" t="e">
        <f>10/WBE210</f>
        <v>#DIV/0!</v>
      </c>
      <c r="WBJ212" s="371">
        <v>15.38</v>
      </c>
      <c r="WBK212" s="371" t="e">
        <f>WBH212*WBI212*WBJ212</f>
        <v>#DIV/0!</v>
      </c>
      <c r="WBL212" s="367" t="s">
        <v>206</v>
      </c>
      <c r="WBM212" s="367"/>
      <c r="WBN212" s="367"/>
      <c r="WBO212" s="368" t="s">
        <v>168</v>
      </c>
      <c r="WBP212" s="369">
        <v>0.5</v>
      </c>
      <c r="WBQ212" s="370" t="e">
        <f>10/WBM210</f>
        <v>#DIV/0!</v>
      </c>
      <c r="WBR212" s="371">
        <v>15.38</v>
      </c>
      <c r="WBS212" s="371" t="e">
        <f>WBP212*WBQ212*WBR212</f>
        <v>#DIV/0!</v>
      </c>
      <c r="WBT212" s="367" t="s">
        <v>206</v>
      </c>
      <c r="WBU212" s="367"/>
      <c r="WBV212" s="367"/>
      <c r="WBW212" s="368" t="s">
        <v>168</v>
      </c>
      <c r="WBX212" s="369">
        <v>0.5</v>
      </c>
      <c r="WBY212" s="370" t="e">
        <f>10/WBU210</f>
        <v>#DIV/0!</v>
      </c>
      <c r="WBZ212" s="371">
        <v>15.38</v>
      </c>
      <c r="WCA212" s="371" t="e">
        <f>WBX212*WBY212*WBZ212</f>
        <v>#DIV/0!</v>
      </c>
      <c r="WCB212" s="367" t="s">
        <v>206</v>
      </c>
      <c r="WCC212" s="367"/>
      <c r="WCD212" s="367"/>
      <c r="WCE212" s="368" t="s">
        <v>168</v>
      </c>
      <c r="WCF212" s="369">
        <v>0.5</v>
      </c>
      <c r="WCG212" s="370" t="e">
        <f>10/WCC210</f>
        <v>#DIV/0!</v>
      </c>
      <c r="WCH212" s="371">
        <v>15.38</v>
      </c>
      <c r="WCI212" s="371" t="e">
        <f>WCF212*WCG212*WCH212</f>
        <v>#DIV/0!</v>
      </c>
      <c r="WCJ212" s="367" t="s">
        <v>206</v>
      </c>
      <c r="WCK212" s="367"/>
      <c r="WCL212" s="367"/>
      <c r="WCM212" s="368" t="s">
        <v>168</v>
      </c>
      <c r="WCN212" s="369">
        <v>0.5</v>
      </c>
      <c r="WCO212" s="370" t="e">
        <f>10/WCK210</f>
        <v>#DIV/0!</v>
      </c>
      <c r="WCP212" s="371">
        <v>15.38</v>
      </c>
      <c r="WCQ212" s="371" t="e">
        <f>WCN212*WCO212*WCP212</f>
        <v>#DIV/0!</v>
      </c>
      <c r="WCR212" s="367" t="s">
        <v>206</v>
      </c>
      <c r="WCS212" s="367"/>
      <c r="WCT212" s="367"/>
      <c r="WCU212" s="368" t="s">
        <v>168</v>
      </c>
      <c r="WCV212" s="369">
        <v>0.5</v>
      </c>
      <c r="WCW212" s="370" t="e">
        <f>10/WCS210</f>
        <v>#DIV/0!</v>
      </c>
      <c r="WCX212" s="371">
        <v>15.38</v>
      </c>
      <c r="WCY212" s="371" t="e">
        <f>WCV212*WCW212*WCX212</f>
        <v>#DIV/0!</v>
      </c>
      <c r="WCZ212" s="367" t="s">
        <v>206</v>
      </c>
      <c r="WDA212" s="367"/>
      <c r="WDB212" s="367"/>
      <c r="WDC212" s="368" t="s">
        <v>168</v>
      </c>
      <c r="WDD212" s="369">
        <v>0.5</v>
      </c>
      <c r="WDE212" s="370" t="e">
        <f>10/WDA210</f>
        <v>#DIV/0!</v>
      </c>
      <c r="WDF212" s="371">
        <v>15.38</v>
      </c>
      <c r="WDG212" s="371" t="e">
        <f>WDD212*WDE212*WDF212</f>
        <v>#DIV/0!</v>
      </c>
      <c r="WDH212" s="367" t="s">
        <v>206</v>
      </c>
      <c r="WDI212" s="367"/>
      <c r="WDJ212" s="367"/>
      <c r="WDK212" s="368" t="s">
        <v>168</v>
      </c>
      <c r="WDL212" s="369">
        <v>0.5</v>
      </c>
      <c r="WDM212" s="370" t="e">
        <f>10/WDI210</f>
        <v>#DIV/0!</v>
      </c>
      <c r="WDN212" s="371">
        <v>15.38</v>
      </c>
      <c r="WDO212" s="371" t="e">
        <f>WDL212*WDM212*WDN212</f>
        <v>#DIV/0!</v>
      </c>
      <c r="WDP212" s="367" t="s">
        <v>206</v>
      </c>
      <c r="WDQ212" s="367"/>
      <c r="WDR212" s="367"/>
      <c r="WDS212" s="368" t="s">
        <v>168</v>
      </c>
      <c r="WDT212" s="369">
        <v>0.5</v>
      </c>
      <c r="WDU212" s="370" t="e">
        <f>10/WDQ210</f>
        <v>#DIV/0!</v>
      </c>
      <c r="WDV212" s="371">
        <v>15.38</v>
      </c>
      <c r="WDW212" s="371" t="e">
        <f>WDT212*WDU212*WDV212</f>
        <v>#DIV/0!</v>
      </c>
      <c r="WDX212" s="367" t="s">
        <v>206</v>
      </c>
      <c r="WDY212" s="367"/>
      <c r="WDZ212" s="367"/>
      <c r="WEA212" s="368" t="s">
        <v>168</v>
      </c>
      <c r="WEB212" s="369">
        <v>0.5</v>
      </c>
      <c r="WEC212" s="370" t="e">
        <f>10/WDY210</f>
        <v>#DIV/0!</v>
      </c>
      <c r="WED212" s="371">
        <v>15.38</v>
      </c>
      <c r="WEE212" s="371" t="e">
        <f>WEB212*WEC212*WED212</f>
        <v>#DIV/0!</v>
      </c>
      <c r="WEF212" s="367" t="s">
        <v>206</v>
      </c>
      <c r="WEG212" s="367"/>
      <c r="WEH212" s="367"/>
      <c r="WEI212" s="368" t="s">
        <v>168</v>
      </c>
      <c r="WEJ212" s="369">
        <v>0.5</v>
      </c>
      <c r="WEK212" s="370" t="e">
        <f>10/WEG210</f>
        <v>#DIV/0!</v>
      </c>
      <c r="WEL212" s="371">
        <v>15.38</v>
      </c>
      <c r="WEM212" s="371" t="e">
        <f>WEJ212*WEK212*WEL212</f>
        <v>#DIV/0!</v>
      </c>
      <c r="WEN212" s="367" t="s">
        <v>206</v>
      </c>
      <c r="WEO212" s="367"/>
      <c r="WEP212" s="367"/>
      <c r="WEQ212" s="368" t="s">
        <v>168</v>
      </c>
      <c r="WER212" s="369">
        <v>0.5</v>
      </c>
      <c r="WES212" s="370" t="e">
        <f>10/WEO210</f>
        <v>#DIV/0!</v>
      </c>
      <c r="WET212" s="371">
        <v>15.38</v>
      </c>
      <c r="WEU212" s="371" t="e">
        <f>WER212*WES212*WET212</f>
        <v>#DIV/0!</v>
      </c>
      <c r="WEV212" s="367" t="s">
        <v>206</v>
      </c>
      <c r="WEW212" s="367"/>
      <c r="WEX212" s="367"/>
      <c r="WEY212" s="368" t="s">
        <v>168</v>
      </c>
      <c r="WEZ212" s="369">
        <v>0.5</v>
      </c>
      <c r="WFA212" s="370" t="e">
        <f>10/WEW210</f>
        <v>#DIV/0!</v>
      </c>
      <c r="WFB212" s="371">
        <v>15.38</v>
      </c>
      <c r="WFC212" s="371" t="e">
        <f>WEZ212*WFA212*WFB212</f>
        <v>#DIV/0!</v>
      </c>
      <c r="WFD212" s="367" t="s">
        <v>206</v>
      </c>
      <c r="WFE212" s="367"/>
      <c r="WFF212" s="367"/>
      <c r="WFG212" s="368" t="s">
        <v>168</v>
      </c>
      <c r="WFH212" s="369">
        <v>0.5</v>
      </c>
      <c r="WFI212" s="370" t="e">
        <f>10/WFE210</f>
        <v>#DIV/0!</v>
      </c>
      <c r="WFJ212" s="371">
        <v>15.38</v>
      </c>
      <c r="WFK212" s="371" t="e">
        <f>WFH212*WFI212*WFJ212</f>
        <v>#DIV/0!</v>
      </c>
      <c r="WFL212" s="367" t="s">
        <v>206</v>
      </c>
      <c r="WFM212" s="367"/>
      <c r="WFN212" s="367"/>
      <c r="WFO212" s="368" t="s">
        <v>168</v>
      </c>
      <c r="WFP212" s="369">
        <v>0.5</v>
      </c>
      <c r="WFQ212" s="370" t="e">
        <f>10/WFM210</f>
        <v>#DIV/0!</v>
      </c>
      <c r="WFR212" s="371">
        <v>15.38</v>
      </c>
      <c r="WFS212" s="371" t="e">
        <f>WFP212*WFQ212*WFR212</f>
        <v>#DIV/0!</v>
      </c>
      <c r="WFT212" s="367" t="s">
        <v>206</v>
      </c>
      <c r="WFU212" s="367"/>
      <c r="WFV212" s="367"/>
      <c r="WFW212" s="368" t="s">
        <v>168</v>
      </c>
      <c r="WFX212" s="369">
        <v>0.5</v>
      </c>
      <c r="WFY212" s="370" t="e">
        <f>10/WFU210</f>
        <v>#DIV/0!</v>
      </c>
      <c r="WFZ212" s="371">
        <v>15.38</v>
      </c>
      <c r="WGA212" s="371" t="e">
        <f>WFX212*WFY212*WFZ212</f>
        <v>#DIV/0!</v>
      </c>
      <c r="WGB212" s="367" t="s">
        <v>206</v>
      </c>
      <c r="WGC212" s="367"/>
      <c r="WGD212" s="367"/>
      <c r="WGE212" s="368" t="s">
        <v>168</v>
      </c>
      <c r="WGF212" s="369">
        <v>0.5</v>
      </c>
      <c r="WGG212" s="370" t="e">
        <f>10/WGC210</f>
        <v>#DIV/0!</v>
      </c>
      <c r="WGH212" s="371">
        <v>15.38</v>
      </c>
      <c r="WGI212" s="371" t="e">
        <f>WGF212*WGG212*WGH212</f>
        <v>#DIV/0!</v>
      </c>
      <c r="WGJ212" s="367" t="s">
        <v>206</v>
      </c>
      <c r="WGK212" s="367"/>
      <c r="WGL212" s="367"/>
      <c r="WGM212" s="368" t="s">
        <v>168</v>
      </c>
      <c r="WGN212" s="369">
        <v>0.5</v>
      </c>
      <c r="WGO212" s="370" t="e">
        <f>10/WGK210</f>
        <v>#DIV/0!</v>
      </c>
      <c r="WGP212" s="371">
        <v>15.38</v>
      </c>
      <c r="WGQ212" s="371" t="e">
        <f>WGN212*WGO212*WGP212</f>
        <v>#DIV/0!</v>
      </c>
      <c r="WGR212" s="367" t="s">
        <v>206</v>
      </c>
      <c r="WGS212" s="367"/>
      <c r="WGT212" s="367"/>
      <c r="WGU212" s="368" t="s">
        <v>168</v>
      </c>
      <c r="WGV212" s="369">
        <v>0.5</v>
      </c>
      <c r="WGW212" s="370" t="e">
        <f>10/WGS210</f>
        <v>#DIV/0!</v>
      </c>
      <c r="WGX212" s="371">
        <v>15.38</v>
      </c>
      <c r="WGY212" s="371" t="e">
        <f>WGV212*WGW212*WGX212</f>
        <v>#DIV/0!</v>
      </c>
      <c r="WGZ212" s="367" t="s">
        <v>206</v>
      </c>
      <c r="WHA212" s="367"/>
      <c r="WHB212" s="367"/>
      <c r="WHC212" s="368" t="s">
        <v>168</v>
      </c>
      <c r="WHD212" s="369">
        <v>0.5</v>
      </c>
      <c r="WHE212" s="370" t="e">
        <f>10/WHA210</f>
        <v>#DIV/0!</v>
      </c>
      <c r="WHF212" s="371">
        <v>15.38</v>
      </c>
      <c r="WHG212" s="371" t="e">
        <f>WHD212*WHE212*WHF212</f>
        <v>#DIV/0!</v>
      </c>
      <c r="WHH212" s="367" t="s">
        <v>206</v>
      </c>
      <c r="WHI212" s="367"/>
      <c r="WHJ212" s="367"/>
      <c r="WHK212" s="368" t="s">
        <v>168</v>
      </c>
      <c r="WHL212" s="369">
        <v>0.5</v>
      </c>
      <c r="WHM212" s="370" t="e">
        <f>10/WHI210</f>
        <v>#DIV/0!</v>
      </c>
      <c r="WHN212" s="371">
        <v>15.38</v>
      </c>
      <c r="WHO212" s="371" t="e">
        <f>WHL212*WHM212*WHN212</f>
        <v>#DIV/0!</v>
      </c>
      <c r="WHP212" s="367" t="s">
        <v>206</v>
      </c>
      <c r="WHQ212" s="367"/>
      <c r="WHR212" s="367"/>
      <c r="WHS212" s="368" t="s">
        <v>168</v>
      </c>
      <c r="WHT212" s="369">
        <v>0.5</v>
      </c>
      <c r="WHU212" s="370" t="e">
        <f>10/WHQ210</f>
        <v>#DIV/0!</v>
      </c>
      <c r="WHV212" s="371">
        <v>15.38</v>
      </c>
      <c r="WHW212" s="371" t="e">
        <f>WHT212*WHU212*WHV212</f>
        <v>#DIV/0!</v>
      </c>
      <c r="WHX212" s="367" t="s">
        <v>206</v>
      </c>
      <c r="WHY212" s="367"/>
      <c r="WHZ212" s="367"/>
      <c r="WIA212" s="368" t="s">
        <v>168</v>
      </c>
      <c r="WIB212" s="369">
        <v>0.5</v>
      </c>
      <c r="WIC212" s="370" t="e">
        <f>10/WHY210</f>
        <v>#DIV/0!</v>
      </c>
      <c r="WID212" s="371">
        <v>15.38</v>
      </c>
      <c r="WIE212" s="371" t="e">
        <f>WIB212*WIC212*WID212</f>
        <v>#DIV/0!</v>
      </c>
      <c r="WIF212" s="367" t="s">
        <v>206</v>
      </c>
      <c r="WIG212" s="367"/>
      <c r="WIH212" s="367"/>
      <c r="WII212" s="368" t="s">
        <v>168</v>
      </c>
      <c r="WIJ212" s="369">
        <v>0.5</v>
      </c>
      <c r="WIK212" s="370" t="e">
        <f>10/WIG210</f>
        <v>#DIV/0!</v>
      </c>
      <c r="WIL212" s="371">
        <v>15.38</v>
      </c>
      <c r="WIM212" s="371" t="e">
        <f>WIJ212*WIK212*WIL212</f>
        <v>#DIV/0!</v>
      </c>
      <c r="WIN212" s="367" t="s">
        <v>206</v>
      </c>
      <c r="WIO212" s="367"/>
      <c r="WIP212" s="367"/>
      <c r="WIQ212" s="368" t="s">
        <v>168</v>
      </c>
      <c r="WIR212" s="369">
        <v>0.5</v>
      </c>
      <c r="WIS212" s="370" t="e">
        <f>10/WIO210</f>
        <v>#DIV/0!</v>
      </c>
      <c r="WIT212" s="371">
        <v>15.38</v>
      </c>
      <c r="WIU212" s="371" t="e">
        <f>WIR212*WIS212*WIT212</f>
        <v>#DIV/0!</v>
      </c>
      <c r="WIV212" s="367" t="s">
        <v>206</v>
      </c>
      <c r="WIW212" s="367"/>
      <c r="WIX212" s="367"/>
      <c r="WIY212" s="368" t="s">
        <v>168</v>
      </c>
      <c r="WIZ212" s="369">
        <v>0.5</v>
      </c>
      <c r="WJA212" s="370" t="e">
        <f>10/WIW210</f>
        <v>#DIV/0!</v>
      </c>
      <c r="WJB212" s="371">
        <v>15.38</v>
      </c>
      <c r="WJC212" s="371" t="e">
        <f>WIZ212*WJA212*WJB212</f>
        <v>#DIV/0!</v>
      </c>
      <c r="WJD212" s="367" t="s">
        <v>206</v>
      </c>
      <c r="WJE212" s="367"/>
      <c r="WJF212" s="367"/>
      <c r="WJG212" s="368" t="s">
        <v>168</v>
      </c>
      <c r="WJH212" s="369">
        <v>0.5</v>
      </c>
      <c r="WJI212" s="370" t="e">
        <f>10/WJE210</f>
        <v>#DIV/0!</v>
      </c>
      <c r="WJJ212" s="371">
        <v>15.38</v>
      </c>
      <c r="WJK212" s="371" t="e">
        <f>WJH212*WJI212*WJJ212</f>
        <v>#DIV/0!</v>
      </c>
      <c r="WJL212" s="367" t="s">
        <v>206</v>
      </c>
      <c r="WJM212" s="367"/>
      <c r="WJN212" s="367"/>
      <c r="WJO212" s="368" t="s">
        <v>168</v>
      </c>
      <c r="WJP212" s="369">
        <v>0.5</v>
      </c>
      <c r="WJQ212" s="370" t="e">
        <f>10/WJM210</f>
        <v>#DIV/0!</v>
      </c>
      <c r="WJR212" s="371">
        <v>15.38</v>
      </c>
      <c r="WJS212" s="371" t="e">
        <f>WJP212*WJQ212*WJR212</f>
        <v>#DIV/0!</v>
      </c>
      <c r="WJT212" s="367" t="s">
        <v>206</v>
      </c>
      <c r="WJU212" s="367"/>
      <c r="WJV212" s="367"/>
      <c r="WJW212" s="368" t="s">
        <v>168</v>
      </c>
      <c r="WJX212" s="369">
        <v>0.5</v>
      </c>
      <c r="WJY212" s="370" t="e">
        <f>10/WJU210</f>
        <v>#DIV/0!</v>
      </c>
      <c r="WJZ212" s="371">
        <v>15.38</v>
      </c>
      <c r="WKA212" s="371" t="e">
        <f>WJX212*WJY212*WJZ212</f>
        <v>#DIV/0!</v>
      </c>
      <c r="WKB212" s="367" t="s">
        <v>206</v>
      </c>
      <c r="WKC212" s="367"/>
      <c r="WKD212" s="367"/>
      <c r="WKE212" s="368" t="s">
        <v>168</v>
      </c>
      <c r="WKF212" s="369">
        <v>0.5</v>
      </c>
      <c r="WKG212" s="370" t="e">
        <f>10/WKC210</f>
        <v>#DIV/0!</v>
      </c>
      <c r="WKH212" s="371">
        <v>15.38</v>
      </c>
      <c r="WKI212" s="371" t="e">
        <f>WKF212*WKG212*WKH212</f>
        <v>#DIV/0!</v>
      </c>
      <c r="WKJ212" s="367" t="s">
        <v>206</v>
      </c>
      <c r="WKK212" s="367"/>
      <c r="WKL212" s="367"/>
      <c r="WKM212" s="368" t="s">
        <v>168</v>
      </c>
      <c r="WKN212" s="369">
        <v>0.5</v>
      </c>
      <c r="WKO212" s="370" t="e">
        <f>10/WKK210</f>
        <v>#DIV/0!</v>
      </c>
      <c r="WKP212" s="371">
        <v>15.38</v>
      </c>
      <c r="WKQ212" s="371" t="e">
        <f>WKN212*WKO212*WKP212</f>
        <v>#DIV/0!</v>
      </c>
      <c r="WKR212" s="367" t="s">
        <v>206</v>
      </c>
      <c r="WKS212" s="367"/>
      <c r="WKT212" s="367"/>
      <c r="WKU212" s="368" t="s">
        <v>168</v>
      </c>
      <c r="WKV212" s="369">
        <v>0.5</v>
      </c>
      <c r="WKW212" s="370" t="e">
        <f>10/WKS210</f>
        <v>#DIV/0!</v>
      </c>
      <c r="WKX212" s="371">
        <v>15.38</v>
      </c>
      <c r="WKY212" s="371" t="e">
        <f>WKV212*WKW212*WKX212</f>
        <v>#DIV/0!</v>
      </c>
      <c r="WKZ212" s="367" t="s">
        <v>206</v>
      </c>
      <c r="WLA212" s="367"/>
      <c r="WLB212" s="367"/>
      <c r="WLC212" s="368" t="s">
        <v>168</v>
      </c>
      <c r="WLD212" s="369">
        <v>0.5</v>
      </c>
      <c r="WLE212" s="370" t="e">
        <f>10/WLA210</f>
        <v>#DIV/0!</v>
      </c>
      <c r="WLF212" s="371">
        <v>15.38</v>
      </c>
      <c r="WLG212" s="371" t="e">
        <f>WLD212*WLE212*WLF212</f>
        <v>#DIV/0!</v>
      </c>
      <c r="WLH212" s="367" t="s">
        <v>206</v>
      </c>
      <c r="WLI212" s="367"/>
      <c r="WLJ212" s="367"/>
      <c r="WLK212" s="368" t="s">
        <v>168</v>
      </c>
      <c r="WLL212" s="369">
        <v>0.5</v>
      </c>
      <c r="WLM212" s="370" t="e">
        <f>10/WLI210</f>
        <v>#DIV/0!</v>
      </c>
      <c r="WLN212" s="371">
        <v>15.38</v>
      </c>
      <c r="WLO212" s="371" t="e">
        <f>WLL212*WLM212*WLN212</f>
        <v>#DIV/0!</v>
      </c>
      <c r="WLP212" s="367" t="s">
        <v>206</v>
      </c>
      <c r="WLQ212" s="367"/>
      <c r="WLR212" s="367"/>
      <c r="WLS212" s="368" t="s">
        <v>168</v>
      </c>
      <c r="WLT212" s="369">
        <v>0.5</v>
      </c>
      <c r="WLU212" s="370" t="e">
        <f>10/WLQ210</f>
        <v>#DIV/0!</v>
      </c>
      <c r="WLV212" s="371">
        <v>15.38</v>
      </c>
      <c r="WLW212" s="371" t="e">
        <f>WLT212*WLU212*WLV212</f>
        <v>#DIV/0!</v>
      </c>
      <c r="WLX212" s="367" t="s">
        <v>206</v>
      </c>
      <c r="WLY212" s="367"/>
      <c r="WLZ212" s="367"/>
      <c r="WMA212" s="368" t="s">
        <v>168</v>
      </c>
      <c r="WMB212" s="369">
        <v>0.5</v>
      </c>
      <c r="WMC212" s="370" t="e">
        <f>10/WLY210</f>
        <v>#DIV/0!</v>
      </c>
      <c r="WMD212" s="371">
        <v>15.38</v>
      </c>
      <c r="WME212" s="371" t="e">
        <f>WMB212*WMC212*WMD212</f>
        <v>#DIV/0!</v>
      </c>
      <c r="WMF212" s="367" t="s">
        <v>206</v>
      </c>
      <c r="WMG212" s="367"/>
      <c r="WMH212" s="367"/>
      <c r="WMI212" s="368" t="s">
        <v>168</v>
      </c>
      <c r="WMJ212" s="369">
        <v>0.5</v>
      </c>
      <c r="WMK212" s="370" t="e">
        <f>10/WMG210</f>
        <v>#DIV/0!</v>
      </c>
      <c r="WML212" s="371">
        <v>15.38</v>
      </c>
      <c r="WMM212" s="371" t="e">
        <f>WMJ212*WMK212*WML212</f>
        <v>#DIV/0!</v>
      </c>
      <c r="WMN212" s="367" t="s">
        <v>206</v>
      </c>
      <c r="WMO212" s="367"/>
      <c r="WMP212" s="367"/>
      <c r="WMQ212" s="368" t="s">
        <v>168</v>
      </c>
      <c r="WMR212" s="369">
        <v>0.5</v>
      </c>
      <c r="WMS212" s="370" t="e">
        <f>10/WMO210</f>
        <v>#DIV/0!</v>
      </c>
      <c r="WMT212" s="371">
        <v>15.38</v>
      </c>
      <c r="WMU212" s="371" t="e">
        <f>WMR212*WMS212*WMT212</f>
        <v>#DIV/0!</v>
      </c>
      <c r="WMV212" s="367" t="s">
        <v>206</v>
      </c>
      <c r="WMW212" s="367"/>
      <c r="WMX212" s="367"/>
      <c r="WMY212" s="368" t="s">
        <v>168</v>
      </c>
      <c r="WMZ212" s="369">
        <v>0.5</v>
      </c>
      <c r="WNA212" s="370" t="e">
        <f>10/WMW210</f>
        <v>#DIV/0!</v>
      </c>
      <c r="WNB212" s="371">
        <v>15.38</v>
      </c>
      <c r="WNC212" s="371" t="e">
        <f>WMZ212*WNA212*WNB212</f>
        <v>#DIV/0!</v>
      </c>
      <c r="WND212" s="367" t="s">
        <v>206</v>
      </c>
      <c r="WNE212" s="367"/>
      <c r="WNF212" s="367"/>
      <c r="WNG212" s="368" t="s">
        <v>168</v>
      </c>
      <c r="WNH212" s="369">
        <v>0.5</v>
      </c>
      <c r="WNI212" s="370" t="e">
        <f>10/WNE210</f>
        <v>#DIV/0!</v>
      </c>
      <c r="WNJ212" s="371">
        <v>15.38</v>
      </c>
      <c r="WNK212" s="371" t="e">
        <f>WNH212*WNI212*WNJ212</f>
        <v>#DIV/0!</v>
      </c>
      <c r="WNL212" s="367" t="s">
        <v>206</v>
      </c>
      <c r="WNM212" s="367"/>
      <c r="WNN212" s="367"/>
      <c r="WNO212" s="368" t="s">
        <v>168</v>
      </c>
      <c r="WNP212" s="369">
        <v>0.5</v>
      </c>
      <c r="WNQ212" s="370" t="e">
        <f>10/WNM210</f>
        <v>#DIV/0!</v>
      </c>
      <c r="WNR212" s="371">
        <v>15.38</v>
      </c>
      <c r="WNS212" s="371" t="e">
        <f>WNP212*WNQ212*WNR212</f>
        <v>#DIV/0!</v>
      </c>
      <c r="WNT212" s="367" t="s">
        <v>206</v>
      </c>
      <c r="WNU212" s="367"/>
      <c r="WNV212" s="367"/>
      <c r="WNW212" s="368" t="s">
        <v>168</v>
      </c>
      <c r="WNX212" s="369">
        <v>0.5</v>
      </c>
      <c r="WNY212" s="370" t="e">
        <f>10/WNU210</f>
        <v>#DIV/0!</v>
      </c>
      <c r="WNZ212" s="371">
        <v>15.38</v>
      </c>
      <c r="WOA212" s="371" t="e">
        <f>WNX212*WNY212*WNZ212</f>
        <v>#DIV/0!</v>
      </c>
      <c r="WOB212" s="367" t="s">
        <v>206</v>
      </c>
      <c r="WOC212" s="367"/>
      <c r="WOD212" s="367"/>
      <c r="WOE212" s="368" t="s">
        <v>168</v>
      </c>
      <c r="WOF212" s="369">
        <v>0.5</v>
      </c>
      <c r="WOG212" s="370" t="e">
        <f>10/WOC210</f>
        <v>#DIV/0!</v>
      </c>
      <c r="WOH212" s="371">
        <v>15.38</v>
      </c>
      <c r="WOI212" s="371" t="e">
        <f>WOF212*WOG212*WOH212</f>
        <v>#DIV/0!</v>
      </c>
      <c r="WOJ212" s="367" t="s">
        <v>206</v>
      </c>
      <c r="WOK212" s="367"/>
      <c r="WOL212" s="367"/>
      <c r="WOM212" s="368" t="s">
        <v>168</v>
      </c>
      <c r="WON212" s="369">
        <v>0.5</v>
      </c>
      <c r="WOO212" s="370" t="e">
        <f>10/WOK210</f>
        <v>#DIV/0!</v>
      </c>
      <c r="WOP212" s="371">
        <v>15.38</v>
      </c>
      <c r="WOQ212" s="371" t="e">
        <f>WON212*WOO212*WOP212</f>
        <v>#DIV/0!</v>
      </c>
      <c r="WOR212" s="367" t="s">
        <v>206</v>
      </c>
      <c r="WOS212" s="367"/>
      <c r="WOT212" s="367"/>
      <c r="WOU212" s="368" t="s">
        <v>168</v>
      </c>
      <c r="WOV212" s="369">
        <v>0.5</v>
      </c>
      <c r="WOW212" s="370" t="e">
        <f>10/WOS210</f>
        <v>#DIV/0!</v>
      </c>
      <c r="WOX212" s="371">
        <v>15.38</v>
      </c>
      <c r="WOY212" s="371" t="e">
        <f>WOV212*WOW212*WOX212</f>
        <v>#DIV/0!</v>
      </c>
      <c r="WOZ212" s="367" t="s">
        <v>206</v>
      </c>
      <c r="WPA212" s="367"/>
      <c r="WPB212" s="367"/>
      <c r="WPC212" s="368" t="s">
        <v>168</v>
      </c>
      <c r="WPD212" s="369">
        <v>0.5</v>
      </c>
      <c r="WPE212" s="370" t="e">
        <f>10/WPA210</f>
        <v>#DIV/0!</v>
      </c>
      <c r="WPF212" s="371">
        <v>15.38</v>
      </c>
      <c r="WPG212" s="371" t="e">
        <f>WPD212*WPE212*WPF212</f>
        <v>#DIV/0!</v>
      </c>
      <c r="WPH212" s="367" t="s">
        <v>206</v>
      </c>
      <c r="WPI212" s="367"/>
      <c r="WPJ212" s="367"/>
      <c r="WPK212" s="368" t="s">
        <v>168</v>
      </c>
      <c r="WPL212" s="369">
        <v>0.5</v>
      </c>
      <c r="WPM212" s="370" t="e">
        <f>10/WPI210</f>
        <v>#DIV/0!</v>
      </c>
      <c r="WPN212" s="371">
        <v>15.38</v>
      </c>
      <c r="WPO212" s="371" t="e">
        <f>WPL212*WPM212*WPN212</f>
        <v>#DIV/0!</v>
      </c>
      <c r="WPP212" s="367" t="s">
        <v>206</v>
      </c>
      <c r="WPQ212" s="367"/>
      <c r="WPR212" s="367"/>
      <c r="WPS212" s="368" t="s">
        <v>168</v>
      </c>
      <c r="WPT212" s="369">
        <v>0.5</v>
      </c>
      <c r="WPU212" s="370" t="e">
        <f>10/WPQ210</f>
        <v>#DIV/0!</v>
      </c>
      <c r="WPV212" s="371">
        <v>15.38</v>
      </c>
      <c r="WPW212" s="371" t="e">
        <f>WPT212*WPU212*WPV212</f>
        <v>#DIV/0!</v>
      </c>
      <c r="WPX212" s="367" t="s">
        <v>206</v>
      </c>
      <c r="WPY212" s="367"/>
      <c r="WPZ212" s="367"/>
      <c r="WQA212" s="368" t="s">
        <v>168</v>
      </c>
      <c r="WQB212" s="369">
        <v>0.5</v>
      </c>
      <c r="WQC212" s="370" t="e">
        <f>10/WPY210</f>
        <v>#DIV/0!</v>
      </c>
      <c r="WQD212" s="371">
        <v>15.38</v>
      </c>
      <c r="WQE212" s="371" t="e">
        <f>WQB212*WQC212*WQD212</f>
        <v>#DIV/0!</v>
      </c>
      <c r="WQF212" s="367" t="s">
        <v>206</v>
      </c>
      <c r="WQG212" s="367"/>
      <c r="WQH212" s="367"/>
      <c r="WQI212" s="368" t="s">
        <v>168</v>
      </c>
      <c r="WQJ212" s="369">
        <v>0.5</v>
      </c>
      <c r="WQK212" s="370" t="e">
        <f>10/WQG210</f>
        <v>#DIV/0!</v>
      </c>
      <c r="WQL212" s="371">
        <v>15.38</v>
      </c>
      <c r="WQM212" s="371" t="e">
        <f>WQJ212*WQK212*WQL212</f>
        <v>#DIV/0!</v>
      </c>
      <c r="WQN212" s="367" t="s">
        <v>206</v>
      </c>
      <c r="WQO212" s="367"/>
      <c r="WQP212" s="367"/>
      <c r="WQQ212" s="368" t="s">
        <v>168</v>
      </c>
      <c r="WQR212" s="369">
        <v>0.5</v>
      </c>
      <c r="WQS212" s="370" t="e">
        <f>10/WQO210</f>
        <v>#DIV/0!</v>
      </c>
      <c r="WQT212" s="371">
        <v>15.38</v>
      </c>
      <c r="WQU212" s="371" t="e">
        <f>WQR212*WQS212*WQT212</f>
        <v>#DIV/0!</v>
      </c>
      <c r="WQV212" s="367" t="s">
        <v>206</v>
      </c>
      <c r="WQW212" s="367"/>
      <c r="WQX212" s="367"/>
      <c r="WQY212" s="368" t="s">
        <v>168</v>
      </c>
      <c r="WQZ212" s="369">
        <v>0.5</v>
      </c>
      <c r="WRA212" s="370" t="e">
        <f>10/WQW210</f>
        <v>#DIV/0!</v>
      </c>
      <c r="WRB212" s="371">
        <v>15.38</v>
      </c>
      <c r="WRC212" s="371" t="e">
        <f>WQZ212*WRA212*WRB212</f>
        <v>#DIV/0!</v>
      </c>
      <c r="WRD212" s="367" t="s">
        <v>206</v>
      </c>
      <c r="WRE212" s="367"/>
      <c r="WRF212" s="367"/>
      <c r="WRG212" s="368" t="s">
        <v>168</v>
      </c>
      <c r="WRH212" s="369">
        <v>0.5</v>
      </c>
      <c r="WRI212" s="370" t="e">
        <f>10/WRE210</f>
        <v>#DIV/0!</v>
      </c>
      <c r="WRJ212" s="371">
        <v>15.38</v>
      </c>
      <c r="WRK212" s="371" t="e">
        <f>WRH212*WRI212*WRJ212</f>
        <v>#DIV/0!</v>
      </c>
      <c r="WRL212" s="367" t="s">
        <v>206</v>
      </c>
      <c r="WRM212" s="367"/>
      <c r="WRN212" s="367"/>
      <c r="WRO212" s="368" t="s">
        <v>168</v>
      </c>
      <c r="WRP212" s="369">
        <v>0.5</v>
      </c>
      <c r="WRQ212" s="370" t="e">
        <f>10/WRM210</f>
        <v>#DIV/0!</v>
      </c>
      <c r="WRR212" s="371">
        <v>15.38</v>
      </c>
      <c r="WRS212" s="371" t="e">
        <f>WRP212*WRQ212*WRR212</f>
        <v>#DIV/0!</v>
      </c>
      <c r="WRT212" s="367" t="s">
        <v>206</v>
      </c>
      <c r="WRU212" s="367"/>
      <c r="WRV212" s="367"/>
      <c r="WRW212" s="368" t="s">
        <v>168</v>
      </c>
      <c r="WRX212" s="369">
        <v>0.5</v>
      </c>
      <c r="WRY212" s="370" t="e">
        <f>10/WRU210</f>
        <v>#DIV/0!</v>
      </c>
      <c r="WRZ212" s="371">
        <v>15.38</v>
      </c>
      <c r="WSA212" s="371" t="e">
        <f>WRX212*WRY212*WRZ212</f>
        <v>#DIV/0!</v>
      </c>
      <c r="WSB212" s="367" t="s">
        <v>206</v>
      </c>
      <c r="WSC212" s="367"/>
      <c r="WSD212" s="367"/>
      <c r="WSE212" s="368" t="s">
        <v>168</v>
      </c>
      <c r="WSF212" s="369">
        <v>0.5</v>
      </c>
      <c r="WSG212" s="370" t="e">
        <f>10/WSC210</f>
        <v>#DIV/0!</v>
      </c>
      <c r="WSH212" s="371">
        <v>15.38</v>
      </c>
      <c r="WSI212" s="371" t="e">
        <f>WSF212*WSG212*WSH212</f>
        <v>#DIV/0!</v>
      </c>
      <c r="WSJ212" s="367" t="s">
        <v>206</v>
      </c>
      <c r="WSK212" s="367"/>
      <c r="WSL212" s="367"/>
      <c r="WSM212" s="368" t="s">
        <v>168</v>
      </c>
      <c r="WSN212" s="369">
        <v>0.5</v>
      </c>
      <c r="WSO212" s="370" t="e">
        <f>10/WSK210</f>
        <v>#DIV/0!</v>
      </c>
      <c r="WSP212" s="371">
        <v>15.38</v>
      </c>
      <c r="WSQ212" s="371" t="e">
        <f>WSN212*WSO212*WSP212</f>
        <v>#DIV/0!</v>
      </c>
      <c r="WSR212" s="367" t="s">
        <v>206</v>
      </c>
      <c r="WSS212" s="367"/>
      <c r="WST212" s="367"/>
      <c r="WSU212" s="368" t="s">
        <v>168</v>
      </c>
      <c r="WSV212" s="369">
        <v>0.5</v>
      </c>
      <c r="WSW212" s="370" t="e">
        <f>10/WSS210</f>
        <v>#DIV/0!</v>
      </c>
      <c r="WSX212" s="371">
        <v>15.38</v>
      </c>
      <c r="WSY212" s="371" t="e">
        <f>WSV212*WSW212*WSX212</f>
        <v>#DIV/0!</v>
      </c>
      <c r="WSZ212" s="367" t="s">
        <v>206</v>
      </c>
      <c r="WTA212" s="367"/>
      <c r="WTB212" s="367"/>
      <c r="WTC212" s="368" t="s">
        <v>168</v>
      </c>
      <c r="WTD212" s="369">
        <v>0.5</v>
      </c>
      <c r="WTE212" s="370" t="e">
        <f>10/WTA210</f>
        <v>#DIV/0!</v>
      </c>
      <c r="WTF212" s="371">
        <v>15.38</v>
      </c>
      <c r="WTG212" s="371" t="e">
        <f>WTD212*WTE212*WTF212</f>
        <v>#DIV/0!</v>
      </c>
      <c r="WTH212" s="367" t="s">
        <v>206</v>
      </c>
      <c r="WTI212" s="367"/>
      <c r="WTJ212" s="367"/>
      <c r="WTK212" s="368" t="s">
        <v>168</v>
      </c>
      <c r="WTL212" s="369">
        <v>0.5</v>
      </c>
      <c r="WTM212" s="370" t="e">
        <f>10/WTI210</f>
        <v>#DIV/0!</v>
      </c>
      <c r="WTN212" s="371">
        <v>15.38</v>
      </c>
      <c r="WTO212" s="371" t="e">
        <f>WTL212*WTM212*WTN212</f>
        <v>#DIV/0!</v>
      </c>
      <c r="WTP212" s="367" t="s">
        <v>206</v>
      </c>
      <c r="WTQ212" s="367"/>
      <c r="WTR212" s="367"/>
      <c r="WTS212" s="368" t="s">
        <v>168</v>
      </c>
      <c r="WTT212" s="369">
        <v>0.5</v>
      </c>
      <c r="WTU212" s="370" t="e">
        <f>10/WTQ210</f>
        <v>#DIV/0!</v>
      </c>
      <c r="WTV212" s="371">
        <v>15.38</v>
      </c>
      <c r="WTW212" s="371" t="e">
        <f>WTT212*WTU212*WTV212</f>
        <v>#DIV/0!</v>
      </c>
      <c r="WTX212" s="367" t="s">
        <v>206</v>
      </c>
      <c r="WTY212" s="367"/>
      <c r="WTZ212" s="367"/>
      <c r="WUA212" s="368" t="s">
        <v>168</v>
      </c>
      <c r="WUB212" s="369">
        <v>0.5</v>
      </c>
      <c r="WUC212" s="370" t="e">
        <f>10/WTY210</f>
        <v>#DIV/0!</v>
      </c>
      <c r="WUD212" s="371">
        <v>15.38</v>
      </c>
      <c r="WUE212" s="371" t="e">
        <f>WUB212*WUC212*WUD212</f>
        <v>#DIV/0!</v>
      </c>
      <c r="WUF212" s="367" t="s">
        <v>206</v>
      </c>
      <c r="WUG212" s="367"/>
      <c r="WUH212" s="367"/>
      <c r="WUI212" s="368" t="s">
        <v>168</v>
      </c>
      <c r="WUJ212" s="369">
        <v>0.5</v>
      </c>
      <c r="WUK212" s="370" t="e">
        <f>10/WUG210</f>
        <v>#DIV/0!</v>
      </c>
      <c r="WUL212" s="371">
        <v>15.38</v>
      </c>
      <c r="WUM212" s="371" t="e">
        <f>WUJ212*WUK212*WUL212</f>
        <v>#DIV/0!</v>
      </c>
      <c r="WUN212" s="367" t="s">
        <v>206</v>
      </c>
      <c r="WUO212" s="367"/>
      <c r="WUP212" s="367"/>
      <c r="WUQ212" s="368" t="s">
        <v>168</v>
      </c>
      <c r="WUR212" s="369">
        <v>0.5</v>
      </c>
      <c r="WUS212" s="370" t="e">
        <f>10/WUO210</f>
        <v>#DIV/0!</v>
      </c>
      <c r="WUT212" s="371">
        <v>15.38</v>
      </c>
      <c r="WUU212" s="371" t="e">
        <f>WUR212*WUS212*WUT212</f>
        <v>#DIV/0!</v>
      </c>
      <c r="WUV212" s="367" t="s">
        <v>206</v>
      </c>
      <c r="WUW212" s="367"/>
      <c r="WUX212" s="367"/>
      <c r="WUY212" s="368" t="s">
        <v>168</v>
      </c>
      <c r="WUZ212" s="369">
        <v>0.5</v>
      </c>
      <c r="WVA212" s="370" t="e">
        <f>10/WUW210</f>
        <v>#DIV/0!</v>
      </c>
      <c r="WVB212" s="371">
        <v>15.38</v>
      </c>
      <c r="WVC212" s="371" t="e">
        <f>WUZ212*WVA212*WVB212</f>
        <v>#DIV/0!</v>
      </c>
      <c r="WVD212" s="367" t="s">
        <v>206</v>
      </c>
      <c r="WVE212" s="367"/>
      <c r="WVF212" s="367"/>
      <c r="WVG212" s="368" t="s">
        <v>168</v>
      </c>
      <c r="WVH212" s="369">
        <v>0.5</v>
      </c>
      <c r="WVI212" s="370" t="e">
        <f>10/WVE210</f>
        <v>#DIV/0!</v>
      </c>
      <c r="WVJ212" s="371">
        <v>15.38</v>
      </c>
      <c r="WVK212" s="371" t="e">
        <f>WVH212*WVI212*WVJ212</f>
        <v>#DIV/0!</v>
      </c>
      <c r="WVL212" s="367" t="s">
        <v>206</v>
      </c>
      <c r="WVM212" s="367"/>
      <c r="WVN212" s="367"/>
      <c r="WVO212" s="368" t="s">
        <v>168</v>
      </c>
      <c r="WVP212" s="369">
        <v>0.5</v>
      </c>
      <c r="WVQ212" s="370" t="e">
        <f>10/WVM210</f>
        <v>#DIV/0!</v>
      </c>
      <c r="WVR212" s="371">
        <v>15.38</v>
      </c>
      <c r="WVS212" s="371" t="e">
        <f>WVP212*WVQ212*WVR212</f>
        <v>#DIV/0!</v>
      </c>
      <c r="WVT212" s="367" t="s">
        <v>206</v>
      </c>
      <c r="WVU212" s="367"/>
      <c r="WVV212" s="367"/>
      <c r="WVW212" s="368" t="s">
        <v>168</v>
      </c>
      <c r="WVX212" s="369">
        <v>0.5</v>
      </c>
      <c r="WVY212" s="370" t="e">
        <f>10/WVU210</f>
        <v>#DIV/0!</v>
      </c>
      <c r="WVZ212" s="371">
        <v>15.38</v>
      </c>
      <c r="WWA212" s="371" t="e">
        <f>WVX212*WVY212*WVZ212</f>
        <v>#DIV/0!</v>
      </c>
      <c r="WWB212" s="367" t="s">
        <v>206</v>
      </c>
      <c r="WWC212" s="367"/>
      <c r="WWD212" s="367"/>
      <c r="WWE212" s="368" t="s">
        <v>168</v>
      </c>
      <c r="WWF212" s="369">
        <v>0.5</v>
      </c>
      <c r="WWG212" s="370" t="e">
        <f>10/WWC210</f>
        <v>#DIV/0!</v>
      </c>
      <c r="WWH212" s="371">
        <v>15.38</v>
      </c>
      <c r="WWI212" s="371" t="e">
        <f>WWF212*WWG212*WWH212</f>
        <v>#DIV/0!</v>
      </c>
      <c r="WWJ212" s="367" t="s">
        <v>206</v>
      </c>
      <c r="WWK212" s="367"/>
      <c r="WWL212" s="367"/>
      <c r="WWM212" s="368" t="s">
        <v>168</v>
      </c>
      <c r="WWN212" s="369">
        <v>0.5</v>
      </c>
      <c r="WWO212" s="370" t="e">
        <f>10/WWK210</f>
        <v>#DIV/0!</v>
      </c>
      <c r="WWP212" s="371">
        <v>15.38</v>
      </c>
      <c r="WWQ212" s="371" t="e">
        <f>WWN212*WWO212*WWP212</f>
        <v>#DIV/0!</v>
      </c>
      <c r="WWR212" s="367" t="s">
        <v>206</v>
      </c>
      <c r="WWS212" s="367"/>
      <c r="WWT212" s="367"/>
      <c r="WWU212" s="368" t="s">
        <v>168</v>
      </c>
      <c r="WWV212" s="369">
        <v>0.5</v>
      </c>
      <c r="WWW212" s="370" t="e">
        <f>10/WWS210</f>
        <v>#DIV/0!</v>
      </c>
      <c r="WWX212" s="371">
        <v>15.38</v>
      </c>
      <c r="WWY212" s="371" t="e">
        <f>WWV212*WWW212*WWX212</f>
        <v>#DIV/0!</v>
      </c>
      <c r="WWZ212" s="367" t="s">
        <v>206</v>
      </c>
      <c r="WXA212" s="367"/>
      <c r="WXB212" s="367"/>
      <c r="WXC212" s="368" t="s">
        <v>168</v>
      </c>
      <c r="WXD212" s="369">
        <v>0.5</v>
      </c>
      <c r="WXE212" s="370" t="e">
        <f>10/WXA210</f>
        <v>#DIV/0!</v>
      </c>
      <c r="WXF212" s="371">
        <v>15.38</v>
      </c>
      <c r="WXG212" s="371" t="e">
        <f>WXD212*WXE212*WXF212</f>
        <v>#DIV/0!</v>
      </c>
      <c r="WXH212" s="367" t="s">
        <v>206</v>
      </c>
      <c r="WXI212" s="367"/>
      <c r="WXJ212" s="367"/>
      <c r="WXK212" s="368" t="s">
        <v>168</v>
      </c>
      <c r="WXL212" s="369">
        <v>0.5</v>
      </c>
      <c r="WXM212" s="370" t="e">
        <f>10/WXI210</f>
        <v>#DIV/0!</v>
      </c>
      <c r="WXN212" s="371">
        <v>15.38</v>
      </c>
      <c r="WXO212" s="371" t="e">
        <f>WXL212*WXM212*WXN212</f>
        <v>#DIV/0!</v>
      </c>
      <c r="WXP212" s="367" t="s">
        <v>206</v>
      </c>
      <c r="WXQ212" s="367"/>
      <c r="WXR212" s="367"/>
      <c r="WXS212" s="368" t="s">
        <v>168</v>
      </c>
      <c r="WXT212" s="369">
        <v>0.5</v>
      </c>
      <c r="WXU212" s="370" t="e">
        <f>10/WXQ210</f>
        <v>#DIV/0!</v>
      </c>
      <c r="WXV212" s="371">
        <v>15.38</v>
      </c>
      <c r="WXW212" s="371" t="e">
        <f>WXT212*WXU212*WXV212</f>
        <v>#DIV/0!</v>
      </c>
      <c r="WXX212" s="367" t="s">
        <v>206</v>
      </c>
      <c r="WXY212" s="367"/>
      <c r="WXZ212" s="367"/>
      <c r="WYA212" s="368" t="s">
        <v>168</v>
      </c>
      <c r="WYB212" s="369">
        <v>0.5</v>
      </c>
      <c r="WYC212" s="370" t="e">
        <f>10/WXY210</f>
        <v>#DIV/0!</v>
      </c>
      <c r="WYD212" s="371">
        <v>15.38</v>
      </c>
      <c r="WYE212" s="371" t="e">
        <f>WYB212*WYC212*WYD212</f>
        <v>#DIV/0!</v>
      </c>
      <c r="WYF212" s="367" t="s">
        <v>206</v>
      </c>
      <c r="WYG212" s="367"/>
      <c r="WYH212" s="367"/>
      <c r="WYI212" s="368" t="s">
        <v>168</v>
      </c>
      <c r="WYJ212" s="369">
        <v>0.5</v>
      </c>
      <c r="WYK212" s="370" t="e">
        <f>10/WYG210</f>
        <v>#DIV/0!</v>
      </c>
      <c r="WYL212" s="371">
        <v>15.38</v>
      </c>
      <c r="WYM212" s="371" t="e">
        <f>WYJ212*WYK212*WYL212</f>
        <v>#DIV/0!</v>
      </c>
      <c r="WYN212" s="367" t="s">
        <v>206</v>
      </c>
      <c r="WYO212" s="367"/>
      <c r="WYP212" s="367"/>
      <c r="WYQ212" s="368" t="s">
        <v>168</v>
      </c>
      <c r="WYR212" s="369">
        <v>0.5</v>
      </c>
      <c r="WYS212" s="370" t="e">
        <f>10/WYO210</f>
        <v>#DIV/0!</v>
      </c>
      <c r="WYT212" s="371">
        <v>15.38</v>
      </c>
      <c r="WYU212" s="371" t="e">
        <f>WYR212*WYS212*WYT212</f>
        <v>#DIV/0!</v>
      </c>
      <c r="WYV212" s="367" t="s">
        <v>206</v>
      </c>
      <c r="WYW212" s="367"/>
      <c r="WYX212" s="367"/>
      <c r="WYY212" s="368" t="s">
        <v>168</v>
      </c>
      <c r="WYZ212" s="369">
        <v>0.5</v>
      </c>
      <c r="WZA212" s="370" t="e">
        <f>10/WYW210</f>
        <v>#DIV/0!</v>
      </c>
      <c r="WZB212" s="371">
        <v>15.38</v>
      </c>
      <c r="WZC212" s="371" t="e">
        <f>WYZ212*WZA212*WZB212</f>
        <v>#DIV/0!</v>
      </c>
      <c r="WZD212" s="367" t="s">
        <v>206</v>
      </c>
      <c r="WZE212" s="367"/>
      <c r="WZF212" s="367"/>
      <c r="WZG212" s="368" t="s">
        <v>168</v>
      </c>
      <c r="WZH212" s="369">
        <v>0.5</v>
      </c>
      <c r="WZI212" s="370" t="e">
        <f>10/WZE210</f>
        <v>#DIV/0!</v>
      </c>
      <c r="WZJ212" s="371">
        <v>15.38</v>
      </c>
      <c r="WZK212" s="371" t="e">
        <f>WZH212*WZI212*WZJ212</f>
        <v>#DIV/0!</v>
      </c>
      <c r="WZL212" s="367" t="s">
        <v>206</v>
      </c>
      <c r="WZM212" s="367"/>
      <c r="WZN212" s="367"/>
      <c r="WZO212" s="368" t="s">
        <v>168</v>
      </c>
      <c r="WZP212" s="369">
        <v>0.5</v>
      </c>
      <c r="WZQ212" s="370" t="e">
        <f>10/WZM210</f>
        <v>#DIV/0!</v>
      </c>
      <c r="WZR212" s="371">
        <v>15.38</v>
      </c>
      <c r="WZS212" s="371" t="e">
        <f>WZP212*WZQ212*WZR212</f>
        <v>#DIV/0!</v>
      </c>
      <c r="WZT212" s="367" t="s">
        <v>206</v>
      </c>
      <c r="WZU212" s="367"/>
      <c r="WZV212" s="367"/>
      <c r="WZW212" s="368" t="s">
        <v>168</v>
      </c>
      <c r="WZX212" s="369">
        <v>0.5</v>
      </c>
      <c r="WZY212" s="370" t="e">
        <f>10/WZU210</f>
        <v>#DIV/0!</v>
      </c>
      <c r="WZZ212" s="371">
        <v>15.38</v>
      </c>
      <c r="XAA212" s="371" t="e">
        <f>WZX212*WZY212*WZZ212</f>
        <v>#DIV/0!</v>
      </c>
      <c r="XAB212" s="367" t="s">
        <v>206</v>
      </c>
      <c r="XAC212" s="367"/>
      <c r="XAD212" s="367"/>
      <c r="XAE212" s="368" t="s">
        <v>168</v>
      </c>
      <c r="XAF212" s="369">
        <v>0.5</v>
      </c>
      <c r="XAG212" s="370" t="e">
        <f>10/XAC210</f>
        <v>#DIV/0!</v>
      </c>
      <c r="XAH212" s="371">
        <v>15.38</v>
      </c>
      <c r="XAI212" s="371" t="e">
        <f>XAF212*XAG212*XAH212</f>
        <v>#DIV/0!</v>
      </c>
      <c r="XAJ212" s="367" t="s">
        <v>206</v>
      </c>
      <c r="XAK212" s="367"/>
      <c r="XAL212" s="367"/>
      <c r="XAM212" s="368" t="s">
        <v>168</v>
      </c>
      <c r="XAN212" s="369">
        <v>0.5</v>
      </c>
      <c r="XAO212" s="370" t="e">
        <f>10/XAK210</f>
        <v>#DIV/0!</v>
      </c>
      <c r="XAP212" s="371">
        <v>15.38</v>
      </c>
      <c r="XAQ212" s="371" t="e">
        <f>XAN212*XAO212*XAP212</f>
        <v>#DIV/0!</v>
      </c>
      <c r="XAR212" s="367" t="s">
        <v>206</v>
      </c>
      <c r="XAS212" s="367"/>
      <c r="XAT212" s="367"/>
      <c r="XAU212" s="368" t="s">
        <v>168</v>
      </c>
      <c r="XAV212" s="369">
        <v>0.5</v>
      </c>
      <c r="XAW212" s="370" t="e">
        <f>10/XAS210</f>
        <v>#DIV/0!</v>
      </c>
      <c r="XAX212" s="371">
        <v>15.38</v>
      </c>
      <c r="XAY212" s="371" t="e">
        <f>XAV212*XAW212*XAX212</f>
        <v>#DIV/0!</v>
      </c>
      <c r="XAZ212" s="367" t="s">
        <v>206</v>
      </c>
      <c r="XBA212" s="367"/>
      <c r="XBB212" s="367"/>
      <c r="XBC212" s="368" t="s">
        <v>168</v>
      </c>
      <c r="XBD212" s="369">
        <v>0.5</v>
      </c>
      <c r="XBE212" s="370" t="e">
        <f>10/XBA210</f>
        <v>#DIV/0!</v>
      </c>
      <c r="XBF212" s="371">
        <v>15.38</v>
      </c>
      <c r="XBG212" s="371" t="e">
        <f>XBD212*XBE212*XBF212</f>
        <v>#DIV/0!</v>
      </c>
      <c r="XBH212" s="367" t="s">
        <v>206</v>
      </c>
      <c r="XBI212" s="367"/>
      <c r="XBJ212" s="367"/>
      <c r="XBK212" s="368" t="s">
        <v>168</v>
      </c>
      <c r="XBL212" s="369">
        <v>0.5</v>
      </c>
      <c r="XBM212" s="370" t="e">
        <f>10/XBI210</f>
        <v>#DIV/0!</v>
      </c>
      <c r="XBN212" s="371">
        <v>15.38</v>
      </c>
      <c r="XBO212" s="371" t="e">
        <f>XBL212*XBM212*XBN212</f>
        <v>#DIV/0!</v>
      </c>
      <c r="XBP212" s="367" t="s">
        <v>206</v>
      </c>
      <c r="XBQ212" s="367"/>
      <c r="XBR212" s="367"/>
      <c r="XBS212" s="368" t="s">
        <v>168</v>
      </c>
      <c r="XBT212" s="369">
        <v>0.5</v>
      </c>
      <c r="XBU212" s="370" t="e">
        <f>10/XBQ210</f>
        <v>#DIV/0!</v>
      </c>
      <c r="XBV212" s="371">
        <v>15.38</v>
      </c>
      <c r="XBW212" s="371" t="e">
        <f>XBT212*XBU212*XBV212</f>
        <v>#DIV/0!</v>
      </c>
    </row>
    <row r="213" spans="1:16299" x14ac:dyDescent="0.25">
      <c r="A213" s="367" t="s">
        <v>213</v>
      </c>
      <c r="D213" s="368" t="s">
        <v>168</v>
      </c>
      <c r="E213" s="369">
        <v>1</v>
      </c>
      <c r="F213" s="370">
        <f>10/B210</f>
        <v>3.3333333333333335</v>
      </c>
      <c r="G213" s="371">
        <v>13.94</v>
      </c>
      <c r="H213" s="371">
        <f>E213*F213*G213</f>
        <v>46.466666666666669</v>
      </c>
    </row>
    <row r="214" spans="1:16299" x14ac:dyDescent="0.25">
      <c r="A214" s="367" t="s">
        <v>169</v>
      </c>
      <c r="D214" s="368" t="s">
        <v>168</v>
      </c>
      <c r="E214" s="369">
        <v>1</v>
      </c>
      <c r="F214" s="370">
        <f>10/B210</f>
        <v>3.3333333333333335</v>
      </c>
      <c r="G214" s="320">
        <v>13</v>
      </c>
      <c r="H214" s="371">
        <f>E214*F214*G214</f>
        <v>43.333333333333336</v>
      </c>
    </row>
    <row r="215" spans="1:16299" ht="15" customHeight="1" x14ac:dyDescent="0.25">
      <c r="A215" s="299"/>
      <c r="B215" s="299"/>
      <c r="C215" s="299"/>
      <c r="D215" s="300"/>
      <c r="E215" s="330"/>
      <c r="F215" s="331"/>
      <c r="G215" s="301" t="s">
        <v>170</v>
      </c>
      <c r="H215" s="301">
        <f>SUM(H212:H214)</f>
        <v>115.43333333333334</v>
      </c>
    </row>
    <row r="217" spans="1:16299" x14ac:dyDescent="0.25">
      <c r="A217" s="367" t="s">
        <v>209</v>
      </c>
      <c r="D217" s="368" t="s">
        <v>210</v>
      </c>
      <c r="F217" s="370">
        <v>3</v>
      </c>
      <c r="G217" s="371">
        <f>H215</f>
        <v>115.43333333333334</v>
      </c>
      <c r="H217" s="371">
        <f>G217*F217/100</f>
        <v>3.4630000000000001</v>
      </c>
    </row>
    <row r="218" spans="1:16299" ht="15" customHeight="1" x14ac:dyDescent="0.25">
      <c r="A218" s="299"/>
      <c r="B218" s="299"/>
      <c r="C218" s="299"/>
      <c r="D218" s="300"/>
      <c r="E218" s="330"/>
      <c r="F218" s="331"/>
      <c r="G218" s="301" t="s">
        <v>173</v>
      </c>
      <c r="H218" s="301">
        <f>SUM(H217:H217)</f>
        <v>3.4630000000000001</v>
      </c>
    </row>
    <row r="221" spans="1:16299" ht="15" customHeight="1" x14ac:dyDescent="0.3">
      <c r="A221" s="295"/>
      <c r="B221" s="295"/>
      <c r="C221" s="295"/>
      <c r="D221" s="295"/>
      <c r="E221" s="295"/>
      <c r="F221" s="295"/>
      <c r="G221" s="295"/>
      <c r="H221" s="295"/>
    </row>
    <row r="222" spans="1:16299" ht="15" customHeight="1" x14ac:dyDescent="0.25">
      <c r="A222" s="285"/>
      <c r="B222" s="377"/>
      <c r="C222" s="285"/>
      <c r="D222" s="296"/>
      <c r="E222" s="327"/>
      <c r="F222" s="328"/>
      <c r="G222" s="297"/>
      <c r="H222" s="297"/>
    </row>
    <row r="223" spans="1:16299" ht="15" customHeight="1" x14ac:dyDescent="0.25">
      <c r="A223" s="296"/>
      <c r="B223" s="296"/>
      <c r="C223" s="296"/>
      <c r="D223" s="296"/>
      <c r="E223" s="329"/>
      <c r="F223" s="329"/>
      <c r="G223" s="298"/>
      <c r="H223" s="298"/>
    </row>
    <row r="225" spans="1:8" ht="15" customHeight="1" x14ac:dyDescent="0.25">
      <c r="A225" s="299"/>
      <c r="B225" s="299"/>
      <c r="C225" s="299"/>
      <c r="D225" s="300"/>
      <c r="E225" s="330"/>
      <c r="F225" s="331"/>
      <c r="G225" s="301"/>
      <c r="H225" s="301"/>
    </row>
    <row r="228" spans="1:8" ht="15" customHeight="1" x14ac:dyDescent="0.3">
      <c r="A228" s="295"/>
      <c r="B228" s="295"/>
      <c r="C228" s="295"/>
      <c r="D228" s="295"/>
      <c r="E228" s="295"/>
      <c r="F228" s="295"/>
      <c r="G228" s="295"/>
      <c r="H228" s="295"/>
    </row>
    <row r="229" spans="1:8" ht="15" customHeight="1" x14ac:dyDescent="0.25">
      <c r="A229" s="285"/>
      <c r="B229" s="377"/>
      <c r="C229" s="285"/>
      <c r="D229" s="296"/>
      <c r="E229" s="327"/>
      <c r="F229" s="328"/>
      <c r="G229" s="297"/>
      <c r="H229" s="297"/>
    </row>
    <row r="230" spans="1:8" ht="15" customHeight="1" x14ac:dyDescent="0.25">
      <c r="A230" s="296"/>
      <c r="B230" s="296"/>
      <c r="C230" s="296"/>
      <c r="D230" s="296"/>
      <c r="E230" s="329"/>
      <c r="F230" s="329"/>
      <c r="G230" s="298"/>
      <c r="H230" s="298"/>
    </row>
    <row r="232" spans="1:8" ht="15" customHeight="1" x14ac:dyDescent="0.25">
      <c r="A232" s="299"/>
      <c r="B232" s="299"/>
      <c r="C232" s="299"/>
      <c r="D232" s="300"/>
      <c r="E232" s="330"/>
      <c r="F232" s="331"/>
      <c r="G232" s="301"/>
      <c r="H232" s="301"/>
    </row>
  </sheetData>
  <mergeCells count="1">
    <mergeCell ref="A1:H1"/>
  </mergeCells>
  <pageMargins left="0.24996875390576179" right="0.24996875390576179" top="0.24996875390576179" bottom="0.24996875390576179" header="0.5" footer="0.5"/>
  <pageSetup paperSize="9" scale="74" orientation="portrait" r:id="rId1"/>
  <rowBreaks count="10" manualBreakCount="10">
    <brk id="50" max="5" man="1"/>
    <brk id="112" max="5" man="1"/>
    <brk id="197" max="5" man="1"/>
    <brk id="265" max="5" man="1"/>
    <brk id="341" max="5" man="1"/>
    <brk id="404" max="5" man="1"/>
    <brk id="472" max="5" man="1"/>
    <brk id="534" max="5" man="1"/>
    <brk id="607" max="5" man="1"/>
    <brk id="678" max="5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P52"/>
  <sheetViews>
    <sheetView view="pageBreakPreview" topLeftCell="A2" zoomScale="110" zoomScaleNormal="100" zoomScaleSheetLayoutView="110" workbookViewId="0">
      <selection activeCell="F10" sqref="F10"/>
    </sheetView>
  </sheetViews>
  <sheetFormatPr baseColWidth="10" defaultColWidth="9.28515625" defaultRowHeight="10.199999999999999" x14ac:dyDescent="0.2"/>
  <cols>
    <col min="1" max="2" width="1" style="109" customWidth="1"/>
    <col min="3" max="3" width="15.85546875" style="109" customWidth="1"/>
    <col min="4" max="4" width="63.28515625" style="109" customWidth="1"/>
    <col min="5" max="5" width="6.85546875" style="366" customWidth="1"/>
    <col min="6" max="6" width="12.42578125" style="366" bestFit="1" customWidth="1"/>
    <col min="7" max="8" width="11.85546875" style="366" customWidth="1"/>
  </cols>
  <sheetData>
    <row r="2" spans="1:16" ht="27" customHeight="1" x14ac:dyDescent="0.2">
      <c r="C2" s="248" t="s">
        <v>81</v>
      </c>
      <c r="D2" s="454" t="s">
        <v>229</v>
      </c>
      <c r="E2" s="444"/>
      <c r="F2" s="444"/>
      <c r="G2" s="234"/>
      <c r="H2" s="234"/>
    </row>
    <row r="3" spans="1:16" x14ac:dyDescent="0.2">
      <c r="C3" s="248" t="s">
        <v>83</v>
      </c>
      <c r="D3" s="235" t="s">
        <v>230</v>
      </c>
      <c r="E3" s="234"/>
      <c r="F3" s="234"/>
      <c r="G3" s="234"/>
      <c r="H3" s="234"/>
    </row>
    <row r="4" spans="1:16" x14ac:dyDescent="0.2">
      <c r="C4" s="248" t="s">
        <v>231</v>
      </c>
      <c r="D4" s="236">
        <v>30</v>
      </c>
      <c r="E4" s="236" t="s">
        <v>232</v>
      </c>
      <c r="F4" s="234"/>
      <c r="G4" s="234"/>
      <c r="H4" s="234"/>
    </row>
    <row r="5" spans="1:16" ht="12" customHeight="1" thickBot="1" x14ac:dyDescent="0.25">
      <c r="C5" s="235"/>
      <c r="D5" s="235"/>
      <c r="E5" s="234"/>
      <c r="F5" s="234">
        <f>8175/30</f>
        <v>272.5</v>
      </c>
      <c r="G5" s="234"/>
      <c r="H5" s="234"/>
    </row>
    <row r="6" spans="1:16" ht="12" customHeight="1" thickBot="1" x14ac:dyDescent="0.25">
      <c r="A6" s="1"/>
      <c r="B6" s="1"/>
      <c r="C6" s="249" t="s">
        <v>84</v>
      </c>
      <c r="D6" s="250" t="s">
        <v>85</v>
      </c>
      <c r="E6" s="251" t="s">
        <v>99</v>
      </c>
      <c r="F6" s="252" t="s">
        <v>233</v>
      </c>
      <c r="G6" s="251" t="s">
        <v>234</v>
      </c>
      <c r="H6" s="253" t="s">
        <v>89</v>
      </c>
    </row>
    <row r="7" spans="1:16" s="232" customFormat="1" ht="12" customHeight="1" x14ac:dyDescent="0.2">
      <c r="A7" s="231"/>
      <c r="B7" s="231"/>
      <c r="C7" s="254" t="s">
        <v>95</v>
      </c>
      <c r="D7" s="255" t="s">
        <v>235</v>
      </c>
      <c r="E7" s="256"/>
      <c r="F7" s="256"/>
      <c r="G7" s="256"/>
      <c r="H7" s="257" t="e">
        <f>SUM(H8:H12)</f>
        <v>#REF!</v>
      </c>
      <c r="P7" s="232" t="s">
        <v>236</v>
      </c>
    </row>
    <row r="8" spans="1:16" x14ac:dyDescent="0.2">
      <c r="A8" s="2"/>
      <c r="B8" s="2"/>
      <c r="C8" s="258" t="s">
        <v>97</v>
      </c>
      <c r="D8" s="259" t="s">
        <v>237</v>
      </c>
      <c r="E8" s="260" t="s">
        <v>238</v>
      </c>
      <c r="F8" s="261">
        <v>1</v>
      </c>
      <c r="G8" s="261">
        <v>8175</v>
      </c>
      <c r="H8" s="262">
        <f>G8*F8</f>
        <v>8175</v>
      </c>
    </row>
    <row r="9" spans="1:16" ht="20.399999999999999" customHeight="1" x14ac:dyDescent="0.2">
      <c r="A9" s="2"/>
      <c r="B9" s="2"/>
      <c r="C9" s="258" t="s">
        <v>100</v>
      </c>
      <c r="D9" s="259" t="s">
        <v>239</v>
      </c>
      <c r="E9" s="260" t="s">
        <v>240</v>
      </c>
      <c r="F9" s="261">
        <v>1</v>
      </c>
      <c r="G9" s="261">
        <v>479.06</v>
      </c>
      <c r="H9" s="262">
        <f>G9*F9</f>
        <v>479.06</v>
      </c>
    </row>
    <row r="10" spans="1:16" x14ac:dyDescent="0.2">
      <c r="A10" s="2"/>
      <c r="B10" s="2"/>
      <c r="C10" s="258" t="s">
        <v>102</v>
      </c>
      <c r="D10" s="259" t="s">
        <v>241</v>
      </c>
      <c r="E10" s="260" t="s">
        <v>242</v>
      </c>
      <c r="F10" s="261">
        <v>1</v>
      </c>
      <c r="G10" s="261">
        <v>2615.85</v>
      </c>
      <c r="H10" s="262">
        <f>G10*F10</f>
        <v>2615.85</v>
      </c>
    </row>
    <row r="11" spans="1:16" x14ac:dyDescent="0.2">
      <c r="A11" s="2"/>
      <c r="B11" s="2"/>
      <c r="C11" s="258" t="s">
        <v>104</v>
      </c>
      <c r="D11" s="259" t="s">
        <v>243</v>
      </c>
      <c r="E11" s="260" t="s">
        <v>240</v>
      </c>
      <c r="F11" s="261">
        <v>2</v>
      </c>
      <c r="G11" s="261" t="e">
        <f>APU!#REF!</f>
        <v>#REF!</v>
      </c>
      <c r="H11" s="262" t="e">
        <f>G11*F11</f>
        <v>#REF!</v>
      </c>
    </row>
    <row r="12" spans="1:16" x14ac:dyDescent="0.2">
      <c r="A12" s="2"/>
      <c r="B12" s="2"/>
      <c r="C12" s="272" t="s">
        <v>106</v>
      </c>
      <c r="D12" s="259" t="s">
        <v>244</v>
      </c>
      <c r="E12" s="260" t="s">
        <v>245</v>
      </c>
      <c r="F12" s="261">
        <v>30</v>
      </c>
      <c r="G12" s="261" t="e">
        <f>APU!#REF!</f>
        <v>#REF!</v>
      </c>
      <c r="H12" s="262" t="e">
        <f>G12*F12</f>
        <v>#REF!</v>
      </c>
      <c r="J12" s="270"/>
    </row>
    <row r="13" spans="1:16" s="232" customFormat="1" ht="12" customHeight="1" x14ac:dyDescent="0.2">
      <c r="A13" s="231"/>
      <c r="B13" s="231"/>
      <c r="C13" s="263" t="s">
        <v>127</v>
      </c>
      <c r="D13" s="264" t="s">
        <v>246</v>
      </c>
      <c r="E13" s="265"/>
      <c r="F13" s="265"/>
      <c r="G13" s="265"/>
      <c r="H13" s="266">
        <f>SUM(H14:H17)</f>
        <v>947.01</v>
      </c>
    </row>
    <row r="14" spans="1:16" x14ac:dyDescent="0.2">
      <c r="A14" s="2"/>
      <c r="B14" s="2"/>
      <c r="C14" s="258" t="s">
        <v>129</v>
      </c>
      <c r="D14" s="259" t="s">
        <v>247</v>
      </c>
      <c r="E14" s="260" t="s">
        <v>245</v>
      </c>
      <c r="F14" s="261">
        <v>2</v>
      </c>
      <c r="G14" s="261">
        <v>97.18</v>
      </c>
      <c r="H14" s="262">
        <f>+G14*F14</f>
        <v>194.36</v>
      </c>
    </row>
    <row r="15" spans="1:16" x14ac:dyDescent="0.2">
      <c r="A15" s="2"/>
      <c r="B15" s="2"/>
      <c r="C15" s="258" t="s">
        <v>131</v>
      </c>
      <c r="D15" s="259" t="s">
        <v>248</v>
      </c>
      <c r="E15" s="260" t="s">
        <v>249</v>
      </c>
      <c r="F15" s="261">
        <v>20</v>
      </c>
      <c r="G15" s="261">
        <v>0.69000000000000006</v>
      </c>
      <c r="H15" s="262">
        <f>+G15*F15</f>
        <v>13.8</v>
      </c>
    </row>
    <row r="16" spans="1:16" x14ac:dyDescent="0.2">
      <c r="A16" s="2"/>
      <c r="B16" s="2"/>
      <c r="C16" s="258" t="s">
        <v>134</v>
      </c>
      <c r="D16" s="259" t="s">
        <v>250</v>
      </c>
      <c r="E16" s="260" t="s">
        <v>86</v>
      </c>
      <c r="F16" s="261">
        <v>1</v>
      </c>
      <c r="G16" s="261">
        <v>563.05000000000007</v>
      </c>
      <c r="H16" s="262">
        <f>+G16*F16</f>
        <v>563.05000000000007</v>
      </c>
    </row>
    <row r="17" spans="1:8" x14ac:dyDescent="0.2">
      <c r="A17" s="2"/>
      <c r="B17" s="2"/>
      <c r="C17" s="258" t="s">
        <v>136</v>
      </c>
      <c r="D17" s="259" t="s">
        <v>251</v>
      </c>
      <c r="E17" s="260" t="s">
        <v>249</v>
      </c>
      <c r="F17" s="261">
        <v>60</v>
      </c>
      <c r="G17" s="261">
        <v>2.93</v>
      </c>
      <c r="H17" s="262">
        <f>+G17*F17</f>
        <v>175.8</v>
      </c>
    </row>
    <row r="18" spans="1:8" x14ac:dyDescent="0.2">
      <c r="A18" s="2"/>
      <c r="B18" s="2"/>
      <c r="C18" s="263" t="s">
        <v>142</v>
      </c>
      <c r="D18" s="264" t="s">
        <v>252</v>
      </c>
      <c r="E18" s="265"/>
      <c r="F18" s="265"/>
      <c r="G18" s="265"/>
      <c r="H18" s="266">
        <f>SUM(H19:H23)</f>
        <v>1606.1999999999998</v>
      </c>
    </row>
    <row r="19" spans="1:8" s="232" customFormat="1" ht="12" customHeight="1" x14ac:dyDescent="0.2">
      <c r="A19" s="231"/>
      <c r="B19" s="231"/>
      <c r="C19" s="258" t="s">
        <v>144</v>
      </c>
      <c r="D19" s="259" t="s">
        <v>253</v>
      </c>
      <c r="E19" s="260" t="s">
        <v>245</v>
      </c>
      <c r="F19" s="261">
        <v>2</v>
      </c>
      <c r="G19" s="261">
        <v>176.6</v>
      </c>
      <c r="H19" s="262">
        <f>G19*F19</f>
        <v>353.2</v>
      </c>
    </row>
    <row r="20" spans="1:8" x14ac:dyDescent="0.2">
      <c r="A20" s="2"/>
      <c r="B20" s="2"/>
      <c r="C20" s="258" t="s">
        <v>254</v>
      </c>
      <c r="D20" s="259" t="s">
        <v>255</v>
      </c>
      <c r="E20" s="260" t="s">
        <v>249</v>
      </c>
      <c r="F20" s="261">
        <v>40</v>
      </c>
      <c r="G20" s="261">
        <v>12.68</v>
      </c>
      <c r="H20" s="262">
        <f>G20*F20</f>
        <v>507.2</v>
      </c>
    </row>
    <row r="21" spans="1:8" x14ac:dyDescent="0.2">
      <c r="A21" s="2"/>
      <c r="B21" s="2"/>
      <c r="C21" s="258" t="s">
        <v>256</v>
      </c>
      <c r="D21" s="259" t="s">
        <v>257</v>
      </c>
      <c r="E21" s="260" t="s">
        <v>249</v>
      </c>
      <c r="F21" s="261">
        <v>40</v>
      </c>
      <c r="G21" s="261">
        <v>2.2999999999999998</v>
      </c>
      <c r="H21" s="262">
        <f>G21*F21</f>
        <v>92</v>
      </c>
    </row>
    <row r="22" spans="1:8" x14ac:dyDescent="0.2">
      <c r="C22" s="267" t="s">
        <v>258</v>
      </c>
      <c r="D22" s="268" t="s">
        <v>259</v>
      </c>
      <c r="E22" s="260" t="s">
        <v>260</v>
      </c>
      <c r="F22" s="261">
        <v>20</v>
      </c>
      <c r="G22" s="269" t="s">
        <v>261</v>
      </c>
      <c r="H22" s="262"/>
    </row>
    <row r="23" spans="1:8" s="232" customFormat="1" ht="12" customHeight="1" x14ac:dyDescent="0.2">
      <c r="C23" s="258" t="s">
        <v>262</v>
      </c>
      <c r="D23" s="259" t="s">
        <v>263</v>
      </c>
      <c r="E23" s="260" t="s">
        <v>260</v>
      </c>
      <c r="F23" s="261">
        <v>20</v>
      </c>
      <c r="G23" s="261">
        <v>32.69</v>
      </c>
      <c r="H23" s="262">
        <f>G23*F23</f>
        <v>653.79999999999995</v>
      </c>
    </row>
    <row r="24" spans="1:8" x14ac:dyDescent="0.2">
      <c r="C24" s="263" t="s">
        <v>146</v>
      </c>
      <c r="D24" s="264" t="s">
        <v>264</v>
      </c>
      <c r="E24" s="265"/>
      <c r="F24" s="265"/>
      <c r="G24" s="265"/>
      <c r="H24" s="266">
        <f>+SUM(H25:H34)</f>
        <v>10027.93</v>
      </c>
    </row>
    <row r="25" spans="1:8" ht="13.95" customHeight="1" x14ac:dyDescent="0.2">
      <c r="C25" s="258" t="s">
        <v>148</v>
      </c>
      <c r="D25" s="259" t="s">
        <v>265</v>
      </c>
      <c r="E25" s="260" t="s">
        <v>245</v>
      </c>
      <c r="F25" s="261">
        <v>8</v>
      </c>
      <c r="G25" s="261">
        <v>218.59</v>
      </c>
      <c r="H25" s="262">
        <f t="shared" ref="H25:H34" si="0">+G25*F25</f>
        <v>1748.72</v>
      </c>
    </row>
    <row r="26" spans="1:8" x14ac:dyDescent="0.2">
      <c r="C26" s="258" t="s">
        <v>266</v>
      </c>
      <c r="D26" s="259" t="s">
        <v>267</v>
      </c>
      <c r="E26" s="260" t="s">
        <v>260</v>
      </c>
      <c r="F26" s="261">
        <v>100</v>
      </c>
      <c r="G26" s="261">
        <v>4.55</v>
      </c>
      <c r="H26" s="262">
        <f t="shared" si="0"/>
        <v>455</v>
      </c>
    </row>
    <row r="27" spans="1:8" x14ac:dyDescent="0.2">
      <c r="C27" s="258" t="s">
        <v>268</v>
      </c>
      <c r="D27" s="259" t="s">
        <v>269</v>
      </c>
      <c r="E27" s="260" t="s">
        <v>260</v>
      </c>
      <c r="F27" s="261">
        <v>60</v>
      </c>
      <c r="G27" s="261">
        <v>17.489999999999998</v>
      </c>
      <c r="H27" s="262">
        <f t="shared" si="0"/>
        <v>1049.3999999999999</v>
      </c>
    </row>
    <row r="28" spans="1:8" x14ac:dyDescent="0.2">
      <c r="C28" s="258" t="s">
        <v>270</v>
      </c>
      <c r="D28" s="259" t="s">
        <v>271</v>
      </c>
      <c r="E28" s="260" t="s">
        <v>260</v>
      </c>
      <c r="F28" s="261">
        <v>60</v>
      </c>
      <c r="G28" s="261">
        <v>24.96</v>
      </c>
      <c r="H28" s="262">
        <f t="shared" si="0"/>
        <v>1497.6000000000001</v>
      </c>
    </row>
    <row r="29" spans="1:8" x14ac:dyDescent="0.2">
      <c r="C29" s="258" t="s">
        <v>272</v>
      </c>
      <c r="D29" s="259" t="s">
        <v>273</v>
      </c>
      <c r="E29" s="260" t="s">
        <v>260</v>
      </c>
      <c r="F29" s="261">
        <v>60</v>
      </c>
      <c r="G29" s="261">
        <v>17.73</v>
      </c>
      <c r="H29" s="262">
        <f t="shared" si="0"/>
        <v>1063.8</v>
      </c>
    </row>
    <row r="30" spans="1:8" x14ac:dyDescent="0.2">
      <c r="C30" s="258" t="s">
        <v>274</v>
      </c>
      <c r="D30" s="259" t="s">
        <v>275</v>
      </c>
      <c r="E30" s="260" t="s">
        <v>276</v>
      </c>
      <c r="F30" s="261">
        <v>100</v>
      </c>
      <c r="G30" s="261">
        <v>6.97</v>
      </c>
      <c r="H30" s="262">
        <f t="shared" si="0"/>
        <v>697</v>
      </c>
    </row>
    <row r="31" spans="1:8" x14ac:dyDescent="0.2">
      <c r="C31" s="258" t="s">
        <v>277</v>
      </c>
      <c r="D31" s="259" t="s">
        <v>278</v>
      </c>
      <c r="E31" s="260" t="s">
        <v>276</v>
      </c>
      <c r="F31" s="261">
        <v>50</v>
      </c>
      <c r="G31" s="261">
        <v>43.78</v>
      </c>
      <c r="H31" s="262">
        <f t="shared" si="0"/>
        <v>2189</v>
      </c>
    </row>
    <row r="32" spans="1:8" x14ac:dyDescent="0.2">
      <c r="C32" s="258" t="s">
        <v>279</v>
      </c>
      <c r="D32" s="259" t="s">
        <v>280</v>
      </c>
      <c r="E32" s="260" t="s">
        <v>86</v>
      </c>
      <c r="F32" s="261">
        <v>32</v>
      </c>
      <c r="G32" s="261">
        <v>26.02</v>
      </c>
      <c r="H32" s="262">
        <f t="shared" si="0"/>
        <v>832.64</v>
      </c>
    </row>
    <row r="33" spans="3:11" x14ac:dyDescent="0.2">
      <c r="C33" s="258" t="s">
        <v>281</v>
      </c>
      <c r="D33" s="259" t="s">
        <v>282</v>
      </c>
      <c r="E33" s="260" t="s">
        <v>86</v>
      </c>
      <c r="F33" s="261">
        <v>4</v>
      </c>
      <c r="G33" s="261">
        <v>89.88</v>
      </c>
      <c r="H33" s="262">
        <f t="shared" si="0"/>
        <v>359.52</v>
      </c>
    </row>
    <row r="34" spans="3:11" x14ac:dyDescent="0.2">
      <c r="C34" s="258" t="s">
        <v>283</v>
      </c>
      <c r="D34" s="259" t="s">
        <v>284</v>
      </c>
      <c r="E34" s="260" t="s">
        <v>86</v>
      </c>
      <c r="F34" s="261">
        <v>5</v>
      </c>
      <c r="G34" s="261">
        <v>27.05</v>
      </c>
      <c r="H34" s="262">
        <f t="shared" si="0"/>
        <v>135.25</v>
      </c>
    </row>
    <row r="35" spans="3:11" x14ac:dyDescent="0.2">
      <c r="C35" s="263" t="s">
        <v>285</v>
      </c>
      <c r="D35" s="264" t="s">
        <v>286</v>
      </c>
      <c r="E35" s="265"/>
      <c r="F35" s="265"/>
      <c r="G35" s="265"/>
      <c r="H35" s="266">
        <f>SUM(H36:H37)</f>
        <v>1961.3999999999999</v>
      </c>
    </row>
    <row r="36" spans="3:11" x14ac:dyDescent="0.2">
      <c r="C36" s="271" t="s">
        <v>287</v>
      </c>
      <c r="D36" s="268" t="s">
        <v>259</v>
      </c>
      <c r="E36" s="260" t="s">
        <v>260</v>
      </c>
      <c r="F36" s="261">
        <v>60</v>
      </c>
      <c r="G36" s="269" t="s">
        <v>261</v>
      </c>
      <c r="H36" s="262"/>
    </row>
    <row r="37" spans="3:11" x14ac:dyDescent="0.2">
      <c r="C37" s="272" t="s">
        <v>288</v>
      </c>
      <c r="D37" s="259" t="s">
        <v>263</v>
      </c>
      <c r="E37" s="260" t="s">
        <v>260</v>
      </c>
      <c r="F37" s="261">
        <v>60</v>
      </c>
      <c r="G37" s="261">
        <v>32.69</v>
      </c>
      <c r="H37" s="262">
        <f>+G37*F37</f>
        <v>1961.3999999999999</v>
      </c>
      <c r="K37" s="270"/>
    </row>
    <row r="38" spans="3:11" x14ac:dyDescent="0.2">
      <c r="C38" s="237" t="s">
        <v>289</v>
      </c>
      <c r="D38" s="238" t="s">
        <v>290</v>
      </c>
      <c r="E38" s="239"/>
      <c r="F38" s="240"/>
      <c r="G38" s="240"/>
      <c r="H38" s="241" t="e">
        <f>SUM(H39:H40)</f>
        <v>#REF!</v>
      </c>
    </row>
    <row r="39" spans="3:11" x14ac:dyDescent="0.2">
      <c r="C39" s="242" t="s">
        <v>291</v>
      </c>
      <c r="D39" s="243" t="s">
        <v>292</v>
      </c>
      <c r="E39" s="244" t="s">
        <v>293</v>
      </c>
      <c r="F39" s="245">
        <v>12</v>
      </c>
      <c r="G39" s="245" t="e">
        <f>APU!#REF!</f>
        <v>#REF!</v>
      </c>
      <c r="H39" s="246" t="e">
        <f>+G39*F39</f>
        <v>#REF!</v>
      </c>
    </row>
    <row r="40" spans="3:11" x14ac:dyDescent="0.2">
      <c r="C40" s="242" t="s">
        <v>294</v>
      </c>
      <c r="D40" s="243" t="s">
        <v>295</v>
      </c>
      <c r="E40" s="244" t="s">
        <v>296</v>
      </c>
      <c r="F40" s="245">
        <v>110</v>
      </c>
      <c r="G40" s="245" t="e">
        <f>APU!#REF!</f>
        <v>#REF!</v>
      </c>
      <c r="H40" s="246" t="e">
        <f>+G40*F40</f>
        <v>#REF!</v>
      </c>
    </row>
    <row r="41" spans="3:11" x14ac:dyDescent="0.2">
      <c r="C41" s="237" t="s">
        <v>297</v>
      </c>
      <c r="D41" s="238" t="s">
        <v>298</v>
      </c>
      <c r="E41" s="239"/>
      <c r="F41" s="240"/>
      <c r="G41" s="240"/>
      <c r="H41" s="241" t="e">
        <f>SUM(H42:H43)</f>
        <v>#REF!</v>
      </c>
    </row>
    <row r="42" spans="3:11" x14ac:dyDescent="0.2">
      <c r="C42" s="242" t="s">
        <v>299</v>
      </c>
      <c r="D42" s="243" t="s">
        <v>300</v>
      </c>
      <c r="E42" s="244" t="s">
        <v>293</v>
      </c>
      <c r="F42" s="245">
        <v>10</v>
      </c>
      <c r="G42" s="245" t="e">
        <f>APU!#REF!</f>
        <v>#REF!</v>
      </c>
      <c r="H42" s="246" t="e">
        <f>+G42*F42</f>
        <v>#REF!</v>
      </c>
    </row>
    <row r="43" spans="3:11" x14ac:dyDescent="0.2">
      <c r="C43" s="242" t="s">
        <v>301</v>
      </c>
      <c r="D43" s="243" t="s">
        <v>302</v>
      </c>
      <c r="E43" s="244" t="s">
        <v>293</v>
      </c>
      <c r="F43" s="245">
        <v>12</v>
      </c>
      <c r="G43" s="245" t="e">
        <f>APU!#REF!</f>
        <v>#REF!</v>
      </c>
      <c r="H43" s="246" t="e">
        <f>+G43*F43</f>
        <v>#REF!</v>
      </c>
    </row>
    <row r="44" spans="3:11" x14ac:dyDescent="0.2">
      <c r="C44" s="237" t="s">
        <v>303</v>
      </c>
      <c r="D44" s="238" t="s">
        <v>304</v>
      </c>
      <c r="E44" s="239"/>
      <c r="F44" s="240"/>
      <c r="G44" s="240"/>
      <c r="H44" s="241" t="e">
        <f>SUM(H45:H47)</f>
        <v>#REF!</v>
      </c>
    </row>
    <row r="45" spans="3:11" x14ac:dyDescent="0.2">
      <c r="C45" s="242" t="s">
        <v>305</v>
      </c>
      <c r="D45" s="247" t="s">
        <v>306</v>
      </c>
      <c r="E45" s="244" t="s">
        <v>293</v>
      </c>
      <c r="F45" s="245">
        <v>40</v>
      </c>
      <c r="G45" s="245" t="e">
        <f>APU!#REF!</f>
        <v>#REF!</v>
      </c>
      <c r="H45" s="246" t="e">
        <f>G45*F45</f>
        <v>#REF!</v>
      </c>
    </row>
    <row r="46" spans="3:11" x14ac:dyDescent="0.2">
      <c r="C46" s="242" t="s">
        <v>307</v>
      </c>
      <c r="D46" s="247" t="s">
        <v>308</v>
      </c>
      <c r="E46" s="244" t="s">
        <v>293</v>
      </c>
      <c r="F46" s="245">
        <v>40</v>
      </c>
      <c r="G46" s="245" t="e">
        <f>APU!#REF!</f>
        <v>#REF!</v>
      </c>
      <c r="H46" s="246" t="e">
        <f>G46*F46</f>
        <v>#REF!</v>
      </c>
    </row>
    <row r="47" spans="3:11" x14ac:dyDescent="0.2">
      <c r="C47" s="242" t="s">
        <v>309</v>
      </c>
      <c r="D47" s="247" t="s">
        <v>310</v>
      </c>
      <c r="E47" s="244" t="s">
        <v>293</v>
      </c>
      <c r="F47" s="245">
        <v>40</v>
      </c>
      <c r="G47" s="245" t="e">
        <f>APU!#REF!</f>
        <v>#REF!</v>
      </c>
      <c r="H47" s="246" t="e">
        <f>G47*F47</f>
        <v>#REF!</v>
      </c>
    </row>
    <row r="48" spans="3:11" x14ac:dyDescent="0.2">
      <c r="C48" s="263" t="s">
        <v>289</v>
      </c>
      <c r="D48" s="264" t="s">
        <v>311</v>
      </c>
      <c r="E48" s="265"/>
      <c r="F48" s="265"/>
      <c r="G48" s="265"/>
      <c r="H48" s="266" t="e">
        <f>H49</f>
        <v>#REF!</v>
      </c>
    </row>
    <row r="49" spans="3:8" x14ac:dyDescent="0.2">
      <c r="C49" s="258" t="s">
        <v>291</v>
      </c>
      <c r="D49" s="259" t="s">
        <v>312</v>
      </c>
      <c r="E49" s="260" t="s">
        <v>238</v>
      </c>
      <c r="F49" s="261">
        <v>1</v>
      </c>
      <c r="G49" s="261" t="e">
        <f>APU!#REF!</f>
        <v>#REF!</v>
      </c>
      <c r="H49" s="262" t="e">
        <f>G49*F49</f>
        <v>#REF!</v>
      </c>
    </row>
    <row r="50" spans="3:8" ht="12" customHeight="1" thickBot="1" x14ac:dyDescent="0.25">
      <c r="C50" s="458" t="s">
        <v>313</v>
      </c>
      <c r="D50" s="459"/>
      <c r="E50" s="459"/>
      <c r="F50" s="457"/>
      <c r="G50" s="456" t="e">
        <f>+H48+H35+H24+H38+H41+H44+H18+H13+H7</f>
        <v>#REF!</v>
      </c>
      <c r="H50" s="457"/>
    </row>
    <row r="51" spans="3:8" x14ac:dyDescent="0.2">
      <c r="C51" s="366"/>
      <c r="D51" s="233"/>
    </row>
    <row r="52" spans="3:8" ht="10.8" customHeight="1" x14ac:dyDescent="0.2">
      <c r="C52" s="366"/>
      <c r="D52" s="455"/>
      <c r="E52" s="444"/>
      <c r="F52" s="444"/>
      <c r="G52" s="444"/>
      <c r="H52" s="444"/>
    </row>
  </sheetData>
  <mergeCells count="4">
    <mergeCell ref="D2:F2"/>
    <mergeCell ref="D52:H52"/>
    <mergeCell ref="G50:H50"/>
    <mergeCell ref="C50:F50"/>
  </mergeCells>
  <pageMargins left="0.74803149606299213" right="0.74803149606299213" top="0.98425196850393704" bottom="0.98425196850393704" header="0.51181102362204722" footer="0.51181102362204722"/>
  <pageSetup paperSize="9" scale="88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K75"/>
  <sheetViews>
    <sheetView view="pageBreakPreview" topLeftCell="A34" zoomScaleNormal="100" zoomScaleSheetLayoutView="100" workbookViewId="0">
      <selection activeCell="E54" sqref="E54"/>
    </sheetView>
  </sheetViews>
  <sheetFormatPr baseColWidth="10" defaultColWidth="12" defaultRowHeight="13.2" x14ac:dyDescent="0.25"/>
  <cols>
    <col min="1" max="1" width="5.140625" style="106" customWidth="1"/>
    <col min="2" max="2" width="17.42578125" style="106" customWidth="1"/>
    <col min="3" max="3" width="48.140625" style="106" customWidth="1"/>
    <col min="4" max="4" width="9.85546875" style="372" customWidth="1"/>
    <col min="5" max="5" width="9" style="372" customWidth="1"/>
    <col min="6" max="6" width="14.140625" style="372" customWidth="1"/>
    <col min="7" max="7" width="13.7109375" style="372" customWidth="1"/>
    <col min="8" max="8" width="18.42578125" style="372" customWidth="1"/>
    <col min="9" max="9" width="22.140625" style="372" customWidth="1"/>
    <col min="10" max="12" width="12" style="106" customWidth="1"/>
    <col min="13" max="16384" width="12" style="106"/>
  </cols>
  <sheetData>
    <row r="1" spans="2:9" ht="13.5" customHeight="1" thickBot="1" x14ac:dyDescent="0.3"/>
    <row r="2" spans="2:9" ht="16.5" customHeight="1" thickBot="1" x14ac:dyDescent="0.35">
      <c r="B2" s="107" t="s">
        <v>314</v>
      </c>
      <c r="C2" s="108"/>
      <c r="D2" s="175"/>
      <c r="E2" s="176"/>
      <c r="F2" s="176"/>
      <c r="G2" s="176"/>
      <c r="H2" s="176"/>
      <c r="I2" s="177"/>
    </row>
    <row r="3" spans="2:9" ht="13.5" customHeight="1" thickBot="1" x14ac:dyDescent="0.3">
      <c r="D3" s="174"/>
      <c r="E3" s="174"/>
      <c r="F3" s="174"/>
      <c r="G3" s="174"/>
      <c r="H3" s="174"/>
      <c r="I3" s="174"/>
    </row>
    <row r="4" spans="2:9" x14ac:dyDescent="0.25">
      <c r="B4" s="110" t="s">
        <v>315</v>
      </c>
      <c r="C4" s="318" t="str">
        <f>CD!D2</f>
        <v>AMPLIACION CAMPAMENTO JUSTA SUBTERRANEA</v>
      </c>
      <c r="D4" s="178"/>
      <c r="E4" s="179"/>
      <c r="F4" s="180"/>
      <c r="G4" s="180"/>
      <c r="H4" s="180"/>
      <c r="I4" s="181"/>
    </row>
    <row r="5" spans="2:9" x14ac:dyDescent="0.25">
      <c r="B5" s="111" t="s">
        <v>316</v>
      </c>
      <c r="C5" s="319" t="str">
        <f>CD!D3</f>
        <v xml:space="preserve">SUMINISTRO, INSTALACION, PRUEBAS Y PUESTA EN MARCHA - RAMAL CONTRAINCENDIOS HDPE TIE-IN-06 A GCI </v>
      </c>
      <c r="D5" s="182"/>
      <c r="E5" s="183"/>
      <c r="F5" s="184"/>
      <c r="G5" s="184"/>
      <c r="H5" s="184"/>
      <c r="I5" s="185"/>
    </row>
    <row r="6" spans="2:9" x14ac:dyDescent="0.25">
      <c r="B6" s="111" t="s">
        <v>317</v>
      </c>
      <c r="C6" s="112" t="s">
        <v>318</v>
      </c>
      <c r="D6" s="183"/>
      <c r="E6" s="183"/>
      <c r="F6" s="184"/>
      <c r="G6" s="184"/>
      <c r="H6" s="184"/>
      <c r="I6" s="185"/>
    </row>
    <row r="7" spans="2:9" x14ac:dyDescent="0.25">
      <c r="B7" s="113" t="s">
        <v>319</v>
      </c>
      <c r="C7" s="114">
        <v>46233</v>
      </c>
      <c r="E7" s="183"/>
      <c r="F7" s="184"/>
      <c r="G7" s="184"/>
      <c r="H7" s="184"/>
      <c r="I7" s="185"/>
    </row>
    <row r="8" spans="2:9" x14ac:dyDescent="0.25">
      <c r="B8" s="113" t="s">
        <v>320</v>
      </c>
      <c r="C8" s="115"/>
      <c r="D8" s="116">
        <v>0.16669999999999999</v>
      </c>
      <c r="E8" s="183"/>
      <c r="F8" s="184"/>
      <c r="G8" s="184"/>
      <c r="H8" s="184"/>
      <c r="I8" s="185"/>
    </row>
    <row r="9" spans="2:9" ht="13.5" customHeight="1" thickBot="1" x14ac:dyDescent="0.3">
      <c r="B9" s="117"/>
      <c r="C9" s="118"/>
      <c r="D9" s="186"/>
      <c r="E9" s="187"/>
      <c r="F9" s="188"/>
      <c r="G9" s="188"/>
      <c r="H9" s="188"/>
      <c r="I9" s="189"/>
    </row>
    <row r="10" spans="2:9" ht="16.5" customHeight="1" x14ac:dyDescent="0.25">
      <c r="B10" s="119"/>
      <c r="C10" s="120"/>
      <c r="D10" s="190"/>
      <c r="E10" s="190"/>
      <c r="F10" s="190"/>
      <c r="G10" s="190"/>
      <c r="H10" s="190"/>
      <c r="I10" s="191"/>
    </row>
    <row r="11" spans="2:9" ht="18" customHeight="1" x14ac:dyDescent="0.25">
      <c r="B11" s="465" t="s">
        <v>321</v>
      </c>
      <c r="C11" s="446"/>
      <c r="D11" s="446"/>
      <c r="E11" s="446"/>
      <c r="F11" s="446"/>
      <c r="G11" s="446"/>
      <c r="H11" s="446"/>
      <c r="I11" s="447"/>
    </row>
    <row r="12" spans="2:9" ht="16.5" customHeight="1" x14ac:dyDescent="0.25">
      <c r="B12" s="463" t="s">
        <v>322</v>
      </c>
      <c r="C12" s="463" t="s">
        <v>85</v>
      </c>
      <c r="D12" s="463" t="s">
        <v>99</v>
      </c>
      <c r="E12" s="463" t="s">
        <v>323</v>
      </c>
      <c r="F12" s="463" t="s">
        <v>324</v>
      </c>
      <c r="G12" s="310"/>
      <c r="H12" s="121" t="s">
        <v>325</v>
      </c>
      <c r="I12" s="466" t="s">
        <v>326</v>
      </c>
    </row>
    <row r="13" spans="2:9" ht="12.75" customHeight="1" x14ac:dyDescent="0.25">
      <c r="B13" s="464"/>
      <c r="C13" s="464"/>
      <c r="D13" s="464"/>
      <c r="E13" s="464"/>
      <c r="F13" s="464"/>
      <c r="G13" s="467" t="s">
        <v>327</v>
      </c>
      <c r="H13" s="462" t="s">
        <v>328</v>
      </c>
      <c r="I13" s="464"/>
    </row>
    <row r="14" spans="2:9" ht="12.75" customHeight="1" x14ac:dyDescent="0.25">
      <c r="B14" s="464"/>
      <c r="C14" s="464"/>
      <c r="D14" s="464"/>
      <c r="E14" s="464"/>
      <c r="F14" s="464"/>
      <c r="G14" s="468"/>
      <c r="H14" s="439"/>
      <c r="I14" s="464"/>
    </row>
    <row r="15" spans="2:9" ht="13.5" customHeight="1" x14ac:dyDescent="0.3">
      <c r="B15" s="418"/>
      <c r="C15" s="418"/>
      <c r="D15" s="418"/>
      <c r="E15" s="418"/>
      <c r="F15" s="418"/>
      <c r="G15" s="122" t="s">
        <v>329</v>
      </c>
      <c r="H15" s="122" t="s">
        <v>329</v>
      </c>
      <c r="I15" s="123" t="s">
        <v>329</v>
      </c>
    </row>
    <row r="16" spans="2:9" ht="15.75" customHeight="1" x14ac:dyDescent="0.3">
      <c r="B16" s="332">
        <v>1</v>
      </c>
      <c r="C16" s="124" t="s">
        <v>330</v>
      </c>
      <c r="D16" s="192"/>
      <c r="E16" s="131"/>
      <c r="F16" s="129"/>
      <c r="G16" s="126"/>
      <c r="H16" s="127"/>
      <c r="I16" s="193"/>
    </row>
    <row r="17" spans="2:11" ht="15.75" customHeight="1" x14ac:dyDescent="0.3">
      <c r="B17" s="332"/>
      <c r="C17" s="128" t="s">
        <v>331</v>
      </c>
      <c r="D17" s="129" t="s">
        <v>238</v>
      </c>
      <c r="E17" s="131">
        <v>1</v>
      </c>
      <c r="F17" s="129">
        <v>0</v>
      </c>
      <c r="G17" s="171">
        <v>2300</v>
      </c>
      <c r="H17" s="172">
        <f>+G17*1.45</f>
        <v>3335</v>
      </c>
      <c r="I17" s="282">
        <f>E17*F17*H17</f>
        <v>0</v>
      </c>
    </row>
    <row r="18" spans="2:11" ht="15.75" customHeight="1" x14ac:dyDescent="0.3">
      <c r="B18" s="332"/>
      <c r="C18" s="128" t="s">
        <v>332</v>
      </c>
      <c r="D18" s="129" t="s">
        <v>238</v>
      </c>
      <c r="E18" s="131">
        <v>1</v>
      </c>
      <c r="F18" s="129">
        <v>0</v>
      </c>
      <c r="G18" s="171">
        <f>6031.4/3.4</f>
        <v>1773.9411764705881</v>
      </c>
      <c r="H18" s="172">
        <f>+G18*1.45</f>
        <v>2572.2147058823525</v>
      </c>
      <c r="I18" s="282">
        <f>E18*F18*H18</f>
        <v>0</v>
      </c>
      <c r="K18" s="371"/>
    </row>
    <row r="19" spans="2:11" ht="15.75" customHeight="1" x14ac:dyDescent="0.3">
      <c r="B19" s="332"/>
      <c r="C19" s="128" t="s">
        <v>333</v>
      </c>
      <c r="D19" s="129" t="s">
        <v>238</v>
      </c>
      <c r="E19" s="131">
        <v>1</v>
      </c>
      <c r="F19" s="129">
        <v>0.2</v>
      </c>
      <c r="G19" s="171">
        <f>6000/3.4</f>
        <v>1764.7058823529412</v>
      </c>
      <c r="H19" s="172">
        <f>+G19*1.45</f>
        <v>2558.8235294117649</v>
      </c>
      <c r="I19" s="282">
        <f>E19*F19*H19</f>
        <v>511.76470588235298</v>
      </c>
    </row>
    <row r="20" spans="2:11" ht="15.75" customHeight="1" x14ac:dyDescent="0.3">
      <c r="B20" s="332"/>
      <c r="C20" s="128" t="s">
        <v>334</v>
      </c>
      <c r="D20" s="129" t="s">
        <v>238</v>
      </c>
      <c r="E20" s="131">
        <v>1</v>
      </c>
      <c r="F20" s="129">
        <v>1</v>
      </c>
      <c r="G20" s="171">
        <f>5125.11/3.4</f>
        <v>1507.3852941176469</v>
      </c>
      <c r="H20" s="172">
        <f>+G20*1.45</f>
        <v>2185.7086764705882</v>
      </c>
      <c r="I20" s="282">
        <f>E20*F20*H20</f>
        <v>2185.7086764705882</v>
      </c>
    </row>
    <row r="21" spans="2:11" ht="15.75" customHeight="1" x14ac:dyDescent="0.3">
      <c r="B21" s="332"/>
      <c r="C21" s="128" t="s">
        <v>335</v>
      </c>
      <c r="D21" s="129" t="s">
        <v>238</v>
      </c>
      <c r="E21" s="131">
        <v>0.5</v>
      </c>
      <c r="F21" s="129">
        <v>1</v>
      </c>
      <c r="G21" s="171">
        <f>4714.51/3.4</f>
        <v>1386.6205882352942</v>
      </c>
      <c r="H21" s="172">
        <f>+G21*1.45</f>
        <v>2010.5998529411766</v>
      </c>
      <c r="I21" s="282">
        <f>E21*F21*H21</f>
        <v>1005.2999264705883</v>
      </c>
      <c r="K21" s="371"/>
    </row>
    <row r="22" spans="2:11" ht="13.5" customHeight="1" x14ac:dyDescent="0.3">
      <c r="B22" s="333"/>
      <c r="C22" s="125"/>
      <c r="D22" s="130"/>
      <c r="E22" s="131"/>
      <c r="F22" s="334"/>
      <c r="G22" s="194"/>
      <c r="H22" s="157"/>
      <c r="I22" s="303"/>
    </row>
    <row r="23" spans="2:11" ht="13.5" customHeight="1" x14ac:dyDescent="0.3">
      <c r="B23" s="132"/>
      <c r="C23" s="133"/>
      <c r="D23" s="134"/>
      <c r="E23" s="135">
        <f>SUM(E17:E22)</f>
        <v>4.5</v>
      </c>
      <c r="F23" s="335"/>
      <c r="G23" s="195"/>
      <c r="H23" s="336">
        <v>1</v>
      </c>
      <c r="I23" s="308">
        <f>SUM(I17:I22)</f>
        <v>3702.7733088235295</v>
      </c>
    </row>
    <row r="24" spans="2:11" ht="15.75" customHeight="1" x14ac:dyDescent="0.3">
      <c r="B24" s="337">
        <v>2</v>
      </c>
      <c r="C24" s="136" t="s">
        <v>336</v>
      </c>
      <c r="D24" s="130"/>
      <c r="E24" s="131"/>
      <c r="F24" s="338"/>
      <c r="G24" s="194"/>
      <c r="H24" s="157"/>
      <c r="I24" s="339"/>
    </row>
    <row r="25" spans="2:11" ht="15.75" customHeight="1" x14ac:dyDescent="0.3">
      <c r="B25" s="337"/>
      <c r="C25" s="128" t="s">
        <v>337</v>
      </c>
      <c r="D25" s="129" t="s">
        <v>238</v>
      </c>
      <c r="E25" s="131">
        <v>1</v>
      </c>
      <c r="F25" s="129">
        <v>0.2</v>
      </c>
      <c r="G25" s="126">
        <v>757.58</v>
      </c>
      <c r="H25" s="127">
        <f>+G25*1.45</f>
        <v>1098.491</v>
      </c>
      <c r="I25" s="282">
        <f>E25*F25*H25</f>
        <v>219.69820000000001</v>
      </c>
    </row>
    <row r="26" spans="2:11" ht="15.75" customHeight="1" x14ac:dyDescent="0.3">
      <c r="B26" s="337"/>
      <c r="C26" s="128" t="s">
        <v>338</v>
      </c>
      <c r="D26" s="129" t="s">
        <v>238</v>
      </c>
      <c r="E26" s="131">
        <v>1</v>
      </c>
      <c r="F26" s="129">
        <v>0.2</v>
      </c>
      <c r="G26" s="126">
        <v>757.58</v>
      </c>
      <c r="H26" s="127">
        <f>+G26*1.45</f>
        <v>1098.491</v>
      </c>
      <c r="I26" s="282">
        <f>E26*F26*H26</f>
        <v>219.69820000000001</v>
      </c>
    </row>
    <row r="27" spans="2:11" ht="15.75" customHeight="1" x14ac:dyDescent="0.3">
      <c r="B27" s="337"/>
      <c r="C27" s="136"/>
      <c r="D27" s="130"/>
      <c r="E27" s="131"/>
      <c r="F27" s="338"/>
      <c r="G27" s="194"/>
      <c r="H27" s="157"/>
      <c r="I27" s="303"/>
    </row>
    <row r="28" spans="2:11" ht="13.5" customHeight="1" x14ac:dyDescent="0.3">
      <c r="B28" s="340"/>
      <c r="C28" s="125"/>
      <c r="D28" s="130"/>
      <c r="E28" s="131"/>
      <c r="F28" s="338"/>
      <c r="G28" s="194"/>
      <c r="H28" s="196"/>
      <c r="I28" s="307"/>
    </row>
    <row r="29" spans="2:11" ht="13.5" customHeight="1" x14ac:dyDescent="0.3">
      <c r="B29" s="132"/>
      <c r="C29" s="133"/>
      <c r="D29" s="134"/>
      <c r="E29" s="135">
        <f>SUM(E25:E28)</f>
        <v>2</v>
      </c>
      <c r="F29" s="335"/>
      <c r="G29" s="195"/>
      <c r="H29" s="336">
        <v>2</v>
      </c>
      <c r="I29" s="308">
        <f>SUM(I25:I28)</f>
        <v>439.39640000000003</v>
      </c>
    </row>
    <row r="30" spans="2:11" ht="15.75" customHeight="1" x14ac:dyDescent="0.3">
      <c r="B30" s="332">
        <v>3</v>
      </c>
      <c r="C30" s="136" t="s">
        <v>339</v>
      </c>
      <c r="D30" s="130"/>
      <c r="E30" s="137"/>
      <c r="F30" s="334"/>
      <c r="G30" s="194"/>
      <c r="H30" s="157"/>
      <c r="I30" s="341"/>
    </row>
    <row r="31" spans="2:11" ht="15.75" customHeight="1" x14ac:dyDescent="0.3">
      <c r="B31" s="332"/>
      <c r="C31" s="136" t="s">
        <v>340</v>
      </c>
      <c r="D31" s="130"/>
      <c r="E31" s="131"/>
      <c r="F31" s="131"/>
      <c r="G31" s="138" t="s">
        <v>341</v>
      </c>
      <c r="H31" s="197"/>
      <c r="I31" s="341"/>
    </row>
    <row r="32" spans="2:11" ht="15.75" customHeight="1" x14ac:dyDescent="0.3">
      <c r="B32" s="332"/>
      <c r="C32" s="125" t="s">
        <v>342</v>
      </c>
      <c r="D32" s="130" t="s">
        <v>238</v>
      </c>
      <c r="E32" s="131">
        <v>1</v>
      </c>
      <c r="F32" s="334">
        <v>1</v>
      </c>
      <c r="G32" s="198">
        <f>60*30</f>
        <v>1800</v>
      </c>
      <c r="H32" s="197"/>
      <c r="I32" s="303">
        <f>E32*G32*F32</f>
        <v>1800</v>
      </c>
    </row>
    <row r="33" spans="2:9" ht="13.5" customHeight="1" x14ac:dyDescent="0.3">
      <c r="B33" s="139"/>
      <c r="C33" s="125" t="s">
        <v>343</v>
      </c>
      <c r="D33" s="130" t="s">
        <v>238</v>
      </c>
      <c r="E33" s="131">
        <v>1</v>
      </c>
      <c r="F33" s="334">
        <v>1</v>
      </c>
      <c r="G33" s="198">
        <f>120*5.1</f>
        <v>612</v>
      </c>
      <c r="H33" s="197"/>
      <c r="I33" s="303">
        <f>E33*G33*F33</f>
        <v>612</v>
      </c>
    </row>
    <row r="34" spans="2:9" ht="13.5" customHeight="1" x14ac:dyDescent="0.3">
      <c r="B34" s="342"/>
      <c r="C34" s="125" t="s">
        <v>236</v>
      </c>
      <c r="D34" s="130"/>
      <c r="E34" s="131"/>
      <c r="F34" s="334"/>
      <c r="G34" s="198"/>
      <c r="H34" s="197"/>
      <c r="I34" s="303"/>
    </row>
    <row r="35" spans="2:9" ht="13.5" customHeight="1" x14ac:dyDescent="0.3">
      <c r="B35" s="132"/>
      <c r="C35" s="133"/>
      <c r="D35" s="134"/>
      <c r="E35" s="140"/>
      <c r="F35" s="140"/>
      <c r="G35" s="195"/>
      <c r="H35" s="336">
        <v>3</v>
      </c>
      <c r="I35" s="304">
        <f>SUM(I31:I34)</f>
        <v>2412</v>
      </c>
    </row>
    <row r="36" spans="2:9" ht="15.75" customHeight="1" x14ac:dyDescent="0.3">
      <c r="B36" s="343">
        <v>4</v>
      </c>
      <c r="C36" s="141" t="s">
        <v>344</v>
      </c>
      <c r="D36" s="130"/>
      <c r="E36" s="131"/>
      <c r="F36" s="344"/>
      <c r="G36" s="194"/>
      <c r="H36" s="199"/>
      <c r="I36" s="341"/>
    </row>
    <row r="37" spans="2:9" s="218" customFormat="1" ht="38.25" customHeight="1" x14ac:dyDescent="0.2">
      <c r="B37" s="345"/>
      <c r="C37" s="217" t="s">
        <v>345</v>
      </c>
      <c r="D37" s="223" t="s">
        <v>346</v>
      </c>
      <c r="E37" s="224">
        <v>1</v>
      </c>
      <c r="F37" s="346"/>
      <c r="G37" s="221">
        <f>350/3</f>
        <v>116.66666666666667</v>
      </c>
      <c r="H37" s="225"/>
      <c r="I37" s="306">
        <f t="shared" ref="I37:I42" si="0">E37*G37</f>
        <v>116.66666666666667</v>
      </c>
    </row>
    <row r="38" spans="2:9" ht="13.5" customHeight="1" x14ac:dyDescent="0.3">
      <c r="B38" s="342"/>
      <c r="C38" s="125" t="s">
        <v>347</v>
      </c>
      <c r="D38" s="223" t="s">
        <v>346</v>
      </c>
      <c r="E38" s="143">
        <v>4</v>
      </c>
      <c r="F38" s="144"/>
      <c r="G38" s="198">
        <f>284/3.4/3</f>
        <v>27.843137254901961</v>
      </c>
      <c r="H38" s="197"/>
      <c r="I38" s="303">
        <f t="shared" si="0"/>
        <v>111.37254901960785</v>
      </c>
    </row>
    <row r="39" spans="2:9" ht="13.5" customHeight="1" x14ac:dyDescent="0.3">
      <c r="B39" s="342"/>
      <c r="C39" s="125" t="s">
        <v>348</v>
      </c>
      <c r="D39" s="223" t="s">
        <v>349</v>
      </c>
      <c r="E39" s="143">
        <v>0</v>
      </c>
      <c r="F39" s="144"/>
      <c r="G39" s="198">
        <v>400</v>
      </c>
      <c r="H39" s="197"/>
      <c r="I39" s="303">
        <f t="shared" si="0"/>
        <v>0</v>
      </c>
    </row>
    <row r="40" spans="2:9" ht="13.5" customHeight="1" x14ac:dyDescent="0.3">
      <c r="B40" s="342"/>
      <c r="C40" s="125" t="s">
        <v>350</v>
      </c>
      <c r="D40" s="223" t="s">
        <v>346</v>
      </c>
      <c r="E40" s="143">
        <v>4</v>
      </c>
      <c r="F40" s="144"/>
      <c r="G40" s="198">
        <f>560/3.4/3</f>
        <v>54.901960784313729</v>
      </c>
      <c r="H40" s="197"/>
      <c r="I40" s="303">
        <f t="shared" si="0"/>
        <v>219.60784313725492</v>
      </c>
    </row>
    <row r="41" spans="2:9" s="218" customFormat="1" ht="51" customHeight="1" x14ac:dyDescent="0.2">
      <c r="B41" s="347"/>
      <c r="C41" s="217" t="s">
        <v>351</v>
      </c>
      <c r="D41" s="223" t="s">
        <v>346</v>
      </c>
      <c r="E41" s="219"/>
      <c r="F41" s="220"/>
      <c r="G41" s="221">
        <f>45*3</f>
        <v>135</v>
      </c>
      <c r="H41" s="222"/>
      <c r="I41" s="306">
        <f t="shared" si="0"/>
        <v>0</v>
      </c>
    </row>
    <row r="42" spans="2:9" ht="38.25" customHeight="1" x14ac:dyDescent="0.3">
      <c r="B42" s="342"/>
      <c r="C42" s="142" t="s">
        <v>352</v>
      </c>
      <c r="D42" s="223" t="s">
        <v>346</v>
      </c>
      <c r="E42" s="219"/>
      <c r="F42" s="220"/>
      <c r="G42" s="221">
        <v>176</v>
      </c>
      <c r="H42" s="197"/>
      <c r="I42" s="306">
        <f t="shared" si="0"/>
        <v>0</v>
      </c>
    </row>
    <row r="43" spans="2:9" ht="13.5" customHeight="1" x14ac:dyDescent="0.3">
      <c r="B43" s="342"/>
      <c r="C43" s="125"/>
      <c r="D43" s="130"/>
      <c r="E43" s="143"/>
      <c r="F43" s="144"/>
      <c r="G43" s="198"/>
      <c r="H43" s="197"/>
      <c r="I43" s="303"/>
    </row>
    <row r="44" spans="2:9" ht="13.5" customHeight="1" x14ac:dyDescent="0.3">
      <c r="B44" s="342"/>
      <c r="C44" s="125"/>
      <c r="D44" s="130"/>
      <c r="E44" s="143"/>
      <c r="F44" s="334"/>
      <c r="G44" s="198"/>
      <c r="H44" s="197"/>
      <c r="I44" s="303"/>
    </row>
    <row r="45" spans="2:9" ht="13.5" customHeight="1" x14ac:dyDescent="0.3">
      <c r="B45" s="132"/>
      <c r="C45" s="145"/>
      <c r="D45" s="134"/>
      <c r="E45" s="140"/>
      <c r="F45" s="140"/>
      <c r="G45" s="195"/>
      <c r="H45" s="348">
        <v>4</v>
      </c>
      <c r="I45" s="304">
        <f>SUM(I37:I44)</f>
        <v>447.64705882352945</v>
      </c>
    </row>
    <row r="46" spans="2:9" ht="31.5" customHeight="1" x14ac:dyDescent="0.3">
      <c r="B46" s="349">
        <v>5</v>
      </c>
      <c r="C46" s="146" t="s">
        <v>353</v>
      </c>
      <c r="D46" s="130"/>
      <c r="E46" s="131" t="s">
        <v>354</v>
      </c>
      <c r="F46" s="147" t="s">
        <v>355</v>
      </c>
      <c r="G46" s="148" t="s">
        <v>356</v>
      </c>
      <c r="H46" s="200"/>
      <c r="I46" s="341"/>
    </row>
    <row r="47" spans="2:9" ht="13.5" customHeight="1" x14ac:dyDescent="0.3">
      <c r="B47" s="342"/>
      <c r="C47" s="149" t="s">
        <v>357</v>
      </c>
      <c r="D47" s="130"/>
      <c r="E47" s="129"/>
      <c r="F47" s="147"/>
      <c r="G47" s="148"/>
      <c r="H47" s="200"/>
      <c r="I47" s="341"/>
    </row>
    <row r="48" spans="2:9" ht="13.5" customHeight="1" x14ac:dyDescent="0.3">
      <c r="B48" s="342"/>
      <c r="C48" s="125" t="s">
        <v>358</v>
      </c>
      <c r="D48" s="130"/>
      <c r="E48" s="129">
        <v>0</v>
      </c>
      <c r="F48" s="150">
        <v>0.2</v>
      </c>
      <c r="G48" s="201">
        <v>484.84848484848487</v>
      </c>
      <c r="H48" s="197"/>
      <c r="I48" s="303">
        <f>G48*F48*E48</f>
        <v>0</v>
      </c>
    </row>
    <row r="49" spans="2:9" ht="13.5" customHeight="1" x14ac:dyDescent="0.3">
      <c r="B49" s="342"/>
      <c r="C49" s="125" t="s">
        <v>359</v>
      </c>
      <c r="D49" s="130"/>
      <c r="E49" s="129">
        <v>0</v>
      </c>
      <c r="F49" s="150">
        <v>0.5</v>
      </c>
      <c r="G49" s="201">
        <v>27.27272727272727</v>
      </c>
      <c r="H49" s="197"/>
      <c r="I49" s="303">
        <f>G49*F49*E49</f>
        <v>0</v>
      </c>
    </row>
    <row r="50" spans="2:9" ht="13.5" customHeight="1" x14ac:dyDescent="0.3">
      <c r="B50" s="342"/>
      <c r="C50" s="125"/>
      <c r="D50" s="130"/>
      <c r="E50" s="131"/>
      <c r="F50" s="150"/>
      <c r="G50" s="201"/>
      <c r="H50" s="197"/>
      <c r="I50" s="303"/>
    </row>
    <row r="51" spans="2:9" ht="13.5" customHeight="1" x14ac:dyDescent="0.3">
      <c r="B51" s="342"/>
      <c r="C51" s="149" t="s">
        <v>360</v>
      </c>
      <c r="D51" s="130"/>
      <c r="E51" s="131"/>
      <c r="F51" s="150"/>
      <c r="G51" s="201"/>
      <c r="H51" s="197"/>
      <c r="I51" s="303"/>
    </row>
    <row r="52" spans="2:9" ht="13.5" customHeight="1" x14ac:dyDescent="0.3">
      <c r="B52" s="342"/>
      <c r="C52" s="125" t="s">
        <v>361</v>
      </c>
      <c r="D52" s="130"/>
      <c r="E52" s="131">
        <v>1.5</v>
      </c>
      <c r="F52" s="201">
        <v>1</v>
      </c>
      <c r="G52" s="201">
        <v>151.5151515151515</v>
      </c>
      <c r="H52" s="197"/>
      <c r="I52" s="303">
        <f>G52*F52*E52</f>
        <v>227.27272727272725</v>
      </c>
    </row>
    <row r="53" spans="2:9" ht="13.5" customHeight="1" x14ac:dyDescent="0.3">
      <c r="B53" s="342"/>
      <c r="C53" s="125" t="s">
        <v>362</v>
      </c>
      <c r="D53" s="130"/>
      <c r="E53" s="131">
        <v>1.5</v>
      </c>
      <c r="F53" s="201">
        <v>1</v>
      </c>
      <c r="G53" s="201">
        <v>333.33333333333343</v>
      </c>
      <c r="H53" s="197"/>
      <c r="I53" s="303">
        <f>G53*F53*E53</f>
        <v>500.00000000000011</v>
      </c>
    </row>
    <row r="54" spans="2:9" ht="13.5" customHeight="1" x14ac:dyDescent="0.3">
      <c r="B54" s="342"/>
      <c r="C54" s="125" t="s">
        <v>363</v>
      </c>
      <c r="D54" s="130"/>
      <c r="E54" s="131">
        <v>4</v>
      </c>
      <c r="F54" s="201">
        <v>1</v>
      </c>
      <c r="G54" s="201">
        <v>6.6969696969696981</v>
      </c>
      <c r="H54" s="197"/>
      <c r="I54" s="303">
        <f>G54*F54*E54</f>
        <v>26.787878787878793</v>
      </c>
    </row>
    <row r="55" spans="2:9" ht="13.5" customHeight="1" x14ac:dyDescent="0.3">
      <c r="B55" s="139"/>
      <c r="C55" s="125"/>
      <c r="D55" s="130"/>
      <c r="E55" s="131"/>
      <c r="F55" s="151"/>
      <c r="G55" s="198"/>
      <c r="H55" s="197"/>
      <c r="I55" s="282"/>
    </row>
    <row r="56" spans="2:9" ht="13.5" customHeight="1" x14ac:dyDescent="0.3">
      <c r="B56" s="132"/>
      <c r="C56" s="145"/>
      <c r="D56" s="134"/>
      <c r="E56" s="140"/>
      <c r="F56" s="140"/>
      <c r="G56" s="202"/>
      <c r="H56" s="336">
        <v>5</v>
      </c>
      <c r="I56" s="304">
        <f>SUM(I48:I54)</f>
        <v>754.06060606060612</v>
      </c>
    </row>
    <row r="57" spans="2:9" ht="15.75" customHeight="1" x14ac:dyDescent="0.3">
      <c r="B57" s="350">
        <v>6</v>
      </c>
      <c r="C57" s="160" t="s">
        <v>364</v>
      </c>
      <c r="D57" s="152"/>
      <c r="E57" s="161"/>
      <c r="F57" s="351"/>
      <c r="G57" s="162"/>
      <c r="H57" s="162" t="s">
        <v>365</v>
      </c>
      <c r="I57" s="352"/>
    </row>
    <row r="58" spans="2:9" ht="15.75" customHeight="1" x14ac:dyDescent="0.3">
      <c r="B58" s="337"/>
      <c r="C58" s="128" t="s">
        <v>366</v>
      </c>
      <c r="D58" s="129" t="s">
        <v>238</v>
      </c>
      <c r="E58" s="131">
        <v>1</v>
      </c>
      <c r="F58" s="203">
        <v>0.15</v>
      </c>
      <c r="G58" s="126"/>
      <c r="H58" s="171">
        <f>2000*1.45/3.3</f>
        <v>878.78787878787887</v>
      </c>
      <c r="I58" s="303">
        <f t="shared" ref="I58:I63" si="1">+H58*F58*E58</f>
        <v>131.81818181818181</v>
      </c>
    </row>
    <row r="59" spans="2:9" ht="15.75" customHeight="1" x14ac:dyDescent="0.3">
      <c r="B59" s="337"/>
      <c r="C59" s="128" t="s">
        <v>367</v>
      </c>
      <c r="D59" s="129" t="s">
        <v>238</v>
      </c>
      <c r="E59" s="131">
        <v>1</v>
      </c>
      <c r="F59" s="203">
        <v>0.15</v>
      </c>
      <c r="G59" s="126"/>
      <c r="H59" s="171">
        <f>2000*1.45/3.3</f>
        <v>878.78787878787887</v>
      </c>
      <c r="I59" s="303">
        <f t="shared" si="1"/>
        <v>131.81818181818181</v>
      </c>
    </row>
    <row r="60" spans="2:9" ht="15.75" customHeight="1" x14ac:dyDescent="0.3">
      <c r="B60" s="337"/>
      <c r="C60" s="128" t="s">
        <v>368</v>
      </c>
      <c r="D60" s="129" t="s">
        <v>238</v>
      </c>
      <c r="E60" s="131">
        <v>1</v>
      </c>
      <c r="F60" s="203">
        <v>0</v>
      </c>
      <c r="G60" s="126"/>
      <c r="H60" s="171">
        <f>6200*1.45/3.3</f>
        <v>2724.2424242424245</v>
      </c>
      <c r="I60" s="303">
        <f t="shared" si="1"/>
        <v>0</v>
      </c>
    </row>
    <row r="61" spans="2:9" ht="15.75" customHeight="1" x14ac:dyDescent="0.3">
      <c r="B61" s="337"/>
      <c r="C61" s="128" t="s">
        <v>369</v>
      </c>
      <c r="D61" s="129" t="s">
        <v>238</v>
      </c>
      <c r="E61" s="131">
        <v>1</v>
      </c>
      <c r="F61" s="203">
        <v>0.15</v>
      </c>
      <c r="G61" s="126"/>
      <c r="H61" s="171">
        <f>363/3.3</f>
        <v>110</v>
      </c>
      <c r="I61" s="303">
        <f t="shared" si="1"/>
        <v>16.5</v>
      </c>
    </row>
    <row r="62" spans="2:9" ht="15.75" customHeight="1" x14ac:dyDescent="0.3">
      <c r="B62" s="337"/>
      <c r="C62" s="128" t="s">
        <v>370</v>
      </c>
      <c r="D62" s="129" t="s">
        <v>238</v>
      </c>
      <c r="E62" s="131">
        <v>1</v>
      </c>
      <c r="F62" s="203">
        <v>0.15</v>
      </c>
      <c r="G62" s="126"/>
      <c r="H62" s="171">
        <f>345/3.3</f>
        <v>104.54545454545455</v>
      </c>
      <c r="I62" s="303">
        <f t="shared" si="1"/>
        <v>15.681818181818182</v>
      </c>
    </row>
    <row r="63" spans="2:9" ht="15.75" customHeight="1" x14ac:dyDescent="0.3">
      <c r="B63" s="337"/>
      <c r="C63" s="128" t="s">
        <v>371</v>
      </c>
      <c r="D63" s="129" t="s">
        <v>238</v>
      </c>
      <c r="E63" s="131">
        <v>1</v>
      </c>
      <c r="F63" s="203">
        <v>0.15</v>
      </c>
      <c r="G63" s="126"/>
      <c r="H63" s="171">
        <v>254.14</v>
      </c>
      <c r="I63" s="303">
        <f t="shared" si="1"/>
        <v>38.120999999999995</v>
      </c>
    </row>
    <row r="64" spans="2:9" ht="15.75" customHeight="1" x14ac:dyDescent="0.3">
      <c r="B64" s="337"/>
      <c r="C64" s="136"/>
      <c r="D64" s="130"/>
      <c r="E64" s="131"/>
      <c r="F64" s="338"/>
      <c r="G64" s="194"/>
      <c r="H64" s="194"/>
      <c r="I64" s="303"/>
    </row>
    <row r="65" spans="2:11" ht="13.5" customHeight="1" x14ac:dyDescent="0.3">
      <c r="B65" s="353"/>
      <c r="C65" s="163"/>
      <c r="D65" s="164"/>
      <c r="E65" s="165"/>
      <c r="F65" s="354"/>
      <c r="G65" s="204"/>
      <c r="H65" s="336">
        <v>6</v>
      </c>
      <c r="I65" s="305">
        <f>SUM(I58:I63)</f>
        <v>333.93918181818179</v>
      </c>
    </row>
    <row r="66" spans="2:11" ht="15.75" customHeight="1" x14ac:dyDescent="0.3">
      <c r="B66" s="355">
        <v>7</v>
      </c>
      <c r="C66" s="136" t="s">
        <v>372</v>
      </c>
      <c r="D66" s="130"/>
      <c r="E66" s="131" t="s">
        <v>354</v>
      </c>
      <c r="F66" s="147"/>
      <c r="G66" s="148" t="s">
        <v>356</v>
      </c>
      <c r="H66" s="197"/>
      <c r="I66" s="341"/>
    </row>
    <row r="67" spans="2:11" ht="15.75" customHeight="1" x14ac:dyDescent="0.3">
      <c r="B67" s="355"/>
      <c r="C67" s="356" t="s">
        <v>373</v>
      </c>
      <c r="D67" s="153"/>
      <c r="E67" s="216">
        <v>0</v>
      </c>
      <c r="F67" s="154">
        <v>1.5E-3</v>
      </c>
      <c r="G67" s="201"/>
      <c r="H67" s="155"/>
      <c r="I67" s="303">
        <f>+E67*G67*F67</f>
        <v>0</v>
      </c>
    </row>
    <row r="68" spans="2:11" ht="13.5" customHeight="1" x14ac:dyDescent="0.3">
      <c r="B68" s="156"/>
      <c r="C68" s="356" t="s">
        <v>374</v>
      </c>
      <c r="D68" s="153"/>
      <c r="E68" s="216">
        <v>0</v>
      </c>
      <c r="F68" s="154">
        <v>2E-3</v>
      </c>
      <c r="G68" s="201"/>
      <c r="H68" s="157"/>
      <c r="I68" s="303">
        <f>+E68*G68*F68</f>
        <v>0</v>
      </c>
    </row>
    <row r="69" spans="2:11" ht="13.5" customHeight="1" x14ac:dyDescent="0.3">
      <c r="B69" s="156"/>
      <c r="C69" s="356" t="s">
        <v>375</v>
      </c>
      <c r="D69" s="153"/>
      <c r="E69" s="216">
        <v>0</v>
      </c>
      <c r="F69" s="154"/>
      <c r="G69" s="215">
        <f>7000/12/3.4</f>
        <v>171.56862745098042</v>
      </c>
      <c r="H69" s="157"/>
      <c r="I69" s="303">
        <f>+E69*G69</f>
        <v>0</v>
      </c>
    </row>
    <row r="70" spans="2:11" ht="13.5" customHeight="1" x14ac:dyDescent="0.3">
      <c r="B70" s="156"/>
      <c r="C70" s="356" t="s">
        <v>376</v>
      </c>
      <c r="D70" s="153"/>
      <c r="E70" s="216">
        <v>1</v>
      </c>
      <c r="F70" s="357"/>
      <c r="G70" s="302">
        <v>550</v>
      </c>
      <c r="H70" s="157"/>
      <c r="I70" s="303">
        <f>+E70*G70</f>
        <v>550</v>
      </c>
    </row>
    <row r="71" spans="2:11" ht="13.5" customHeight="1" x14ac:dyDescent="0.3">
      <c r="B71" s="132"/>
      <c r="C71" s="145"/>
      <c r="D71" s="134"/>
      <c r="E71" s="140"/>
      <c r="F71" s="140"/>
      <c r="G71" s="202"/>
      <c r="H71" s="336">
        <v>7</v>
      </c>
      <c r="I71" s="304">
        <f>SUM(I67:I70)</f>
        <v>550</v>
      </c>
    </row>
    <row r="72" spans="2:11" ht="13.8" customHeight="1" x14ac:dyDescent="0.3">
      <c r="B72" s="158"/>
      <c r="C72" s="158"/>
      <c r="D72" s="205"/>
      <c r="E72" s="205"/>
      <c r="F72" s="205"/>
      <c r="G72" s="205"/>
      <c r="H72" s="358"/>
      <c r="I72" s="206"/>
    </row>
    <row r="73" spans="2:11" ht="18.600000000000001" customHeight="1" x14ac:dyDescent="0.35">
      <c r="B73" s="158"/>
      <c r="C73" s="158"/>
      <c r="D73" s="205"/>
      <c r="E73" s="205"/>
      <c r="F73" s="205"/>
      <c r="G73" s="460" t="s">
        <v>377</v>
      </c>
      <c r="H73" s="461"/>
      <c r="I73" s="359">
        <f>(+I56+I45+I35+I29+I23+I71+I65)</f>
        <v>8639.8165555258474</v>
      </c>
      <c r="K73" s="280"/>
    </row>
    <row r="74" spans="2:11" ht="16.5" customHeight="1" x14ac:dyDescent="0.3">
      <c r="B74" s="158"/>
      <c r="C74" s="159"/>
      <c r="D74" s="205"/>
      <c r="E74" s="205"/>
      <c r="F74" s="205"/>
      <c r="G74" s="229" t="s">
        <v>378</v>
      </c>
      <c r="H74" s="286">
        <v>0.16669999999999999</v>
      </c>
      <c r="I74" s="360">
        <f>+I73*H74</f>
        <v>1440.2574198061586</v>
      </c>
    </row>
    <row r="75" spans="2:11" x14ac:dyDescent="0.25">
      <c r="I75" s="361"/>
    </row>
  </sheetData>
  <mergeCells count="10">
    <mergeCell ref="G73:H73"/>
    <mergeCell ref="H13:H14"/>
    <mergeCell ref="F12:F15"/>
    <mergeCell ref="B11:I11"/>
    <mergeCell ref="D12:D15"/>
    <mergeCell ref="B12:B15"/>
    <mergeCell ref="I12:I14"/>
    <mergeCell ref="E12:E15"/>
    <mergeCell ref="C12:C15"/>
    <mergeCell ref="G13:G14"/>
  </mergeCells>
  <pageMargins left="0.7" right="0.7" top="0.75" bottom="0.75" header="0.3" footer="0.3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PRESUPUESTO</vt:lpstr>
      <vt:lpstr>CD</vt:lpstr>
      <vt:lpstr>APU</vt:lpstr>
      <vt:lpstr>PS..</vt:lpstr>
      <vt:lpstr>GG</vt:lpstr>
      <vt:lpstr>APU!Área_de_impresión</vt:lpstr>
      <vt:lpstr>CD!Área_de_impresión</vt:lpstr>
      <vt:lpstr>GG!Área_de_impresión</vt:lpstr>
      <vt:lpstr>PRESUPUESTO!Área_de_impresión</vt:lpstr>
      <vt:lpstr>PS..!Área_de_impresión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 Intel</dc:creator>
  <cp:lastModifiedBy>BRANDY</cp:lastModifiedBy>
  <cp:lastPrinted>2026-07-15T21:48:39Z</cp:lastPrinted>
  <dcterms:created xsi:type="dcterms:W3CDTF">2017-11-09T01:07:20Z</dcterms:created>
  <dcterms:modified xsi:type="dcterms:W3CDTF">2026-08-17T02:53:51Z</dcterms:modified>
</cp:coreProperties>
</file>